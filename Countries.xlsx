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updateLinks="always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T:\Indexes\"/>
    </mc:Choice>
  </mc:AlternateContent>
  <xr:revisionPtr revIDLastSave="0" documentId="13_ncr:1_{E2FAB9FA-3860-4534-9072-66AF4AD6D923}" xr6:coauthVersionLast="47" xr6:coauthVersionMax="47" xr10:uidLastSave="{00000000-0000-0000-0000-000000000000}"/>
  <bookViews>
    <workbookView xWindow="-28920" yWindow="-120" windowWidth="29040" windowHeight="15720" tabRatio="500" firstSheet="1" activeTab="1" xr2:uid="{00000000-000D-0000-FFFF-FFFF00000000}"/>
  </bookViews>
  <sheets>
    <sheet name="Sheet1" sheetId="4" state="hidden" r:id="rId1"/>
    <sheet name="Cleanup" sheetId="2" r:id="rId2"/>
    <sheet name="tCountries" sheetId="1" r:id="rId3"/>
    <sheet name="RegionalCommissions" sheetId="3" r:id="rId4"/>
  </sheets>
  <definedNames>
    <definedName name="_xlnm._FilterDatabase" localSheetId="1" hidden="1">Cleanup!$L$1246:$M$1321</definedName>
  </definedNames>
  <calcPr calcId="191028"/>
  <pivotCaches>
    <pivotCache cacheId="29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28" i="2" l="1"/>
  <c r="E1627" i="2"/>
  <c r="E503" i="2"/>
  <c r="E227" i="2"/>
  <c r="E538" i="2"/>
  <c r="E262" i="2"/>
  <c r="E1626" i="2"/>
  <c r="E1625" i="2"/>
  <c r="E552" i="2"/>
  <c r="E278" i="2"/>
  <c r="E1621" i="2"/>
  <c r="E1620" i="2"/>
  <c r="E1619" i="2"/>
  <c r="E1618" i="2"/>
  <c r="E549" i="2"/>
  <c r="E548" i="2"/>
  <c r="E505" i="2"/>
  <c r="E275" i="2"/>
  <c r="E274" i="2"/>
  <c r="E229" i="2"/>
  <c r="E1617" i="2"/>
  <c r="E1616" i="2"/>
  <c r="E1615" i="2"/>
  <c r="E1614" i="2"/>
  <c r="E1514" i="2"/>
  <c r="E509" i="2"/>
  <c r="E233" i="2"/>
  <c r="E1613" i="2"/>
  <c r="E1611" i="2"/>
  <c r="E1513" i="2"/>
  <c r="E1604" i="2"/>
  <c r="E1603" i="2"/>
  <c r="E1602" i="2"/>
  <c r="E1601" i="2"/>
  <c r="E1600" i="2"/>
  <c r="E546" i="2"/>
  <c r="E272" i="2"/>
  <c r="E545" i="2"/>
  <c r="E269" i="2"/>
  <c r="E1590" i="2"/>
  <c r="E1589" i="2"/>
  <c r="E1588" i="2"/>
  <c r="E1587" i="2"/>
  <c r="E1586" i="2"/>
  <c r="E498" i="2"/>
  <c r="E222" i="2"/>
  <c r="E1585" i="2"/>
  <c r="E1584" i="2"/>
  <c r="E1583" i="2"/>
  <c r="E1582" i="2"/>
  <c r="E1581" i="2"/>
  <c r="E635" i="2"/>
  <c r="E544" i="2"/>
  <c r="E268" i="2"/>
  <c r="E1578" i="2"/>
  <c r="E1577" i="2"/>
  <c r="E1182" i="2"/>
  <c r="E447" i="2"/>
  <c r="E171" i="2"/>
  <c r="E1576" i="2"/>
  <c r="E1575" i="2"/>
  <c r="E543" i="2"/>
  <c r="E267" i="2"/>
  <c r="E1568" i="2"/>
  <c r="E1567" i="2"/>
  <c r="E542" i="2"/>
  <c r="E266" i="2"/>
  <c r="E1566" i="2"/>
  <c r="E1565" i="2"/>
  <c r="E1504" i="2"/>
  <c r="E1318" i="2"/>
  <c r="E1251" i="2"/>
  <c r="E801" i="2"/>
  <c r="E634" i="2"/>
  <c r="E1597" i="2"/>
  <c r="E1595" i="2"/>
  <c r="E1593" i="2"/>
  <c r="E1591" i="2"/>
  <c r="E1572" i="2"/>
  <c r="E1558" i="2"/>
  <c r="E540" i="2"/>
  <c r="E264" i="2"/>
  <c r="E1573" i="2"/>
  <c r="E1571" i="2"/>
  <c r="E1569" i="2"/>
  <c r="E1564" i="2"/>
  <c r="E1561" i="2"/>
  <c r="E1559" i="2"/>
  <c r="E1557" i="2"/>
  <c r="E1556" i="2"/>
  <c r="E1554" i="2"/>
  <c r="E1259" i="2"/>
  <c r="E939" i="2"/>
  <c r="E613" i="2"/>
  <c r="E562" i="2"/>
  <c r="E539" i="2"/>
  <c r="E263" i="2"/>
  <c r="E1599" i="2"/>
  <c r="E1598" i="2"/>
  <c r="E1570" i="2"/>
  <c r="E1555" i="2"/>
  <c r="E1135" i="2"/>
  <c r="E1014" i="2"/>
  <c r="E1013" i="2"/>
  <c r="E1010" i="2"/>
  <c r="E1006" i="2"/>
  <c r="E1005" i="2"/>
  <c r="E955" i="2"/>
  <c r="E1553" i="2"/>
  <c r="E1552" i="2"/>
  <c r="E1483" i="2"/>
  <c r="E1482" i="2"/>
  <c r="E1481" i="2"/>
  <c r="E1480" i="2"/>
  <c r="E1479" i="2"/>
  <c r="E1297" i="2"/>
  <c r="E536" i="2"/>
  <c r="E260" i="2"/>
  <c r="E1563" i="2"/>
  <c r="E1560" i="2"/>
  <c r="E1551" i="2"/>
  <c r="E1550" i="2"/>
  <c r="E1549" i="2"/>
  <c r="E1542" i="2"/>
  <c r="E1541" i="2"/>
  <c r="E1537" i="2"/>
  <c r="E1536" i="2"/>
  <c r="E1362" i="2"/>
  <c r="E827" i="2"/>
  <c r="E826" i="2"/>
  <c r="E593" i="2"/>
  <c r="E592" i="2"/>
  <c r="E532" i="2"/>
  <c r="E256" i="2"/>
  <c r="E1562" i="2"/>
  <c r="E1548" i="2"/>
  <c r="E1547" i="2"/>
  <c r="E1538" i="2"/>
  <c r="E1372" i="2"/>
  <c r="E1288" i="2"/>
  <c r="E553" i="2"/>
  <c r="E521" i="2"/>
  <c r="E245" i="2"/>
  <c r="E1545" i="2"/>
  <c r="E1544" i="2"/>
  <c r="E1543" i="2"/>
  <c r="E528" i="2"/>
  <c r="E252" i="2"/>
  <c r="E1540" i="2"/>
  <c r="E1539" i="2"/>
  <c r="E527" i="2"/>
  <c r="E251" i="2"/>
  <c r="E1535" i="2"/>
  <c r="E526" i="2"/>
  <c r="E250" i="2"/>
  <c r="E1534" i="2"/>
  <c r="E1533" i="2"/>
  <c r="E1532" i="2"/>
  <c r="E1531" i="2"/>
  <c r="E1530" i="2"/>
  <c r="E525" i="2"/>
  <c r="E249" i="2"/>
  <c r="E1529" i="2"/>
  <c r="E1528" i="2"/>
  <c r="E524" i="2"/>
  <c r="E248" i="2"/>
  <c r="E1527" i="2"/>
  <c r="E1526" i="2"/>
  <c r="E1525" i="2"/>
  <c r="E1524" i="2"/>
  <c r="E1523" i="2"/>
  <c r="E1470" i="2"/>
  <c r="E1300" i="2"/>
  <c r="E1299" i="2"/>
  <c r="E523" i="2"/>
  <c r="E247" i="2"/>
  <c r="E1522" i="2"/>
  <c r="E1521" i="2"/>
  <c r="E522" i="2"/>
  <c r="E246" i="2"/>
  <c r="E1519" i="2"/>
  <c r="E1518" i="2"/>
  <c r="E1517" i="2"/>
  <c r="E1516" i="2"/>
  <c r="E520" i="2"/>
  <c r="E244" i="2"/>
  <c r="E1498" i="2"/>
  <c r="E519" i="2"/>
  <c r="E243" i="2"/>
  <c r="E1497" i="2"/>
  <c r="E1496" i="2"/>
  <c r="E1495" i="2"/>
  <c r="E518" i="2"/>
  <c r="E242" i="2"/>
  <c r="E1494" i="2"/>
  <c r="E1493" i="2"/>
  <c r="E1492" i="2"/>
  <c r="E1491" i="2"/>
  <c r="E813" i="2"/>
  <c r="E471" i="2"/>
  <c r="E195" i="2"/>
  <c r="E1486" i="2"/>
  <c r="E1485" i="2"/>
  <c r="E517" i="2"/>
  <c r="E241" i="2"/>
  <c r="E537" i="2"/>
  <c r="E261" i="2"/>
  <c r="E1478" i="2"/>
  <c r="E1477" i="2"/>
  <c r="E516" i="2"/>
  <c r="E240" i="2"/>
  <c r="E1468" i="2"/>
  <c r="E1467" i="2"/>
  <c r="E1466" i="2"/>
  <c r="E1465" i="2"/>
  <c r="E1464" i="2"/>
  <c r="E515" i="2"/>
  <c r="E239" i="2"/>
  <c r="E1463" i="2"/>
  <c r="E1462" i="2"/>
  <c r="E1461" i="2"/>
  <c r="E1460" i="2"/>
  <c r="E514" i="2"/>
  <c r="E238" i="2"/>
  <c r="E1459" i="2"/>
  <c r="E1458" i="2"/>
  <c r="E513" i="2"/>
  <c r="E237" i="2"/>
  <c r="E1456" i="2"/>
  <c r="E1455" i="2"/>
  <c r="E1454" i="2"/>
  <c r="E1453" i="2"/>
  <c r="E1452" i="2"/>
  <c r="E1451" i="2"/>
  <c r="E1450" i="2"/>
  <c r="E511" i="2"/>
  <c r="E235" i="2"/>
  <c r="E1449" i="2"/>
  <c r="E1448" i="2"/>
  <c r="E1447" i="2"/>
  <c r="E1446" i="2"/>
  <c r="E1445" i="2"/>
  <c r="E510" i="2"/>
  <c r="E508" i="2"/>
  <c r="E234" i="2"/>
  <c r="E232" i="2"/>
  <c r="E1607" i="2"/>
  <c r="E1606" i="2"/>
  <c r="E1605" i="2"/>
  <c r="E1441" i="2"/>
  <c r="E1258" i="2"/>
  <c r="E1257" i="2"/>
  <c r="E1256" i="2"/>
  <c r="E1255" i="2"/>
  <c r="E1217" i="2"/>
  <c r="E1154" i="2"/>
  <c r="E1119" i="2"/>
  <c r="E363" i="2"/>
  <c r="E87" i="2"/>
  <c r="E483" i="2"/>
  <c r="E207" i="2"/>
  <c r="E1416" i="2"/>
  <c r="E1415" i="2"/>
  <c r="E317" i="2"/>
  <c r="E41" i="2"/>
  <c r="E1413" i="2"/>
  <c r="E1412" i="2"/>
  <c r="E1411" i="2"/>
  <c r="E1410" i="2"/>
  <c r="E682" i="2"/>
  <c r="E506" i="2"/>
  <c r="E230" i="2"/>
  <c r="E502" i="2"/>
  <c r="E226" i="2"/>
  <c r="E271" i="2"/>
  <c r="E270" i="2"/>
  <c r="E1417" i="2"/>
  <c r="E1404" i="2"/>
  <c r="E507" i="2"/>
  <c r="E231" i="2"/>
  <c r="E1401" i="2"/>
  <c r="E1400" i="2"/>
  <c r="E1399" i="2"/>
  <c r="E1398" i="2"/>
  <c r="E1512" i="2"/>
  <c r="E1405" i="2"/>
  <c r="E1392" i="2"/>
  <c r="E501" i="2"/>
  <c r="E225" i="2"/>
  <c r="E1390" i="2"/>
  <c r="E1389" i="2"/>
  <c r="E500" i="2"/>
  <c r="E224" i="2"/>
  <c r="E1388" i="2"/>
  <c r="E1387" i="2"/>
  <c r="E1386" i="2"/>
  <c r="E1385" i="2"/>
  <c r="E304" i="2"/>
  <c r="E28" i="2"/>
  <c r="E1384" i="2"/>
  <c r="E1383" i="2"/>
  <c r="E499" i="2"/>
  <c r="E223" i="2"/>
  <c r="E1382" i="2"/>
  <c r="E1381" i="2"/>
  <c r="E1380" i="2"/>
  <c r="E497" i="2"/>
  <c r="E221" i="2"/>
  <c r="E1434" i="2"/>
  <c r="E1424" i="2"/>
  <c r="E1379" i="2"/>
  <c r="E1378" i="2"/>
  <c r="E444" i="2"/>
  <c r="E168" i="2"/>
  <c r="E1377" i="2"/>
  <c r="E1376" i="2"/>
  <c r="E1375" i="2"/>
  <c r="E496" i="2"/>
  <c r="E220" i="2"/>
  <c r="E1374" i="2"/>
  <c r="E1373" i="2"/>
  <c r="E495" i="2"/>
  <c r="E219" i="2"/>
  <c r="E1371" i="2"/>
  <c r="E494" i="2"/>
  <c r="E218" i="2"/>
  <c r="E1370" i="2"/>
  <c r="E1369" i="2"/>
  <c r="E1368" i="2"/>
  <c r="E1367" i="2"/>
  <c r="E1366" i="2"/>
  <c r="E1365" i="2"/>
  <c r="E493" i="2"/>
  <c r="E217" i="2"/>
  <c r="E1364" i="2"/>
  <c r="E1363" i="2"/>
  <c r="E492" i="2"/>
  <c r="E216" i="2"/>
  <c r="E1361" i="2"/>
  <c r="E1360" i="2"/>
  <c r="E491" i="2"/>
  <c r="E215" i="2"/>
  <c r="E1359" i="2"/>
  <c r="E1358" i="2"/>
  <c r="E1357" i="2"/>
  <c r="E1356" i="2"/>
  <c r="E1355" i="2"/>
  <c r="E1354" i="2"/>
  <c r="E490" i="2"/>
  <c r="E214" i="2"/>
  <c r="E1353" i="2"/>
  <c r="E1352" i="2"/>
  <c r="E1612" i="2"/>
  <c r="E1351" i="2"/>
  <c r="E547" i="2"/>
  <c r="E273" i="2"/>
  <c r="E1440" i="2"/>
  <c r="E1439" i="2"/>
  <c r="E1429" i="2"/>
  <c r="E1428" i="2"/>
  <c r="E1345" i="2"/>
  <c r="E1344" i="2"/>
  <c r="E489" i="2"/>
  <c r="E213" i="2"/>
  <c r="E1438" i="2"/>
  <c r="E1437" i="2"/>
  <c r="E1427" i="2"/>
  <c r="E1426" i="2"/>
  <c r="E1343" i="2"/>
  <c r="E488" i="2"/>
  <c r="E212" i="2"/>
  <c r="E1436" i="2"/>
  <c r="E1435" i="2"/>
  <c r="E1425" i="2"/>
  <c r="E1409" i="2"/>
  <c r="E1350" i="2"/>
  <c r="E1349" i="2"/>
  <c r="E1348" i="2"/>
  <c r="E1347" i="2"/>
  <c r="E1342" i="2"/>
  <c r="E1341" i="2"/>
  <c r="E1340" i="2"/>
  <c r="E1209" i="2"/>
  <c r="E487" i="2"/>
  <c r="E211" i="2"/>
  <c r="E1433" i="2"/>
  <c r="E1423" i="2"/>
  <c r="E1339" i="2"/>
  <c r="E486" i="2"/>
  <c r="E210" i="2"/>
  <c r="E1432" i="2"/>
  <c r="E1431" i="2"/>
  <c r="E1422" i="2"/>
  <c r="E1421" i="2"/>
  <c r="E1420" i="2"/>
  <c r="E1338" i="2"/>
  <c r="E484" i="2"/>
  <c r="E208" i="2"/>
  <c r="E1520" i="2"/>
  <c r="E1430" i="2"/>
  <c r="E1419" i="2"/>
  <c r="E1337" i="2"/>
  <c r="E1336" i="2"/>
  <c r="E1335" i="2"/>
  <c r="E482" i="2"/>
  <c r="E206" i="2"/>
  <c r="E1418" i="2"/>
  <c r="E1346" i="2"/>
  <c r="E1334" i="2"/>
  <c r="E1333" i="2"/>
  <c r="E1332" i="2"/>
  <c r="E1331" i="2"/>
  <c r="E481" i="2"/>
  <c r="E205" i="2"/>
  <c r="E1330" i="2"/>
  <c r="E1329" i="2"/>
  <c r="E479" i="2"/>
  <c r="E203" i="2"/>
  <c r="E1574" i="2"/>
  <c r="E1546" i="2"/>
  <c r="E1408" i="2"/>
  <c r="E1328" i="2"/>
  <c r="E1327" i="2"/>
  <c r="E1326" i="2"/>
  <c r="E1325" i="2"/>
  <c r="E1324" i="2"/>
  <c r="E873" i="2"/>
  <c r="E530" i="2"/>
  <c r="E477" i="2"/>
  <c r="E254" i="2"/>
  <c r="E201" i="2"/>
  <c r="E478" i="2"/>
  <c r="E202" i="2"/>
  <c r="E1323" i="2"/>
  <c r="E1322" i="2"/>
  <c r="E1321" i="2"/>
  <c r="E476" i="2"/>
  <c r="E200" i="2"/>
  <c r="E504" i="2"/>
  <c r="E228" i="2"/>
  <c r="E1320" i="2"/>
  <c r="E1319" i="2"/>
  <c r="E1287" i="2"/>
  <c r="E475" i="2"/>
  <c r="E474" i="2"/>
  <c r="E199" i="2"/>
  <c r="E198" i="2"/>
  <c r="E1316" i="2"/>
  <c r="E1315" i="2"/>
  <c r="E1308" i="2"/>
  <c r="E1241" i="2"/>
  <c r="E1238" i="2"/>
  <c r="E1236" i="2"/>
  <c r="E1204" i="2"/>
  <c r="E1203" i="2"/>
  <c r="E1134" i="2"/>
  <c r="E1133" i="2"/>
  <c r="E1132" i="2"/>
  <c r="E1610" i="2"/>
  <c r="E1609" i="2"/>
  <c r="E1444" i="2"/>
  <c r="E1407" i="2"/>
  <c r="E1403" i="2"/>
  <c r="E1314" i="2"/>
  <c r="E1248" i="2"/>
  <c r="E1247" i="2"/>
  <c r="E1246" i="2"/>
  <c r="E1237" i="2"/>
  <c r="E1232" i="2"/>
  <c r="E1224" i="2"/>
  <c r="E1223" i="2"/>
  <c r="E815" i="2"/>
  <c r="E558" i="2"/>
  <c r="E1414" i="2"/>
  <c r="E1311" i="2"/>
  <c r="E1242" i="2"/>
  <c r="E1220" i="2"/>
  <c r="E1219" i="2"/>
  <c r="E1218" i="2"/>
  <c r="E1131" i="2"/>
  <c r="E1113" i="2"/>
  <c r="E1442" i="2"/>
  <c r="E1310" i="2"/>
  <c r="E1309" i="2"/>
  <c r="E1306" i="2"/>
  <c r="E1240" i="2"/>
  <c r="E1239" i="2"/>
  <c r="E1199" i="2"/>
  <c r="E853" i="2"/>
  <c r="E852" i="2"/>
  <c r="E850" i="2"/>
  <c r="E1200" i="2"/>
  <c r="E1608" i="2"/>
  <c r="E1394" i="2"/>
  <c r="E1393" i="2"/>
  <c r="E1317" i="2"/>
  <c r="E1307" i="2"/>
  <c r="E1301" i="2"/>
  <c r="E1250" i="2"/>
  <c r="E1245" i="2"/>
  <c r="E1244" i="2"/>
  <c r="E1243" i="2"/>
  <c r="E1230" i="2"/>
  <c r="E1229" i="2"/>
  <c r="E1198" i="2"/>
  <c r="E1058" i="2"/>
  <c r="E1049" i="2"/>
  <c r="E696" i="2"/>
  <c r="E695" i="2"/>
  <c r="E687" i="2"/>
  <c r="E685" i="2"/>
  <c r="E684" i="2"/>
  <c r="E568" i="2"/>
  <c r="E1235" i="2"/>
  <c r="E1156" i="2"/>
  <c r="E1406" i="2"/>
  <c r="E1312" i="2"/>
  <c r="E1305" i="2"/>
  <c r="E1304" i="2"/>
  <c r="E1249" i="2"/>
  <c r="E1228" i="2"/>
  <c r="E1227" i="2"/>
  <c r="E1226" i="2"/>
  <c r="E1225" i="2"/>
  <c r="E865" i="2"/>
  <c r="E597" i="2"/>
  <c r="E596" i="2"/>
  <c r="E595" i="2"/>
  <c r="E594" i="2"/>
  <c r="E1397" i="2"/>
  <c r="E1396" i="2"/>
  <c r="E1395" i="2"/>
  <c r="E1391" i="2"/>
  <c r="E1313" i="2"/>
  <c r="E1303" i="2"/>
  <c r="E1302" i="2"/>
  <c r="E1233" i="2"/>
  <c r="E1231" i="2"/>
  <c r="E697" i="2"/>
  <c r="E1295" i="2"/>
  <c r="E1291" i="2"/>
  <c r="E1142" i="2"/>
  <c r="E1141" i="2"/>
  <c r="E1140" i="2"/>
  <c r="E1139" i="2"/>
  <c r="E1138" i="2"/>
  <c r="E430" i="2"/>
  <c r="E154" i="2"/>
  <c r="E1402" i="2"/>
  <c r="E1294" i="2"/>
  <c r="E1290" i="2"/>
  <c r="E1038" i="2"/>
  <c r="E1037" i="2"/>
  <c r="E1036" i="2"/>
  <c r="E1029" i="2"/>
  <c r="E1028" i="2"/>
  <c r="E1026" i="2"/>
  <c r="E1025" i="2"/>
  <c r="E1024" i="2"/>
  <c r="E1023" i="2"/>
  <c r="E399" i="2"/>
  <c r="E123" i="2"/>
  <c r="E1286" i="2"/>
  <c r="E1285" i="2"/>
  <c r="E473" i="2"/>
  <c r="E197" i="2"/>
  <c r="E1284" i="2"/>
  <c r="E1283" i="2"/>
  <c r="E1282" i="2"/>
  <c r="E472" i="2"/>
  <c r="E196" i="2"/>
  <c r="E1281" i="2"/>
  <c r="E1280" i="2"/>
  <c r="E1092" i="2"/>
  <c r="E607" i="2"/>
  <c r="E469" i="2"/>
  <c r="E193" i="2"/>
  <c r="E1279" i="2"/>
  <c r="E1278" i="2"/>
  <c r="E1277" i="2"/>
  <c r="E468" i="2"/>
  <c r="E192" i="2"/>
  <c r="E1275" i="2"/>
  <c r="E1274" i="2"/>
  <c r="E1273" i="2"/>
  <c r="E1271" i="2"/>
  <c r="E1270" i="2"/>
  <c r="E467" i="2"/>
  <c r="E191" i="2"/>
  <c r="E1269" i="2"/>
  <c r="E1268" i="2"/>
  <c r="E466" i="2"/>
  <c r="E190" i="2"/>
  <c r="E1266" i="2"/>
  <c r="E1265" i="2"/>
  <c r="E465" i="2"/>
  <c r="E189" i="2"/>
  <c r="E1263" i="2"/>
  <c r="E1262" i="2"/>
  <c r="E1181" i="2"/>
  <c r="E464" i="2"/>
  <c r="E188" i="2"/>
  <c r="E463" i="2"/>
  <c r="E187" i="2"/>
  <c r="E461" i="2"/>
  <c r="E185" i="2"/>
  <c r="E1261" i="2"/>
  <c r="E1260" i="2"/>
  <c r="E462" i="2"/>
  <c r="E186" i="2"/>
  <c r="E1254" i="2"/>
  <c r="E458" i="2"/>
  <c r="E182" i="2"/>
  <c r="E1253" i="2"/>
  <c r="E1252" i="2"/>
  <c r="E812" i="2"/>
  <c r="E459" i="2"/>
  <c r="E183" i="2"/>
  <c r="E1222" i="2"/>
  <c r="E1221" i="2"/>
  <c r="E435" i="2"/>
  <c r="E159" i="2"/>
  <c r="E480" i="2"/>
  <c r="E204" i="2"/>
  <c r="E1501" i="2"/>
  <c r="E1214" i="2"/>
  <c r="E1213" i="2"/>
  <c r="E1212" i="2"/>
  <c r="E1211" i="2"/>
  <c r="E997" i="2"/>
  <c r="E453" i="2"/>
  <c r="E177" i="2"/>
  <c r="E1215" i="2"/>
  <c r="E1208" i="2"/>
  <c r="E1207" i="2"/>
  <c r="E1206" i="2"/>
  <c r="E1161" i="2"/>
  <c r="E454" i="2"/>
  <c r="E178" i="2"/>
  <c r="E1510" i="2"/>
  <c r="E1623" i="2"/>
  <c r="E1622" i="2"/>
  <c r="E1488" i="2"/>
  <c r="E1484" i="2"/>
  <c r="E1469" i="2"/>
  <c r="E1443" i="2"/>
  <c r="E1296" i="2"/>
  <c r="E1210" i="2"/>
  <c r="E1202" i="2"/>
  <c r="E1088" i="2"/>
  <c r="E1087" i="2"/>
  <c r="E1086" i="2"/>
  <c r="E1085" i="2"/>
  <c r="E1084" i="2"/>
  <c r="E900" i="2"/>
  <c r="E877" i="2"/>
  <c r="E876" i="2"/>
  <c r="E875" i="2"/>
  <c r="E874" i="2"/>
  <c r="E550" i="2"/>
  <c r="E529" i="2"/>
  <c r="E276" i="2"/>
  <c r="E253" i="2"/>
  <c r="E1197" i="2"/>
  <c r="E1196" i="2"/>
  <c r="E1195" i="2"/>
  <c r="E1194" i="2"/>
  <c r="E1193" i="2"/>
  <c r="E1057" i="2"/>
  <c r="E1192" i="2"/>
  <c r="E452" i="2"/>
  <c r="E176" i="2"/>
  <c r="E1191" i="2"/>
  <c r="E1190" i="2"/>
  <c r="E451" i="2"/>
  <c r="E175" i="2"/>
  <c r="E1189" i="2"/>
  <c r="E1188" i="2"/>
  <c r="E450" i="2"/>
  <c r="E174" i="2"/>
  <c r="E1187" i="2"/>
  <c r="E1186" i="2"/>
  <c r="E449" i="2"/>
  <c r="E173" i="2"/>
  <c r="E1216" i="2"/>
  <c r="E1184" i="2"/>
  <c r="E1183" i="2"/>
  <c r="E448" i="2"/>
  <c r="E172" i="2"/>
  <c r="E1185" i="2"/>
  <c r="E1180" i="2"/>
  <c r="E1179" i="2"/>
  <c r="E446" i="2"/>
  <c r="E170" i="2"/>
  <c r="E442" i="2"/>
  <c r="E166" i="2"/>
  <c r="E1490" i="2"/>
  <c r="E1178" i="2"/>
  <c r="E1177" i="2"/>
  <c r="E1176" i="2"/>
  <c r="E1175" i="2"/>
  <c r="E1174" i="2"/>
  <c r="E1173" i="2"/>
  <c r="E1169" i="2"/>
  <c r="E1168" i="2"/>
  <c r="E1167" i="2"/>
  <c r="E439" i="2"/>
  <c r="E163" i="2"/>
  <c r="E1166" i="2"/>
  <c r="E1165" i="2"/>
  <c r="E438" i="2"/>
  <c r="E162" i="2"/>
  <c r="E1164" i="2"/>
  <c r="E437" i="2"/>
  <c r="E161" i="2"/>
  <c r="E1163" i="2"/>
  <c r="E1162" i="2"/>
  <c r="E436" i="2"/>
  <c r="E160" i="2"/>
  <c r="E1160" i="2"/>
  <c r="E1159" i="2"/>
  <c r="E1158" i="2"/>
  <c r="E1157" i="2"/>
  <c r="E308" i="2"/>
  <c r="E32" i="2"/>
  <c r="E1579" i="2"/>
  <c r="E1289" i="2"/>
  <c r="E1155" i="2"/>
  <c r="E919" i="2"/>
  <c r="E1153" i="2"/>
  <c r="E1152" i="2"/>
  <c r="E434" i="2"/>
  <c r="E158" i="2"/>
  <c r="E1151" i="2"/>
  <c r="E1150" i="2"/>
  <c r="E433" i="2"/>
  <c r="E157" i="2"/>
  <c r="E1149" i="2"/>
  <c r="E432" i="2"/>
  <c r="E156" i="2"/>
  <c r="E1148" i="2"/>
  <c r="E1147" i="2"/>
  <c r="E1146" i="2"/>
  <c r="E551" i="2"/>
  <c r="E431" i="2"/>
  <c r="E277" i="2"/>
  <c r="E155" i="2"/>
  <c r="E1145" i="2"/>
  <c r="E1144" i="2"/>
  <c r="E429" i="2"/>
  <c r="E153" i="2"/>
  <c r="E1143" i="2"/>
  <c r="E1509" i="2"/>
  <c r="E1508" i="2"/>
  <c r="E1130" i="2"/>
  <c r="E1129" i="2"/>
  <c r="E1128" i="2"/>
  <c r="E1127" i="2"/>
  <c r="E1126" i="2"/>
  <c r="E899" i="2"/>
  <c r="E869" i="2"/>
  <c r="E456" i="2"/>
  <c r="E455" i="2"/>
  <c r="E180" i="2"/>
  <c r="E179" i="2"/>
  <c r="E1121" i="2"/>
  <c r="E1120" i="2"/>
  <c r="E428" i="2"/>
  <c r="E152" i="2"/>
  <c r="E1110" i="2"/>
  <c r="E1109" i="2"/>
  <c r="E327" i="2"/>
  <c r="E326" i="2"/>
  <c r="E51" i="2"/>
  <c r="E50" i="2"/>
  <c r="E1108" i="2"/>
  <c r="E1107" i="2"/>
  <c r="E427" i="2"/>
  <c r="E151" i="2"/>
  <c r="E1137" i="2"/>
  <c r="E1118" i="2"/>
  <c r="E1106" i="2"/>
  <c r="E426" i="2"/>
  <c r="E150" i="2"/>
  <c r="E1105" i="2"/>
  <c r="E425" i="2"/>
  <c r="E424" i="2"/>
  <c r="E149" i="2"/>
  <c r="E148" i="2"/>
  <c r="E1104" i="2"/>
  <c r="E1103" i="2"/>
  <c r="E1102" i="2"/>
  <c r="E1101" i="2"/>
  <c r="E457" i="2"/>
  <c r="E181" i="2"/>
  <c r="E1100" i="2"/>
  <c r="E1099" i="2"/>
  <c r="E423" i="2"/>
  <c r="E147" i="2"/>
  <c r="E1136" i="2"/>
  <c r="E1117" i="2"/>
  <c r="E1098" i="2"/>
  <c r="E422" i="2"/>
  <c r="E146" i="2"/>
  <c r="E1097" i="2"/>
  <c r="E421" i="2"/>
  <c r="E145" i="2"/>
  <c r="E417" i="2"/>
  <c r="E141" i="2"/>
  <c r="E420" i="2"/>
  <c r="E144" i="2"/>
  <c r="E419" i="2"/>
  <c r="E143" i="2"/>
  <c r="E1096" i="2"/>
  <c r="E1095" i="2"/>
  <c r="E418" i="2"/>
  <c r="E142" i="2"/>
  <c r="E1094" i="2"/>
  <c r="E415" i="2"/>
  <c r="E139" i="2"/>
  <c r="E1093" i="2"/>
  <c r="E1091" i="2"/>
  <c r="E1090" i="2"/>
  <c r="E618" i="2"/>
  <c r="E414" i="2"/>
  <c r="E138" i="2"/>
  <c r="E1077" i="2"/>
  <c r="E1076" i="2"/>
  <c r="E412" i="2"/>
  <c r="E136" i="2"/>
  <c r="E1075" i="2"/>
  <c r="E1074" i="2"/>
  <c r="E1073" i="2"/>
  <c r="E1072" i="2"/>
  <c r="E411" i="2"/>
  <c r="E135" i="2"/>
  <c r="E1069" i="2"/>
  <c r="E1068" i="2"/>
  <c r="E410" i="2"/>
  <c r="E134" i="2"/>
  <c r="E1078" i="2"/>
  <c r="E1067" i="2"/>
  <c r="E1066" i="2"/>
  <c r="E1065" i="2"/>
  <c r="E409" i="2"/>
  <c r="E133" i="2"/>
  <c r="E1064" i="2"/>
  <c r="E408" i="2"/>
  <c r="E132" i="2"/>
  <c r="E1063" i="2"/>
  <c r="E406" i="2"/>
  <c r="E130" i="2"/>
  <c r="E405" i="2"/>
  <c r="E129" i="2"/>
  <c r="E1062" i="2"/>
  <c r="E1061" i="2"/>
  <c r="E404" i="2"/>
  <c r="E128" i="2"/>
  <c r="E1060" i="2"/>
  <c r="E1059" i="2"/>
  <c r="E407" i="2"/>
  <c r="E131" i="2"/>
  <c r="E1056" i="2"/>
  <c r="E1055" i="2"/>
  <c r="E1054" i="2"/>
  <c r="E1053" i="2"/>
  <c r="E1052" i="2"/>
  <c r="E1051" i="2"/>
  <c r="E1050" i="2"/>
  <c r="E403" i="2"/>
  <c r="E127" i="2"/>
  <c r="E1048" i="2"/>
  <c r="E1047" i="2"/>
  <c r="E1046" i="2"/>
  <c r="E402" i="2"/>
  <c r="E126" i="2"/>
  <c r="E1045" i="2"/>
  <c r="E1044" i="2"/>
  <c r="E401" i="2"/>
  <c r="E125" i="2"/>
  <c r="E1043" i="2"/>
  <c r="E1042" i="2"/>
  <c r="E1041" i="2"/>
  <c r="E1040" i="2"/>
  <c r="E400" i="2"/>
  <c r="E124" i="2"/>
  <c r="E1272" i="2"/>
  <c r="E1071" i="2"/>
  <c r="E1070" i="2"/>
  <c r="E1022" i="2"/>
  <c r="E369" i="2"/>
  <c r="E93" i="2"/>
  <c r="E1019" i="2"/>
  <c r="E1018" i="2"/>
  <c r="E397" i="2"/>
  <c r="E121" i="2"/>
  <c r="E1017" i="2"/>
  <c r="E1016" i="2"/>
  <c r="E1015" i="2"/>
  <c r="E395" i="2"/>
  <c r="E119" i="2"/>
  <c r="E1012" i="2"/>
  <c r="E1011" i="2"/>
  <c r="E396" i="2"/>
  <c r="E120" i="2"/>
  <c r="E1009" i="2"/>
  <c r="E1008" i="2"/>
  <c r="E1007" i="2"/>
  <c r="E534" i="2"/>
  <c r="E258" i="2"/>
  <c r="E394" i="2"/>
  <c r="E118" i="2"/>
  <c r="E1004" i="2"/>
  <c r="E1003" i="2"/>
  <c r="E1002" i="2"/>
  <c r="E1001" i="2"/>
  <c r="E1000" i="2"/>
  <c r="E999" i="2"/>
  <c r="E998" i="2"/>
  <c r="E393" i="2"/>
  <c r="E117" i="2"/>
  <c r="E996" i="2"/>
  <c r="E995" i="2"/>
  <c r="E392" i="2"/>
  <c r="E116" i="2"/>
  <c r="E1580" i="2"/>
  <c r="E993" i="2"/>
  <c r="E992" i="2"/>
  <c r="E991" i="2"/>
  <c r="E990" i="2"/>
  <c r="E989" i="2"/>
  <c r="E988" i="2"/>
  <c r="E390" i="2"/>
  <c r="E114" i="2"/>
  <c r="E987" i="2"/>
  <c r="E986" i="2"/>
  <c r="E985" i="2"/>
  <c r="E906" i="2"/>
  <c r="E389" i="2"/>
  <c r="E113" i="2"/>
  <c r="E984" i="2"/>
  <c r="E535" i="2"/>
  <c r="E259" i="2"/>
  <c r="E1205" i="2"/>
  <c r="E981" i="2"/>
  <c r="E980" i="2"/>
  <c r="E388" i="2"/>
  <c r="E112" i="2"/>
  <c r="E979" i="2"/>
  <c r="E978" i="2"/>
  <c r="E387" i="2"/>
  <c r="E111" i="2"/>
  <c r="E982" i="2"/>
  <c r="E977" i="2"/>
  <c r="E976" i="2"/>
  <c r="E975" i="2"/>
  <c r="E974" i="2"/>
  <c r="E973" i="2"/>
  <c r="E972" i="2"/>
  <c r="E971" i="2"/>
  <c r="E386" i="2"/>
  <c r="E110" i="2"/>
  <c r="E970" i="2"/>
  <c r="E968" i="2"/>
  <c r="E969" i="2"/>
  <c r="E967" i="2"/>
  <c r="E966" i="2"/>
  <c r="E965" i="2"/>
  <c r="E964" i="2"/>
  <c r="E385" i="2"/>
  <c r="E109" i="2"/>
  <c r="E963" i="2"/>
  <c r="E962" i="2"/>
  <c r="E571" i="2"/>
  <c r="E384" i="2"/>
  <c r="E108" i="2"/>
  <c r="E961" i="2"/>
  <c r="E960" i="2"/>
  <c r="E983" i="2"/>
  <c r="E959" i="2"/>
  <c r="E958" i="2"/>
  <c r="E383" i="2"/>
  <c r="E107" i="2"/>
  <c r="E957" i="2"/>
  <c r="E956" i="2"/>
  <c r="E382" i="2"/>
  <c r="E106" i="2"/>
  <c r="E947" i="2"/>
  <c r="E946" i="2"/>
  <c r="E380" i="2"/>
  <c r="E104" i="2"/>
  <c r="E945" i="2"/>
  <c r="E944" i="2"/>
  <c r="E943" i="2"/>
  <c r="E942" i="2"/>
  <c r="E941" i="2"/>
  <c r="E940" i="2"/>
  <c r="E938" i="2"/>
  <c r="E937" i="2"/>
  <c r="E379" i="2"/>
  <c r="E103" i="2"/>
  <c r="E936" i="2"/>
  <c r="E935" i="2"/>
  <c r="E378" i="2"/>
  <c r="E102" i="2"/>
  <c r="E934" i="2"/>
  <c r="E933" i="2"/>
  <c r="E470" i="2"/>
  <c r="E194" i="2"/>
  <c r="E932" i="2"/>
  <c r="E377" i="2"/>
  <c r="E101" i="2"/>
  <c r="E931" i="2"/>
  <c r="E930" i="2"/>
  <c r="E533" i="2"/>
  <c r="E257" i="2"/>
  <c r="E929" i="2"/>
  <c r="E928" i="2"/>
  <c r="E376" i="2"/>
  <c r="E100" i="2"/>
  <c r="E927" i="2"/>
  <c r="E375" i="2"/>
  <c r="E99" i="2"/>
  <c r="E926" i="2"/>
  <c r="E374" i="2"/>
  <c r="E373" i="2"/>
  <c r="E98" i="2"/>
  <c r="E97" i="2"/>
  <c r="E925" i="2"/>
  <c r="E372" i="2"/>
  <c r="E96" i="2"/>
  <c r="E1125" i="2"/>
  <c r="E1116" i="2"/>
  <c r="E924" i="2"/>
  <c r="E371" i="2"/>
  <c r="E95" i="2"/>
  <c r="E923" i="2"/>
  <c r="E922" i="2"/>
  <c r="E370" i="2"/>
  <c r="E94" i="2"/>
  <c r="E918" i="2"/>
  <c r="E917" i="2"/>
  <c r="E368" i="2"/>
  <c r="E92" i="2"/>
  <c r="E916" i="2"/>
  <c r="E915" i="2"/>
  <c r="E367" i="2"/>
  <c r="E91" i="2"/>
  <c r="E914" i="2"/>
  <c r="E913" i="2"/>
  <c r="E912" i="2"/>
  <c r="E911" i="2"/>
  <c r="E910" i="2"/>
  <c r="E909" i="2"/>
  <c r="E366" i="2"/>
  <c r="E365" i="2"/>
  <c r="E364" i="2"/>
  <c r="E90" i="2"/>
  <c r="E89" i="2"/>
  <c r="E88" i="2"/>
  <c r="E908" i="2"/>
  <c r="E907" i="2"/>
  <c r="E361" i="2"/>
  <c r="E85" i="2"/>
  <c r="E1489" i="2"/>
  <c r="E905" i="2"/>
  <c r="E904" i="2"/>
  <c r="E362" i="2"/>
  <c r="E86" i="2"/>
  <c r="E902" i="2"/>
  <c r="E901" i="2"/>
  <c r="E359" i="2"/>
  <c r="E83" i="2"/>
  <c r="E1124" i="2"/>
  <c r="E1123" i="2"/>
  <c r="E1122" i="2"/>
  <c r="E360" i="2"/>
  <c r="E84" i="2"/>
  <c r="E898" i="2"/>
  <c r="E881" i="2"/>
  <c r="E880" i="2"/>
  <c r="E894" i="2"/>
  <c r="E879" i="2"/>
  <c r="E355" i="2"/>
  <c r="E79" i="2"/>
  <c r="E358" i="2"/>
  <c r="E82" i="2"/>
  <c r="E893" i="2"/>
  <c r="E892" i="2"/>
  <c r="E878" i="2"/>
  <c r="E354" i="2"/>
  <c r="E78" i="2"/>
  <c r="E357" i="2"/>
  <c r="E81" i="2"/>
  <c r="E891" i="2"/>
  <c r="E1020" i="2"/>
  <c r="E921" i="2"/>
  <c r="E920" i="2"/>
  <c r="E890" i="2"/>
  <c r="E889" i="2"/>
  <c r="E888" i="2"/>
  <c r="E887" i="2"/>
  <c r="E886" i="2"/>
  <c r="E885" i="2"/>
  <c r="E884" i="2"/>
  <c r="E883" i="2"/>
  <c r="E882" i="2"/>
  <c r="E773" i="2"/>
  <c r="E729" i="2"/>
  <c r="E570" i="2"/>
  <c r="E352" i="2"/>
  <c r="E76" i="2"/>
  <c r="E872" i="2"/>
  <c r="E871" i="2"/>
  <c r="E351" i="2"/>
  <c r="E75" i="2"/>
  <c r="E870" i="2"/>
  <c r="E350" i="2"/>
  <c r="E74" i="2"/>
  <c r="E416" i="2"/>
  <c r="E140" i="2"/>
  <c r="E868" i="2"/>
  <c r="E867" i="2"/>
  <c r="E866" i="2"/>
  <c r="E858" i="2"/>
  <c r="E857" i="2"/>
  <c r="E348" i="2"/>
  <c r="E72" i="2"/>
  <c r="E864" i="2"/>
  <c r="E863" i="2"/>
  <c r="E862" i="2"/>
  <c r="E861" i="2"/>
  <c r="E860" i="2"/>
  <c r="E859" i="2"/>
  <c r="E349" i="2"/>
  <c r="E73" i="2"/>
  <c r="E856" i="2"/>
  <c r="E847" i="2"/>
  <c r="E844" i="2"/>
  <c r="E1506" i="2"/>
  <c r="E1234" i="2"/>
  <c r="E855" i="2"/>
  <c r="E854" i="2"/>
  <c r="E851" i="2"/>
  <c r="E846" i="2"/>
  <c r="E845" i="2"/>
  <c r="E843" i="2"/>
  <c r="E1507" i="2"/>
  <c r="E1503" i="2"/>
  <c r="E849" i="2"/>
  <c r="E848" i="2"/>
  <c r="E842" i="2"/>
  <c r="E841" i="2"/>
  <c r="E840" i="2"/>
  <c r="E839" i="2"/>
  <c r="E345" i="2"/>
  <c r="E344" i="2"/>
  <c r="E69" i="2"/>
  <c r="E68" i="2"/>
  <c r="E1457" i="2"/>
  <c r="E1021" i="2"/>
  <c r="E838" i="2"/>
  <c r="E837" i="2"/>
  <c r="E836" i="2"/>
  <c r="E512" i="2"/>
  <c r="E236" i="2"/>
  <c r="E835" i="2"/>
  <c r="E834" i="2"/>
  <c r="E347" i="2"/>
  <c r="E71" i="2"/>
  <c r="E833" i="2"/>
  <c r="E832" i="2"/>
  <c r="E831" i="2"/>
  <c r="E346" i="2"/>
  <c r="E70" i="2"/>
  <c r="E830" i="2"/>
  <c r="E829" i="2"/>
  <c r="E828" i="2"/>
  <c r="E343" i="2"/>
  <c r="E67" i="2"/>
  <c r="E825" i="2"/>
  <c r="E824" i="2"/>
  <c r="E823" i="2"/>
  <c r="E822" i="2"/>
  <c r="E342" i="2"/>
  <c r="E66" i="2"/>
  <c r="E821" i="2"/>
  <c r="E820" i="2"/>
  <c r="E819" i="2"/>
  <c r="E818" i="2"/>
  <c r="E531" i="2"/>
  <c r="E255" i="2"/>
  <c r="E903" i="2"/>
  <c r="E817" i="2"/>
  <c r="E816" i="2"/>
  <c r="E341" i="2"/>
  <c r="E65" i="2"/>
  <c r="E1505" i="2"/>
  <c r="E460" i="2"/>
  <c r="E184" i="2"/>
  <c r="E808" i="2"/>
  <c r="E807" i="2"/>
  <c r="E806" i="2"/>
  <c r="E805" i="2"/>
  <c r="E804" i="2"/>
  <c r="E340" i="2"/>
  <c r="E64" i="2"/>
  <c r="E803" i="2"/>
  <c r="E339" i="2"/>
  <c r="E63" i="2"/>
  <c r="E802" i="2"/>
  <c r="E356" i="2"/>
  <c r="E80" i="2"/>
  <c r="E800" i="2"/>
  <c r="E799" i="2"/>
  <c r="E798" i="2"/>
  <c r="E797" i="2"/>
  <c r="E338" i="2"/>
  <c r="E62" i="2"/>
  <c r="E1624" i="2"/>
  <c r="E1293" i="2"/>
  <c r="E810" i="2"/>
  <c r="E809" i="2"/>
  <c r="E796" i="2"/>
  <c r="E795" i="2"/>
  <c r="E794" i="2"/>
  <c r="E792" i="2"/>
  <c r="E756" i="2"/>
  <c r="E755" i="2"/>
  <c r="E751" i="2"/>
  <c r="E750" i="2"/>
  <c r="E749" i="2"/>
  <c r="E747" i="2"/>
  <c r="E746" i="2"/>
  <c r="E744" i="2"/>
  <c r="E743" i="2"/>
  <c r="E742" i="2"/>
  <c r="E741" i="2"/>
  <c r="E329" i="2"/>
  <c r="E53" i="2"/>
  <c r="E1201" i="2"/>
  <c r="E1039" i="2"/>
  <c r="E1035" i="2"/>
  <c r="E1034" i="2"/>
  <c r="E1033" i="2"/>
  <c r="E1032" i="2"/>
  <c r="E1031" i="2"/>
  <c r="E1030" i="2"/>
  <c r="E1027" i="2"/>
  <c r="E793" i="2"/>
  <c r="E791" i="2"/>
  <c r="E790" i="2"/>
  <c r="E788" i="2"/>
  <c r="E398" i="2"/>
  <c r="E122" i="2"/>
  <c r="E787" i="2"/>
  <c r="E786" i="2"/>
  <c r="E785" i="2"/>
  <c r="E784" i="2"/>
  <c r="E783" i="2"/>
  <c r="E336" i="2"/>
  <c r="E335" i="2"/>
  <c r="E60" i="2"/>
  <c r="E59" i="2"/>
  <c r="E782" i="2"/>
  <c r="E781" i="2"/>
  <c r="E334" i="2"/>
  <c r="E58" i="2"/>
  <c r="E1172" i="2"/>
  <c r="E1171" i="2"/>
  <c r="E1170" i="2"/>
  <c r="E811" i="2"/>
  <c r="E780" i="2"/>
  <c r="E779" i="2"/>
  <c r="E778" i="2"/>
  <c r="E777" i="2"/>
  <c r="E776" i="2"/>
  <c r="E686" i="2"/>
  <c r="E579" i="2"/>
  <c r="E441" i="2"/>
  <c r="E440" i="2"/>
  <c r="E165" i="2"/>
  <c r="E164" i="2"/>
  <c r="E775" i="2"/>
  <c r="E774" i="2"/>
  <c r="E333" i="2"/>
  <c r="E57" i="2"/>
  <c r="E772" i="2"/>
  <c r="E771" i="2"/>
  <c r="E332" i="2"/>
  <c r="E56" i="2"/>
  <c r="E994" i="2"/>
  <c r="E770" i="2"/>
  <c r="E769" i="2"/>
  <c r="E768" i="2"/>
  <c r="E767" i="2"/>
  <c r="E766" i="2"/>
  <c r="E765" i="2"/>
  <c r="E673" i="2"/>
  <c r="E672" i="2"/>
  <c r="E391" i="2"/>
  <c r="E115" i="2"/>
  <c r="E764" i="2"/>
  <c r="E763" i="2"/>
  <c r="E331" i="2"/>
  <c r="E55" i="2"/>
  <c r="E762" i="2"/>
  <c r="E761" i="2"/>
  <c r="E760" i="2"/>
  <c r="E759" i="2"/>
  <c r="E758" i="2"/>
  <c r="E330" i="2"/>
  <c r="E54" i="2"/>
  <c r="E1298" i="2"/>
  <c r="E1292" i="2"/>
  <c r="E757" i="2"/>
  <c r="E754" i="2"/>
  <c r="E753" i="2"/>
  <c r="E752" i="2"/>
  <c r="E748" i="2"/>
  <c r="E745" i="2"/>
  <c r="E740" i="2"/>
  <c r="E739" i="2"/>
  <c r="E738" i="2"/>
  <c r="E328" i="2"/>
  <c r="E52" i="2"/>
  <c r="E737" i="2"/>
  <c r="E325" i="2"/>
  <c r="E49" i="2"/>
  <c r="E324" i="2"/>
  <c r="E48" i="2"/>
  <c r="E736" i="2"/>
  <c r="E735" i="2"/>
  <c r="E323" i="2"/>
  <c r="E47" i="2"/>
  <c r="E734" i="2"/>
  <c r="E733" i="2"/>
  <c r="E732" i="2"/>
  <c r="E731" i="2"/>
  <c r="E730" i="2"/>
  <c r="E322" i="2"/>
  <c r="E46" i="2"/>
  <c r="E728" i="2"/>
  <c r="E727" i="2"/>
  <c r="E726" i="2"/>
  <c r="E725" i="2"/>
  <c r="E724" i="2"/>
  <c r="E1476" i="2"/>
  <c r="E1475" i="2"/>
  <c r="E1474" i="2"/>
  <c r="E1473" i="2"/>
  <c r="E1472" i="2"/>
  <c r="E1471" i="2"/>
  <c r="E1264" i="2"/>
  <c r="E723" i="2"/>
  <c r="E722" i="2"/>
  <c r="E721" i="2"/>
  <c r="E720" i="2"/>
  <c r="E321" i="2"/>
  <c r="E45" i="2"/>
  <c r="E1083" i="2"/>
  <c r="E1082" i="2"/>
  <c r="E1081" i="2"/>
  <c r="E1080" i="2"/>
  <c r="E1079" i="2"/>
  <c r="E718" i="2"/>
  <c r="E717" i="2"/>
  <c r="E714" i="2"/>
  <c r="E713" i="2"/>
  <c r="E712" i="2"/>
  <c r="E705" i="2"/>
  <c r="E413" i="2"/>
  <c r="E137" i="2"/>
  <c r="E954" i="2"/>
  <c r="E953" i="2"/>
  <c r="E952" i="2"/>
  <c r="E951" i="2"/>
  <c r="E950" i="2"/>
  <c r="E949" i="2"/>
  <c r="E948" i="2"/>
  <c r="E716" i="2"/>
  <c r="E715" i="2"/>
  <c r="E711" i="2"/>
  <c r="E710" i="2"/>
  <c r="E709" i="2"/>
  <c r="E704" i="2"/>
  <c r="E381" i="2"/>
  <c r="E105" i="2"/>
  <c r="E1267" i="2"/>
  <c r="E719" i="2"/>
  <c r="E708" i="2"/>
  <c r="E707" i="2"/>
  <c r="E706" i="2"/>
  <c r="E703" i="2"/>
  <c r="E702" i="2"/>
  <c r="E320" i="2"/>
  <c r="E44" i="2"/>
  <c r="E814" i="2"/>
  <c r="E701" i="2"/>
  <c r="E700" i="2"/>
  <c r="E319" i="2"/>
  <c r="E43" i="2"/>
  <c r="E699" i="2"/>
  <c r="E1115" i="2"/>
  <c r="E1112" i="2"/>
  <c r="E698" i="2"/>
  <c r="E318" i="2"/>
  <c r="E42" i="2"/>
  <c r="E1511" i="2"/>
  <c r="E1502" i="2"/>
  <c r="E694" i="2"/>
  <c r="E693" i="2"/>
  <c r="E692" i="2"/>
  <c r="E316" i="2"/>
  <c r="E40" i="2"/>
  <c r="E691" i="2"/>
  <c r="E690" i="2"/>
  <c r="E689" i="2"/>
  <c r="E688" i="2"/>
  <c r="E315" i="2"/>
  <c r="E39" i="2"/>
  <c r="E681" i="2"/>
  <c r="E680" i="2"/>
  <c r="E313" i="2"/>
  <c r="E37" i="2"/>
  <c r="E679" i="2"/>
  <c r="E678" i="2"/>
  <c r="E312" i="2"/>
  <c r="E36" i="2"/>
  <c r="E677" i="2"/>
  <c r="E676" i="2"/>
  <c r="E311" i="2"/>
  <c r="E35" i="2"/>
  <c r="E683" i="2"/>
  <c r="E675" i="2"/>
  <c r="E674" i="2"/>
  <c r="E314" i="2"/>
  <c r="E38" i="2"/>
  <c r="E671" i="2"/>
  <c r="E309" i="2"/>
  <c r="E33" i="2"/>
  <c r="E1114" i="2"/>
  <c r="E1111" i="2"/>
  <c r="E670" i="2"/>
  <c r="E541" i="2"/>
  <c r="E265" i="2"/>
  <c r="E669" i="2"/>
  <c r="E668" i="2"/>
  <c r="E667" i="2"/>
  <c r="E307" i="2"/>
  <c r="E31" i="2"/>
  <c r="E666" i="2"/>
  <c r="E665" i="2"/>
  <c r="E664" i="2"/>
  <c r="E663" i="2"/>
  <c r="E306" i="2"/>
  <c r="E30" i="2"/>
  <c r="E1596" i="2"/>
  <c r="E1594" i="2"/>
  <c r="E1592" i="2"/>
  <c r="E662" i="2"/>
  <c r="E661" i="2"/>
  <c r="E657" i="2"/>
  <c r="E655" i="2"/>
  <c r="E305" i="2"/>
  <c r="E29" i="2"/>
  <c r="E660" i="2"/>
  <c r="E656" i="2"/>
  <c r="E654" i="2"/>
  <c r="E1515" i="2"/>
  <c r="E659" i="2"/>
  <c r="E658" i="2"/>
  <c r="E301" i="2"/>
  <c r="E25" i="2"/>
  <c r="E653" i="2"/>
  <c r="E652" i="2"/>
  <c r="E651" i="2"/>
  <c r="E650" i="2"/>
  <c r="E300" i="2"/>
  <c r="E24" i="2"/>
  <c r="E649" i="2"/>
  <c r="E648" i="2"/>
  <c r="E647" i="2"/>
  <c r="E646" i="2"/>
  <c r="E645" i="2"/>
  <c r="E644" i="2"/>
  <c r="E643" i="2"/>
  <c r="E299" i="2"/>
  <c r="E23" i="2"/>
  <c r="E642" i="2"/>
  <c r="E641" i="2"/>
  <c r="E640" i="2"/>
  <c r="E639" i="2"/>
  <c r="E632" i="2"/>
  <c r="E445" i="2"/>
  <c r="E169" i="2"/>
  <c r="E1276" i="2"/>
  <c r="E638" i="2"/>
  <c r="E637" i="2"/>
  <c r="E636" i="2"/>
  <c r="E298" i="2"/>
  <c r="E22" i="2"/>
  <c r="E633" i="2"/>
  <c r="E297" i="2"/>
  <c r="E21" i="2"/>
  <c r="E631" i="2"/>
  <c r="E296" i="2"/>
  <c r="E20" i="2"/>
  <c r="E789" i="2"/>
  <c r="E630" i="2"/>
  <c r="E629" i="2"/>
  <c r="E337" i="2"/>
  <c r="E61" i="2"/>
  <c r="E628" i="2"/>
  <c r="E303" i="2"/>
  <c r="E27" i="2"/>
  <c r="E627" i="2"/>
  <c r="E626" i="2"/>
  <c r="E625" i="2"/>
  <c r="E624" i="2"/>
  <c r="E623" i="2"/>
  <c r="E622" i="2"/>
  <c r="E621" i="2"/>
  <c r="E295" i="2"/>
  <c r="E19" i="2"/>
  <c r="E620" i="2"/>
  <c r="E619" i="2"/>
  <c r="E310" i="2"/>
  <c r="E34" i="2"/>
  <c r="E617" i="2"/>
  <c r="E616" i="2"/>
  <c r="E294" i="2"/>
  <c r="E18" i="2"/>
  <c r="E615" i="2"/>
  <c r="E614" i="2"/>
  <c r="E292" i="2"/>
  <c r="E16" i="2"/>
  <c r="E612" i="2"/>
  <c r="E611" i="2"/>
  <c r="E610" i="2"/>
  <c r="E291" i="2"/>
  <c r="E15" i="2"/>
  <c r="E1487" i="2"/>
  <c r="E609" i="2"/>
  <c r="E608" i="2"/>
  <c r="E290" i="2"/>
  <c r="E14" i="2"/>
  <c r="E606" i="2"/>
  <c r="E605" i="2"/>
  <c r="E286" i="2"/>
  <c r="E10" i="2"/>
  <c r="E604" i="2"/>
  <c r="E603" i="2"/>
  <c r="E289" i="2"/>
  <c r="E13" i="2"/>
  <c r="E1089" i="2"/>
  <c r="E602" i="2"/>
  <c r="E601" i="2"/>
  <c r="E600" i="2"/>
  <c r="E599" i="2"/>
  <c r="E288" i="2"/>
  <c r="E12" i="2"/>
  <c r="E1500" i="2"/>
  <c r="E591" i="2"/>
  <c r="E590" i="2"/>
  <c r="E443" i="2"/>
  <c r="E167" i="2"/>
  <c r="E589" i="2"/>
  <c r="E588" i="2"/>
  <c r="E587" i="2"/>
  <c r="E293" i="2"/>
  <c r="E17" i="2"/>
  <c r="E586" i="2"/>
  <c r="E585" i="2"/>
  <c r="E287" i="2"/>
  <c r="E11" i="2"/>
  <c r="E583" i="2"/>
  <c r="E582" i="2"/>
  <c r="E581" i="2"/>
  <c r="E285" i="2"/>
  <c r="E9" i="2"/>
  <c r="E897" i="2"/>
  <c r="E896" i="2"/>
  <c r="E895" i="2"/>
  <c r="E598" i="2"/>
  <c r="E580" i="2"/>
  <c r="E302" i="2"/>
  <c r="E26" i="2"/>
  <c r="E578" i="2"/>
  <c r="E485" i="2"/>
  <c r="E209" i="2"/>
  <c r="E577" i="2"/>
  <c r="E576" i="2"/>
  <c r="E284" i="2"/>
  <c r="E8" i="2"/>
  <c r="E575" i="2"/>
  <c r="E574" i="2"/>
  <c r="E573" i="2"/>
  <c r="E572" i="2"/>
  <c r="E283" i="2"/>
  <c r="E7" i="2"/>
  <c r="E569" i="2"/>
  <c r="E567" i="2"/>
  <c r="E282" i="2"/>
  <c r="E6" i="2"/>
  <c r="E566" i="2"/>
  <c r="E565" i="2"/>
  <c r="E281" i="2"/>
  <c r="E5" i="2"/>
  <c r="E564" i="2"/>
  <c r="E563" i="2"/>
  <c r="E280" i="2"/>
  <c r="E4" i="2"/>
  <c r="E561" i="2"/>
  <c r="E560" i="2"/>
  <c r="E559" i="2"/>
  <c r="E1499" i="2"/>
  <c r="E557" i="2"/>
  <c r="E556" i="2"/>
  <c r="E555" i="2"/>
  <c r="E554" i="2"/>
  <c r="E279" i="2"/>
  <c r="E3" i="2"/>
  <c r="E584" i="2"/>
  <c r="E353" i="2"/>
  <c r="D271" i="2"/>
  <c r="D545" i="2"/>
  <c r="D538" i="2"/>
  <c r="D537" i="2"/>
  <c r="D509" i="2"/>
  <c r="D504" i="2"/>
  <c r="D502" i="2"/>
  <c r="D483" i="2"/>
  <c r="D480" i="2"/>
  <c r="D478" i="2"/>
  <c r="D463" i="2"/>
  <c r="D461" i="2"/>
  <c r="D460" i="2"/>
  <c r="D442" i="2"/>
  <c r="D420" i="2"/>
  <c r="D419" i="2"/>
  <c r="D417" i="2"/>
  <c r="D416" i="2"/>
  <c r="D405" i="2"/>
  <c r="D394" i="2"/>
  <c r="D360" i="2"/>
  <c r="D358" i="2"/>
  <c r="D357" i="2"/>
  <c r="D324" i="2"/>
  <c r="D322" i="2"/>
  <c r="D269" i="2"/>
  <c r="D270" i="2"/>
  <c r="D261" i="2"/>
  <c r="D262" i="2"/>
  <c r="D233" i="2"/>
  <c r="D228" i="2"/>
  <c r="D226" i="2"/>
  <c r="D207" i="2"/>
  <c r="D204" i="2"/>
  <c r="D202" i="2"/>
  <c r="D187" i="2"/>
  <c r="D184" i="2"/>
  <c r="D185" i="2"/>
  <c r="D166" i="2"/>
  <c r="D143" i="2"/>
  <c r="D144" i="2"/>
  <c r="D140" i="2"/>
  <c r="D141" i="2"/>
  <c r="D129" i="2"/>
  <c r="D118" i="2"/>
  <c r="D84" i="2"/>
  <c r="D81" i="2"/>
  <c r="D82" i="2"/>
  <c r="D48" i="2"/>
  <c r="D46" i="2"/>
  <c r="D278" i="2"/>
  <c r="D277" i="2"/>
  <c r="D276" i="2"/>
  <c r="D275" i="2"/>
  <c r="D274" i="2"/>
  <c r="D273" i="2"/>
  <c r="D272" i="2"/>
  <c r="D268" i="2"/>
  <c r="D267" i="2"/>
  <c r="D266" i="2"/>
  <c r="D265" i="2"/>
  <c r="D264" i="2"/>
  <c r="D263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2" i="2"/>
  <c r="D231" i="2"/>
  <c r="D230" i="2"/>
  <c r="D229" i="2"/>
  <c r="D227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6" i="2"/>
  <c r="D205" i="2"/>
  <c r="D203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6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2" i="2"/>
  <c r="D139" i="2"/>
  <c r="D138" i="2"/>
  <c r="D137" i="2"/>
  <c r="D136" i="2"/>
  <c r="D135" i="2"/>
  <c r="D134" i="2"/>
  <c r="D133" i="2"/>
  <c r="D132" i="2"/>
  <c r="D131" i="2"/>
  <c r="D130" i="2"/>
  <c r="D128" i="2"/>
  <c r="D127" i="2"/>
  <c r="D126" i="2"/>
  <c r="D125" i="2"/>
  <c r="D124" i="2"/>
  <c r="D123" i="2"/>
  <c r="D122" i="2"/>
  <c r="D121" i="2"/>
  <c r="D120" i="2"/>
  <c r="D119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3" i="2"/>
  <c r="D80" i="2"/>
  <c r="D79" i="2"/>
  <c r="D78" i="2"/>
  <c r="E77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7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475" i="2"/>
  <c r="D425" i="2"/>
  <c r="D374" i="2"/>
  <c r="D327" i="2"/>
  <c r="D1000" i="2"/>
  <c r="D812" i="2"/>
  <c r="D1564" i="2"/>
  <c r="D1562" i="2"/>
  <c r="D1563" i="2"/>
  <c r="D1174" i="2"/>
  <c r="D1328" i="2"/>
  <c r="D1038" i="2"/>
  <c r="D1173" i="2"/>
  <c r="D1492" i="2"/>
  <c r="D1185" i="2"/>
  <c r="D617" i="2"/>
  <c r="D573" i="2"/>
  <c r="D505" i="2"/>
  <c r="D335" i="2"/>
  <c r="D344" i="2"/>
  <c r="D365" i="2"/>
  <c r="D366" i="2"/>
  <c r="D455" i="2"/>
  <c r="D530" i="2"/>
  <c r="D548" i="2"/>
  <c r="D550" i="2"/>
  <c r="D602" i="2"/>
  <c r="D983" i="2"/>
  <c r="D914" i="2"/>
  <c r="D1559" i="2"/>
  <c r="D1279" i="2"/>
  <c r="D1001" i="2"/>
  <c r="D627" i="2"/>
  <c r="D1177" i="2"/>
  <c r="D1377" i="2"/>
  <c r="D1078" i="2"/>
  <c r="D889" i="2"/>
  <c r="D626" i="2"/>
  <c r="D623" i="2"/>
  <c r="D1156" i="2"/>
  <c r="D1075" i="2"/>
  <c r="D890" i="2"/>
  <c r="D992" i="2"/>
  <c r="D1003" i="2"/>
  <c r="D1002" i="2"/>
  <c r="D601" i="2"/>
  <c r="D1565" i="2"/>
  <c r="D888" i="2"/>
  <c r="D1004" i="2"/>
  <c r="D1176" i="2"/>
  <c r="D1251" i="2" l="1"/>
  <c r="D876" i="2"/>
  <c r="D1370" i="2"/>
  <c r="D788" i="2"/>
  <c r="D625" i="2"/>
  <c r="D1069" i="2"/>
  <c r="D1369" i="2"/>
  <c r="D1353" i="2"/>
  <c r="D1175" i="2"/>
  <c r="D575" i="2"/>
  <c r="D612" i="2"/>
  <c r="D1082" i="2"/>
  <c r="D589" i="2"/>
  <c r="D833" i="2"/>
  <c r="D1527" i="2"/>
  <c r="D1585" i="2"/>
  <c r="D591" i="2"/>
  <c r="D1119" i="2"/>
  <c r="D1117" i="2"/>
  <c r="D1118" i="2"/>
  <c r="D1115" i="2"/>
  <c r="D1114" i="2"/>
  <c r="D873" i="2"/>
  <c r="D635" i="2"/>
  <c r="D1299" i="2"/>
  <c r="D1021" i="2"/>
  <c r="D579" i="2"/>
  <c r="D598" i="2"/>
  <c r="D809" i="2"/>
  <c r="D1512" i="2" l="1"/>
  <c r="D1500" i="2"/>
  <c r="D1612" i="2"/>
  <c r="D1466" i="2"/>
  <c r="D973" i="2"/>
  <c r="D649" i="2"/>
  <c r="D1159" i="2"/>
  <c r="D1450" i="2"/>
  <c r="D820" i="2"/>
  <c r="D740" i="2"/>
  <c r="D742" i="2"/>
  <c r="D1624" i="2"/>
  <c r="D1574" i="2"/>
  <c r="D1323" i="2"/>
  <c r="D1181" i="2"/>
  <c r="D1182" i="2"/>
  <c r="D1093" i="2"/>
  <c r="D994" i="2"/>
  <c r="D826" i="2"/>
  <c r="D789" i="2"/>
  <c r="D1571" i="2"/>
  <c r="D1400" i="2"/>
  <c r="D896" i="2"/>
  <c r="D559" i="2"/>
  <c r="D562" i="2"/>
  <c r="D570" i="2"/>
  <c r="D571" i="2"/>
  <c r="D592" i="2"/>
  <c r="D607" i="2"/>
  <c r="D618" i="2"/>
  <c r="D682" i="2"/>
  <c r="D729" i="2"/>
  <c r="D773" i="2"/>
  <c r="D814" i="2"/>
  <c r="D858" i="2"/>
  <c r="D903" i="2"/>
  <c r="D921" i="2"/>
  <c r="D939" i="2"/>
  <c r="D940" i="2"/>
  <c r="D1006" i="2"/>
  <c r="D1014" i="2"/>
  <c r="D1020" i="2"/>
  <c r="D1070" i="2"/>
  <c r="D1089" i="2"/>
  <c r="D1092" i="2"/>
  <c r="D1209" i="2"/>
  <c r="D1259" i="2"/>
  <c r="D1264" i="2"/>
  <c r="D1272" i="2"/>
  <c r="D1275" i="2"/>
  <c r="D1408" i="2"/>
  <c r="D1409" i="2"/>
  <c r="D1515" i="2"/>
  <c r="D1599" i="2"/>
  <c r="D1217" i="2"/>
  <c r="D713" i="2"/>
  <c r="D1622" i="2"/>
  <c r="D1390" i="2" l="1"/>
  <c r="D1284" i="2"/>
  <c r="D787" i="2"/>
  <c r="D841" i="2"/>
  <c r="D887" i="2"/>
  <c r="D909" i="2"/>
  <c r="D913" i="2"/>
  <c r="D990" i="2"/>
  <c r="D1169" i="2"/>
  <c r="D1213" i="2"/>
  <c r="D1546" i="2"/>
  <c r="D1623" i="2"/>
  <c r="D1030" i="2"/>
  <c r="D1621" i="2"/>
  <c r="D745" i="2"/>
  <c r="D1434" i="2"/>
  <c r="D1372" i="2"/>
  <c r="D1288" i="2"/>
  <c r="D1008" i="2"/>
  <c r="D931" i="2"/>
  <c r="D574" i="2"/>
  <c r="D553" i="2"/>
  <c r="D1043" i="2"/>
  <c r="D710" i="2"/>
  <c r="D1229" i="2"/>
  <c r="D1232" i="2"/>
  <c r="D1237" i="2"/>
  <c r="D1240" i="2"/>
  <c r="D1241" i="2"/>
  <c r="D1245" i="2"/>
  <c r="D1246" i="2"/>
  <c r="D1247" i="2"/>
  <c r="D1292" i="2"/>
  <c r="D1318" i="2"/>
  <c r="D1499" i="2"/>
  <c r="D1501" i="2"/>
  <c r="D1502" i="2"/>
  <c r="D1503" i="2"/>
  <c r="D1505" i="2"/>
  <c r="D1506" i="2"/>
  <c r="D1507" i="2"/>
  <c r="D1508" i="2"/>
  <c r="D1509" i="2"/>
  <c r="D1510" i="2"/>
  <c r="D1511" i="2"/>
  <c r="D1513" i="2"/>
  <c r="D1514" i="2"/>
  <c r="D1473" i="2"/>
  <c r="D950" i="2"/>
  <c r="D1051" i="2"/>
  <c r="D1080" i="2"/>
  <c r="D753" i="2"/>
  <c r="D1148" i="2"/>
  <c r="D551" i="2"/>
  <c r="D536" i="2"/>
  <c r="D535" i="2"/>
  <c r="D533" i="2"/>
  <c r="D532" i="2"/>
  <c r="D531" i="2"/>
  <c r="D529" i="2"/>
  <c r="D528" i="2"/>
  <c r="D527" i="2"/>
  <c r="D525" i="2"/>
  <c r="D515" i="2"/>
  <c r="D514" i="2"/>
  <c r="D512" i="2"/>
  <c r="D511" i="2"/>
  <c r="D510" i="2"/>
  <c r="D508" i="2"/>
  <c r="D507" i="2"/>
  <c r="D506" i="2"/>
  <c r="D501" i="2"/>
  <c r="D491" i="2"/>
  <c r="D490" i="2"/>
  <c r="D488" i="2"/>
  <c r="D487" i="2"/>
  <c r="D486" i="2"/>
  <c r="D485" i="2"/>
  <c r="D484" i="2"/>
  <c r="D482" i="2"/>
  <c r="D479" i="2"/>
  <c r="D467" i="2"/>
  <c r="D466" i="2"/>
  <c r="D464" i="2"/>
  <c r="D462" i="2"/>
  <c r="D459" i="2"/>
  <c r="D458" i="2"/>
  <c r="D457" i="2"/>
  <c r="D456" i="2"/>
  <c r="D453" i="2"/>
  <c r="D443" i="2"/>
  <c r="D441" i="2"/>
  <c r="D440" i="2"/>
  <c r="D439" i="2"/>
  <c r="D438" i="2"/>
  <c r="D437" i="2"/>
  <c r="D436" i="2"/>
  <c r="D435" i="2"/>
  <c r="D434" i="2"/>
  <c r="D432" i="2"/>
  <c r="D421" i="2"/>
  <c r="D418" i="2"/>
  <c r="D415" i="2"/>
  <c r="D414" i="2"/>
  <c r="D413" i="2"/>
  <c r="D412" i="2"/>
  <c r="D411" i="2"/>
  <c r="D410" i="2"/>
  <c r="D409" i="2"/>
  <c r="D407" i="2"/>
  <c r="D395" i="2"/>
  <c r="D393" i="2"/>
  <c r="D392" i="2"/>
  <c r="D391" i="2"/>
  <c r="D390" i="2"/>
  <c r="D389" i="2"/>
  <c r="D388" i="2"/>
  <c r="D387" i="2"/>
  <c r="D384" i="2"/>
  <c r="D373" i="2"/>
  <c r="D372" i="2"/>
  <c r="D371" i="2"/>
  <c r="D370" i="2"/>
  <c r="D369" i="2"/>
  <c r="D368" i="2"/>
  <c r="D367" i="2"/>
  <c r="D364" i="2"/>
  <c r="D362" i="2"/>
  <c r="D359" i="2"/>
  <c r="D347" i="2"/>
  <c r="D346" i="2"/>
  <c r="D345" i="2"/>
  <c r="D343" i="2"/>
  <c r="D342" i="2"/>
  <c r="D341" i="2"/>
  <c r="D340" i="2"/>
  <c r="D338" i="2"/>
  <c r="D334" i="2"/>
  <c r="D321" i="2"/>
  <c r="D319" i="2"/>
  <c r="D318" i="2"/>
  <c r="D317" i="2"/>
  <c r="D316" i="2"/>
  <c r="D314" i="2"/>
  <c r="D311" i="2"/>
  <c r="D308" i="2"/>
  <c r="D283" i="2"/>
  <c r="D279" i="2"/>
  <c r="D310" i="2"/>
  <c r="D304" i="2"/>
  <c r="D303" i="2"/>
  <c r="D301" i="2"/>
  <c r="D290" i="2"/>
  <c r="D285" i="2"/>
  <c r="D284" i="2"/>
  <c r="D291" i="2"/>
  <c r="D295" i="2"/>
  <c r="D305" i="2"/>
  <c r="D306" i="2"/>
  <c r="D309" i="2"/>
  <c r="D312" i="2"/>
  <c r="D313" i="2"/>
  <c r="D315" i="2"/>
  <c r="D325" i="2"/>
  <c r="D326" i="2"/>
  <c r="D328" i="2"/>
  <c r="D329" i="2"/>
  <c r="D331" i="2"/>
  <c r="D332" i="2"/>
  <c r="D333" i="2"/>
  <c r="D336" i="2"/>
  <c r="D337" i="2"/>
  <c r="D339" i="2"/>
  <c r="D348" i="2"/>
  <c r="D349" i="2"/>
  <c r="D350" i="2"/>
  <c r="D351" i="2"/>
  <c r="D354" i="2"/>
  <c r="D355" i="2"/>
  <c r="D356" i="2"/>
  <c r="D361" i="2"/>
  <c r="D363" i="2"/>
  <c r="D375" i="2"/>
  <c r="D376" i="2"/>
  <c r="D377" i="2"/>
  <c r="D379" i="2"/>
  <c r="D380" i="2"/>
  <c r="D381" i="2"/>
  <c r="D382" i="2"/>
  <c r="D383" i="2"/>
  <c r="D385" i="2"/>
  <c r="D386" i="2"/>
  <c r="D396" i="2"/>
  <c r="D397" i="2"/>
  <c r="D398" i="2"/>
  <c r="D400" i="2"/>
  <c r="D401" i="2"/>
  <c r="D402" i="2"/>
  <c r="D403" i="2"/>
  <c r="D404" i="2"/>
  <c r="D406" i="2"/>
  <c r="D408" i="2"/>
  <c r="D422" i="2"/>
  <c r="D423" i="2"/>
  <c r="D424" i="2"/>
  <c r="D426" i="2"/>
  <c r="D427" i="2"/>
  <c r="D428" i="2"/>
  <c r="D429" i="2"/>
  <c r="D430" i="2"/>
  <c r="D431" i="2"/>
  <c r="D433" i="2"/>
  <c r="D444" i="2"/>
  <c r="D445" i="2"/>
  <c r="D446" i="2"/>
  <c r="D447" i="2"/>
  <c r="D448" i="2"/>
  <c r="D449" i="2"/>
  <c r="D450" i="2"/>
  <c r="D451" i="2"/>
  <c r="D452" i="2"/>
  <c r="D454" i="2"/>
  <c r="D465" i="2"/>
  <c r="D468" i="2"/>
  <c r="D469" i="2"/>
  <c r="D470" i="2"/>
  <c r="D471" i="2"/>
  <c r="D472" i="2"/>
  <c r="D473" i="2"/>
  <c r="D474" i="2"/>
  <c r="D476" i="2"/>
  <c r="D477" i="2"/>
  <c r="D481" i="2"/>
  <c r="D489" i="2"/>
  <c r="D492" i="2"/>
  <c r="D493" i="2"/>
  <c r="D494" i="2"/>
  <c r="D495" i="2"/>
  <c r="D496" i="2"/>
  <c r="D497" i="2"/>
  <c r="D498" i="2"/>
  <c r="D499" i="2"/>
  <c r="D500" i="2"/>
  <c r="D503" i="2"/>
  <c r="D513" i="2"/>
  <c r="D516" i="2"/>
  <c r="D517" i="2"/>
  <c r="D518" i="2"/>
  <c r="D519" i="2"/>
  <c r="D520" i="2"/>
  <c r="D521" i="2"/>
  <c r="D522" i="2"/>
  <c r="D523" i="2"/>
  <c r="D524" i="2"/>
  <c r="D526" i="2"/>
  <c r="D534" i="2"/>
  <c r="D539" i="2"/>
  <c r="D540" i="2"/>
  <c r="D541" i="2"/>
  <c r="D542" i="2"/>
  <c r="D543" i="2"/>
  <c r="D544" i="2"/>
  <c r="D546" i="2"/>
  <c r="D547" i="2"/>
  <c r="D549" i="2"/>
  <c r="D552" i="2"/>
  <c r="D1033" i="2"/>
  <c r="D1009" i="2"/>
  <c r="D969" i="2"/>
  <c r="D970" i="2"/>
  <c r="D744" i="2"/>
  <c r="D1438" i="2"/>
  <c r="D1348" i="2"/>
  <c r="D1334" i="2"/>
  <c r="D686" i="2"/>
  <c r="D1592" i="2"/>
  <c r="D1490" i="2"/>
  <c r="D750" i="2"/>
  <c r="AQ192" i="1"/>
  <c r="AQ191" i="1"/>
  <c r="D800" i="2"/>
  <c r="D785" i="2"/>
  <c r="D1560" i="2"/>
  <c r="D1561" i="2"/>
  <c r="D1227" i="2"/>
  <c r="D1293" i="2"/>
  <c r="D1238" i="2"/>
  <c r="D1231" i="2"/>
  <c r="D1243" i="2"/>
  <c r="D1300" i="2"/>
  <c r="D967" i="2"/>
  <c r="D756" i="2"/>
  <c r="D977" i="2"/>
  <c r="D1088" i="2"/>
  <c r="D968" i="2"/>
  <c r="D1476" i="2"/>
  <c r="D1483" i="2"/>
  <c r="D1596" i="2"/>
  <c r="D1597" i="2"/>
  <c r="D353" i="2" l="1"/>
  <c r="D296" i="2"/>
  <c r="D302" i="2"/>
  <c r="D297" i="2"/>
  <c r="D323" i="2"/>
  <c r="D320" i="2"/>
  <c r="D399" i="2"/>
  <c r="D378" i="2"/>
  <c r="D352" i="2"/>
  <c r="D330" i="2"/>
  <c r="D307" i="2"/>
  <c r="D287" i="2"/>
  <c r="D286" i="2"/>
  <c r="D282" i="2"/>
  <c r="D281" i="2"/>
  <c r="D300" i="2"/>
  <c r="D280" i="2"/>
  <c r="D299" i="2"/>
  <c r="D298" i="2"/>
  <c r="D294" i="2"/>
  <c r="D293" i="2"/>
  <c r="D292" i="2"/>
  <c r="D289" i="2"/>
  <c r="D288" i="2"/>
  <c r="D1024" i="2"/>
  <c r="D1296" i="2"/>
  <c r="D1595" i="2"/>
  <c r="D1482" i="2"/>
  <c r="D1475" i="2"/>
  <c r="D1454" i="2"/>
  <c r="D1130" i="2"/>
  <c r="D1142" i="2"/>
  <c r="D1083" i="2"/>
  <c r="D1087" i="2"/>
  <c r="D1067" i="2"/>
  <c r="D1034" i="2"/>
  <c r="D1017" i="2"/>
  <c r="D863" i="2"/>
  <c r="D813" i="2"/>
  <c r="D755" i="2"/>
  <c r="D1342" i="2"/>
  <c r="D584" i="2"/>
  <c r="D1200" i="2"/>
  <c r="D1049" i="2"/>
  <c r="D1317" i="2"/>
  <c r="D1171" i="2"/>
  <c r="D881" i="2"/>
  <c r="D733" i="2"/>
  <c r="D761" i="2"/>
  <c r="D726" i="2"/>
  <c r="D690" i="2"/>
  <c r="D1235" i="2"/>
  <c r="D1224" i="2"/>
  <c r="D860" i="2"/>
  <c r="D899" i="2"/>
  <c r="D656" i="2"/>
  <c r="D1103" i="2"/>
  <c r="D1161" i="2"/>
  <c r="D1110" i="2"/>
  <c r="D1196" i="2"/>
  <c r="D1219" i="2"/>
  <c r="D790" i="2"/>
  <c r="D1228" i="2"/>
  <c r="D1368" i="2"/>
  <c r="D1532" i="2"/>
  <c r="D945" i="2"/>
  <c r="D657" i="2"/>
  <c r="D1602" i="2"/>
  <c r="D669" i="2"/>
  <c r="D891" i="2"/>
  <c r="D1413" i="2"/>
  <c r="D645" i="2"/>
  <c r="D693" i="2"/>
  <c r="D792" i="2"/>
  <c r="D805" i="2"/>
  <c r="D857" i="2"/>
  <c r="D1290" i="2"/>
  <c r="D1054" i="2"/>
  <c r="D1291" i="2"/>
  <c r="D1447" i="2"/>
  <c r="D1387" i="2"/>
  <c r="D1552" i="2"/>
  <c r="D783" i="2"/>
  <c r="D1628" i="2"/>
  <c r="D1627" i="2"/>
  <c r="D1626" i="2"/>
  <c r="D1625" i="2"/>
  <c r="D1620" i="2"/>
  <c r="D1619" i="2"/>
  <c r="D1618" i="2"/>
  <c r="D1617" i="2"/>
  <c r="D1616" i="2"/>
  <c r="D1615" i="2"/>
  <c r="D1614" i="2"/>
  <c r="D1613" i="2"/>
  <c r="D1611" i="2"/>
  <c r="D1610" i="2"/>
  <c r="D1609" i="2"/>
  <c r="D1608" i="2"/>
  <c r="D1607" i="2"/>
  <c r="D1606" i="2"/>
  <c r="D1605" i="2"/>
  <c r="D1604" i="2"/>
  <c r="D1603" i="2"/>
  <c r="D1601" i="2"/>
  <c r="D1600" i="2"/>
  <c r="D1598" i="2"/>
  <c r="D1594" i="2"/>
  <c r="D1593" i="2"/>
  <c r="D1591" i="2"/>
  <c r="D1590" i="2"/>
  <c r="D1589" i="2"/>
  <c r="D1588" i="2"/>
  <c r="D1587" i="2"/>
  <c r="D1586" i="2"/>
  <c r="D1584" i="2"/>
  <c r="D1583" i="2"/>
  <c r="D1582" i="2"/>
  <c r="D1581" i="2"/>
  <c r="D1580" i="2"/>
  <c r="D1579" i="2"/>
  <c r="D1578" i="2"/>
  <c r="D1577" i="2"/>
  <c r="D1576" i="2"/>
  <c r="D1575" i="2"/>
  <c r="D1573" i="2"/>
  <c r="D1572" i="2"/>
  <c r="D1570" i="2"/>
  <c r="D1569" i="2"/>
  <c r="D1568" i="2"/>
  <c r="D1567" i="2"/>
  <c r="D1566" i="2"/>
  <c r="D1558" i="2"/>
  <c r="D1557" i="2"/>
  <c r="D1556" i="2"/>
  <c r="D1555" i="2"/>
  <c r="D1554" i="2"/>
  <c r="D1553" i="2"/>
  <c r="D1551" i="2"/>
  <c r="D1550" i="2"/>
  <c r="D1549" i="2"/>
  <c r="D1548" i="2"/>
  <c r="D1547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1" i="2"/>
  <c r="D1530" i="2"/>
  <c r="D1529" i="2"/>
  <c r="D1528" i="2"/>
  <c r="D1526" i="2"/>
  <c r="D1525" i="2"/>
  <c r="D1524" i="2"/>
  <c r="D1523" i="2"/>
  <c r="D1522" i="2"/>
  <c r="D1521" i="2"/>
  <c r="D1520" i="2"/>
  <c r="D1519" i="2"/>
  <c r="D1518" i="2"/>
  <c r="D1517" i="2"/>
  <c r="D1516" i="2"/>
  <c r="D1504" i="2"/>
  <c r="D1498" i="2"/>
  <c r="D1497" i="2"/>
  <c r="D1496" i="2"/>
  <c r="D1495" i="2"/>
  <c r="D1494" i="2"/>
  <c r="D1493" i="2"/>
  <c r="D1491" i="2"/>
  <c r="D1489" i="2"/>
  <c r="D1488" i="2"/>
  <c r="D1487" i="2"/>
  <c r="D1486" i="2"/>
  <c r="D1485" i="2"/>
  <c r="D1484" i="2"/>
  <c r="D1481" i="2"/>
  <c r="D1480" i="2"/>
  <c r="D1479" i="2"/>
  <c r="D1478" i="2"/>
  <c r="D1477" i="2"/>
  <c r="D1474" i="2"/>
  <c r="D1472" i="2"/>
  <c r="D1471" i="2"/>
  <c r="D1470" i="2"/>
  <c r="D1469" i="2"/>
  <c r="D1468" i="2"/>
  <c r="D1467" i="2"/>
  <c r="D1465" i="2"/>
  <c r="D1464" i="2"/>
  <c r="D1463" i="2"/>
  <c r="D1462" i="2"/>
  <c r="D1461" i="2"/>
  <c r="D1460" i="2"/>
  <c r="D1459" i="2"/>
  <c r="D1458" i="2"/>
  <c r="D1457" i="2"/>
  <c r="D1456" i="2"/>
  <c r="D1455" i="2"/>
  <c r="D1453" i="2"/>
  <c r="D1452" i="2"/>
  <c r="D1451" i="2"/>
  <c r="D1449" i="2"/>
  <c r="D1448" i="2"/>
  <c r="D1446" i="2"/>
  <c r="D1445" i="2"/>
  <c r="D1444" i="2"/>
  <c r="D1443" i="2"/>
  <c r="D1442" i="2"/>
  <c r="D1441" i="2"/>
  <c r="D1440" i="2"/>
  <c r="D1439" i="2"/>
  <c r="D1437" i="2"/>
  <c r="D1436" i="2"/>
  <c r="D1435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2" i="2"/>
  <c r="D1411" i="2"/>
  <c r="D1410" i="2"/>
  <c r="D1407" i="2"/>
  <c r="D1406" i="2"/>
  <c r="D1405" i="2"/>
  <c r="D1404" i="2"/>
  <c r="D1403" i="2"/>
  <c r="D1402" i="2"/>
  <c r="D1401" i="2"/>
  <c r="D1399" i="2"/>
  <c r="D1398" i="2"/>
  <c r="D1397" i="2"/>
  <c r="D1396" i="2"/>
  <c r="D1395" i="2"/>
  <c r="D1394" i="2"/>
  <c r="D1393" i="2"/>
  <c r="D1392" i="2"/>
  <c r="D1391" i="2"/>
  <c r="D1389" i="2"/>
  <c r="D1388" i="2"/>
  <c r="D1386" i="2"/>
  <c r="D1385" i="2"/>
  <c r="D1384" i="2"/>
  <c r="D1383" i="2"/>
  <c r="D1382" i="2"/>
  <c r="D1381" i="2"/>
  <c r="D1380" i="2"/>
  <c r="D1379" i="2"/>
  <c r="D1378" i="2"/>
  <c r="D1376" i="2"/>
  <c r="D1375" i="2"/>
  <c r="D1374" i="2"/>
  <c r="D1373" i="2"/>
  <c r="D1371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2" i="2"/>
  <c r="D1351" i="2"/>
  <c r="D1350" i="2"/>
  <c r="D1349" i="2"/>
  <c r="D1347" i="2"/>
  <c r="D1346" i="2"/>
  <c r="D1345" i="2"/>
  <c r="D1344" i="2"/>
  <c r="D1343" i="2"/>
  <c r="D1341" i="2"/>
  <c r="D1340" i="2"/>
  <c r="D1339" i="2"/>
  <c r="D1338" i="2"/>
  <c r="D1337" i="2"/>
  <c r="D1336" i="2"/>
  <c r="D1335" i="2"/>
  <c r="D1333" i="2"/>
  <c r="D1332" i="2"/>
  <c r="D1331" i="2"/>
  <c r="D1330" i="2"/>
  <c r="D1329" i="2"/>
  <c r="D1327" i="2"/>
  <c r="D1326" i="2"/>
  <c r="D1325" i="2"/>
  <c r="D1324" i="2"/>
  <c r="D1322" i="2"/>
  <c r="D1321" i="2"/>
  <c r="D1320" i="2"/>
  <c r="D1319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298" i="2"/>
  <c r="D1297" i="2"/>
  <c r="D1295" i="2"/>
  <c r="D1294" i="2"/>
  <c r="D1289" i="2"/>
  <c r="D1287" i="2"/>
  <c r="D1286" i="2"/>
  <c r="D1285" i="2"/>
  <c r="D1283" i="2"/>
  <c r="D1282" i="2"/>
  <c r="D1281" i="2"/>
  <c r="D1280" i="2"/>
  <c r="D1278" i="2"/>
  <c r="D1277" i="2"/>
  <c r="D1276" i="2"/>
  <c r="D1274" i="2"/>
  <c r="D1273" i="2"/>
  <c r="D1271" i="2"/>
  <c r="D1270" i="2"/>
  <c r="D1269" i="2"/>
  <c r="D1268" i="2"/>
  <c r="D1267" i="2"/>
  <c r="D1266" i="2"/>
  <c r="D1265" i="2"/>
  <c r="D1263" i="2"/>
  <c r="D1262" i="2"/>
  <c r="D1261" i="2"/>
  <c r="D1260" i="2"/>
  <c r="D1258" i="2"/>
  <c r="D1257" i="2"/>
  <c r="D1256" i="2"/>
  <c r="D1255" i="2"/>
  <c r="D1254" i="2"/>
  <c r="D1253" i="2"/>
  <c r="D1252" i="2"/>
  <c r="D1250" i="2"/>
  <c r="D1249" i="2"/>
  <c r="D1248" i="2"/>
  <c r="D1244" i="2"/>
  <c r="D1242" i="2"/>
  <c r="D1239" i="2"/>
  <c r="D1236" i="2"/>
  <c r="D1234" i="2"/>
  <c r="D1233" i="2"/>
  <c r="D1230" i="2"/>
  <c r="D1226" i="2"/>
  <c r="D1225" i="2"/>
  <c r="D1223" i="2"/>
  <c r="D1222" i="2"/>
  <c r="D1221" i="2"/>
  <c r="D1220" i="2"/>
  <c r="D1218" i="2"/>
  <c r="D1216" i="2"/>
  <c r="D1215" i="2"/>
  <c r="D1214" i="2"/>
  <c r="D1212" i="2"/>
  <c r="D1211" i="2"/>
  <c r="D1210" i="2"/>
  <c r="D1208" i="2"/>
  <c r="D1207" i="2"/>
  <c r="D1206" i="2"/>
  <c r="D1205" i="2"/>
  <c r="D1204" i="2"/>
  <c r="D1203" i="2"/>
  <c r="D1202" i="2"/>
  <c r="D1201" i="2"/>
  <c r="D1199" i="2"/>
  <c r="D1198" i="2"/>
  <c r="D1197" i="2"/>
  <c r="D1195" i="2"/>
  <c r="D1194" i="2"/>
  <c r="D1193" i="2"/>
  <c r="D1192" i="2"/>
  <c r="D1191" i="2"/>
  <c r="D1190" i="2"/>
  <c r="D1189" i="2"/>
  <c r="D1188" i="2"/>
  <c r="D1187" i="2"/>
  <c r="D1186" i="2"/>
  <c r="D1184" i="2"/>
  <c r="D1183" i="2"/>
  <c r="D1180" i="2"/>
  <c r="D1179" i="2"/>
  <c r="D1178" i="2"/>
  <c r="D1172" i="2"/>
  <c r="D1170" i="2"/>
  <c r="D1168" i="2"/>
  <c r="D1167" i="2"/>
  <c r="D1166" i="2"/>
  <c r="D1165" i="2"/>
  <c r="D1164" i="2"/>
  <c r="D1163" i="2"/>
  <c r="D1162" i="2"/>
  <c r="D1160" i="2"/>
  <c r="D1158" i="2"/>
  <c r="D1157" i="2"/>
  <c r="D1155" i="2"/>
  <c r="D1154" i="2"/>
  <c r="D1153" i="2"/>
  <c r="D1152" i="2"/>
  <c r="D1151" i="2"/>
  <c r="D1150" i="2"/>
  <c r="D1149" i="2"/>
  <c r="D1147" i="2"/>
  <c r="D1146" i="2"/>
  <c r="D1145" i="2"/>
  <c r="D1144" i="2"/>
  <c r="D1143" i="2"/>
  <c r="D1141" i="2"/>
  <c r="D1140" i="2"/>
  <c r="D1139" i="2"/>
  <c r="D1138" i="2"/>
  <c r="D1137" i="2"/>
  <c r="D1136" i="2"/>
  <c r="D1135" i="2"/>
  <c r="D1134" i="2"/>
  <c r="D1133" i="2"/>
  <c r="D1132" i="2"/>
  <c r="D1131" i="2"/>
  <c r="D1129" i="2"/>
  <c r="D1128" i="2"/>
  <c r="D1127" i="2"/>
  <c r="D1126" i="2"/>
  <c r="D1125" i="2"/>
  <c r="D1124" i="2"/>
  <c r="D1123" i="2"/>
  <c r="D1122" i="2"/>
  <c r="D1121" i="2"/>
  <c r="D1120" i="2"/>
  <c r="D1116" i="2"/>
  <c r="D1113" i="2"/>
  <c r="D1112" i="2"/>
  <c r="D1111" i="2"/>
  <c r="D1109" i="2"/>
  <c r="D1108" i="2"/>
  <c r="D1107" i="2"/>
  <c r="D1106" i="2"/>
  <c r="D1105" i="2"/>
  <c r="D1104" i="2"/>
  <c r="D1102" i="2"/>
  <c r="D1101" i="2"/>
  <c r="D1100" i="2"/>
  <c r="D1099" i="2"/>
  <c r="D1098" i="2"/>
  <c r="D1097" i="2"/>
  <c r="D1096" i="2"/>
  <c r="D1095" i="2"/>
  <c r="D1094" i="2"/>
  <c r="D1091" i="2"/>
  <c r="D1090" i="2"/>
  <c r="D1086" i="2"/>
  <c r="D1085" i="2"/>
  <c r="D1084" i="2"/>
  <c r="D1081" i="2"/>
  <c r="D1079" i="2"/>
  <c r="D1077" i="2"/>
  <c r="D1076" i="2"/>
  <c r="D1074" i="2"/>
  <c r="D1073" i="2"/>
  <c r="D1072" i="2"/>
  <c r="D1071" i="2"/>
  <c r="D1068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3" i="2"/>
  <c r="D1052" i="2"/>
  <c r="D1050" i="2"/>
  <c r="D1048" i="2"/>
  <c r="D1047" i="2"/>
  <c r="D1046" i="2"/>
  <c r="D1045" i="2"/>
  <c r="D1044" i="2"/>
  <c r="D1042" i="2"/>
  <c r="D1041" i="2"/>
  <c r="D1040" i="2"/>
  <c r="D1039" i="2"/>
  <c r="D1037" i="2"/>
  <c r="D1036" i="2"/>
  <c r="D1035" i="2"/>
  <c r="D1032" i="2"/>
  <c r="D1031" i="2"/>
  <c r="D1029" i="2"/>
  <c r="D1028" i="2"/>
  <c r="D1027" i="2"/>
  <c r="D1026" i="2"/>
  <c r="D1025" i="2"/>
  <c r="D1023" i="2"/>
  <c r="D1022" i="2"/>
  <c r="D1019" i="2"/>
  <c r="D1018" i="2"/>
  <c r="D1016" i="2"/>
  <c r="D1015" i="2"/>
  <c r="D1013" i="2"/>
  <c r="D1012" i="2"/>
  <c r="D1011" i="2"/>
  <c r="D1010" i="2"/>
  <c r="D1007" i="2"/>
  <c r="D1005" i="2"/>
  <c r="D999" i="2"/>
  <c r="D998" i="2"/>
  <c r="D997" i="2"/>
  <c r="D996" i="2"/>
  <c r="D995" i="2"/>
  <c r="D993" i="2"/>
  <c r="D991" i="2"/>
  <c r="D989" i="2"/>
  <c r="D988" i="2"/>
  <c r="D987" i="2"/>
  <c r="D986" i="2"/>
  <c r="D985" i="2"/>
  <c r="D984" i="2"/>
  <c r="D982" i="2"/>
  <c r="D981" i="2"/>
  <c r="D980" i="2"/>
  <c r="D979" i="2"/>
  <c r="D978" i="2"/>
  <c r="D976" i="2"/>
  <c r="D975" i="2"/>
  <c r="D974" i="2"/>
  <c r="D972" i="2"/>
  <c r="D971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49" i="2"/>
  <c r="D948" i="2"/>
  <c r="D947" i="2"/>
  <c r="D946" i="2"/>
  <c r="D944" i="2"/>
  <c r="D943" i="2"/>
  <c r="D942" i="2"/>
  <c r="D941" i="2"/>
  <c r="D938" i="2"/>
  <c r="D937" i="2"/>
  <c r="D936" i="2"/>
  <c r="D935" i="2"/>
  <c r="D934" i="2"/>
  <c r="D933" i="2"/>
  <c r="D932" i="2"/>
  <c r="D930" i="2"/>
  <c r="D929" i="2"/>
  <c r="D928" i="2"/>
  <c r="D927" i="2"/>
  <c r="D926" i="2"/>
  <c r="D925" i="2"/>
  <c r="D924" i="2"/>
  <c r="D923" i="2"/>
  <c r="D922" i="2"/>
  <c r="D920" i="2"/>
  <c r="D919" i="2"/>
  <c r="D918" i="2"/>
  <c r="D917" i="2"/>
  <c r="D916" i="2"/>
  <c r="D915" i="2"/>
  <c r="D912" i="2"/>
  <c r="D911" i="2"/>
  <c r="D910" i="2"/>
  <c r="D908" i="2"/>
  <c r="D907" i="2"/>
  <c r="D906" i="2"/>
  <c r="D905" i="2"/>
  <c r="D904" i="2"/>
  <c r="D902" i="2"/>
  <c r="D901" i="2"/>
  <c r="D900" i="2"/>
  <c r="D898" i="2"/>
  <c r="D897" i="2"/>
  <c r="D895" i="2"/>
  <c r="D894" i="2"/>
  <c r="D893" i="2"/>
  <c r="D892" i="2"/>
  <c r="D886" i="2"/>
  <c r="D885" i="2"/>
  <c r="D884" i="2"/>
  <c r="D883" i="2"/>
  <c r="D882" i="2"/>
  <c r="D880" i="2"/>
  <c r="D879" i="2"/>
  <c r="D878" i="2"/>
  <c r="D877" i="2"/>
  <c r="D875" i="2"/>
  <c r="D874" i="2"/>
  <c r="D872" i="2"/>
  <c r="D871" i="2"/>
  <c r="D870" i="2"/>
  <c r="D869" i="2"/>
  <c r="D868" i="2"/>
  <c r="D867" i="2"/>
  <c r="D866" i="2"/>
  <c r="D865" i="2"/>
  <c r="D864" i="2"/>
  <c r="D862" i="2"/>
  <c r="D861" i="2"/>
  <c r="D859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0" i="2"/>
  <c r="D839" i="2"/>
  <c r="D838" i="2"/>
  <c r="D837" i="2"/>
  <c r="D836" i="2"/>
  <c r="D835" i="2"/>
  <c r="D834" i="2"/>
  <c r="D832" i="2"/>
  <c r="D831" i="2"/>
  <c r="D830" i="2"/>
  <c r="D829" i="2"/>
  <c r="D828" i="2"/>
  <c r="D827" i="2"/>
  <c r="D825" i="2"/>
  <c r="D824" i="2"/>
  <c r="D823" i="2"/>
  <c r="D822" i="2"/>
  <c r="D821" i="2"/>
  <c r="D819" i="2"/>
  <c r="D818" i="2"/>
  <c r="D817" i="2"/>
  <c r="D816" i="2"/>
  <c r="D815" i="2"/>
  <c r="D811" i="2"/>
  <c r="D810" i="2"/>
  <c r="D808" i="2"/>
  <c r="D807" i="2"/>
  <c r="D806" i="2"/>
  <c r="D804" i="2"/>
  <c r="D803" i="2"/>
  <c r="D801" i="2"/>
  <c r="D799" i="2"/>
  <c r="D798" i="2"/>
  <c r="D797" i="2"/>
  <c r="D796" i="2"/>
  <c r="D795" i="2"/>
  <c r="D794" i="2"/>
  <c r="D793" i="2"/>
  <c r="D791" i="2"/>
  <c r="D786" i="2"/>
  <c r="D784" i="2"/>
  <c r="D782" i="2"/>
  <c r="D781" i="2"/>
  <c r="D780" i="2"/>
  <c r="D779" i="2"/>
  <c r="D778" i="2"/>
  <c r="D777" i="2"/>
  <c r="D776" i="2"/>
  <c r="D775" i="2"/>
  <c r="D774" i="2"/>
  <c r="D772" i="2"/>
  <c r="D771" i="2"/>
  <c r="D770" i="2"/>
  <c r="D769" i="2"/>
  <c r="D768" i="2"/>
  <c r="D767" i="2"/>
  <c r="D766" i="2"/>
  <c r="D765" i="2"/>
  <c r="D764" i="2"/>
  <c r="D763" i="2"/>
  <c r="D762" i="2"/>
  <c r="D760" i="2"/>
  <c r="D759" i="2"/>
  <c r="D758" i="2"/>
  <c r="D757" i="2"/>
  <c r="D754" i="2"/>
  <c r="D752" i="2"/>
  <c r="D751" i="2"/>
  <c r="D749" i="2"/>
  <c r="D748" i="2"/>
  <c r="D747" i="2"/>
  <c r="D746" i="2"/>
  <c r="D743" i="2"/>
  <c r="D741" i="2"/>
  <c r="D739" i="2"/>
  <c r="D738" i="2"/>
  <c r="D737" i="2"/>
  <c r="D736" i="2"/>
  <c r="D735" i="2"/>
  <c r="D734" i="2"/>
  <c r="D732" i="2"/>
  <c r="D731" i="2"/>
  <c r="D730" i="2"/>
  <c r="D728" i="2"/>
  <c r="D727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2" i="2"/>
  <c r="D711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2" i="2"/>
  <c r="D691" i="2"/>
  <c r="D689" i="2"/>
  <c r="D688" i="2"/>
  <c r="D687" i="2"/>
  <c r="D685" i="2"/>
  <c r="D684" i="2"/>
  <c r="D683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8" i="2"/>
  <c r="D667" i="2"/>
  <c r="D666" i="2"/>
  <c r="D665" i="2"/>
  <c r="D664" i="2"/>
  <c r="D663" i="2"/>
  <c r="D662" i="2"/>
  <c r="D661" i="2"/>
  <c r="D660" i="2"/>
  <c r="D659" i="2"/>
  <c r="D658" i="2"/>
  <c r="D655" i="2"/>
  <c r="D654" i="2"/>
  <c r="D653" i="2"/>
  <c r="D652" i="2"/>
  <c r="D651" i="2"/>
  <c r="D650" i="2"/>
  <c r="D648" i="2"/>
  <c r="D647" i="2"/>
  <c r="D646" i="2"/>
  <c r="D644" i="2"/>
  <c r="D643" i="2"/>
  <c r="D642" i="2"/>
  <c r="D641" i="2"/>
  <c r="D640" i="2"/>
  <c r="D639" i="2"/>
  <c r="D638" i="2"/>
  <c r="D637" i="2"/>
  <c r="D636" i="2"/>
  <c r="D634" i="2"/>
  <c r="D633" i="2"/>
  <c r="D632" i="2"/>
  <c r="D631" i="2"/>
  <c r="D630" i="2"/>
  <c r="D629" i="2"/>
  <c r="D628" i="2"/>
  <c r="D624" i="2"/>
  <c r="D622" i="2"/>
  <c r="D621" i="2"/>
  <c r="D620" i="2"/>
  <c r="D619" i="2"/>
  <c r="D616" i="2"/>
  <c r="D615" i="2"/>
  <c r="D614" i="2"/>
  <c r="D613" i="2"/>
  <c r="D611" i="2"/>
  <c r="D610" i="2"/>
  <c r="D609" i="2"/>
  <c r="D608" i="2"/>
  <c r="D606" i="2"/>
  <c r="D605" i="2"/>
  <c r="D604" i="2"/>
  <c r="D603" i="2"/>
  <c r="D600" i="2"/>
  <c r="D599" i="2"/>
  <c r="D597" i="2"/>
  <c r="D596" i="2"/>
  <c r="D595" i="2"/>
  <c r="D594" i="2"/>
  <c r="D593" i="2"/>
  <c r="D590" i="2"/>
  <c r="D588" i="2"/>
  <c r="D587" i="2"/>
  <c r="D586" i="2"/>
  <c r="D585" i="2"/>
  <c r="D583" i="2"/>
  <c r="D582" i="2"/>
  <c r="D581" i="2"/>
  <c r="D580" i="2"/>
  <c r="D578" i="2"/>
  <c r="D577" i="2"/>
  <c r="D576" i="2"/>
  <c r="D572" i="2"/>
  <c r="D569" i="2"/>
  <c r="D568" i="2"/>
  <c r="D567" i="2"/>
  <c r="D566" i="2"/>
  <c r="D565" i="2"/>
  <c r="D564" i="2"/>
  <c r="D563" i="2"/>
  <c r="D561" i="2"/>
  <c r="D560" i="2"/>
  <c r="D558" i="2"/>
  <c r="D557" i="2"/>
  <c r="D556" i="2"/>
  <c r="D555" i="2"/>
  <c r="D554" i="2"/>
  <c r="D802" i="2"/>
  <c r="D14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tc={334CD5E5-E268-4D08-8786-BFF9B9B8E8C9}</author>
    <author>tc={7B57594B-BD4E-4763-94D8-8FB100B12A6D}</author>
    <author>tc={AD9ABAFD-AAE7-4325-8119-A5763C2C73CC}</author>
    <author>tc={2D9655EC-643B-4D12-A76D-9D733D6D3AC5}</author>
    <author>tc={F1E00E12-0A5E-4E11-BFE4-907F32F520EA}</author>
    <author>tc={6B560760-0F52-4B87-B02C-D0543052FA97}</author>
    <author>tc={F85EC017-B1E4-415A-9D33-A77ECC7F6E5C}</author>
    <author>tc={86A1F907-244E-49D9-8F87-A5E1F90B86A5}</author>
    <author>tc={4BF8D8AB-81FC-4399-B60C-BF49CDCE8EFC}</author>
    <author>tc={2878AA2E-2490-4268-BB3B-EA31B6A297C3}</author>
    <author>tc={E445B2ED-ABC4-47C5-8F5B-551B261AC0D7}</author>
  </authors>
  <commentList>
    <comment ref="AY2" authorId="0" shapeId="0" xr:uid="{334CD5E5-E268-4D08-8786-BFF9B9B8E8C9}">
      <text>
        <t>[Threaded comment]
Your version of Excel allows you to read this threaded comment; however, any edits to it will get removed if the file is opened in a newer version of Excel. Learn more: https://go.microsoft.com/fwlink/?linkid=870924
Comment:
    =IFERROR(SWITCH(INDEX('[9. CompositionOfRegions_RCs_20231221.xlsx]Ref_Area_Matrix'!$A$3:$BV$365,MATCH([@M49],'[9. CompositionOfRegions_RCs_20231221.xlsx]Ref_Area_Matrix'!$A$3:$A$365,0),MATCH(AS$2,'[9. CompositionOfRegions_RCs_20231221.xlsx]Ref_Area_Matrix'!$A$3:$BV$3,0)),1,AS$2,""),"")
Reply:
    paste on the first formula, row 4</t>
      </text>
    </comment>
    <comment ref="F4" authorId="1" shapeId="0" xr:uid="{7B57594B-BD4E-4763-94D8-8FB100B12A6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content inside parenthesis is part of the official UN short name of the country.
https://unterm.un.org/unterm2/en/country</t>
      </text>
    </comment>
    <comment ref="G4" authorId="2" shapeId="0" xr:uid="{AD9ABAFD-AAE7-4325-8119-A5763C2C73C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UNGEGN List of Country Names
https://unstats.un.org/unsd/geoinfo/ungegn/docs/11th-uncsgn-docs/E_Conf.105_13_CRP.13_15_UNGEGN%20WG%20Country%20Names%20Document.pdf
https://unterm.un.org/unterm2/en/country</t>
      </text>
    </comment>
    <comment ref="Y4" authorId="3" shapeId="0" xr:uid="{2D9655EC-643B-4D12-A76D-9D733D6D3AC5}">
      <text>
        <t>[Threaded comment]
Your version of Excel allows you to read this threaded comment; however, any edits to it will get removed if the file is opened in a newer version of Excel. Learn more: https://go.microsoft.com/fwlink/?linkid=870924
Comment:
    UN-based</t>
      </text>
    </comment>
    <comment ref="Z4" authorId="4" shapeId="0" xr:uid="{F1E00E12-0A5E-4E11-BFE4-907F32F520EA}">
      <text>
        <t>[Threaded comment]
Your version of Excel allows you to read this threaded comment; however, any edits to it will get removed if the file is opened in a newer version of Excel. Learn more: https://go.microsoft.com/fwlink/?linkid=870924
Comment:
    UN + political (G20)</t>
      </text>
    </comment>
    <comment ref="AC4" authorId="5" shapeId="0" xr:uid="{6B560760-0F52-4B87-B02C-D0543052FA9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https://datahelpdesk.worldbank.org/knowledgebase/articles/906519</t>
      </text>
    </comment>
    <comment ref="AD4" authorId="6" shapeId="0" xr:uid="{F85EC017-B1E4-415A-9D33-A77ECC7F6E5C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Classified by the World Bank from 
https://datahelpdesk.worldbank.org/knowledgebase/articles/906519</t>
      </text>
    </comment>
    <comment ref="AE4" authorId="7" shapeId="0" xr:uid="{86A1F907-244E-49D9-8F87-A5E1F90B86A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classification was discontinued by the UNSD in December 2021. But the latest classification here reflects a May 2022 version by the UNSD found in:
https://unstats.un.org/unsd/methodology/m49/</t>
      </text>
    </comment>
    <comment ref="AF4" authorId="8" shapeId="0" xr:uid="{4BF8D8AB-81FC-4399-B60C-BF49CDCE8EFC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30/11/22 from https://www.oecd.org/dac/financing-sustainable-development/development-finance-standards/daclist.htm</t>
      </text>
    </comment>
    <comment ref="AL4" authorId="9" shapeId="0" xr:uid="{2878AA2E-2490-4268-BB3B-EA31B6A2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ISO currency codes 
https://www.currency-iso.org/en/home/tables/table-a1.html</t>
      </text>
    </comment>
    <comment ref="AX4" authorId="10" shapeId="0" xr:uid="{E445B2ED-ABC4-47C5-8F5B-551B261AC0D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excludes the countries/territories with no capacity data</t>
      </text>
    </comment>
  </commentList>
</comments>
</file>

<file path=xl/sharedStrings.xml><?xml version="1.0" encoding="utf-8"?>
<sst xmlns="http://schemas.openxmlformats.org/spreadsheetml/2006/main" count="41219" uniqueCount="2998">
  <si>
    <t>ISO2</t>
  </si>
  <si>
    <t>ISO3</t>
  </si>
  <si>
    <t>M49</t>
  </si>
  <si>
    <t>IRENA Sort Order</t>
  </si>
  <si>
    <t>IRENA Country Name</t>
  </si>
  <si>
    <t>UN Short Name EN</t>
  </si>
  <si>
    <t>UN Short Name FR</t>
  </si>
  <si>
    <t>UN Short Name ES</t>
  </si>
  <si>
    <t>Region (M49)</t>
  </si>
  <si>
    <t>UN Region</t>
  </si>
  <si>
    <t>Sub-region (M49)</t>
  </si>
  <si>
    <t>UN Sub-region</t>
  </si>
  <si>
    <t>Sub-region2 (M49)</t>
  </si>
  <si>
    <t>UN Sub-region2</t>
  </si>
  <si>
    <t>IRENA Region</t>
  </si>
  <si>
    <t>WBG Region</t>
  </si>
  <si>
    <t>WBG Income Group</t>
  </si>
  <si>
    <t>Developed / Developing</t>
  </si>
  <si>
    <t>OECD</t>
  </si>
  <si>
    <t>Sub-OECD</t>
  </si>
  <si>
    <t>IEA</t>
  </si>
  <si>
    <t>Granularity</t>
  </si>
  <si>
    <t>CurrencyISO</t>
  </si>
  <si>
    <t>DeflatorISO</t>
  </si>
  <si>
    <t>Belt Road Initiative</t>
  </si>
  <si>
    <t>LDC</t>
  </si>
  <si>
    <t>LLDC</t>
  </si>
  <si>
    <t>SIDS</t>
  </si>
  <si>
    <t>EU-28</t>
  </si>
  <si>
    <t>EU-27</t>
  </si>
  <si>
    <t>SIDS Lighthouse</t>
  </si>
  <si>
    <t>DNI SDG7b1</t>
  </si>
  <si>
    <t>ECA_ALL</t>
  </si>
  <si>
    <t>ECA_CA</t>
  </si>
  <si>
    <t>ECA_EA</t>
  </si>
  <si>
    <t>ECA_NA</t>
  </si>
  <si>
    <t>ECA_SA</t>
  </si>
  <si>
    <t>ECA_WA</t>
  </si>
  <si>
    <t>AUC</t>
  </si>
  <si>
    <t>ECA_ECCAS</t>
  </si>
  <si>
    <t>ECA_ECOWAS</t>
  </si>
  <si>
    <t>ECA_IGAD</t>
  </si>
  <si>
    <t>ECA_SADC</t>
  </si>
  <si>
    <t>ECA_AMU</t>
  </si>
  <si>
    <t>ECA_CEN_SAD</t>
  </si>
  <si>
    <t>ECA_COMESA</t>
  </si>
  <si>
    <t>ECA_EAC</t>
  </si>
  <si>
    <t>ECA_IE</t>
  </si>
  <si>
    <t>ECA_LLC</t>
  </si>
  <si>
    <t>ECA_LL_LDC</t>
  </si>
  <si>
    <t>ECA_LDC</t>
  </si>
  <si>
    <t>ECA_MRC</t>
  </si>
  <si>
    <t>ECA_NO_LDC</t>
  </si>
  <si>
    <t>ECA_NOP</t>
  </si>
  <si>
    <t>ECA_O_LDC</t>
  </si>
  <si>
    <t>ECA_OP</t>
  </si>
  <si>
    <t>ECA_SAHEL</t>
  </si>
  <si>
    <t>ECA_SIS</t>
  </si>
  <si>
    <t>ECA_SSA</t>
  </si>
  <si>
    <t>ECE_ALL</t>
  </si>
  <si>
    <t>ECE_CIS11</t>
  </si>
  <si>
    <t>ECE_EECCA</t>
  </si>
  <si>
    <t>ECE_EU27</t>
  </si>
  <si>
    <t>ECE_EU_EuroArea</t>
  </si>
  <si>
    <t>ECE_WestBalkans</t>
  </si>
  <si>
    <t>ECLAC_ALL</t>
  </si>
  <si>
    <t>ECLAC-LA</t>
  </si>
  <si>
    <t>ECLAC-Caribbean</t>
  </si>
  <si>
    <t>ESCAP_ALL</t>
  </si>
  <si>
    <t>ESCAP_AFRICA</t>
  </si>
  <si>
    <t>ESCAP_ASEAN</t>
  </si>
  <si>
    <t>ESCAP_ECO</t>
  </si>
  <si>
    <t>ESCAP_ENEA</t>
  </si>
  <si>
    <t>ESCAP_LDC</t>
  </si>
  <si>
    <t>ESCAP_LLDC</t>
  </si>
  <si>
    <t>ESCAP_NCA</t>
  </si>
  <si>
    <t>ESCAP_PACIFIC</t>
  </si>
  <si>
    <t>ESCAP_SEA</t>
  </si>
  <si>
    <t>ESCAP_SSWA</t>
  </si>
  <si>
    <t>ESCAP_EUROPE</t>
  </si>
  <si>
    <t>ESCAP_LATIN_AMERICA</t>
  </si>
  <si>
    <t>ESCAP_NORTH_AMERICA</t>
  </si>
  <si>
    <t>ESCAP_OTHER_AREA</t>
  </si>
  <si>
    <t>ESCAP_PIDE</t>
  </si>
  <si>
    <t>ESCAP_SAARC</t>
  </si>
  <si>
    <t>ESCAP_CSN</t>
  </si>
  <si>
    <t>ESCAP_SIDS</t>
  </si>
  <si>
    <t>ESCAP_WB_HIGH</t>
  </si>
  <si>
    <t>ESCAP_WB_UPPER_MID</t>
  </si>
  <si>
    <t>ESCAP_WB_LOWER_MID</t>
  </si>
  <si>
    <t>ESCAP_WB_LOW</t>
  </si>
  <si>
    <t>Arab</t>
  </si>
  <si>
    <t>ESCWA_GCC</t>
  </si>
  <si>
    <t>ESCWA_MASHREQ</t>
  </si>
  <si>
    <t>ESCWA_MAGHREB</t>
  </si>
  <si>
    <t>ESCWA_LDC</t>
  </si>
  <si>
    <t>AF</t>
  </si>
  <si>
    <t>AFG</t>
  </si>
  <si>
    <t>Afghanistan</t>
  </si>
  <si>
    <t>Afganistán</t>
  </si>
  <si>
    <t>Asia</t>
  </si>
  <si>
    <t>Southern Asia</t>
  </si>
  <si>
    <t>South Asia</t>
  </si>
  <si>
    <t>Low income</t>
  </si>
  <si>
    <t>Developing</t>
  </si>
  <si>
    <t>Non-OECD</t>
  </si>
  <si>
    <t>Non-IEA</t>
  </si>
  <si>
    <t>3.0-Country/Area</t>
  </si>
  <si>
    <t>AFN</t>
  </si>
  <si>
    <t>DAC</t>
  </si>
  <si>
    <t>BRI</t>
  </si>
  <si>
    <t>Non SIDS</t>
  </si>
  <si>
    <t>Non-EU</t>
  </si>
  <si>
    <t>Non SIDS LH</t>
  </si>
  <si>
    <t/>
  </si>
  <si>
    <t>RAF</t>
  </si>
  <si>
    <t>Africa</t>
  </si>
  <si>
    <t>Afrique</t>
  </si>
  <si>
    <t>2.0-Region (M49)</t>
  </si>
  <si>
    <t>Non LDC</t>
  </si>
  <si>
    <t>Non LLDC</t>
  </si>
  <si>
    <t>AX</t>
  </si>
  <si>
    <t>ALA</t>
  </si>
  <si>
    <t>Aland Islands</t>
  </si>
  <si>
    <t>Åland Islands</t>
  </si>
  <si>
    <t>Îles d'Åland</t>
  </si>
  <si>
    <t>Islas Åland</t>
  </si>
  <si>
    <t>Europe</t>
  </si>
  <si>
    <t>Northern Europe</t>
  </si>
  <si>
    <t>Europe &amp; Central Asia</t>
  </si>
  <si>
    <t>High income</t>
  </si>
  <si>
    <t>Developed</t>
  </si>
  <si>
    <t>EUR</t>
  </si>
  <si>
    <t>AL</t>
  </si>
  <si>
    <t>ALB</t>
  </si>
  <si>
    <t>Albania</t>
  </si>
  <si>
    <t>Albanie</t>
  </si>
  <si>
    <t>Southern Europe</t>
  </si>
  <si>
    <t>Upper middle income</t>
  </si>
  <si>
    <t>ALL</t>
  </si>
  <si>
    <t>DZ</t>
  </si>
  <si>
    <t>DZA</t>
  </si>
  <si>
    <t>Algeria</t>
  </si>
  <si>
    <t>Algérie</t>
  </si>
  <si>
    <t>Argelia</t>
  </si>
  <si>
    <t>Northern Africa</t>
  </si>
  <si>
    <t>Middle East &amp; North Africa</t>
  </si>
  <si>
    <t>DZD</t>
  </si>
  <si>
    <t>AS</t>
  </si>
  <si>
    <t>ASM</t>
  </si>
  <si>
    <t>American Samoa</t>
  </si>
  <si>
    <t>Samoa américaines</t>
  </si>
  <si>
    <t>Samoa Americana</t>
  </si>
  <si>
    <t>Oceania</t>
  </si>
  <si>
    <t>Polynesia</t>
  </si>
  <si>
    <t>East Asia &amp; Pacific</t>
  </si>
  <si>
    <t>USD</t>
  </si>
  <si>
    <t>Americas</t>
  </si>
  <si>
    <t>Unspecified</t>
  </si>
  <si>
    <t>AD</t>
  </si>
  <si>
    <t>AND</t>
  </si>
  <si>
    <t>Andorra</t>
  </si>
  <si>
    <t>Andorre</t>
  </si>
  <si>
    <t>AO</t>
  </si>
  <si>
    <t>AGO</t>
  </si>
  <si>
    <t>Angola</t>
  </si>
  <si>
    <t>Sub-Saharan Africa</t>
  </si>
  <si>
    <t>Middle Africa</t>
  </si>
  <si>
    <t>Lower middle income</t>
  </si>
  <si>
    <t>AOA</t>
  </si>
  <si>
    <t>AI</t>
  </si>
  <si>
    <t>AIA</t>
  </si>
  <si>
    <t>Anguilla</t>
  </si>
  <si>
    <t>Anguila</t>
  </si>
  <si>
    <t>Latin America and the Caribbean</t>
  </si>
  <si>
    <t>Caribbean</t>
  </si>
  <si>
    <t>Central America and the Caribbean</t>
  </si>
  <si>
    <t>Latin America &amp; Caribbean</t>
  </si>
  <si>
    <t>Non-OECD Americas</t>
  </si>
  <si>
    <t>XCD</t>
  </si>
  <si>
    <t>AQ</t>
  </si>
  <si>
    <t>ATA</t>
  </si>
  <si>
    <t>Antarctica</t>
  </si>
  <si>
    <t>Antarctique</t>
  </si>
  <si>
    <t>Antártida</t>
  </si>
  <si>
    <t>Multilateral</t>
  </si>
  <si>
    <t>AG</t>
  </si>
  <si>
    <t>ATG</t>
  </si>
  <si>
    <t>Antigua and Barbuda</t>
  </si>
  <si>
    <t>Antigua-et-Barbuda</t>
  </si>
  <si>
    <t>Antigua y Barbuda</t>
  </si>
  <si>
    <t>SIDS LH</t>
  </si>
  <si>
    <t>AR</t>
  </si>
  <si>
    <t>ARG</t>
  </si>
  <si>
    <t>Argentina</t>
  </si>
  <si>
    <t>Argentine</t>
  </si>
  <si>
    <t>South America</t>
  </si>
  <si>
    <t>ARS</t>
  </si>
  <si>
    <t>AM</t>
  </si>
  <si>
    <t>ARM</t>
  </si>
  <si>
    <t>Armenia</t>
  </si>
  <si>
    <t>Arménie</t>
  </si>
  <si>
    <t>Western Asia</t>
  </si>
  <si>
    <t>Eurasia</t>
  </si>
  <si>
    <t>AMD</t>
  </si>
  <si>
    <t>AW</t>
  </si>
  <si>
    <t>ABW</t>
  </si>
  <si>
    <t>Aruba</t>
  </si>
  <si>
    <t>AWG</t>
  </si>
  <si>
    <t>RAS</t>
  </si>
  <si>
    <t>Asie</t>
  </si>
  <si>
    <t>AU</t>
  </si>
  <si>
    <t>AUS</t>
  </si>
  <si>
    <t>Australia</t>
  </si>
  <si>
    <t>Australie</t>
  </si>
  <si>
    <t>Australia and New Zealand</t>
  </si>
  <si>
    <t>OECD Asia Oceania</t>
  </si>
  <si>
    <t>AUD</t>
  </si>
  <si>
    <t>2.1-Sub-Region (M49)</t>
  </si>
  <si>
    <t>AT</t>
  </si>
  <si>
    <t>AUT</t>
  </si>
  <si>
    <t>Austria</t>
  </si>
  <si>
    <t>Autriche</t>
  </si>
  <si>
    <t>Western Europe</t>
  </si>
  <si>
    <t>OECD Europe</t>
  </si>
  <si>
    <t>AZ</t>
  </si>
  <si>
    <t>AZE</t>
  </si>
  <si>
    <t>Azerbaijan</t>
  </si>
  <si>
    <t>Azerbaïdjan</t>
  </si>
  <si>
    <t>Azerbaiyán</t>
  </si>
  <si>
    <t>AZN</t>
  </si>
  <si>
    <t>BS</t>
  </si>
  <si>
    <t>BHS</t>
  </si>
  <si>
    <t>Bahamas</t>
  </si>
  <si>
    <t>BSD</t>
  </si>
  <si>
    <t>BH</t>
  </si>
  <si>
    <t>BHR</t>
  </si>
  <si>
    <t>Bahrain</t>
  </si>
  <si>
    <t>Bahreïn</t>
  </si>
  <si>
    <t>Bahrein</t>
  </si>
  <si>
    <t>Middle East</t>
  </si>
  <si>
    <t>BHD</t>
  </si>
  <si>
    <t>BD</t>
  </si>
  <si>
    <t>BGD</t>
  </si>
  <si>
    <t>Bangladesh</t>
  </si>
  <si>
    <t>BDT</t>
  </si>
  <si>
    <t>BB</t>
  </si>
  <si>
    <t>BRB</t>
  </si>
  <si>
    <t>Barbados</t>
  </si>
  <si>
    <t>Barbade</t>
  </si>
  <si>
    <t>BBD</t>
  </si>
  <si>
    <t>BY</t>
  </si>
  <si>
    <t>BLR</t>
  </si>
  <si>
    <t>Belarus</t>
  </si>
  <si>
    <t>Bélarus</t>
  </si>
  <si>
    <t>Belarús</t>
  </si>
  <si>
    <t>Eastern Europe</t>
  </si>
  <si>
    <t>BYN</t>
  </si>
  <si>
    <t>BE</t>
  </si>
  <si>
    <t>BEL</t>
  </si>
  <si>
    <t>Belgium</t>
  </si>
  <si>
    <t>Belgique</t>
  </si>
  <si>
    <t>Bélgica</t>
  </si>
  <si>
    <t>BZ</t>
  </si>
  <si>
    <t>BLZ</t>
  </si>
  <si>
    <t>Belize</t>
  </si>
  <si>
    <t>Belice</t>
  </si>
  <si>
    <t>Central America</t>
  </si>
  <si>
    <t>BZD</t>
  </si>
  <si>
    <t>BJ</t>
  </si>
  <si>
    <t>BEN</t>
  </si>
  <si>
    <t>Benin</t>
  </si>
  <si>
    <t>Bénin</t>
  </si>
  <si>
    <t>Western Africa</t>
  </si>
  <si>
    <t>XOF</t>
  </si>
  <si>
    <t>BM</t>
  </si>
  <si>
    <t>BMU</t>
  </si>
  <si>
    <t>Bermuda</t>
  </si>
  <si>
    <t>Bermudes</t>
  </si>
  <si>
    <t>Northern America</t>
  </si>
  <si>
    <t>North America</t>
  </si>
  <si>
    <t>BMD</t>
  </si>
  <si>
    <t>DNI</t>
  </si>
  <si>
    <t>BT</t>
  </si>
  <si>
    <t>BTN</t>
  </si>
  <si>
    <t>Bhutan</t>
  </si>
  <si>
    <t>Bhoutan</t>
  </si>
  <si>
    <t>Bhután</t>
  </si>
  <si>
    <t>INR</t>
  </si>
  <si>
    <t>BO</t>
  </si>
  <si>
    <t>BOL</t>
  </si>
  <si>
    <t>Bolivia (Plurinational State of)</t>
  </si>
  <si>
    <t>Bolivie (État plurinational de)</t>
  </si>
  <si>
    <t>Bolivia (Estado Plurinacional de)</t>
  </si>
  <si>
    <t>BOB</t>
  </si>
  <si>
    <t>BQ</t>
  </si>
  <si>
    <t>BES</t>
  </si>
  <si>
    <t>Bonaire, Sint Eustatius and Saba</t>
  </si>
  <si>
    <t>Bonaire, Saint-Eustache et Saba</t>
  </si>
  <si>
    <t>Bonaire, San Eustaquio y Saba</t>
  </si>
  <si>
    <t>BA</t>
  </si>
  <si>
    <t>BIH</t>
  </si>
  <si>
    <t>Bosnia and Herzegovina</t>
  </si>
  <si>
    <t>Bosnie-Herzégovine</t>
  </si>
  <si>
    <t>Bosnia y Herzegovina</t>
  </si>
  <si>
    <t>BAM</t>
  </si>
  <si>
    <t>BW</t>
  </si>
  <si>
    <t>BWA</t>
  </si>
  <si>
    <t>Botswana</t>
  </si>
  <si>
    <t>Southern Africa</t>
  </si>
  <si>
    <t>BWP</t>
  </si>
  <si>
    <t>BV</t>
  </si>
  <si>
    <t>BVT</t>
  </si>
  <si>
    <t>Bouvet Island</t>
  </si>
  <si>
    <t>Île Bouvet</t>
  </si>
  <si>
    <t>Isla Bouvet</t>
  </si>
  <si>
    <t>NOK</t>
  </si>
  <si>
    <t>BR</t>
  </si>
  <si>
    <t>BRA</t>
  </si>
  <si>
    <t>Brazil</t>
  </si>
  <si>
    <t>Brésil</t>
  </si>
  <si>
    <t>Brasil</t>
  </si>
  <si>
    <t>BRL</t>
  </si>
  <si>
    <t>IO</t>
  </si>
  <si>
    <t>IOT</t>
  </si>
  <si>
    <t>British Indian Ocean Territory</t>
  </si>
  <si>
    <t>Territoire britannique de l'océan Indien</t>
  </si>
  <si>
    <t>Territorio Británico del Océano Índico</t>
  </si>
  <si>
    <t>Eastern Africa</t>
  </si>
  <si>
    <t>VG</t>
  </si>
  <si>
    <t>VGB</t>
  </si>
  <si>
    <t>British Virgin Islands</t>
  </si>
  <si>
    <t>Îles Vierges britanniques</t>
  </si>
  <si>
    <t>Islas Vírgenes Británicas</t>
  </si>
  <si>
    <t>BN</t>
  </si>
  <si>
    <t>BRN</t>
  </si>
  <si>
    <t>Brunei Darussalam</t>
  </si>
  <si>
    <t>Brunéi Darussalam</t>
  </si>
  <si>
    <t>South-eastern Asia</t>
  </si>
  <si>
    <t>BND</t>
  </si>
  <si>
    <t>BG</t>
  </si>
  <si>
    <t>BGR</t>
  </si>
  <si>
    <t>Bulgaria</t>
  </si>
  <si>
    <t>Bulgarie</t>
  </si>
  <si>
    <t>BGN</t>
  </si>
  <si>
    <t>BF</t>
  </si>
  <si>
    <t>BFA</t>
  </si>
  <si>
    <t>Burkina Faso</t>
  </si>
  <si>
    <t>BI</t>
  </si>
  <si>
    <t>BDI</t>
  </si>
  <si>
    <t>Burundi</t>
  </si>
  <si>
    <t>BIF</t>
  </si>
  <si>
    <t>CV</t>
  </si>
  <si>
    <t>CPV</t>
  </si>
  <si>
    <t>Cabo Verde</t>
  </si>
  <si>
    <t>CVE</t>
  </si>
  <si>
    <t>KH</t>
  </si>
  <si>
    <t>KHM</t>
  </si>
  <si>
    <t>Cambodia</t>
  </si>
  <si>
    <t>Cambodge</t>
  </si>
  <si>
    <t>Camboya</t>
  </si>
  <si>
    <t>KHR</t>
  </si>
  <si>
    <t>CM</t>
  </si>
  <si>
    <t>CMR</t>
  </si>
  <si>
    <t>Cameroon</t>
  </si>
  <si>
    <t>Cameroun</t>
  </si>
  <si>
    <t>Camerún</t>
  </si>
  <si>
    <t>XAF</t>
  </si>
  <si>
    <t>CA</t>
  </si>
  <si>
    <t>CAN</t>
  </si>
  <si>
    <t>Canada</t>
  </si>
  <si>
    <t>Canadá</t>
  </si>
  <si>
    <t>OECD Americas</t>
  </si>
  <si>
    <t>CAD</t>
  </si>
  <si>
    <t>KY</t>
  </si>
  <si>
    <t>CYM</t>
  </si>
  <si>
    <t>Cayman Islands</t>
  </si>
  <si>
    <t>Îles Caïmanes</t>
  </si>
  <si>
    <t>Islas Caimán</t>
  </si>
  <si>
    <t>KYD</t>
  </si>
  <si>
    <t>CF</t>
  </si>
  <si>
    <t>CAF</t>
  </si>
  <si>
    <t>Central African Republic</t>
  </si>
  <si>
    <t>République centrafricaine</t>
  </si>
  <si>
    <t>República Centroafricana</t>
  </si>
  <si>
    <t>RCC</t>
  </si>
  <si>
    <t>Centroamérica y el Caribe</t>
  </si>
  <si>
    <t>Central Asia</t>
  </si>
  <si>
    <t>Central Asia and Southern Asia</t>
  </si>
  <si>
    <t>2.2-SDG classification</t>
  </si>
  <si>
    <t>TD</t>
  </si>
  <si>
    <t>TCD</t>
  </si>
  <si>
    <t>Chad</t>
  </si>
  <si>
    <t>Tchad</t>
  </si>
  <si>
    <t>XCH</t>
  </si>
  <si>
    <t>Channel Islands</t>
  </si>
  <si>
    <t>Îles Anglo-Normandes</t>
  </si>
  <si>
    <t>Islas del Canal</t>
  </si>
  <si>
    <t>CL</t>
  </si>
  <si>
    <t>CHL</t>
  </si>
  <si>
    <t>Chile</t>
  </si>
  <si>
    <t>Chili</t>
  </si>
  <si>
    <t>CLP</t>
  </si>
  <si>
    <t>CN</t>
  </si>
  <si>
    <t>CHN</t>
  </si>
  <si>
    <t>China</t>
  </si>
  <si>
    <t>Chine</t>
  </si>
  <si>
    <t>Eastern Asia</t>
  </si>
  <si>
    <t>CNY</t>
  </si>
  <si>
    <t>HK</t>
  </si>
  <si>
    <t>HKG</t>
  </si>
  <si>
    <t>China, Hong Kong SAR</t>
  </si>
  <si>
    <t>China, Hong Kong Special Administrative Region</t>
  </si>
  <si>
    <t>Chine, région administrative spéciale de Hong Kong</t>
  </si>
  <si>
    <t>China, región administrativa especial de Hong Kong</t>
  </si>
  <si>
    <t>HKD</t>
  </si>
  <si>
    <t>MO</t>
  </si>
  <si>
    <t>MAC</t>
  </si>
  <si>
    <t>China, Macao SAR</t>
  </si>
  <si>
    <t>China, Macao Special Administrative Region</t>
  </si>
  <si>
    <t>Chine, région administrative spéciale de Macao</t>
  </si>
  <si>
    <t>China, región administrativa especial de Macao</t>
  </si>
  <si>
    <t>MOP</t>
  </si>
  <si>
    <t>TW</t>
  </si>
  <si>
    <t>TWN</t>
  </si>
  <si>
    <t>Chinese Taipei</t>
  </si>
  <si>
    <t>Taipei chinois</t>
  </si>
  <si>
    <t>China Taipéi</t>
  </si>
  <si>
    <t>TWD</t>
  </si>
  <si>
    <t>CX</t>
  </si>
  <si>
    <t>CXR</t>
  </si>
  <si>
    <t>Christmas Island</t>
  </si>
  <si>
    <t>Île Christmas</t>
  </si>
  <si>
    <t>Isla de Navidad</t>
  </si>
  <si>
    <t>CC</t>
  </si>
  <si>
    <t>CCK</t>
  </si>
  <si>
    <t>Cocos (Keeling) Islands</t>
  </si>
  <si>
    <t>Îles des Cocos (Keeling)</t>
  </si>
  <si>
    <t>Islas Cocos (Keeling)</t>
  </si>
  <si>
    <t>CO</t>
  </si>
  <si>
    <t>COL</t>
  </si>
  <si>
    <t>Colombia</t>
  </si>
  <si>
    <t>Colombie</t>
  </si>
  <si>
    <t>COP</t>
  </si>
  <si>
    <t>KM</t>
  </si>
  <si>
    <t>COM</t>
  </si>
  <si>
    <t>Comoros</t>
  </si>
  <si>
    <t>Comores</t>
  </si>
  <si>
    <t>Comoras</t>
  </si>
  <si>
    <t>XMF</t>
  </si>
  <si>
    <t>CG</t>
  </si>
  <si>
    <t>COG</t>
  </si>
  <si>
    <t>Congo</t>
  </si>
  <si>
    <t>CK</t>
  </si>
  <si>
    <t>COK</t>
  </si>
  <si>
    <t>Cook Islands</t>
  </si>
  <si>
    <t>Îles Cook</t>
  </si>
  <si>
    <t>Islas Cook</t>
  </si>
  <si>
    <t>NZD</t>
  </si>
  <si>
    <t>CR</t>
  </si>
  <si>
    <t>CRI</t>
  </si>
  <si>
    <t>Costa Rica</t>
  </si>
  <si>
    <t>CRC</t>
  </si>
  <si>
    <t>CI</t>
  </si>
  <si>
    <t>CIV</t>
  </si>
  <si>
    <t>Cote d'Ivoire</t>
  </si>
  <si>
    <t>Côte d'Ivoire</t>
  </si>
  <si>
    <t>HR</t>
  </si>
  <si>
    <t>HRV</t>
  </si>
  <si>
    <t>Croatia</t>
  </si>
  <si>
    <t>Croatie</t>
  </si>
  <si>
    <t>Croacia</t>
  </si>
  <si>
    <t>HRK</t>
  </si>
  <si>
    <t>CU</t>
  </si>
  <si>
    <t>CUB</t>
  </si>
  <si>
    <t>Cuba</t>
  </si>
  <si>
    <t>CUP</t>
  </si>
  <si>
    <t>CW</t>
  </si>
  <si>
    <t>CUW</t>
  </si>
  <si>
    <t>Curacao</t>
  </si>
  <si>
    <t>Curaçao</t>
  </si>
  <si>
    <t>ANG</t>
  </si>
  <si>
    <t>CY</t>
  </si>
  <si>
    <t>CYP</t>
  </si>
  <si>
    <t>Cyprus</t>
  </si>
  <si>
    <t>Chypre</t>
  </si>
  <si>
    <t>Chipre</t>
  </si>
  <si>
    <t>CZ</t>
  </si>
  <si>
    <t>CZE</t>
  </si>
  <si>
    <t>Czechia</t>
  </si>
  <si>
    <t>Tchéquie</t>
  </si>
  <si>
    <t>Chequia</t>
  </si>
  <si>
    <t>CZK</t>
  </si>
  <si>
    <t>KP</t>
  </si>
  <si>
    <t>PRK</t>
  </si>
  <si>
    <t>Democratic People's Republic of Korea</t>
  </si>
  <si>
    <t>République populaire démocratique de Corée</t>
  </si>
  <si>
    <t>República Popular Democrática de Corea</t>
  </si>
  <si>
    <t>KPW</t>
  </si>
  <si>
    <t>CD</t>
  </si>
  <si>
    <t>COD</t>
  </si>
  <si>
    <t>Democratic Republic of the Congo</t>
  </si>
  <si>
    <t>République démocratique du Congo</t>
  </si>
  <si>
    <t>República Democrática del Congo</t>
  </si>
  <si>
    <t>CDF</t>
  </si>
  <si>
    <t>DK</t>
  </si>
  <si>
    <t>DNK</t>
  </si>
  <si>
    <t>Denmark</t>
  </si>
  <si>
    <t>Danemark</t>
  </si>
  <si>
    <t>Dinamarca</t>
  </si>
  <si>
    <t>DKK</t>
  </si>
  <si>
    <t>DJ</t>
  </si>
  <si>
    <t>DJI</t>
  </si>
  <si>
    <t>Djibouti</t>
  </si>
  <si>
    <t>DJF</t>
  </si>
  <si>
    <t>DM</t>
  </si>
  <si>
    <t>DMA</t>
  </si>
  <si>
    <t>Dominica</t>
  </si>
  <si>
    <t>Dominique</t>
  </si>
  <si>
    <t>DO</t>
  </si>
  <si>
    <t>DOM</t>
  </si>
  <si>
    <t>Dominican Republic</t>
  </si>
  <si>
    <t>République dominicaine</t>
  </si>
  <si>
    <t>República Dominicana</t>
  </si>
  <si>
    <t>DOP</t>
  </si>
  <si>
    <t>Eastern Asia and South-eastern Asia</t>
  </si>
  <si>
    <t>EC</t>
  </si>
  <si>
    <t>ECU</t>
  </si>
  <si>
    <t>Ecuador</t>
  </si>
  <si>
    <t>Équateur</t>
  </si>
  <si>
    <t>EG</t>
  </si>
  <si>
    <t>EGY</t>
  </si>
  <si>
    <t>Egypt</t>
  </si>
  <si>
    <t>Égypte</t>
  </si>
  <si>
    <t>Egipto</t>
  </si>
  <si>
    <t>EGP</t>
  </si>
  <si>
    <t>SV</t>
  </si>
  <si>
    <t>SLV</t>
  </si>
  <si>
    <t>El Salvador</t>
  </si>
  <si>
    <t>SVC</t>
  </si>
  <si>
    <t>GQ</t>
  </si>
  <si>
    <t>GNQ</t>
  </si>
  <si>
    <t>Equatorial Guinea</t>
  </si>
  <si>
    <t>Guinée équatoriale</t>
  </si>
  <si>
    <t>Guinea Ecuatorial</t>
  </si>
  <si>
    <t>ER</t>
  </si>
  <si>
    <t>ERI</t>
  </si>
  <si>
    <t>Eritrea</t>
  </si>
  <si>
    <t>Érythrée</t>
  </si>
  <si>
    <t>ERN</t>
  </si>
  <si>
    <t>EE</t>
  </si>
  <si>
    <t>EST</t>
  </si>
  <si>
    <t>Estonia</t>
  </si>
  <si>
    <t>Estonie</t>
  </si>
  <si>
    <t>SZ</t>
  </si>
  <si>
    <t>SWZ</t>
  </si>
  <si>
    <t>Eswatini</t>
  </si>
  <si>
    <t>SZL</t>
  </si>
  <si>
    <t>ET</t>
  </si>
  <si>
    <t>ETH</t>
  </si>
  <si>
    <t>Ethiopia</t>
  </si>
  <si>
    <t>Éthiopie</t>
  </si>
  <si>
    <t>Etiopía</t>
  </si>
  <si>
    <t>ETB</t>
  </si>
  <si>
    <t>REA</t>
  </si>
  <si>
    <t>RER</t>
  </si>
  <si>
    <t>Europa</t>
  </si>
  <si>
    <t>X01</t>
  </si>
  <si>
    <t>Europe, Northern America, Australia and New Zealand</t>
  </si>
  <si>
    <t>EUE</t>
  </si>
  <si>
    <t>European Union (28)</t>
  </si>
  <si>
    <t>European Union (27)</t>
  </si>
  <si>
    <t>Unión Europea (28)</t>
  </si>
  <si>
    <t>FK</t>
  </si>
  <si>
    <t>FLK</t>
  </si>
  <si>
    <t>Falkland Islands (Malvinas)</t>
  </si>
  <si>
    <t>Îles Falkland (Malvinas)</t>
  </si>
  <si>
    <t>Islas Malvinas (Falkland)</t>
  </si>
  <si>
    <t>FKP</t>
  </si>
  <si>
    <t>FO</t>
  </si>
  <si>
    <t>FRO</t>
  </si>
  <si>
    <t>Faroe Islands</t>
  </si>
  <si>
    <t>Îles Féroé</t>
  </si>
  <si>
    <t>Islas Feroe</t>
  </si>
  <si>
    <t>FJ</t>
  </si>
  <si>
    <t>FJI</t>
  </si>
  <si>
    <t>Fiji</t>
  </si>
  <si>
    <t>Fidji</t>
  </si>
  <si>
    <t>Melanesia</t>
  </si>
  <si>
    <t>FJD</t>
  </si>
  <si>
    <t>FI</t>
  </si>
  <si>
    <t>FIN</t>
  </si>
  <si>
    <t>Finland</t>
  </si>
  <si>
    <t>Finlande</t>
  </si>
  <si>
    <t>Finlandia</t>
  </si>
  <si>
    <t>FR</t>
  </si>
  <si>
    <t>FRA</t>
  </si>
  <si>
    <t>France</t>
  </si>
  <si>
    <t>Francia</t>
  </si>
  <si>
    <t>GF</t>
  </si>
  <si>
    <t>GUF</t>
  </si>
  <si>
    <t>French Guiana</t>
  </si>
  <si>
    <t>Guyane française</t>
  </si>
  <si>
    <t>Guayana Francesa</t>
  </si>
  <si>
    <t>PF</t>
  </si>
  <si>
    <t>PYF</t>
  </si>
  <si>
    <t>French Polynesia</t>
  </si>
  <si>
    <t>Polynésie française</t>
  </si>
  <si>
    <t>Polinesia Francesa</t>
  </si>
  <si>
    <t>XPF</t>
  </si>
  <si>
    <t>TF</t>
  </si>
  <si>
    <t>ATF</t>
  </si>
  <si>
    <t>French Southern Territories</t>
  </si>
  <si>
    <t>French Southern and Antarctic Territories</t>
  </si>
  <si>
    <t>Terres australes françaises</t>
  </si>
  <si>
    <t>Territorio de las Tierras Australes Francesas</t>
  </si>
  <si>
    <t>GA</t>
  </si>
  <si>
    <t>GAB</t>
  </si>
  <si>
    <t>Gabon</t>
  </si>
  <si>
    <t>Gabón</t>
  </si>
  <si>
    <t>GM</t>
  </si>
  <si>
    <t>GMB</t>
  </si>
  <si>
    <t>Gambia</t>
  </si>
  <si>
    <t>Gambie</t>
  </si>
  <si>
    <t>GMD</t>
  </si>
  <si>
    <t>GE</t>
  </si>
  <si>
    <t>GEO</t>
  </si>
  <si>
    <t>Georgia</t>
  </si>
  <si>
    <t>Géorgie</t>
  </si>
  <si>
    <t>GEL</t>
  </si>
  <si>
    <t>DE</t>
  </si>
  <si>
    <t>DEU</t>
  </si>
  <si>
    <t>Germany</t>
  </si>
  <si>
    <t>Allemagne</t>
  </si>
  <si>
    <t>Alemania</t>
  </si>
  <si>
    <t>GH</t>
  </si>
  <si>
    <t>GHA</t>
  </si>
  <si>
    <t>Ghana</t>
  </si>
  <si>
    <t>GHS</t>
  </si>
  <si>
    <t>GI</t>
  </si>
  <si>
    <t>GIB</t>
  </si>
  <si>
    <t>Gibraltar</t>
  </si>
  <si>
    <t>GIP</t>
  </si>
  <si>
    <t>GR</t>
  </si>
  <si>
    <t>GRC</t>
  </si>
  <si>
    <t>Greece</t>
  </si>
  <si>
    <t>Grèce</t>
  </si>
  <si>
    <t>Grecia</t>
  </si>
  <si>
    <t>GL</t>
  </si>
  <si>
    <t>GRL</t>
  </si>
  <si>
    <t>Greenland</t>
  </si>
  <si>
    <t>Groenland</t>
  </si>
  <si>
    <t>Groenlandia</t>
  </si>
  <si>
    <t>GD</t>
  </si>
  <si>
    <t>GRD</t>
  </si>
  <si>
    <t>Grenada</t>
  </si>
  <si>
    <t>Grenade</t>
  </si>
  <si>
    <t>Granada</t>
  </si>
  <si>
    <t>GP</t>
  </si>
  <si>
    <t>GLP</t>
  </si>
  <si>
    <t>Guadeloupe</t>
  </si>
  <si>
    <t>Guadalupe</t>
  </si>
  <si>
    <t>GU</t>
  </si>
  <si>
    <t>GUM</t>
  </si>
  <si>
    <t>Guam</t>
  </si>
  <si>
    <t>Micronesia</t>
  </si>
  <si>
    <t>GT</t>
  </si>
  <si>
    <t>GTM</t>
  </si>
  <si>
    <t>Guatemala</t>
  </si>
  <si>
    <t>GTQ</t>
  </si>
  <si>
    <t>GG</t>
  </si>
  <si>
    <t>GGY</t>
  </si>
  <si>
    <t>Guernsey</t>
  </si>
  <si>
    <t>Guernesey</t>
  </si>
  <si>
    <t>GBP</t>
  </si>
  <si>
    <t>GN</t>
  </si>
  <si>
    <t>GIN</t>
  </si>
  <si>
    <t>Guinea</t>
  </si>
  <si>
    <t>Guinée</t>
  </si>
  <si>
    <t>GNF</t>
  </si>
  <si>
    <t>GW</t>
  </si>
  <si>
    <t>GNB</t>
  </si>
  <si>
    <t>Guinea-Bissau</t>
  </si>
  <si>
    <t>Guinée-Bissau</t>
  </si>
  <si>
    <t>GY</t>
  </si>
  <si>
    <t>GUY</t>
  </si>
  <si>
    <t>Guyana</t>
  </si>
  <si>
    <t>GYD</t>
  </si>
  <si>
    <t>HT</t>
  </si>
  <si>
    <t>HTI</t>
  </si>
  <si>
    <t>Haiti</t>
  </si>
  <si>
    <t>Haïti</t>
  </si>
  <si>
    <t>Haití</t>
  </si>
  <si>
    <t>HTG</t>
  </si>
  <si>
    <t>HM</t>
  </si>
  <si>
    <t>HMD</t>
  </si>
  <si>
    <t>Heard Island and McDonald Islands</t>
  </si>
  <si>
    <t>Île Heard-et-Îles MacDonald</t>
  </si>
  <si>
    <t>Islas Heard y McDonald</t>
  </si>
  <si>
    <t>VA</t>
  </si>
  <si>
    <t>VAT</t>
  </si>
  <si>
    <t>Holy See</t>
  </si>
  <si>
    <t>Saint-Siège</t>
  </si>
  <si>
    <t>Santa Sede</t>
  </si>
  <si>
    <t>HN</t>
  </si>
  <si>
    <t>HND</t>
  </si>
  <si>
    <t>Honduras</t>
  </si>
  <si>
    <t>HNL</t>
  </si>
  <si>
    <t>HU</t>
  </si>
  <si>
    <t>HUN</t>
  </si>
  <si>
    <t>Hungary</t>
  </si>
  <si>
    <t>Hongrie</t>
  </si>
  <si>
    <t>Hungría</t>
  </si>
  <si>
    <t>HUF</t>
  </si>
  <si>
    <t>IS</t>
  </si>
  <si>
    <t>ISL</t>
  </si>
  <si>
    <t>Iceland</t>
  </si>
  <si>
    <t>Islande</t>
  </si>
  <si>
    <t>Islandia</t>
  </si>
  <si>
    <t>ISK</t>
  </si>
  <si>
    <t>IN</t>
  </si>
  <si>
    <t>IND</t>
  </si>
  <si>
    <t>India</t>
  </si>
  <si>
    <t>Inde</t>
  </si>
  <si>
    <t>ID</t>
  </si>
  <si>
    <t>IDN</t>
  </si>
  <si>
    <t>Indonesia</t>
  </si>
  <si>
    <t>Indonésie</t>
  </si>
  <si>
    <t>IDR</t>
  </si>
  <si>
    <t>IR</t>
  </si>
  <si>
    <t>IRN</t>
  </si>
  <si>
    <t>Iran (Islamic Republic of)</t>
  </si>
  <si>
    <t>Iran (République islamique d')</t>
  </si>
  <si>
    <t>Irán (República Islámica del)</t>
  </si>
  <si>
    <t>IRR</t>
  </si>
  <si>
    <t>IQ</t>
  </si>
  <si>
    <t>IRQ</t>
  </si>
  <si>
    <t>Iraq</t>
  </si>
  <si>
    <t>IQD</t>
  </si>
  <si>
    <t>IE</t>
  </si>
  <si>
    <t>IRL</t>
  </si>
  <si>
    <t>Ireland</t>
  </si>
  <si>
    <t>Irlande</t>
  </si>
  <si>
    <t>Irlanda</t>
  </si>
  <si>
    <t>IM</t>
  </si>
  <si>
    <t>IMN</t>
  </si>
  <si>
    <t>Isle of Man</t>
  </si>
  <si>
    <t>Île de Man</t>
  </si>
  <si>
    <t>Isla de Man</t>
  </si>
  <si>
    <t>IL</t>
  </si>
  <si>
    <t>ISR</t>
  </si>
  <si>
    <t>Israel</t>
  </si>
  <si>
    <t>Israël</t>
  </si>
  <si>
    <t>ILS</t>
  </si>
  <si>
    <t>IT</t>
  </si>
  <si>
    <t>ITA</t>
  </si>
  <si>
    <t>Italy</t>
  </si>
  <si>
    <t>Italie</t>
  </si>
  <si>
    <t>Italia</t>
  </si>
  <si>
    <t>JM</t>
  </si>
  <si>
    <t>JAM</t>
  </si>
  <si>
    <t>Jamaica</t>
  </si>
  <si>
    <t>Jamaïque</t>
  </si>
  <si>
    <t>JMD</t>
  </si>
  <si>
    <t>JP</t>
  </si>
  <si>
    <t>JPN</t>
  </si>
  <si>
    <t>Japan</t>
  </si>
  <si>
    <t>Japon</t>
  </si>
  <si>
    <t>Japón</t>
  </si>
  <si>
    <t>JPY</t>
  </si>
  <si>
    <t>JE</t>
  </si>
  <si>
    <t>JEY</t>
  </si>
  <si>
    <t>Jersey</t>
  </si>
  <si>
    <t>JO</t>
  </si>
  <si>
    <t>JOR</t>
  </si>
  <si>
    <t>Jordan</t>
  </si>
  <si>
    <t>Jordanie</t>
  </si>
  <si>
    <t>Jordania</t>
  </si>
  <si>
    <t>JOD</t>
  </si>
  <si>
    <t>KZ</t>
  </si>
  <si>
    <t>KAZ</t>
  </si>
  <si>
    <t>Kazakhstan</t>
  </si>
  <si>
    <t>Kazajstán</t>
  </si>
  <si>
    <t>KZT</t>
  </si>
  <si>
    <t>KE</t>
  </si>
  <si>
    <t>KEN</t>
  </si>
  <si>
    <t>Kenya</t>
  </si>
  <si>
    <t>KES</t>
  </si>
  <si>
    <t>KI</t>
  </si>
  <si>
    <t>KIR</t>
  </si>
  <si>
    <t>Kiribati</t>
  </si>
  <si>
    <t>XKX</t>
  </si>
  <si>
    <t>Kosovo*</t>
  </si>
  <si>
    <t>KW</t>
  </si>
  <si>
    <t>KWT</t>
  </si>
  <si>
    <t>Kuwait</t>
  </si>
  <si>
    <t>Koweït</t>
  </si>
  <si>
    <t>KWD</t>
  </si>
  <si>
    <t>KG</t>
  </si>
  <si>
    <t>KGZ</t>
  </si>
  <si>
    <t>Kyrgyzstan</t>
  </si>
  <si>
    <t>Kirghizistan</t>
  </si>
  <si>
    <t>Kirguistán</t>
  </si>
  <si>
    <t>KGS</t>
  </si>
  <si>
    <t>Landlocked developing countries (LLDCs)</t>
  </si>
  <si>
    <t>LA</t>
  </si>
  <si>
    <t>LAO</t>
  </si>
  <si>
    <t>Lao People's Democratic Republic</t>
  </si>
  <si>
    <t>République démocratique populaire lao</t>
  </si>
  <si>
    <t>República Democrática Popular Lao</t>
  </si>
  <si>
    <t>LAK</t>
  </si>
  <si>
    <t>LV</t>
  </si>
  <si>
    <t>LVA</t>
  </si>
  <si>
    <t>Latvia</t>
  </si>
  <si>
    <t>Lettonie</t>
  </si>
  <si>
    <t>Letonia</t>
  </si>
  <si>
    <t>Least Developed Countries (LDCs)</t>
  </si>
  <si>
    <t>LB</t>
  </si>
  <si>
    <t>LBN</t>
  </si>
  <si>
    <t>Lebanon</t>
  </si>
  <si>
    <t>Liban</t>
  </si>
  <si>
    <t>Líbano</t>
  </si>
  <si>
    <t>LBP</t>
  </si>
  <si>
    <t>LS</t>
  </si>
  <si>
    <t>LSO</t>
  </si>
  <si>
    <t>Lesotho</t>
  </si>
  <si>
    <t>LSL</t>
  </si>
  <si>
    <t>LR</t>
  </si>
  <si>
    <t>LBR</t>
  </si>
  <si>
    <t>Liberia</t>
  </si>
  <si>
    <t>Libéria</t>
  </si>
  <si>
    <t>LRD</t>
  </si>
  <si>
    <t>LY</t>
  </si>
  <si>
    <t>LBY</t>
  </si>
  <si>
    <t>Libya</t>
  </si>
  <si>
    <t>Libye</t>
  </si>
  <si>
    <t>Libia</t>
  </si>
  <si>
    <t>LYD</t>
  </si>
  <si>
    <t>LI</t>
  </si>
  <si>
    <t>LIE</t>
  </si>
  <si>
    <t>Liechtenstein</t>
  </si>
  <si>
    <t>CHF</t>
  </si>
  <si>
    <t>LT</t>
  </si>
  <si>
    <t>LTU</t>
  </si>
  <si>
    <t>Lithuania</t>
  </si>
  <si>
    <t>Lituanie</t>
  </si>
  <si>
    <t>Lituania</t>
  </si>
  <si>
    <t>LU</t>
  </si>
  <si>
    <t>LUX</t>
  </si>
  <si>
    <t>Luxembourg</t>
  </si>
  <si>
    <t>Luxemburgo</t>
  </si>
  <si>
    <t>MG</t>
  </si>
  <si>
    <t>MDG</t>
  </si>
  <si>
    <t>Madagascar</t>
  </si>
  <si>
    <t>MGA</t>
  </si>
  <si>
    <t>MW</t>
  </si>
  <si>
    <t>MWI</t>
  </si>
  <si>
    <t>Malawi</t>
  </si>
  <si>
    <t>MWK</t>
  </si>
  <si>
    <t>MY</t>
  </si>
  <si>
    <t>MYS</t>
  </si>
  <si>
    <t>Malaysia</t>
  </si>
  <si>
    <t>Malaisie</t>
  </si>
  <si>
    <t>Malasia</t>
  </si>
  <si>
    <t>MYR</t>
  </si>
  <si>
    <t>MV</t>
  </si>
  <si>
    <t>MDV</t>
  </si>
  <si>
    <t>Maldives</t>
  </si>
  <si>
    <t>Maldivas</t>
  </si>
  <si>
    <t>MVR</t>
  </si>
  <si>
    <t>ML</t>
  </si>
  <si>
    <t>MLI</t>
  </si>
  <si>
    <t>Mali</t>
  </si>
  <si>
    <t>Malí</t>
  </si>
  <si>
    <t>MT</t>
  </si>
  <si>
    <t>MLT</t>
  </si>
  <si>
    <t>Malta</t>
  </si>
  <si>
    <t>Malte</t>
  </si>
  <si>
    <t>MH</t>
  </si>
  <si>
    <t>MHL</t>
  </si>
  <si>
    <t>Marshall Islands</t>
  </si>
  <si>
    <t>Îles Marshall</t>
  </si>
  <si>
    <t>Islas Marshall</t>
  </si>
  <si>
    <t>MQ</t>
  </si>
  <si>
    <t>MTQ</t>
  </si>
  <si>
    <t>Martinique</t>
  </si>
  <si>
    <t>Martinica</t>
  </si>
  <si>
    <t>MR</t>
  </si>
  <si>
    <t>MRT</t>
  </si>
  <si>
    <t>Mauritania</t>
  </si>
  <si>
    <t>Mauritanie</t>
  </si>
  <si>
    <t>MRU</t>
  </si>
  <si>
    <t>MU</t>
  </si>
  <si>
    <t>MUS</t>
  </si>
  <si>
    <t>Mauritius</t>
  </si>
  <si>
    <t>Maurice</t>
  </si>
  <si>
    <t>Mauricio</t>
  </si>
  <si>
    <t>MUR</t>
  </si>
  <si>
    <t>YT</t>
  </si>
  <si>
    <t>MYT</t>
  </si>
  <si>
    <t>Mayotte</t>
  </si>
  <si>
    <t>MX</t>
  </si>
  <si>
    <t>MEX</t>
  </si>
  <si>
    <t>Mexico</t>
  </si>
  <si>
    <t>Mexique</t>
  </si>
  <si>
    <t>México</t>
  </si>
  <si>
    <t>MXN</t>
  </si>
  <si>
    <t>FM</t>
  </si>
  <si>
    <t>FSM</t>
  </si>
  <si>
    <t>Micronesia (Federated States of)</t>
  </si>
  <si>
    <t>Micronésie (États fédérés de)</t>
  </si>
  <si>
    <t>Micronesia (Estados Federados de)</t>
  </si>
  <si>
    <t>RME</t>
  </si>
  <si>
    <t>Medio Oriente</t>
  </si>
  <si>
    <t>MC</t>
  </si>
  <si>
    <t>MCO</t>
  </si>
  <si>
    <t>Monaco</t>
  </si>
  <si>
    <t>Mónaco</t>
  </si>
  <si>
    <t>MN</t>
  </si>
  <si>
    <t>MNG</t>
  </si>
  <si>
    <t>Mongolia</t>
  </si>
  <si>
    <t>Mongolie</t>
  </si>
  <si>
    <t>MNT</t>
  </si>
  <si>
    <t>ME</t>
  </si>
  <si>
    <t>MNE</t>
  </si>
  <si>
    <t>Montenegro</t>
  </si>
  <si>
    <t>Monténégro</t>
  </si>
  <si>
    <t>MS</t>
  </si>
  <si>
    <t>MSR</t>
  </si>
  <si>
    <t>Montserrat</t>
  </si>
  <si>
    <t>MA</t>
  </si>
  <si>
    <t>MAR</t>
  </si>
  <si>
    <t>Morocco</t>
  </si>
  <si>
    <t>Maroc</t>
  </si>
  <si>
    <t>Marruecos</t>
  </si>
  <si>
    <t>MAD</t>
  </si>
  <si>
    <t>MZ</t>
  </si>
  <si>
    <t>MOZ</t>
  </si>
  <si>
    <t>Mozambique</t>
  </si>
  <si>
    <t>MZN</t>
  </si>
  <si>
    <t>XMX</t>
  </si>
  <si>
    <t>Multilatéral</t>
  </si>
  <si>
    <t>1.0-World</t>
  </si>
  <si>
    <t>MM</t>
  </si>
  <si>
    <t>MMR</t>
  </si>
  <si>
    <t>Myanmar</t>
  </si>
  <si>
    <t>MMK</t>
  </si>
  <si>
    <t>NA</t>
  </si>
  <si>
    <t>NAM</t>
  </si>
  <si>
    <t>Namibia</t>
  </si>
  <si>
    <t>Namibie</t>
  </si>
  <si>
    <t>NAD</t>
  </si>
  <si>
    <t>NR</t>
  </si>
  <si>
    <t>NRU</t>
  </si>
  <si>
    <t>Nauru</t>
  </si>
  <si>
    <t>NP</t>
  </si>
  <si>
    <t>NPL</t>
  </si>
  <si>
    <t>Nepal</t>
  </si>
  <si>
    <t>Népal</t>
  </si>
  <si>
    <t>NPR</t>
  </si>
  <si>
    <t>NL</t>
  </si>
  <si>
    <t>NLD</t>
  </si>
  <si>
    <t>Netherlands</t>
  </si>
  <si>
    <t>Pays-Bas</t>
  </si>
  <si>
    <t>Países Bajos</t>
  </si>
  <si>
    <t>NC</t>
  </si>
  <si>
    <t>NCL</t>
  </si>
  <si>
    <t>New Caledonia</t>
  </si>
  <si>
    <t>Nouvelle-Calédonie</t>
  </si>
  <si>
    <t>Nueva Caledonia</t>
  </si>
  <si>
    <t>NZ</t>
  </si>
  <si>
    <t>NZL</t>
  </si>
  <si>
    <t>New Zealand</t>
  </si>
  <si>
    <t>Nouvelle-Zélande</t>
  </si>
  <si>
    <t>Nueva Zelandia</t>
  </si>
  <si>
    <t>NI</t>
  </si>
  <si>
    <t>NIC</t>
  </si>
  <si>
    <t>Nicaragua</t>
  </si>
  <si>
    <t>NIO</t>
  </si>
  <si>
    <t>NE</t>
  </si>
  <si>
    <t>NER</t>
  </si>
  <si>
    <t>Niger</t>
  </si>
  <si>
    <t>Níger</t>
  </si>
  <si>
    <t>NG</t>
  </si>
  <si>
    <t>NGA</t>
  </si>
  <si>
    <t>Nigeria</t>
  </si>
  <si>
    <t>Nigéria</t>
  </si>
  <si>
    <t>NGN</t>
  </si>
  <si>
    <t>NU</t>
  </si>
  <si>
    <t>NIU</t>
  </si>
  <si>
    <t>Niue</t>
  </si>
  <si>
    <t>Nioué</t>
  </si>
  <si>
    <t>2.3-Other OECD</t>
  </si>
  <si>
    <t>NF</t>
  </si>
  <si>
    <t>NFK</t>
  </si>
  <si>
    <t>Norfolk Island</t>
  </si>
  <si>
    <t>Île Norfolk</t>
  </si>
  <si>
    <t>Islas Norfolk</t>
  </si>
  <si>
    <t>RNA</t>
  </si>
  <si>
    <t>Norte América</t>
  </si>
  <si>
    <t>Northern America and Europe</t>
  </si>
  <si>
    <t>MP</t>
  </si>
  <si>
    <t>MNP</t>
  </si>
  <si>
    <t>Northern Mariana Islands</t>
  </si>
  <si>
    <t>Îles Mariannes du Nord</t>
  </si>
  <si>
    <t>Islas Marianas Septentrionales</t>
  </si>
  <si>
    <t>NO</t>
  </si>
  <si>
    <t>NOR</t>
  </si>
  <si>
    <t>Norway</t>
  </si>
  <si>
    <t>Norvège</t>
  </si>
  <si>
    <t>Noruega</t>
  </si>
  <si>
    <t>ROC</t>
  </si>
  <si>
    <t>Oceania excluding Australia and New Zealand</t>
  </si>
  <si>
    <t>OM</t>
  </si>
  <si>
    <t>OMN</t>
  </si>
  <si>
    <t>Oman</t>
  </si>
  <si>
    <t>Omán</t>
  </si>
  <si>
    <t>OMR</t>
  </si>
  <si>
    <t>XEA</t>
  </si>
  <si>
    <t>Other Eurasia</t>
  </si>
  <si>
    <t>Otros Eurasia</t>
  </si>
  <si>
    <t>3.1-Other Country/Area</t>
  </si>
  <si>
    <t>PK</t>
  </si>
  <si>
    <t>PAK</t>
  </si>
  <si>
    <t>Pakistan</t>
  </si>
  <si>
    <t>Pakistán</t>
  </si>
  <si>
    <t>PKR</t>
  </si>
  <si>
    <t>PW</t>
  </si>
  <si>
    <t>PLW</t>
  </si>
  <si>
    <t>Palau</t>
  </si>
  <si>
    <t>Palaos</t>
  </si>
  <si>
    <t>PA</t>
  </si>
  <si>
    <t>PAN</t>
  </si>
  <si>
    <t>Panama</t>
  </si>
  <si>
    <t>Panamá</t>
  </si>
  <si>
    <t>PAB</t>
  </si>
  <si>
    <t>PG</t>
  </si>
  <si>
    <t>PNG</t>
  </si>
  <si>
    <t>Papua New Guinea</t>
  </si>
  <si>
    <t>Papouasie-Nouvelle-Guinée</t>
  </si>
  <si>
    <t>Papua Nueva Guinea</t>
  </si>
  <si>
    <t>PGK</t>
  </si>
  <si>
    <t>PY</t>
  </si>
  <si>
    <t>PRY</t>
  </si>
  <si>
    <t>Paraguay</t>
  </si>
  <si>
    <t>PYG</t>
  </si>
  <si>
    <t>PE</t>
  </si>
  <si>
    <t>PER</t>
  </si>
  <si>
    <t>Peru</t>
  </si>
  <si>
    <t>Pérou</t>
  </si>
  <si>
    <t>Perú</t>
  </si>
  <si>
    <t>PEN</t>
  </si>
  <si>
    <t>PH</t>
  </si>
  <si>
    <t>PHL</t>
  </si>
  <si>
    <t>Philippines</t>
  </si>
  <si>
    <t>Filipinas</t>
  </si>
  <si>
    <t>PHP</t>
  </si>
  <si>
    <t>PN</t>
  </si>
  <si>
    <t>PCN</t>
  </si>
  <si>
    <t>Pitcairn</t>
  </si>
  <si>
    <t>PL</t>
  </si>
  <si>
    <t>POL</t>
  </si>
  <si>
    <t>Poland</t>
  </si>
  <si>
    <t>Pologne</t>
  </si>
  <si>
    <t>Polonia</t>
  </si>
  <si>
    <t>PLN</t>
  </si>
  <si>
    <t>PT</t>
  </si>
  <si>
    <t>PRT</t>
  </si>
  <si>
    <t>Portugal</t>
  </si>
  <si>
    <t>PR</t>
  </si>
  <si>
    <t>PRI</t>
  </si>
  <si>
    <t>Puerto Rico</t>
  </si>
  <si>
    <t>Porto Rico</t>
  </si>
  <si>
    <t>QA</t>
  </si>
  <si>
    <t>QAT</t>
  </si>
  <si>
    <t>Qatar</t>
  </si>
  <si>
    <t>QAR</t>
  </si>
  <si>
    <t>KR</t>
  </si>
  <si>
    <t>KOR</t>
  </si>
  <si>
    <t>Republic of Korea</t>
  </si>
  <si>
    <t>République de Corée</t>
  </si>
  <si>
    <t>República de Corea</t>
  </si>
  <si>
    <t>KRW</t>
  </si>
  <si>
    <t>MD</t>
  </si>
  <si>
    <t>MDA</t>
  </si>
  <si>
    <t>Republic of Moldova</t>
  </si>
  <si>
    <t>République de Moldova</t>
  </si>
  <si>
    <t>República de Moldova</t>
  </si>
  <si>
    <t>MDL</t>
  </si>
  <si>
    <t>MK</t>
  </si>
  <si>
    <t>MKD</t>
  </si>
  <si>
    <t>North Macedonia</t>
  </si>
  <si>
    <t>ex-République yougoslave de Macédoine</t>
  </si>
  <si>
    <t>Macedonia del Norte</t>
  </si>
  <si>
    <t>XAS</t>
  </si>
  <si>
    <t>Other Asia</t>
  </si>
  <si>
    <t>Residual/unallocated ODA: Eastern and South-eastern Asia</t>
  </si>
  <si>
    <t>Otros Asia</t>
  </si>
  <si>
    <t>XCC</t>
  </si>
  <si>
    <t>Residual/unallocated ODA: Latin America and the Caribbean</t>
  </si>
  <si>
    <t>Otros Centroamérica</t>
  </si>
  <si>
    <t>XSA</t>
  </si>
  <si>
    <t>Otros Sudamérica</t>
  </si>
  <si>
    <t>Other Europe</t>
  </si>
  <si>
    <t>Residual/unallocated ODA: Northern America and Europe</t>
  </si>
  <si>
    <t>Otros Europa</t>
  </si>
  <si>
    <t>XNA</t>
  </si>
  <si>
    <t>Otros Norte América</t>
  </si>
  <si>
    <t>XOC</t>
  </si>
  <si>
    <t>Other Oceania</t>
  </si>
  <si>
    <t>Residual/unallocated ODA: Oceania excl. Aus. and N. Zealand</t>
  </si>
  <si>
    <t>Otros Oceanía</t>
  </si>
  <si>
    <t>Other Africa</t>
  </si>
  <si>
    <t>Residual/unallocated ODA: Sub-Saharan Africa</t>
  </si>
  <si>
    <t>Otros Africa</t>
  </si>
  <si>
    <t>XME</t>
  </si>
  <si>
    <t>Residual/unallocated ODA: Western Asia and Northern Africa</t>
  </si>
  <si>
    <t>Otros Medio Oriente</t>
  </si>
  <si>
    <t>RE</t>
  </si>
  <si>
    <t>REU</t>
  </si>
  <si>
    <t>Réunion</t>
  </si>
  <si>
    <t>Reunión</t>
  </si>
  <si>
    <t>RO</t>
  </si>
  <si>
    <t>ROU</t>
  </si>
  <si>
    <t>Romania</t>
  </si>
  <si>
    <t>Roumanie</t>
  </si>
  <si>
    <t>Rumania</t>
  </si>
  <si>
    <t>RON</t>
  </si>
  <si>
    <t>RU</t>
  </si>
  <si>
    <t>RUS</t>
  </si>
  <si>
    <t>Russian Federation</t>
  </si>
  <si>
    <t>Fédération de Russie</t>
  </si>
  <si>
    <t>Federación de Rusia</t>
  </si>
  <si>
    <t>RUB</t>
  </si>
  <si>
    <t>RW</t>
  </si>
  <si>
    <t>RWA</t>
  </si>
  <si>
    <t>Rwanda</t>
  </si>
  <si>
    <t>RWF</t>
  </si>
  <si>
    <t>BL</t>
  </si>
  <si>
    <t>BLM</t>
  </si>
  <si>
    <t>Saint Barthelemy</t>
  </si>
  <si>
    <t>Saint Barthélemy</t>
  </si>
  <si>
    <t>Saint-Barthélemy</t>
  </si>
  <si>
    <t>San Bartolomé</t>
  </si>
  <si>
    <t>SH</t>
  </si>
  <si>
    <t>SHN</t>
  </si>
  <si>
    <t>Saint Helena</t>
  </si>
  <si>
    <t>Sainte-Hélène</t>
  </si>
  <si>
    <t>Santa Elena</t>
  </si>
  <si>
    <t>SHP</t>
  </si>
  <si>
    <t>KN</t>
  </si>
  <si>
    <t>KNA</t>
  </si>
  <si>
    <t>Saint Kitts and Nevis</t>
  </si>
  <si>
    <t>Saint-Kitts-et-Nevis</t>
  </si>
  <si>
    <t>Saint Kitts y Nevis</t>
  </si>
  <si>
    <t>LC</t>
  </si>
  <si>
    <t>LCA</t>
  </si>
  <si>
    <t>Saint Lucia</t>
  </si>
  <si>
    <t>Sainte-Lucie</t>
  </si>
  <si>
    <t>Santa Lucía</t>
  </si>
  <si>
    <t>MF</t>
  </si>
  <si>
    <t>MAF</t>
  </si>
  <si>
    <t>Saint Martin</t>
  </si>
  <si>
    <t>Saint Martin (French Part)</t>
  </si>
  <si>
    <t>Saint-Martin (partie française)</t>
  </si>
  <si>
    <t>San Martín (parte francesa)</t>
  </si>
  <si>
    <t>PM</t>
  </si>
  <si>
    <t>SPM</t>
  </si>
  <si>
    <t>Saint Pierre and Miquelon</t>
  </si>
  <si>
    <t>Saint-Pierre-et-Miquelon</t>
  </si>
  <si>
    <t>Saint Pierre y Miquelon</t>
  </si>
  <si>
    <t>VC</t>
  </si>
  <si>
    <t>VCT</t>
  </si>
  <si>
    <t>Saint Vincent and the Grenadines</t>
  </si>
  <si>
    <t>Saint-Vincent-et-les Grenadines</t>
  </si>
  <si>
    <t>San Vicente y las Granadinas</t>
  </si>
  <si>
    <t>WS</t>
  </si>
  <si>
    <t>WSM</t>
  </si>
  <si>
    <t>Samoa</t>
  </si>
  <si>
    <t>WST</t>
  </si>
  <si>
    <t>SM</t>
  </si>
  <si>
    <t>SMR</t>
  </si>
  <si>
    <t>San Marino</t>
  </si>
  <si>
    <t>Saint-Marin</t>
  </si>
  <si>
    <t>ST</t>
  </si>
  <si>
    <t>STP</t>
  </si>
  <si>
    <t>Sao Tome and Principe</t>
  </si>
  <si>
    <t>Sao Tomé-et-Principe</t>
  </si>
  <si>
    <t>Santo Tomé y Príncipe</t>
  </si>
  <si>
    <t>STN</t>
  </si>
  <si>
    <t>XSR</t>
  </si>
  <si>
    <t>Sark</t>
  </si>
  <si>
    <t>Sercq</t>
  </si>
  <si>
    <t>SA</t>
  </si>
  <si>
    <t>SAU</t>
  </si>
  <si>
    <t>Saudi Arabia</t>
  </si>
  <si>
    <t>Arabie saoudite</t>
  </si>
  <si>
    <t>Arabia Saudita</t>
  </si>
  <si>
    <t>SAR</t>
  </si>
  <si>
    <t>SN</t>
  </si>
  <si>
    <t>SEN</t>
  </si>
  <si>
    <t>Senegal</t>
  </si>
  <si>
    <t>Sénégal</t>
  </si>
  <si>
    <t>RS</t>
  </si>
  <si>
    <t>SRB</t>
  </si>
  <si>
    <t>Serbia</t>
  </si>
  <si>
    <t>Serbie</t>
  </si>
  <si>
    <t>RSD</t>
  </si>
  <si>
    <t>SC</t>
  </si>
  <si>
    <t>SYC</t>
  </si>
  <si>
    <t>Seychelles</t>
  </si>
  <si>
    <t>SCR</t>
  </si>
  <si>
    <t>SL</t>
  </si>
  <si>
    <t>SLE</t>
  </si>
  <si>
    <t>Sierra Leone</t>
  </si>
  <si>
    <t>Sierra Leona</t>
  </si>
  <si>
    <t>SLL</t>
  </si>
  <si>
    <t>SG</t>
  </si>
  <si>
    <t>SGP</t>
  </si>
  <si>
    <t>Singapore</t>
  </si>
  <si>
    <t>Singapour</t>
  </si>
  <si>
    <t>Singapur</t>
  </si>
  <si>
    <t>SGD</t>
  </si>
  <si>
    <t>SX</t>
  </si>
  <si>
    <t>SXM</t>
  </si>
  <si>
    <t>Sint Maarten</t>
  </si>
  <si>
    <t>Sint Maarten (Dutch part)</t>
  </si>
  <si>
    <t>Saint-Martin (partie néerlandaise)</t>
  </si>
  <si>
    <t>San Martín (parte holandés)</t>
  </si>
  <si>
    <t>SK</t>
  </si>
  <si>
    <t>SVK</t>
  </si>
  <si>
    <t>Slovakia</t>
  </si>
  <si>
    <t>Slovaquie</t>
  </si>
  <si>
    <t>Eslovaquia</t>
  </si>
  <si>
    <t>SI</t>
  </si>
  <si>
    <t>SVN</t>
  </si>
  <si>
    <t>Slovenia</t>
  </si>
  <si>
    <t>Slovénie</t>
  </si>
  <si>
    <t>Eslovenia</t>
  </si>
  <si>
    <t>Small Island Developing States (SIDS)</t>
  </si>
  <si>
    <t>SB</t>
  </si>
  <si>
    <t>SLB</t>
  </si>
  <si>
    <t>Solomon Islands</t>
  </si>
  <si>
    <t>Îles Salomon</t>
  </si>
  <si>
    <t>Islas Salomón</t>
  </si>
  <si>
    <t>SBD</t>
  </si>
  <si>
    <t>SO</t>
  </si>
  <si>
    <t>SOM</t>
  </si>
  <si>
    <t>Somalia</t>
  </si>
  <si>
    <t>Somalie</t>
  </si>
  <si>
    <t>SOS</t>
  </si>
  <si>
    <t>ZA</t>
  </si>
  <si>
    <t>ZAF</t>
  </si>
  <si>
    <t>South Africa</t>
  </si>
  <si>
    <t>Afrique du Sud</t>
  </si>
  <si>
    <t>Sudáfrica</t>
  </si>
  <si>
    <t>ZAR</t>
  </si>
  <si>
    <t>RSA</t>
  </si>
  <si>
    <t>Sudamérica</t>
  </si>
  <si>
    <t>GS</t>
  </si>
  <si>
    <t>SGS</t>
  </si>
  <si>
    <t>South Georgia and the South Sandwich Islands</t>
  </si>
  <si>
    <t>Géorgie du Sud-et-les Îles Sandwich du Sud</t>
  </si>
  <si>
    <t>Georgia del Sur y las Islas Sandwich del Sur</t>
  </si>
  <si>
    <t>SS</t>
  </si>
  <si>
    <t>SSD</t>
  </si>
  <si>
    <t>South Sudan</t>
  </si>
  <si>
    <t>Soudan du Sud</t>
  </si>
  <si>
    <t>Sudán del Sur</t>
  </si>
  <si>
    <t>SSP</t>
  </si>
  <si>
    <t>ES</t>
  </si>
  <si>
    <t>ESP</t>
  </si>
  <si>
    <t>Spain</t>
  </si>
  <si>
    <t>Espagne</t>
  </si>
  <si>
    <t>España</t>
  </si>
  <si>
    <t>LK</t>
  </si>
  <si>
    <t>LKA</t>
  </si>
  <si>
    <t>Sri Lanka</t>
  </si>
  <si>
    <t>LKR</t>
  </si>
  <si>
    <t>PS</t>
  </si>
  <si>
    <t>PSE</t>
  </si>
  <si>
    <t>State of Palestine</t>
  </si>
  <si>
    <t>État de Palestine</t>
  </si>
  <si>
    <t>Estado de Palestina</t>
  </si>
  <si>
    <t>SD</t>
  </si>
  <si>
    <t>SDN</t>
  </si>
  <si>
    <t>Sudan</t>
  </si>
  <si>
    <t>Soudan</t>
  </si>
  <si>
    <t>Sudán</t>
  </si>
  <si>
    <t>SDG</t>
  </si>
  <si>
    <t>SR</t>
  </si>
  <si>
    <t>SUR</t>
  </si>
  <si>
    <t>Suriname</t>
  </si>
  <si>
    <t>SRD</t>
  </si>
  <si>
    <t>SJ</t>
  </si>
  <si>
    <t>SJM</t>
  </si>
  <si>
    <t>Svalbard and Jan Mayen Islands</t>
  </si>
  <si>
    <t>Îles Svalbard-et-Jan Mayen</t>
  </si>
  <si>
    <t>Islas Svalbard y Jan Mayen</t>
  </si>
  <si>
    <t>SE</t>
  </si>
  <si>
    <t>SWE</t>
  </si>
  <si>
    <t>Sweden</t>
  </si>
  <si>
    <t>Suède</t>
  </si>
  <si>
    <t>Suecia</t>
  </si>
  <si>
    <t>SEK</t>
  </si>
  <si>
    <t>CH</t>
  </si>
  <si>
    <t>CHE</t>
  </si>
  <si>
    <t>Switzerland</t>
  </si>
  <si>
    <t>Suisse</t>
  </si>
  <si>
    <t>Suiza</t>
  </si>
  <si>
    <t>SY</t>
  </si>
  <si>
    <t>SYR</t>
  </si>
  <si>
    <t>Syrian Arab Republic</t>
  </si>
  <si>
    <t>République arabe syrienne</t>
  </si>
  <si>
    <t>República Árabe Siria</t>
  </si>
  <si>
    <t>SYP</t>
  </si>
  <si>
    <t>TJ</t>
  </si>
  <si>
    <t>TJK</t>
  </si>
  <si>
    <t>Tajikistan</t>
  </si>
  <si>
    <t>Tadjikistan</t>
  </si>
  <si>
    <t>Tayikistán</t>
  </si>
  <si>
    <t>TJS</t>
  </si>
  <si>
    <t>TH</t>
  </si>
  <si>
    <t>THA</t>
  </si>
  <si>
    <t>Thailand</t>
  </si>
  <si>
    <t>Thaïlande</t>
  </si>
  <si>
    <t>Tailandia</t>
  </si>
  <si>
    <t>THB</t>
  </si>
  <si>
    <t>TL</t>
  </si>
  <si>
    <t>TLS</t>
  </si>
  <si>
    <t>Timor-Leste</t>
  </si>
  <si>
    <t>TG</t>
  </si>
  <si>
    <t>TGO</t>
  </si>
  <si>
    <t>Togo</t>
  </si>
  <si>
    <t>TK</t>
  </si>
  <si>
    <t>TKL</t>
  </si>
  <si>
    <t>Tokelau</t>
  </si>
  <si>
    <t>Tokélaou</t>
  </si>
  <si>
    <t>TO</t>
  </si>
  <si>
    <t>TON</t>
  </si>
  <si>
    <t>Tonga</t>
  </si>
  <si>
    <t>TOP</t>
  </si>
  <si>
    <t>TT</t>
  </si>
  <si>
    <t>TTO</t>
  </si>
  <si>
    <t>Trinidad and Tobago</t>
  </si>
  <si>
    <t>Trinité-et-Tobago</t>
  </si>
  <si>
    <t>Trinidad y Tabago</t>
  </si>
  <si>
    <t>TTD</t>
  </si>
  <si>
    <t>TN</t>
  </si>
  <si>
    <t>TUN</t>
  </si>
  <si>
    <t>Tunisia</t>
  </si>
  <si>
    <t>Tunisie</t>
  </si>
  <si>
    <t>Túnez</t>
  </si>
  <si>
    <t>TND</t>
  </si>
  <si>
    <t>TR</t>
  </si>
  <si>
    <t>TUR</t>
  </si>
  <si>
    <t>Türkiye</t>
  </si>
  <si>
    <t>TRY</t>
  </si>
  <si>
    <t>TM</t>
  </si>
  <si>
    <t>TKM</t>
  </si>
  <si>
    <t>Turkmenistan</t>
  </si>
  <si>
    <t>Turkménistan</t>
  </si>
  <si>
    <t>Turkmenistán</t>
  </si>
  <si>
    <t>TMT</t>
  </si>
  <si>
    <t>TC</t>
  </si>
  <si>
    <t>TCA</t>
  </si>
  <si>
    <t>Turks and Caicos Islands</t>
  </si>
  <si>
    <t>Îles Turques-et-Caïques</t>
  </si>
  <si>
    <t>Islas Turcas y Caicos</t>
  </si>
  <si>
    <t>TV</t>
  </si>
  <si>
    <t>TUV</t>
  </si>
  <si>
    <t>Tuvalu</t>
  </si>
  <si>
    <t>UG</t>
  </si>
  <si>
    <t>UGA</t>
  </si>
  <si>
    <t>Uganda</t>
  </si>
  <si>
    <t>Ouganda</t>
  </si>
  <si>
    <t>UGX</t>
  </si>
  <si>
    <t>UA</t>
  </si>
  <si>
    <t>UKR</t>
  </si>
  <si>
    <t>Ukraine</t>
  </si>
  <si>
    <t>Ucrania</t>
  </si>
  <si>
    <t>UAH</t>
  </si>
  <si>
    <t>AE</t>
  </si>
  <si>
    <t>ARE</t>
  </si>
  <si>
    <t>United Arab Emirates</t>
  </si>
  <si>
    <t>Émirats arabes unis</t>
  </si>
  <si>
    <t>Emiratos Árabes Unidos</t>
  </si>
  <si>
    <t>AED</t>
  </si>
  <si>
    <t>GB</t>
  </si>
  <si>
    <t>GBR</t>
  </si>
  <si>
    <t>United Kingdom</t>
  </si>
  <si>
    <t>United Kingdom of Great Britain and Northern Ireland</t>
  </si>
  <si>
    <t>Royaume-Uni de Grande-Bretagne et d'Irlande du Nord</t>
  </si>
  <si>
    <t>Reino Unido de Gran Bretaña e Irlanda del Norte</t>
  </si>
  <si>
    <t>TZ</t>
  </si>
  <si>
    <t>TZA</t>
  </si>
  <si>
    <t>United Republic of Tanzania</t>
  </si>
  <si>
    <t>République-Unie de Tanzanie</t>
  </si>
  <si>
    <t>República Unida de Tanzanía</t>
  </si>
  <si>
    <t>TZS</t>
  </si>
  <si>
    <t>UM</t>
  </si>
  <si>
    <t>UMI</t>
  </si>
  <si>
    <t>United States minor outlying islands</t>
  </si>
  <si>
    <t>Îles mineures éloignées des États-Unis</t>
  </si>
  <si>
    <t>Islas menores alejadas de Estados Unidos</t>
  </si>
  <si>
    <t>US</t>
  </si>
  <si>
    <t>USA</t>
  </si>
  <si>
    <t>United States of America</t>
  </si>
  <si>
    <t>États-Unis d'Amérique</t>
  </si>
  <si>
    <t>Estados Unidos de América</t>
  </si>
  <si>
    <t>VI</t>
  </si>
  <si>
    <t>VIR</t>
  </si>
  <si>
    <t>United States Virgin Islands</t>
  </si>
  <si>
    <t>Îles Vierges américaines</t>
  </si>
  <si>
    <t>Islas Vírgenes de los Estados Unidos</t>
  </si>
  <si>
    <t>XDX</t>
  </si>
  <si>
    <t>Unspecified, developing countries</t>
  </si>
  <si>
    <t>UY</t>
  </si>
  <si>
    <t>URY</t>
  </si>
  <si>
    <t>Uruguay</t>
  </si>
  <si>
    <t>UYU</t>
  </si>
  <si>
    <t>UZ</t>
  </si>
  <si>
    <t>UZB</t>
  </si>
  <si>
    <t>Uzbekistan</t>
  </si>
  <si>
    <t>Ouzbékistan</t>
  </si>
  <si>
    <t>Uzbekistán</t>
  </si>
  <si>
    <t>UZS</t>
  </si>
  <si>
    <t>VU</t>
  </si>
  <si>
    <t>VUT</t>
  </si>
  <si>
    <t>Vanuatu</t>
  </si>
  <si>
    <t>VUV</t>
  </si>
  <si>
    <t>VE</t>
  </si>
  <si>
    <t>VEN</t>
  </si>
  <si>
    <t>Venezuela (Bolivarian Republic of)</t>
  </si>
  <si>
    <t>Venezuela (République bolivarienne du)</t>
  </si>
  <si>
    <t>Venezuela (República Bolivariana de)</t>
  </si>
  <si>
    <t>VES</t>
  </si>
  <si>
    <t>VN</t>
  </si>
  <si>
    <t>VNM</t>
  </si>
  <si>
    <t>Viet Nam</t>
  </si>
  <si>
    <t>VND</t>
  </si>
  <si>
    <t>WF</t>
  </si>
  <si>
    <t>WLF</t>
  </si>
  <si>
    <t>Wallis and Futuna Islands</t>
  </si>
  <si>
    <t>Îles Wallis-et-Futuna</t>
  </si>
  <si>
    <t>Islas Wallis y Futuna</t>
  </si>
  <si>
    <t>Western Asia and Northern Africa</t>
  </si>
  <si>
    <t>EH</t>
  </si>
  <si>
    <t>ESH</t>
  </si>
  <si>
    <t>Western Sahara</t>
  </si>
  <si>
    <t>Sahara occidental</t>
  </si>
  <si>
    <t>Sáhara Occidental</t>
  </si>
  <si>
    <t>GLO</t>
  </si>
  <si>
    <t>World</t>
  </si>
  <si>
    <t>Mundo</t>
  </si>
  <si>
    <t>YE</t>
  </si>
  <si>
    <t>YEM</t>
  </si>
  <si>
    <t>Yemen</t>
  </si>
  <si>
    <t>Yémen</t>
  </si>
  <si>
    <t>YER</t>
  </si>
  <si>
    <t>ZM</t>
  </si>
  <si>
    <t>ZMB</t>
  </si>
  <si>
    <t>Zambia</t>
  </si>
  <si>
    <t>Zambie</t>
  </si>
  <si>
    <t>ZMW</t>
  </si>
  <si>
    <t>ZW</t>
  </si>
  <si>
    <t>ZWE</t>
  </si>
  <si>
    <t>Zimbabwe</t>
  </si>
  <si>
    <t>ZWL</t>
  </si>
  <si>
    <t>Classification of countries withing the UN Regional Commissions</t>
  </si>
  <si>
    <t>Updated</t>
  </si>
  <si>
    <t>RC_UNSDCode</t>
  </si>
  <si>
    <t>RC_Name</t>
  </si>
  <si>
    <t>RC_RegionName</t>
  </si>
  <si>
    <t>ECA</t>
  </si>
  <si>
    <t>ECA: All countries</t>
  </si>
  <si>
    <t>ECA: Central Africa</t>
  </si>
  <si>
    <t>ECA: Eastern Africa</t>
  </si>
  <si>
    <t>ECA: North Africa</t>
  </si>
  <si>
    <t>ECA: Southern Africa</t>
  </si>
  <si>
    <t>ECA: West Africa</t>
  </si>
  <si>
    <t>ECA: African Union Commission</t>
  </si>
  <si>
    <t>ECA: ECCAS</t>
  </si>
  <si>
    <t>ECA: ECOWAS</t>
  </si>
  <si>
    <t>ECA: IGAD</t>
  </si>
  <si>
    <t>ECA: SADC</t>
  </si>
  <si>
    <t>ECA: AMU</t>
  </si>
  <si>
    <t>ECA: CEN-SAD</t>
  </si>
  <si>
    <t>ECA: COMESA</t>
  </si>
  <si>
    <t>ECA: EAC</t>
  </si>
  <si>
    <t>ECA: Island economies</t>
  </si>
  <si>
    <t>ECA: Land-locked countries</t>
  </si>
  <si>
    <t>ECA: Land-locked LDCs</t>
  </si>
  <si>
    <t>ECA: Least developed countries</t>
  </si>
  <si>
    <t>ECA: Mineral-rich countries</t>
  </si>
  <si>
    <t>ECA: Non-Oil LDCs</t>
  </si>
  <si>
    <t>ECA: Non-Oil Producing</t>
  </si>
  <si>
    <t>ECA: Oil LDCs</t>
  </si>
  <si>
    <t>ECA: Oil producing economies</t>
  </si>
  <si>
    <t>ECA: Sahel</t>
  </si>
  <si>
    <t>ECA: Small Island states</t>
  </si>
  <si>
    <t>ECA: Sub-Saharan Africa</t>
  </si>
  <si>
    <t>ECE</t>
  </si>
  <si>
    <t>ECE: All countries</t>
  </si>
  <si>
    <t>ECE: CIS (CWG)</t>
  </si>
  <si>
    <t>ECE: Eastern Europe, Caucasus and Central Asia (CIS)</t>
  </si>
  <si>
    <t>ECE: European Union (E25)</t>
  </si>
  <si>
    <t>ECE: Euro area (EMU)</t>
  </si>
  <si>
    <t>ECE: West Balkans (ST7)</t>
  </si>
  <si>
    <t>ECLAC</t>
  </si>
  <si>
    <t>ECLAC: All countries</t>
  </si>
  <si>
    <t>ECLAC: Latin America</t>
  </si>
  <si>
    <t>ESCWA</t>
  </si>
  <si>
    <t>ESCWA: Arab countries</t>
  </si>
  <si>
    <t>ESCWA: Gulf Cooperation Council (GCC)</t>
  </si>
  <si>
    <t>ESCWA: Mashreq subregion</t>
  </si>
  <si>
    <t>ESCWA: Maghreb subregion</t>
  </si>
  <si>
    <t>ESCWA: Arab LDCs subregion</t>
  </si>
  <si>
    <t>ESCAP</t>
  </si>
  <si>
    <t>ESCAP: All countries</t>
  </si>
  <si>
    <t>ESCAP: East and North-East Asia (ENEA)</t>
  </si>
  <si>
    <t>ESCAP: South and South-West Asia (SSWA)</t>
  </si>
  <si>
    <t>ESCAP: South-East Asia (SEA)</t>
  </si>
  <si>
    <t>ESCAP: North and Central Asia (NCA)</t>
  </si>
  <si>
    <t>ESCAP: PACIFIC (PAC)</t>
  </si>
  <si>
    <t>ESCAP: LDC (LDC_E)</t>
  </si>
  <si>
    <t>ESCAP: LLDC (LLDC_E)</t>
  </si>
  <si>
    <t>ESCAP: Countries with Special Needs</t>
  </si>
  <si>
    <t>ESCAP: ASEAN (ASEAN)</t>
  </si>
  <si>
    <t>ESCAP: SAARC (SAARC)</t>
  </si>
  <si>
    <t>ESCAP: ECO (ECO)</t>
  </si>
  <si>
    <t>ESCAP: WB Low Income Economies</t>
  </si>
  <si>
    <t>ESCAP: WB Lower Middle Income Economies</t>
  </si>
  <si>
    <t>ESCAP: WB Upper Middle Income Economies</t>
  </si>
  <si>
    <t>ESCAP: WB High Income Economies</t>
  </si>
  <si>
    <t>ESCAP: Africa (AFR)</t>
  </si>
  <si>
    <t>ESCAP: Latin America (LAC)</t>
  </si>
  <si>
    <t>ESCAP: North America (NAM)</t>
  </si>
  <si>
    <t>ESCAP: Europe (Europe)</t>
  </si>
  <si>
    <t>ESCAP: Other Area (OTH_REGION)</t>
  </si>
  <si>
    <t>ESCAP: Pacific island developing economies (PIDE)</t>
  </si>
  <si>
    <t>ESCAP: Small Islands Developing States</t>
  </si>
  <si>
    <t>Various sources report different versions of a country name. This table serves as a cleanup table to standardise the name to an ISO code</t>
  </si>
  <si>
    <t>Name</t>
  </si>
  <si>
    <t>Africa, regional</t>
  </si>
  <si>
    <t>African Countries</t>
  </si>
  <si>
    <t>Amer Samoa</t>
  </si>
  <si>
    <t>America, regional</t>
  </si>
  <si>
    <t>ANTIGUA &amp; BARBUDA</t>
  </si>
  <si>
    <t>Antigua Barb</t>
  </si>
  <si>
    <t>ASCENSION ISLAND</t>
  </si>
  <si>
    <t>ASEAN Region</t>
  </si>
  <si>
    <t>Asia, regional</t>
  </si>
  <si>
    <t>Bahamas, The</t>
  </si>
  <si>
    <t>Baker I.</t>
  </si>
  <si>
    <t>Belgium-Luxembourg</t>
  </si>
  <si>
    <t>BES Islands</t>
  </si>
  <si>
    <t>Bilateral, unspecified</t>
  </si>
  <si>
    <t>Bolivia</t>
  </si>
  <si>
    <t>Bonaire</t>
  </si>
  <si>
    <t>Bonaire  Sint Eustatius and Saba</t>
  </si>
  <si>
    <t>Bonaire Sint Eustatius and Saba</t>
  </si>
  <si>
    <t>Bosnia</t>
  </si>
  <si>
    <t>Bosnia Herzg</t>
  </si>
  <si>
    <t>BOSNIA-HERZEGOVINA</t>
  </si>
  <si>
    <t>Bouvet I.</t>
  </si>
  <si>
    <t>Br Ind Oc Terr</t>
  </si>
  <si>
    <t>Br Virgin Is</t>
  </si>
  <si>
    <t>British Virgin Is.</t>
  </si>
  <si>
    <t>Brunei</t>
  </si>
  <si>
    <t>Brunei Darsm</t>
  </si>
  <si>
    <t>CÃ´te dâ€™Ivoire</t>
  </si>
  <si>
    <t>CÃ´te d'Ivoire</t>
  </si>
  <si>
    <t>Cabo verde</t>
  </si>
  <si>
    <t>Cape Verde</t>
  </si>
  <si>
    <t>Caribbean &amp; Central America, regional</t>
  </si>
  <si>
    <t>Caribbean Community (CARICOM)</t>
  </si>
  <si>
    <t>Caribbean, regional</t>
  </si>
  <si>
    <t>Cayman Is</t>
  </si>
  <si>
    <t>Cayman Is.</t>
  </si>
  <si>
    <t>Cent Afr Rep</t>
  </si>
  <si>
    <t>Central America, regional</t>
  </si>
  <si>
    <t>Central Asia, regional</t>
  </si>
  <si>
    <t>China  Hong Kong Special Administrative Region</t>
  </si>
  <si>
    <t>China  Macao Special Administrative Region</t>
  </si>
  <si>
    <t>China (and dependencies)</t>
  </si>
  <si>
    <t>China (P.R. of China and Hong Kong, China)</t>
  </si>
  <si>
    <t>China (People's Republic of)</t>
  </si>
  <si>
    <t>China HK SAR</t>
  </si>
  <si>
    <t>China Hong Kong Special Administrative Region</t>
  </si>
  <si>
    <t>China Mac SAR</t>
  </si>
  <si>
    <t>China Macao Special Administrative Region</t>
  </si>
  <si>
    <t>China, mainland</t>
  </si>
  <si>
    <t>China, Taiwan Province</t>
  </si>
  <si>
    <t>China, Taiwan Province of</t>
  </si>
  <si>
    <t>China, Taiwan Province of China</t>
  </si>
  <si>
    <t>Christmas I.</t>
  </si>
  <si>
    <t>Christmas Is</t>
  </si>
  <si>
    <t>christmas Island</t>
  </si>
  <si>
    <t>Cocos Is</t>
  </si>
  <si>
    <t>Cocos Is.</t>
  </si>
  <si>
    <t>Cocos Islands</t>
  </si>
  <si>
    <t>Congo (Dem. Rep.)</t>
  </si>
  <si>
    <t>Congo (Democratic Republic of the)</t>
  </si>
  <si>
    <t>CONGO DEM REP</t>
  </si>
  <si>
    <t>Congo DR</t>
  </si>
  <si>
    <t>Congo Rep</t>
  </si>
  <si>
    <t>Congo, Dem. Rep.</t>
  </si>
  <si>
    <t>Congo, Rep.</t>
  </si>
  <si>
    <t>Cook Is</t>
  </si>
  <si>
    <t>Cook is</t>
  </si>
  <si>
    <t>Cook Is.</t>
  </si>
  <si>
    <t>Cote d Ivoire</t>
  </si>
  <si>
    <t>Côte d’Ivoire</t>
  </si>
  <si>
    <t>CuraÃ§ao</t>
  </si>
  <si>
    <t>Curaçao/Netherlands Antilles</t>
  </si>
  <si>
    <t>Czech Republic</t>
  </si>
  <si>
    <t>Dem. People's Republic of Korea</t>
  </si>
  <si>
    <t>Democratic Republic of Congo</t>
  </si>
  <si>
    <t>Denmark (and dependencies)</t>
  </si>
  <si>
    <t>Dominican Rep</t>
  </si>
  <si>
    <t>Dominican republic</t>
  </si>
  <si>
    <t>DUTCH CARIBBEAN</t>
  </si>
  <si>
    <t>Eastern Africa, regional</t>
  </si>
  <si>
    <t>Egypt, Arab Rep.</t>
  </si>
  <si>
    <t>El salvador</t>
  </si>
  <si>
    <t>el salvador</t>
  </si>
  <si>
    <t>ENGLAND &amp; WALES</t>
  </si>
  <si>
    <t>Eq Guinea</t>
  </si>
  <si>
    <t>Eswatini (Kingdom of)</t>
  </si>
  <si>
    <t>Ethiopia PDR</t>
  </si>
  <si>
    <t>EU</t>
  </si>
  <si>
    <t>EU (28)</t>
  </si>
  <si>
    <t>EU Institutions</t>
  </si>
  <si>
    <t>Euro area</t>
  </si>
  <si>
    <t>Europe, regional</t>
  </si>
  <si>
    <t>European countries</t>
  </si>
  <si>
    <t>European Union</t>
  </si>
  <si>
    <t>Falkland Is.</t>
  </si>
  <si>
    <t>Falkland Islands</t>
  </si>
  <si>
    <t>Falklands Malv</t>
  </si>
  <si>
    <t>Far East Asia, regional</t>
  </si>
  <si>
    <t>Faroe Is.</t>
  </si>
  <si>
    <t>Faroes</t>
  </si>
  <si>
    <t>Federated States of Micronesia</t>
  </si>
  <si>
    <t>Former Yugoslav Republic of Macedonia</t>
  </si>
  <si>
    <t>former Yugoslav Republic of Macedonia, the</t>
  </si>
  <si>
    <t>Former Yugoslavia (If no detail)</t>
  </si>
  <si>
    <t>Fr Guiana</t>
  </si>
  <si>
    <t>Fr Polynesia</t>
  </si>
  <si>
    <t>Fr Sth Territories</t>
  </si>
  <si>
    <t>france</t>
  </si>
  <si>
    <t>France (and dependencies)</t>
  </si>
  <si>
    <t>France and Monaco</t>
  </si>
  <si>
    <t>French Guyana</t>
  </si>
  <si>
    <t>French Southern &amp; Antarctic Lands</t>
  </si>
  <si>
    <t>FYR Macedonia</t>
  </si>
  <si>
    <t>Gambia, The</t>
  </si>
  <si>
    <t>Gaza Strip</t>
  </si>
  <si>
    <t>germany</t>
  </si>
  <si>
    <t>GHANA</t>
  </si>
  <si>
    <t>Global</t>
  </si>
  <si>
    <t>Glorioso Is.</t>
  </si>
  <si>
    <t>Guinea Bissau</t>
  </si>
  <si>
    <t>HAITI</t>
  </si>
  <si>
    <t>Heard I. &amp; McDonald Is.</t>
  </si>
  <si>
    <t>Heard McDonald</t>
  </si>
  <si>
    <t>Hong Kong</t>
  </si>
  <si>
    <t>Hong Kong (China)</t>
  </si>
  <si>
    <t>Hong Kong SAR, China</t>
  </si>
  <si>
    <t>Hong Kong, China</t>
  </si>
  <si>
    <t>Hong Kong, China (SAR)</t>
  </si>
  <si>
    <t>Howland I.</t>
  </si>
  <si>
    <t>INdonesia</t>
  </si>
  <si>
    <t>Iran</t>
  </si>
  <si>
    <t>Iran IR</t>
  </si>
  <si>
    <t>Iran, Islamic Rep.</t>
  </si>
  <si>
    <t>Islamic Republic of Iran</t>
  </si>
  <si>
    <t>Israel and Palestine, State of</t>
  </si>
  <si>
    <t>Italy, San Marino and the Holy See</t>
  </si>
  <si>
    <t>Italy-San Marino</t>
  </si>
  <si>
    <t>Jan Mayen</t>
  </si>
  <si>
    <t>Jarvis I.</t>
  </si>
  <si>
    <t>Johnston Atoll</t>
  </si>
  <si>
    <t>Juan De Nova I.</t>
  </si>
  <si>
    <t>KENYA</t>
  </si>
  <si>
    <t>Korea</t>
  </si>
  <si>
    <t>Korea (Republic of)</t>
  </si>
  <si>
    <t>Korea (Republic)</t>
  </si>
  <si>
    <t>Korea DPR</t>
  </si>
  <si>
    <t>Korea Rep</t>
  </si>
  <si>
    <t>Korea S.</t>
  </si>
  <si>
    <t>Korea, Dem. People’s Rep.</t>
  </si>
  <si>
    <t>Korea, Dem. People's Rep.</t>
  </si>
  <si>
    <t>Korea, North</t>
  </si>
  <si>
    <t>Korea, Rep.</t>
  </si>
  <si>
    <t>Korea, Republic of</t>
  </si>
  <si>
    <t>Kosovo</t>
  </si>
  <si>
    <t>Kyrgyz Republic</t>
  </si>
  <si>
    <t>Lao PDR</t>
  </si>
  <si>
    <t>Lao People’s Democratic Republic</t>
  </si>
  <si>
    <t>Laos</t>
  </si>
  <si>
    <t>LINE ISLANDS</t>
  </si>
  <si>
    <t>lithuania</t>
  </si>
  <si>
    <t>Macao</t>
  </si>
  <si>
    <t>Macao SAR, China</t>
  </si>
  <si>
    <t>Macedonia</t>
  </si>
  <si>
    <t>Macedonia (Republic of North Macedonia)</t>
  </si>
  <si>
    <t>Macedonia, FYR</t>
  </si>
  <si>
    <t>MADAGASCAR</t>
  </si>
  <si>
    <t>Marshall Is</t>
  </si>
  <si>
    <t>Marshall Is.</t>
  </si>
  <si>
    <t>Melanesia, regional</t>
  </si>
  <si>
    <t>Memo: Greenland</t>
  </si>
  <si>
    <t>Micronesia (Fed. States of)</t>
  </si>
  <si>
    <t>Micronesia, Fed. Sts.</t>
  </si>
  <si>
    <t>Micronesia, regional</t>
  </si>
  <si>
    <t>Middle East, regional</t>
  </si>
  <si>
    <t>Midway Is.</t>
  </si>
  <si>
    <t>Moldova</t>
  </si>
  <si>
    <t>Moldova (Republic of)</t>
  </si>
  <si>
    <t>Moldova Rep</t>
  </si>
  <si>
    <t>MOZAMBIQUE</t>
  </si>
  <si>
    <t>Myanmar/Burma</t>
  </si>
  <si>
    <t>Netherlands (and dependencies)</t>
  </si>
  <si>
    <t>Netherlands Antilles</t>
  </si>
  <si>
    <t>Netherlands Antilles (former)</t>
  </si>
  <si>
    <t>New Caledon</t>
  </si>
  <si>
    <t>New Zealand (and dependencies)</t>
  </si>
  <si>
    <t>NIGER</t>
  </si>
  <si>
    <t>NIGERIA</t>
  </si>
  <si>
    <t>Norfolk I.</t>
  </si>
  <si>
    <t>Norfolk Is</t>
  </si>
  <si>
    <t>North &amp; Central America, regional</t>
  </si>
  <si>
    <t>North Korea</t>
  </si>
  <si>
    <t>North of Sahara, regional</t>
  </si>
  <si>
    <t>NORTHERN IRELAND</t>
  </si>
  <si>
    <t>Northern Mariana Is.</t>
  </si>
  <si>
    <t>NORTHERN MARIANAS</t>
  </si>
  <si>
    <t>Norway-Svalbard and Jan Mayen Islands</t>
  </si>
  <si>
    <t>Nth Mariana Is</t>
  </si>
  <si>
    <t>Oceania, regional</t>
  </si>
  <si>
    <t>Other asia</t>
  </si>
  <si>
    <t>Other Cent Am Carib</t>
  </si>
  <si>
    <t>Other Mid East</t>
  </si>
  <si>
    <t>Other North Am</t>
  </si>
  <si>
    <t>Other South Am</t>
  </si>
  <si>
    <t>PALESTINE</t>
  </si>
  <si>
    <t>Palestine</t>
  </si>
  <si>
    <t>Palestine, State of</t>
  </si>
  <si>
    <t>Palestinian Territory</t>
  </si>
  <si>
    <t>Papua N Guin</t>
  </si>
  <si>
    <t>People's Republic of China</t>
  </si>
  <si>
    <t>Pitcairn Is.</t>
  </si>
  <si>
    <t>Plurinational State of Bolivia</t>
  </si>
  <si>
    <t>Puerto rico</t>
  </si>
  <si>
    <t>RÃ©union</t>
  </si>
  <si>
    <t>Regional</t>
  </si>
  <si>
    <t>Republic of Tanzania</t>
  </si>
  <si>
    <t>Republic of the Congo</t>
  </si>
  <si>
    <t>Reunion</t>
  </si>
  <si>
    <t>Russia</t>
  </si>
  <si>
    <t>Russian Fed</t>
  </si>
  <si>
    <t>Saint BarthÃ©lemy</t>
  </si>
  <si>
    <t>Saint Helena Ascension and Tristan da Cunha</t>
  </si>
  <si>
    <t>Saint Helena, Ascension and Tristan da Cunha</t>
  </si>
  <si>
    <t>Saint Martin (French part)</t>
  </si>
  <si>
    <t>Saint vincent and the grenadines</t>
  </si>
  <si>
    <t>SAINT-MARTIN</t>
  </si>
  <si>
    <t>Saint-Martin (French part)</t>
  </si>
  <si>
    <t>Saint-Martin (French Part)</t>
  </si>
  <si>
    <t>SAO TOME &amp; PRINCIPE</t>
  </si>
  <si>
    <t>São Tomé and Principe</t>
  </si>
  <si>
    <t>São Tomé and Príncipe</t>
  </si>
  <si>
    <t>Sao Tome Prn</t>
  </si>
  <si>
    <t>SCOTLAND</t>
  </si>
  <si>
    <t>SENEGAL</t>
  </si>
  <si>
    <t>Serbia and Montenegro</t>
  </si>
  <si>
    <t>Sierra leone</t>
  </si>
  <si>
    <t>Slovak Republic</t>
  </si>
  <si>
    <t>Solomon Is</t>
  </si>
  <si>
    <t>Solomon Is.</t>
  </si>
  <si>
    <t>South &amp; Central Asia, regional</t>
  </si>
  <si>
    <t>South America, regional</t>
  </si>
  <si>
    <t>South Asia (IDA &amp; IBRD)</t>
  </si>
  <si>
    <t>South Asia, regional</t>
  </si>
  <si>
    <t>South Georgia</t>
  </si>
  <si>
    <t>South Georgia &amp; the South Sandwich Is.</t>
  </si>
  <si>
    <t>South Korea</t>
  </si>
  <si>
    <t>South of Sahara, regional</t>
  </si>
  <si>
    <t>Southern Africa, regional</t>
  </si>
  <si>
    <t>Spain and Andorra</t>
  </si>
  <si>
    <t>St Barth</t>
  </si>
  <si>
    <t>ST HELENA</t>
  </si>
  <si>
    <t>ST KITTS &amp; NEVIS</t>
  </si>
  <si>
    <t>St Kitts and Nevis</t>
  </si>
  <si>
    <t>St Kitts Nevis</t>
  </si>
  <si>
    <t>St Lucia</t>
  </si>
  <si>
    <t>St Maarten</t>
  </si>
  <si>
    <t>St Martin</t>
  </si>
  <si>
    <t>ST PIERRE &amp; MIQUELON</t>
  </si>
  <si>
    <t>St Pierre Mq</t>
  </si>
  <si>
    <t>ST VINCENT &amp; GRENADINES</t>
  </si>
  <si>
    <t>St Vincent Gren</t>
  </si>
  <si>
    <t>St. Helena</t>
  </si>
  <si>
    <t>St. Kitts &amp; Nevis</t>
  </si>
  <si>
    <t>St. Kitts and Nevis</t>
  </si>
  <si>
    <t>St. Lucia</t>
  </si>
  <si>
    <t>St. Martin</t>
  </si>
  <si>
    <t>St. Martin (French part)</t>
  </si>
  <si>
    <t>St. Pierre &amp; Miquelon</t>
  </si>
  <si>
    <t>St. Vincent &amp; the Grenadines</t>
  </si>
  <si>
    <t>St. Vincent and the Grenadines</t>
  </si>
  <si>
    <t>States Ex-Yugoslavia</t>
  </si>
  <si>
    <t>States Ex-Yugoslavia unspecified</t>
  </si>
  <si>
    <t>Sudan (former)</t>
  </si>
  <si>
    <t>Sudan and South Sudan</t>
  </si>
  <si>
    <t>Svalbard</t>
  </si>
  <si>
    <t>Svalbard Mayen</t>
  </si>
  <si>
    <t>Swaziland</t>
  </si>
  <si>
    <t>Switzerland and Liechtenstein</t>
  </si>
  <si>
    <t>Switzerland-Liechtenstein</t>
  </si>
  <si>
    <t>Syria</t>
  </si>
  <si>
    <t>Syrian AR</t>
  </si>
  <si>
    <t>T.F.Yug.Rep. Macedonia</t>
  </si>
  <si>
    <t>Taiwan</t>
  </si>
  <si>
    <t>Taiwan, China</t>
  </si>
  <si>
    <t>Tanzania</t>
  </si>
  <si>
    <t>Tanzania (United Republic of)</t>
  </si>
  <si>
    <t>TfYR Macedonia</t>
  </si>
  <si>
    <t>The Bahamas</t>
  </si>
  <si>
    <t>The former Yugoslav Republic of Macedonia</t>
  </si>
  <si>
    <t>The Gambia</t>
  </si>
  <si>
    <t>Timor Leste</t>
  </si>
  <si>
    <t>Timor-leste</t>
  </si>
  <si>
    <t>Total DAC</t>
  </si>
  <si>
    <t>Trinidad &amp; Tobago</t>
  </si>
  <si>
    <t>Trinidad Tobago</t>
  </si>
  <si>
    <t>TRISTAN DA CUNHA</t>
  </si>
  <si>
    <t>Turkey</t>
  </si>
  <si>
    <t>TURKS &amp; CAICOS</t>
  </si>
  <si>
    <t>Turks &amp; Caicos Is.</t>
  </si>
  <si>
    <t>Turks Caicos</t>
  </si>
  <si>
    <t>U.K.</t>
  </si>
  <si>
    <t>U.k.</t>
  </si>
  <si>
    <t>UAE</t>
  </si>
  <si>
    <t>UK</t>
  </si>
  <si>
    <t>Uk</t>
  </si>
  <si>
    <t>ukraine</t>
  </si>
  <si>
    <t>United Arab Em</t>
  </si>
  <si>
    <t>United Kingdom (and dependencies)</t>
  </si>
  <si>
    <t>United States</t>
  </si>
  <si>
    <t>United States Minor Outlying Islands</t>
  </si>
  <si>
    <t>United States of America (and dependencies)</t>
  </si>
  <si>
    <t>US Minor Is</t>
  </si>
  <si>
    <t>US Virgin Is</t>
  </si>
  <si>
    <t>VANUATU</t>
  </si>
  <si>
    <t>Various</t>
  </si>
  <si>
    <t>Vatican City</t>
  </si>
  <si>
    <t>Venezuela</t>
  </si>
  <si>
    <t>Venezuela, RB</t>
  </si>
  <si>
    <t>Viet nam</t>
  </si>
  <si>
    <t>Viet NAm</t>
  </si>
  <si>
    <t>Vietnam</t>
  </si>
  <si>
    <t>Virgin Is.</t>
  </si>
  <si>
    <t>Virgin Islands (U.S.)</t>
  </si>
  <si>
    <t>Virgin Islands, British</t>
  </si>
  <si>
    <t>Wake I.</t>
  </si>
  <si>
    <t>WALLIS &amp; FUTUNA</t>
  </si>
  <si>
    <t>Wallis and Futuna</t>
  </si>
  <si>
    <t>Wallis Fut Is</t>
  </si>
  <si>
    <t>West Bank</t>
  </si>
  <si>
    <t>West Bank and Gaza</t>
  </si>
  <si>
    <t>West Bank and Gaza Strip</t>
  </si>
  <si>
    <t>West Indies, regional</t>
  </si>
  <si>
    <t>Western Africa, regional</t>
  </si>
  <si>
    <t>Westn Sahara</t>
  </si>
  <si>
    <t>Yemen, Rep.</t>
  </si>
  <si>
    <t>C America + Carib</t>
  </si>
  <si>
    <t xml:space="preserve">Türkiye </t>
  </si>
  <si>
    <t>N America</t>
  </si>
  <si>
    <t>S America</t>
  </si>
  <si>
    <t>EU (27)</t>
  </si>
  <si>
    <t>Other Developing</t>
  </si>
  <si>
    <t>SDG 7a1</t>
  </si>
  <si>
    <t>ODA recipient</t>
  </si>
  <si>
    <t>Non recipient</t>
  </si>
  <si>
    <t>Non SDG</t>
  </si>
  <si>
    <t>Unclassified</t>
  </si>
  <si>
    <t>Heavily indebted poor countries (HIPC)</t>
  </si>
  <si>
    <t>HIPC</t>
  </si>
  <si>
    <t>Non-HIPC</t>
  </si>
  <si>
    <t>XEE</t>
  </si>
  <si>
    <t>UN Formal Name EN</t>
  </si>
  <si>
    <t>Central African Republic (the)</t>
  </si>
  <si>
    <t>Democratic Republic of the Congo (the)</t>
  </si>
  <si>
    <t>Dominican Republic (the)</t>
  </si>
  <si>
    <t>Holy See (the)</t>
  </si>
  <si>
    <t>Democratic People's Republic of Korea (the)</t>
  </si>
  <si>
    <t>Republic of Korea (the)</t>
  </si>
  <si>
    <t>Lao People's Democratic Republic (the)</t>
  </si>
  <si>
    <t>Republic of Moldova (the)</t>
  </si>
  <si>
    <t>Russian Federation (the)</t>
  </si>
  <si>
    <t>United Republic of Tanzania (the)</t>
  </si>
  <si>
    <t>United Arab Emirates (the)</t>
  </si>
  <si>
    <t>United Kingdom of Great Britain and Northern Ireland (the)</t>
  </si>
  <si>
    <t>United States of America (the)</t>
  </si>
  <si>
    <t>SDG Region</t>
  </si>
  <si>
    <t>SDG Region (M49)</t>
  </si>
  <si>
    <t>SDG Sub-region</t>
  </si>
  <si>
    <t>SDG Sub-region (M49)</t>
  </si>
  <si>
    <t>ESCWA_CONFLICT</t>
  </si>
  <si>
    <t>ESCWA_NOCONFLICT_MID</t>
  </si>
  <si>
    <t>ECLAC: Carribean</t>
  </si>
  <si>
    <t>ESCWA: Countries in conflict</t>
  </si>
  <si>
    <t>ESCWA: Non-conflict middle income countries</t>
  </si>
  <si>
    <t>Unspecified countries</t>
  </si>
  <si>
    <t>XLA</t>
  </si>
  <si>
    <t>Residual/unallocated ODA: Central America</t>
  </si>
  <si>
    <t>Residual/unallocated ODA: Northern America</t>
  </si>
  <si>
    <t>Residual/unallocated ODA: Europe</t>
  </si>
  <si>
    <t>XCA</t>
  </si>
  <si>
    <t>Residual/unallocated ODA: Central Asia and Southern Asia</t>
  </si>
  <si>
    <t>Other Central Asia and Southern Asia</t>
  </si>
  <si>
    <t>XCS</t>
  </si>
  <si>
    <t>XTA</t>
  </si>
  <si>
    <t>Other Central Asia</t>
  </si>
  <si>
    <t>Other Southern Asia</t>
  </si>
  <si>
    <t>Residual/unallocated ODA: Central Asia</t>
  </si>
  <si>
    <t>Residual/unallocated ODA: Southern Asia</t>
  </si>
  <si>
    <t>Other Latin America</t>
  </si>
  <si>
    <t>XSI</t>
  </si>
  <si>
    <t>XES</t>
  </si>
  <si>
    <t>Other Eastern Asia</t>
  </si>
  <si>
    <t>Other South-eastern Asia</t>
  </si>
  <si>
    <t>Residual/unallocated ODA: Eastern Asia</t>
  </si>
  <si>
    <t>Residual/unallocated ODA: South-eastern Asia</t>
  </si>
  <si>
    <t>XWA</t>
  </si>
  <si>
    <t>XFR</t>
  </si>
  <si>
    <t>Other Western Asia</t>
  </si>
  <si>
    <t>Other Northern Africa</t>
  </si>
  <si>
    <t>Residual/unallocated ODA: Western Asia</t>
  </si>
  <si>
    <t>Residual/unallocated ODA: Northern Africa</t>
  </si>
  <si>
    <t>XAA</t>
  </si>
  <si>
    <t>Netherlands (Kingdom of the)</t>
  </si>
  <si>
    <t>ARGENTINA</t>
  </si>
  <si>
    <t>AUSTRALI</t>
  </si>
  <si>
    <t>AUSTRIA</t>
  </si>
  <si>
    <t>BELGIUM</t>
  </si>
  <si>
    <t>BRAZIL</t>
  </si>
  <si>
    <t>BULGARIA</t>
  </si>
  <si>
    <t>CANADA</t>
  </si>
  <si>
    <t>CHILE</t>
  </si>
  <si>
    <t>CHINA</t>
  </si>
  <si>
    <t>COLOMBIA</t>
  </si>
  <si>
    <t>COSTARICA</t>
  </si>
  <si>
    <t>CROATIA</t>
  </si>
  <si>
    <t>CYPRUS</t>
  </si>
  <si>
    <t>CZECH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</si>
  <si>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</si>
  <si>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</si>
  <si>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</si>
  <si>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</si>
  <si>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</si>
  <si>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</si>
  <si>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</si>
  <si>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</si>
  <si>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IEATOT</t>
  </si>
  <si>
    <t>INDIA</t>
  </si>
  <si>
    <t>IRELAND</t>
  </si>
  <si>
    <t>ITALY</t>
  </si>
  <si>
    <t>JAPAN</t>
  </si>
  <si>
    <t>KOREA</t>
  </si>
  <si>
    <t>LATVIA</t>
  </si>
  <si>
    <t>LITHUANIA</t>
  </si>
  <si>
    <t>LUXEMBOU</t>
  </si>
  <si>
    <t>MALTA</t>
  </si>
  <si>
    <t>MEXICO</t>
  </si>
  <si>
    <t>NETHLAND</t>
  </si>
  <si>
    <t>NORTHMACED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</si>
  <si>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</si>
  <si>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</si>
  <si>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</si>
  <si>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</si>
  <si>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</si>
  <si>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</si>
  <si>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</si>
  <si>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</si>
  <si>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</si>
  <si>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SWITLAND</t>
  </si>
  <si>
    <t>TURKEY</t>
  </si>
  <si>
    <t>ALBANIA</t>
  </si>
  <si>
    <t>BOSNIAHERZ</t>
  </si>
  <si>
    <t>EU27_2020</t>
  </si>
  <si>
    <t>EU28</t>
  </si>
  <si>
    <t>GEORGIA</t>
  </si>
  <si>
    <t>ISRAEL</t>
  </si>
  <si>
    <t>KOSOVO</t>
  </si>
  <si>
    <t>MOLDOVA</t>
  </si>
  <si>
    <t>MONTENEGRO</t>
  </si>
  <si>
    <t>UKRAINE</t>
  </si>
  <si>
    <t>EUP</t>
  </si>
  <si>
    <t>IEA Countries</t>
  </si>
  <si>
    <t>Países EIA</t>
  </si>
  <si>
    <t>Pays du EIA</t>
  </si>
  <si>
    <t>2.4-Other Multilateral</t>
  </si>
  <si>
    <t>Include</t>
  </si>
  <si>
    <t>Bahamas (the)</t>
  </si>
  <si>
    <t>Comoros (the)</t>
  </si>
  <si>
    <t>Congo (the)</t>
  </si>
  <si>
    <t>Gambia (the)</t>
  </si>
  <si>
    <t>Niger (the)</t>
  </si>
  <si>
    <t>Marshall Islands (the)</t>
  </si>
  <si>
    <t>Philippines (the)</t>
  </si>
  <si>
    <t>Sudan (the)</t>
  </si>
  <si>
    <t>the Islamic Republic of Afghanistan</t>
  </si>
  <si>
    <t>the Republic of Albania</t>
  </si>
  <si>
    <t>the People's Democratic Republic of Algeria</t>
  </si>
  <si>
    <t>the Principality of Andorra</t>
  </si>
  <si>
    <t>the Republic of Angola</t>
  </si>
  <si>
    <t>the Argentine Republic</t>
  </si>
  <si>
    <t>the Republic of Armenia</t>
  </si>
  <si>
    <t>the Republic of Austria</t>
  </si>
  <si>
    <t>the Republic of Azerbaijan</t>
  </si>
  <si>
    <t>the Commonwealth of the Bahamas</t>
  </si>
  <si>
    <t>the Kingdom of Bahrain</t>
  </si>
  <si>
    <t>the People's Republic of Bangladesh</t>
  </si>
  <si>
    <t>the Republic of Belarus</t>
  </si>
  <si>
    <t>the Kingdom of Belgium</t>
  </si>
  <si>
    <t>the Republic of Benin</t>
  </si>
  <si>
    <t>the Kingdom of Bhutan</t>
  </si>
  <si>
    <t>the Plurinational State of Bolivia</t>
  </si>
  <si>
    <t>the Republic of Botswana</t>
  </si>
  <si>
    <t>the Federative Republic of Brazil</t>
  </si>
  <si>
    <t>the Republic of Bulgaria</t>
  </si>
  <si>
    <t>the Republic of Burundi</t>
  </si>
  <si>
    <t>the Republic of Cabo Verde</t>
  </si>
  <si>
    <t>the Kingdom of Cambodia</t>
  </si>
  <si>
    <t>the Republic of Cameroon</t>
  </si>
  <si>
    <t>the Central African Republic</t>
  </si>
  <si>
    <t>the Republic of Chad</t>
  </si>
  <si>
    <t>the Republic of Chile</t>
  </si>
  <si>
    <t>the People's Republic of China</t>
  </si>
  <si>
    <t>the Republic of Colombia</t>
  </si>
  <si>
    <t>the Union of the Comoros</t>
  </si>
  <si>
    <t>the Republic of the Congo</t>
  </si>
  <si>
    <t>the Republic of Costa Rica</t>
  </si>
  <si>
    <t>the Republic of Côte d'Ivoire</t>
  </si>
  <si>
    <t>the Republic of Croatia</t>
  </si>
  <si>
    <t>the Republic of Cuba</t>
  </si>
  <si>
    <t>the Republic of Cyprus</t>
  </si>
  <si>
    <t>the Czech Republic</t>
  </si>
  <si>
    <t>the Democratic People's Republic of Korea</t>
  </si>
  <si>
    <t>the Democratic Republic of the Congo</t>
  </si>
  <si>
    <t>the Kingdom of Denmark</t>
  </si>
  <si>
    <t>the Republic of Djibouti</t>
  </si>
  <si>
    <t>the Commonwealth of Dominica</t>
  </si>
  <si>
    <t>the Dominican Republic</t>
  </si>
  <si>
    <t>the Republic of Ecuador</t>
  </si>
  <si>
    <t>the Arab Republic of Egypt</t>
  </si>
  <si>
    <t>the Republic of El Salvador</t>
  </si>
  <si>
    <t>the Republic of Equatorial Guinea</t>
  </si>
  <si>
    <t>the State of Eritrea</t>
  </si>
  <si>
    <t>the Republic of Estonia</t>
  </si>
  <si>
    <t>the Kingdom of Eswatini</t>
  </si>
  <si>
    <t>the Federal Democratic Republic of Ethiopia</t>
  </si>
  <si>
    <t>the Republic of Fiji</t>
  </si>
  <si>
    <t>the Republic of Finland</t>
  </si>
  <si>
    <t>the French Republic</t>
  </si>
  <si>
    <t>the Gabonese Republic</t>
  </si>
  <si>
    <t>the Republic of the Gambia</t>
  </si>
  <si>
    <t>the Federal Republic of Germany</t>
  </si>
  <si>
    <t>the Republic of Ghana</t>
  </si>
  <si>
    <t>the Hellenic Republic</t>
  </si>
  <si>
    <t>the Republic of Guatemala</t>
  </si>
  <si>
    <t>the Republic of Guinea</t>
  </si>
  <si>
    <t>the Republic of Guinea-Bissau</t>
  </si>
  <si>
    <t>the Co-operative Republic of Guyana</t>
  </si>
  <si>
    <t>the Republic of Haiti</t>
  </si>
  <si>
    <t>the Republic of Honduras</t>
  </si>
  <si>
    <t>the Republic of India</t>
  </si>
  <si>
    <t>the Republic of Indonesia</t>
  </si>
  <si>
    <t>the Islamic Republic of Iran</t>
  </si>
  <si>
    <t>the Republic of Iraq</t>
  </si>
  <si>
    <t>the State of Israel</t>
  </si>
  <si>
    <t>the Republic of Italy</t>
  </si>
  <si>
    <t>the Hashemite Kingdom of Jordan</t>
  </si>
  <si>
    <t>the Republic of Kazakhstan</t>
  </si>
  <si>
    <t>the Republic of Kenya</t>
  </si>
  <si>
    <t>the Republic of Kiribati</t>
  </si>
  <si>
    <t>the State of Kuwait</t>
  </si>
  <si>
    <t>the Kyrgyz Republic</t>
  </si>
  <si>
    <t>the Lao People's Democratic Republic</t>
  </si>
  <si>
    <t>the Republic of Latvia</t>
  </si>
  <si>
    <t>the Lebanese Republic</t>
  </si>
  <si>
    <t>the Kingdom of Lesotho</t>
  </si>
  <si>
    <t>the Republic of Liberia</t>
  </si>
  <si>
    <t>the State of Libya</t>
  </si>
  <si>
    <t>the Principality of Liechtenstein</t>
  </si>
  <si>
    <t>the Republic of Lithuania</t>
  </si>
  <si>
    <t>the Grand Duchy of Luxembourg</t>
  </si>
  <si>
    <t>the Republic of Madagascar</t>
  </si>
  <si>
    <t>the Republic of Malawi</t>
  </si>
  <si>
    <t>the Republic of Maldives</t>
  </si>
  <si>
    <t>the Republic of Mali</t>
  </si>
  <si>
    <t>the Republic of Malta</t>
  </si>
  <si>
    <t>the Republic of the Marshall Islands</t>
  </si>
  <si>
    <t>the Islamic Republic of Mauritania</t>
  </si>
  <si>
    <t>the Republic of Mauritius</t>
  </si>
  <si>
    <t>the United Mexican States</t>
  </si>
  <si>
    <t>the Federated States of Micronesia</t>
  </si>
  <si>
    <t>the Principality of Monaco</t>
  </si>
  <si>
    <t>the Kingdom of Morocco</t>
  </si>
  <si>
    <t>the Republic of Mozambique</t>
  </si>
  <si>
    <t>the Republic of the Union of Myanmar</t>
  </si>
  <si>
    <t>the Republic of Namibia</t>
  </si>
  <si>
    <t>the Republic of Nauru</t>
  </si>
  <si>
    <t>the Kingdom of the Netherlands</t>
  </si>
  <si>
    <t>the Republic of Nicaragua</t>
  </si>
  <si>
    <t>the Republic of the Niger</t>
  </si>
  <si>
    <t>the Federal Republic of Nigeria</t>
  </si>
  <si>
    <t>the Republic of North Macedonia</t>
  </si>
  <si>
    <t>the Kingdom of Norway</t>
  </si>
  <si>
    <t>the Sultanate of Oman</t>
  </si>
  <si>
    <t>the Islamic Republic of Pakistan</t>
  </si>
  <si>
    <t>the Republic of Palau</t>
  </si>
  <si>
    <t>the Republic of Panama</t>
  </si>
  <si>
    <t>the Independent State of Papua New Guinea</t>
  </si>
  <si>
    <t>the Republic of Paraguay</t>
  </si>
  <si>
    <t>the Republic of Peru</t>
  </si>
  <si>
    <t>the Republic of the Philippines</t>
  </si>
  <si>
    <t>the Republic of Poland</t>
  </si>
  <si>
    <t>the Portuguese Republic</t>
  </si>
  <si>
    <t>the State of Qatar</t>
  </si>
  <si>
    <t>the Republic of Korea</t>
  </si>
  <si>
    <t>the Republic of Moldova</t>
  </si>
  <si>
    <t>the Russian Federation</t>
  </si>
  <si>
    <t>the Republic of Rwanda</t>
  </si>
  <si>
    <t>the Independent State of Samoa</t>
  </si>
  <si>
    <t>the Republic of San Marino</t>
  </si>
  <si>
    <t>the Democratic Republic of Sao Tome and Principe</t>
  </si>
  <si>
    <t>the Kingdom of Saudi Arabia</t>
  </si>
  <si>
    <t>the Republic of Senegal</t>
  </si>
  <si>
    <t>the Republic of Serbia</t>
  </si>
  <si>
    <t>the Republic of Seychelles</t>
  </si>
  <si>
    <t>the Republic of Sierra Leone</t>
  </si>
  <si>
    <t>the Republic of Singapore</t>
  </si>
  <si>
    <t>the Slovak Republic</t>
  </si>
  <si>
    <t>the Republic of Slovenia</t>
  </si>
  <si>
    <t>the Federal Republic of Somalia</t>
  </si>
  <si>
    <t>the Republic of South Africa</t>
  </si>
  <si>
    <t>the Kingdom of Spain</t>
  </si>
  <si>
    <t>the Democratic Socialist Republic of Sri Lanka</t>
  </si>
  <si>
    <t>the Republic of the Sudan</t>
  </si>
  <si>
    <t>the Republic of Suriname</t>
  </si>
  <si>
    <t>the Kingdom of Sweden</t>
  </si>
  <si>
    <t>the Swiss Confederation</t>
  </si>
  <si>
    <t>the Republic of Tajikistan</t>
  </si>
  <si>
    <t>the Kingdom of Thailand</t>
  </si>
  <si>
    <t>the Democratic Republic of Timor-Leste</t>
  </si>
  <si>
    <t>the Togolese Republic</t>
  </si>
  <si>
    <t>the Kingdom of Tonga</t>
  </si>
  <si>
    <t>the Republic of Trinidad and Tobago</t>
  </si>
  <si>
    <t>the Republic of Tunisia</t>
  </si>
  <si>
    <t>the Republic of Türkiye</t>
  </si>
  <si>
    <t>the Republic of Uganda</t>
  </si>
  <si>
    <t>the United Arab Emirates</t>
  </si>
  <si>
    <t>the United Kingdom of Great Britain and Northern Ireland</t>
  </si>
  <si>
    <t>the United Republic of Tanzania</t>
  </si>
  <si>
    <t>the United States of America</t>
  </si>
  <si>
    <t>the Eastern Republic of Uruguay</t>
  </si>
  <si>
    <t>the Republic of Uzbekistan</t>
  </si>
  <si>
    <t>the Republic of Vanuatu</t>
  </si>
  <si>
    <t>the Bolivarian Republic of Venezuela</t>
  </si>
  <si>
    <t>the Socialist Republic of Viet Nam</t>
  </si>
  <si>
    <t>the Republic of Yemen</t>
  </si>
  <si>
    <t>the Republic of Zambia</t>
  </si>
  <si>
    <t>the Republic of Zimbabwe</t>
  </si>
  <si>
    <t>Syrian Arab Republic (the)</t>
  </si>
  <si>
    <t>the Syrian Arab Republic</t>
  </si>
  <si>
    <t>State of Palestine (the)</t>
  </si>
  <si>
    <t>Cook Islands (the)</t>
  </si>
  <si>
    <t>the Cook Islands</t>
  </si>
  <si>
    <t>the State of Palestine</t>
  </si>
  <si>
    <t>Sint Maarten (Dutch Part)</t>
  </si>
  <si>
    <t>Turkiye</t>
  </si>
  <si>
    <t>Developing regions</t>
  </si>
  <si>
    <t>Developed regions</t>
  </si>
  <si>
    <t xml:space="preserve"> </t>
  </si>
  <si>
    <t>WORLD</t>
  </si>
  <si>
    <t>IEAFAMILY</t>
  </si>
  <si>
    <t>MG20</t>
  </si>
  <si>
    <t>MG8</t>
  </si>
  <si>
    <t>MG7</t>
  </si>
  <si>
    <t>ASIA</t>
  </si>
  <si>
    <t>AFRICA</t>
  </si>
  <si>
    <t>LATAMER</t>
  </si>
  <si>
    <t>EURASIA</t>
  </si>
  <si>
    <t>MIDEAST</t>
  </si>
  <si>
    <t>WORLDAV</t>
  </si>
  <si>
    <t>RUSSIA</t>
  </si>
  <si>
    <t>INDONESIA</t>
  </si>
  <si>
    <t>PAKISTAN</t>
  </si>
  <si>
    <t>SAUDIARABI</t>
  </si>
  <si>
    <t>IRAN</t>
  </si>
  <si>
    <t>THAILAND</t>
  </si>
  <si>
    <t>OTHERAFRIC</t>
  </si>
  <si>
    <t>ETHIOPIA</t>
  </si>
  <si>
    <t>SOUTHAFRIC</t>
  </si>
  <si>
    <t>VIETNAM</t>
  </si>
  <si>
    <t>TAIPEI</t>
  </si>
  <si>
    <t>WORLDMAR</t>
  </si>
  <si>
    <t>MALAYSIA</t>
  </si>
  <si>
    <t>EGYPT</t>
  </si>
  <si>
    <t>CONGOREP</t>
  </si>
  <si>
    <t>PHILIPPINE</t>
  </si>
  <si>
    <t>TANZANIA</t>
  </si>
  <si>
    <t>VENEZUELA</t>
  </si>
  <si>
    <t>MYANMAR</t>
  </si>
  <si>
    <t>BANGLADESH</t>
  </si>
  <si>
    <t>UGANDA</t>
  </si>
  <si>
    <t>NEPAL</t>
  </si>
  <si>
    <t>SUDAN</t>
  </si>
  <si>
    <t>IRAQ</t>
  </si>
  <si>
    <t>ALGERIA</t>
  </si>
  <si>
    <t>PERU</t>
  </si>
  <si>
    <t>KAZAKHSTAN</t>
  </si>
  <si>
    <t>ZIMBABWE</t>
  </si>
  <si>
    <t>GUATEMALA</t>
  </si>
  <si>
    <t>SRILANKA</t>
  </si>
  <si>
    <t>ZAMBIA</t>
  </si>
  <si>
    <t>ANGOLA</t>
  </si>
  <si>
    <t>BELARUS</t>
  </si>
  <si>
    <t>MOROCCO</t>
  </si>
  <si>
    <t>OTHERASIA</t>
  </si>
  <si>
    <t>KUWAIT</t>
  </si>
  <si>
    <t>CAMEROON</t>
  </si>
  <si>
    <t>ECUADOR</t>
  </si>
  <si>
    <t>COTEIVOIRE</t>
  </si>
  <si>
    <t>QATAR</t>
  </si>
  <si>
    <t>LIBYA</t>
  </si>
  <si>
    <t>PARAGUAY</t>
  </si>
  <si>
    <t>UZBEKISTAN</t>
  </si>
  <si>
    <t>CAMBODIA</t>
  </si>
  <si>
    <t>SYRIA</t>
  </si>
  <si>
    <t>GABON</t>
  </si>
  <si>
    <t>HONGKONG</t>
  </si>
  <si>
    <t>SINGAPORE</t>
  </si>
  <si>
    <t>CUBA</t>
  </si>
  <si>
    <t>TUNISIA</t>
  </si>
  <si>
    <t>OMAN</t>
  </si>
  <si>
    <t>DOMINICANR</t>
  </si>
  <si>
    <t>HONDURAS</t>
  </si>
  <si>
    <t>MBURKINAFA</t>
  </si>
  <si>
    <t>URUGUAY</t>
  </si>
  <si>
    <t>BOLIVIA</t>
  </si>
  <si>
    <t>TURKMENIST</t>
  </si>
  <si>
    <t>MMALI</t>
  </si>
  <si>
    <t>RWANDA</t>
  </si>
  <si>
    <t>BENIN</t>
  </si>
  <si>
    <t>JORDAN</t>
  </si>
  <si>
    <t>AZERBAIJAN</t>
  </si>
  <si>
    <t>MCHAD</t>
  </si>
  <si>
    <t>OTHERLATIN</t>
  </si>
  <si>
    <t>LEBANON</t>
  </si>
  <si>
    <t>KOREADPR</t>
  </si>
  <si>
    <t>BAHRAIN</t>
  </si>
  <si>
    <t>YEMEN</t>
  </si>
  <si>
    <t>NICARAGUA</t>
  </si>
  <si>
    <t>PANAMA</t>
  </si>
  <si>
    <t>TOGO</t>
  </si>
  <si>
    <t>ELSALVADOR</t>
  </si>
  <si>
    <t>CONGO</t>
  </si>
  <si>
    <t>BOTSWANA</t>
  </si>
  <si>
    <t>KYRGYZSTAN</t>
  </si>
  <si>
    <t>TAJIKISTAN</t>
  </si>
  <si>
    <t>TRINIDAD</t>
  </si>
  <si>
    <t>NAMIBIA</t>
  </si>
  <si>
    <t>JAMAICA</t>
  </si>
  <si>
    <t>MONGOLIA</t>
  </si>
  <si>
    <t>ESWATINI</t>
  </si>
  <si>
    <t>MPALESTINE</t>
  </si>
  <si>
    <t>MMAURITANI</t>
  </si>
  <si>
    <t>GUYANA</t>
  </si>
  <si>
    <t>ERITREA</t>
  </si>
  <si>
    <t>ARMENIA</t>
  </si>
  <si>
    <t>BRUNEI</t>
  </si>
  <si>
    <t>MAURITIUS</t>
  </si>
  <si>
    <t>CURACAO</t>
  </si>
  <si>
    <t>SURINAME</t>
  </si>
  <si>
    <t>EQGUINEA</t>
  </si>
  <si>
    <t>SSUDAN</t>
  </si>
  <si>
    <t>GIBRALTAR</t>
  </si>
  <si>
    <t>MGREENLAND</t>
  </si>
  <si>
    <t>IEF</t>
  </si>
  <si>
    <t>IEA Family</t>
  </si>
  <si>
    <t>IEA and Accession/Association countries</t>
  </si>
  <si>
    <t>NOA</t>
  </si>
  <si>
    <t>G7</t>
  </si>
  <si>
    <t>G8</t>
  </si>
  <si>
    <t>G20</t>
  </si>
  <si>
    <t>Non-G20</t>
  </si>
  <si>
    <t>Non-G8</t>
  </si>
  <si>
    <t>Non-G7</t>
  </si>
  <si>
    <t>G08</t>
  </si>
  <si>
    <t>G07</t>
  </si>
  <si>
    <t>G20 Countries</t>
  </si>
  <si>
    <t>G8 Countries</t>
  </si>
  <si>
    <t>G7 Countries</t>
  </si>
  <si>
    <t>AME</t>
  </si>
  <si>
    <t>AUZ</t>
  </si>
  <si>
    <t>CAR</t>
  </si>
  <si>
    <t>CAM</t>
  </si>
  <si>
    <t>CAS</t>
  </si>
  <si>
    <t>CSA</t>
  </si>
  <si>
    <t>EAF</t>
  </si>
  <si>
    <t>EAS</t>
  </si>
  <si>
    <t>ESS</t>
  </si>
  <si>
    <t>EEE</t>
  </si>
  <si>
    <t>LLD</t>
  </si>
  <si>
    <t>LAT</t>
  </si>
  <si>
    <t>MEL</t>
  </si>
  <si>
    <t>MIC</t>
  </si>
  <si>
    <t>MIF</t>
  </si>
  <si>
    <t>NAF</t>
  </si>
  <si>
    <t>NAE</t>
  </si>
  <si>
    <t>NEE</t>
  </si>
  <si>
    <t>OCA</t>
  </si>
  <si>
    <t>PLY</t>
  </si>
  <si>
    <t>SID</t>
  </si>
  <si>
    <t>SEA</t>
  </si>
  <si>
    <t>SOA</t>
  </si>
  <si>
    <t>SAS</t>
  </si>
  <si>
    <t>SOE</t>
  </si>
  <si>
    <t>SSA</t>
  </si>
  <si>
    <t>WAF</t>
  </si>
  <si>
    <t>WAS</t>
  </si>
  <si>
    <t>WAN</t>
  </si>
  <si>
    <t>WEE</t>
  </si>
  <si>
    <t>DEV</t>
  </si>
  <si>
    <t>DIV</t>
  </si>
  <si>
    <t>TÃ¼rkiye</t>
  </si>
  <si>
    <t>Latin America</t>
  </si>
  <si>
    <t>Cote D'Ivoire</t>
  </si>
  <si>
    <t>Congo, Republic of the</t>
  </si>
  <si>
    <t>Congo, Democratic Republic of the</t>
  </si>
  <si>
    <t>Democratic Republic Of Congo</t>
  </si>
  <si>
    <t>DRC</t>
  </si>
  <si>
    <t>Developing countries</t>
  </si>
  <si>
    <t>South-East Asia</t>
  </si>
  <si>
    <t>ECE_EAEU</t>
  </si>
  <si>
    <t>ESCWA_ARAB_MID</t>
  </si>
  <si>
    <t>ESCWA_ARAB_LOW</t>
  </si>
  <si>
    <t>22/12/2023</t>
  </si>
  <si>
    <t>ECE: Eurasian Economic Union (EAEU)</t>
  </si>
  <si>
    <t>ESCWA: Arab Middle-Income Countries (MICs)</t>
  </si>
  <si>
    <t>ESCWA: Arab Low-Income Countries (LICs)</t>
  </si>
  <si>
    <t>ECSCWA</t>
  </si>
  <si>
    <t>RC_Region</t>
  </si>
  <si>
    <t>UN Name</t>
  </si>
  <si>
    <t>Bosnia Herzegovina</t>
  </si>
  <si>
    <t>Central African Rep.</t>
  </si>
  <si>
    <t>Dem. Rep. of the Congo</t>
  </si>
  <si>
    <t>Dominican Rep.</t>
  </si>
  <si>
    <t>Faeroe Isds</t>
  </si>
  <si>
    <t>Rep. of Korea</t>
  </si>
  <si>
    <t>Lao People's Dem. Rep.</t>
  </si>
  <si>
    <t>Rep. of Moldova</t>
  </si>
  <si>
    <t>Sudan (...2011)</t>
  </si>
  <si>
    <t>Solomon Isds</t>
  </si>
  <si>
    <t>United Rep. of Tanzania</t>
  </si>
  <si>
    <t>Areas, nes</t>
  </si>
  <si>
    <t>North America and Central America, nes</t>
  </si>
  <si>
    <t>LAIA, nes</t>
  </si>
  <si>
    <t>Rest of America, nes</t>
  </si>
  <si>
    <t>Netherlands Antilles (...2010)</t>
  </si>
  <si>
    <t>Fr. South Antarctic Terr.</t>
  </si>
  <si>
    <t>Cocos Isds</t>
  </si>
  <si>
    <t>Cook Isds</t>
  </si>
  <si>
    <t>Christmas Isds</t>
  </si>
  <si>
    <t>Cayman Isds</t>
  </si>
  <si>
    <t>Other Europe, nes</t>
  </si>
  <si>
    <t>Other Africa, nes</t>
  </si>
  <si>
    <t>Falkland Isds (Malvinas)</t>
  </si>
  <si>
    <t>FS Micronesia</t>
  </si>
  <si>
    <t>Br. Indian Ocean Terr.</t>
  </si>
  <si>
    <t>Marshall Isds</t>
  </si>
  <si>
    <t>N. Mariana Isds</t>
  </si>
  <si>
    <t>Mayotte (Overseas France)</t>
  </si>
  <si>
    <t>Norfolk Isds</t>
  </si>
  <si>
    <t>Oceania, nes</t>
  </si>
  <si>
    <t>Dem. People's Rep. of Korea</t>
  </si>
  <si>
    <t>Other Asia, nes</t>
  </si>
  <si>
    <t>Serbia and Montenegro (...2005)</t>
  </si>
  <si>
    <t>Turks and Caicos Isds</t>
  </si>
  <si>
    <t>Holy See (Vatican City State)</t>
  </si>
  <si>
    <t>Br. Virgin Isds</t>
  </si>
  <si>
    <t>Wallis and Futuna Isds</t>
  </si>
  <si>
    <t>Bunkers</t>
  </si>
  <si>
    <t>Free Zones</t>
  </si>
  <si>
    <t>Special Categories</t>
  </si>
  <si>
    <t>_X</t>
  </si>
  <si>
    <t>X1</t>
  </si>
  <si>
    <t>X2</t>
  </si>
  <si>
    <t>XX</t>
  </si>
  <si>
    <t>Residual/unallocated: Sub-Saharan Africa</t>
  </si>
  <si>
    <t>Residual/unallocated: Eastern and South-eastern Asia</t>
  </si>
  <si>
    <t>Residual/unallocated: Central America</t>
  </si>
  <si>
    <t>Residual/unallocated: Central Asia</t>
  </si>
  <si>
    <t>Residual/unallocated: Central Asia and Southern Asia</t>
  </si>
  <si>
    <t>Residual/unallocated: Eastern Asia</t>
  </si>
  <si>
    <t>Residual/unallocated: Eurasia</t>
  </si>
  <si>
    <t>Residual/unallocated: Northern America and Europe</t>
  </si>
  <si>
    <t>Residual/unallocated: Europe</t>
  </si>
  <si>
    <t>Residual/unallocated: Latin America and the Caribbean</t>
  </si>
  <si>
    <t>Residual/unallocated: Western Asia and Northern Africa</t>
  </si>
  <si>
    <t>Residual/unallocated: Northern America</t>
  </si>
  <si>
    <t>Residual/unallocated: Northern Africa</t>
  </si>
  <si>
    <t>Residual/unallocated: Oceania excl. Aus. and N. Zealand</t>
  </si>
  <si>
    <t>Residual/unallocated: South-eastern Asia</t>
  </si>
  <si>
    <t>Residual/unallocated: Southern Asia</t>
  </si>
  <si>
    <t>Residual/unallocated: Western Asia</t>
  </si>
  <si>
    <t>Residual/unallocated: South America</t>
  </si>
  <si>
    <t>MERGE legacy</t>
  </si>
  <si>
    <t>Congo, the Democratic Republic of the</t>
  </si>
  <si>
    <t>East Timor</t>
  </si>
  <si>
    <t>Falklands Islands (Malvinas)</t>
  </si>
  <si>
    <t>Kazakstan</t>
  </si>
  <si>
    <t>Korea, Democratic People's Republic of</t>
  </si>
  <si>
    <t>Libyan Arab Jamahiriya</t>
  </si>
  <si>
    <t>Macau</t>
  </si>
  <si>
    <t>Macedonia, the Former Yugoslav Republic of</t>
  </si>
  <si>
    <t>Micronesia, Federated States of</t>
  </si>
  <si>
    <t>Moldova, Republic of</t>
  </si>
  <si>
    <t>Svalbard and Jan Mayen</t>
  </si>
  <si>
    <t>Taiwan, Province of China</t>
  </si>
  <si>
    <t>Tanzania, United Republic of</t>
  </si>
  <si>
    <t>Virgin Islands, U.S.</t>
  </si>
  <si>
    <t>eu27+</t>
  </si>
  <si>
    <t>midEas</t>
  </si>
  <si>
    <t>ROW</t>
  </si>
  <si>
    <t>canz</t>
  </si>
  <si>
    <t>swiss</t>
  </si>
  <si>
    <t>china</t>
  </si>
  <si>
    <t>india</t>
  </si>
  <si>
    <t>japan</t>
  </si>
  <si>
    <t>usa</t>
  </si>
  <si>
    <t>russia</t>
  </si>
  <si>
    <t>GMM 17</t>
  </si>
  <si>
    <t>Republic of North Macedonia</t>
  </si>
  <si>
    <t>GMM 15</t>
  </si>
  <si>
    <t>EU31</t>
  </si>
  <si>
    <t>MENA</t>
  </si>
  <si>
    <t>GCC</t>
  </si>
  <si>
    <t>CENASIA</t>
  </si>
  <si>
    <t>LAC</t>
  </si>
  <si>
    <t>EEUR</t>
  </si>
  <si>
    <t>SSAFRICA</t>
  </si>
  <si>
    <t>ASIAPAC</t>
  </si>
  <si>
    <t>AUSNZL</t>
  </si>
  <si>
    <t>CANMEX</t>
  </si>
  <si>
    <t>CHINAREG</t>
  </si>
  <si>
    <t>NAFRICA</t>
  </si>
  <si>
    <t>JPKRTW</t>
  </si>
  <si>
    <t>EU27</t>
  </si>
  <si>
    <t>MERGE option 1</t>
  </si>
  <si>
    <t>MERGE option 2</t>
  </si>
  <si>
    <t>Other Northern America</t>
  </si>
  <si>
    <t>Other South America</t>
  </si>
  <si>
    <t>Other Central America</t>
  </si>
  <si>
    <t>Other Southern Africa</t>
  </si>
  <si>
    <t>Other Eastern Europe</t>
  </si>
  <si>
    <t>Other Northern Europe</t>
  </si>
  <si>
    <t>Other Southern Europe</t>
  </si>
  <si>
    <t>Other Western Europe</t>
  </si>
  <si>
    <t>New Zealand and others</t>
  </si>
  <si>
    <t>MERGE</t>
  </si>
  <si>
    <t>Int. Aviation</t>
  </si>
  <si>
    <t>Congo_the Democratic Republic of the</t>
  </si>
  <si>
    <t>Iran, Islamic Republic of</t>
  </si>
  <si>
    <t>Macedonia, the former Yugoslav Republic of</t>
  </si>
  <si>
    <t>Int. Shipping</t>
  </si>
  <si>
    <t>Taiwan_Province of China</t>
  </si>
  <si>
    <t>Tanzania_United Republic of</t>
  </si>
  <si>
    <t>Virgin Islands_British</t>
  </si>
  <si>
    <t>Virgin Islands_USA</t>
  </si>
  <si>
    <t>Republic of Türkiye</t>
  </si>
  <si>
    <t>Other S. &amp; Cent. America</t>
  </si>
  <si>
    <t>Other CIS</t>
  </si>
  <si>
    <t>Other Middle East</t>
  </si>
  <si>
    <t xml:space="preserve">Republic of Congo </t>
  </si>
  <si>
    <t>Other Asia Pacific</t>
  </si>
  <si>
    <t>United
Kingdom</t>
  </si>
  <si>
    <t>United
States</t>
  </si>
  <si>
    <t>Czech
Republic</t>
  </si>
  <si>
    <t>Denmark/Greenland</t>
  </si>
  <si>
    <t>International Aviation</t>
  </si>
  <si>
    <t>AIR</t>
  </si>
  <si>
    <t>International Shipping</t>
  </si>
  <si>
    <t>SHI</t>
  </si>
  <si>
    <t>Congo, Dem. Rep. of</t>
  </si>
  <si>
    <t>Congo (Democratic Republic of)</t>
  </si>
  <si>
    <t>St. Pierre and Miquelon</t>
  </si>
  <si>
    <t>Saint-Martin (France)</t>
  </si>
  <si>
    <t>Saint Barthélemy (St. Barts)</t>
  </si>
  <si>
    <t>Caribbean Netherlands</t>
  </si>
  <si>
    <t>Virgin Islands (British)</t>
  </si>
  <si>
    <t>The Netherlands</t>
  </si>
  <si>
    <t>Jersey, Channel Islands</t>
  </si>
  <si>
    <t>Korea, Dem. Rep.</t>
  </si>
  <si>
    <t>International</t>
  </si>
  <si>
    <t>Do not include</t>
  </si>
  <si>
    <t>004</t>
  </si>
  <si>
    <t>008</t>
  </si>
  <si>
    <t>012</t>
  </si>
  <si>
    <t>016</t>
  </si>
  <si>
    <t>020</t>
  </si>
  <si>
    <t>024</t>
  </si>
  <si>
    <t>028</t>
  </si>
  <si>
    <t>031</t>
  </si>
  <si>
    <t>032</t>
  </si>
  <si>
    <t>036</t>
  </si>
  <si>
    <t>040</t>
  </si>
  <si>
    <t>044</t>
  </si>
  <si>
    <t>048</t>
  </si>
  <si>
    <t>050</t>
  </si>
  <si>
    <t>051</t>
  </si>
  <si>
    <t>052</t>
  </si>
  <si>
    <t>056</t>
  </si>
  <si>
    <t>060</t>
  </si>
  <si>
    <t>064</t>
  </si>
  <si>
    <t>068</t>
  </si>
  <si>
    <t>070</t>
  </si>
  <si>
    <t>072</t>
  </si>
  <si>
    <t>076</t>
  </si>
  <si>
    <t>081</t>
  </si>
  <si>
    <t>084</t>
  </si>
  <si>
    <t>090</t>
  </si>
  <si>
    <t>092</t>
  </si>
  <si>
    <t>096</t>
  </si>
  <si>
    <t>100</t>
  </si>
  <si>
    <t>104</t>
  </si>
  <si>
    <t>108</t>
  </si>
  <si>
    <t>112</t>
  </si>
  <si>
    <t>116</t>
  </si>
  <si>
    <t>120</t>
  </si>
  <si>
    <t>124</t>
  </si>
  <si>
    <t>132</t>
  </si>
  <si>
    <t>136</t>
  </si>
  <si>
    <t>140</t>
  </si>
  <si>
    <t>144</t>
  </si>
  <si>
    <t>148</t>
  </si>
  <si>
    <t>152</t>
  </si>
  <si>
    <t>156</t>
  </si>
  <si>
    <t>158</t>
  </si>
  <si>
    <t>170</t>
  </si>
  <si>
    <t>174</t>
  </si>
  <si>
    <t>175</t>
  </si>
  <si>
    <t>178</t>
  </si>
  <si>
    <t>180</t>
  </si>
  <si>
    <t>184</t>
  </si>
  <si>
    <t>188</t>
  </si>
  <si>
    <t>191</t>
  </si>
  <si>
    <t>192</t>
  </si>
  <si>
    <t>196</t>
  </si>
  <si>
    <t>203</t>
  </si>
  <si>
    <t>204</t>
  </si>
  <si>
    <t>208</t>
  </si>
  <si>
    <t>212</t>
  </si>
  <si>
    <t>214</t>
  </si>
  <si>
    <t>218</t>
  </si>
  <si>
    <t>222</t>
  </si>
  <si>
    <t>226</t>
  </si>
  <si>
    <t>231</t>
  </si>
  <si>
    <t>232</t>
  </si>
  <si>
    <t>233</t>
  </si>
  <si>
    <t>234</t>
  </si>
  <si>
    <t>238</t>
  </si>
  <si>
    <t>242</t>
  </si>
  <si>
    <t>246</t>
  </si>
  <si>
    <t>251</t>
  </si>
  <si>
    <t>252</t>
  </si>
  <si>
    <t>254</t>
  </si>
  <si>
    <t>258</t>
  </si>
  <si>
    <t>262</t>
  </si>
  <si>
    <t>266</t>
  </si>
  <si>
    <t>268</t>
  </si>
  <si>
    <t>270</t>
  </si>
  <si>
    <t>275</t>
  </si>
  <si>
    <t>276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</si>
  <si>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</si>
  <si>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</si>
  <si>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</si>
  <si>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</si>
  <si>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</si>
  <si>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</si>
  <si>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</si>
  <si>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</si>
  <si>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</si>
  <si>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</si>
  <si>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</si>
  <si>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</si>
  <si>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</si>
  <si>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</si>
  <si>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</si>
  <si>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</si>
  <si>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</si>
  <si>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</si>
  <si>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</si>
  <si>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</si>
  <si>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</si>
  <si>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</si>
  <si>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382</t>
  </si>
  <si>
    <t>384</t>
  </si>
  <si>
    <t>388</t>
  </si>
  <si>
    <t>392</t>
  </si>
  <si>
    <t>398</t>
  </si>
  <si>
    <t>400</t>
  </si>
  <si>
    <t>404</t>
  </si>
  <si>
    <t>408</t>
  </si>
  <si>
    <t>410</t>
  </si>
  <si>
    <t>412</t>
  </si>
  <si>
    <t>414</t>
  </si>
  <si>
    <t>417</t>
  </si>
  <si>
    <t>418</t>
  </si>
  <si>
    <t>422</t>
  </si>
  <si>
    <t>426</t>
  </si>
  <si>
    <t>428</t>
  </si>
  <si>
    <t>430</t>
  </si>
  <si>
    <t>434</t>
  </si>
  <si>
    <t>438</t>
  </si>
  <si>
    <t>440</t>
  </si>
  <si>
    <t>442</t>
  </si>
  <si>
    <t>446</t>
  </si>
  <si>
    <t>450</t>
  </si>
  <si>
    <t>454</t>
  </si>
  <si>
    <t>458</t>
  </si>
  <si>
    <t>462</t>
  </si>
  <si>
    <t>466</t>
  </si>
  <si>
    <t>470</t>
  </si>
  <si>
    <t>474</t>
  </si>
  <si>
    <t>478</t>
  </si>
  <si>
    <t>480</t>
  </si>
  <si>
    <t>484</t>
  </si>
  <si>
    <t>496</t>
  </si>
  <si>
    <t>498</t>
  </si>
  <si>
    <t>499</t>
  </si>
  <si>
    <t>500</t>
  </si>
  <si>
    <t>504</t>
  </si>
  <si>
    <t>508</t>
  </si>
  <si>
    <t>512</t>
  </si>
  <si>
    <t>516</t>
  </si>
  <si>
    <t>520</t>
  </si>
  <si>
    <t>524</t>
  </si>
  <si>
    <t>528</t>
  </si>
  <si>
    <t>530</t>
  </si>
  <si>
    <t>531</t>
  </si>
  <si>
    <t>533</t>
  </si>
  <si>
    <t>534</t>
  </si>
  <si>
    <t>535</t>
  </si>
  <si>
    <t>540</t>
  </si>
  <si>
    <t>548</t>
  </si>
  <si>
    <t>554</t>
  </si>
  <si>
    <t>558</t>
  </si>
  <si>
    <t>562</t>
  </si>
  <si>
    <t>566</t>
  </si>
  <si>
    <t>570</t>
  </si>
  <si>
    <t>579</t>
  </si>
  <si>
    <t>580</t>
  </si>
  <si>
    <t>583</t>
  </si>
  <si>
    <t>584</t>
  </si>
  <si>
    <t>585</t>
  </si>
  <si>
    <t>586</t>
  </si>
  <si>
    <t>591</t>
  </si>
  <si>
    <t>598</t>
  </si>
  <si>
    <t>600</t>
  </si>
  <si>
    <t>604</t>
  </si>
  <si>
    <t>608</t>
  </si>
  <si>
    <t>616</t>
  </si>
  <si>
    <t>620</t>
  </si>
  <si>
    <t>624</t>
  </si>
  <si>
    <t>626</t>
  </si>
  <si>
    <t>630</t>
  </si>
  <si>
    <t>634</t>
  </si>
  <si>
    <t>638</t>
  </si>
  <si>
    <t>642</t>
  </si>
  <si>
    <t>643</t>
  </si>
  <si>
    <t>646</t>
  </si>
  <si>
    <t>652</t>
  </si>
  <si>
    <t>654</t>
  </si>
  <si>
    <t>659</t>
  </si>
  <si>
    <t>660</t>
  </si>
  <si>
    <t>662</t>
  </si>
  <si>
    <t>663</t>
  </si>
  <si>
    <t>666</t>
  </si>
  <si>
    <t>670</t>
  </si>
  <si>
    <t>678</t>
  </si>
  <si>
    <t>682</t>
  </si>
  <si>
    <t>686</t>
  </si>
  <si>
    <t>688</t>
  </si>
  <si>
    <t>690</t>
  </si>
  <si>
    <t>694</t>
  </si>
  <si>
    <t>702</t>
  </si>
  <si>
    <t>703</t>
  </si>
  <si>
    <t>704</t>
  </si>
  <si>
    <t>705</t>
  </si>
  <si>
    <t>706</t>
  </si>
  <si>
    <t>710</t>
  </si>
  <si>
    <t>716</t>
  </si>
  <si>
    <t>724</t>
  </si>
  <si>
    <t>728</t>
  </si>
  <si>
    <t>729</t>
  </si>
  <si>
    <t>736</t>
  </si>
  <si>
    <t>740</t>
  </si>
  <si>
    <t>748</t>
  </si>
  <si>
    <t>752</t>
  </si>
  <si>
    <t>757</t>
  </si>
  <si>
    <t>760</t>
  </si>
  <si>
    <t>762</t>
  </si>
  <si>
    <t>764</t>
  </si>
  <si>
    <t>768</t>
  </si>
  <si>
    <t>776</t>
  </si>
  <si>
    <t>780</t>
  </si>
  <si>
    <t>784</t>
  </si>
  <si>
    <t>788</t>
  </si>
  <si>
    <t>792</t>
  </si>
  <si>
    <t>795</t>
  </si>
  <si>
    <t>796</t>
  </si>
  <si>
    <t>798</t>
  </si>
  <si>
    <t>800</t>
  </si>
  <si>
    <t>804</t>
  </si>
  <si>
    <t>807</t>
  </si>
  <si>
    <t>818</t>
  </si>
  <si>
    <t>826</t>
  </si>
  <si>
    <t>831</t>
  </si>
  <si>
    <t>832</t>
  </si>
  <si>
    <t>833</t>
  </si>
  <si>
    <t>834</t>
  </si>
  <si>
    <t>840</t>
  </si>
  <si>
    <t>850</t>
  </si>
  <si>
    <t>854</t>
  </si>
  <si>
    <t>858</t>
  </si>
  <si>
    <t>860</t>
  </si>
  <si>
    <t>862</t>
  </si>
  <si>
    <t>876</t>
  </si>
  <si>
    <t>882</t>
  </si>
  <si>
    <t>887</t>
  </si>
  <si>
    <t>891</t>
  </si>
  <si>
    <t>894</t>
  </si>
  <si>
    <t>Taiwan Province of China</t>
  </si>
  <si>
    <t>Hong Kong SAR</t>
  </si>
  <si>
    <t>Lao P.D.R.</t>
  </si>
  <si>
    <t>Macao SAR</t>
  </si>
  <si>
    <t>Congo, Republic of</t>
  </si>
  <si>
    <t>Montenegro, Rep. of</t>
  </si>
  <si>
    <t>Central Asia Extended</t>
  </si>
  <si>
    <t>Southern Asia Cluster</t>
  </si>
  <si>
    <t>Levant</t>
  </si>
  <si>
    <t>Peninsular West Asia</t>
  </si>
  <si>
    <t>Non-EU Europe</t>
  </si>
  <si>
    <t>Northern American Islands</t>
  </si>
  <si>
    <t>Tropical Pacific Islands</t>
  </si>
  <si>
    <t>South America Cluster</t>
  </si>
  <si>
    <t>Southern Africa Cluster</t>
  </si>
  <si>
    <t>#N/A</t>
  </si>
  <si>
    <t>Count of ISO3</t>
  </si>
  <si>
    <t>China Hong Kong SAR</t>
  </si>
  <si>
    <t>Other Caribbean</t>
  </si>
  <si>
    <t>Other Eastern Africa</t>
  </si>
  <si>
    <t>Other Middle Africa</t>
  </si>
  <si>
    <t>Other North America</t>
  </si>
  <si>
    <t>Other Western Africa</t>
  </si>
  <si>
    <t>Republic of Congo</t>
  </si>
  <si>
    <t>Rest of World</t>
  </si>
  <si>
    <t>Total Africa</t>
  </si>
  <si>
    <t>Total Asia Pacific</t>
  </si>
  <si>
    <t>Total Central America</t>
  </si>
  <si>
    <t>Total CIS</t>
  </si>
  <si>
    <t>Total Eastern Africa</t>
  </si>
  <si>
    <t>Total EU</t>
  </si>
  <si>
    <t>Total Europe</t>
  </si>
  <si>
    <t>Total Middle Africa</t>
  </si>
  <si>
    <t>Total Middle East</t>
  </si>
  <si>
    <t>Total North America</t>
  </si>
  <si>
    <t>Total S. &amp; Cent. America</t>
  </si>
  <si>
    <t>Total Western Africa</t>
  </si>
  <si>
    <t>Total World</t>
  </si>
  <si>
    <t>?</t>
  </si>
  <si>
    <t>Kosovo, Republic of</t>
  </si>
  <si>
    <t>Abu Dhabi</t>
  </si>
  <si>
    <t>Andorra (Principality of)</t>
  </si>
  <si>
    <t>Guernsey (States of)</t>
  </si>
  <si>
    <t>Jersey (States of)</t>
  </si>
  <si>
    <t>Ras Al Khaimah (Emirate of)</t>
  </si>
  <si>
    <t>Sharjah</t>
  </si>
  <si>
    <t>St. Maarten</t>
  </si>
  <si>
    <t>Congo (Republic of)</t>
  </si>
  <si>
    <t>Yemen, Republic</t>
  </si>
  <si>
    <t>Korea, D.P.R.</t>
  </si>
  <si>
    <t>Caribbean Extended</t>
  </si>
  <si>
    <t>Czechoslovakia [former]</t>
  </si>
  <si>
    <t>Ethiopia [from 1993]</t>
  </si>
  <si>
    <t>France incl. Monaco</t>
  </si>
  <si>
    <t>German Democratic Republic [former]</t>
  </si>
  <si>
    <t>Germany, Federal Republic of</t>
  </si>
  <si>
    <t>Italy and San Marino</t>
  </si>
  <si>
    <t>Norway including Svalbard and Jan Mayen Islands</t>
  </si>
  <si>
    <t>Union of Soviet Socialist Republics [former]</t>
  </si>
  <si>
    <t>Yugoslavia [former Socialist Federal Republic]</t>
  </si>
  <si>
    <t>Somalia, Fed. Rep.</t>
  </si>
  <si>
    <t>Puerto Rico (US)</t>
  </si>
  <si>
    <t>Yugoslavia</t>
  </si>
  <si>
    <t>China Macao SAR</t>
  </si>
  <si>
    <t>Occupied Palestinian Territory</t>
  </si>
  <si>
    <t>Alaska</t>
  </si>
  <si>
    <t>Amsterdam Island and Saint Paul Island</t>
  </si>
  <si>
    <t>Andaman and Nicobar</t>
  </si>
  <si>
    <t>Ascension</t>
  </si>
  <si>
    <t>Azores</t>
  </si>
  <si>
    <t>Bassas da India</t>
  </si>
  <si>
    <t>Canary Islands</t>
  </si>
  <si>
    <t>Clipperton Island</t>
  </si>
  <si>
    <t>Crozet Islands</t>
  </si>
  <si>
    <t>Easter Island</t>
  </si>
  <si>
    <t>Faeroe Islands</t>
  </si>
  <si>
    <t>Galapagos Islands</t>
  </si>
  <si>
    <t>Glorioso Islands</t>
  </si>
  <si>
    <t>Hawaii</t>
  </si>
  <si>
    <t>Heard and McDonald Islands</t>
  </si>
  <si>
    <t>Jarvis Island</t>
  </si>
  <si>
    <t>Juan de Nova Island</t>
  </si>
  <si>
    <t>Kerguelen Islands</t>
  </si>
  <si>
    <t>Line Group</t>
  </si>
  <si>
    <t>Macquarie Island</t>
  </si>
  <si>
    <t>Madeira</t>
  </si>
  <si>
    <t>Northern Saint-Martin</t>
  </si>
  <si>
    <t>Palmyra Atoll</t>
  </si>
  <si>
    <t>Paracel Islands</t>
  </si>
  <si>
    <t>Phoenix Group</t>
  </si>
  <si>
    <t>Pitcairn Islands</t>
  </si>
  <si>
    <t>Southern Kuriles</t>
  </si>
  <si>
    <t>Southern Saint-Martin</t>
  </si>
  <si>
    <t>Spratly Islands</t>
  </si>
  <si>
    <t>Trindade</t>
  </si>
  <si>
    <t>Wake Island</t>
  </si>
  <si>
    <t>Aland</t>
  </si>
  <si>
    <t>French Southern and Antarctic Lands</t>
  </si>
  <si>
    <t>South Georgia and the Islands</t>
  </si>
  <si>
    <t>US Naval Base Guantanamo Bay</t>
  </si>
  <si>
    <t>Dahomey</t>
  </si>
  <si>
    <t>England</t>
  </si>
  <si>
    <t>Ivory Coast</t>
  </si>
  <si>
    <t>Malagasy Republic</t>
  </si>
  <si>
    <t>New Guinea</t>
  </si>
  <si>
    <t>New Hebrides</t>
  </si>
  <si>
    <t>USSR</t>
  </si>
  <si>
    <t>Zaire</t>
  </si>
  <si>
    <t>Congo (Brazzaville)</t>
  </si>
  <si>
    <t>Congo (Democratic Rep.)</t>
  </si>
  <si>
    <t>Egypt (Arab Rep.)</t>
  </si>
  <si>
    <t>Surinam</t>
  </si>
  <si>
    <t>Total South America</t>
  </si>
  <si>
    <t>Myanmar (Burma)</t>
  </si>
  <si>
    <t>Total Asia</t>
  </si>
  <si>
    <t>Bosnia-Herzogovina</t>
  </si>
  <si>
    <t>Iran (Islamic Rep.)</t>
  </si>
  <si>
    <t>Syria (Arab Rep.)</t>
  </si>
  <si>
    <t>Western Samoa</t>
  </si>
  <si>
    <t>DR Congo</t>
  </si>
  <si>
    <t>ANT</t>
  </si>
  <si>
    <t>MERGE ISO</t>
  </si>
  <si>
    <t>ANZ</t>
  </si>
  <si>
    <t>CARIB</t>
  </si>
  <si>
    <t>CASIA</t>
  </si>
  <si>
    <t>EAFR</t>
  </si>
  <si>
    <t>INT</t>
  </si>
  <si>
    <t>LVN</t>
  </si>
  <si>
    <t>MAFR</t>
  </si>
  <si>
    <t>NAFR</t>
  </si>
  <si>
    <t>WASIA</t>
  </si>
  <si>
    <t>SAM</t>
  </si>
  <si>
    <t>SEASIA</t>
  </si>
  <si>
    <t>SAFR</t>
  </si>
  <si>
    <t>SASIA</t>
  </si>
  <si>
    <t>PAC</t>
  </si>
  <si>
    <t>WAFR</t>
  </si>
  <si>
    <t>Kingdom of Eswatini</t>
  </si>
  <si>
    <t>Republic of Turkiye</t>
  </si>
  <si>
    <t>Bolivarian Republic of Venezuela</t>
  </si>
  <si>
    <t>Former Soviet Union (if no detail)</t>
  </si>
  <si>
    <t>Memo: Burkina Faso</t>
  </si>
  <si>
    <t>Memo: Chad</t>
  </si>
  <si>
    <t>Memo: Mauritania</t>
  </si>
  <si>
    <t>Memo: Mali</t>
  </si>
  <si>
    <t>Memo: Palestinian Authority</t>
  </si>
  <si>
    <t>Liechtenstein, Principality of</t>
  </si>
  <si>
    <t>Serbia, Republic of</t>
  </si>
  <si>
    <t>San Marino, Republic of</t>
  </si>
  <si>
    <t>Netherlands, The</t>
  </si>
  <si>
    <t>Andorra, Principality of</t>
  </si>
  <si>
    <t>Bahrain, Kingdom of</t>
  </si>
  <si>
    <t>Macao Special Administrative Region, People's Republic of China</t>
  </si>
  <si>
    <t>Armenia, Republic of</t>
  </si>
  <si>
    <t>Eritrea, The State of</t>
  </si>
  <si>
    <t>Türkiye, Republic of</t>
  </si>
  <si>
    <t>Venezuela, República Bolivariana de</t>
  </si>
  <si>
    <t>Aruba, Kingdom of the Netherlands</t>
  </si>
  <si>
    <t>Former Yugoslavia</t>
  </si>
  <si>
    <t>Serbia-Montenegro</t>
  </si>
  <si>
    <t>D.P.R. Korea</t>
  </si>
  <si>
    <t>Belgium-Luxemburg</t>
  </si>
  <si>
    <t>Others</t>
  </si>
  <si>
    <t>Australia-Timor Leste</t>
  </si>
  <si>
    <t>Island</t>
  </si>
  <si>
    <t>Germany-Netherlands</t>
  </si>
  <si>
    <t>United States-Canada</t>
  </si>
  <si>
    <t>Poland, Latvia, Lithuania</t>
  </si>
  <si>
    <t>Japan-Australia</t>
  </si>
  <si>
    <t>Belgium-Norway</t>
  </si>
  <si>
    <t>Netherlands-Norway</t>
  </si>
  <si>
    <t>Singapore-Australia</t>
  </si>
  <si>
    <t>Lybia</t>
  </si>
  <si>
    <t>France-Italy</t>
  </si>
  <si>
    <t>Belgium-Netherlands</t>
  </si>
  <si>
    <t>Belgium-Germany</t>
  </si>
  <si>
    <t>Multiple Europe</t>
  </si>
  <si>
    <t>Lithuania, Latvia</t>
  </si>
  <si>
    <t>France-Spain</t>
  </si>
  <si>
    <t>Italy-Greece</t>
  </si>
  <si>
    <t>Japan-Malaysia</t>
  </si>
  <si>
    <t>Japan-Indonesia</t>
  </si>
  <si>
    <t>Australia-Japan</t>
  </si>
  <si>
    <t>Unknown</t>
  </si>
  <si>
    <t>France-Belgium-Norway</t>
  </si>
  <si>
    <t>Japan-United States</t>
  </si>
  <si>
    <t>Netherlands-Belgium</t>
  </si>
  <si>
    <t>Modelling regions and MERGE regions</t>
  </si>
  <si>
    <t>Model</t>
  </si>
  <si>
    <t>AFR</t>
  </si>
  <si>
    <t>CHI</t>
  </si>
  <si>
    <t>EEU</t>
  </si>
  <si>
    <t>FSU</t>
  </si>
  <si>
    <t>MEA</t>
  </si>
  <si>
    <t>ODA</t>
  </si>
  <si>
    <t>SKO</t>
  </si>
  <si>
    <t>WEU</t>
  </si>
  <si>
    <t>Region</t>
  </si>
  <si>
    <t>TIAM</t>
  </si>
  <si>
    <t>ANDORRA</t>
  </si>
  <si>
    <t>BARBADOS</t>
  </si>
  <si>
    <t>NEWCALEDON</t>
  </si>
  <si>
    <t>TIMORLESTE</t>
  </si>
  <si>
    <t>Netherlands
(Kingd.ofthe)</t>
  </si>
  <si>
    <t>Korea,Republicof</t>
  </si>
  <si>
    <t>Netherlands(Kingd.ofthe)</t>
  </si>
  <si>
    <t>RussianFederation</t>
  </si>
  <si>
    <t>UnitedArabEmirates</t>
  </si>
  <si>
    <t>UnitedKingdom</t>
  </si>
  <si>
    <t>UnitedStates</t>
  </si>
  <si>
    <t>Japan [exc. Okinawa]</t>
  </si>
  <si>
    <t>East and West Pakistan</t>
  </si>
  <si>
    <t>176</t>
  </si>
  <si>
    <t>280</t>
  </si>
  <si>
    <t>582</t>
  </si>
  <si>
    <t>720</t>
  </si>
  <si>
    <t>810</t>
  </si>
  <si>
    <t>886</t>
  </si>
  <si>
    <t>890</t>
  </si>
  <si>
    <t>200</t>
  </si>
  <si>
    <t>230</t>
  </si>
  <si>
    <t>278</t>
  </si>
  <si>
    <t>313</t>
  </si>
  <si>
    <t>475</t>
  </si>
  <si>
    <t>639</t>
  </si>
  <si>
    <t>162</t>
  </si>
  <si>
    <t>172</t>
  </si>
  <si>
    <t>263</t>
  </si>
  <si>
    <t>265</t>
  </si>
  <si>
    <t>267</t>
  </si>
  <si>
    <t>393</t>
  </si>
  <si>
    <t>423</t>
  </si>
  <si>
    <t>455</t>
  </si>
  <si>
    <t>457</t>
  </si>
  <si>
    <t>459</t>
  </si>
  <si>
    <t>461</t>
  </si>
  <si>
    <t>532</t>
  </si>
  <si>
    <t>588</t>
  </si>
  <si>
    <t>590</t>
  </si>
  <si>
    <t>592</t>
  </si>
  <si>
    <t>645</t>
  </si>
  <si>
    <t>647</t>
  </si>
  <si>
    <t>658</t>
  </si>
  <si>
    <t>711</t>
  </si>
  <si>
    <t>717</t>
  </si>
  <si>
    <t>732</t>
  </si>
  <si>
    <t>835</t>
  </si>
  <si>
    <t>836</t>
  </si>
  <si>
    <t>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</si>
</sst>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"/>
  </numFmts>
  <fonts count="53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</font>
    <font>
      <sz val="11"/>
      <name val="Aptos"/>
      <family val="2"/>
    </font>
    <font>
      <sz val="8"/>
      <name val="Arial"/>
    </font>
    <font>
      <u/>
      <sz val="8"/>
      <color indexed="12"/>
      <name val="Arial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0"/>
      <color rgb="FF9C0006"/>
      <name val="Times New Roman"/>
      <family val="2"/>
    </font>
    <font>
      <sz val="10"/>
      <color rgb="FF006100"/>
      <name val="Times New Roman"/>
      <family val="2"/>
    </font>
    <font>
      <sz val="11"/>
      <color rgb="FF9C6500"/>
      <name val="Calibri"/>
      <family val="2"/>
      <scheme val="minor"/>
    </font>
    <font>
      <sz val="10"/>
      <color rgb="FF9C6500"/>
      <name val="Times New Roman"/>
      <family val="2"/>
    </font>
    <font>
      <sz val="10"/>
      <color theme="1"/>
      <name val="Times New Roman"/>
      <family val="2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b/>
      <sz val="12"/>
      <color theme="3"/>
      <name val="Arial"/>
      <family val="2"/>
    </font>
    <font>
      <i/>
      <sz val="10"/>
      <color rgb="FF7F7F7F"/>
      <name val="Arial"/>
      <family val="2"/>
    </font>
    <font>
      <b/>
      <sz val="10"/>
      <color theme="3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1">
    <xf numFmtId="0" fontId="0" fillId="0" borderId="0"/>
    <xf numFmtId="0" fontId="7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" applyNumberFormat="0" applyAlignment="0" applyProtection="0"/>
    <xf numFmtId="0" fontId="18" fillId="7" borderId="5" applyNumberFormat="0" applyAlignment="0" applyProtection="0"/>
    <xf numFmtId="0" fontId="19" fillId="7" borderId="4" applyNumberFormat="0" applyAlignment="0" applyProtection="0"/>
    <xf numFmtId="0" fontId="20" fillId="0" borderId="6" applyNumberFormat="0" applyFill="0" applyAlignment="0" applyProtection="0"/>
    <xf numFmtId="0" fontId="21" fillId="8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25" fillId="0" borderId="0"/>
    <xf numFmtId="43" fontId="1" fillId="0" borderId="0" applyFont="0" applyFill="0" applyBorder="0" applyAlignment="0" applyProtection="0"/>
    <xf numFmtId="0" fontId="27" fillId="0" borderId="0"/>
    <xf numFmtId="0" fontId="1" fillId="0" borderId="0"/>
    <xf numFmtId="44" fontId="1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9" borderId="8" applyNumberFormat="0" applyFont="0" applyAlignment="0" applyProtection="0"/>
    <xf numFmtId="0" fontId="35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21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15" fillId="4" borderId="0" applyNumberFormat="0" applyBorder="0" applyAlignment="0" applyProtection="0"/>
    <xf numFmtId="0" fontId="39" fillId="4" borderId="0" applyNumberFormat="0" applyBorder="0" applyAlignment="0" applyProtection="0"/>
    <xf numFmtId="0" fontId="19" fillId="7" borderId="4" applyNumberFormat="0" applyAlignment="0" applyProtection="0"/>
    <xf numFmtId="0" fontId="21" fillId="8" borderId="7" applyNumberFormat="0" applyAlignment="0" applyProtection="0"/>
    <xf numFmtId="0" fontId="2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40" fillId="3" borderId="0" applyNumberFormat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17" fillId="6" borderId="4" applyNumberFormat="0" applyAlignment="0" applyProtection="0"/>
    <xf numFmtId="0" fontId="20" fillId="0" borderId="6" applyNumberFormat="0" applyFill="0" applyAlignment="0" applyProtection="0"/>
    <xf numFmtId="0" fontId="41" fillId="5" borderId="0" applyNumberFormat="0" applyBorder="0" applyAlignment="0" applyProtection="0"/>
    <xf numFmtId="0" fontId="42" fillId="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43" fillId="0" borderId="0"/>
    <xf numFmtId="0" fontId="25" fillId="0" borderId="0"/>
    <xf numFmtId="0" fontId="25" fillId="0" borderId="0"/>
    <xf numFmtId="0" fontId="37" fillId="0" borderId="0"/>
    <xf numFmtId="0" fontId="37" fillId="0" borderId="0"/>
    <xf numFmtId="0" fontId="26" fillId="0" borderId="0"/>
    <xf numFmtId="0" fontId="25" fillId="0" borderId="0"/>
    <xf numFmtId="0" fontId="5" fillId="0" borderId="0"/>
    <xf numFmtId="0" fontId="26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9" borderId="8" applyNumberFormat="0" applyFont="0" applyAlignment="0" applyProtection="0"/>
    <xf numFmtId="0" fontId="5" fillId="9" borderId="8" applyNumberFormat="0" applyFont="0" applyAlignment="0" applyProtection="0"/>
    <xf numFmtId="0" fontId="18" fillId="7" borderId="5" applyNumberFormat="0" applyAlignment="0" applyProtection="0"/>
    <xf numFmtId="0" fontId="38" fillId="0" borderId="0">
      <alignment vertical="top"/>
    </xf>
    <xf numFmtId="0" fontId="44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7" fillId="0" borderId="0"/>
    <xf numFmtId="0" fontId="25" fillId="0" borderId="11"/>
    <xf numFmtId="0" fontId="25" fillId="0" borderId="0"/>
    <xf numFmtId="0" fontId="46" fillId="0" borderId="0"/>
    <xf numFmtId="0" fontId="2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6" fillId="0" borderId="0"/>
    <xf numFmtId="0" fontId="45" fillId="0" borderId="0"/>
    <xf numFmtId="0" fontId="46" fillId="0" borderId="0"/>
    <xf numFmtId="0" fontId="47" fillId="0" borderId="0" applyNumberForma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50" fillId="0" borderId="1" applyNumberFormat="0" applyFill="0" applyAlignment="0" applyProtection="0"/>
    <xf numFmtId="0" fontId="52" fillId="34" borderId="3" applyNumberFormat="0" applyAlignment="0" applyProtection="0"/>
    <xf numFmtId="0" fontId="49" fillId="37" borderId="4" applyNumberFormat="0" applyAlignment="0" applyProtection="0"/>
    <xf numFmtId="0" fontId="26" fillId="34" borderId="8" applyNumberFormat="0" applyAlignment="0" applyProtection="0"/>
    <xf numFmtId="0" fontId="48" fillId="34" borderId="2" applyNumberFormat="0" applyAlignment="0" applyProtection="0"/>
    <xf numFmtId="0" fontId="51" fillId="36" borderId="0" applyNumberFormat="0" applyBorder="0" applyAlignment="0" applyProtection="0"/>
    <xf numFmtId="0" fontId="27" fillId="0" borderId="0"/>
    <xf numFmtId="0" fontId="27" fillId="0" borderId="0"/>
    <xf numFmtId="0" fontId="3" fillId="0" borderId="0"/>
    <xf numFmtId="0" fontId="7" fillId="0" borderId="0"/>
    <xf numFmtId="0" fontId="10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25" fillId="0" borderId="0"/>
    <xf numFmtId="0" fontId="27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35" fillId="0" borderId="0"/>
    <xf numFmtId="0" fontId="35" fillId="0" borderId="0"/>
  </cellStyleXfs>
  <cellXfs count="34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  <xf numFmtId="0" fontId="4" fillId="0" borderId="0" xfId="0" applyFont="1"/>
    <xf numFmtId="164" fontId="0" fillId="0" borderId="0" xfId="0" applyNumberFormat="1"/>
    <xf numFmtId="164" fontId="3" fillId="0" borderId="0" xfId="0" applyNumberFormat="1" applyFont="1"/>
    <xf numFmtId="1" fontId="4" fillId="0" borderId="0" xfId="0" applyNumberFormat="1" applyFont="1"/>
    <xf numFmtId="0" fontId="5" fillId="0" borderId="0" xfId="0" applyFont="1"/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/>
    <xf numFmtId="14" fontId="9" fillId="0" borderId="0" xfId="0" applyNumberFormat="1" applyFont="1"/>
    <xf numFmtId="0" fontId="7" fillId="0" borderId="0" xfId="1"/>
    <xf numFmtId="0" fontId="8" fillId="0" borderId="0" xfId="1" applyFont="1"/>
    <xf numFmtId="164" fontId="0" fillId="0" borderId="0" xfId="0" applyNumberFormat="1" applyAlignment="1">
      <alignment horizontal="left" indent="1"/>
    </xf>
    <xf numFmtId="0" fontId="0" fillId="2" borderId="0" xfId="0" applyFill="1"/>
    <xf numFmtId="0" fontId="29" fillId="0" borderId="0" xfId="0" applyFont="1"/>
    <xf numFmtId="0" fontId="0" fillId="34" borderId="0" xfId="0" applyFill="1"/>
    <xf numFmtId="0" fontId="30" fillId="0" borderId="0" xfId="0" applyFont="1"/>
    <xf numFmtId="1" fontId="2" fillId="0" borderId="0" xfId="0" applyNumberFormat="1" applyFont="1"/>
    <xf numFmtId="0" fontId="31" fillId="0" borderId="0" xfId="0" applyFont="1"/>
    <xf numFmtId="0" fontId="32" fillId="0" borderId="0" xfId="0" applyFont="1"/>
    <xf numFmtId="0" fontId="32" fillId="0" borderId="0" xfId="1" applyFont="1"/>
    <xf numFmtId="0" fontId="34" fillId="0" borderId="0" xfId="0" applyFont="1"/>
    <xf numFmtId="0" fontId="0" fillId="0" borderId="0" xfId="0" pivotButton="1"/>
    <xf numFmtId="0" fontId="2" fillId="35" borderId="0" xfId="0" applyFont="1" applyFill="1"/>
    <xf numFmtId="49" fontId="0" fillId="0" borderId="0" xfId="0" applyNumberFormat="1"/>
    <xf numFmtId="0" fontId="4" fillId="0" borderId="10" xfId="0" applyFont="1" applyBorder="1"/>
    <xf numFmtId="49" fontId="3" fillId="0" borderId="0" xfId="0" applyNumberFormat="1" applyFont="1"/>
    <xf numFmtId="0" fontId="0" fillId="0" borderId="0" xfId="0" applyNumberFormat="1"/>
  </cellXfs>
  <cellStyles count="321">
    <cellStyle name="20% - Accent1" xfId="19" builtinId="30" customBuiltin="1"/>
    <cellStyle name="20% - Accent1 2" xfId="57" xr:uid="{BC11F4F0-CF44-434B-91F0-BCB33F905BFC}"/>
    <cellStyle name="20% - Accent1 2 2" xfId="58" xr:uid="{03828CBC-4B97-45B2-AC2C-FA0EB67FF4C9}"/>
    <cellStyle name="20% - Accent2" xfId="23" builtinId="34" customBuiltin="1"/>
    <cellStyle name="20% - Accent2 2" xfId="59" xr:uid="{7AF6073F-0AEA-44DB-AD92-AD448F793127}"/>
    <cellStyle name="20% - Accent2 2 2" xfId="60" xr:uid="{25BDC091-E1E3-4FDF-8922-C43C053AB0FD}"/>
    <cellStyle name="20% - Accent3" xfId="27" builtinId="38" customBuiltin="1"/>
    <cellStyle name="20% - Accent3 2" xfId="61" xr:uid="{C4326B1B-6C10-41EF-BAFA-8305FD800438}"/>
    <cellStyle name="20% - Accent3 2 2" xfId="62" xr:uid="{850C088A-D076-4E93-9826-B6A9B2F38A58}"/>
    <cellStyle name="20% - Accent4" xfId="31" builtinId="42" customBuiltin="1"/>
    <cellStyle name="20% - Accent4 2" xfId="63" xr:uid="{DEDB80B0-6B49-4BDE-8101-C66A6E088233}"/>
    <cellStyle name="20% - Accent4 2 2" xfId="64" xr:uid="{6404A871-3AB1-4036-A1BE-4C3E72EA34B8}"/>
    <cellStyle name="20% - Accent5" xfId="35" builtinId="46" customBuiltin="1"/>
    <cellStyle name="20% - Accent5 2" xfId="65" xr:uid="{8CBC79A3-5812-40E2-BE7A-FDD075855E8F}"/>
    <cellStyle name="20% - Accent5 2 2" xfId="66" xr:uid="{C7D2A26B-AC71-4BD3-A03E-502CDFD79106}"/>
    <cellStyle name="20% - Accent6" xfId="39" builtinId="50" customBuiltin="1"/>
    <cellStyle name="20% - Accent6 2" xfId="67" xr:uid="{9A8D1BA2-EDD6-4D12-9AAA-71616BEC1D32}"/>
    <cellStyle name="20% - Accent6 2 2" xfId="68" xr:uid="{02E2E9AA-82BD-41F1-AFD3-0F2243517FA6}"/>
    <cellStyle name="40% - Accent1" xfId="20" builtinId="31" customBuiltin="1"/>
    <cellStyle name="40% - Accent1 2" xfId="69" xr:uid="{DE7007A2-A3D0-4829-ACF0-53BB08ABEC5D}"/>
    <cellStyle name="40% - Accent1 2 2" xfId="70" xr:uid="{88593FD6-2E6C-48FA-A416-82CDF9CF88CD}"/>
    <cellStyle name="40% - Accent2" xfId="24" builtinId="35" customBuiltin="1"/>
    <cellStyle name="40% - Accent2 2" xfId="71" xr:uid="{6787BFE6-A267-48E2-ADB3-149B2A43BE7B}"/>
    <cellStyle name="40% - Accent2 2 2" xfId="72" xr:uid="{CFA60328-8ADB-412E-84EC-F1A167362393}"/>
    <cellStyle name="40% - Accent3" xfId="28" builtinId="39" customBuiltin="1"/>
    <cellStyle name="40% - Accent3 2" xfId="73" xr:uid="{2366523C-B0E6-408D-A5FA-5FFD0CECEDE2}"/>
    <cellStyle name="40% - Accent3 2 2" xfId="74" xr:uid="{7748D14C-D3E9-475D-99B1-8AF12BBFD390}"/>
    <cellStyle name="40% - Accent4" xfId="32" builtinId="43" customBuiltin="1"/>
    <cellStyle name="40% - Accent4 2" xfId="75" xr:uid="{202DB28F-B7AE-40F6-9161-D6BA83B44E07}"/>
    <cellStyle name="40% - Accent4 2 2" xfId="76" xr:uid="{493E20B9-1BC4-4643-8DFF-A26498F119F1}"/>
    <cellStyle name="40% - Accent5" xfId="36" builtinId="47" customBuiltin="1"/>
    <cellStyle name="40% - Accent5 2" xfId="77" xr:uid="{A1741D2D-5CA9-4BBB-9138-39B1FFCEAE36}"/>
    <cellStyle name="40% - Accent5 2 2" xfId="78" xr:uid="{7F1D21C0-1605-4E29-8B02-952E6CBD6FB5}"/>
    <cellStyle name="40% - Accent6" xfId="40" builtinId="51" customBuiltin="1"/>
    <cellStyle name="40% - Accent6 2" xfId="79" xr:uid="{90BE0B40-BA44-49CB-845E-DFEE6F84A6AF}"/>
    <cellStyle name="40% - Accent6 2 2" xfId="80" xr:uid="{DD71EEA0-B7D2-4DF4-A314-D0E4C75C9975}"/>
    <cellStyle name="60% - Accent1" xfId="21" builtinId="32" customBuiltin="1"/>
    <cellStyle name="60% - Accent1 2" xfId="81" xr:uid="{70E8CE2E-64A1-4F01-852D-3DFDF89605E8}"/>
    <cellStyle name="60% - Accent1 3" xfId="305" xr:uid="{176CDFD4-708A-4B0B-9191-3842D95796FF}"/>
    <cellStyle name="60% - Accent2" xfId="25" builtinId="36" customBuiltin="1"/>
    <cellStyle name="60% - Accent2 2" xfId="82" xr:uid="{44725FDA-F9A2-494B-A3BF-3D1B32C666AC}"/>
    <cellStyle name="60% - Accent2 3" xfId="306" xr:uid="{88D1A942-06F6-4381-972F-187BDCF279F4}"/>
    <cellStyle name="60% - Accent3" xfId="29" builtinId="40" customBuiltin="1"/>
    <cellStyle name="60% - Accent3 2" xfId="83" xr:uid="{B0E8D20C-8C84-48B8-9CB2-FC681ACD54FB}"/>
    <cellStyle name="60% - Accent3 3" xfId="307" xr:uid="{4077941D-F140-4847-9BAA-9E98C3242D98}"/>
    <cellStyle name="60% - Accent4" xfId="33" builtinId="44" customBuiltin="1"/>
    <cellStyle name="60% - Accent4 2" xfId="84" xr:uid="{1DA2B240-8EA2-4783-B192-1DAD3075E405}"/>
    <cellStyle name="60% - Accent4 3" xfId="308" xr:uid="{8611AE4D-71FA-4337-878F-FF3EF6ACCB21}"/>
    <cellStyle name="60% - Accent5" xfId="37" builtinId="48" customBuiltin="1"/>
    <cellStyle name="60% - Accent5 2" xfId="85" xr:uid="{C7AB1E96-435F-4B29-897B-7269D4920004}"/>
    <cellStyle name="60% - Accent5 3" xfId="309" xr:uid="{B3F7F509-4394-4B90-993B-B21118C623E9}"/>
    <cellStyle name="60% - Accent6" xfId="41" builtinId="52" customBuiltin="1"/>
    <cellStyle name="60% - Accent6 2" xfId="86" xr:uid="{DE042360-5023-48B0-817D-615F1DB3A1A1}"/>
    <cellStyle name="60% - Accent6 3" xfId="310" xr:uid="{F51CAC9F-6056-432F-8209-8CF170D70AC9}"/>
    <cellStyle name="Accent1" xfId="18" builtinId="29" customBuiltin="1"/>
    <cellStyle name="Accent1 2" xfId="87" xr:uid="{25E8E951-57DC-4B44-895C-22052119BEFB}"/>
    <cellStyle name="Accent2" xfId="22" builtinId="33" customBuiltin="1"/>
    <cellStyle name="Accent2 2" xfId="88" xr:uid="{AB16B938-D9C2-4FBB-A2D4-1F3DA19CEC05}"/>
    <cellStyle name="Accent3" xfId="26" builtinId="37" customBuiltin="1"/>
    <cellStyle name="Accent3 2" xfId="89" xr:uid="{DA354A71-7CD6-4F85-93C8-1123B9B3F599}"/>
    <cellStyle name="Accent4" xfId="30" builtinId="41" customBuiltin="1"/>
    <cellStyle name="Accent4 2" xfId="90" xr:uid="{8EA25231-AB22-4726-B699-10C93E5E9922}"/>
    <cellStyle name="Accent5" xfId="34" builtinId="45" customBuiltin="1"/>
    <cellStyle name="Accent5 2" xfId="91" xr:uid="{61F892BE-F29A-4F6B-8358-25E000C02DCE}"/>
    <cellStyle name="Accent6" xfId="38" builtinId="49" customBuiltin="1"/>
    <cellStyle name="Accent6 2" xfId="92" xr:uid="{5257EDD0-E971-4DEC-B2A9-97C573A70E6A}"/>
    <cellStyle name="Bad" xfId="8" builtinId="27" customBuiltin="1"/>
    <cellStyle name="Bad 2" xfId="93" xr:uid="{C6657F83-3AE4-47D8-9166-EB591A2B7A49}"/>
    <cellStyle name="Bad 3" xfId="94" xr:uid="{0BADB85C-1FF5-4A45-8EE8-1EADB00D3E3C}"/>
    <cellStyle name="Calculation" xfId="12" builtinId="22" customBuiltin="1"/>
    <cellStyle name="Calculation 2" xfId="95" xr:uid="{434C5E4D-76A7-4050-A1B2-55D6316D1E05}"/>
    <cellStyle name="cell" xfId="275" xr:uid="{AE67982E-8F78-4807-AADB-8CB79D67F49C}"/>
    <cellStyle name="Check Cell" xfId="14" builtinId="23" customBuiltin="1"/>
    <cellStyle name="Check Cell 2" xfId="96" xr:uid="{E26F1A11-EB36-4789-91AD-748D188978ED}"/>
    <cellStyle name="Comma 2" xfId="44" xr:uid="{24CEBC46-39CB-4042-9D22-95CCFEAE36CA}"/>
    <cellStyle name="Currency 2" xfId="47" xr:uid="{C78D9A39-D5AF-4B9D-BEB3-B18F9C40251A}"/>
    <cellStyle name="Explanatory Text" xfId="16" builtinId="53" customBuiltin="1"/>
    <cellStyle name="Explanatory Text 2" xfId="97" xr:uid="{661F2AD8-A4BB-4C4F-AE8C-837980160183}"/>
    <cellStyle name="Explanatory Text 3" xfId="298" xr:uid="{592278AC-BC26-462C-A33F-B0D36423EF4A}"/>
    <cellStyle name="Good" xfId="7" builtinId="26" customBuiltin="1"/>
    <cellStyle name="Good 2" xfId="98" xr:uid="{791FA75C-26E6-4DD4-9194-4B62D06AE752}"/>
    <cellStyle name="Good 3" xfId="99" xr:uid="{7677CB74-2FD6-41E0-A592-ADC030E53D44}"/>
    <cellStyle name="Heading 1" xfId="3" builtinId="16" customBuiltin="1"/>
    <cellStyle name="Heading 1 2" xfId="100" xr:uid="{EC87B954-5F2E-4047-8C8F-34B2CA47429E}"/>
    <cellStyle name="Heading 1 3" xfId="293" xr:uid="{4C129265-2DED-442B-8541-548913325ED9}"/>
    <cellStyle name="Heading 2" xfId="4" builtinId="17" customBuiltin="1"/>
    <cellStyle name="Heading 2 2" xfId="101" xr:uid="{1E9F4070-8A2E-412F-97B1-23B605CE0F76}"/>
    <cellStyle name="Heading 2 3" xfId="297" xr:uid="{189D3884-3410-464B-B21A-18003820BDB7}"/>
    <cellStyle name="Heading 3" xfId="5" builtinId="18" customBuiltin="1"/>
    <cellStyle name="Heading 3 2" xfId="102" xr:uid="{194AD372-2E8E-46FF-AB41-2408DD5E06E7}"/>
    <cellStyle name="Heading 3 3" xfId="294" xr:uid="{3E119488-F060-4388-A588-383D135D4BDB}"/>
    <cellStyle name="Heading 4" xfId="6" builtinId="19" customBuiltin="1"/>
    <cellStyle name="Heading 4 2" xfId="103" xr:uid="{8281B6B2-ABBA-4CA6-AA3C-EFD3091D4DFE}"/>
    <cellStyle name="Hyperlink 2" xfId="105" xr:uid="{9E33F77C-51F0-4CB5-8893-80A475F7AF74}"/>
    <cellStyle name="Hyperlink 3" xfId="106" xr:uid="{F7314AB7-EABD-4403-8655-A3303E9328F5}"/>
    <cellStyle name="Hyperlink 4" xfId="286" xr:uid="{C12F1BD4-A295-44C8-B45B-7FDB46BB37CD}"/>
    <cellStyle name="Hyperlink 5" xfId="104" xr:uid="{0039DB75-7839-4CCC-876C-C9E8A0682B5A}"/>
    <cellStyle name="Input" xfId="10" builtinId="20" customBuiltin="1"/>
    <cellStyle name="Input 2" xfId="107" xr:uid="{401FFB4A-0F60-4FCC-8BA0-AF7AE60EF3CA}"/>
    <cellStyle name="Input 3" xfId="295" xr:uid="{F4768A33-DACD-446B-A1B4-FF62A4691343}"/>
    <cellStyle name="Linked Cell" xfId="13" builtinId="24" customBuiltin="1"/>
    <cellStyle name="Linked Cell 2" xfId="108" xr:uid="{5B326A7C-4B04-45F0-8B38-D1CCFBB45FAF}"/>
    <cellStyle name="Neutral" xfId="9" builtinId="28" customBuiltin="1"/>
    <cellStyle name="Neutral 2" xfId="109" xr:uid="{EE227EBB-7743-4A2D-9417-84BCE660FF4C}"/>
    <cellStyle name="Neutral 3" xfId="110" xr:uid="{0982FCE4-F6B8-4E15-B673-1C7A20967773}"/>
    <cellStyle name="Neutral 4" xfId="304" xr:uid="{E3238D76-F827-4A28-AB72-F2547364F1A1}"/>
    <cellStyle name="Normal" xfId="0" builtinId="0"/>
    <cellStyle name="Normal 10" xfId="111" xr:uid="{48B26188-438E-492D-82A8-5A29A9C260B2}"/>
    <cellStyle name="Normal 10 2" xfId="112" xr:uid="{B997C3DD-8026-4F40-AA06-769F2B3A5DE9}"/>
    <cellStyle name="Normal 10 2 2" xfId="113" xr:uid="{EC77B92E-AC27-43DC-BC73-18239A92EAC9}"/>
    <cellStyle name="Normal 10 2 2 2" xfId="114" xr:uid="{35509A9D-E383-4E29-9AB2-49B82CAF1C52}"/>
    <cellStyle name="Normal 10 2 2 2 2" xfId="115" xr:uid="{54F3EF12-84E1-4C67-9B75-2EEC2752A2B3}"/>
    <cellStyle name="Normal 10 2 2 3" xfId="116" xr:uid="{0BF10C67-6E2E-41FD-8CA4-C50DE5E6DACD}"/>
    <cellStyle name="Normal 10 2 3" xfId="117" xr:uid="{C7745DA9-B88D-4E20-8BBC-3A849D7A09F3}"/>
    <cellStyle name="Normal 10 2 3 2" xfId="118" xr:uid="{3BBB31B7-B6F9-4B4B-988F-949492F07F20}"/>
    <cellStyle name="Normal 10 2 4" xfId="119" xr:uid="{65D8AE55-22F4-45F2-8C55-A5BF7EFB1145}"/>
    <cellStyle name="Normal 10 3" xfId="120" xr:uid="{BF930314-EB54-4250-8A21-B59325EC70C4}"/>
    <cellStyle name="Normal 10 3 2" xfId="121" xr:uid="{7DE327B5-BE37-4936-995C-10506BB66070}"/>
    <cellStyle name="Normal 10 3 2 2" xfId="122" xr:uid="{35CDA519-91CE-447F-B904-EA7D2AEADCD2}"/>
    <cellStyle name="Normal 10 3 3" xfId="123" xr:uid="{B0ADE6D3-A554-4390-BD29-9C2A7525036F}"/>
    <cellStyle name="Normal 10 4" xfId="124" xr:uid="{235AF4D4-C6C1-4125-AA6B-819D86C7FA54}"/>
    <cellStyle name="Normal 10 4 2" xfId="125" xr:uid="{38B45867-63FC-4CB1-B38A-C9665B2E8A0A}"/>
    <cellStyle name="Normal 10 5" xfId="126" xr:uid="{113C1799-0305-4632-8584-19EBB81B7661}"/>
    <cellStyle name="Normal 11" xfId="127" xr:uid="{66C6DFA3-96A0-40FB-88E8-36DD2D13057D}"/>
    <cellStyle name="Normal 11 2" xfId="128" xr:uid="{1AFC3693-B3FD-49AD-8591-86C590860E1B}"/>
    <cellStyle name="Normal 12" xfId="129" xr:uid="{DE39291A-FB54-46A8-AB82-246505B2CDCF}"/>
    <cellStyle name="Normal 12 2" xfId="130" xr:uid="{D70DCD8E-F48E-4720-ADB2-DC0AB08DD4BE}"/>
    <cellStyle name="Normal 13" xfId="131" xr:uid="{B25931F2-33FA-4050-AEA9-B56021843A80}"/>
    <cellStyle name="Normal 14" xfId="132" xr:uid="{CA4159E0-479F-4A30-A8E6-12CEBB335513}"/>
    <cellStyle name="Normal 14 2" xfId="133" xr:uid="{447FD6F7-64E8-4369-82E1-7DACA5F59D9F}"/>
    <cellStyle name="Normal 15" xfId="134" xr:uid="{4D4A980C-1751-4D95-A4D0-74D21539EE92}"/>
    <cellStyle name="Normal 15 2" xfId="135" xr:uid="{AA7E8B94-DB65-47B8-9FC8-DA028864C09C}"/>
    <cellStyle name="Normal 16" xfId="136" xr:uid="{9BDEA87E-0D7E-4F77-AD05-6570D50E33EA}"/>
    <cellStyle name="Normal 16 2" xfId="137" xr:uid="{FA752D49-9019-4872-9F42-EC19169FD5F0}"/>
    <cellStyle name="Normal 16 3" xfId="138" xr:uid="{AEE0D789-6DFC-41A0-8E47-325737ED5B2B}"/>
    <cellStyle name="Normal 17" xfId="50" xr:uid="{B88883EB-82EF-476E-A1D0-0F9B4F8FA0CF}"/>
    <cellStyle name="Normal 17 2" xfId="316" xr:uid="{020E74C9-C05F-4B37-A16C-9C74841C994E}"/>
    <cellStyle name="Normal 17 3" xfId="139" xr:uid="{D2A3FB1B-6692-4304-97F2-809E4346808D}"/>
    <cellStyle name="Normal 18" xfId="140" xr:uid="{A1A3307B-C7A4-451C-88AE-A3EF2360DC84}"/>
    <cellStyle name="Normal 19" xfId="141" xr:uid="{36473C03-218E-4627-AFD2-15BB74E1EF8B}"/>
    <cellStyle name="Normal 2" xfId="43" xr:uid="{6CBA3570-D5E5-4BFF-8721-200337D9B467}"/>
    <cellStyle name="Normal 2 2" xfId="46" xr:uid="{45DD9B74-4F32-4FED-91A0-7EB774EB7933}"/>
    <cellStyle name="Normal 2 2 2" xfId="49" xr:uid="{908147D6-6B33-463C-B026-2EE2CB4C1F76}"/>
    <cellStyle name="Normal 2 2 3" xfId="314" xr:uid="{63437EA1-C091-48D3-BD64-2EACBECEED72}"/>
    <cellStyle name="Normal 2 2 4" xfId="143" xr:uid="{6A35B2C9-DBEB-4F45-92E4-9F5A3655EBF9}"/>
    <cellStyle name="Normal 2 3" xfId="52" xr:uid="{B0834046-6786-4731-9C7A-17554D1EDB53}"/>
    <cellStyle name="Normal 2 3 2" xfId="317" xr:uid="{B6E5B2FC-D39F-41EB-A91E-8805DCF722E0}"/>
    <cellStyle name="Normal 2 3 3" xfId="144" xr:uid="{A0BB8CB1-A56E-4EAD-B6B5-2DCB0454134A}"/>
    <cellStyle name="Normal 2 4" xfId="284" xr:uid="{61518F6E-AD86-4AAD-9D0D-1A055B51D865}"/>
    <cellStyle name="Normal 2 5" xfId="312" xr:uid="{33AF43AD-647E-4187-A165-1F0FE8AE57DE}"/>
    <cellStyle name="Normal 2 6" xfId="142" xr:uid="{7915968A-0F75-4279-BA9B-26942B4CBB40}"/>
    <cellStyle name="Normal 2_STO" xfId="145" xr:uid="{E53C47E7-1360-47CE-894C-83AD5B681D80}"/>
    <cellStyle name="Normal 20" xfId="274" xr:uid="{22D628B5-088D-4EB0-B818-AD4D333472B3}"/>
    <cellStyle name="Normal 20 2" xfId="278" xr:uid="{58F8AC7B-E2EB-4E66-AE89-BF7ED0BE1DCB}"/>
    <cellStyle name="Normal 20 2 2" xfId="300" xr:uid="{BBDBB2BB-D9FC-4265-99DA-867B031BBA67}"/>
    <cellStyle name="Normal 20 3" xfId="299" xr:uid="{ECD762E0-9076-442A-B99D-9FABC48EFBF5}"/>
    <cellStyle name="Normal 21" xfId="279" xr:uid="{16FBA241-63AD-42F1-B11B-380F65EEBAC7}"/>
    <cellStyle name="Normal 22" xfId="280" xr:uid="{C9561EEB-662F-4644-B09A-0192CBE924D9}"/>
    <cellStyle name="Normal 23" xfId="281" xr:uid="{E5AB5198-C6E0-4A9E-A7D7-E5CFD9748255}"/>
    <cellStyle name="Normal 24" xfId="282" xr:uid="{0D6EC36A-5205-4AF6-8C87-DB984C95E18E}"/>
    <cellStyle name="Normal 25" xfId="283" xr:uid="{E3B6638F-A574-466C-A97A-309AB25DEF86}"/>
    <cellStyle name="Normal 26" xfId="285" xr:uid="{5A1FA7A5-EAE4-4830-9A90-ECD4F28AFC35}"/>
    <cellStyle name="Normal 27" xfId="288" xr:uid="{67B336A6-94C2-4C7B-B80C-50FF6C611F19}"/>
    <cellStyle name="Normal 28" xfId="277" xr:uid="{1A521C44-2EEB-4053-8FA3-9CAE86C808BF}"/>
    <cellStyle name="Normal 29" xfId="287" xr:uid="{77686155-9AB2-4393-8EE0-C373A86E2623}"/>
    <cellStyle name="Normal 3" xfId="45" xr:uid="{CFEFB671-AAED-42A9-8589-56081280A8C8}"/>
    <cellStyle name="Normal 3 10" xfId="146" xr:uid="{7BCD699E-EE8B-45E1-8204-2682C2F06F16}"/>
    <cellStyle name="Normal 3 2" xfId="53" xr:uid="{8EF0F52B-D8B5-44DC-84CD-15C0CCD428EE}"/>
    <cellStyle name="Normal 3 2 2" xfId="147" xr:uid="{09CD79A3-E42B-4565-918E-99705612BDEE}"/>
    <cellStyle name="Normal 3 3" xfId="148" xr:uid="{C0E71EE7-2E19-40EC-BFF2-81FD8C9061B1}"/>
    <cellStyle name="Normal 3 3 2" xfId="149" xr:uid="{D74AC347-8F3B-43B2-9739-B10A09C8EB78}"/>
    <cellStyle name="Normal 3 3 2 2" xfId="150" xr:uid="{B9C493B2-26A5-4968-B6F8-0F68DB56F6E3}"/>
    <cellStyle name="Normal 3 3 3" xfId="151" xr:uid="{86CD82F5-A530-4077-B85C-40C9954A65AC}"/>
    <cellStyle name="Normal 3 3 4" xfId="152" xr:uid="{666938EE-87CA-4D91-8CF3-D44DD566BAB0}"/>
    <cellStyle name="Normal 3 3 5" xfId="153" xr:uid="{E99D47D3-4BD8-46B3-A48A-6DFFAB6D65FD}"/>
    <cellStyle name="Normal 3 3 6" xfId="154" xr:uid="{3A90150B-9038-4657-A23D-6824E25DD599}"/>
    <cellStyle name="Normal 3 4" xfId="155" xr:uid="{FEDB7436-3753-41A2-8158-86A2C1333AB4}"/>
    <cellStyle name="Normal 3 4 2" xfId="156" xr:uid="{D01999D3-4B52-4DA1-82FF-1F1E6D5700A2}"/>
    <cellStyle name="Normal 3 5" xfId="157" xr:uid="{C788E370-1022-47A3-93A5-F03E21C90119}"/>
    <cellStyle name="Normal 3 6" xfId="158" xr:uid="{D4E60A59-01F8-493F-B555-9886B9119443}"/>
    <cellStyle name="Normal 3 7" xfId="159" xr:uid="{DD604E67-EC4E-43BC-962F-3DC9640F66A3}"/>
    <cellStyle name="Normal 3 8" xfId="160" xr:uid="{D2B4DEF4-D598-4246-8DEA-83951EB84A9D}"/>
    <cellStyle name="Normal 3 9" xfId="313" xr:uid="{5B486F3E-C08A-42BE-AB0D-FB3722E147F1}"/>
    <cellStyle name="Normal 30" xfId="289" xr:uid="{FC75683B-0F42-40CA-9B4C-E1252F1146AF}"/>
    <cellStyle name="Normal 31" xfId="290" xr:uid="{D28493AB-2C2B-4538-889E-C4FB596592D3}"/>
    <cellStyle name="Normal 32" xfId="291" xr:uid="{F59282E2-46E8-4E5A-A9FD-EF41E11594DA}"/>
    <cellStyle name="Normal 33" xfId="292" xr:uid="{00C2217C-00F5-46F3-8AEE-D06C701F31DE}"/>
    <cellStyle name="Normal 34" xfId="301" xr:uid="{40FABB61-E670-4341-8D3F-02137F5FAF95}"/>
    <cellStyle name="Normal 35" xfId="56" xr:uid="{C4D1724C-921A-4A3D-95DF-45F02AF825F5}"/>
    <cellStyle name="Normal 36" xfId="319" xr:uid="{AEA94304-5933-4BFD-9853-3F1F738E7A88}"/>
    <cellStyle name="Normal 37" xfId="320" xr:uid="{598867E3-8255-4605-92C7-70433B01F2A3}"/>
    <cellStyle name="Normal 4" xfId="51" xr:uid="{072EA311-1AC5-4F93-B66C-83F19B5058F8}"/>
    <cellStyle name="Normal 4 2" xfId="162" xr:uid="{23466A7C-A001-40C5-9389-87944E7B972D}"/>
    <cellStyle name="Normal 4 2 2" xfId="163" xr:uid="{7A37A95E-76BF-44BA-95FE-49CADF6A86EF}"/>
    <cellStyle name="Normal 4 2 2 2" xfId="164" xr:uid="{05BA16DC-F93A-4536-9F00-F498CD335665}"/>
    <cellStyle name="Normal 4 2 3" xfId="165" xr:uid="{9A9507E2-AD8C-44C7-8C27-F39F11197F96}"/>
    <cellStyle name="Normal 4 2 4" xfId="166" xr:uid="{1B5E2116-FD3C-4A47-B7A9-063A36104D12}"/>
    <cellStyle name="Normal 4 2 5" xfId="167" xr:uid="{DA98B879-6431-4056-8F02-3E6B1B0CEEC5}"/>
    <cellStyle name="Normal 4 2 6" xfId="168" xr:uid="{29722D9C-21AF-4CD3-9894-651D4553B924}"/>
    <cellStyle name="Normal 4 3" xfId="169" xr:uid="{AF3F32BF-B7AF-4B6A-B677-EAC2540B13F7}"/>
    <cellStyle name="Normal 4 3 2" xfId="170" xr:uid="{2DA2E650-B3E7-4A60-BEBC-3DF22F2C7060}"/>
    <cellStyle name="Normal 4 3 2 2" xfId="171" xr:uid="{63366C16-1A63-4E44-BD64-D63370F1074E}"/>
    <cellStyle name="Normal 4 3 3" xfId="172" xr:uid="{2A677650-A083-47BC-8959-E0DE2066698E}"/>
    <cellStyle name="Normal 4 3 4" xfId="173" xr:uid="{6C41DB6C-9CA4-4BD9-BEE7-A8978C2C953D}"/>
    <cellStyle name="Normal 4 3 5" xfId="174" xr:uid="{E2000458-A8B1-471B-A1BC-CC6549526F1E}"/>
    <cellStyle name="Normal 4 3 6" xfId="175" xr:uid="{8FFEC28F-9D0B-4642-B449-6FF3C9BEEF7C}"/>
    <cellStyle name="Normal 4 4" xfId="176" xr:uid="{FD4A0589-E20B-42A6-ADEA-E70BECC0E90B}"/>
    <cellStyle name="Normal 4 4 2" xfId="177" xr:uid="{8818A696-F2A1-44B1-AD4F-ABD3BDE0C0CE}"/>
    <cellStyle name="Normal 4 5" xfId="178" xr:uid="{9800601F-24CB-4C63-90F7-8EE13598D93C}"/>
    <cellStyle name="Normal 4 6" xfId="179" xr:uid="{AAF6C22B-534D-46D4-8737-B9F52BA4C1AA}"/>
    <cellStyle name="Normal 4 7" xfId="180" xr:uid="{808D41CF-F8F0-4B3D-A5F1-73221EFB3C1D}"/>
    <cellStyle name="Normal 4 8" xfId="181" xr:uid="{503FA6CB-ABAF-48CA-938A-80BDC6E829D3}"/>
    <cellStyle name="Normal 4 9" xfId="161" xr:uid="{BA9B23B1-7BED-4548-B537-514288AAE3E6}"/>
    <cellStyle name="Normal 5" xfId="1" xr:uid="{787B533A-04E3-451F-8E95-ABE47027EDFB}"/>
    <cellStyle name="Normal 5 2" xfId="54" xr:uid="{CF0F198E-38C5-4EDD-B076-D92BC968AA19}"/>
    <cellStyle name="Normal 5 2 2" xfId="184" xr:uid="{42722A67-D3E8-4BAA-A5F4-6FC4B316FFD3}"/>
    <cellStyle name="Normal 5 2 3" xfId="318" xr:uid="{46A52930-906D-43EC-8F19-0DE479DBABE9}"/>
    <cellStyle name="Normal 5 2 4" xfId="183" xr:uid="{E3245D85-2761-479F-B3AB-085D3589653C}"/>
    <cellStyle name="Normal 5 3" xfId="48" xr:uid="{DC17F42C-3B22-4B3A-A1C1-BC6B6D3A0D4D}"/>
    <cellStyle name="Normal 5 3 2" xfId="315" xr:uid="{4406A9E0-196C-42A2-BCDA-C7AE112A4A01}"/>
    <cellStyle name="Normal 5 3 3" xfId="185" xr:uid="{1B371EED-13D3-407F-BB2A-A55038EE85BF}"/>
    <cellStyle name="Normal 5 4" xfId="186" xr:uid="{120649CC-DB48-4062-B618-CD2610640E6F}"/>
    <cellStyle name="Normal 5 5" xfId="187" xr:uid="{4E510477-5C60-42A4-B698-2B3AA4E8438E}"/>
    <cellStyle name="Normal 5 6" xfId="188" xr:uid="{ECEEE4FB-C5D1-4156-B767-7CCC951F1FDE}"/>
    <cellStyle name="Normal 5 7" xfId="276" xr:uid="{FEB35EF0-3C51-45C0-900D-A2FB768A6A8A}"/>
    <cellStyle name="Normal 5 8" xfId="302" xr:uid="{2FC86A6E-D611-44BF-ABB8-CE2424D9FED3}"/>
    <cellStyle name="Normal 5 9" xfId="182" xr:uid="{12000120-10F2-4961-B6AE-48B70F67EA1F}"/>
    <cellStyle name="Normal 6" xfId="42" xr:uid="{E8D4AF19-E12F-4A7E-92D1-44FD265CE1BC}"/>
    <cellStyle name="Normal 6 2" xfId="190" xr:uid="{A9D064E5-68FD-45D4-8390-DF93AE2D2DFA}"/>
    <cellStyle name="Normal 6 3" xfId="311" xr:uid="{D16C4AA6-2FAF-480C-99F6-7902794F98B8}"/>
    <cellStyle name="Normal 6 4" xfId="189" xr:uid="{1FDC8EF3-EB65-4DCF-A884-2ACC03AF69EC}"/>
    <cellStyle name="Normal 63" xfId="191" xr:uid="{21CBD3EF-3F0F-4BCF-84F3-600BA535DBAD}"/>
    <cellStyle name="Normal 7" xfId="192" xr:uid="{046CBF3A-74F9-4B45-BFDD-1F58D09B0369}"/>
    <cellStyle name="Normal 7 2" xfId="193" xr:uid="{1E6C248E-4297-4A0C-86CA-23CB5B8BF782}"/>
    <cellStyle name="Normal 7 2 2" xfId="194" xr:uid="{BFF6C8B3-7D71-40B8-8429-8E562B77E125}"/>
    <cellStyle name="Normal 7 2 2 2" xfId="195" xr:uid="{2FE2E80C-CDF7-4A21-8482-32D4AB2CDC4A}"/>
    <cellStyle name="Normal 7 2 2 2 2" xfId="196" xr:uid="{E70DD2B2-E7E8-4F1D-8AA7-06B66724ECE9}"/>
    <cellStyle name="Normal 7 2 2 3" xfId="197" xr:uid="{B2CDD08D-4C96-4CDB-848B-40C1BF35D800}"/>
    <cellStyle name="Normal 7 2 3" xfId="198" xr:uid="{D2443171-DB84-4345-A363-420F37A45CC6}"/>
    <cellStyle name="Normal 7 2 3 2" xfId="199" xr:uid="{E82A271D-351A-479E-9BD2-F450184EF8E8}"/>
    <cellStyle name="Normal 7 2 4" xfId="200" xr:uid="{BD1DFF71-CBA7-4EDC-B4C5-ABCCE7813733}"/>
    <cellStyle name="Normal 7 2 5" xfId="201" xr:uid="{A0517233-0411-4B38-82C0-0F6B0365F39C}"/>
    <cellStyle name="Normal 7 2 5 2" xfId="202" xr:uid="{C187FC87-A841-4AAB-817C-C9E39AD221A9}"/>
    <cellStyle name="Normal 7 2 6" xfId="203" xr:uid="{B1241508-8DBF-42DB-8CFD-71B6519C0669}"/>
    <cellStyle name="Normal 7 2 6 2" xfId="204" xr:uid="{DB8BDB7E-EA65-45BE-8DCE-B523766C8D5C}"/>
    <cellStyle name="Normal 7 3" xfId="205" xr:uid="{0F1B4306-9925-4B81-B01C-2C6D94FBE4F6}"/>
    <cellStyle name="Normal 7 3 2" xfId="206" xr:uid="{54219267-4480-48BA-AF24-C783A68856F7}"/>
    <cellStyle name="Normal 7 3 2 2" xfId="207" xr:uid="{18B377B9-0CC1-4F67-B171-8A99786BC877}"/>
    <cellStyle name="Normal 7 3 3" xfId="208" xr:uid="{07FCA4BE-9D30-4C3B-B6F1-4C967C6F0417}"/>
    <cellStyle name="Normal 7 4" xfId="209" xr:uid="{68BBD409-2DEC-467E-B33B-905229067A47}"/>
    <cellStyle name="Normal 7 4 2" xfId="210" xr:uid="{CAAFB475-22F2-4C7A-8D24-8B885061229A}"/>
    <cellStyle name="Normal 7 5" xfId="211" xr:uid="{0A86503C-DBC3-4948-9491-05956BFDECC4}"/>
    <cellStyle name="Normal 7 6" xfId="212" xr:uid="{FF76BDE8-3C43-4C02-9D69-14BB5D1C3E8A}"/>
    <cellStyle name="Normal 7 6 2" xfId="213" xr:uid="{84C9B9FF-E362-4B22-840D-CADC3D369AF7}"/>
    <cellStyle name="Normal 7 7" xfId="214" xr:uid="{5D91888E-4E72-4AFA-B620-D7CB073C2857}"/>
    <cellStyle name="Normal 7 8" xfId="215" xr:uid="{C37FDE3E-F9A2-4081-84DE-B39989BC1E46}"/>
    <cellStyle name="Normal 7 8 2" xfId="216" xr:uid="{F43EA27C-B31A-4116-AADD-70CE1D631976}"/>
    <cellStyle name="Normal 8" xfId="217" xr:uid="{DDB83923-A1DB-48CC-9DC4-05C00074B675}"/>
    <cellStyle name="Normal 8 2" xfId="218" xr:uid="{C0A4B14A-2434-473F-85E8-BCB4DBA32363}"/>
    <cellStyle name="Normal 8 2 2" xfId="219" xr:uid="{5815C729-9238-4FF2-9AB2-9B2235233A49}"/>
    <cellStyle name="Normal 8 2 2 2" xfId="220" xr:uid="{CCF136A9-56B4-4366-8437-EF3A7D5F336E}"/>
    <cellStyle name="Normal 8 2 2 2 2" xfId="221" xr:uid="{0B92BEDA-C5E4-47DC-8E09-CF42AFAEFEC9}"/>
    <cellStyle name="Normal 8 2 2 3" xfId="222" xr:uid="{0BE7089B-3C39-468F-B472-C9ECF389ADE5}"/>
    <cellStyle name="Normal 8 2 3" xfId="223" xr:uid="{76EC532D-8AB2-4525-BDCF-AFDD7585972F}"/>
    <cellStyle name="Normal 8 2 3 2" xfId="224" xr:uid="{E1C02C4B-53AF-40AD-9480-01D728712A31}"/>
    <cellStyle name="Normal 8 2 4" xfId="225" xr:uid="{6D76B359-4B8D-47B9-957B-D000B2354418}"/>
    <cellStyle name="Normal 8 3" xfId="226" xr:uid="{8A4564FD-D802-463E-BEF3-9918FE76708F}"/>
    <cellStyle name="Normal 8 3 2" xfId="227" xr:uid="{30726A67-E695-405F-942E-BCB8E0432723}"/>
    <cellStyle name="Normal 8 3 2 2" xfId="228" xr:uid="{743513A2-A697-44EE-9866-741521E7E89A}"/>
    <cellStyle name="Normal 8 3 3" xfId="229" xr:uid="{D75AE4E3-3F03-438E-86ED-C39A83A52206}"/>
    <cellStyle name="Normal 8 4" xfId="230" xr:uid="{4C0C9ADF-FFDC-4CBF-A10B-BB31DB66BC14}"/>
    <cellStyle name="Normal 8 4 2" xfId="231" xr:uid="{D0871A80-F8A9-464A-9DF5-89220167844B}"/>
    <cellStyle name="Normal 8 5" xfId="232" xr:uid="{6A4830CE-2F0E-402A-A70F-4FB20ED9AA2D}"/>
    <cellStyle name="Normal 8 6" xfId="233" xr:uid="{B1286E6B-6E0D-4D1D-B869-A7F640CBAEE4}"/>
    <cellStyle name="Normal 8 6 2" xfId="234" xr:uid="{146EE021-D5C2-4C3F-A8C8-0526D9C6996D}"/>
    <cellStyle name="Normal 8 7" xfId="235" xr:uid="{067CF46E-C8F0-4320-AA8F-341FF8BA7BF9}"/>
    <cellStyle name="Normal 8 7 2" xfId="236" xr:uid="{6ACDC6D8-225D-4007-9694-93C76E8138B2}"/>
    <cellStyle name="Normal 81" xfId="237" xr:uid="{E94422CB-F0A4-4BA8-96B5-1603AE0673F9}"/>
    <cellStyle name="Normal 83" xfId="238" xr:uid="{3D5AAD22-2364-4AB7-AAB6-058B74CDD77B}"/>
    <cellStyle name="Normal 84" xfId="239" xr:uid="{D79FA814-BEFC-478D-877F-9B5716461747}"/>
    <cellStyle name="Normal 86" xfId="240" xr:uid="{C707EF11-4FB0-48C7-8025-AF475AAEC2E6}"/>
    <cellStyle name="Normal 87" xfId="241" xr:uid="{2C34D416-D62A-493B-AFE8-9101B07C7B69}"/>
    <cellStyle name="Normal 88" xfId="242" xr:uid="{EE0D2E9F-B3FA-487C-B78A-92617E8B56E6}"/>
    <cellStyle name="Normal 89" xfId="243" xr:uid="{377AB914-AFE9-4B89-A7A6-6CC7970E6EEB}"/>
    <cellStyle name="Normal 9" xfId="244" xr:uid="{5B13725A-0F26-4916-A8D5-858D87578839}"/>
    <cellStyle name="Normal 9 2" xfId="245" xr:uid="{1DE263A9-3C48-4408-9A71-41B2D722851A}"/>
    <cellStyle name="Normal 9 2 2" xfId="246" xr:uid="{D9FB9198-6A77-46C1-99F1-4CD007B55D6F}"/>
    <cellStyle name="Normal 9 2 2 2" xfId="247" xr:uid="{9168B47D-0B98-4A08-B5E3-D20A1FA5DA14}"/>
    <cellStyle name="Normal 9 2 2 2 2" xfId="248" xr:uid="{7F60B8A2-EDA1-41A7-BF15-F12AA860FF04}"/>
    <cellStyle name="Normal 9 2 2 3" xfId="249" xr:uid="{750D566A-78A3-48F4-AA50-72831D1C94BD}"/>
    <cellStyle name="Normal 9 2 3" xfId="250" xr:uid="{C3424F04-A5A9-4AAB-8FA6-ED920CCDA7E5}"/>
    <cellStyle name="Normal 9 2 3 2" xfId="251" xr:uid="{A78EF766-0CB4-4080-B176-DB2A5E4A7A73}"/>
    <cellStyle name="Normal 9 2 4" xfId="252" xr:uid="{81191F52-EDD3-412E-918C-E7B22D17F0F7}"/>
    <cellStyle name="Normal 9 3" xfId="253" xr:uid="{86896B58-B67C-46EC-90D6-5E7A8E0A0B62}"/>
    <cellStyle name="Normal 9 3 2" xfId="254" xr:uid="{FA15F87E-1FBA-4B69-B3BC-9C220E137FE4}"/>
    <cellStyle name="Normal 9 3 2 2" xfId="255" xr:uid="{5C266D47-2F1C-4DC1-883F-ACA269393CE8}"/>
    <cellStyle name="Normal 9 3 3" xfId="256" xr:uid="{77F92A76-01DA-4886-9C45-7849D012C1DC}"/>
    <cellStyle name="Normal 9 4" xfId="257" xr:uid="{176F21DC-2306-4567-8768-B2E600989702}"/>
    <cellStyle name="Normal 9 4 2" xfId="258" xr:uid="{31A91AD3-450E-46A9-A406-FB60B49F429B}"/>
    <cellStyle name="Normal 9 5" xfId="259" xr:uid="{950C092B-C1D2-4D9F-A6E9-6BF209F79876}"/>
    <cellStyle name="Normal 9 6" xfId="260" xr:uid="{B6720832-B292-473C-B593-85B2EC21BB5D}"/>
    <cellStyle name="Normal 9 6 2" xfId="261" xr:uid="{17D036FC-34A7-4E5E-9557-B911FC7148C6}"/>
    <cellStyle name="Normal 9 7" xfId="262" xr:uid="{66CF8679-3FE8-4B85-AC92-5C1DA8017780}"/>
    <cellStyle name="Normal 9 7 2" xfId="263" xr:uid="{7283FB79-158A-4546-8D8E-E7C3114899D5}"/>
    <cellStyle name="Normal 90" xfId="264" xr:uid="{F8077599-AA62-4A7B-B258-327DCA516597}"/>
    <cellStyle name="Normal 91" xfId="265" xr:uid="{C09DB6A6-60AD-4B4B-A320-50AFD146D0B9}"/>
    <cellStyle name="Normal 92" xfId="266" xr:uid="{29242600-EC17-457C-9529-2582AEFF8067}"/>
    <cellStyle name="Note 2" xfId="55" xr:uid="{22CA9447-0DA0-4232-9A58-5F59B073FC5D}"/>
    <cellStyle name="Note 2 2" xfId="267" xr:uid="{43CBC87A-E2A7-451D-9DF2-95B854F6716F}"/>
    <cellStyle name="Note 2 3" xfId="268" xr:uid="{1FC122EB-7454-4D57-BD33-4025979126DB}"/>
    <cellStyle name="Note 3" xfId="296" xr:uid="{392E5D98-D5C8-4323-AFA4-DF4A5BC94E8F}"/>
    <cellStyle name="Output" xfId="11" builtinId="21" customBuiltin="1"/>
    <cellStyle name="Output 2" xfId="269" xr:uid="{FF16391A-3202-4ED1-98AB-9DD1438D6BEA}"/>
    <cellStyle name="Style 1" xfId="270" xr:uid="{19C79DFE-AF0F-4DD6-990E-DD9D8CEF5865}"/>
    <cellStyle name="Title" xfId="2" builtinId="15" customBuiltin="1"/>
    <cellStyle name="Title 2" xfId="303" xr:uid="{C8D8BB84-F71D-47A6-BBF4-24CD4A5438CB}"/>
    <cellStyle name="Title 3" xfId="271" xr:uid="{A7F31C8C-CC8E-4890-A318-7D803F0257F1}"/>
    <cellStyle name="Total" xfId="17" builtinId="25" customBuiltin="1"/>
    <cellStyle name="Total 2" xfId="272" xr:uid="{D583EF5C-B59D-4DEC-A257-3BE9EA83C40B}"/>
    <cellStyle name="Warning Text" xfId="15" builtinId="11" customBuiltin="1"/>
    <cellStyle name="Warning Text 2" xfId="273" xr:uid="{9D9DC99F-1958-4E69-B068-39903FAEF90F}"/>
  </cellStyles>
  <dxfs count="2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</dxfs>
  <tableStyles count="2" defaultTableStyle="TableStyleMedium9" defaultPivotStyle="PivotStyleMedium4">
    <tableStyle name="Table Style 1" pivot="0" count="0" xr9:uid="{D2D6A719-9DCD-4700-B4A3-BA5961C546C8}"/>
    <tableStyle name="Table Style 2" pivot="0" count="0" xr9:uid="{88C0874E-3117-4D33-A394-2753309A72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rardo Escamilla" id="{7EDB581C-2BF5-43BE-A0ED-2105E12EDC12}" userId="S::GEscamilla@irena.org::899ae2ac-aa65-424b-84a3-d703cb23f4ce" providerId="AD"/>
  <person displayName="Escamilla Garcia Gerardo Alonso" id="{DF48DC69-D805-4D6F-ACB7-C2958FBD499C}" userId="S::gerardo.escamilla@psi.ch::8ce80ce6-f1b6-4699-af6b-2369c5a2576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ardo Escamilla" refreshedDate="45842.562509837961" createdVersion="8" refreshedVersion="8" minRefreshableVersion="3" recordCount="329" xr:uid="{3468E3AB-1DF4-4FCA-9F32-D103536D244C}">
  <cacheSource type="worksheet">
    <worksheetSource name="Countries"/>
  </cacheSource>
  <cacheFields count="118">
    <cacheField name="ISO2" numFmtId="1">
      <sharedItems containsBlank="1"/>
    </cacheField>
    <cacheField name="ISO3" numFmtId="0">
      <sharedItems count="329">
        <s v="ARG"/>
        <s v="AUS"/>
        <s v="CXR"/>
        <s v="CCK"/>
        <s v="HMD"/>
        <s v="NZL"/>
        <s v="NFK"/>
        <s v="BRA"/>
        <s v="CAN"/>
        <s v="AIA"/>
        <s v="ATG"/>
        <s v="ABW"/>
        <s v="BHS"/>
        <s v="BRB"/>
        <s v="BES"/>
        <s v="VGB"/>
        <s v="CYM"/>
        <s v="CUB"/>
        <s v="CUW"/>
        <s v="DMA"/>
        <s v="DOM"/>
        <s v="GRD"/>
        <s v="GLP"/>
        <s v="HTI"/>
        <s v="JAM"/>
        <s v="MTQ"/>
        <s v="MSR"/>
        <s v="PRI"/>
        <s v="BLM"/>
        <s v="KNA"/>
        <s v="LCA"/>
        <s v="MAF"/>
        <s v="VCT"/>
        <s v="SXM"/>
        <s v="TTO"/>
        <s v="TCA"/>
        <s v="VIR"/>
        <s v="BLZ"/>
        <s v="CRI"/>
        <s v="SLV"/>
        <s v="GTM"/>
        <s v="HND"/>
        <s v="NIC"/>
        <s v="PAN"/>
        <s v="ARM"/>
        <s v="AZE"/>
        <s v="GEO"/>
        <s v="KAZ"/>
        <s v="KGZ"/>
        <s v="TJK"/>
        <s v="TKM"/>
        <s v="UZB"/>
        <s v="CHL"/>
        <s v="CHN"/>
        <s v="HKG"/>
        <s v="MAC"/>
        <s v="MNG"/>
        <s v="TWN"/>
        <s v="RAF"/>
        <s v="AME"/>
        <s v="ATA"/>
        <s v="RAS"/>
        <s v="AUZ"/>
        <s v="CAR"/>
        <s v="CAM"/>
        <s v="RCC"/>
        <s v="CAS"/>
        <s v="CSA"/>
        <s v="DEV"/>
        <s v="DIV"/>
        <s v="EAF"/>
        <s v="EAS"/>
        <s v="ESS"/>
        <s v="EEE"/>
        <s v="REA"/>
        <s v="RER"/>
        <s v="X01"/>
        <s v="EUE"/>
        <s v="EUP"/>
        <s v="G20"/>
        <s v="G07"/>
        <s v="G08"/>
        <s v="IEF"/>
        <s v="IEA"/>
        <s v="LLD"/>
        <s v="LAT"/>
        <s v="LDC"/>
        <s v="MEL"/>
        <s v="MIC"/>
        <s v="MIF"/>
        <s v="RME"/>
        <s v="XMX"/>
        <s v="NOA"/>
        <s v="NAF"/>
        <s v="RNA"/>
        <s v="NAE"/>
        <s v="NEE"/>
        <s v="ROC"/>
        <s v="OCA"/>
        <s v="PLY"/>
        <s v="XCC"/>
        <s v="XCA"/>
        <s v="XCS"/>
        <s v="XAS"/>
        <s v="XES"/>
        <s v="XEA"/>
        <s v="XEE"/>
        <s v="XLA"/>
        <s v="XFR"/>
        <s v="XNA"/>
        <s v="XAA"/>
        <s v="XOC"/>
        <s v="XSA"/>
        <s v="XSI"/>
        <s v="XTA"/>
        <s v="XAF"/>
        <s v="XWA"/>
        <s v="XME"/>
        <s v="SID"/>
        <s v="RSA"/>
        <s v="SEA"/>
        <s v="SOA"/>
        <s v="SAS"/>
        <s v="SOE"/>
        <s v="SSA"/>
        <s v="XDX"/>
        <s v="WAF"/>
        <s v="WAS"/>
        <s v="WAN"/>
        <s v="WEE"/>
        <s v="GLO"/>
        <s v="IOT"/>
        <s v="BDI"/>
        <s v="COM"/>
        <s v="DJI"/>
        <s v="ERI"/>
        <s v="ETH"/>
        <s v="ATF"/>
        <s v="KEN"/>
        <s v="MDG"/>
        <s v="MWI"/>
        <s v="MUS"/>
        <s v="MYT"/>
        <s v="MOZ"/>
        <s v="REU"/>
        <s v="RWA"/>
        <s v="SYC"/>
        <s v="SOM"/>
        <s v="SSD"/>
        <s v="UGA"/>
        <s v="TZA"/>
        <s v="ZMB"/>
        <s v="ZWE"/>
        <s v="AUT"/>
        <s v="BEL"/>
        <s v="BGR"/>
        <s v="HRV"/>
        <s v="CYP"/>
        <s v="CZE"/>
        <s v="DNK"/>
        <s v="EST"/>
        <s v="FIN"/>
        <s v="FRA"/>
        <s v="DEU"/>
        <s v="GRC"/>
        <s v="HUN"/>
        <s v="IRL"/>
        <s v="ITA"/>
        <s v="LVA"/>
        <s v="LTU"/>
        <s v="LUX"/>
        <s v="MLT"/>
        <s v="NLD"/>
        <s v="POL"/>
        <s v="PRT"/>
        <s v="ROU"/>
        <s v="SVK"/>
        <s v="SVN"/>
        <s v="ESP"/>
        <s v="SWE"/>
        <s v="ALA"/>
        <s v="ALB"/>
        <s v="AND"/>
        <s v="BLR"/>
        <s v="BIH"/>
        <s v="XCH"/>
        <s v="FRO"/>
        <s v="GIB"/>
        <s v="GGY"/>
        <s v="VAT"/>
        <s v="ISL"/>
        <s v="IMN"/>
        <s v="JEY"/>
        <s v="XKX"/>
        <s v="LIE"/>
        <s v="MCO"/>
        <s v="MNE"/>
        <s v="MKD"/>
        <s v="NOR"/>
        <s v="MDA"/>
        <s v="SMR"/>
        <s v="XSR"/>
        <s v="SRB"/>
        <s v="SJM"/>
        <s v="UKR"/>
        <s v="IND"/>
        <s v="X1"/>
        <s v="X2"/>
        <s v="AIR"/>
        <s v="SHI"/>
        <s v="XX"/>
        <s v="JPN"/>
        <s v="ISR"/>
        <s v="JOR"/>
        <s v="LBN"/>
        <s v="PSE"/>
        <s v="SYR"/>
        <s v="TUR"/>
        <s v="MEX"/>
        <s v="AGO"/>
        <s v="CMR"/>
        <s v="CAF"/>
        <s v="TCD"/>
        <s v="COG"/>
        <s v="COD"/>
        <s v="GNQ"/>
        <s v="GAB"/>
        <s v="STP"/>
        <s v="DZA"/>
        <s v="EGY"/>
        <s v="LBY"/>
        <s v="MAR"/>
        <s v="SDN"/>
        <s v="TUN"/>
        <s v="ESH"/>
        <s v="BMU"/>
        <s v="GRL"/>
        <s v="SPM"/>
        <s v="ASM"/>
        <s v="COK"/>
        <s v="FJI"/>
        <s v="PYF"/>
        <s v="GUM"/>
        <s v="KIR"/>
        <s v="MHL"/>
        <s v="FSM"/>
        <s v="NRU"/>
        <s v="NCL"/>
        <s v="NIU"/>
        <s v="MNP"/>
        <s v="PLW"/>
        <s v="PNG"/>
        <s v="PCN"/>
        <s v="WSM"/>
        <s v="SLB"/>
        <s v="TKL"/>
        <s v="TON"/>
        <s v="TUV"/>
        <s v="UMI"/>
        <s v="VUT"/>
        <s v="WLF"/>
        <s v="BHR"/>
        <s v="IRQ"/>
        <s v="KWT"/>
        <s v="OMN"/>
        <s v="QAT"/>
        <s v="SAU"/>
        <s v="ARE"/>
        <s v="IRN"/>
        <s v="YEM"/>
        <s v="KOR"/>
        <s v="RUS"/>
        <s v="ZAF"/>
        <s v="BOL"/>
        <s v="BVT"/>
        <s v="COL"/>
        <s v="ECU"/>
        <s v="FLK"/>
        <s v="GUF"/>
        <s v="GUY"/>
        <s v="PRY"/>
        <s v="PER"/>
        <s v="SGS"/>
        <s v="SUR"/>
        <s v="URY"/>
        <s v="VEN"/>
        <s v="BRN"/>
        <s v="KHM"/>
        <s v="PRK"/>
        <s v="IDN"/>
        <s v="LAO"/>
        <s v="MYS"/>
        <s v="MMR"/>
        <s v="PHL"/>
        <s v="SGP"/>
        <s v="THA"/>
        <s v="TLS"/>
        <s v="VNM"/>
        <s v="BWA"/>
        <s v="SWZ"/>
        <s v="LSO"/>
        <s v="NAM"/>
        <s v="AFG"/>
        <s v="BGD"/>
        <s v="BTN"/>
        <s v="MDV"/>
        <s v="NPL"/>
        <s v="PAK"/>
        <s v="LKA"/>
        <s v="CHE"/>
        <s v="GBR"/>
        <s v="USA"/>
        <s v="BEN"/>
        <s v="BFA"/>
        <s v="CPV"/>
        <s v="CIV"/>
        <s v="GMB"/>
        <s v="GHA"/>
        <s v="GIN"/>
        <s v="GNB"/>
        <s v="LBR"/>
        <s v="MLI"/>
        <s v="MRT"/>
        <s v="NER"/>
        <s v="NGA"/>
        <s v="SHN"/>
        <s v="SEN"/>
        <s v="SLE"/>
        <s v="TGO"/>
      </sharedItems>
    </cacheField>
    <cacheField name="M49" numFmtId="0">
      <sharedItems containsSemiMixedTypes="0" containsString="0" containsNumber="1" containsInteger="1" minValue="1" maxValue="99950"/>
    </cacheField>
    <cacheField name="IRENA Sort Order" numFmtId="164">
      <sharedItems containsString="0" containsBlank="1" containsNumber="1" containsInteger="1" minValue="1" maxValue="999"/>
    </cacheField>
    <cacheField name="IRENA Country Name" numFmtId="1">
      <sharedItems containsBlank="1"/>
    </cacheField>
    <cacheField name="UN Short Name EN" numFmtId="0">
      <sharedItems count="329">
        <s v="Argentina"/>
        <s v="Australia"/>
        <s v="Christmas Island"/>
        <s v="Cocos (Keeling) Islands"/>
        <s v="Heard Island and McDonald Islands"/>
        <s v="New Zealand"/>
        <s v="Norfolk Island"/>
        <s v="Brazil"/>
        <s v="Canada"/>
        <s v="Anguilla"/>
        <s v="Antigua and Barbuda"/>
        <s v="Aruba"/>
        <s v="Bahamas (the)"/>
        <s v="Barbados"/>
        <s v="Bonaire, Sint Eustatius and Saba"/>
        <s v="British Virgin Islands"/>
        <s v="Cayman Islands"/>
        <s v="Cuba"/>
        <s v="Curaçao"/>
        <s v="Dominica"/>
        <s v="Dominican Republic (the)"/>
        <s v="Grenada"/>
        <s v="Guadeloupe"/>
        <s v="Haiti"/>
        <s v="Jamaica"/>
        <s v="Martinique"/>
        <s v="Montserrat"/>
        <s v="Puerto Rico"/>
        <s v="Saint Barthélemy"/>
        <s v="Saint Kitts and Nevis"/>
        <s v="Saint Lucia"/>
        <s v="Saint Martin (French Part)"/>
        <s v="Saint Vincent and the Grenadines"/>
        <s v="Sint Maarten (Dutch Part)"/>
        <s v="Trinidad and Tobago"/>
        <s v="Turks and Caicos Islands"/>
        <s v="United States Virgin Islands"/>
        <s v="Belize"/>
        <s v="Costa Rica"/>
        <s v="El Salvador"/>
        <s v="Guatemala"/>
        <s v="Honduras"/>
        <s v="Nicaragua"/>
        <s v="Panama"/>
        <s v="Armenia"/>
        <s v="Azerbaijan"/>
        <s v="Georgia"/>
        <s v="Kazakhstan"/>
        <s v="Kyrgyzstan"/>
        <s v="Tajikistan"/>
        <s v="Turkmenistan"/>
        <s v="Uzbekistan"/>
        <s v="Chile"/>
        <s v="China"/>
        <s v="China, Hong Kong Special Administrative Region"/>
        <s v="China, Macao Special Administrative Region"/>
        <s v="Mongolia"/>
        <s v="Chinese Taipei"/>
        <s v="Africa"/>
        <s v="Americas"/>
        <s v="Antarctica"/>
        <s v="Asia"/>
        <s v="Australia and New Zealand"/>
        <s v="Caribbean"/>
        <s v="Central America"/>
        <s v="Central America and the Caribbean"/>
        <s v="Central Asia"/>
        <s v="Central Asia and Southern Asia"/>
        <s v="Developed regions"/>
        <s v="Developing regions"/>
        <s v="Eastern Africa"/>
        <s v="Eastern Asia"/>
        <s v="Eastern Asia and South-eastern Asia"/>
        <s v="Eastern Europe"/>
        <s v="Eurasia"/>
        <s v="Europe"/>
        <s v="Europe, Northern America, Australia and New Zealand"/>
        <s v="European Union (27)"/>
        <s v="European Union (28)"/>
        <s v="G20 Countries"/>
        <s v="G7 Countries"/>
        <s v="G8 Countries"/>
        <s v="IEA and Accession/Association countries"/>
        <s v="IEA Countries"/>
        <s v="Landlocked developing countries (LLDCs)"/>
        <s v="Latin America and the Caribbean"/>
        <s v="Least Developed Countries (LDCs)"/>
        <s v="Melanesia"/>
        <s v="Micronesia"/>
        <s v="Middle Africa"/>
        <s v="Middle East"/>
        <s v="Multilateral"/>
        <s v="Non-OECD Americas"/>
        <s v="Northern Africa"/>
        <s v="Northern America"/>
        <s v="Northern America and Europe"/>
        <s v="Northern Europe"/>
        <s v="Oceania"/>
        <s v="Oceania excluding Australia and New Zealand"/>
        <s v="Polynesia"/>
        <s v="Residual/unallocated: Central America"/>
        <s v="Residual/unallocated: Central Asia"/>
        <s v="Residual/unallocated: Central Asia and Southern Asia"/>
        <s v="Residual/unallocated: Eastern and South-eastern Asia"/>
        <s v="Residual/unallocated: Eastern Asia"/>
        <s v="Residual/unallocated: Eurasia"/>
        <s v="Residual/unallocated: Europe"/>
        <s v="Residual/unallocated: Latin America and the Caribbean"/>
        <s v="Residual/unallocated: Northern Africa"/>
        <s v="Residual/unallocated: Northern America"/>
        <s v="Residual/unallocated: Northern America and Europe"/>
        <s v="Residual/unallocated: Oceania excl. Aus. and N. Zealand"/>
        <s v="Residual/unallocated: South America"/>
        <s v="Residual/unallocated: South-eastern Asia"/>
        <s v="Residual/unallocated: Southern Asia"/>
        <s v="Residual/unallocated: Sub-Saharan Africa"/>
        <s v="Residual/unallocated: Western Asia"/>
        <s v="Residual/unallocated: Western Asia and Northern Africa"/>
        <s v="Small Island Developing States (SIDS)"/>
        <s v="South America"/>
        <s v="South-eastern Asia"/>
        <s v="Southern Africa"/>
        <s v="Southern Asia"/>
        <s v="Southern Europe"/>
        <s v="Sub-Saharan Africa"/>
        <s v="Unspecified countries"/>
        <s v="Western Africa"/>
        <s v="Western Asia"/>
        <s v="Western Asia and Northern Africa"/>
        <s v="Western Europe"/>
        <s v="World"/>
        <s v="British Indian Ocean Territory"/>
        <s v="Burundi"/>
        <s v="Comoros (the)"/>
        <s v="Djibouti"/>
        <s v="Eritrea"/>
        <s v="Ethiopia"/>
        <s v="French Southern and Antarctic Territories"/>
        <s v="Kenya"/>
        <s v="Madagascar"/>
        <s v="Malawi"/>
        <s v="Mauritius"/>
        <s v="Mayotte"/>
        <s v="Mozambique"/>
        <s v="Réunion"/>
        <s v="Rwanda"/>
        <s v="Seychelles"/>
        <s v="Somalia"/>
        <s v="South Sudan"/>
        <s v="Uganda"/>
        <s v="United Republic of Tanzania (the)"/>
        <s v="Zambia"/>
        <s v="Zimbabwe"/>
        <s v="Austria"/>
        <s v="Belgium"/>
        <s v="Bulgaria"/>
        <s v="Croatia"/>
        <s v="Cyprus"/>
        <s v="Czechia"/>
        <s v="Denmark"/>
        <s v="Estonia"/>
        <s v="Finland"/>
        <s v="France"/>
        <s v="Germany"/>
        <s v="Greece"/>
        <s v="Hungary"/>
        <s v="Ireland"/>
        <s v="Italy"/>
        <s v="Latvia"/>
        <s v="Lithuania"/>
        <s v="Luxembourg"/>
        <s v="Malta"/>
        <s v="Netherlands (Kingdom of the)"/>
        <s v="Poland"/>
        <s v="Portugal"/>
        <s v="Romania"/>
        <s v="Slovakia"/>
        <s v="Slovenia"/>
        <s v="Spain"/>
        <s v="Sweden"/>
        <s v="Åland Islands"/>
        <s v="Albania"/>
        <s v="Andorra"/>
        <s v="Belarus"/>
        <s v="Bosnia and Herzegovina"/>
        <s v="Channel Islands"/>
        <s v="Faroe Islands"/>
        <s v="Gibraltar"/>
        <s v="Guernsey"/>
        <s v="Holy See (the)"/>
        <s v="Iceland"/>
        <s v="Isle of Man"/>
        <s v="Jersey"/>
        <s v="Kosovo"/>
        <s v="Liechtenstein"/>
        <s v="Monaco"/>
        <s v="Montenegro"/>
        <s v="North Macedonia"/>
        <s v="Norway"/>
        <s v="Republic of Moldova (the)"/>
        <s v="San Marino"/>
        <s v="Sark"/>
        <s v="Serbia"/>
        <s v="Svalbard and Jan Mayen Islands"/>
        <s v="Ukraine"/>
        <s v="India"/>
        <s v="Bunkers"/>
        <s v="Free Zones"/>
        <s v="International Aviation"/>
        <s v="International Shipping"/>
        <s v="Special Categories"/>
        <s v="Japan"/>
        <s v="Israel"/>
        <s v="Jordan"/>
        <s v="Lebanon"/>
        <s v="State of Palestine (the)"/>
        <s v="Syrian Arab Republic (the)"/>
        <s v="Türkiye"/>
        <s v="Mexico"/>
        <s v="Angola"/>
        <s v="Cameroon"/>
        <s v="Central African Republic (the)"/>
        <s v="Chad"/>
        <s v="Congo (the)"/>
        <s v="Democratic Republic of the Congo (the)"/>
        <s v="Equatorial Guinea"/>
        <s v="Gabon"/>
        <s v="Sao Tome and Principe"/>
        <s v="Algeria"/>
        <s v="Egypt"/>
        <s v="Libya"/>
        <s v="Morocco"/>
        <s v="Sudan (the)"/>
        <s v="Tunisia"/>
        <s v="Western Sahara"/>
        <s v="Bermuda"/>
        <s v="Greenland"/>
        <s v="Saint Pierre and Miquelon"/>
        <s v="American Samoa"/>
        <s v="Cook Islands (the)"/>
        <s v="Fiji"/>
        <s v="French Polynesia"/>
        <s v="Guam"/>
        <s v="Kiribati"/>
        <s v="Marshall Islands (the)"/>
        <s v="Micronesia (Federated States of)"/>
        <s v="Nauru"/>
        <s v="New Caledonia"/>
        <s v="Niue"/>
        <s v="Northern Mariana Islands"/>
        <s v="Palau"/>
        <s v="Papua New Guinea"/>
        <s v="Pitcairn"/>
        <s v="Samoa"/>
        <s v="Solomon Islands"/>
        <s v="Tokelau"/>
        <s v="Tonga"/>
        <s v="Tuvalu"/>
        <s v="United States minor outlying islands"/>
        <s v="Vanuatu"/>
        <s v="Wallis and Futuna Islands"/>
        <s v="Bahrain"/>
        <s v="Iraq"/>
        <s v="Kuwait"/>
        <s v="Oman"/>
        <s v="Qatar"/>
        <s v="Saudi Arabia"/>
        <s v="United Arab Emirates (the)"/>
        <s v="Iran (Islamic Republic of)"/>
        <s v="Yemen"/>
        <s v="Republic of Korea (the)"/>
        <s v="Russian Federation (the)"/>
        <s v="South Africa"/>
        <s v="Bolivia (Plurinational State of)"/>
        <s v="Bouvet Island"/>
        <s v="Colombia"/>
        <s v="Ecuador"/>
        <s v="Falkland Islands (Malvinas)"/>
        <s v="French Guiana"/>
        <s v="Guyana"/>
        <s v="Paraguay"/>
        <s v="Peru"/>
        <s v="South Georgia and the South Sandwich Islands"/>
        <s v="Suriname"/>
        <s v="Uruguay"/>
        <s v="Venezuela (Bolivarian Republic of)"/>
        <s v="Brunei Darussalam"/>
        <s v="Cambodia"/>
        <s v="Democratic People's Republic of Korea (the)"/>
        <s v="Indonesia"/>
        <s v="Lao People's Democratic Republic (the)"/>
        <s v="Malaysia"/>
        <s v="Myanmar"/>
        <s v="Philippines (the)"/>
        <s v="Singapore"/>
        <s v="Thailand"/>
        <s v="Timor-Leste"/>
        <s v="Viet Nam"/>
        <s v="Botswana"/>
        <s v="Eswatini"/>
        <s v="Lesotho"/>
        <s v="Namibia"/>
        <s v="Afghanistan"/>
        <s v="Bangladesh"/>
        <s v="Bhutan"/>
        <s v="Maldives"/>
        <s v="Nepal"/>
        <s v="Pakistan"/>
        <s v="Sri Lanka"/>
        <s v="Switzerland"/>
        <s v="United Kingdom of Great Britain and Northern Ireland (the)"/>
        <s v="United States of America (the)"/>
        <s v="Benin"/>
        <s v="Burkina Faso"/>
        <s v="Cabo Verde"/>
        <s v="Côte d'Ivoire"/>
        <s v="Gambia (the)"/>
        <s v="Ghana"/>
        <s v="Guinea"/>
        <s v="Guinea-Bissau"/>
        <s v="Liberia"/>
        <s v="Mali"/>
        <s v="Mauritania"/>
        <s v="Niger (the)"/>
        <s v="Nigeria"/>
        <s v="Saint Helena"/>
        <s v="Senegal"/>
        <s v="Sierra Leone"/>
        <s v="Togo"/>
      </sharedItems>
    </cacheField>
    <cacheField name="UN Formal Name EN" numFmtId="0">
      <sharedItems containsBlank="1"/>
    </cacheField>
    <cacheField name="UN Short Name FR" numFmtId="1">
      <sharedItems containsBlank="1" containsMixedTypes="1" containsNumber="1" containsInteger="1" minValue="0" maxValue="0"/>
    </cacheField>
    <cacheField name="UN Short Name ES" numFmtId="0">
      <sharedItems containsBlank="1"/>
    </cacheField>
    <cacheField name="Region (M49)" numFmtId="0">
      <sharedItems containsString="0" containsBlank="1" containsNumber="1" containsInteger="1" minValue="1" maxValue="99909"/>
    </cacheField>
    <cacheField name="UN Region" numFmtId="0">
      <sharedItems containsBlank="1"/>
    </cacheField>
    <cacheField name="Sub-region (M49)" numFmtId="0">
      <sharedItems containsString="0" containsBlank="1" containsNumber="1" containsInteger="1" minValue="1" maxValue="99909"/>
    </cacheField>
    <cacheField name="UN Sub-region" numFmtId="0">
      <sharedItems containsBlank="1"/>
    </cacheField>
    <cacheField name="Sub-region2 (M49)" numFmtId="0">
      <sharedItems containsString="0" containsBlank="1" containsNumber="1" containsInteger="1" minValue="5" maxValue="99909"/>
    </cacheField>
    <cacheField name="UN Sub-region2" numFmtId="0">
      <sharedItems containsBlank="1"/>
    </cacheField>
    <cacheField name="IRENA Region" numFmtId="0">
      <sharedItems containsBlank="1"/>
    </cacheField>
    <cacheField name="WBG Region" numFmtId="1">
      <sharedItems containsBlank="1"/>
    </cacheField>
    <cacheField name="SDG Region (M49)" numFmtId="0">
      <sharedItems containsString="0" containsBlank="1" containsNumber="1" containsInteger="1" minValue="1" maxValue="99909"/>
    </cacheField>
    <cacheField name="SDG Region" numFmtId="1">
      <sharedItems containsBlank="1"/>
    </cacheField>
    <cacheField name="SDG Sub-region (M49)" numFmtId="0">
      <sharedItems containsString="0" containsBlank="1" containsNumber="1" containsInteger="1" minValue="15" maxValue="99909"/>
    </cacheField>
    <cacheField name="SDG Sub-region" numFmtId="0">
      <sharedItems containsBlank="1"/>
    </cacheField>
    <cacheField name="GMM 15" numFmtId="0">
      <sharedItems containsBlank="1"/>
    </cacheField>
    <cacheField name="GMM 17" numFmtId="0">
      <sharedItems containsBlank="1" count="19">
        <s v="LAC"/>
        <s v="AUSNZL"/>
        <s v="ASIAPAC"/>
        <e v="#N/A"/>
        <s v="BRAZIL"/>
        <s v="CANMEX"/>
        <s v="USA"/>
        <s v="EEUR"/>
        <s v="CENASIA"/>
        <s v="CHINAREG"/>
        <s v="JPKRTW"/>
        <s v="SSAFRICA"/>
        <s v="EU31"/>
        <s v="INDIA"/>
        <m/>
        <s v="MIDEAST"/>
        <s v="NAFRICA"/>
        <s v="GCC"/>
        <s v="RUSSIA"/>
      </sharedItems>
    </cacheField>
    <cacheField name="MERGE legacy" numFmtId="0">
      <sharedItems containsBlank="1"/>
    </cacheField>
    <cacheField name="MERGE option 1" numFmtId="0">
      <sharedItems containsBlank="1"/>
    </cacheField>
    <cacheField name="MERGE option 2" numFmtId="0">
      <sharedItems containsBlank="1"/>
    </cacheField>
    <cacheField name="MERGE" numFmtId="0">
      <sharedItems count="47">
        <s v="Argentina"/>
        <s v="Australia and New Zealand"/>
        <s v="Brazil"/>
        <s v="Canada"/>
        <s v="Caribbean"/>
        <s v="Central America"/>
        <s v="Central Asia Extended"/>
        <s v="Chile"/>
        <s v="China"/>
        <s v="Chinese Taipei"/>
        <s v="Do not include"/>
        <s v="Eastern Africa"/>
        <s v="EU27"/>
        <s v="Non-EU Europe"/>
        <s v="India"/>
        <s v="International"/>
        <s v="Japan"/>
        <s v="Levant"/>
        <s v="Mexico"/>
        <s v="Middle Africa"/>
        <s v="Northern Africa"/>
        <s v="Northern American Islands"/>
        <s v="Tropical Pacific Islands"/>
        <s v="Peninsular West Asia"/>
        <s v="Republic of Korea"/>
        <s v="Russia"/>
        <s v="South Africa"/>
        <s v="South America Cluster"/>
        <s v="South-eastern Asia"/>
        <s v="Southern Africa Cluster"/>
        <s v="Southern Asia Cluster"/>
        <s v="Switzerland"/>
        <s v="United Kingdom"/>
        <s v="United States"/>
        <s v="Western Africa"/>
        <s v="South America Other" u="1"/>
        <s v="Southern Africa Other" u="1"/>
        <s v="Oceania Other" u="1"/>
        <s v="Europe Other" u="1"/>
        <s v="Northern America Other" u="1"/>
        <s v="Arabian Peninsula" u="1"/>
        <s v="Persian Gulf" u="1"/>
        <s v="Western Asia Other" u="1"/>
        <s v="Persian Gulf Basin" u="1"/>
        <s v="Southern Asia Other" u="1"/>
        <s v="Gulf states" u="1"/>
        <s v="Central Asia" u="1"/>
      </sharedItems>
    </cacheField>
    <cacheField name="WBG Income Group" numFmtId="1">
      <sharedItems containsBlank="1"/>
    </cacheField>
    <cacheField name="Heavily indebted poor countries (HIPC)" numFmtId="1">
      <sharedItems containsBlank="1"/>
    </cacheField>
    <cacheField name="Developed / Developing" numFmtId="0">
      <sharedItems containsBlank="1"/>
    </cacheField>
    <cacheField name="ODA recipient" numFmtId="0">
      <sharedItems containsBlank="1"/>
    </cacheField>
    <cacheField name="SDG 7a1" numFmtId="0">
      <sharedItems containsBlank="1"/>
    </cacheField>
    <cacheField name="OECD" numFmtId="0">
      <sharedItems containsBlank="1"/>
    </cacheField>
    <cacheField name="Sub-OECD" numFmtId="0">
      <sharedItems containsBlank="1"/>
    </cacheField>
    <cacheField name="IEA" numFmtId="0">
      <sharedItems containsBlank="1"/>
    </cacheField>
    <cacheField name="Granularity" numFmtId="0">
      <sharedItems/>
    </cacheField>
    <cacheField name="CurrencyISO" numFmtId="0">
      <sharedItems containsBlank="1"/>
    </cacheField>
    <cacheField name="DeflatorISO" numFmtId="0">
      <sharedItems containsBlank="1"/>
    </cacheField>
    <cacheField name="Belt Road Initiative" numFmtId="0">
      <sharedItems containsBlank="1"/>
    </cacheField>
    <cacheField name="LDC" numFmtId="0">
      <sharedItems containsBlank="1"/>
    </cacheField>
    <cacheField name="LLDC" numFmtId="0">
      <sharedItems containsBlank="1"/>
    </cacheField>
    <cacheField name="SIDS" numFmtId="0">
      <sharedItems/>
    </cacheField>
    <cacheField name="EU-28" numFmtId="0">
      <sharedItems containsBlank="1"/>
    </cacheField>
    <cacheField name="EU-27" numFmtId="0">
      <sharedItems containsBlank="1"/>
    </cacheField>
    <cacheField name="SIDS Lighthouse" numFmtId="0">
      <sharedItems containsBlank="1"/>
    </cacheField>
    <cacheField name="G7" numFmtId="0">
      <sharedItems containsBlank="1"/>
    </cacheField>
    <cacheField name="G8" numFmtId="0">
      <sharedItems containsBlank="1"/>
    </cacheField>
    <cacheField name="G20" numFmtId="0">
      <sharedItems containsBlank="1"/>
    </cacheField>
    <cacheField name="DNI SDG7b1" numFmtId="0">
      <sharedItems containsBlank="1"/>
    </cacheField>
    <cacheField name="ECA_ALL" numFmtId="0">
      <sharedItems containsBlank="1" containsMixedTypes="1" containsNumber="1" containsInteger="1" minValue="98100" maxValue="98100"/>
    </cacheField>
    <cacheField name="ECA_CA" numFmtId="0">
      <sharedItems containsBlank="1" containsMixedTypes="1" containsNumber="1" containsInteger="1" minValue="98101" maxValue="98101"/>
    </cacheField>
    <cacheField name="ECA_EA" numFmtId="0">
      <sharedItems containsBlank="1" containsMixedTypes="1" containsNumber="1" containsInteger="1" minValue="98102" maxValue="98102"/>
    </cacheField>
    <cacheField name="ECA_NA" numFmtId="0">
      <sharedItems containsBlank="1" containsMixedTypes="1" containsNumber="1" containsInteger="1" minValue="98103" maxValue="98103"/>
    </cacheField>
    <cacheField name="ECA_SA" numFmtId="0">
      <sharedItems containsBlank="1" containsMixedTypes="1" containsNumber="1" containsInteger="1" minValue="98104" maxValue="98104"/>
    </cacheField>
    <cacheField name="ECA_WA" numFmtId="0">
      <sharedItems containsBlank="1" containsMixedTypes="1" containsNumber="1" containsInteger="1" minValue="98105" maxValue="98105"/>
    </cacheField>
    <cacheField name="AUC" numFmtId="0">
      <sharedItems containsBlank="1" containsMixedTypes="1" containsNumber="1" containsInteger="1" minValue="98106" maxValue="98106"/>
    </cacheField>
    <cacheField name="ECA_ECCAS" numFmtId="0">
      <sharedItems containsBlank="1" containsMixedTypes="1" containsNumber="1" containsInteger="1" minValue="98107" maxValue="98107"/>
    </cacheField>
    <cacheField name="ECA_ECOWAS" numFmtId="0">
      <sharedItems containsBlank="1" containsMixedTypes="1" containsNumber="1" containsInteger="1" minValue="98108" maxValue="98108"/>
    </cacheField>
    <cacheField name="ECA_IGAD" numFmtId="0">
      <sharedItems containsBlank="1" containsMixedTypes="1" containsNumber="1" containsInteger="1" minValue="98109" maxValue="98109"/>
    </cacheField>
    <cacheField name="ECA_SADC" numFmtId="0">
      <sharedItems containsBlank="1" containsMixedTypes="1" containsNumber="1" containsInteger="1" minValue="98110" maxValue="98110"/>
    </cacheField>
    <cacheField name="ECA_AMU" numFmtId="0">
      <sharedItems containsBlank="1" containsMixedTypes="1" containsNumber="1" containsInteger="1" minValue="98111" maxValue="98111"/>
    </cacheField>
    <cacheField name="ECA_CEN_SAD" numFmtId="0">
      <sharedItems containsBlank="1" containsMixedTypes="1" containsNumber="1" containsInteger="1" minValue="98112" maxValue="98112"/>
    </cacheField>
    <cacheField name="ECA_COMESA" numFmtId="0">
      <sharedItems containsBlank="1" containsMixedTypes="1" containsNumber="1" containsInteger="1" minValue="98113" maxValue="98113"/>
    </cacheField>
    <cacheField name="ECA_EAC" numFmtId="0">
      <sharedItems containsBlank="1" containsMixedTypes="1" containsNumber="1" containsInteger="1" minValue="98114" maxValue="98114"/>
    </cacheField>
    <cacheField name="ECA_IE" numFmtId="0">
      <sharedItems containsBlank="1" containsMixedTypes="1" containsNumber="1" containsInteger="1" minValue="98115" maxValue="98115"/>
    </cacheField>
    <cacheField name="ECA_LLC" numFmtId="0">
      <sharedItems containsBlank="1" containsMixedTypes="1" containsNumber="1" containsInteger="1" minValue="98116" maxValue="98116"/>
    </cacheField>
    <cacheField name="ECA_LL_LDC" numFmtId="0">
      <sharedItems containsBlank="1" containsMixedTypes="1" containsNumber="1" containsInteger="1" minValue="98117" maxValue="98117"/>
    </cacheField>
    <cacheField name="ECA_LDC" numFmtId="0">
      <sharedItems containsBlank="1" containsMixedTypes="1" containsNumber="1" containsInteger="1" minValue="98118" maxValue="98118"/>
    </cacheField>
    <cacheField name="ECA_MRC" numFmtId="0">
      <sharedItems containsBlank="1" containsMixedTypes="1" containsNumber="1" containsInteger="1" minValue="98119" maxValue="98119"/>
    </cacheField>
    <cacheField name="ECA_NO_LDC" numFmtId="0">
      <sharedItems containsBlank="1" containsMixedTypes="1" containsNumber="1" containsInteger="1" minValue="98120" maxValue="98120"/>
    </cacheField>
    <cacheField name="ECA_NOP" numFmtId="0">
      <sharedItems containsBlank="1" containsMixedTypes="1" containsNumber="1" containsInteger="1" minValue="98121" maxValue="98121"/>
    </cacheField>
    <cacheField name="ECA_O_LDC" numFmtId="0">
      <sharedItems containsBlank="1" containsMixedTypes="1" containsNumber="1" containsInteger="1" minValue="98122" maxValue="98122"/>
    </cacheField>
    <cacheField name="ECA_OP" numFmtId="0">
      <sharedItems containsBlank="1" containsMixedTypes="1" containsNumber="1" containsInteger="1" minValue="98123" maxValue="98123"/>
    </cacheField>
    <cacheField name="ECA_SAHEL" numFmtId="0">
      <sharedItems containsBlank="1" containsMixedTypes="1" containsNumber="1" containsInteger="1" minValue="98124" maxValue="98124"/>
    </cacheField>
    <cacheField name="ECA_SIS" numFmtId="0">
      <sharedItems containsBlank="1" containsMixedTypes="1" containsNumber="1" containsInteger="1" minValue="98125" maxValue="98125"/>
    </cacheField>
    <cacheField name="ECA_SSA" numFmtId="0">
      <sharedItems containsBlank="1" containsMixedTypes="1" containsNumber="1" containsInteger="1" minValue="98126" maxValue="98126"/>
    </cacheField>
    <cacheField name="ECE_ALL" numFmtId="0">
      <sharedItems containsBlank="1" containsMixedTypes="1" containsNumber="1" containsInteger="1" minValue="98200" maxValue="98200"/>
    </cacheField>
    <cacheField name="ECE_CIS11" numFmtId="0">
      <sharedItems containsBlank="1" containsMixedTypes="1" containsNumber="1" containsInteger="1" minValue="98201" maxValue="98201"/>
    </cacheField>
    <cacheField name="ECE_EECCA" numFmtId="0">
      <sharedItems containsBlank="1" containsMixedTypes="1" containsNumber="1" containsInteger="1" minValue="98202" maxValue="98202"/>
    </cacheField>
    <cacheField name="ECE_EU27" numFmtId="0">
      <sharedItems containsBlank="1" containsMixedTypes="1" containsNumber="1" containsInteger="1" minValue="98203" maxValue="98203"/>
    </cacheField>
    <cacheField name="ECE_EU_EuroArea" numFmtId="0">
      <sharedItems containsBlank="1" containsMixedTypes="1" containsNumber="1" containsInteger="1" minValue="98204" maxValue="98204"/>
    </cacheField>
    <cacheField name="ECE_WestBalkans" numFmtId="0">
      <sharedItems containsBlank="1" containsMixedTypes="1" containsNumber="1" containsInteger="1" minValue="98205" maxValue="98205"/>
    </cacheField>
    <cacheField name="ECE_EAEU" numFmtId="0">
      <sharedItems containsBlank="1" containsMixedTypes="1" containsNumber="1" containsInteger="1" minValue="98206" maxValue="98206"/>
    </cacheField>
    <cacheField name="ECLAC_ALL" numFmtId="0">
      <sharedItems containsBlank="1" containsMixedTypes="1" containsNumber="1" containsInteger="1" minValue="98300" maxValue="98300"/>
    </cacheField>
    <cacheField name="ECLAC-Caribbean" numFmtId="0">
      <sharedItems containsBlank="1" containsMixedTypes="1" containsNumber="1" containsInteger="1" minValue="98301" maxValue="98301"/>
    </cacheField>
    <cacheField name="ECLAC-LA" numFmtId="0">
      <sharedItems containsBlank="1" containsMixedTypes="1" containsNumber="1" containsInteger="1" minValue="98302" maxValue="98302"/>
    </cacheField>
    <cacheField name="ESCAP_ALL" numFmtId="0">
      <sharedItems containsBlank="1" containsMixedTypes="1" containsNumber="1" containsInteger="1" minValue="98400" maxValue="98400"/>
    </cacheField>
    <cacheField name="ESCAP_AFRICA" numFmtId="0">
      <sharedItems containsBlank="1" containsMixedTypes="1" containsNumber="1" containsInteger="1" minValue="98405" maxValue="98405"/>
    </cacheField>
    <cacheField name="ESCAP_ASEAN" numFmtId="0">
      <sharedItems containsBlank="1" containsMixedTypes="1" containsNumber="1" containsInteger="1" minValue="98406" maxValue="98406"/>
    </cacheField>
    <cacheField name="ESCAP_ECO" numFmtId="0">
      <sharedItems containsBlank="1" containsMixedTypes="1" containsNumber="1" containsInteger="1" minValue="98407" maxValue="98407"/>
    </cacheField>
    <cacheField name="ESCAP_ENEA" numFmtId="0">
      <sharedItems containsBlank="1" containsMixedTypes="1" containsNumber="1" containsInteger="1" minValue="98408" maxValue="98408"/>
    </cacheField>
    <cacheField name="ESCAP_LDC" numFmtId="0">
      <sharedItems containsBlank="1" containsMixedTypes="1" containsNumber="1" containsInteger="1" minValue="98411" maxValue="98411"/>
    </cacheField>
    <cacheField name="ESCAP_LLDC" numFmtId="0">
      <sharedItems containsBlank="1" containsMixedTypes="1" containsNumber="1" containsInteger="1" minValue="98412" maxValue="98412"/>
    </cacheField>
    <cacheField name="ESCAP_NCA" numFmtId="0">
      <sharedItems containsBlank="1" containsMixedTypes="1" containsNumber="1" containsInteger="1" minValue="98417" maxValue="98417"/>
    </cacheField>
    <cacheField name="ESCAP_PACIFIC" numFmtId="0">
      <sharedItems containsBlank="1" containsMixedTypes="1" containsNumber="1" containsInteger="1" minValue="98418" maxValue="98418"/>
    </cacheField>
    <cacheField name="ESCAP_SEA" numFmtId="0">
      <sharedItems containsBlank="1" containsMixedTypes="1" containsNumber="1" containsInteger="1" minValue="98419" maxValue="98419"/>
    </cacheField>
    <cacheField name="ESCAP_SSWA" numFmtId="0">
      <sharedItems containsBlank="1" containsMixedTypes="1" containsNumber="1" containsInteger="1" minValue="98420" maxValue="98420"/>
    </cacheField>
    <cacheField name="ESCAP_EUROPE" numFmtId="0">
      <sharedItems containsBlank="1" containsMixedTypes="1" containsNumber="1" containsInteger="1" minValue="98423" maxValue="98423"/>
    </cacheField>
    <cacheField name="ESCAP_LATIN_AMERICA" numFmtId="0">
      <sharedItems containsBlank="1" containsMixedTypes="1" containsNumber="1" containsInteger="1" minValue="98424" maxValue="98424"/>
    </cacheField>
    <cacheField name="ESCAP_NORTH_AMERICA" numFmtId="0">
      <sharedItems containsBlank="1" containsMixedTypes="1" containsNumber="1" containsInteger="1" minValue="98425" maxValue="98425"/>
    </cacheField>
    <cacheField name="ESCAP_OTHER_AREA" numFmtId="0">
      <sharedItems containsBlank="1" containsMixedTypes="1" containsNumber="1" containsInteger="1" minValue="98426" maxValue="98426"/>
    </cacheField>
    <cacheField name="ESCAP_PIDE" numFmtId="0">
      <sharedItems containsBlank="1" containsMixedTypes="1" containsNumber="1" containsInteger="1" minValue="98427" maxValue="98427"/>
    </cacheField>
    <cacheField name="ESCAP_SAARC" numFmtId="0">
      <sharedItems containsBlank="1" containsMixedTypes="1" containsNumber="1" containsInteger="1" minValue="98428" maxValue="98428"/>
    </cacheField>
    <cacheField name="ESCAP_CSN" numFmtId="0">
      <sharedItems containsBlank="1" containsMixedTypes="1" containsNumber="1" containsInteger="1" minValue="98434" maxValue="98434"/>
    </cacheField>
    <cacheField name="ESCAP_SIDS" numFmtId="0">
      <sharedItems containsBlank="1" containsMixedTypes="1" containsNumber="1" containsInteger="1" minValue="98435" maxValue="98435"/>
    </cacheField>
    <cacheField name="ESCAP_WB_HIGH" numFmtId="0">
      <sharedItems containsBlank="1" containsMixedTypes="1" containsNumber="1" containsInteger="1" minValue="98436" maxValue="98436"/>
    </cacheField>
    <cacheField name="ESCAP_WB_UPPER_MID" numFmtId="0">
      <sharedItems containsBlank="1" containsMixedTypes="1" containsNumber="1" containsInteger="1" minValue="98437" maxValue="98437"/>
    </cacheField>
    <cacheField name="ESCAP_WB_LOWER_MID" numFmtId="0">
      <sharedItems containsBlank="1" containsMixedTypes="1" containsNumber="1" containsInteger="1" minValue="98438" maxValue="98438"/>
    </cacheField>
    <cacheField name="ESCAP_WB_LOW" numFmtId="0">
      <sharedItems containsBlank="1" containsMixedTypes="1" containsNumber="1" containsInteger="1" minValue="98439" maxValue="98439"/>
    </cacheField>
    <cacheField name="Arab" numFmtId="0">
      <sharedItems containsBlank="1" containsMixedTypes="1" containsNumber="1" containsInteger="1" minValue="98501" maxValue="98501"/>
    </cacheField>
    <cacheField name="ESCWA_GCC" numFmtId="0">
      <sharedItems containsBlank="1" containsMixedTypes="1" containsNumber="1" containsInteger="1" minValue="98502" maxValue="98502"/>
    </cacheField>
    <cacheField name="ESCWA_MASHREQ" numFmtId="0">
      <sharedItems containsBlank="1" containsMixedTypes="1" containsNumber="1" containsInteger="1" minValue="98503" maxValue="98503"/>
    </cacheField>
    <cacheField name="ESCWA_MAGHREB" numFmtId="0">
      <sharedItems containsBlank="1" containsMixedTypes="1" containsNumber="1" containsInteger="1" minValue="98504" maxValue="98504"/>
    </cacheField>
    <cacheField name="ESCWA_LDC" numFmtId="0">
      <sharedItems containsBlank="1" containsMixedTypes="1" containsNumber="1" containsInteger="1" minValue="98505" maxValue="98505"/>
    </cacheField>
    <cacheField name="ESCWA_CONFLICT" numFmtId="0">
      <sharedItems containsBlank="1" containsMixedTypes="1" containsNumber="1" containsInteger="1" minValue="98506" maxValue="98506"/>
    </cacheField>
    <cacheField name="ESCWA_NOCONFLICT_MID" numFmtId="0">
      <sharedItems containsBlank="1" containsMixedTypes="1" containsNumber="1" containsInteger="1" minValue="98507" maxValue="98507"/>
    </cacheField>
    <cacheField name="ESCWA_ARAB_MID" numFmtId="0">
      <sharedItems containsBlank="1" containsMixedTypes="1" containsNumber="1" containsInteger="1" minValue="98508" maxValue="98508"/>
    </cacheField>
    <cacheField name="ESCWA_ARAB_LOW" numFmtId="0">
      <sharedItems containsBlank="1" containsMixedTypes="1" containsNumber="1" containsInteger="1" minValue="98509" maxValue="985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s v="AR"/>
    <x v="0"/>
    <n v="32"/>
    <n v="901"/>
    <s v="Argentina"/>
    <x v="0"/>
    <s v="the Argentine Republic"/>
    <s v="Argentine"/>
    <s v="Argentina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Argentina"/>
    <x v="0"/>
    <s v="Upper middle income"/>
    <s v="Non-HIPC"/>
    <s v="Developing"/>
    <s v="ODA recipient"/>
    <s v="SDG 7a1"/>
    <s v="Non-OECD"/>
    <s v="Non-OECD Americas"/>
    <s v="Non-IEA"/>
    <s v="3.0-Country/Area"/>
    <s v="ARS"/>
    <s v="DAC"/>
    <m/>
    <s v="Non LDC"/>
    <s v="Non LLDC"/>
    <s v="Non SIDS"/>
    <s v="Non-EU"/>
    <s v="Non-EU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U"/>
    <x v="1"/>
    <n v="36"/>
    <n v="802"/>
    <s v="Australia"/>
    <x v="1"/>
    <s v="Australia"/>
    <s v="Australie"/>
    <s v="Australia"/>
    <n v="9"/>
    <s v="Oceania"/>
    <n v="53"/>
    <s v="Australia and New Zealand"/>
    <m/>
    <m/>
    <s v="Oceania"/>
    <s v="East Asia &amp; Pacific"/>
    <n v="9"/>
    <s v="Oceania"/>
    <n v="53"/>
    <s v="Australia and New Zealand"/>
    <s v="AUSNZL"/>
    <x v="1"/>
    <s v="canz"/>
    <s v="Australia and New Zealand"/>
    <s v="Australia"/>
    <x v="1"/>
    <s v="High income"/>
    <s v="Non-HIPC"/>
    <s v="Developed"/>
    <s v="Non recipient"/>
    <s v="Non SDG"/>
    <s v="OECD"/>
    <s v="OECD Asia Oceania"/>
    <s v="IEA"/>
    <s v="3.0-Country/Area"/>
    <s v="AUD"/>
    <s v="AUS"/>
    <m/>
    <s v="Non LDC"/>
    <s v="Non LLDC"/>
    <s v="Non SIDS"/>
    <s v="Non-EU"/>
    <s v="Non-EU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s v=""/>
    <s v=""/>
    <s v=""/>
    <s v=""/>
    <n v="98436"/>
    <s v=""/>
    <s v=""/>
    <s v=""/>
    <s v=""/>
    <s v=""/>
    <s v=""/>
    <s v=""/>
    <s v=""/>
    <s v=""/>
    <s v=""/>
    <s v=""/>
    <s v=""/>
  </r>
  <r>
    <s v="CX"/>
    <x v="2"/>
    <n v="162"/>
    <n v="803"/>
    <s v="Christmas Is"/>
    <x v="2"/>
    <m/>
    <s v="Île Christmas"/>
    <s v="Isla de Navidad"/>
    <n v="9"/>
    <s v="Oceania"/>
    <n v="53"/>
    <s v="Australia and New Zealand"/>
    <m/>
    <m/>
    <s v="Oceania"/>
    <s v="East Asia &amp; Pacific"/>
    <n v="9"/>
    <s v="Oceania"/>
    <n v="53"/>
    <s v="Australia and New Zealand"/>
    <s v="ASIAPAC"/>
    <x v="2"/>
    <s v="ROW"/>
    <s v="Australia and New Zealand"/>
    <s v="New Zealand and others"/>
    <x v="1"/>
    <s v="Unclassified"/>
    <s v="Unclassified"/>
    <s v="Developed"/>
    <s v="Non recipient"/>
    <s v="Non SDG"/>
    <s v="Non-OECD"/>
    <s v="Non-OECD"/>
    <s v="Non-IEA"/>
    <s v="3.0-Country/Area"/>
    <s v="AUD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CC"/>
    <x v="3"/>
    <n v="166"/>
    <n v="804"/>
    <s v="Cocos Is"/>
    <x v="3"/>
    <m/>
    <s v="Îles des Cocos (Keeling)"/>
    <s v="Islas Cocos (Keeling)"/>
    <n v="9"/>
    <s v="Oceania"/>
    <n v="53"/>
    <s v="Australia and New Zealand"/>
    <m/>
    <m/>
    <s v="Oceania"/>
    <s v="East Asia &amp; Pacific"/>
    <n v="9"/>
    <s v="Oceania"/>
    <n v="53"/>
    <s v="Australia and New Zealand"/>
    <s v="ASIAPAC"/>
    <x v="2"/>
    <s v="ROW"/>
    <s v="Australia and New Zealand"/>
    <s v="New Zealand and others"/>
    <x v="1"/>
    <s v="Unclassified"/>
    <s v="Unclassified"/>
    <s v="Developed"/>
    <s v="Non recipient"/>
    <s v="Non SDG"/>
    <s v="Non-OECD"/>
    <s v="Non-OECD"/>
    <s v="Non-IEA"/>
    <s v="3.0-Country/Area"/>
    <s v="AUD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HM"/>
    <x v="4"/>
    <n v="334"/>
    <n v="129"/>
    <s v="Heard McDonald"/>
    <x v="4"/>
    <m/>
    <s v="Île Heard-et-Îles MacDonald"/>
    <s v="Islas Heard y McDonald"/>
    <n v="9"/>
    <s v="Oceania"/>
    <n v="53"/>
    <s v="Australia and New Zealand"/>
    <m/>
    <m/>
    <s v="Oceania"/>
    <s v="East Asia &amp; Pacific"/>
    <n v="9"/>
    <s v="Oceania"/>
    <n v="53"/>
    <s v="Australia and New Zealand"/>
    <e v="#N/A"/>
    <x v="3"/>
    <s v="ROW"/>
    <s v="Australia and New Zealand"/>
    <s v="New Zealand and others"/>
    <x v="1"/>
    <s v="Unclassified"/>
    <s v="Unclassified"/>
    <s v="Developed"/>
    <s v="Non recipient"/>
    <s v="Non SDG"/>
    <s v="Non-OECD"/>
    <s v="Non-OECD"/>
    <s v="Non-IEA"/>
    <s v="3.0-Country/Area"/>
    <s v="AUD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NZ"/>
    <x v="5"/>
    <n v="554"/>
    <n v="814"/>
    <s v="New Zealand"/>
    <x v="5"/>
    <s v="New Zealand"/>
    <s v="Nouvelle-Zélande"/>
    <s v="Nueva Zelandia"/>
    <n v="9"/>
    <s v="Oceania"/>
    <n v="53"/>
    <s v="Australia and New Zealand"/>
    <m/>
    <m/>
    <s v="Oceania"/>
    <s v="East Asia &amp; Pacific"/>
    <n v="9"/>
    <s v="Oceania"/>
    <n v="53"/>
    <s v="Australia and New Zealand"/>
    <s v="AUSNZL"/>
    <x v="1"/>
    <s v="canz"/>
    <s v="Australia and New Zealand"/>
    <s v="New Zealand and others"/>
    <x v="1"/>
    <s v="High income"/>
    <s v="Non-HIPC"/>
    <s v="Developed"/>
    <s v="Non recipient"/>
    <s v="Non SDG"/>
    <s v="OECD"/>
    <s v="OECD Asia Oceania"/>
    <s v="IEA"/>
    <s v="3.0-Country/Area"/>
    <s v="NZD"/>
    <s v="NZL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s v=""/>
    <s v=""/>
    <s v=""/>
    <s v=""/>
    <n v="98436"/>
    <s v=""/>
    <s v=""/>
    <s v=""/>
    <s v=""/>
    <s v=""/>
    <s v=""/>
    <s v=""/>
    <s v=""/>
    <s v=""/>
    <s v=""/>
    <s v=""/>
    <s v=""/>
  </r>
  <r>
    <s v="NF"/>
    <x v="6"/>
    <n v="574"/>
    <n v="816"/>
    <s v="Norfolk Is"/>
    <x v="6"/>
    <m/>
    <s v="Île Norfolk"/>
    <s v="Islas Norfolk"/>
    <n v="9"/>
    <s v="Oceania"/>
    <n v="53"/>
    <s v="Australia and New Zealand"/>
    <m/>
    <m/>
    <s v="Oceania"/>
    <s v="East Asia &amp; Pacific"/>
    <n v="9"/>
    <s v="Oceania"/>
    <n v="53"/>
    <s v="Australia and New Zealand"/>
    <s v="ASIAPAC"/>
    <x v="2"/>
    <s v="ROW"/>
    <s v="Australia and New Zealand"/>
    <s v="New Zealand and others"/>
    <x v="1"/>
    <s v="Unclassified"/>
    <s v="Unclassified"/>
    <s v="Developed"/>
    <s v="Non recipient"/>
    <s v="Non SDG"/>
    <s v="Non-OECD"/>
    <s v="Non-OECD"/>
    <s v="Non-IEA"/>
    <s v="3.0-Country/Area"/>
    <s v="AUD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BR"/>
    <x v="7"/>
    <n v="76"/>
    <n v="903"/>
    <s v="Brazil"/>
    <x v="7"/>
    <s v="the Federative Republic of Brazil"/>
    <s v="Brésil"/>
    <s v="Brasil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BRAZIL"/>
    <x v="4"/>
    <s v="ROW"/>
    <s v="South America"/>
    <s v="Brazil"/>
    <x v="2"/>
    <s v="Upper middle income"/>
    <s v="Non-HIPC"/>
    <s v="Developing"/>
    <s v="ODA recipient"/>
    <s v="SDG 7a1"/>
    <s v="Non-OECD"/>
    <s v="Non-OECD Americas"/>
    <s v="Non-IEA"/>
    <s v="3.0-Country/Area"/>
    <s v="BRL"/>
    <s v="BRA"/>
    <m/>
    <s v="Non LDC"/>
    <s v="Non LLDC"/>
    <s v="Non SIDS"/>
    <s v="Non-EU"/>
    <s v="Non-EU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A"/>
    <x v="8"/>
    <n v="124"/>
    <n v="702"/>
    <s v="Canada"/>
    <x v="8"/>
    <s v="Canada"/>
    <s v="Canada"/>
    <s v="Canadá"/>
    <n v="19"/>
    <s v="Americas"/>
    <n v="21"/>
    <s v="Northern America"/>
    <m/>
    <m/>
    <s v="North America"/>
    <s v="North America"/>
    <n v="513"/>
    <s v="Northern America and Europe"/>
    <n v="21"/>
    <s v="Northern America"/>
    <s v="CANMEX"/>
    <x v="5"/>
    <s v="canz"/>
    <s v="Northern America"/>
    <s v="Canada"/>
    <x v="3"/>
    <s v="High income"/>
    <s v="Non-HIPC"/>
    <s v="Developed"/>
    <s v="Non recipient"/>
    <s v="Non SDG"/>
    <s v="OECD"/>
    <s v="OECD Americas"/>
    <s v="IEA"/>
    <s v="3.0-Country/Area"/>
    <s v="CAD"/>
    <s v="CAN"/>
    <m/>
    <s v="Non LDC"/>
    <s v="Non LLDC"/>
    <s v="Non SIDS"/>
    <s v="Non-EU"/>
    <s v="Non-EU"/>
    <s v="Non SIDS LH"/>
    <s v="G7"/>
    <s v="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5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I"/>
    <x v="9"/>
    <n v="660"/>
    <n v="301"/>
    <s v="Anguilla"/>
    <x v="9"/>
    <m/>
    <s v="Anguilla"/>
    <s v="Anguila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Unclassified"/>
    <s v="Unclassified"/>
    <s v="Developing"/>
    <s v="Non recipient"/>
    <s v="Non SDG"/>
    <s v="Non-OECD"/>
    <s v="Non-OECD Americas"/>
    <s v="Non-IEA"/>
    <s v="3.0-Country/Area"/>
    <s v="XCD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G"/>
    <x v="10"/>
    <n v="28"/>
    <n v="302"/>
    <s v="Antigua Barb"/>
    <x v="10"/>
    <s v="Antigua and Barbuda"/>
    <s v="Antigua-et-Barbuda"/>
    <s v="Antigua y Barbuda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High income"/>
    <s v="Non-HIPC"/>
    <s v="Developing"/>
    <s v="Non recipient"/>
    <s v="SDG 7a1"/>
    <s v="Non-OECD"/>
    <s v="Non-OECD Americas"/>
    <s v="Non-IEA"/>
    <s v="3.0-Country/Area"/>
    <s v="XCD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W"/>
    <x v="11"/>
    <n v="533"/>
    <n v="303"/>
    <s v="Aruba"/>
    <x v="11"/>
    <m/>
    <s v="Aruba"/>
    <s v="Aruba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High income"/>
    <s v="Non-HIPC"/>
    <s v="Developing"/>
    <s v="Non recipient"/>
    <s v="Non SDG"/>
    <s v="Non-OECD"/>
    <s v="Non-OECD Americas"/>
    <s v="Non-IEA"/>
    <s v="3.0-Country/Area"/>
    <s v="AWG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S"/>
    <x v="12"/>
    <n v="44"/>
    <n v="304"/>
    <s v="Bahamas"/>
    <x v="12"/>
    <s v="the Commonwealth of the Bahamas"/>
    <s v="Bahamas"/>
    <s v="Bahamas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High income"/>
    <s v="Non-HIPC"/>
    <s v="Developing"/>
    <s v="Non recipient"/>
    <s v="SDG 7a1"/>
    <s v="Non-OECD"/>
    <s v="Non-OECD Americas"/>
    <s v="Non-IEA"/>
    <s v="3.0-Country/Area"/>
    <s v="BSD"/>
    <s v="DAC"/>
    <m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B"/>
    <x v="13"/>
    <n v="52"/>
    <n v="305"/>
    <s v="Barbados"/>
    <x v="13"/>
    <s v="Barbados"/>
    <s v="Barbade"/>
    <s v="Barbados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High income"/>
    <s v="Non-HIPC"/>
    <s v="Developing"/>
    <s v="Non recipient"/>
    <s v="SDG 7a1"/>
    <s v="Non-OECD"/>
    <s v="Non-OECD Americas"/>
    <s v="Non-IEA"/>
    <s v="3.0-Country/Area"/>
    <s v="BBD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Q"/>
    <x v="14"/>
    <n v="535"/>
    <n v="307"/>
    <s v="BES Islands"/>
    <x v="14"/>
    <m/>
    <s v="Bonaire, Saint-Eustache et Saba"/>
    <s v="Bonaire, San Eustaquio y Saba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e v="#N/A"/>
    <s v="Caribbean"/>
    <s v="Caribbean"/>
    <x v="4"/>
    <s v="Unclassified"/>
    <s v="Unclassified"/>
    <s v="Developing"/>
    <s v="Non recipient"/>
    <s v="Non SDG"/>
    <s v="Non-OECD"/>
    <s v="Non-OECD Americas"/>
    <s v="Non-IEA"/>
    <s v="3.0-Country/Area"/>
    <s v="USD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VG"/>
    <x v="15"/>
    <n v="92"/>
    <n v="308"/>
    <s v="Br Virgin Is"/>
    <x v="15"/>
    <m/>
    <s v="Îles Vierges britanniques"/>
    <s v="Islas Vírgenes Británicas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High income"/>
    <s v="Non-HIPC"/>
    <s v="Developing"/>
    <s v="Non recipient"/>
    <s v="Non SDG"/>
    <s v="Non-OECD"/>
    <s v="Non-OECD Americas"/>
    <s v="Non-IEA"/>
    <s v="3.0-Country/Area"/>
    <s v="USD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KY"/>
    <x v="16"/>
    <n v="136"/>
    <n v="309"/>
    <s v="Cayman Is"/>
    <x v="16"/>
    <m/>
    <s v="Îles Caïmanes"/>
    <s v="Islas Caimán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High income"/>
    <s v="Non-HIPC"/>
    <s v="Developing"/>
    <s v="Non recipient"/>
    <s v="Non SDG"/>
    <s v="Non-OECD"/>
    <s v="Non-OECD Americas"/>
    <s v="Non-IEA"/>
    <s v="3.0-Country/Area"/>
    <s v="KYD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U"/>
    <x v="17"/>
    <n v="192"/>
    <n v="311"/>
    <s v="Cuba"/>
    <x v="17"/>
    <s v="the Republic of Cuba"/>
    <s v="Cuba"/>
    <s v="Cuba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Upper middle income"/>
    <s v="Non-HIPC"/>
    <s v="Developing"/>
    <s v="ODA recipient"/>
    <s v="SDG 7a1"/>
    <s v="Non-OECD"/>
    <s v="Non-OECD Americas"/>
    <s v="Non-IEA"/>
    <s v="3.0-Country/Area"/>
    <s v="CUP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W"/>
    <x v="18"/>
    <n v="531"/>
    <n v="312"/>
    <s v="Curacao"/>
    <x v="18"/>
    <m/>
    <s v="Curaçao"/>
    <s v="Curaçao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High income"/>
    <s v="Non-HIPC"/>
    <s v="Developing"/>
    <s v="Non recipient"/>
    <s v="Non SDG"/>
    <s v="Non-OECD"/>
    <s v="Non-OECD Americas"/>
    <s v="Non-IEA"/>
    <s v="3.0-Country/Area"/>
    <s v="ANG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DM"/>
    <x v="19"/>
    <n v="212"/>
    <n v="313"/>
    <s v="Dominica"/>
    <x v="19"/>
    <s v="the Commonwealth of Dominica"/>
    <s v="Dominique"/>
    <s v="Dominica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Upper middle income"/>
    <s v="Non-HIPC"/>
    <s v="Developing"/>
    <s v="ODA recipient"/>
    <s v="SDG 7a1"/>
    <s v="Non-OECD"/>
    <s v="Non-OECD Americas"/>
    <s v="Non-IEA"/>
    <s v="3.0-Country/Area"/>
    <s v="XCD"/>
    <s v="DAC"/>
    <s v="BRI"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DO"/>
    <x v="20"/>
    <n v="214"/>
    <n v="314"/>
    <s v="Dominican Rep"/>
    <x v="20"/>
    <s v="the Dominican Republic"/>
    <s v="République dominicaine"/>
    <s v="República Dominicana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Upper middle income"/>
    <s v="Non-HIPC"/>
    <s v="Developing"/>
    <s v="ODA recipient"/>
    <s v="SDG 7a1"/>
    <s v="Non-OECD"/>
    <s v="Non-OECD Americas"/>
    <s v="Non-IEA"/>
    <s v="3.0-Country/Area"/>
    <s v="DOP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D"/>
    <x v="21"/>
    <n v="308"/>
    <n v="316"/>
    <s v="Grenada"/>
    <x v="21"/>
    <s v="Grenada"/>
    <s v="Grenade"/>
    <s v="Granada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Upper middle income"/>
    <s v="Non-HIPC"/>
    <s v="Developing"/>
    <s v="ODA recipient"/>
    <s v="SDG 7a1"/>
    <s v="Non-OECD"/>
    <s v="Non-OECD Americas"/>
    <s v="Non-IEA"/>
    <s v="3.0-Country/Area"/>
    <s v="XCD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P"/>
    <x v="22"/>
    <n v="312"/>
    <n v="317"/>
    <s v="Guadeloupe"/>
    <x v="22"/>
    <m/>
    <s v="Guadeloupe"/>
    <s v="Guadalupe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Unclassified"/>
    <s v="Unclassified"/>
    <s v="Developing"/>
    <s v="Non recipient"/>
    <s v="Non SDG"/>
    <s v="Non-OECD"/>
    <s v="Non-OECD Americas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HT"/>
    <x v="23"/>
    <n v="332"/>
    <n v="319"/>
    <s v="Haiti"/>
    <x v="23"/>
    <s v="the Republic of Haiti"/>
    <s v="Haïti"/>
    <s v="Haití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Lower middle income"/>
    <s v="HIPC"/>
    <s v="Developing"/>
    <s v="ODA recipient"/>
    <s v="SDG 7a1"/>
    <s v="Non-OECD"/>
    <s v="Non-OECD Americas"/>
    <s v="Non-IEA"/>
    <s v="3.0-Country/Area"/>
    <s v="HTG"/>
    <s v="DAC"/>
    <m/>
    <s v="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JM"/>
    <x v="24"/>
    <n v="388"/>
    <n v="321"/>
    <s v="Jamaica"/>
    <x v="24"/>
    <s v="Jamaica"/>
    <s v="Jamaïque"/>
    <s v="Jamaica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Upper middle income"/>
    <s v="Non-HIPC"/>
    <s v="Developing"/>
    <s v="ODA recipient"/>
    <s v="SDG 7a1"/>
    <s v="Non-OECD"/>
    <s v="Non-OECD Americas"/>
    <s v="Non-IEA"/>
    <s v="3.0-Country/Area"/>
    <s v="JMD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Q"/>
    <x v="25"/>
    <n v="474"/>
    <n v="322"/>
    <s v="Martinique"/>
    <x v="25"/>
    <m/>
    <s v="Martinique"/>
    <s v="Martinica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Unclassified"/>
    <s v="Unclassified"/>
    <s v="Developing"/>
    <s v="Non recipient"/>
    <s v="Non SDG"/>
    <s v="Non-OECD"/>
    <s v="Non-OECD Americas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S"/>
    <x v="26"/>
    <n v="500"/>
    <n v="323"/>
    <s v="Montserrat"/>
    <x v="26"/>
    <m/>
    <s v="Montserrat"/>
    <s v="Montserrat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Unclassified"/>
    <s v="Unclassified"/>
    <s v="Developing"/>
    <s v="ODA recipient"/>
    <s v="SDG 7a1"/>
    <s v="Non-OECD"/>
    <s v="Non-OECD Americas"/>
    <s v="Non-IEA"/>
    <s v="3.0-Country/Area"/>
    <s v="XCD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PR"/>
    <x v="27"/>
    <n v="630"/>
    <n v="326"/>
    <s v="Puerto Rico"/>
    <x v="27"/>
    <m/>
    <s v="Porto Rico"/>
    <s v="Puerto Rico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USA"/>
    <x v="6"/>
    <s v="ROW"/>
    <s v="Caribbean"/>
    <s v="Caribbean"/>
    <x v="4"/>
    <s v="High income"/>
    <s v="Non-HIPC"/>
    <s v="Developing"/>
    <s v="Non recipient"/>
    <s v="Non SDG"/>
    <s v="Non-OECD"/>
    <s v="Non-OECD Americas"/>
    <s v="Non-IEA"/>
    <s v="3.0-Country/Area"/>
    <s v="USD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L"/>
    <x v="28"/>
    <n v="652"/>
    <n v="327"/>
    <s v="St Barth"/>
    <x v="28"/>
    <m/>
    <s v="Saint-Barthélemy"/>
    <s v="San Bartolomé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e v="#N/A"/>
    <s v="Caribbean"/>
    <s v="Caribbean"/>
    <x v="4"/>
    <s v="Unclassified"/>
    <s v="Unclassified"/>
    <s v="Developing"/>
    <s v="Non recipient"/>
    <s v="Non SDG"/>
    <s v="Non-OECD"/>
    <s v="Non-OECD Americas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KN"/>
    <x v="29"/>
    <n v="659"/>
    <n v="328"/>
    <s v="St Kitts Nevis"/>
    <x v="29"/>
    <s v="Saint Kitts and Nevis"/>
    <s v="Saint-Kitts-et-Nevis"/>
    <s v="Saint Kitts y Nevis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High income"/>
    <s v="Non-HIPC"/>
    <s v="Developing"/>
    <s v="Non recipient"/>
    <s v="Non SDG"/>
    <s v="Non-OECD"/>
    <s v="Non-OECD Americas"/>
    <s v="Non-IEA"/>
    <s v="3.0-Country/Area"/>
    <s v="XCD"/>
    <s v="DAC"/>
    <m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LC"/>
    <x v="30"/>
    <n v="662"/>
    <n v="329"/>
    <s v="St Lucia"/>
    <x v="30"/>
    <s v="Saint Lucia"/>
    <s v="Sainte-Lucie"/>
    <s v="Santa Lucía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Upper middle income"/>
    <s v="Non-HIPC"/>
    <s v="Developing"/>
    <s v="ODA recipient"/>
    <s v="SDG 7a1"/>
    <s v="Non-OECD"/>
    <s v="Non-OECD Americas"/>
    <s v="Non-IEA"/>
    <s v="3.0-Country/Area"/>
    <s v="XCD"/>
    <s v="DAC"/>
    <m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F"/>
    <x v="31"/>
    <n v="663"/>
    <n v="331"/>
    <s v="St Martin"/>
    <x v="31"/>
    <m/>
    <s v="Saint-Martin (partie française)"/>
    <s v="San Martín (parte francesa)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e v="#N/A"/>
    <s v="Caribbean"/>
    <s v="Caribbean"/>
    <x v="4"/>
    <s v="High income"/>
    <s v="Non-HIPC"/>
    <s v="Developing"/>
    <s v="Non recipient"/>
    <s v="Non SDG"/>
    <s v="Non-OECD"/>
    <s v="Non-OECD Americas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VC"/>
    <x v="32"/>
    <n v="670"/>
    <n v="332"/>
    <s v="St Vincent Gren"/>
    <x v="32"/>
    <s v="Saint Vincent and the Grenadines"/>
    <s v="Saint-Vincent-et-les Grenadines"/>
    <s v="San Vicente y las Granadinas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Upper middle income"/>
    <s v="Non-HIPC"/>
    <s v="Developing"/>
    <s v="ODA recipient"/>
    <s v="SDG 7a1"/>
    <s v="Non-OECD"/>
    <s v="Non-OECD Americas"/>
    <s v="Non-IEA"/>
    <s v="3.0-Country/Area"/>
    <s v="XCD"/>
    <s v="DAC"/>
    <m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X"/>
    <x v="33"/>
    <n v="534"/>
    <n v="330"/>
    <s v="St Maarten"/>
    <x v="33"/>
    <m/>
    <s v="Saint-Martin (partie néerlandaise)"/>
    <s v="San Martín (parte holandés)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e v="#N/A"/>
    <s v="Caribbean"/>
    <s v="Caribbean"/>
    <x v="4"/>
    <s v="High income"/>
    <s v="Non-HIPC"/>
    <s v="Developing"/>
    <s v="Non recipient"/>
    <s v="Non SDG"/>
    <s v="Non-OECD"/>
    <s v="Non-OECD Americas"/>
    <s v="Non-IEA"/>
    <s v="3.0-Country/Area"/>
    <s v="ANG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TT"/>
    <x v="34"/>
    <n v="780"/>
    <n v="333"/>
    <s v="Trinidad Tobago"/>
    <x v="34"/>
    <s v="the Republic of Trinidad and Tobago"/>
    <s v="Trinité-et-Tobago"/>
    <s v="Trinidad y Tabago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High income"/>
    <s v="Non-HIPC"/>
    <s v="Developing"/>
    <s v="Non recipient"/>
    <s v="SDG 7a1"/>
    <s v="Non-OECD"/>
    <s v="Non-OECD Americas"/>
    <s v="Non-IEA"/>
    <s v="3.0-Country/Area"/>
    <s v="TTD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TC"/>
    <x v="35"/>
    <n v="796"/>
    <n v="334"/>
    <s v="Turks Caicos"/>
    <x v="35"/>
    <m/>
    <s v="Îles Turques-et-Caïques"/>
    <s v="Islas Turcas y Caicos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LAC"/>
    <x v="0"/>
    <s v="ROW"/>
    <s v="Caribbean"/>
    <s v="Caribbean"/>
    <x v="4"/>
    <s v="High income"/>
    <s v="Non-HIPC"/>
    <s v="Developing"/>
    <s v="Non recipient"/>
    <s v="Non SDG"/>
    <s v="Non-OECD"/>
    <s v="Non-OECD Americas"/>
    <s v="Non-IEA"/>
    <s v="3.0-Country/Area"/>
    <s v="USD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VI"/>
    <x v="36"/>
    <n v="850"/>
    <n v="335"/>
    <s v="US Virgin Is"/>
    <x v="36"/>
    <m/>
    <s v="Îles Vierges américaines"/>
    <s v="Islas Vírgenes de los Estados Unidos"/>
    <n v="19"/>
    <s v="Americas"/>
    <n v="419"/>
    <s v="Latin America and the Caribbean"/>
    <n v="29"/>
    <s v="Caribbean"/>
    <s v="Central America and the Caribbean"/>
    <s v="Latin America &amp; Caribbean"/>
    <n v="419"/>
    <s v="Latin America and the Caribbean"/>
    <n v="419"/>
    <s v="Latin America and the Caribbean"/>
    <s v="USA"/>
    <x v="6"/>
    <s v="ROW"/>
    <s v="Caribbean"/>
    <s v="Caribbean"/>
    <x v="4"/>
    <s v="High income"/>
    <s v="Non-HIPC"/>
    <s v="Developing"/>
    <s v="Non recipient"/>
    <s v="Non SDG"/>
    <s v="Non-OECD"/>
    <s v="Non-OECD Americas"/>
    <s v="Non-IEA"/>
    <s v="3.0-Country/Area"/>
    <s v="USD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Z"/>
    <x v="37"/>
    <n v="84"/>
    <n v="306"/>
    <s v="Belize"/>
    <x v="37"/>
    <s v="Belize"/>
    <s v="Belize"/>
    <s v="Belice"/>
    <n v="19"/>
    <s v="Americas"/>
    <n v="419"/>
    <s v="Latin America and the Caribbean"/>
    <n v="13"/>
    <s v="Central America"/>
    <s v="Central America and the Caribbean"/>
    <s v="Latin America &amp; Caribbean"/>
    <n v="419"/>
    <s v="Latin America and the Caribbean"/>
    <n v="419"/>
    <s v="Latin America and the Caribbean"/>
    <s v="LAC"/>
    <x v="0"/>
    <s v="ROW"/>
    <s v="Central America"/>
    <s v="Other Central America"/>
    <x v="5"/>
    <s v="Upper middle income"/>
    <s v="Non-HIPC"/>
    <s v="Developing"/>
    <s v="ODA recipient"/>
    <s v="SDG 7a1"/>
    <s v="Non-OECD"/>
    <s v="Non-OECD Americas"/>
    <s v="Non-IEA"/>
    <s v="3.0-Country/Area"/>
    <s v="BZD"/>
    <s v="DAC"/>
    <m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R"/>
    <x v="38"/>
    <n v="188"/>
    <n v="310"/>
    <s v="Costa Rica"/>
    <x v="38"/>
    <s v="the Republic of Costa Rica"/>
    <s v="Costa Rica"/>
    <s v="Costa Rica"/>
    <n v="19"/>
    <s v="Americas"/>
    <n v="419"/>
    <s v="Latin America and the Caribbean"/>
    <n v="13"/>
    <s v="Central America"/>
    <s v="Central America and the Caribbean"/>
    <s v="Latin America &amp; Caribbean"/>
    <n v="419"/>
    <s v="Latin America and the Caribbean"/>
    <n v="419"/>
    <s v="Latin America and the Caribbean"/>
    <s v="LAC"/>
    <x v="0"/>
    <s v="ROW"/>
    <s v="Central America"/>
    <s v="Other Central America"/>
    <x v="5"/>
    <s v="Upper middle income"/>
    <s v="Non-HIPC"/>
    <s v="Developing"/>
    <s v="ODA recipient"/>
    <s v="SDG 7a1"/>
    <s v="Non-OECD"/>
    <s v="Non-OECD Americas"/>
    <s v="Non-IEA"/>
    <s v="3.0-Country/Area"/>
    <s v="CRC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V"/>
    <x v="39"/>
    <n v="222"/>
    <n v="315"/>
    <s v="El Salvador"/>
    <x v="39"/>
    <s v="the Republic of El Salvador"/>
    <s v="El Salvador"/>
    <s v="El Salvador"/>
    <n v="19"/>
    <s v="Americas"/>
    <n v="419"/>
    <s v="Latin America and the Caribbean"/>
    <n v="13"/>
    <s v="Central America"/>
    <s v="Central America and the Caribbean"/>
    <s v="Latin America &amp; Caribbean"/>
    <n v="419"/>
    <s v="Latin America and the Caribbean"/>
    <n v="419"/>
    <s v="Latin America and the Caribbean"/>
    <s v="LAC"/>
    <x v="0"/>
    <s v="ROW"/>
    <s v="Central America"/>
    <s v="Other Central America"/>
    <x v="5"/>
    <s v="Lower middle income"/>
    <s v="Non-HIPC"/>
    <s v="Developing"/>
    <s v="ODA recipient"/>
    <s v="SDG 7a1"/>
    <s v="Non-OECD"/>
    <s v="Non-OECD Americas"/>
    <s v="Non-IEA"/>
    <s v="3.0-Country/Area"/>
    <s v="SVC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T"/>
    <x v="40"/>
    <n v="320"/>
    <n v="318"/>
    <s v="Guatemala"/>
    <x v="40"/>
    <s v="the Republic of Guatemala"/>
    <s v="Guatemala"/>
    <s v="Guatemala"/>
    <n v="19"/>
    <s v="Americas"/>
    <n v="419"/>
    <s v="Latin America and the Caribbean"/>
    <n v="13"/>
    <s v="Central America"/>
    <s v="Central America and the Caribbean"/>
    <s v="Latin America &amp; Caribbean"/>
    <n v="419"/>
    <s v="Latin America and the Caribbean"/>
    <n v="419"/>
    <s v="Latin America and the Caribbean"/>
    <s v="LAC"/>
    <x v="0"/>
    <s v="ROW"/>
    <s v="Central America"/>
    <s v="Other Central America"/>
    <x v="5"/>
    <s v="Upper middle income"/>
    <s v="Non-HIPC"/>
    <s v="Developing"/>
    <s v="ODA recipient"/>
    <s v="SDG 7a1"/>
    <s v="Non-OECD"/>
    <s v="Non-OECD Americas"/>
    <s v="Non-IEA"/>
    <s v="3.0-Country/Area"/>
    <s v="GTQ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HN"/>
    <x v="41"/>
    <n v="340"/>
    <n v="320"/>
    <s v="Honduras"/>
    <x v="41"/>
    <s v="the Republic of Honduras"/>
    <s v="Honduras"/>
    <s v="Honduras"/>
    <n v="19"/>
    <s v="Americas"/>
    <n v="419"/>
    <s v="Latin America and the Caribbean"/>
    <n v="13"/>
    <s v="Central America"/>
    <s v="Central America and the Caribbean"/>
    <s v="Latin America &amp; Caribbean"/>
    <n v="419"/>
    <s v="Latin America and the Caribbean"/>
    <n v="419"/>
    <s v="Latin America and the Caribbean"/>
    <s v="LAC"/>
    <x v="0"/>
    <s v="ROW"/>
    <s v="Central America"/>
    <s v="Other Central America"/>
    <x v="5"/>
    <s v="Lower middle income"/>
    <s v="HIPC"/>
    <s v="Developing"/>
    <s v="ODA recipient"/>
    <s v="SDG 7a1"/>
    <s v="Non-OECD"/>
    <s v="Non-OECD Americas"/>
    <s v="Non-IEA"/>
    <s v="3.0-Country/Area"/>
    <s v="HNL"/>
    <s v="DAC"/>
    <m/>
    <s v="Non LDC"/>
    <s v="Non LLDC"/>
    <s v="Non 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NI"/>
    <x v="42"/>
    <n v="558"/>
    <n v="324"/>
    <s v="Nicaragua"/>
    <x v="42"/>
    <s v="the Republic of Nicaragua"/>
    <s v="Nicaragua"/>
    <s v="Nicaragua"/>
    <n v="19"/>
    <s v="Americas"/>
    <n v="419"/>
    <s v="Latin America and the Caribbean"/>
    <n v="13"/>
    <s v="Central America"/>
    <s v="Central America and the Caribbean"/>
    <s v="Latin America &amp; Caribbean"/>
    <n v="419"/>
    <s v="Latin America and the Caribbean"/>
    <n v="419"/>
    <s v="Latin America and the Caribbean"/>
    <s v="LAC"/>
    <x v="0"/>
    <s v="ROW"/>
    <s v="Central America"/>
    <s v="Other Central America"/>
    <x v="5"/>
    <s v="Lower middle income"/>
    <s v="HIPC"/>
    <s v="Developing"/>
    <s v="ODA recipient"/>
    <s v="SDG 7a1"/>
    <s v="Non-OECD"/>
    <s v="Non-OECD Americas"/>
    <s v="Non-IEA"/>
    <s v="3.0-Country/Area"/>
    <s v="NIO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PA"/>
    <x v="43"/>
    <n v="591"/>
    <n v="325"/>
    <s v="Panama"/>
    <x v="43"/>
    <s v="the Republic of Panama"/>
    <s v="Panama"/>
    <s v="Panamá"/>
    <n v="19"/>
    <s v="Americas"/>
    <n v="419"/>
    <s v="Latin America and the Caribbean"/>
    <n v="13"/>
    <s v="Central America"/>
    <s v="Central America and the Caribbean"/>
    <s v="Latin America &amp; Caribbean"/>
    <n v="419"/>
    <s v="Latin America and the Caribbean"/>
    <n v="419"/>
    <s v="Latin America and the Caribbean"/>
    <s v="LAC"/>
    <x v="0"/>
    <s v="ROW"/>
    <s v="Central America"/>
    <s v="Other Central America"/>
    <x v="5"/>
    <s v="High income"/>
    <s v="Non-HIPC"/>
    <s v="Developing"/>
    <s v="ODA recipient"/>
    <s v="SDG 7a1"/>
    <s v="Non-OECD"/>
    <s v="Non-OECD Americas"/>
    <s v="Non-IEA"/>
    <s v="3.0-Country/Area"/>
    <s v="PAB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M"/>
    <x v="44"/>
    <n v="51"/>
    <n v="401"/>
    <s v="Armenia"/>
    <x v="44"/>
    <s v="the Republic of Armenia"/>
    <s v="Arménie"/>
    <s v="Armenia"/>
    <n v="142"/>
    <s v="Asia"/>
    <n v="145"/>
    <s v="Western Asia"/>
    <m/>
    <m/>
    <s v="Eurasia"/>
    <s v="Europe &amp; Central Asia"/>
    <n v="747"/>
    <s v="Western Asia and Northern Africa"/>
    <n v="145"/>
    <s v="Western Asia"/>
    <s v="EEUR"/>
    <x v="7"/>
    <s v="ROW"/>
    <s v="Western Asia"/>
    <s v="Other Western Asia"/>
    <x v="6"/>
    <s v="Upper middle income"/>
    <s v="Non-HIPC"/>
    <s v="Developing"/>
    <s v="ODA recipient"/>
    <s v="SDG 7a1"/>
    <s v="Non-OECD"/>
    <s v="Non-OECD"/>
    <s v="Non-IEA"/>
    <s v="3.0-Country/Area"/>
    <s v="AMD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n v="98201"/>
    <n v="98202"/>
    <s v=""/>
    <s v=""/>
    <s v=""/>
    <n v="98206"/>
    <s v=""/>
    <s v=""/>
    <s v=""/>
    <n v="98400"/>
    <s v=""/>
    <s v=""/>
    <s v=""/>
    <s v=""/>
    <s v=""/>
    <n v="98412"/>
    <n v="98417"/>
    <s v=""/>
    <s v=""/>
    <s v=""/>
    <s v=""/>
    <s v=""/>
    <s v=""/>
    <s v=""/>
    <s v=""/>
    <s v=""/>
    <n v="98434"/>
    <s v=""/>
    <s v=""/>
    <n v="98437"/>
    <s v=""/>
    <s v=""/>
    <s v=""/>
    <s v=""/>
    <s v=""/>
    <s v=""/>
    <s v=""/>
    <s v=""/>
    <s v=""/>
    <s v=""/>
    <s v=""/>
  </r>
  <r>
    <s v="AZ"/>
    <x v="45"/>
    <n v="31"/>
    <n v="402"/>
    <s v="Azerbaijan"/>
    <x v="45"/>
    <s v="the Republic of Azerbaijan"/>
    <s v="Azerbaïdjan"/>
    <s v="Azerbaiyán"/>
    <n v="142"/>
    <s v="Asia"/>
    <n v="145"/>
    <s v="Western Asia"/>
    <m/>
    <m/>
    <s v="Eurasia"/>
    <s v="Europe &amp; Central Asia"/>
    <n v="747"/>
    <s v="Western Asia and Northern Africa"/>
    <n v="145"/>
    <s v="Western Asia"/>
    <s v="CENASIA"/>
    <x v="8"/>
    <s v="ROW"/>
    <s v="Western Asia"/>
    <s v="Other Western Asia"/>
    <x v="6"/>
    <s v="Upper middle income"/>
    <s v="Non-HIPC"/>
    <s v="Developing"/>
    <s v="ODA recipient"/>
    <s v="SDG 7a1"/>
    <s v="Non-OECD"/>
    <s v="Non-OECD"/>
    <s v="Non-IEA"/>
    <s v="3.0-Country/Area"/>
    <s v="AZN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n v="98201"/>
    <n v="98202"/>
    <s v=""/>
    <s v=""/>
    <s v=""/>
    <s v=""/>
    <s v=""/>
    <s v=""/>
    <s v=""/>
    <n v="98400"/>
    <s v=""/>
    <s v=""/>
    <n v="98407"/>
    <s v=""/>
    <s v=""/>
    <n v="98412"/>
    <n v="98417"/>
    <s v=""/>
    <s v=""/>
    <s v=""/>
    <s v=""/>
    <s v=""/>
    <s v=""/>
    <s v=""/>
    <s v=""/>
    <s v=""/>
    <n v="98434"/>
    <s v=""/>
    <s v=""/>
    <n v="98437"/>
    <s v=""/>
    <s v=""/>
    <s v=""/>
    <s v=""/>
    <s v=""/>
    <s v=""/>
    <s v=""/>
    <s v=""/>
    <s v=""/>
    <s v=""/>
    <s v=""/>
  </r>
  <r>
    <s v="GE"/>
    <x v="46"/>
    <n v="268"/>
    <n v="403"/>
    <s v="Georgia"/>
    <x v="46"/>
    <s v="Georgia"/>
    <s v="Géorgie"/>
    <s v="Georgia"/>
    <n v="142"/>
    <s v="Asia"/>
    <n v="145"/>
    <s v="Western Asia"/>
    <m/>
    <m/>
    <s v="Eurasia"/>
    <s v="Europe &amp; Central Asia"/>
    <n v="747"/>
    <s v="Western Asia and Northern Africa"/>
    <n v="145"/>
    <s v="Western Asia"/>
    <s v="EEUR"/>
    <x v="7"/>
    <s v="ROW"/>
    <s v="Western Asia"/>
    <s v="Other Western Asia"/>
    <x v="6"/>
    <s v="Upper middle income"/>
    <s v="Non-HIPC"/>
    <s v="Developing"/>
    <s v="ODA recipient"/>
    <s v="SDG 7a1"/>
    <s v="Non-OECD"/>
    <s v="Non-OECD"/>
    <s v="Non-IEA"/>
    <s v="3.0-Country/Area"/>
    <s v="GEL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n v="98202"/>
    <s v=""/>
    <s v=""/>
    <s v=""/>
    <s v=""/>
    <s v=""/>
    <s v=""/>
    <s v=""/>
    <n v="98400"/>
    <s v=""/>
    <s v=""/>
    <s v=""/>
    <s v=""/>
    <s v=""/>
    <s v=""/>
    <n v="98417"/>
    <s v=""/>
    <s v=""/>
    <s v=""/>
    <s v=""/>
    <s v=""/>
    <s v=""/>
    <s v=""/>
    <s v=""/>
    <s v=""/>
    <s v=""/>
    <s v=""/>
    <s v=""/>
    <n v="98437"/>
    <s v=""/>
    <s v=""/>
    <s v=""/>
    <s v=""/>
    <s v=""/>
    <s v=""/>
    <s v=""/>
    <s v=""/>
    <s v=""/>
    <s v=""/>
    <s v=""/>
  </r>
  <r>
    <s v="KZ"/>
    <x v="47"/>
    <n v="398"/>
    <n v="213"/>
    <s v="Kazakhstan"/>
    <x v="47"/>
    <s v="the Republic of Kazakhstan"/>
    <s v="Kazakhstan"/>
    <s v="Kazajstán"/>
    <n v="142"/>
    <s v="Asia"/>
    <n v="143"/>
    <s v="Central Asia"/>
    <m/>
    <m/>
    <s v="Asia"/>
    <s v="Europe &amp; Central Asia"/>
    <n v="62"/>
    <s v="Central Asia and Southern Asia"/>
    <n v="143"/>
    <s v="Central Asia"/>
    <s v="CENASIA"/>
    <x v="8"/>
    <s v="ROW"/>
    <s v="Central Asia"/>
    <s v="Central Asia"/>
    <x v="6"/>
    <s v="Upper middle income"/>
    <s v="Non-HIPC"/>
    <s v="Developing"/>
    <s v="ODA recipient"/>
    <s v="SDG 7a1"/>
    <s v="Non-OECD"/>
    <s v="Non-OECD"/>
    <s v="Non-IEA"/>
    <s v="3.0-Country/Area"/>
    <s v="KZT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n v="98201"/>
    <n v="98202"/>
    <s v=""/>
    <s v=""/>
    <s v=""/>
    <n v="98206"/>
    <s v=""/>
    <s v=""/>
    <s v=""/>
    <n v="98400"/>
    <s v=""/>
    <s v=""/>
    <n v="98407"/>
    <s v=""/>
    <s v=""/>
    <n v="98412"/>
    <n v="98417"/>
    <s v=""/>
    <s v=""/>
    <s v=""/>
    <s v=""/>
    <s v=""/>
    <s v=""/>
    <s v=""/>
    <s v=""/>
    <s v=""/>
    <n v="98434"/>
    <s v=""/>
    <s v=""/>
    <n v="98437"/>
    <s v=""/>
    <s v=""/>
    <s v=""/>
    <s v=""/>
    <s v=""/>
    <s v=""/>
    <s v=""/>
    <s v=""/>
    <s v=""/>
    <s v=""/>
    <s v=""/>
  </r>
  <r>
    <s v="KG"/>
    <x v="48"/>
    <n v="417"/>
    <n v="216"/>
    <s v="Kyrgyzstan"/>
    <x v="48"/>
    <s v="the Kyrgyz Republic"/>
    <s v="Kirghizistan"/>
    <s v="Kirguistán"/>
    <n v="142"/>
    <s v="Asia"/>
    <n v="143"/>
    <s v="Central Asia"/>
    <m/>
    <m/>
    <s v="Asia"/>
    <s v="Europe &amp; Central Asia"/>
    <n v="62"/>
    <s v="Central Asia and Southern Asia"/>
    <n v="143"/>
    <s v="Central Asia"/>
    <s v="CENASIA"/>
    <x v="8"/>
    <s v="ROW"/>
    <s v="Central Asia"/>
    <s v="Central Asia"/>
    <x v="6"/>
    <s v="Lower middle income"/>
    <s v="Non-HIPC"/>
    <s v="Developing"/>
    <s v="ODA recipient"/>
    <s v="SDG 7a1"/>
    <s v="Non-OECD"/>
    <s v="Non-OECD"/>
    <s v="Non-IEA"/>
    <s v="3.0-Country/Area"/>
    <s v="KGS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n v="98201"/>
    <n v="98202"/>
    <s v=""/>
    <s v=""/>
    <s v=""/>
    <n v="98206"/>
    <s v=""/>
    <s v=""/>
    <s v=""/>
    <n v="98400"/>
    <s v=""/>
    <s v=""/>
    <n v="98407"/>
    <s v=""/>
    <s v=""/>
    <n v="98412"/>
    <n v="98417"/>
    <s v=""/>
    <s v=""/>
    <s v=""/>
    <s v=""/>
    <s v=""/>
    <s v=""/>
    <s v=""/>
    <s v=""/>
    <s v=""/>
    <n v="98434"/>
    <s v=""/>
    <s v=""/>
    <s v=""/>
    <n v="98438"/>
    <s v=""/>
    <s v=""/>
    <s v=""/>
    <s v=""/>
    <s v=""/>
    <s v=""/>
    <s v=""/>
    <s v=""/>
    <s v=""/>
    <s v=""/>
  </r>
  <r>
    <s v="TJ"/>
    <x v="49"/>
    <n v="762"/>
    <n v="227"/>
    <s v="Tajikistan"/>
    <x v="49"/>
    <s v="the Republic of Tajikistan"/>
    <s v="Tadjikistan"/>
    <s v="Tayikistán"/>
    <n v="142"/>
    <s v="Asia"/>
    <n v="143"/>
    <s v="Central Asia"/>
    <m/>
    <m/>
    <s v="Asia"/>
    <s v="Europe &amp; Central Asia"/>
    <n v="62"/>
    <s v="Central Asia and Southern Asia"/>
    <n v="143"/>
    <s v="Central Asia"/>
    <s v="CENASIA"/>
    <x v="8"/>
    <s v="ROW"/>
    <s v="Central Asia"/>
    <s v="Central Asia"/>
    <x v="6"/>
    <s v="Lower middle income"/>
    <s v="Non-HIPC"/>
    <s v="Developing"/>
    <s v="ODA recipient"/>
    <s v="SDG 7a1"/>
    <s v="Non-OECD"/>
    <s v="Non-OECD"/>
    <s v="Non-IEA"/>
    <s v="3.0-Country/Area"/>
    <s v="TJS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n v="98201"/>
    <n v="98202"/>
    <s v=""/>
    <s v=""/>
    <s v=""/>
    <s v=""/>
    <s v=""/>
    <s v=""/>
    <s v=""/>
    <n v="98400"/>
    <s v=""/>
    <s v=""/>
    <n v="98407"/>
    <s v=""/>
    <s v=""/>
    <n v="98412"/>
    <n v="98417"/>
    <s v=""/>
    <s v=""/>
    <s v=""/>
    <s v=""/>
    <s v=""/>
    <s v=""/>
    <s v=""/>
    <s v=""/>
    <s v=""/>
    <n v="98434"/>
    <s v=""/>
    <s v=""/>
    <s v=""/>
    <n v="98438"/>
    <s v=""/>
    <s v=""/>
    <s v=""/>
    <s v=""/>
    <s v=""/>
    <s v=""/>
    <s v=""/>
    <s v=""/>
    <s v=""/>
    <s v=""/>
  </r>
  <r>
    <s v="TM"/>
    <x v="50"/>
    <n v="795"/>
    <n v="230"/>
    <s v="Turkmenistan"/>
    <x v="50"/>
    <s v="Turkmenistan"/>
    <s v="Turkménistan"/>
    <s v="Turkmenistán"/>
    <n v="142"/>
    <s v="Asia"/>
    <n v="143"/>
    <s v="Central Asia"/>
    <m/>
    <m/>
    <s v="Asia"/>
    <s v="Europe &amp; Central Asia"/>
    <n v="62"/>
    <s v="Central Asia and Southern Asia"/>
    <n v="143"/>
    <s v="Central Asia"/>
    <s v="CENASIA"/>
    <x v="8"/>
    <s v="ROW"/>
    <s v="Central Asia"/>
    <s v="Central Asia"/>
    <x v="6"/>
    <s v="Upper middle income"/>
    <s v="Non-HIPC"/>
    <s v="Developing"/>
    <s v="ODA recipient"/>
    <s v="SDG 7a1"/>
    <s v="Non-OECD"/>
    <s v="Non-OECD"/>
    <s v="Non-IEA"/>
    <s v="3.0-Country/Area"/>
    <s v="TMT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n v="98201"/>
    <n v="98202"/>
    <s v=""/>
    <s v=""/>
    <s v=""/>
    <s v=""/>
    <s v=""/>
    <s v=""/>
    <s v=""/>
    <n v="98400"/>
    <s v=""/>
    <s v=""/>
    <n v="98407"/>
    <s v=""/>
    <s v=""/>
    <n v="98412"/>
    <n v="98417"/>
    <s v=""/>
    <s v=""/>
    <s v=""/>
    <s v=""/>
    <s v=""/>
    <s v=""/>
    <s v=""/>
    <s v=""/>
    <s v=""/>
    <n v="98434"/>
    <s v=""/>
    <s v=""/>
    <n v="98437"/>
    <s v=""/>
    <s v=""/>
    <s v=""/>
    <s v=""/>
    <s v=""/>
    <s v=""/>
    <s v=""/>
    <s v=""/>
    <s v=""/>
    <s v=""/>
    <s v=""/>
  </r>
  <r>
    <s v="UZ"/>
    <x v="51"/>
    <n v="860"/>
    <n v="231"/>
    <s v="Uzbekistan"/>
    <x v="51"/>
    <s v="the Republic of Uzbekistan"/>
    <s v="Ouzbékistan"/>
    <s v="Uzbekistán"/>
    <n v="142"/>
    <s v="Asia"/>
    <n v="143"/>
    <s v="Central Asia"/>
    <m/>
    <m/>
    <s v="Asia"/>
    <s v="Europe &amp; Central Asia"/>
    <n v="62"/>
    <s v="Central Asia and Southern Asia"/>
    <n v="143"/>
    <s v="Central Asia"/>
    <s v="CENASIA"/>
    <x v="8"/>
    <s v="ROW"/>
    <s v="Central Asia"/>
    <s v="Central Asia"/>
    <x v="6"/>
    <s v="Lower middle income"/>
    <s v="Non-HIPC"/>
    <s v="Developing"/>
    <s v="ODA recipient"/>
    <s v="SDG 7a1"/>
    <s v="Non-OECD"/>
    <s v="Non-OECD"/>
    <s v="Non-IEA"/>
    <s v="3.0-Country/Area"/>
    <s v="UZS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n v="98201"/>
    <n v="98202"/>
    <s v=""/>
    <s v=""/>
    <s v=""/>
    <s v=""/>
    <s v=""/>
    <s v=""/>
    <s v=""/>
    <n v="98400"/>
    <s v=""/>
    <s v=""/>
    <n v="98407"/>
    <s v=""/>
    <s v=""/>
    <n v="98412"/>
    <n v="98417"/>
    <s v=""/>
    <s v=""/>
    <s v=""/>
    <s v=""/>
    <s v=""/>
    <s v=""/>
    <s v=""/>
    <s v=""/>
    <s v=""/>
    <n v="98434"/>
    <s v=""/>
    <s v=""/>
    <s v=""/>
    <n v="98438"/>
    <s v=""/>
    <s v=""/>
    <s v=""/>
    <s v=""/>
    <s v=""/>
    <s v=""/>
    <s v=""/>
    <s v=""/>
    <s v=""/>
    <s v=""/>
  </r>
  <r>
    <s v="CL"/>
    <x v="52"/>
    <n v="152"/>
    <n v="904"/>
    <s v="Chile"/>
    <x v="52"/>
    <s v="the Republic of Chile"/>
    <s v="Chili"/>
    <s v="Chile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7"/>
    <s v="High income"/>
    <s v="Non-HIPC"/>
    <s v="Developing"/>
    <s v="Non recipient"/>
    <s v="SDG 7a1"/>
    <s v="OECD"/>
    <s v="OECD Americas"/>
    <s v="Non-IEA"/>
    <s v="3.0-Country/Area"/>
    <s v="CLP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N"/>
    <x v="53"/>
    <n v="156"/>
    <n v="206"/>
    <s v="China"/>
    <x v="53"/>
    <s v="the People's Republic of China"/>
    <s v="Chine"/>
    <s v="China"/>
    <n v="142"/>
    <s v="Asia"/>
    <n v="30"/>
    <s v="Eastern Asia"/>
    <m/>
    <m/>
    <s v="Asia"/>
    <s v="East Asia &amp; Pacific"/>
    <n v="753"/>
    <s v="Eastern Asia and South-eastern Asia"/>
    <n v="30"/>
    <s v="Eastern Asia"/>
    <s v="CHINAREG"/>
    <x v="9"/>
    <s v="china"/>
    <s v="Eastern Asia"/>
    <s v="China"/>
    <x v="8"/>
    <s v="Upper middle income"/>
    <s v="Non-HIPC"/>
    <s v="Developing"/>
    <s v="ODA recipient"/>
    <s v="SDG 7a1"/>
    <s v="Non-OECD"/>
    <s v="Non-OECD"/>
    <s v="Non-IEA"/>
    <s v="3.0-Country/Area"/>
    <s v="CNY"/>
    <s v="CHN"/>
    <m/>
    <s v="Non LDC"/>
    <s v="Non LLDC"/>
    <s v="Non SIDS"/>
    <s v="Non-EU"/>
    <s v="Non-EU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n v="98408"/>
    <s v=""/>
    <s v=""/>
    <s v=""/>
    <s v=""/>
    <s v=""/>
    <s v=""/>
    <s v=""/>
    <s v=""/>
    <s v=""/>
    <s v=""/>
    <s v=""/>
    <s v=""/>
    <s v=""/>
    <s v=""/>
    <s v=""/>
    <n v="98437"/>
    <s v=""/>
    <s v=""/>
    <s v=""/>
    <s v=""/>
    <s v=""/>
    <s v=""/>
    <s v=""/>
    <s v=""/>
    <s v=""/>
    <s v=""/>
    <s v=""/>
  </r>
  <r>
    <s v="HK"/>
    <x v="54"/>
    <n v="344"/>
    <n v="207"/>
    <s v="China HK SAR"/>
    <x v="54"/>
    <m/>
    <s v="Chine, région administrative spéciale de Hong Kong"/>
    <s v="China, región administrativa especial de Hong Kong"/>
    <n v="142"/>
    <s v="Asia"/>
    <n v="30"/>
    <s v="Eastern Asia"/>
    <m/>
    <m/>
    <s v="Asia"/>
    <s v="East Asia &amp; Pacific"/>
    <n v="753"/>
    <s v="Eastern Asia and South-eastern Asia"/>
    <n v="30"/>
    <s v="Eastern Asia"/>
    <s v="CHINAREG"/>
    <x v="9"/>
    <s v="china"/>
    <s v="Eastern Asia"/>
    <s v="China"/>
    <x v="8"/>
    <s v="High income"/>
    <s v="Non-HIPC"/>
    <s v="Developing"/>
    <s v="Non recipient"/>
    <s v="SDG 7a1"/>
    <s v="Non-OECD"/>
    <s v="Non-OECD"/>
    <s v="Non-IEA"/>
    <s v="3.0-Country/Area"/>
    <s v="HKD"/>
    <s v="DAC"/>
    <m/>
    <s v="Non LDC"/>
    <s v="Non LLDC"/>
    <s v="Non SIDS"/>
    <s v="Non-EU"/>
    <s v="Non-EU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n v="98408"/>
    <s v=""/>
    <s v=""/>
    <s v=""/>
    <s v=""/>
    <s v=""/>
    <s v=""/>
    <s v=""/>
    <s v=""/>
    <s v=""/>
    <s v=""/>
    <s v=""/>
    <s v=""/>
    <s v=""/>
    <s v=""/>
    <n v="98436"/>
    <s v=""/>
    <s v=""/>
    <s v=""/>
    <s v=""/>
    <s v=""/>
    <s v=""/>
    <s v=""/>
    <s v=""/>
    <s v=""/>
    <s v=""/>
    <s v=""/>
    <s v=""/>
  </r>
  <r>
    <s v="MO"/>
    <x v="55"/>
    <n v="446"/>
    <n v="208"/>
    <s v="China Mac SAR"/>
    <x v="55"/>
    <m/>
    <s v="Chine, région administrative spéciale de Macao"/>
    <s v="China, región administrativa especial de Macao"/>
    <n v="142"/>
    <s v="Asia"/>
    <n v="30"/>
    <s v="Eastern Asia"/>
    <m/>
    <m/>
    <s v="Asia"/>
    <s v="East Asia &amp; Pacific"/>
    <n v="753"/>
    <s v="Eastern Asia and South-eastern Asia"/>
    <n v="30"/>
    <s v="Eastern Asia"/>
    <s v="CHINAREG"/>
    <x v="9"/>
    <s v="china"/>
    <s v="Eastern Asia"/>
    <s v="China"/>
    <x v="8"/>
    <s v="High income"/>
    <s v="Non-HIPC"/>
    <s v="Developing"/>
    <s v="Non recipient"/>
    <s v="SDG 7a1"/>
    <s v="Non-OECD"/>
    <s v="Non-OECD"/>
    <s v="Non-IEA"/>
    <s v="3.0-Country/Area"/>
    <s v="MOP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n v="98408"/>
    <s v=""/>
    <s v=""/>
    <s v=""/>
    <s v=""/>
    <s v=""/>
    <s v=""/>
    <s v=""/>
    <s v=""/>
    <s v=""/>
    <s v=""/>
    <s v=""/>
    <s v=""/>
    <s v=""/>
    <s v=""/>
    <n v="98436"/>
    <s v=""/>
    <s v=""/>
    <s v=""/>
    <s v=""/>
    <s v=""/>
    <s v=""/>
    <s v=""/>
    <s v=""/>
    <s v=""/>
    <s v=""/>
    <s v=""/>
    <s v=""/>
  </r>
  <r>
    <s v="MN"/>
    <x v="56"/>
    <n v="496"/>
    <n v="220"/>
    <s v="Mongolia"/>
    <x v="56"/>
    <s v="Mongolia"/>
    <s v="Mongolie"/>
    <s v="Mongolia"/>
    <n v="142"/>
    <s v="Asia"/>
    <n v="30"/>
    <s v="Eastern Asia"/>
    <m/>
    <m/>
    <s v="Asia"/>
    <s v="East Asia &amp; Pacific"/>
    <n v="753"/>
    <s v="Eastern Asia and South-eastern Asia"/>
    <n v="30"/>
    <s v="Eastern Asia"/>
    <s v="CHINAREG"/>
    <x v="9"/>
    <s v="china"/>
    <s v="Eastern Asia"/>
    <s v="Other Eastern Asia"/>
    <x v="8"/>
    <s v="Lower middle income"/>
    <s v="Non-HIPC"/>
    <s v="Developing"/>
    <s v="ODA recipient"/>
    <s v="SDG 7a1"/>
    <s v="Non-OECD"/>
    <s v="Non-OECD"/>
    <s v="Non-IEA"/>
    <s v="3.0-Country/Area"/>
    <s v="MNT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n v="98408"/>
    <s v=""/>
    <n v="98412"/>
    <s v=""/>
    <s v=""/>
    <s v=""/>
    <s v=""/>
    <s v=""/>
    <s v=""/>
    <s v=""/>
    <s v=""/>
    <s v=""/>
    <s v=""/>
    <n v="98434"/>
    <s v=""/>
    <s v=""/>
    <s v=""/>
    <n v="98438"/>
    <s v=""/>
    <s v=""/>
    <s v=""/>
    <s v=""/>
    <s v=""/>
    <s v=""/>
    <s v=""/>
    <s v=""/>
    <s v=""/>
    <s v=""/>
  </r>
  <r>
    <s v="TW"/>
    <x v="57"/>
    <n v="158"/>
    <n v="209"/>
    <s v="Chinese Taipei"/>
    <x v="57"/>
    <m/>
    <s v="Taipei chinois"/>
    <s v="China Taipéi"/>
    <n v="142"/>
    <s v="Asia"/>
    <n v="30"/>
    <s v="Eastern Asia"/>
    <m/>
    <m/>
    <s v="Asia"/>
    <s v="East Asia &amp; Pacific"/>
    <n v="753"/>
    <s v="Eastern Asia and South-eastern Asia"/>
    <n v="30"/>
    <s v="Eastern Asia"/>
    <s v="JPKRTW"/>
    <x v="10"/>
    <s v="china"/>
    <s v="Eastern Asia"/>
    <s v="Other Eastern Asia"/>
    <x v="9"/>
    <s v="High income"/>
    <s v="Non-HIPC"/>
    <s v="Developing"/>
    <s v="Non recipient"/>
    <s v="SDG 7a1"/>
    <s v="Non-OECD"/>
    <s v="Non-OECD"/>
    <s v="Non-IEA"/>
    <s v="3.0-Country/Area"/>
    <s v="TWD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m/>
    <x v="58"/>
    <n v="2"/>
    <n v="100"/>
    <s v="Africa"/>
    <x v="58"/>
    <m/>
    <s v="Afrique"/>
    <s v="Africa"/>
    <n v="2"/>
    <s v="Africa"/>
    <n v="2"/>
    <s v="Africa"/>
    <m/>
    <m/>
    <s v="Africa"/>
    <m/>
    <m/>
    <m/>
    <m/>
    <m/>
    <e v="#N/A"/>
    <x v="3"/>
    <e v="#N/A"/>
    <m/>
    <m/>
    <x v="10"/>
    <s v="Unclassified"/>
    <s v="Unclassified"/>
    <s v="Unspecified"/>
    <s v="Non recipient"/>
    <s v="Unspecified"/>
    <s v="Non-OECD"/>
    <s v="Non-OECD"/>
    <s v="Non-IEA"/>
    <s v="2.0-Region (M49)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59"/>
    <n v="19"/>
    <m/>
    <m/>
    <x v="59"/>
    <m/>
    <m/>
    <m/>
    <n v="19"/>
    <s v="Americas"/>
    <n v="19"/>
    <s v="Americas"/>
    <m/>
    <m/>
    <m/>
    <m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0-Region (M49)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Q"/>
    <x v="60"/>
    <n v="10"/>
    <n v="997"/>
    <s v="Antarctica"/>
    <x v="60"/>
    <m/>
    <s v="Antarctique"/>
    <s v="Antártida"/>
    <n v="10"/>
    <s v="Antarctica"/>
    <n v="10"/>
    <s v="Antarctica"/>
    <m/>
    <m/>
    <s v="Multilateral"/>
    <m/>
    <m/>
    <m/>
    <m/>
    <m/>
    <e v="#N/A"/>
    <x v="3"/>
    <s v="ROW"/>
    <m/>
    <m/>
    <x v="10"/>
    <s v="Unclassified"/>
    <s v="Unclassified"/>
    <s v="Unspecified"/>
    <s v="Non recipient"/>
    <s v="Unspecified"/>
    <s v="Non-OECD"/>
    <s v="Non-OECD"/>
    <s v="Non-IEA"/>
    <s v="2.0-Region (M49)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m/>
    <x v="61"/>
    <n v="142"/>
    <n v="200"/>
    <s v="Asia"/>
    <x v="61"/>
    <m/>
    <s v="Asie"/>
    <s v="Asia"/>
    <n v="142"/>
    <s v="Asia"/>
    <n v="142"/>
    <s v="Asia"/>
    <m/>
    <m/>
    <s v="Asia"/>
    <s v="East Asia &amp; Pacific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0-Region (M49)"/>
    <m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62"/>
    <n v="53"/>
    <m/>
    <m/>
    <x v="62"/>
    <m/>
    <m/>
    <m/>
    <n v="9"/>
    <s v="Oceania"/>
    <n v="53"/>
    <s v="Australia and New Zealand"/>
    <m/>
    <m/>
    <s v="Oceania"/>
    <s v="East Asia &amp; Pacific"/>
    <n v="9"/>
    <s v="Oceania"/>
    <n v="53"/>
    <s v="Australia and New Zealand"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63"/>
    <n v="29"/>
    <m/>
    <m/>
    <x v="63"/>
    <m/>
    <m/>
    <m/>
    <n v="19"/>
    <s v="Americas"/>
    <n v="419"/>
    <s v="Latin America and the Caribbean"/>
    <n v="29"/>
    <s v="Caribbean"/>
    <s v="Central America and the Caribbean"/>
    <s v="Latin America &amp; Caribbean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64"/>
    <n v="13"/>
    <m/>
    <m/>
    <x v="64"/>
    <m/>
    <m/>
    <m/>
    <n v="19"/>
    <s v="Americas"/>
    <n v="419"/>
    <s v="Latin America and the Caribbean"/>
    <n v="13"/>
    <s v="Central America"/>
    <s v="Central America and the Caribbean"/>
    <s v="Latin America &amp; Caribbean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65"/>
    <n v="99902"/>
    <n v="300"/>
    <s v="C America + Carib"/>
    <x v="65"/>
    <m/>
    <m/>
    <s v="Centroamérica y el Caribe"/>
    <n v="19"/>
    <s v="Americas"/>
    <n v="419"/>
    <s v="Latin America and the Caribbean"/>
    <m/>
    <m/>
    <s v="Central America and the Caribbean"/>
    <s v="Latin America &amp; Caribbean"/>
    <n v="419"/>
    <s v="Latin America and the Caribbean"/>
    <n v="419"/>
    <s v="Latin America and the Caribbean"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66"/>
    <n v="143"/>
    <m/>
    <m/>
    <x v="66"/>
    <m/>
    <m/>
    <m/>
    <n v="142"/>
    <s v="Asia"/>
    <n v="143"/>
    <s v="Central Asia"/>
    <m/>
    <m/>
    <s v="Asia"/>
    <m/>
    <n v="62"/>
    <s v="Central Asia and Southern Asia"/>
    <n v="143"/>
    <s v="Central Asia"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67"/>
    <n v="62"/>
    <m/>
    <m/>
    <x v="67"/>
    <m/>
    <m/>
    <m/>
    <n v="142"/>
    <s v="Asia"/>
    <m/>
    <m/>
    <m/>
    <m/>
    <s v="Asia"/>
    <m/>
    <n v="1"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2-SDG classification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68"/>
    <n v="514"/>
    <m/>
    <s v="Developed regions"/>
    <x v="68"/>
    <s v="Developed regions"/>
    <m/>
    <m/>
    <n v="514"/>
    <s v="Developed regions"/>
    <n v="514"/>
    <s v="Developed regions"/>
    <n v="514"/>
    <s v="Developed regions"/>
    <s v="Developed regions"/>
    <m/>
    <n v="514"/>
    <s v="Developed regions"/>
    <n v="514"/>
    <s v="Developed regions"/>
    <e v="#N/A"/>
    <x v="3"/>
    <e v="#N/A"/>
    <m/>
    <m/>
    <x v="10"/>
    <s v="Unclassified"/>
    <s v="Unclassified"/>
    <s v="Unspecified"/>
    <s v="Non recipient"/>
    <s v="Non SDG"/>
    <m/>
    <m/>
    <m/>
    <s v="2.4-Other Multilateral"/>
    <m/>
    <m/>
    <m/>
    <s v="Non LDC"/>
    <s v="Non LLDC"/>
    <s v="Non SIDS"/>
    <s v="Non-EU"/>
    <s v="Non-EU"/>
    <s v="Non SIDS LH"/>
    <s v="Non-G7"/>
    <s v="Non-G8"/>
    <s v="Non-G20"/>
    <s v="Include"/>
    <s v=""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69"/>
    <n v="515"/>
    <m/>
    <s v="Developing regions"/>
    <x v="69"/>
    <s v="Developing regions"/>
    <m/>
    <m/>
    <n v="515"/>
    <s v="Developing regions"/>
    <n v="515"/>
    <s v="Developing regions"/>
    <n v="515"/>
    <s v="Developing regions"/>
    <s v="Developing regions"/>
    <m/>
    <n v="515"/>
    <s v="Developing regions"/>
    <n v="515"/>
    <s v="Developing regions"/>
    <e v="#N/A"/>
    <x v="3"/>
    <e v="#N/A"/>
    <m/>
    <m/>
    <x v="10"/>
    <s v="Unclassified"/>
    <s v="Unclassified"/>
    <s v="Unspecified"/>
    <s v="Non recipient"/>
    <s v="Non SDG"/>
    <m/>
    <m/>
    <m/>
    <s v="2.4-Other Multilateral"/>
    <m/>
    <m/>
    <m/>
    <s v="Non LDC"/>
    <s v="Non LLDC"/>
    <s v="Non SIDS"/>
    <s v="Non-EU"/>
    <s v="Non-EU"/>
    <s v="Non SIDS LH"/>
    <s v="Non-G7"/>
    <s v="Non-G8"/>
    <s v="Non-G20"/>
    <s v="Include"/>
    <s v=""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70"/>
    <n v="14"/>
    <m/>
    <m/>
    <x v="70"/>
    <m/>
    <m/>
    <m/>
    <n v="2"/>
    <s v="Africa"/>
    <n v="202"/>
    <s v="Sub-Saharan Africa"/>
    <n v="14"/>
    <s v="Eastern Africa"/>
    <s v="Africa"/>
    <s v="Sub-Saharan Africa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71"/>
    <n v="30"/>
    <m/>
    <m/>
    <x v="71"/>
    <m/>
    <m/>
    <m/>
    <n v="142"/>
    <s v="Asia"/>
    <n v="30"/>
    <s v="Eastern Asia"/>
    <m/>
    <m/>
    <s v="Asia"/>
    <m/>
    <n v="753"/>
    <s v="Eastern Asia and South-eastern Asia"/>
    <n v="30"/>
    <s v="Eastern Asia"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72"/>
    <n v="753"/>
    <m/>
    <m/>
    <x v="72"/>
    <m/>
    <m/>
    <m/>
    <n v="142"/>
    <s v="Asia"/>
    <m/>
    <m/>
    <m/>
    <m/>
    <s v="Asia"/>
    <m/>
    <n v="1"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2-SDG classification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73"/>
    <n v="151"/>
    <m/>
    <m/>
    <x v="73"/>
    <m/>
    <m/>
    <m/>
    <n v="150"/>
    <s v="Europe"/>
    <n v="151"/>
    <s v="Eastern Europe"/>
    <m/>
    <m/>
    <s v="Europe"/>
    <s v="Europe &amp; Central Asia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74"/>
    <n v="99903"/>
    <n v="400"/>
    <s v="Eurasia"/>
    <x v="74"/>
    <m/>
    <m/>
    <s v="Eurasia"/>
    <m/>
    <s v="Europe"/>
    <m/>
    <m/>
    <m/>
    <m/>
    <s v="Eurasia"/>
    <s v="Europe &amp; Central Asia"/>
    <n v="513"/>
    <s v="Northern America and Europe"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75"/>
    <n v="150"/>
    <n v="500"/>
    <s v="Europe"/>
    <x v="75"/>
    <m/>
    <s v="Europe"/>
    <s v="Europa"/>
    <n v="150"/>
    <s v="Europe"/>
    <n v="150"/>
    <s v="Europe"/>
    <m/>
    <m/>
    <s v="Europe"/>
    <s v="Europe &amp; Central Asia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0-Region (M49)"/>
    <m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76"/>
    <n v="777"/>
    <m/>
    <m/>
    <x v="76"/>
    <m/>
    <m/>
    <m/>
    <m/>
    <m/>
    <m/>
    <s v="Europe, Northern America, Australia and New Zealand"/>
    <m/>
    <m/>
    <m/>
    <m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4-Other Multilateral"/>
    <m/>
    <m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77"/>
    <n v="99906"/>
    <n v="590"/>
    <s v="EU (27)"/>
    <x v="77"/>
    <m/>
    <m/>
    <s v="Unión Europea (28)"/>
    <m/>
    <s v="Europe"/>
    <m/>
    <m/>
    <m/>
    <m/>
    <s v="Europe"/>
    <s v="Europe &amp; Central Asia"/>
    <n v="513"/>
    <s v="Northern America and Europe"/>
    <n v="150"/>
    <s v="Europe"/>
    <e v="#N/A"/>
    <x v="3"/>
    <e v="#N/A"/>
    <m/>
    <m/>
    <x v="10"/>
    <s v="Unclassified"/>
    <s v="Unclassified"/>
    <s v="Developed"/>
    <s v="Non recipient"/>
    <s v="Non SDG"/>
    <m/>
    <m/>
    <m/>
    <s v="2.4-Other Multilateral"/>
    <s v="EUR"/>
    <s v="EUE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78"/>
    <n v="99905"/>
    <n v="590"/>
    <s v="EU (28)"/>
    <x v="78"/>
    <m/>
    <m/>
    <s v="Unión Europea (28)"/>
    <m/>
    <s v="Europe"/>
    <m/>
    <m/>
    <m/>
    <m/>
    <s v="Europe"/>
    <s v="Europe &amp; Central Asia"/>
    <n v="513"/>
    <s v="Northern America and Europe"/>
    <n v="150"/>
    <s v="Europe"/>
    <e v="#N/A"/>
    <x v="3"/>
    <e v="#N/A"/>
    <m/>
    <m/>
    <x v="10"/>
    <s v="Unclassified"/>
    <s v="Unclassified"/>
    <s v="Developed"/>
    <s v="Non recipient"/>
    <s v="Non SDG"/>
    <m/>
    <m/>
    <m/>
    <s v="2.4-Other Multilateral"/>
    <s v="EUR"/>
    <s v="EUE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79"/>
    <n v="99912"/>
    <m/>
    <s v="G20 Countries"/>
    <x v="79"/>
    <m/>
    <m/>
    <m/>
    <m/>
    <m/>
    <m/>
    <m/>
    <m/>
    <m/>
    <m/>
    <m/>
    <m/>
    <m/>
    <m/>
    <m/>
    <e v="#N/A"/>
    <x v="3"/>
    <e v="#N/A"/>
    <m/>
    <m/>
    <x v="10"/>
    <s v="Unclassified"/>
    <s v="Unclassified"/>
    <s v="Unspecified"/>
    <s v="Non recipient"/>
    <s v="Non SDG"/>
    <s v="Unclassified"/>
    <s v="Unclassified"/>
    <s v="Unclassified"/>
    <s v="2.4-Other Multilateral"/>
    <m/>
    <m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80"/>
    <n v="99914"/>
    <m/>
    <s v="G7 Countries"/>
    <x v="80"/>
    <m/>
    <m/>
    <m/>
    <m/>
    <m/>
    <m/>
    <m/>
    <m/>
    <m/>
    <m/>
    <m/>
    <m/>
    <m/>
    <m/>
    <m/>
    <e v="#N/A"/>
    <x v="3"/>
    <e v="#N/A"/>
    <m/>
    <m/>
    <x v="10"/>
    <s v="Unclassified"/>
    <s v="Unclassified"/>
    <s v="Unspecified"/>
    <s v="Non recipient"/>
    <s v="Non SDG"/>
    <s v="Unclassified"/>
    <s v="Unclassified"/>
    <s v="Unclassified"/>
    <s v="2.4-Other Multilateral"/>
    <m/>
    <m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81"/>
    <n v="99913"/>
    <m/>
    <s v="G8 Countries"/>
    <x v="81"/>
    <m/>
    <m/>
    <m/>
    <m/>
    <m/>
    <m/>
    <m/>
    <m/>
    <m/>
    <m/>
    <m/>
    <m/>
    <m/>
    <m/>
    <m/>
    <e v="#N/A"/>
    <x v="3"/>
    <e v="#N/A"/>
    <m/>
    <m/>
    <x v="10"/>
    <s v="Unclassified"/>
    <s v="Unclassified"/>
    <s v="Unspecified"/>
    <s v="Non recipient"/>
    <s v="Non SDG"/>
    <s v="Unclassified"/>
    <s v="Unclassified"/>
    <s v="Unclassified"/>
    <s v="2.4-Other Multilateral"/>
    <m/>
    <m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82"/>
    <n v="99911"/>
    <m/>
    <s v="IEA Family"/>
    <x v="82"/>
    <m/>
    <m/>
    <m/>
    <n v="99909"/>
    <s v="Multilateral"/>
    <n v="99909"/>
    <s v="Multilateral"/>
    <n v="99909"/>
    <s v="Multilateral"/>
    <s v="Multilateral"/>
    <m/>
    <n v="99909"/>
    <s v="Multilateral"/>
    <n v="99909"/>
    <s v="Multilateral"/>
    <e v="#N/A"/>
    <x v="3"/>
    <e v="#N/A"/>
    <m/>
    <m/>
    <x v="10"/>
    <s v="Unclassified"/>
    <s v="Unclassified"/>
    <s v="Unspecified"/>
    <s v="Non recipient"/>
    <s v="Unspecified"/>
    <m/>
    <m/>
    <m/>
    <s v="2.4-Other Multilateral"/>
    <m/>
    <s v="DAC"/>
    <m/>
    <s v="Non LDC"/>
    <s v="Non LLDC"/>
    <s v="Non SIDS"/>
    <s v="Non-EU"/>
    <s v="Non-EU"/>
    <s v="Non SIDS LH"/>
    <s v="Non-G7"/>
    <s v="Non-G8"/>
    <s v="Non-G20"/>
    <s v="DNI"/>
    <s v=""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83"/>
    <n v="99901"/>
    <m/>
    <s v="IEA Countries"/>
    <x v="83"/>
    <m/>
    <s v="Pays du EIA"/>
    <s v="Países EIA"/>
    <n v="99909"/>
    <s v="Multilateral"/>
    <n v="99909"/>
    <s v="Multilateral"/>
    <n v="99909"/>
    <s v="Multilateral"/>
    <s v="Multilateral"/>
    <m/>
    <n v="99909"/>
    <s v="Multilateral"/>
    <n v="99909"/>
    <s v="Multilateral"/>
    <e v="#N/A"/>
    <x v="3"/>
    <e v="#N/A"/>
    <m/>
    <m/>
    <x v="10"/>
    <s v="Unclassified"/>
    <s v="Unclassified"/>
    <s v="Developed"/>
    <s v="Non recipient"/>
    <s v="Unspecified"/>
    <m/>
    <m/>
    <s v="IEA"/>
    <s v="2.4-Other Multilateral"/>
    <m/>
    <s v="DAC"/>
    <m/>
    <s v="Non LDC"/>
    <s v="Non LLDC"/>
    <s v="Non SIDS"/>
    <s v="Non-EU"/>
    <s v="Non-EU"/>
    <s v="Non SIDS LH"/>
    <s v="Non-G7"/>
    <s v="Non-G8"/>
    <s v="Non-G20"/>
    <s v="DNI"/>
    <s v=""/>
    <m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84"/>
    <n v="432"/>
    <m/>
    <m/>
    <x v="84"/>
    <m/>
    <m/>
    <m/>
    <m/>
    <m/>
    <m/>
    <m/>
    <m/>
    <m/>
    <m/>
    <s v=" 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2-SDG classification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85"/>
    <n v="419"/>
    <m/>
    <m/>
    <x v="85"/>
    <m/>
    <m/>
    <m/>
    <n v="19"/>
    <s v="Americas"/>
    <n v="419"/>
    <s v="Latin America and the Caribbean"/>
    <m/>
    <m/>
    <s v="Central America and the Caribbean"/>
    <m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86"/>
    <n v="199"/>
    <m/>
    <m/>
    <x v="86"/>
    <m/>
    <m/>
    <m/>
    <m/>
    <m/>
    <m/>
    <m/>
    <m/>
    <m/>
    <m/>
    <m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2-SDG classification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87"/>
    <n v="54"/>
    <m/>
    <m/>
    <x v="87"/>
    <m/>
    <m/>
    <m/>
    <n v="9"/>
    <s v="Oceania"/>
    <n v="54"/>
    <s v="Melanesia"/>
    <m/>
    <m/>
    <s v="Oceania"/>
    <s v="East Asia &amp; Pacific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88"/>
    <n v="57"/>
    <m/>
    <m/>
    <x v="88"/>
    <m/>
    <m/>
    <m/>
    <n v="9"/>
    <s v="Oceania"/>
    <n v="57"/>
    <s v="Micronesia"/>
    <m/>
    <m/>
    <s v="Oceania"/>
    <s v="East Asia &amp; Pacific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89"/>
    <n v="17"/>
    <m/>
    <m/>
    <x v="89"/>
    <m/>
    <m/>
    <m/>
    <n v="2"/>
    <s v="Africa"/>
    <n v="202"/>
    <s v="Sub-Saharan Africa"/>
    <n v="17"/>
    <s v="Middle Africa"/>
    <s v="Africa"/>
    <s v="Sub-Saharan Africa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90"/>
    <n v="99907"/>
    <n v="600"/>
    <s v="Middle East"/>
    <x v="90"/>
    <m/>
    <m/>
    <s v="Medio Oriente"/>
    <n v="142"/>
    <s v="Asia"/>
    <m/>
    <s v="Middle East"/>
    <m/>
    <m/>
    <s v="Middle East"/>
    <s v="Middle East &amp; North Africa"/>
    <n v="747"/>
    <s v="Western Asia and Northern Africa"/>
    <m/>
    <m/>
    <e v="#N/A"/>
    <x v="3"/>
    <e v="#N/A"/>
    <m/>
    <m/>
    <x v="10"/>
    <s v="Unclassified"/>
    <s v="Unclassified"/>
    <s v="Unspecified"/>
    <s v="Non recipient"/>
    <s v="Unspecified"/>
    <s v="Non-OECD"/>
    <s v="Non-OECD"/>
    <s v="Non-IEA"/>
    <s v="2.0-Region (M49)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91"/>
    <n v="99909"/>
    <n v="999"/>
    <s v="Multilateral"/>
    <x v="91"/>
    <m/>
    <s v="Multilatéral"/>
    <s v="Multilateral"/>
    <n v="99909"/>
    <s v="Multilateral"/>
    <n v="99909"/>
    <s v="Multilateral"/>
    <n v="99909"/>
    <s v="Multilateral"/>
    <s v="Multilateral"/>
    <m/>
    <n v="99909"/>
    <s v="Multilateral"/>
    <n v="99909"/>
    <s v="Multilateral"/>
    <e v="#N/A"/>
    <x v="3"/>
    <e v="#N/A"/>
    <m/>
    <m/>
    <x v="10"/>
    <s v="Unclassified"/>
    <s v="Unclassified"/>
    <s v="Unspecified"/>
    <s v="Non recipient"/>
    <s v="Non SDG"/>
    <m/>
    <m/>
    <m/>
    <s v="1.0-World"/>
    <m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92"/>
    <n v="99910"/>
    <m/>
    <m/>
    <x v="92"/>
    <m/>
    <m/>
    <m/>
    <n v="19"/>
    <s v="Americas"/>
    <m/>
    <s v="Non-OECD Americas"/>
    <m/>
    <m/>
    <m/>
    <m/>
    <m/>
    <m/>
    <m/>
    <m/>
    <e v="#N/A"/>
    <x v="3"/>
    <e v="#N/A"/>
    <m/>
    <m/>
    <x v="10"/>
    <s v="Unclassified"/>
    <s v="Unclassified"/>
    <s v="Unspecified"/>
    <s v="Non recipient"/>
    <s v="Unspecified"/>
    <s v="Non-OECD"/>
    <s v="Non-OECD Americas"/>
    <s v="Non-IEA"/>
    <s v="2.3-Other OECD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93"/>
    <n v="15"/>
    <m/>
    <m/>
    <x v="93"/>
    <m/>
    <m/>
    <m/>
    <n v="2"/>
    <s v="Africa"/>
    <n v="15"/>
    <s v="Northern Africa"/>
    <m/>
    <m/>
    <s v="Africa"/>
    <m/>
    <n v="747"/>
    <s v="Western Asia and Northern Africa"/>
    <n v="15"/>
    <s v="Northern Africa"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94"/>
    <n v="21"/>
    <n v="700"/>
    <s v="N America"/>
    <x v="94"/>
    <m/>
    <m/>
    <s v="Norte América"/>
    <n v="19"/>
    <s v="Americas"/>
    <n v="21"/>
    <s v="Northern America"/>
    <m/>
    <m/>
    <s v="North America"/>
    <s v="North America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95"/>
    <n v="513"/>
    <m/>
    <m/>
    <x v="95"/>
    <m/>
    <m/>
    <m/>
    <m/>
    <m/>
    <m/>
    <m/>
    <m/>
    <m/>
    <m/>
    <m/>
    <n v="1"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2-SDG classification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96"/>
    <n v="154"/>
    <m/>
    <m/>
    <x v="96"/>
    <m/>
    <m/>
    <m/>
    <n v="150"/>
    <s v="Europe"/>
    <n v="154"/>
    <s v="Northern Europe"/>
    <m/>
    <m/>
    <s v="Europe"/>
    <m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97"/>
    <n v="9"/>
    <m/>
    <m/>
    <x v="97"/>
    <m/>
    <m/>
    <m/>
    <n v="9"/>
    <s v="Oceania"/>
    <n v="9"/>
    <s v="Oceania"/>
    <m/>
    <m/>
    <s v="Oceania"/>
    <s v="East Asia &amp; Pacific"/>
    <n v="1"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0-Region (M49)"/>
    <m/>
    <m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98"/>
    <n v="543"/>
    <m/>
    <m/>
    <x v="98"/>
    <m/>
    <m/>
    <m/>
    <n v="9"/>
    <s v="Oceania"/>
    <m/>
    <m/>
    <m/>
    <m/>
    <s v="Oceania"/>
    <m/>
    <n v="9"/>
    <s v="Oceania"/>
    <n v="543"/>
    <s v="Oceania excluding Australia and New Zealand"/>
    <e v="#N/A"/>
    <x v="3"/>
    <e v="#N/A"/>
    <m/>
    <m/>
    <x v="10"/>
    <s v="Unclassified"/>
    <s v="Unclassified"/>
    <s v="Unspecified"/>
    <s v="Non recipient"/>
    <s v="Unspecified"/>
    <m/>
    <m/>
    <m/>
    <s v="2.2-SDG classification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99"/>
    <n v="61"/>
    <m/>
    <m/>
    <x v="99"/>
    <m/>
    <m/>
    <m/>
    <n v="9"/>
    <s v="Oceania"/>
    <n v="61"/>
    <s v="Polynesia"/>
    <m/>
    <m/>
    <s v="Oceania"/>
    <s v="East Asia &amp; Pacific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00"/>
    <n v="99053"/>
    <n v="389"/>
    <s v="Other Cent Am Carib"/>
    <x v="100"/>
    <m/>
    <m/>
    <s v="Otros Centroamérica"/>
    <n v="19"/>
    <s v="Americas"/>
    <n v="419"/>
    <s v="Latin America and the Caribbean"/>
    <n v="13"/>
    <s v="Central America"/>
    <s v="Central America and the Caribbean"/>
    <s v="Latin America &amp; Caribbean"/>
    <n v="419"/>
    <s v="Latin America and the Caribbean"/>
    <n v="419"/>
    <s v="Latin America and the Caribbean"/>
    <e v="#N/A"/>
    <x v="3"/>
    <e v="#N/A"/>
    <m/>
    <m/>
    <x v="10"/>
    <s v="Unclassified"/>
    <s v="Unclassified"/>
    <s v="Developing"/>
    <s v="ODA recipient"/>
    <s v="Unspecified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01"/>
    <n v="99055"/>
    <n v="291"/>
    <s v="Other Central Asia"/>
    <x v="101"/>
    <m/>
    <m/>
    <s v="Otros Asia"/>
    <n v="142"/>
    <s v="Asia"/>
    <n v="143"/>
    <s v="Central Asia"/>
    <m/>
    <m/>
    <s v="Asia"/>
    <s v="Europe &amp; Central Asia"/>
    <n v="62"/>
    <s v="Central Asia and Southern Asia"/>
    <n v="143"/>
    <s v="Central Asia"/>
    <e v="#N/A"/>
    <x v="3"/>
    <e v="#N/A"/>
    <m/>
    <m/>
    <x v="10"/>
    <s v="Unclassified"/>
    <s v="Unclassified"/>
    <s v="Developing"/>
    <s v="ODA recipient"/>
    <s v="Unspecified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02"/>
    <n v="99035"/>
    <n v="290"/>
    <s v="Other Central Asia and Southern Asia"/>
    <x v="102"/>
    <m/>
    <m/>
    <s v="Otros Asia"/>
    <n v="142"/>
    <s v="Asia"/>
    <m/>
    <m/>
    <m/>
    <m/>
    <s v="Asia"/>
    <s v="Europe &amp; Central Asia"/>
    <n v="62"/>
    <s v="Central Asia and Southern Asia"/>
    <n v="34"/>
    <s v="Southern Asia"/>
    <e v="#N/A"/>
    <x v="3"/>
    <e v="#N/A"/>
    <m/>
    <m/>
    <x v="10"/>
    <s v="Unclassified"/>
    <s v="Unclassified"/>
    <s v="Developing"/>
    <s v="ODA recipient"/>
    <s v="SDG 7a1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03"/>
    <n v="99036"/>
    <n v="289"/>
    <s v="Other Asia"/>
    <x v="103"/>
    <m/>
    <m/>
    <s v="Otros Asia"/>
    <n v="142"/>
    <s v="Asia"/>
    <m/>
    <s v="Other Asia"/>
    <m/>
    <m/>
    <s v="Asia"/>
    <s v="East Asia &amp; Pacific"/>
    <n v="753"/>
    <s v="Eastern Asia and South-eastern Asia"/>
    <n v="35"/>
    <s v="South-eastern Asia"/>
    <e v="#N/A"/>
    <x v="3"/>
    <e v="#N/A"/>
    <m/>
    <m/>
    <x v="10"/>
    <s v="Unclassified"/>
    <s v="Unclassified"/>
    <s v="Developing"/>
    <s v="ODA recipient"/>
    <s v="SDG 7a1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04"/>
    <n v="99057"/>
    <n v="289"/>
    <s v="Other Eastern Asia"/>
    <x v="104"/>
    <m/>
    <m/>
    <s v="Otros Asia"/>
    <n v="142"/>
    <s v="Asia"/>
    <n v="30"/>
    <s v="Eastern Asia"/>
    <m/>
    <m/>
    <s v="Asia"/>
    <s v="East Asia &amp; Pacific"/>
    <n v="753"/>
    <s v="Eastern Asia and South-eastern Asia"/>
    <n v="30"/>
    <s v="Eastern Asia"/>
    <e v="#N/A"/>
    <x v="3"/>
    <e v="#N/A"/>
    <m/>
    <m/>
    <x v="10"/>
    <s v="Unclassified"/>
    <s v="Unclassified"/>
    <s v="Developing"/>
    <s v="ODA recipient"/>
    <s v="Unspecified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05"/>
    <n v="99904"/>
    <n v="489"/>
    <s v="Other Eurasia"/>
    <x v="105"/>
    <m/>
    <m/>
    <s v="Otros Eurasia"/>
    <m/>
    <s v="Europe"/>
    <m/>
    <m/>
    <m/>
    <m/>
    <s v="Eurasia"/>
    <s v="Europe &amp; Central Asia"/>
    <n v="513"/>
    <s v="Northern America and Europe"/>
    <n v="150"/>
    <s v="Europe"/>
    <e v="#N/A"/>
    <x v="3"/>
    <e v="#N/A"/>
    <m/>
    <m/>
    <x v="10"/>
    <s v="Unclassified"/>
    <s v="Unclassified"/>
    <s v="Unspecified"/>
    <s v="Non recipient"/>
    <s v="Unspecified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06"/>
    <n v="99051"/>
    <n v="589"/>
    <s v="Other Europe"/>
    <x v="106"/>
    <m/>
    <m/>
    <s v="Otros Europa"/>
    <n v="150"/>
    <s v="Europe"/>
    <n v="150"/>
    <s v="Europe"/>
    <m/>
    <m/>
    <s v="Europe"/>
    <s v="Europe &amp; Central Asia"/>
    <n v="513"/>
    <s v="Northern America and Europe"/>
    <n v="150"/>
    <s v="Europe"/>
    <e v="#N/A"/>
    <x v="3"/>
    <e v="#N/A"/>
    <m/>
    <m/>
    <x v="10"/>
    <s v="Unclassified"/>
    <s v="Unclassified"/>
    <s v="Developed"/>
    <s v="Non recipient"/>
    <s v="Unspecified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07"/>
    <n v="99037"/>
    <n v="389"/>
    <s v="Other Latin America"/>
    <x v="107"/>
    <m/>
    <m/>
    <s v="Otros Centroamérica"/>
    <n v="19"/>
    <s v="Americas"/>
    <n v="419"/>
    <s v="Latin America and the Caribbean"/>
    <m/>
    <m/>
    <s v="Central America and the Caribbean"/>
    <s v="Latin America &amp; Caribbean"/>
    <n v="419"/>
    <s v="Latin America and the Caribbean"/>
    <n v="419"/>
    <s v="Latin America and the Caribbean"/>
    <e v="#N/A"/>
    <x v="3"/>
    <e v="#N/A"/>
    <m/>
    <m/>
    <x v="10"/>
    <s v="Unclassified"/>
    <s v="Unclassified"/>
    <s v="Developing"/>
    <s v="ODA recipient"/>
    <s v="SDG 7a1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08"/>
    <n v="99060"/>
    <n v="691"/>
    <s v="Other Northern Africa"/>
    <x v="108"/>
    <m/>
    <m/>
    <s v="Otros Medio Oriente"/>
    <n v="2"/>
    <s v="Africa"/>
    <n v="15"/>
    <s v="Northern Africa"/>
    <n v="15"/>
    <s v="Northern Africa"/>
    <s v="Middle East"/>
    <s v="Middle East &amp; North Africa"/>
    <n v="747"/>
    <s v="Western Asia and Northern Africa"/>
    <n v="15"/>
    <s v="Northern Africa"/>
    <e v="#N/A"/>
    <x v="3"/>
    <e v="#N/A"/>
    <m/>
    <m/>
    <x v="10"/>
    <s v="Unclassified"/>
    <s v="Unclassified"/>
    <s v="Developing"/>
    <s v="ODA recipient"/>
    <s v="Unspecified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09"/>
    <n v="99052"/>
    <n v="789"/>
    <s v="Other North Am"/>
    <x v="109"/>
    <m/>
    <m/>
    <s v="Otros Norte América"/>
    <n v="19"/>
    <s v="Americas"/>
    <n v="21"/>
    <s v="Northern America"/>
    <m/>
    <m/>
    <s v="North America"/>
    <s v="North America"/>
    <n v="513"/>
    <s v="Northern America and Europe"/>
    <n v="21"/>
    <s v="Northern America"/>
    <e v="#N/A"/>
    <x v="3"/>
    <e v="#N/A"/>
    <m/>
    <m/>
    <x v="10"/>
    <s v="Unclassified"/>
    <s v="Unclassified"/>
    <s v="Developed"/>
    <s v="Non recipient"/>
    <s v="Unspecified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10"/>
    <n v="99050"/>
    <n v="788"/>
    <s v="Other Europe"/>
    <x v="110"/>
    <m/>
    <m/>
    <s v="Otros Norte América"/>
    <n v="150"/>
    <s v="Europe"/>
    <n v="150"/>
    <s v="Europe"/>
    <m/>
    <m/>
    <s v="Europe"/>
    <s v="Europe &amp; Central Asia"/>
    <n v="513"/>
    <s v="Northern America and Europe"/>
    <n v="150"/>
    <s v="Europe"/>
    <e v="#N/A"/>
    <x v="3"/>
    <e v="#N/A"/>
    <m/>
    <m/>
    <x v="10"/>
    <s v="Unclassified"/>
    <s v="Unclassified"/>
    <s v="Developed"/>
    <s v="Non recipient"/>
    <s v="SDG 7a1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11"/>
    <n v="99038"/>
    <n v="889"/>
    <s v="Other Oceania"/>
    <x v="111"/>
    <m/>
    <m/>
    <s v="Otros Oceanía"/>
    <n v="9"/>
    <s v="Oceania"/>
    <m/>
    <m/>
    <m/>
    <m/>
    <s v="Oceania"/>
    <s v="East Asia &amp; Pacific"/>
    <n v="9"/>
    <s v="Oceania"/>
    <n v="543"/>
    <s v="Oceania excluding Australia and New Zealand"/>
    <e v="#N/A"/>
    <x v="3"/>
    <e v="#N/A"/>
    <m/>
    <m/>
    <x v="10"/>
    <s v="Unclassified"/>
    <s v="Unclassified"/>
    <s v="Developing"/>
    <s v="ODA recipient"/>
    <s v="SDG 7a1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12"/>
    <n v="99054"/>
    <n v="989"/>
    <s v="Other South Am"/>
    <x v="112"/>
    <m/>
    <m/>
    <s v="Otros Sudamérica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e v="#N/A"/>
    <x v="3"/>
    <e v="#N/A"/>
    <m/>
    <m/>
    <x v="10"/>
    <s v="Unclassified"/>
    <s v="Unclassified"/>
    <s v="Developing"/>
    <s v="ODA recipient"/>
    <s v="Unspecified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13"/>
    <n v="99058"/>
    <n v="289"/>
    <s v="Other South-eastern Asia"/>
    <x v="113"/>
    <m/>
    <m/>
    <s v="Otros Asia"/>
    <n v="142"/>
    <s v="Asia"/>
    <n v="35"/>
    <s v="South-eastern Asia"/>
    <m/>
    <m/>
    <s v="Asia"/>
    <s v="East Asia &amp; Pacific"/>
    <n v="753"/>
    <s v="Eastern Asia and South-eastern Asia"/>
    <n v="35"/>
    <s v="South-eastern Asia"/>
    <e v="#N/A"/>
    <x v="3"/>
    <e v="#N/A"/>
    <m/>
    <m/>
    <x v="10"/>
    <s v="Unclassified"/>
    <s v="Unclassified"/>
    <s v="Developing"/>
    <s v="ODA recipient"/>
    <s v="Unspecified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14"/>
    <n v="99056"/>
    <n v="292"/>
    <s v="Other Southern Asia"/>
    <x v="114"/>
    <m/>
    <m/>
    <s v="Otros Asia"/>
    <n v="142"/>
    <s v="Asia"/>
    <n v="34"/>
    <s v="Southern Asia"/>
    <m/>
    <m/>
    <s v="Asia"/>
    <s v="South Asia"/>
    <n v="62"/>
    <s v="Central Asia and Southern Asia"/>
    <n v="34"/>
    <s v="Southern Asia"/>
    <e v="#N/A"/>
    <x v="3"/>
    <e v="#N/A"/>
    <m/>
    <m/>
    <x v="10"/>
    <s v="Unclassified"/>
    <s v="Unclassified"/>
    <s v="Developing"/>
    <s v="ODA recipient"/>
    <s v="Unspecified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15"/>
    <n v="99039"/>
    <n v="189"/>
    <s v="Other Africa"/>
    <x v="115"/>
    <m/>
    <m/>
    <s v="Otros Africa"/>
    <n v="2"/>
    <s v="Africa"/>
    <n v="202"/>
    <s v="Sub-Saharan Africa"/>
    <n v="99039"/>
    <s v="Residual/unallocated ODA: Sub-Saharan Africa"/>
    <s v="Africa"/>
    <s v="Sub-Saharan Africa"/>
    <n v="202"/>
    <s v="Sub-Saharan Africa"/>
    <n v="202"/>
    <s v="Sub-Saharan Africa"/>
    <e v="#N/A"/>
    <x v="3"/>
    <e v="#N/A"/>
    <m/>
    <m/>
    <x v="10"/>
    <s v="Unclassified"/>
    <s v="Unclassified"/>
    <s v="Developing"/>
    <s v="ODA recipient"/>
    <s v="SDG 7a1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16"/>
    <n v="99059"/>
    <n v="690"/>
    <s v="Other Western Asia"/>
    <x v="116"/>
    <m/>
    <m/>
    <s v="Otros Medio Oriente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e v="#N/A"/>
    <x v="3"/>
    <e v="#N/A"/>
    <m/>
    <m/>
    <x v="10"/>
    <s v="Unclassified"/>
    <s v="Unclassified"/>
    <s v="Developing"/>
    <s v="ODA recipient"/>
    <s v="Unspecified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17"/>
    <n v="99040"/>
    <n v="689"/>
    <s v="Other Mid East"/>
    <x v="117"/>
    <m/>
    <m/>
    <s v="Otros Medio Oriente"/>
    <n v="142"/>
    <s v="Asia"/>
    <m/>
    <m/>
    <m/>
    <m/>
    <s v="Middle East"/>
    <s v="Middle East &amp; North Africa"/>
    <n v="747"/>
    <s v="Western Asia and Northern Africa"/>
    <n v="15"/>
    <s v="Northern Africa"/>
    <e v="#N/A"/>
    <x v="3"/>
    <e v="#N/A"/>
    <m/>
    <m/>
    <x v="10"/>
    <s v="Unclassified"/>
    <s v="Unclassified"/>
    <s v="Developing"/>
    <s v="ODA recipient"/>
    <s v="SDG 7a1"/>
    <m/>
    <m/>
    <m/>
    <s v="3.1-Other 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18"/>
    <n v="722"/>
    <m/>
    <m/>
    <x v="118"/>
    <m/>
    <m/>
    <m/>
    <m/>
    <m/>
    <m/>
    <m/>
    <m/>
    <m/>
    <m/>
    <m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2-SDG classification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19"/>
    <n v="5"/>
    <n v="900"/>
    <s v="S America"/>
    <x v="119"/>
    <m/>
    <n v="0"/>
    <s v="Sudamérica"/>
    <n v="19"/>
    <s v="Americas"/>
    <n v="419"/>
    <s v="Latin America and the Caribbean"/>
    <n v="5"/>
    <s v="South America"/>
    <s v="South America"/>
    <s v="Latin America &amp; Caribbean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20"/>
    <n v="35"/>
    <m/>
    <m/>
    <x v="120"/>
    <m/>
    <m/>
    <m/>
    <n v="142"/>
    <s v="Asia"/>
    <n v="35"/>
    <s v="South-eastern Asia"/>
    <m/>
    <m/>
    <s v="Asia"/>
    <m/>
    <n v="753"/>
    <s v="Eastern Asia and South-eastern Asia"/>
    <n v="35"/>
    <s v="South-eastern Asia"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21"/>
    <n v="18"/>
    <m/>
    <m/>
    <x v="121"/>
    <m/>
    <m/>
    <m/>
    <n v="2"/>
    <s v="Africa"/>
    <n v="202"/>
    <s v="Sub-Saharan Africa"/>
    <n v="18"/>
    <s v="Southern Africa"/>
    <s v="Africa"/>
    <s v="Sub-Saharan Africa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22"/>
    <n v="34"/>
    <m/>
    <m/>
    <x v="122"/>
    <m/>
    <m/>
    <m/>
    <n v="142"/>
    <s v="Asia"/>
    <n v="34"/>
    <s v="Southern Asia"/>
    <m/>
    <m/>
    <s v="Asia"/>
    <s v="South Asia"/>
    <n v="62"/>
    <s v="Central Asia and Southern Asia"/>
    <n v="34"/>
    <s v="Southern Asia"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23"/>
    <n v="39"/>
    <m/>
    <m/>
    <x v="123"/>
    <m/>
    <m/>
    <m/>
    <n v="150"/>
    <s v="Europe"/>
    <n v="39"/>
    <s v="Southern Europe"/>
    <m/>
    <m/>
    <s v="Europe"/>
    <m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24"/>
    <n v="202"/>
    <m/>
    <m/>
    <x v="124"/>
    <m/>
    <m/>
    <m/>
    <n v="2"/>
    <s v="Africa"/>
    <n v="202"/>
    <s v="Sub-Saharan Africa"/>
    <m/>
    <m/>
    <s v="Africa"/>
    <m/>
    <n v="1"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25"/>
    <n v="99049"/>
    <n v="998"/>
    <s v="Other Developing"/>
    <x v="125"/>
    <m/>
    <m/>
    <m/>
    <m/>
    <s v="Unspecified countries"/>
    <m/>
    <m/>
    <m/>
    <m/>
    <s v="Unspecified countries"/>
    <s v="Unspecified countries"/>
    <n v="99049"/>
    <s v="Unspecified countries"/>
    <n v="99049"/>
    <s v="Unspecified countries"/>
    <e v="#N/A"/>
    <x v="3"/>
    <e v="#N/A"/>
    <m/>
    <m/>
    <x v="10"/>
    <s v="Unclassified"/>
    <s v="Unclassified"/>
    <s v="Developing"/>
    <s v="Non recipient"/>
    <s v="SDG 7a1"/>
    <m/>
    <m/>
    <m/>
    <s v="2.4-Other Multilateral"/>
    <m/>
    <s v="DAC"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26"/>
    <n v="11"/>
    <m/>
    <m/>
    <x v="126"/>
    <m/>
    <m/>
    <m/>
    <n v="2"/>
    <s v="Africa"/>
    <n v="202"/>
    <s v="Sub-Saharan Africa"/>
    <n v="11"/>
    <s v="Western Africa"/>
    <s v="Africa"/>
    <s v="Sub-Saharan Africa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27"/>
    <n v="145"/>
    <m/>
    <m/>
    <x v="127"/>
    <m/>
    <m/>
    <m/>
    <n v="142"/>
    <s v="Asia"/>
    <n v="145"/>
    <s v="Western Asia"/>
    <m/>
    <m/>
    <s v="Asia"/>
    <m/>
    <n v="747"/>
    <s v="Western Asia and Northern Africa"/>
    <n v="145"/>
    <s v="Western Asia"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28"/>
    <n v="747"/>
    <m/>
    <m/>
    <x v="128"/>
    <m/>
    <m/>
    <m/>
    <m/>
    <m/>
    <m/>
    <m/>
    <m/>
    <m/>
    <m/>
    <m/>
    <n v="1"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2-SDG classification"/>
    <m/>
    <m/>
    <m/>
    <s v="Non LDC"/>
    <s v="Non LLDC"/>
    <s v="Non SIDS"/>
    <s v="Non-EU"/>
    <s v="Non-EU"/>
    <m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29"/>
    <n v="155"/>
    <m/>
    <m/>
    <x v="129"/>
    <m/>
    <m/>
    <m/>
    <n v="150"/>
    <s v="Europe"/>
    <n v="155"/>
    <s v="Western Europe"/>
    <m/>
    <m/>
    <s v="Europe"/>
    <m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2.1-Sub-Region (M49)"/>
    <m/>
    <m/>
    <m/>
    <s v="Non LDC"/>
    <s v="Non LLDC"/>
    <s v="Non SIDS"/>
    <s v="Non-EU"/>
    <s v="Non-EU"/>
    <m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30"/>
    <n v="1"/>
    <n v="1"/>
    <s v="World"/>
    <x v="130"/>
    <m/>
    <s v="World"/>
    <s v="Mundo"/>
    <n v="1"/>
    <s v="World"/>
    <n v="1"/>
    <s v="World"/>
    <m/>
    <m/>
    <s v="World"/>
    <s v="World"/>
    <m/>
    <m/>
    <m/>
    <m/>
    <e v="#N/A"/>
    <x v="3"/>
    <e v="#N/A"/>
    <m/>
    <m/>
    <x v="10"/>
    <s v="Unclassified"/>
    <s v="Unclassified"/>
    <s v="Unspecified"/>
    <s v="Non recipient"/>
    <s v="Unspecified"/>
    <m/>
    <m/>
    <m/>
    <s v="1.0-World"/>
    <m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IO"/>
    <x v="131"/>
    <n v="86"/>
    <n v="106"/>
    <s v="Br Ind Oc Terr"/>
    <x v="131"/>
    <m/>
    <s v="Territoire britannique de l'océan Indien"/>
    <s v="Territorio Británico del Océano Índico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e v="#N/A"/>
    <x v="3"/>
    <s v="ROW"/>
    <s v="Eastern Africa"/>
    <s v="Eastern Africa"/>
    <x v="11"/>
    <s v="Unclassified"/>
    <s v="Unclassified"/>
    <s v="Developing"/>
    <s v="Non recipient"/>
    <s v="Non SDG"/>
    <s v="Non-OECD"/>
    <s v="Non-OECD"/>
    <s v="Non-IEA"/>
    <s v="3.0-Country/Area"/>
    <s v="USD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BI"/>
    <x v="132"/>
    <n v="108"/>
    <n v="108"/>
    <s v="Burundi"/>
    <x v="132"/>
    <s v="the Republic of Burundi"/>
    <s v="Burundi"/>
    <s v="Burundi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 income"/>
    <s v="HIPC"/>
    <s v="Developing"/>
    <s v="ODA recipient"/>
    <s v="SDG 7a1"/>
    <s v="Non-OECD"/>
    <s v="Non-OECD"/>
    <s v="Non-IEA"/>
    <s v="3.0-Country/Area"/>
    <s v="BIF"/>
    <s v="DAC"/>
    <s v="BRI"/>
    <s v="LDC"/>
    <s v="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n v="98107"/>
    <s v=""/>
    <s v=""/>
    <s v=""/>
    <s v=""/>
    <s v=""/>
    <n v="98113"/>
    <n v="98114"/>
    <s v=""/>
    <n v="98116"/>
    <n v="98117"/>
    <n v="98118"/>
    <s v="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KM"/>
    <x v="133"/>
    <n v="174"/>
    <n v="113"/>
    <s v="Comoros"/>
    <x v="133"/>
    <s v="the Union of the Comoros"/>
    <s v="Comores"/>
    <s v="Comoras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er middle income"/>
    <s v="HIPC"/>
    <s v="Developing"/>
    <s v="ODA recipient"/>
    <s v="SDG 7a1"/>
    <s v="Non-OECD"/>
    <s v="Non-OECD"/>
    <s v="Non-IEA"/>
    <s v="3.0-Country/Area"/>
    <s v="XMF"/>
    <s v="DAC"/>
    <m/>
    <s v="LDC"/>
    <s v="Non LLDC"/>
    <s v="SIDS"/>
    <s v="Non-EU"/>
    <s v="Non-EU"/>
    <s v="SIDS LH"/>
    <s v="Non-G7"/>
    <s v="Non-G8"/>
    <s v="Non-G20"/>
    <s v="Include"/>
    <n v="98100"/>
    <s v=""/>
    <n v="98102"/>
    <s v=""/>
    <s v=""/>
    <s v=""/>
    <n v="98106"/>
    <s v=""/>
    <s v=""/>
    <s v=""/>
    <n v="98110"/>
    <s v=""/>
    <n v="98112"/>
    <n v="98113"/>
    <s v=""/>
    <n v="98115"/>
    <s v=""/>
    <s v=""/>
    <n v="98118"/>
    <s v=""/>
    <n v="98120"/>
    <n v="98121"/>
    <s v=""/>
    <s v=""/>
    <s v=""/>
    <n v="98125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501"/>
    <s v=""/>
    <s v=""/>
    <s v=""/>
    <n v="98505"/>
    <s v=""/>
    <s v=""/>
    <n v="98508"/>
    <s v=""/>
  </r>
  <r>
    <s v="DJ"/>
    <x v="134"/>
    <n v="262"/>
    <n v="117"/>
    <s v="Djibouti"/>
    <x v="134"/>
    <s v="the Republic of Djibouti"/>
    <s v="Djibouti"/>
    <s v="Djibouti"/>
    <n v="2"/>
    <s v="Africa"/>
    <n v="202"/>
    <s v="Sub-Saharan Africa"/>
    <n v="14"/>
    <s v="Eastern Africa"/>
    <s v="Africa"/>
    <s v="Middle East &amp; North Africa"/>
    <n v="202"/>
    <s v="Sub-Saharan Africa"/>
    <n v="202"/>
    <s v="Sub-Saharan Africa"/>
    <s v="SSAFRICA"/>
    <x v="11"/>
    <s v="ROW"/>
    <s v="Eastern Africa"/>
    <s v="Eastern Africa"/>
    <x v="11"/>
    <s v="Lower middle income"/>
    <s v="Non-HIPC"/>
    <s v="Developing"/>
    <s v="ODA recipient"/>
    <s v="SDG 7a1"/>
    <s v="Non-OECD"/>
    <s v="Non-OECD"/>
    <s v="Non-IEA"/>
    <s v="3.0-Country/Area"/>
    <s v="DJF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s v=""/>
    <s v=""/>
    <n v="98109"/>
    <s v=""/>
    <s v=""/>
    <n v="98112"/>
    <n v="98113"/>
    <s v=""/>
    <s v=""/>
    <s v=""/>
    <s v="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501"/>
    <s v=""/>
    <s v=""/>
    <s v=""/>
    <n v="98505"/>
    <s v=""/>
    <s v=""/>
    <n v="98508"/>
    <s v=""/>
  </r>
  <r>
    <s v="ER"/>
    <x v="135"/>
    <n v="232"/>
    <n v="120"/>
    <s v="Eritrea"/>
    <x v="135"/>
    <s v="the State of Eritrea"/>
    <s v="Érythrée"/>
    <s v="Eritrea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 income"/>
    <s v="HIPC"/>
    <s v="Developing"/>
    <s v="ODA recipient"/>
    <s v="SDG 7a1"/>
    <s v="Non-OECD"/>
    <s v="Non-OECD"/>
    <s v="Non-IEA"/>
    <s v="3.0-Country/Area"/>
    <s v="ERN"/>
    <s v="DAC"/>
    <m/>
    <s v="LDC"/>
    <s v="Non 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s v=""/>
    <s v=""/>
    <n v="98109"/>
    <s v=""/>
    <s v=""/>
    <n v="98112"/>
    <n v="98113"/>
    <s v=""/>
    <s v=""/>
    <s v=""/>
    <s v=""/>
    <n v="98118"/>
    <s v="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ET"/>
    <x v="136"/>
    <n v="231"/>
    <n v="122"/>
    <s v="Ethiopia"/>
    <x v="136"/>
    <s v="the Federal Democratic Republic of Ethiopia"/>
    <s v="Éthiopie"/>
    <s v="Etiopía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 income"/>
    <s v="HIPC"/>
    <s v="Developing"/>
    <s v="ODA recipient"/>
    <s v="SDG 7a1"/>
    <s v="Non-OECD"/>
    <s v="Non-OECD"/>
    <s v="Non-IEA"/>
    <s v="3.0-Country/Area"/>
    <s v="ETB"/>
    <s v="DAC"/>
    <s v="BRI"/>
    <s v="LDC"/>
    <s v="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s v=""/>
    <s v=""/>
    <n v="98109"/>
    <s v=""/>
    <s v=""/>
    <s v=""/>
    <n v="98113"/>
    <s v=""/>
    <s v=""/>
    <n v="98116"/>
    <n v="98117"/>
    <n v="98118"/>
    <s v="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TF"/>
    <x v="137"/>
    <n v="260"/>
    <n v="123"/>
    <s v="Fr Sth Territories"/>
    <x v="137"/>
    <m/>
    <s v="Terres australes françaises"/>
    <s v="Territorio de las Tierras Australes Francesas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e v="#N/A"/>
    <x v="3"/>
    <s v="ROW"/>
    <s v="Eastern Africa"/>
    <s v="Eastern Africa"/>
    <x v="11"/>
    <s v="Unclassified"/>
    <s v="Unclassified"/>
    <s v="Developing"/>
    <s v="Non recipient"/>
    <s v="Non SDG"/>
    <s v="Non-OECD"/>
    <s v="Non-OECD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KE"/>
    <x v="138"/>
    <n v="404"/>
    <n v="130"/>
    <s v="Kenya"/>
    <x v="138"/>
    <s v="the Republic of Kenya"/>
    <s v="Kenya"/>
    <s v="Kenya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er middle income"/>
    <s v="Non-HIPC"/>
    <s v="Developing"/>
    <s v="ODA recipient"/>
    <s v="SDG 7a1"/>
    <s v="Non-OECD"/>
    <s v="Non-OECD"/>
    <s v="Non-IEA"/>
    <s v="3.0-Country/Area"/>
    <s v="KES"/>
    <s v="DAC"/>
    <s v="BRI"/>
    <s v="Non LDC"/>
    <s v="Non 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s v=""/>
    <s v=""/>
    <n v="98109"/>
    <s v=""/>
    <s v=""/>
    <s v=""/>
    <n v="98113"/>
    <n v="98114"/>
    <s v=""/>
    <s v=""/>
    <s v=""/>
    <s v=""/>
    <s v=""/>
    <s v="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G"/>
    <x v="139"/>
    <n v="450"/>
    <n v="134"/>
    <s v="Madagascar"/>
    <x v="139"/>
    <s v="the Republic of Madagascar"/>
    <s v="Madagascar"/>
    <s v="Madagascar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 income"/>
    <s v="HIPC"/>
    <s v="Developing"/>
    <s v="ODA recipient"/>
    <s v="SDG 7a1"/>
    <s v="Non-OECD"/>
    <s v="Non-OECD"/>
    <s v="Non-IEA"/>
    <s v="3.0-Country/Area"/>
    <s v="MGA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s v=""/>
    <s v=""/>
    <s v=""/>
    <n v="98110"/>
    <s v=""/>
    <s v=""/>
    <n v="98113"/>
    <s v=""/>
    <n v="98115"/>
    <s v=""/>
    <s v="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W"/>
    <x v="140"/>
    <n v="454"/>
    <n v="135"/>
    <s v="Malawi"/>
    <x v="140"/>
    <s v="the Republic of Malawi"/>
    <s v="Malawi"/>
    <s v="Malawi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 income"/>
    <s v="HIPC"/>
    <s v="Developing"/>
    <s v="ODA recipient"/>
    <s v="SDG 7a1"/>
    <s v="Non-OECD"/>
    <s v="Non-OECD"/>
    <s v="Non-IEA"/>
    <s v="3.0-Country/Area"/>
    <s v="MWK"/>
    <s v="DAC"/>
    <m/>
    <s v="LDC"/>
    <s v="LLDC"/>
    <s v="Non SIDS"/>
    <s v="Non-EU"/>
    <s v="Non-EU"/>
    <s v="Non SIDS LH"/>
    <s v="Non-G7"/>
    <s v="Non-G8"/>
    <s v="Non-G20"/>
    <s v="Include"/>
    <n v="98100"/>
    <s v=""/>
    <s v=""/>
    <s v=""/>
    <n v="98104"/>
    <s v=""/>
    <n v="98106"/>
    <s v=""/>
    <s v=""/>
    <s v=""/>
    <n v="98110"/>
    <s v=""/>
    <s v=""/>
    <n v="98113"/>
    <s v=""/>
    <s v=""/>
    <n v="98116"/>
    <n v="98117"/>
    <n v="98118"/>
    <s v="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U"/>
    <x v="141"/>
    <n v="480"/>
    <n v="138"/>
    <s v="Mauritius"/>
    <x v="141"/>
    <s v="the Republic of Mauritius"/>
    <s v="Maurice"/>
    <s v="Mauricio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Upper middle income"/>
    <s v="Non-HIPC"/>
    <s v="Developing"/>
    <s v="ODA recipient"/>
    <s v="SDG 7a1"/>
    <s v="Non-OECD"/>
    <s v="Non-OECD"/>
    <s v="Non-IEA"/>
    <s v="3.0-Country/Area"/>
    <s v="MUR"/>
    <s v="DAC"/>
    <m/>
    <s v="Non LDC"/>
    <s v="Non LLDC"/>
    <s v="SIDS"/>
    <s v="Non-EU"/>
    <s v="Non-EU"/>
    <s v="SIDS LH"/>
    <s v="Non-G7"/>
    <s v="Non-G8"/>
    <s v="Non-G20"/>
    <s v="Include"/>
    <n v="98100"/>
    <s v=""/>
    <s v=""/>
    <s v=""/>
    <n v="98104"/>
    <s v=""/>
    <n v="98106"/>
    <s v=""/>
    <s v=""/>
    <s v=""/>
    <n v="98110"/>
    <s v=""/>
    <s v=""/>
    <n v="98113"/>
    <s v=""/>
    <n v="98115"/>
    <s v=""/>
    <s v=""/>
    <s v=""/>
    <s v=""/>
    <s v=""/>
    <n v="98121"/>
    <s v=""/>
    <s v=""/>
    <s v=""/>
    <n v="98125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YT"/>
    <x v="142"/>
    <n v="175"/>
    <n v="139"/>
    <s v="Mayotte"/>
    <x v="142"/>
    <m/>
    <s v="Mayotte"/>
    <s v="Mayotte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Unclassified"/>
    <s v="Unclassified"/>
    <s v="Developing"/>
    <s v="Non recipient"/>
    <s v="Non SDG"/>
    <s v="Non-OECD"/>
    <s v="Non-OECD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Z"/>
    <x v="143"/>
    <n v="508"/>
    <n v="141"/>
    <s v="Mozambique"/>
    <x v="143"/>
    <s v="the Republic of Mozambique"/>
    <s v="Mozambique"/>
    <s v="Mozambique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 income"/>
    <s v="HIPC"/>
    <s v="Developing"/>
    <s v="ODA recipient"/>
    <s v="SDG 7a1"/>
    <s v="Non-OECD"/>
    <s v="Non-OECD"/>
    <s v="Non-IEA"/>
    <s v="3.0-Country/Area"/>
    <s v="MZN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s v=""/>
    <s v=""/>
    <n v="98104"/>
    <s v=""/>
    <n v="98106"/>
    <s v=""/>
    <s v=""/>
    <s v=""/>
    <n v="98110"/>
    <s v=""/>
    <s v=""/>
    <s v=""/>
    <s v=""/>
    <s v=""/>
    <s v=""/>
    <s v="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RE"/>
    <x v="144"/>
    <n v="638"/>
    <n v="145"/>
    <s v="Reunion"/>
    <x v="144"/>
    <m/>
    <s v="Réunion"/>
    <s v="Reunión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Unclassified"/>
    <s v="Unclassified"/>
    <s v="Developing"/>
    <s v="Non recipient"/>
    <s v="Non SDG"/>
    <s v="Non-OECD"/>
    <s v="Non-OECD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RW"/>
    <x v="145"/>
    <n v="646"/>
    <n v="146"/>
    <s v="Rwanda"/>
    <x v="145"/>
    <s v="the Republic of Rwanda"/>
    <s v="Rwanda"/>
    <s v="Rwanda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 income"/>
    <s v="HIPC"/>
    <s v="Developing"/>
    <s v="ODA recipient"/>
    <s v="SDG 7a1"/>
    <s v="Non-OECD"/>
    <s v="Non-OECD"/>
    <s v="Non-IEA"/>
    <s v="3.0-Country/Area"/>
    <s v="RWF"/>
    <s v="DAC"/>
    <s v="BRI"/>
    <s v="LDC"/>
    <s v="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n v="98107"/>
    <s v=""/>
    <s v=""/>
    <s v=""/>
    <s v=""/>
    <s v=""/>
    <n v="98113"/>
    <n v="98114"/>
    <s v=""/>
    <n v="98116"/>
    <n v="98117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C"/>
    <x v="146"/>
    <n v="690"/>
    <n v="150"/>
    <s v="Seychelles"/>
    <x v="146"/>
    <s v="the Republic of Seychelles"/>
    <s v="Seychelles"/>
    <s v="Seychelles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High income"/>
    <s v="Non-HIPC"/>
    <s v="Developing"/>
    <s v="Non recipient"/>
    <s v="SDG 7a1"/>
    <s v="Non-OECD"/>
    <s v="Non-OECD"/>
    <s v="Non-IEA"/>
    <s v="3.0-Country/Area"/>
    <s v="SCR"/>
    <s v="DAC"/>
    <s v="BRI"/>
    <s v="Non LDC"/>
    <s v="Non LLDC"/>
    <s v="SIDS"/>
    <s v="Non-EU"/>
    <s v="Non-EU"/>
    <s v="SIDS LH"/>
    <s v="Non-G7"/>
    <s v="Non-G8"/>
    <s v="Non-G20"/>
    <s v="Include"/>
    <n v="98100"/>
    <s v=""/>
    <n v="98102"/>
    <s v=""/>
    <s v=""/>
    <s v=""/>
    <n v="98106"/>
    <s v=""/>
    <s v=""/>
    <s v=""/>
    <n v="98110"/>
    <s v=""/>
    <s v=""/>
    <n v="98113"/>
    <s v=""/>
    <n v="98115"/>
    <s v=""/>
    <s v=""/>
    <s v=""/>
    <s v=""/>
    <s v=""/>
    <n v="98121"/>
    <s v=""/>
    <s v=""/>
    <s v=""/>
    <n v="98125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O"/>
    <x v="147"/>
    <n v="706"/>
    <n v="152"/>
    <s v="Somalia"/>
    <x v="147"/>
    <s v="the Federal Republic of Somalia"/>
    <s v="Somalie"/>
    <s v="Somalia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 income"/>
    <s v="HIPC"/>
    <s v="Developing"/>
    <s v="ODA recipient"/>
    <s v="SDG 7a1"/>
    <s v="Non-OECD"/>
    <s v="Non-OECD"/>
    <s v="Non-IEA"/>
    <s v="3.0-Country/Area"/>
    <s v="SOS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s v=""/>
    <s v=""/>
    <n v="98109"/>
    <s v=""/>
    <s v=""/>
    <n v="98112"/>
    <n v="98113"/>
    <s v=""/>
    <s v=""/>
    <s v=""/>
    <s v=""/>
    <n v="98118"/>
    <s v="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501"/>
    <s v=""/>
    <s v=""/>
    <s v=""/>
    <n v="98505"/>
    <n v="98506"/>
    <s v=""/>
    <s v=""/>
    <n v="98509"/>
  </r>
  <r>
    <s v="SS"/>
    <x v="148"/>
    <n v="728"/>
    <n v="154"/>
    <s v="South Sudan"/>
    <x v="148"/>
    <m/>
    <s v="Soudan du Sud"/>
    <s v="Sudán del Sur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e v="#N/A"/>
    <s v="Eastern Africa"/>
    <s v="Eastern Africa"/>
    <x v="11"/>
    <s v="Low income"/>
    <s v="Non-HIPC"/>
    <s v="Developing"/>
    <s v="ODA recipient"/>
    <s v="SDG 7a1"/>
    <s v="Non-OECD"/>
    <s v="Non-OECD"/>
    <s v="Non-IEA"/>
    <s v="3.0-Country/Area"/>
    <s v="SSP"/>
    <s v="DAC"/>
    <s v="BRI"/>
    <s v="LDC"/>
    <s v="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s v=""/>
    <s v=""/>
    <n v="98109"/>
    <s v=""/>
    <s v=""/>
    <s v=""/>
    <s v=""/>
    <n v="98114"/>
    <s v=""/>
    <n v="98116"/>
    <n v="98117"/>
    <n v="98118"/>
    <s v=""/>
    <s v=""/>
    <s v=""/>
    <n v="98122"/>
    <n v="98123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UG"/>
    <x v="149"/>
    <n v="800"/>
    <n v="159"/>
    <s v="Uganda"/>
    <x v="149"/>
    <s v="the Republic of Uganda"/>
    <s v="Ouganda"/>
    <s v="Uganda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 income"/>
    <s v="HIPC"/>
    <s v="Developing"/>
    <s v="ODA recipient"/>
    <s v="SDG 7a1"/>
    <s v="Non-OECD"/>
    <s v="Non-OECD"/>
    <s v="Non-IEA"/>
    <s v="3.0-Country/Area"/>
    <s v="UGX"/>
    <s v="DAC"/>
    <s v="BRI"/>
    <s v="LDC"/>
    <s v="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s v=""/>
    <s v=""/>
    <n v="98109"/>
    <s v=""/>
    <s v=""/>
    <s v=""/>
    <n v="98113"/>
    <n v="98114"/>
    <s v=""/>
    <n v="98116"/>
    <n v="98117"/>
    <n v="98118"/>
    <s v="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TZ"/>
    <x v="150"/>
    <n v="834"/>
    <n v="156"/>
    <s v="Tanzania"/>
    <x v="150"/>
    <s v="the United Republic of Tanzania"/>
    <s v="République-Unie de Tanzanie"/>
    <s v="República Unida de Tanzanía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er middle income"/>
    <s v="HIPC"/>
    <s v="Developing"/>
    <s v="ODA recipient"/>
    <s v="SDG 7a1"/>
    <s v="Non-OECD"/>
    <s v="Non-OECD"/>
    <s v="Non-IEA"/>
    <s v="3.0-Country/Area"/>
    <s v="TZS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s v=""/>
    <s v=""/>
    <s v=""/>
    <n v="98110"/>
    <s v=""/>
    <s v=""/>
    <s v=""/>
    <n v="98114"/>
    <s v=""/>
    <s v=""/>
    <s v="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ZM"/>
    <x v="151"/>
    <n v="894"/>
    <n v="161"/>
    <s v="Zambia"/>
    <x v="151"/>
    <s v="the Republic of Zambia"/>
    <s v="Zambie"/>
    <s v="Zambia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 income"/>
    <s v="HIPC"/>
    <s v="Developing"/>
    <s v="ODA recipient"/>
    <s v="SDG 7a1"/>
    <s v="Non-OECD"/>
    <s v="Non-OECD"/>
    <s v="Non-IEA"/>
    <s v="3.0-Country/Area"/>
    <s v="ZMW"/>
    <s v="DAC"/>
    <s v="BRI"/>
    <s v="LDC"/>
    <s v="LLDC"/>
    <s v="Non SIDS"/>
    <s v="Non-EU"/>
    <s v="Non-EU"/>
    <s v="Non SIDS LH"/>
    <s v="Non-G7"/>
    <s v="Non-G8"/>
    <s v="Non-G20"/>
    <s v="Include"/>
    <n v="98100"/>
    <s v=""/>
    <s v=""/>
    <s v=""/>
    <n v="98104"/>
    <s v=""/>
    <n v="98106"/>
    <s v=""/>
    <s v=""/>
    <s v=""/>
    <n v="98110"/>
    <s v=""/>
    <s v=""/>
    <n v="98113"/>
    <s v=""/>
    <s v=""/>
    <n v="98116"/>
    <n v="98117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ZW"/>
    <x v="152"/>
    <n v="716"/>
    <n v="162"/>
    <s v="Zimbabwe"/>
    <x v="152"/>
    <s v="the Republic of Zimbabwe"/>
    <s v="Zimbabwe"/>
    <s v="Zimbabwe"/>
    <n v="2"/>
    <s v="Africa"/>
    <n v="202"/>
    <s v="Sub-Saharan Africa"/>
    <n v="14"/>
    <s v="Eastern Africa"/>
    <s v="Africa"/>
    <s v="Sub-Saharan Africa"/>
    <n v="202"/>
    <s v="Sub-Saharan Africa"/>
    <n v="202"/>
    <s v="Sub-Saharan Africa"/>
    <s v="SSAFRICA"/>
    <x v="11"/>
    <s v="ROW"/>
    <s v="Eastern Africa"/>
    <s v="Eastern Africa"/>
    <x v="11"/>
    <s v="Lower middle income"/>
    <s v="Non-HIPC"/>
    <s v="Developing"/>
    <s v="ODA recipient"/>
    <s v="SDG 7a1"/>
    <s v="Non-OECD"/>
    <s v="Non-OECD"/>
    <s v="Non-IEA"/>
    <s v="3.0-Country/Area"/>
    <s v="ZWL"/>
    <s v="DAC"/>
    <s v="BRI"/>
    <s v="Non LDC"/>
    <s v="LLDC"/>
    <s v="Non SIDS"/>
    <s v="Non-EU"/>
    <s v="Non-EU"/>
    <s v="Non SIDS LH"/>
    <s v="Non-G7"/>
    <s v="Non-G8"/>
    <s v="Non-G20"/>
    <s v="Include"/>
    <n v="98100"/>
    <s v=""/>
    <s v=""/>
    <s v=""/>
    <n v="98104"/>
    <s v=""/>
    <n v="98106"/>
    <s v=""/>
    <s v=""/>
    <s v=""/>
    <n v="98110"/>
    <s v=""/>
    <s v=""/>
    <n v="98113"/>
    <s v=""/>
    <s v=""/>
    <n v="98116"/>
    <s v=""/>
    <s v=""/>
    <n v="98119"/>
    <s v="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T"/>
    <x v="153"/>
    <n v="40"/>
    <n v="504"/>
    <s v="Austria"/>
    <x v="153"/>
    <s v="the Republic of Austria"/>
    <s v="Autriche"/>
    <s v="Austria"/>
    <n v="150"/>
    <s v="Europe"/>
    <n v="155"/>
    <s v="West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AUT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E"/>
    <x v="154"/>
    <n v="56"/>
    <n v="506"/>
    <s v="Belgium"/>
    <x v="154"/>
    <s v="the Kingdom of Belgium"/>
    <s v="Belgique"/>
    <s v="Bélgica"/>
    <n v="150"/>
    <s v="Europe"/>
    <n v="155"/>
    <s v="West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BEL"/>
    <m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G"/>
    <x v="155"/>
    <n v="100"/>
    <n v="508"/>
    <s v="Bulgaria"/>
    <x v="155"/>
    <s v="the Republic of Bulgaria"/>
    <s v="Bulgarie"/>
    <s v="Bulgaria"/>
    <n v="150"/>
    <s v="Europe"/>
    <n v="151"/>
    <s v="East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Upper middle income"/>
    <s v="Non-HIPC"/>
    <s v="Developed"/>
    <s v="Non recipient"/>
    <s v="Non SDG"/>
    <s v="Non-OECD"/>
    <s v="Non-OECD"/>
    <s v="Non-IEA"/>
    <s v="3.0-Country/Area"/>
    <s v="BGN"/>
    <s v="DAC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HR"/>
    <x v="156"/>
    <n v="191"/>
    <n v="510"/>
    <s v="Croatia"/>
    <x v="156"/>
    <s v="the Republic of Croatia"/>
    <s v="Croatie"/>
    <s v="Croacia"/>
    <n v="150"/>
    <s v="Europe"/>
    <n v="39"/>
    <s v="Sou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Non-OECD"/>
    <s v="Non-OECD"/>
    <s v="Non-IEA"/>
    <s v="3.0-Country/Area"/>
    <s v="HRK"/>
    <s v="DAC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s v=""/>
    <n v="98205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Y"/>
    <x v="157"/>
    <n v="196"/>
    <n v="511"/>
    <s v="Cyprus"/>
    <x v="157"/>
    <s v="the Republic of Cyprus"/>
    <s v="Chypre"/>
    <s v="Chipre"/>
    <n v="142"/>
    <s v="Asia"/>
    <n v="145"/>
    <s v="Western Asia"/>
    <m/>
    <m/>
    <s v="Europe"/>
    <s v="Europe &amp; Central Asia"/>
    <n v="747"/>
    <s v="Western Asia and Northern Africa"/>
    <n v="145"/>
    <s v="Western Asia"/>
    <s v="EU31"/>
    <x v="12"/>
    <s v="eu27+"/>
    <s v="EU27"/>
    <s v="EU27"/>
    <x v="12"/>
    <s v="High income"/>
    <s v="Non-HIPC"/>
    <s v="Developed"/>
    <s v="Non recipient"/>
    <s v="Non SDG"/>
    <s v="Non-OECD"/>
    <s v="Non-OECD"/>
    <s v="Non-IEA"/>
    <s v="3.0-Country/Area"/>
    <s v="EUR"/>
    <s v="DAC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Z"/>
    <x v="158"/>
    <n v="203"/>
    <n v="512"/>
    <s v="Czechia"/>
    <x v="158"/>
    <s v="the Czech Republic"/>
    <s v="Tchéquie"/>
    <s v="Chequia"/>
    <n v="150"/>
    <s v="Europe"/>
    <n v="151"/>
    <s v="East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CZK"/>
    <s v="CZE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DK"/>
    <x v="159"/>
    <n v="208"/>
    <n v="513"/>
    <s v="Denmark"/>
    <x v="159"/>
    <s v="the Kingdom of Denmark"/>
    <s v="Danemark"/>
    <s v="Dinamarca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DKK"/>
    <s v="DNK"/>
    <m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EE"/>
    <x v="160"/>
    <n v="233"/>
    <n v="514"/>
    <s v="Estonia"/>
    <x v="160"/>
    <s v="the Republic of Estonia"/>
    <s v="Estonie"/>
    <s v="Estonia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DAC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FI"/>
    <x v="161"/>
    <n v="246"/>
    <n v="516"/>
    <s v="Finland"/>
    <x v="161"/>
    <s v="the Republic of Finland"/>
    <s v="Finlande"/>
    <s v="Finlandia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FIN"/>
    <m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FR"/>
    <x v="162"/>
    <n v="250"/>
    <n v="517"/>
    <s v="France"/>
    <x v="162"/>
    <s v="the French Republic"/>
    <s v="France"/>
    <s v="Francia"/>
    <n v="150"/>
    <s v="Europe"/>
    <n v="155"/>
    <s v="West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FRA"/>
    <m/>
    <s v="Non LDC"/>
    <s v="Non LLDC"/>
    <s v="Non SIDS"/>
    <s v="EU-28"/>
    <s v="EU-27"/>
    <s v="Non SIDS LH"/>
    <s v="G7"/>
    <s v="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DE"/>
    <x v="163"/>
    <n v="276"/>
    <n v="519"/>
    <s v="Germany"/>
    <x v="163"/>
    <s v="the Federal Republic of Germany"/>
    <s v="Allemagne"/>
    <s v="Alemania"/>
    <n v="150"/>
    <s v="Europe"/>
    <n v="155"/>
    <s v="West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DEU"/>
    <m/>
    <s v="Non LDC"/>
    <s v="Non LLDC"/>
    <s v="Non SIDS"/>
    <s v="EU-28"/>
    <s v="EU-27"/>
    <s v="Non SIDS LH"/>
    <s v="G7"/>
    <s v="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R"/>
    <x v="164"/>
    <n v="300"/>
    <n v="521"/>
    <s v="Greece"/>
    <x v="164"/>
    <s v="the Hellenic Republic"/>
    <s v="Grèce"/>
    <s v="Grecia"/>
    <n v="150"/>
    <s v="Europe"/>
    <n v="39"/>
    <s v="Sou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GRC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HU"/>
    <x v="165"/>
    <n v="348"/>
    <n v="524"/>
    <s v="Hungary"/>
    <x v="165"/>
    <s v="Hungary"/>
    <s v="Hongrie"/>
    <s v="Hungría"/>
    <n v="150"/>
    <s v="Europe"/>
    <n v="151"/>
    <s v="East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HUF"/>
    <s v="HUN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IE"/>
    <x v="166"/>
    <n v="372"/>
    <n v="526"/>
    <s v="Ireland"/>
    <x v="166"/>
    <s v="Ireland"/>
    <s v="Irlande"/>
    <s v="Irlanda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IRL"/>
    <m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IT"/>
    <x v="167"/>
    <n v="380"/>
    <n v="528"/>
    <s v="Italy"/>
    <x v="167"/>
    <s v="the Republic of Italy"/>
    <s v="Italie"/>
    <s v="Italia"/>
    <n v="150"/>
    <s v="Europe"/>
    <n v="39"/>
    <s v="Sou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ITA"/>
    <s v="BRI"/>
    <s v="Non LDC"/>
    <s v="Non LLDC"/>
    <s v="Non SIDS"/>
    <s v="EU-28"/>
    <s v="EU-27"/>
    <s v="Non SIDS LH"/>
    <s v="G7"/>
    <s v="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LV"/>
    <x v="168"/>
    <n v="428"/>
    <n v="531"/>
    <s v="Latvia"/>
    <x v="168"/>
    <s v="the Republic of Latvia"/>
    <s v="Lettonie"/>
    <s v="Letonia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Non-IEA"/>
    <s v="3.0-Country/Area"/>
    <s v="EUR"/>
    <s v="DAC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LT"/>
    <x v="169"/>
    <n v="440"/>
    <n v="533"/>
    <s v="Lithuania"/>
    <x v="169"/>
    <s v="the Republic of Lithuania"/>
    <s v="Lituanie"/>
    <s v="Lituania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Non-IEA"/>
    <s v="3.0-Country/Area"/>
    <s v="EUR"/>
    <s v="DAC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LU"/>
    <x v="170"/>
    <n v="442"/>
    <n v="534"/>
    <s v="Luxembourg"/>
    <x v="170"/>
    <s v="the Grand Duchy of Luxembourg"/>
    <s v="Luxembourg"/>
    <s v="Luxemburgo"/>
    <n v="150"/>
    <s v="Europe"/>
    <n v="155"/>
    <s v="West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LUX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T"/>
    <x v="171"/>
    <n v="470"/>
    <n v="535"/>
    <s v="Malta"/>
    <x v="171"/>
    <s v="the Republic of Malta"/>
    <s v="Malte"/>
    <s v="Malta"/>
    <n v="150"/>
    <s v="Europe"/>
    <n v="39"/>
    <s v="Southern Europe"/>
    <m/>
    <m/>
    <s v="Europe"/>
    <s v="Middle East &amp; North Afric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Non-OECD"/>
    <s v="Non-OECD"/>
    <s v="Non-IEA"/>
    <s v="3.0-Country/Area"/>
    <s v="EUR"/>
    <s v="DAC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NL"/>
    <x v="172"/>
    <n v="528"/>
    <n v="539"/>
    <s v="Netherlands"/>
    <x v="172"/>
    <s v="the Kingdom of the Netherlands"/>
    <s v="Pays-Bas"/>
    <s v="Países Bajos"/>
    <n v="150"/>
    <s v="Europe"/>
    <n v="155"/>
    <s v="West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NLD"/>
    <m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PL"/>
    <x v="173"/>
    <n v="616"/>
    <n v="541"/>
    <s v="Poland"/>
    <x v="173"/>
    <s v="the Republic of Poland"/>
    <s v="Pologne"/>
    <s v="Polonia"/>
    <n v="150"/>
    <s v="Europe"/>
    <n v="151"/>
    <s v="East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PLN"/>
    <s v="POL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PT"/>
    <x v="174"/>
    <n v="620"/>
    <n v="542"/>
    <s v="Portugal"/>
    <x v="174"/>
    <s v="the Portuguese Republic"/>
    <s v="Portugal"/>
    <s v="Portugal"/>
    <n v="150"/>
    <s v="Europe"/>
    <n v="39"/>
    <s v="Sou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PRT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RO"/>
    <x v="175"/>
    <n v="642"/>
    <n v="543"/>
    <s v="Romania"/>
    <x v="175"/>
    <s v="Romania"/>
    <s v="Roumanie"/>
    <s v="Rumania"/>
    <n v="150"/>
    <s v="Europe"/>
    <n v="151"/>
    <s v="Eastern Europe"/>
    <m/>
    <m/>
    <s v="Europe"/>
    <s v="Europe &amp; Central Asia"/>
    <n v="513"/>
    <s v="Northern America and Europe"/>
    <n v="150"/>
    <s v="Europe"/>
    <e v="#N/A"/>
    <x v="3"/>
    <s v="eu27+"/>
    <s v="EU27"/>
    <s v="EU27"/>
    <x v="12"/>
    <s v="High income"/>
    <s v="Non-HIPC"/>
    <s v="Developed"/>
    <s v="Non recipient"/>
    <s v="Non SDG"/>
    <s v="Non-OECD"/>
    <s v="Non-OECD"/>
    <s v="Non-IEA"/>
    <s v="3.0-Country/Area"/>
    <s v="RON"/>
    <s v="DAC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K"/>
    <x v="176"/>
    <n v="703"/>
    <n v="547"/>
    <s v="Slovakia"/>
    <x v="176"/>
    <s v="the Slovak Republic"/>
    <s v="Slovaquie"/>
    <s v="Eslovaquia"/>
    <n v="150"/>
    <s v="Europe"/>
    <n v="151"/>
    <s v="East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SVK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I"/>
    <x v="177"/>
    <n v="705"/>
    <n v="548"/>
    <s v="Slovenia"/>
    <x v="177"/>
    <s v="the Republic of Slovenia"/>
    <s v="Slovénie"/>
    <s v="Eslovenia"/>
    <n v="150"/>
    <s v="Europe"/>
    <n v="39"/>
    <s v="Sou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Non-IEA"/>
    <s v="3.0-Country/Area"/>
    <s v="EUR"/>
    <s v="SVN"/>
    <s v="BRI"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ES"/>
    <x v="178"/>
    <n v="724"/>
    <n v="549"/>
    <s v="Spain"/>
    <x v="178"/>
    <s v="the Kingdom of Spain"/>
    <s v="Espagne"/>
    <s v="España"/>
    <n v="150"/>
    <s v="Europe"/>
    <n v="39"/>
    <s v="Sou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EUR"/>
    <s v="ESP"/>
    <m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n v="98204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E"/>
    <x v="179"/>
    <n v="752"/>
    <n v="551"/>
    <s v="Sweden"/>
    <x v="179"/>
    <s v="the Kingdom of Sweden"/>
    <s v="Suède"/>
    <s v="Suecia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EU27"/>
    <s v="EU27"/>
    <x v="12"/>
    <s v="High income"/>
    <s v="Non-HIPC"/>
    <s v="Developed"/>
    <s v="Non recipient"/>
    <s v="Non SDG"/>
    <s v="OECD"/>
    <s v="OECD Europe"/>
    <s v="IEA"/>
    <s v="3.0-Country/Area"/>
    <s v="SEK"/>
    <s v="SWE"/>
    <m/>
    <s v="Non LDC"/>
    <s v="Non LLDC"/>
    <s v="Non SIDS"/>
    <s v="EU-28"/>
    <s v="EU-27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n v="98203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X"/>
    <x v="180"/>
    <n v="248"/>
    <n v="501"/>
    <s v="Aland Islands"/>
    <x v="180"/>
    <m/>
    <s v="Îles d'Åland"/>
    <s v="Islas Åland"/>
    <n v="150"/>
    <s v="Europe"/>
    <n v="154"/>
    <s v="Northern Europe"/>
    <m/>
    <m/>
    <s v="Europe"/>
    <s v="Europe &amp; Central Asia"/>
    <n v="513"/>
    <s v="Northern America and Europe"/>
    <n v="150"/>
    <s v="Europe"/>
    <e v="#N/A"/>
    <x v="3"/>
    <e v="#N/A"/>
    <s v="Other Europe"/>
    <s v="Other Northern Europe"/>
    <x v="13"/>
    <s v="Unclassified"/>
    <s v="Unclassified"/>
    <s v="Developed"/>
    <s v="Non recipient"/>
    <s v="Non SDG"/>
    <s v="Non-OECD"/>
    <s v="Non-OECD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L"/>
    <x v="181"/>
    <n v="8"/>
    <n v="502"/>
    <s v="Albania"/>
    <x v="181"/>
    <s v="the Republic of Albania"/>
    <s v="Albanie"/>
    <s v="Albania"/>
    <n v="150"/>
    <s v="Europe"/>
    <n v="39"/>
    <s v="Southern Europe"/>
    <m/>
    <m/>
    <s v="Europe"/>
    <s v="Europe &amp; Central Asia"/>
    <n v="513"/>
    <s v="Northern America and Europe"/>
    <n v="150"/>
    <s v="Europe"/>
    <s v="EEUR"/>
    <x v="7"/>
    <s v="eu27+"/>
    <s v="Other Europe"/>
    <s v="Other Southern Europe"/>
    <x v="13"/>
    <s v="Upper middle income"/>
    <s v="Non-HIPC"/>
    <s v="Developed"/>
    <s v="ODA recipient"/>
    <s v="SDG 7a1"/>
    <s v="Non-OECD"/>
    <s v="Non-OECD"/>
    <s v="Non-IEA"/>
    <s v="3.0-Country/Area"/>
    <s v="ALL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n v="98205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D"/>
    <x v="182"/>
    <n v="20"/>
    <n v="503"/>
    <s v="Andorra"/>
    <x v="182"/>
    <s v="the Principality of Andorra"/>
    <s v="Andorre"/>
    <s v="Andorra"/>
    <n v="150"/>
    <s v="Europe"/>
    <n v="39"/>
    <s v="Southern Europe"/>
    <m/>
    <m/>
    <s v="Europe"/>
    <s v="Europe &amp; Central Asia"/>
    <n v="513"/>
    <s v="Northern America and Europe"/>
    <n v="150"/>
    <s v="Europe"/>
    <s v="EU31"/>
    <x v="12"/>
    <s v="eu27+"/>
    <s v="Other Europe"/>
    <s v="Other Southern Europe"/>
    <x v="13"/>
    <s v="High income"/>
    <s v="Non-HIPC"/>
    <s v="Developed"/>
    <s v="Non recipient"/>
    <s v="Non SDG"/>
    <s v="Non-OECD"/>
    <s v="Non-OECD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Y"/>
    <x v="183"/>
    <n v="112"/>
    <n v="505"/>
    <s v="Belarus"/>
    <x v="183"/>
    <s v="the Republic of Belarus"/>
    <s v="Bélarus"/>
    <s v="Belarús"/>
    <n v="150"/>
    <s v="Europe"/>
    <n v="151"/>
    <s v="Eastern Europe"/>
    <m/>
    <m/>
    <s v="Europe"/>
    <s v="Europe &amp; Central Asia"/>
    <n v="513"/>
    <s v="Northern America and Europe"/>
    <n v="150"/>
    <s v="Europe"/>
    <s v="EEUR"/>
    <x v="7"/>
    <s v="ROW"/>
    <s v="Other Europe"/>
    <s v="Other Eastern Europe"/>
    <x v="13"/>
    <s v="Upper middle income"/>
    <s v="Non-HIPC"/>
    <s v="Developed"/>
    <s v="ODA recipient"/>
    <s v="SDG 7a1"/>
    <s v="Non-OECD"/>
    <s v="Non-OECD"/>
    <s v="Non-IEA"/>
    <s v="3.0-Country/Area"/>
    <s v="BYN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n v="98201"/>
    <n v="98202"/>
    <s v=""/>
    <s v=""/>
    <s v=""/>
    <n v="98206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A"/>
    <x v="184"/>
    <n v="70"/>
    <n v="507"/>
    <s v="Bosnia Herzg"/>
    <x v="184"/>
    <s v="Bosnia and Herzegovina"/>
    <s v="Bosnie-Herzégovine"/>
    <s v="Bosnia y Herzegovina"/>
    <n v="150"/>
    <s v="Europe"/>
    <n v="39"/>
    <s v="Southern Europe"/>
    <m/>
    <m/>
    <s v="Europe"/>
    <s v="Europe &amp; Central Asia"/>
    <n v="513"/>
    <s v="Northern America and Europe"/>
    <n v="150"/>
    <s v="Europe"/>
    <s v="EEUR"/>
    <x v="7"/>
    <s v="eu27+"/>
    <s v="Other Europe"/>
    <s v="Other Southern Europe"/>
    <x v="13"/>
    <s v="Upper middle income"/>
    <s v="Non-HIPC"/>
    <s v="Developed"/>
    <s v="ODA recipient"/>
    <s v="SDG 7a1"/>
    <s v="Non-OECD"/>
    <s v="Non-OECD"/>
    <s v="Non-IEA"/>
    <s v="3.0-Country/Area"/>
    <s v="BAM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n v="98205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85"/>
    <n v="830"/>
    <n v="509"/>
    <s v="Channel Islands"/>
    <x v="185"/>
    <m/>
    <s v="Îles Anglo-Normandes"/>
    <s v="Islas del Canal"/>
    <n v="150"/>
    <s v="Europe"/>
    <n v="154"/>
    <s v="Northern Europe"/>
    <n v="509"/>
    <s v="Channel Islands"/>
    <s v="Europe"/>
    <s v="Europe &amp; Central Asia"/>
    <n v="513"/>
    <s v="Northern America and Europe"/>
    <n v="150"/>
    <s v="Europe"/>
    <s v="EU31"/>
    <x v="12"/>
    <e v="#N/A"/>
    <s v="Other Europe"/>
    <s v="Other Northern Europe"/>
    <x v="13"/>
    <s v="Unclassified"/>
    <s v="Unclassified"/>
    <s v="Developed"/>
    <s v="Non recipient"/>
    <s v="Non SDG"/>
    <m/>
    <m/>
    <m/>
    <s v="3.0-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FO"/>
    <x v="186"/>
    <n v="234"/>
    <n v="515"/>
    <s v="Faroe Islands"/>
    <x v="186"/>
    <m/>
    <s v="Îles Féroé"/>
    <s v="Islas Feroe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Other Europe"/>
    <s v="Other Northern Europe"/>
    <x v="13"/>
    <s v="High income"/>
    <s v="Non-HIPC"/>
    <s v="Developed"/>
    <s v="Non recipient"/>
    <s v="Non SDG"/>
    <s v="Non-OECD"/>
    <s v="Non-OECD"/>
    <s v="Non-IEA"/>
    <s v="3.0-Country/Area"/>
    <s v="DKK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I"/>
    <x v="187"/>
    <n v="292"/>
    <n v="520"/>
    <s v="Gibraltar"/>
    <x v="187"/>
    <m/>
    <s v="Gibraltar"/>
    <s v="Gibraltar"/>
    <n v="150"/>
    <s v="Europe"/>
    <n v="39"/>
    <s v="Southern Europe"/>
    <m/>
    <m/>
    <s v="Europe"/>
    <s v="Europe &amp; Central Asia"/>
    <n v="513"/>
    <s v="Northern America and Europe"/>
    <n v="150"/>
    <s v="Europe"/>
    <s v="EU31"/>
    <x v="12"/>
    <s v="eu27+"/>
    <s v="Other Europe"/>
    <s v="Other Southern Europe"/>
    <x v="13"/>
    <s v="High income"/>
    <s v="Non-HIPC"/>
    <s v="Developed"/>
    <s v="Non recipient"/>
    <s v="Non SDG"/>
    <s v="Non-OECD"/>
    <s v="Non-OECD"/>
    <s v="Non-IEA"/>
    <s v="3.0-Country/Area"/>
    <s v="GIP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G"/>
    <x v="188"/>
    <n v="831"/>
    <n v="522"/>
    <s v="Guernsey"/>
    <x v="188"/>
    <m/>
    <s v="Guernesey"/>
    <s v="Guernsey"/>
    <n v="150"/>
    <s v="Europe"/>
    <n v="154"/>
    <s v="Northern Europe"/>
    <n v="509"/>
    <s v="Channel Islands"/>
    <s v="Europe"/>
    <s v="Europe &amp; Central Asia"/>
    <n v="513"/>
    <s v="Northern America and Europe"/>
    <n v="150"/>
    <s v="Europe"/>
    <e v="#N/A"/>
    <x v="3"/>
    <e v="#N/A"/>
    <s v="Other Europe"/>
    <s v="Other Northern Europe"/>
    <x v="13"/>
    <s v="Unclassified"/>
    <s v="Unclassified"/>
    <s v="Developed"/>
    <s v="Non recipient"/>
    <s v="Non SDG"/>
    <s v="Non-OECD"/>
    <s v="Non-OECD"/>
    <s v="Non-IEA"/>
    <s v="3.0-Country/Area"/>
    <s v="GBP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VA"/>
    <x v="189"/>
    <n v="336"/>
    <n v="523"/>
    <s v="Holy See"/>
    <x v="189"/>
    <m/>
    <s v="Saint-Siège"/>
    <s v="Santa Sede"/>
    <n v="150"/>
    <s v="Europe"/>
    <n v="39"/>
    <s v="Southern Europe"/>
    <m/>
    <m/>
    <s v="Europe"/>
    <s v="Europe &amp; Central Asia"/>
    <n v="513"/>
    <s v="Northern America and Europe"/>
    <n v="150"/>
    <s v="Europe"/>
    <s v="EU31"/>
    <x v="12"/>
    <s v="eu27+"/>
    <s v="Other Europe"/>
    <s v="Other Southern Europe"/>
    <x v="13"/>
    <s v="Unclassified"/>
    <s v="Unclassified"/>
    <s v="Developed"/>
    <s v="Non recipient"/>
    <s v="Non SDG"/>
    <s v="Non-OECD"/>
    <s v="Non-OECD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IS"/>
    <x v="190"/>
    <n v="352"/>
    <n v="525"/>
    <s v="Iceland"/>
    <x v="190"/>
    <s v="Iceland"/>
    <s v="Islande"/>
    <s v="Islandia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Other Europe"/>
    <s v="Other Northern Europe"/>
    <x v="13"/>
    <s v="High income"/>
    <s v="Non-HIPC"/>
    <s v="Developed"/>
    <s v="Non recipient"/>
    <s v="Non SDG"/>
    <s v="OECD"/>
    <s v="OECD Europe"/>
    <s v="Non-IEA"/>
    <s v="3.0-Country/Area"/>
    <s v="ISK"/>
    <s v="ISL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IM"/>
    <x v="191"/>
    <n v="833"/>
    <n v="527"/>
    <s v="Isle of Man"/>
    <x v="191"/>
    <m/>
    <s v="Île de Man"/>
    <s v="Isla de Man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e v="#N/A"/>
    <s v="Other Europe"/>
    <s v="Other Northern Europe"/>
    <x v="13"/>
    <s v="High income"/>
    <s v="Non-HIPC"/>
    <s v="Developed"/>
    <s v="Non recipient"/>
    <s v="Non SDG"/>
    <s v="Non-OECD"/>
    <s v="Non-OECD"/>
    <s v="Non-IEA"/>
    <s v="3.0-Country/Area"/>
    <s v="GBP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JE"/>
    <x v="192"/>
    <n v="832"/>
    <n v="529"/>
    <s v="Jersey"/>
    <x v="192"/>
    <m/>
    <s v="Jersey"/>
    <s v="Jersey"/>
    <n v="150"/>
    <s v="Europe"/>
    <n v="154"/>
    <s v="Northern Europe"/>
    <n v="509"/>
    <s v="Channel Islands"/>
    <s v="Europe"/>
    <s v="Europe &amp; Central Asia"/>
    <n v="513"/>
    <s v="Northern America and Europe"/>
    <n v="150"/>
    <s v="Europe"/>
    <e v="#N/A"/>
    <x v="3"/>
    <e v="#N/A"/>
    <s v="Other Europe"/>
    <s v="Other Northern Europe"/>
    <x v="13"/>
    <s v="Unclassified"/>
    <s v="Unclassified"/>
    <s v="Developed"/>
    <s v="Non recipient"/>
    <s v="Non SDG"/>
    <s v="Non-OECD"/>
    <s v="Non-OECD"/>
    <s v="Non-IEA"/>
    <s v="3.0-Country/Area"/>
    <s v="GBP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193"/>
    <n v="412"/>
    <n v="530"/>
    <s v="Kosovo"/>
    <x v="193"/>
    <m/>
    <s v="Kosovo*"/>
    <s v="Kosovo*"/>
    <n v="150"/>
    <s v="Europe"/>
    <n v="151"/>
    <s v="Eastern Europe"/>
    <m/>
    <m/>
    <s v="Europe"/>
    <s v="Europe &amp; Central Asia"/>
    <n v="513"/>
    <s v="Northern America and Europe"/>
    <n v="150"/>
    <s v="Europe"/>
    <s v="EEUR"/>
    <x v="7"/>
    <e v="#N/A"/>
    <s v="Other Europe"/>
    <s v="Other Eastern Europe"/>
    <x v="13"/>
    <s v="Upper middle income"/>
    <s v="Non-HIPC"/>
    <s v="Developed"/>
    <s v="ODA recipient"/>
    <s v="SDG 7a1"/>
    <s v="Non-OECD"/>
    <s v="Non-OECD"/>
    <m/>
    <s v="3.0-Country/Area"/>
    <s v="EUR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LI"/>
    <x v="194"/>
    <n v="438"/>
    <n v="532"/>
    <s v="Liechtenstein"/>
    <x v="194"/>
    <s v="the Principality of Liechtenstein"/>
    <s v="Liechtenstein"/>
    <s v="Liechtenstein"/>
    <n v="150"/>
    <s v="Europe"/>
    <n v="155"/>
    <s v="Western Europe"/>
    <m/>
    <m/>
    <s v="Europe"/>
    <s v="Europe &amp; Central Asia"/>
    <n v="513"/>
    <s v="Northern America and Europe"/>
    <n v="150"/>
    <s v="Europe"/>
    <s v="EU31"/>
    <x v="12"/>
    <s v="eu27+"/>
    <s v="Other Europe"/>
    <s v="Other Western Europe"/>
    <x v="13"/>
    <s v="High income"/>
    <s v="Non-HIPC"/>
    <s v="Developed"/>
    <s v="Non recipient"/>
    <s v="Non SDG"/>
    <s v="Non-OECD"/>
    <s v="Non-OECD"/>
    <s v="Non-IEA"/>
    <s v="3.0-Country/Area"/>
    <s v="CHF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C"/>
    <x v="195"/>
    <n v="492"/>
    <n v="537"/>
    <s v="Monaco"/>
    <x v="195"/>
    <s v="the Principality of Monaco"/>
    <s v="Monaco"/>
    <s v="Mónaco"/>
    <n v="150"/>
    <s v="Europe"/>
    <n v="155"/>
    <s v="Western Europe"/>
    <m/>
    <m/>
    <s v="Europe"/>
    <s v="Europe &amp; Central Asia"/>
    <n v="513"/>
    <s v="Northern America and Europe"/>
    <n v="150"/>
    <s v="Europe"/>
    <s v="EU31"/>
    <x v="12"/>
    <s v="eu27+"/>
    <s v="Other Europe"/>
    <s v="Other Western Europe"/>
    <x v="13"/>
    <s v="High income"/>
    <s v="Non-HIPC"/>
    <s v="Developed"/>
    <s v="Non recipient"/>
    <s v="Non SDG"/>
    <s v="Non-OECD"/>
    <s v="Non-OECD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E"/>
    <x v="196"/>
    <n v="499"/>
    <n v="538"/>
    <s v="Montenegro"/>
    <x v="196"/>
    <s v="Montenegro"/>
    <s v="Monténégro"/>
    <s v="Montenegro"/>
    <n v="150"/>
    <s v="Europe"/>
    <n v="39"/>
    <s v="Southern Europe"/>
    <m/>
    <m/>
    <s v="Europe"/>
    <s v="Europe &amp; Central Asia"/>
    <n v="513"/>
    <s v="Northern America and Europe"/>
    <n v="150"/>
    <s v="Europe"/>
    <s v="EEUR"/>
    <x v="7"/>
    <e v="#N/A"/>
    <s v="Other Europe"/>
    <s v="Other Southern Europe"/>
    <x v="13"/>
    <s v="Upper middle income"/>
    <s v="Non-HIPC"/>
    <s v="Developed"/>
    <s v="ODA recipient"/>
    <s v="SDG 7a1"/>
    <s v="Non-OECD"/>
    <s v="Non-OECD"/>
    <s v="Non-IEA"/>
    <s v="3.0-Country/Area"/>
    <s v="EUR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n v="98205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K"/>
    <x v="197"/>
    <n v="807"/>
    <n v="518"/>
    <s v="North Macedonia"/>
    <x v="197"/>
    <s v="the Republic of North Macedonia"/>
    <s v="ex-République yougoslave de Macédoine"/>
    <s v="Macedonia del Norte"/>
    <n v="150"/>
    <s v="Europe"/>
    <n v="39"/>
    <s v="Southern Europe"/>
    <m/>
    <m/>
    <s v="Europe"/>
    <s v="Europe &amp; Central Asia"/>
    <n v="513"/>
    <s v="Northern America and Europe"/>
    <n v="150"/>
    <s v="Europe"/>
    <s v="EEUR"/>
    <x v="7"/>
    <s v="eu27+"/>
    <s v="Other Europe"/>
    <s v="Other Southern Europe"/>
    <x v="13"/>
    <s v="Upper middle income"/>
    <s v="Non-HIPC"/>
    <s v="Developed"/>
    <s v="ODA recipient"/>
    <s v="SDG 7a1"/>
    <s v="Non-OECD"/>
    <s v="Non-OECD"/>
    <s v="Non-IEA"/>
    <s v="3.0-Country/Area"/>
    <s v="MKD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n v="98205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NO"/>
    <x v="198"/>
    <n v="578"/>
    <n v="540"/>
    <s v="Norway"/>
    <x v="198"/>
    <s v="the Kingdom of Norway"/>
    <s v="Norvège"/>
    <s v="Noruega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Other Europe"/>
    <s v="Other Northern Europe"/>
    <x v="13"/>
    <s v="High income"/>
    <s v="Non-HIPC"/>
    <s v="Developed"/>
    <s v="Non recipient"/>
    <s v="Non SDG"/>
    <s v="OECD"/>
    <s v="OECD Europe"/>
    <s v="IEA"/>
    <s v="3.0-Country/Area"/>
    <s v="NOK"/>
    <s v="NOR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D"/>
    <x v="199"/>
    <n v="498"/>
    <n v="536"/>
    <s v="Moldova Rep"/>
    <x v="199"/>
    <s v="the Republic of Moldova"/>
    <s v="République de Moldova"/>
    <s v="República de Moldova"/>
    <n v="150"/>
    <s v="Europe"/>
    <n v="151"/>
    <s v="Eastern Europe"/>
    <m/>
    <m/>
    <s v="Europe"/>
    <s v="Europe &amp; Central Asia"/>
    <n v="513"/>
    <s v="Northern America and Europe"/>
    <n v="150"/>
    <s v="Europe"/>
    <s v="EEUR"/>
    <x v="7"/>
    <s v="ROW"/>
    <s v="Other Europe"/>
    <s v="Other Eastern Europe"/>
    <x v="13"/>
    <s v="Upper middle income"/>
    <s v="Non-HIPC"/>
    <s v="Developed"/>
    <s v="ODA recipient"/>
    <s v="SDG 7a1"/>
    <s v="Non-OECD"/>
    <s v="Non-OECD"/>
    <s v="Non-IEA"/>
    <s v="3.0-Country/Area"/>
    <s v="MDL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n v="98201"/>
    <n v="98202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M"/>
    <x v="200"/>
    <n v="674"/>
    <n v="544"/>
    <s v="San Marino"/>
    <x v="200"/>
    <s v="the Republic of San Marino"/>
    <s v="Saint-Marin"/>
    <s v="San Marino"/>
    <n v="150"/>
    <s v="Europe"/>
    <n v="39"/>
    <s v="Southern Europe"/>
    <m/>
    <m/>
    <s v="Europe"/>
    <s v="Europe &amp; Central Asia"/>
    <n v="513"/>
    <s v="Northern America and Europe"/>
    <n v="150"/>
    <s v="Europe"/>
    <s v="EU31"/>
    <x v="12"/>
    <s v="eu27+"/>
    <s v="Other Europe"/>
    <s v="Other Southern Europe"/>
    <x v="13"/>
    <s v="High income"/>
    <s v="Non-HIPC"/>
    <s v="Developed"/>
    <s v="Non recipient"/>
    <s v="Non SDG"/>
    <s v="Non-OECD"/>
    <s v="Non-OECD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m/>
    <x v="201"/>
    <n v="680"/>
    <n v="545"/>
    <s v="Sark"/>
    <x v="201"/>
    <m/>
    <s v="Sercq"/>
    <s v="Sark"/>
    <n v="150"/>
    <s v="Europe"/>
    <n v="154"/>
    <s v="Northern Europe"/>
    <n v="509"/>
    <s v="Channel Islands"/>
    <s v="Europe"/>
    <s v="Europe &amp; Central Asia"/>
    <n v="513"/>
    <s v="Northern America and Europe"/>
    <n v="150"/>
    <s v="Europe"/>
    <e v="#N/A"/>
    <x v="3"/>
    <e v="#N/A"/>
    <s v="Other Europe"/>
    <s v="Other Northern Europe"/>
    <x v="13"/>
    <s v="Unclassified"/>
    <s v="Unclassified"/>
    <s v="Developed"/>
    <s v="Non recipient"/>
    <s v="Non SDG"/>
    <m/>
    <m/>
    <m/>
    <s v="3.0-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RS"/>
    <x v="202"/>
    <n v="688"/>
    <n v="546"/>
    <s v="Serbia"/>
    <x v="202"/>
    <s v="the Republic of Serbia"/>
    <s v="Serbie"/>
    <s v="Serbia"/>
    <n v="150"/>
    <s v="Europe"/>
    <n v="39"/>
    <s v="Southern Europe"/>
    <m/>
    <m/>
    <s v="Europe"/>
    <s v="Europe &amp; Central Asia"/>
    <n v="513"/>
    <s v="Northern America and Europe"/>
    <n v="150"/>
    <s v="Europe"/>
    <s v="EEUR"/>
    <x v="7"/>
    <e v="#N/A"/>
    <s v="Other Europe"/>
    <s v="Other Southern Europe"/>
    <x v="13"/>
    <s v="Upper middle income"/>
    <s v="Non-HIPC"/>
    <s v="Developed"/>
    <s v="ODA recipient"/>
    <s v="SDG 7a1"/>
    <s v="Non-OECD"/>
    <s v="Non-OECD"/>
    <s v="Non-IEA"/>
    <s v="3.0-Country/Area"/>
    <s v="RSD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n v="98205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J"/>
    <x v="203"/>
    <n v="744"/>
    <n v="550"/>
    <s v="Svalbard Mayen"/>
    <x v="203"/>
    <m/>
    <s v="Îles Svalbard-et-Jan Mayen"/>
    <s v="Islas Svalbard y Jan Mayen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Other Europe"/>
    <s v="Other Northern Europe"/>
    <x v="13"/>
    <s v="Unclassified"/>
    <s v="Unclassified"/>
    <s v="Developed"/>
    <s v="Non recipient"/>
    <s v="Non SDG"/>
    <s v="Non-OECD"/>
    <s v="Non-OECD"/>
    <s v="Non-IEA"/>
    <s v="3.0-Country/Area"/>
    <s v="NOK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UA"/>
    <x v="204"/>
    <n v="804"/>
    <n v="554"/>
    <s v="Ukraine"/>
    <x v="204"/>
    <s v="Ukraine"/>
    <s v="Ukraine"/>
    <s v="Ucrania"/>
    <n v="150"/>
    <s v="Europe"/>
    <n v="151"/>
    <s v="Eastern Europe"/>
    <m/>
    <m/>
    <s v="Europe"/>
    <s v="Europe &amp; Central Asia"/>
    <n v="513"/>
    <s v="Northern America and Europe"/>
    <n v="150"/>
    <s v="Europe"/>
    <s v="EEUR"/>
    <x v="7"/>
    <s v="ROW"/>
    <s v="Other Europe"/>
    <s v="Other Eastern Europe"/>
    <x v="13"/>
    <s v="Lower middle income"/>
    <s v="Non-HIPC"/>
    <s v="Developed"/>
    <s v="ODA recipient"/>
    <s v="SDG 7a1"/>
    <s v="Non-OECD"/>
    <s v="Non-OECD"/>
    <s v="Non-IEA"/>
    <s v="3.0-Country/Area"/>
    <s v="UAH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n v="98201"/>
    <n v="98202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IN"/>
    <x v="205"/>
    <n v="356"/>
    <n v="210"/>
    <s v="India"/>
    <x v="205"/>
    <s v="the Republic of India"/>
    <s v="Inde"/>
    <s v="India"/>
    <n v="142"/>
    <s v="Asia"/>
    <n v="34"/>
    <s v="Southern Asia"/>
    <m/>
    <m/>
    <s v="Asia"/>
    <s v="South Asia"/>
    <n v="62"/>
    <s v="Central Asia and Southern Asia"/>
    <n v="34"/>
    <s v="Southern Asia"/>
    <s v="INDIA"/>
    <x v="13"/>
    <s v="india"/>
    <s v="Southern Asia"/>
    <s v="India"/>
    <x v="14"/>
    <s v="Lower middle income"/>
    <s v="Non-HIPC"/>
    <s v="Developing"/>
    <s v="ODA recipient"/>
    <s v="SDG 7a1"/>
    <s v="Non-OECD"/>
    <s v="Non-OECD"/>
    <s v="Non-IEA"/>
    <s v="3.0-Country/Area"/>
    <s v="INR"/>
    <s v="DAC"/>
    <m/>
    <s v="Non LDC"/>
    <s v="Non LLDC"/>
    <s v="Non SIDS"/>
    <s v="Non-EU"/>
    <s v="Non-EU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s v=""/>
    <s v=""/>
    <n v="98420"/>
    <s v=""/>
    <s v=""/>
    <s v=""/>
    <s v=""/>
    <s v=""/>
    <n v="98428"/>
    <s v=""/>
    <s v=""/>
    <s v=""/>
    <s v=""/>
    <n v="98438"/>
    <s v=""/>
    <s v=""/>
    <s v=""/>
    <s v=""/>
    <s v=""/>
    <s v=""/>
    <s v=""/>
    <s v=""/>
    <s v=""/>
    <s v=""/>
  </r>
  <r>
    <m/>
    <x v="206"/>
    <n v="99915"/>
    <m/>
    <m/>
    <x v="206"/>
    <m/>
    <m/>
    <m/>
    <m/>
    <m/>
    <m/>
    <m/>
    <m/>
    <m/>
    <m/>
    <m/>
    <m/>
    <m/>
    <m/>
    <m/>
    <e v="#N/A"/>
    <x v="3"/>
    <e v="#N/A"/>
    <m/>
    <m/>
    <x v="15"/>
    <s v="Unclassified"/>
    <s v="Unclassified"/>
    <s v="Unspecified"/>
    <s v="Non recipient"/>
    <s v="Unspecified"/>
    <s v="Non-OECD"/>
    <s v="Non-OECD Americas"/>
    <s v="Non-IEA"/>
    <s v="3.1-Other Country/Area"/>
    <m/>
    <m/>
    <m/>
    <s v="Non LDC"/>
    <s v="Non LLDC"/>
    <s v="Non SIDS"/>
    <s v="Non-EU"/>
    <s v="Non-EU"/>
    <s v="Non SIDS LH"/>
    <s v="Non-G7"/>
    <s v="Non-G8"/>
    <s v="Non-G20"/>
    <s v="D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7"/>
    <n v="99916"/>
    <m/>
    <m/>
    <x v="207"/>
    <m/>
    <m/>
    <m/>
    <m/>
    <m/>
    <m/>
    <m/>
    <m/>
    <m/>
    <m/>
    <m/>
    <m/>
    <m/>
    <m/>
    <m/>
    <e v="#N/A"/>
    <x v="3"/>
    <e v="#N/A"/>
    <m/>
    <m/>
    <x v="15"/>
    <s v="Unclassified"/>
    <s v="Unclassified"/>
    <s v="Unspecified"/>
    <s v="Non recipient"/>
    <s v="Unspecified"/>
    <s v="Non-OECD"/>
    <s v="Non-OECD Americas"/>
    <s v="Non-IEA"/>
    <s v="3.1-Other Country/Area"/>
    <m/>
    <m/>
    <m/>
    <s v="Non LDC"/>
    <s v="Non LLDC"/>
    <s v="Non SIDS"/>
    <s v="Non-EU"/>
    <s v="Non-EU"/>
    <s v="Non SIDS LH"/>
    <s v="Non-G7"/>
    <s v="Non-G8"/>
    <s v="Non-G20"/>
    <s v="D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8"/>
    <n v="99950"/>
    <m/>
    <m/>
    <x v="208"/>
    <m/>
    <m/>
    <m/>
    <m/>
    <m/>
    <m/>
    <m/>
    <m/>
    <m/>
    <m/>
    <m/>
    <m/>
    <m/>
    <m/>
    <m/>
    <m/>
    <x v="14"/>
    <m/>
    <m/>
    <m/>
    <x v="15"/>
    <m/>
    <m/>
    <m/>
    <m/>
    <m/>
    <m/>
    <m/>
    <m/>
    <s v="3.1-Other Country/Area"/>
    <m/>
    <m/>
    <m/>
    <m/>
    <m/>
    <e v="#REF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09"/>
    <n v="99940"/>
    <m/>
    <m/>
    <x v="209"/>
    <m/>
    <m/>
    <m/>
    <m/>
    <m/>
    <m/>
    <m/>
    <m/>
    <m/>
    <m/>
    <m/>
    <m/>
    <m/>
    <m/>
    <m/>
    <m/>
    <x v="14"/>
    <m/>
    <m/>
    <m/>
    <x v="15"/>
    <m/>
    <m/>
    <m/>
    <m/>
    <m/>
    <m/>
    <m/>
    <m/>
    <s v="3.1-Other Country/Area"/>
    <m/>
    <m/>
    <m/>
    <m/>
    <m/>
    <e v="#REF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210"/>
    <n v="99917"/>
    <m/>
    <m/>
    <x v="210"/>
    <m/>
    <m/>
    <m/>
    <m/>
    <m/>
    <m/>
    <m/>
    <m/>
    <m/>
    <m/>
    <m/>
    <m/>
    <m/>
    <m/>
    <m/>
    <e v="#N/A"/>
    <x v="3"/>
    <e v="#N/A"/>
    <m/>
    <m/>
    <x v="15"/>
    <s v="Unclassified"/>
    <s v="Unclassified"/>
    <s v="Unspecified"/>
    <s v="Non recipient"/>
    <s v="Unspecified"/>
    <s v="Non-OECD"/>
    <s v="Non-OECD Americas"/>
    <s v="Non-IEA"/>
    <s v="3.1-Other Country/Area"/>
    <m/>
    <m/>
    <m/>
    <s v="Non LDC"/>
    <s v="Non LLDC"/>
    <s v="Non SIDS"/>
    <s v="Non-EU"/>
    <s v="Non-EU"/>
    <s v="Non SIDS LH"/>
    <s v="Non-G7"/>
    <s v="Non-G8"/>
    <s v="Non-G20"/>
    <s v="DN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JP"/>
    <x v="211"/>
    <n v="392"/>
    <n v="212"/>
    <s v="Japan"/>
    <x v="211"/>
    <s v="Japan"/>
    <s v="Japon"/>
    <s v="Japón"/>
    <n v="142"/>
    <s v="Asia"/>
    <n v="30"/>
    <s v="Eastern Asia"/>
    <m/>
    <m/>
    <s v="Asia"/>
    <s v="East Asia &amp; Pacific"/>
    <n v="753"/>
    <s v="Eastern Asia and South-eastern Asia"/>
    <n v="30"/>
    <s v="Eastern Asia"/>
    <s v="JPKRTW"/>
    <x v="10"/>
    <s v="japan"/>
    <s v="Eastern Asia"/>
    <s v="Japan"/>
    <x v="16"/>
    <s v="High income"/>
    <s v="Non-HIPC"/>
    <s v="Developed"/>
    <s v="Non recipient"/>
    <s v="Non SDG"/>
    <s v="OECD"/>
    <s v="OECD Asia Oceania"/>
    <s v="IEA"/>
    <s v="3.0-Country/Area"/>
    <s v="JPY"/>
    <s v="JPN"/>
    <m/>
    <s v="Non LDC"/>
    <s v="Non LLDC"/>
    <s v="Non SIDS"/>
    <s v="Non-EU"/>
    <s v="Non-EU"/>
    <s v="Non SIDS LH"/>
    <s v="G7"/>
    <s v="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n v="98408"/>
    <s v=""/>
    <s v=""/>
    <s v=""/>
    <s v=""/>
    <s v=""/>
    <s v=""/>
    <s v=""/>
    <s v=""/>
    <s v=""/>
    <s v=""/>
    <s v=""/>
    <s v=""/>
    <s v=""/>
    <s v=""/>
    <n v="98436"/>
    <s v=""/>
    <s v=""/>
    <s v=""/>
    <s v=""/>
    <s v=""/>
    <s v=""/>
    <s v=""/>
    <s v=""/>
    <s v=""/>
    <s v=""/>
    <s v=""/>
    <s v=""/>
  </r>
  <r>
    <s v="IL"/>
    <x v="212"/>
    <n v="376"/>
    <n v="604"/>
    <s v="Israel"/>
    <x v="212"/>
    <s v="the State of Israel"/>
    <s v="Israël"/>
    <s v="Israel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5"/>
    <s v="midEas"/>
    <s v="Western Asia"/>
    <s v="Other Western Asia"/>
    <x v="17"/>
    <s v="High income"/>
    <s v="Non-HIPC"/>
    <s v="Developed"/>
    <s v="Non recipient"/>
    <s v="Non SDG"/>
    <s v="OECD"/>
    <s v="OECD Europe"/>
    <s v="Non-IEA"/>
    <s v="3.0-Country/Area"/>
    <s v="ILS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JO"/>
    <x v="213"/>
    <n v="400"/>
    <n v="605"/>
    <s v="Jordan"/>
    <x v="213"/>
    <s v="the Hashemite Kingdom of Jordan"/>
    <s v="Jordanie"/>
    <s v="Jordania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5"/>
    <s v="midEas"/>
    <s v="Western Asia"/>
    <s v="Other Western Asia"/>
    <x v="17"/>
    <s v="Upper middle income"/>
    <s v="Non-HIPC"/>
    <s v="Developing"/>
    <s v="ODA recipient"/>
    <s v="SDG 7a1"/>
    <s v="Non-OECD"/>
    <s v="Non-OECD"/>
    <s v="Non-IEA"/>
    <s v="3.0-Country/Area"/>
    <s v="JOD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s v=""/>
    <n v="98503"/>
    <s v=""/>
    <s v=""/>
    <s v=""/>
    <n v="98507"/>
    <n v="98508"/>
    <s v=""/>
  </r>
  <r>
    <s v="LB"/>
    <x v="214"/>
    <n v="422"/>
    <n v="607"/>
    <s v="Lebanon"/>
    <x v="214"/>
    <s v="the Lebanese Republic"/>
    <s v="Liban"/>
    <s v="Líbano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5"/>
    <s v="midEas"/>
    <s v="Western Asia"/>
    <s v="Other Western Asia"/>
    <x v="17"/>
    <s v="Lower middle income"/>
    <s v="Non-HIPC"/>
    <s v="Developing"/>
    <s v="ODA recipient"/>
    <s v="SDG 7a1"/>
    <s v="Non-OECD"/>
    <s v="Non-OECD"/>
    <s v="Non-IEA"/>
    <s v="3.0-Country/Area"/>
    <s v="LBP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s v=""/>
    <n v="98503"/>
    <s v=""/>
    <s v=""/>
    <s v=""/>
    <n v="98507"/>
    <n v="98508"/>
    <s v=""/>
  </r>
  <r>
    <s v="PS"/>
    <x v="215"/>
    <n v="275"/>
    <n v="609"/>
    <s v="Palestine"/>
    <x v="215"/>
    <s v="the State of Palestine"/>
    <s v="État de Palestine"/>
    <s v="Estado de Palestina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5"/>
    <e v="#N/A"/>
    <s v="Western Asia"/>
    <s v="Other Western Asia"/>
    <x v="17"/>
    <s v="Lower middle income"/>
    <s v="Non-HIPC"/>
    <s v="Developing"/>
    <s v="ODA recipient"/>
    <s v="SDG 7a1"/>
    <s v="Non-OECD"/>
    <s v="Non-OECD"/>
    <s v="Non-IEA"/>
    <s v="3.0-Country/Area"/>
    <m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s v=""/>
    <n v="98503"/>
    <s v=""/>
    <s v=""/>
    <n v="98506"/>
    <s v=""/>
    <n v="98508"/>
    <s v=""/>
  </r>
  <r>
    <s v="SY"/>
    <x v="216"/>
    <n v="760"/>
    <n v="612"/>
    <s v="Syrian AR"/>
    <x v="216"/>
    <s v="the Syrian Arab Republic"/>
    <s v="République arabe syrienne"/>
    <s v="República Árabe Siria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5"/>
    <s v="midEas"/>
    <s v="Western Asia"/>
    <s v="Other Western Asia"/>
    <x v="17"/>
    <s v="Low income"/>
    <s v="Non-HIPC"/>
    <s v="Developing"/>
    <s v="ODA recipient"/>
    <s v="SDG 7a1"/>
    <s v="Non-OECD"/>
    <s v="Non-OECD"/>
    <s v="Non-IEA"/>
    <s v="3.0-Country/Area"/>
    <s v="SYP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s v=""/>
    <n v="98503"/>
    <s v=""/>
    <s v=""/>
    <n v="98506"/>
    <s v=""/>
    <s v=""/>
    <n v="98509"/>
  </r>
  <r>
    <s v="TR"/>
    <x v="217"/>
    <n v="792"/>
    <n v="405"/>
    <s v="Türkiye "/>
    <x v="217"/>
    <s v="the Republic of Türkiye"/>
    <s v="Türkiye"/>
    <s v="Türkiye"/>
    <n v="142"/>
    <s v="Asia"/>
    <n v="145"/>
    <s v="Western Asia"/>
    <m/>
    <m/>
    <s v="Eurasia"/>
    <s v="Europe &amp; Central Asia"/>
    <n v="747"/>
    <s v="Western Asia and Northern Africa"/>
    <n v="145"/>
    <s v="Western Asia"/>
    <s v="EEUR"/>
    <x v="7"/>
    <s v="ROW"/>
    <s v="Western Asia"/>
    <s v="Türkiye"/>
    <x v="17"/>
    <s v="Upper middle income"/>
    <s v="Non-HIPC"/>
    <s v="Developing"/>
    <s v="ODA recipient"/>
    <s v="SDG 7a1"/>
    <s v="OECD"/>
    <s v="OECD Europe"/>
    <s v="IEA"/>
    <s v="3.0-Country/Area"/>
    <s v="TRY"/>
    <s v="DAC"/>
    <s v="BRI"/>
    <s v="Non LDC"/>
    <s v="Non LLDC"/>
    <s v="Non SIDS"/>
    <s v="Non-EU"/>
    <s v="Non-EU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n v="98400"/>
    <s v=""/>
    <s v=""/>
    <n v="98407"/>
    <s v=""/>
    <s v=""/>
    <s v=""/>
    <s v=""/>
    <s v=""/>
    <s v=""/>
    <n v="98420"/>
    <s v=""/>
    <s v=""/>
    <s v=""/>
    <s v=""/>
    <s v=""/>
    <s v=""/>
    <s v=""/>
    <s v=""/>
    <s v=""/>
    <n v="98437"/>
    <s v=""/>
    <s v=""/>
    <s v=""/>
    <s v=""/>
    <s v=""/>
    <s v=""/>
    <s v=""/>
    <s v=""/>
    <s v=""/>
    <s v=""/>
    <s v=""/>
  </r>
  <r>
    <s v="MX"/>
    <x v="218"/>
    <n v="484"/>
    <n v="704"/>
    <s v="Mexico"/>
    <x v="218"/>
    <s v="the United Mexican States"/>
    <s v="Mexique"/>
    <s v="México"/>
    <n v="19"/>
    <s v="Americas"/>
    <n v="419"/>
    <s v="Latin America and the Caribbean"/>
    <n v="13"/>
    <s v="Central America"/>
    <s v="North America"/>
    <s v="Latin America &amp; Caribbean"/>
    <n v="419"/>
    <s v="Latin America and the Caribbean"/>
    <n v="419"/>
    <s v="Latin America and the Caribbean"/>
    <s v="CANMEX"/>
    <x v="5"/>
    <s v="ROW"/>
    <s v="Central America"/>
    <s v="Mexico"/>
    <x v="18"/>
    <s v="Upper middle income"/>
    <s v="Non-HIPC"/>
    <s v="Developing"/>
    <s v="ODA recipient"/>
    <s v="SDG 7a1"/>
    <s v="OECD"/>
    <s v="OECD Americas"/>
    <s v="IEA"/>
    <s v="3.0-Country/Area"/>
    <s v="MXN"/>
    <s v="DAC"/>
    <m/>
    <s v="Non LDC"/>
    <s v="Non LLDC"/>
    <s v="Non SIDS"/>
    <s v="Non-EU"/>
    <s v="Non-EU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O"/>
    <x v="219"/>
    <n v="24"/>
    <n v="102"/>
    <s v="Angola"/>
    <x v="219"/>
    <s v="the Republic of Angola"/>
    <s v="Angola"/>
    <s v="Angola"/>
    <n v="2"/>
    <s v="Africa"/>
    <n v="202"/>
    <s v="Sub-Saharan Africa"/>
    <n v="17"/>
    <s v="Middle Africa"/>
    <s v="Africa"/>
    <s v="Sub-Saharan Africa"/>
    <n v="202"/>
    <s v="Sub-Saharan Africa"/>
    <n v="202"/>
    <s v="Sub-Saharan Africa"/>
    <s v="SSAFRICA"/>
    <x v="11"/>
    <s v="ROW"/>
    <s v="Middle Africa"/>
    <s v="Middle Africa"/>
    <x v="19"/>
    <s v="Lower middle income"/>
    <s v="Non-HIPC"/>
    <s v="Developing"/>
    <s v="ODA recipient"/>
    <s v="SDG 7a1"/>
    <s v="Non-OECD"/>
    <s v="Non-OECD"/>
    <s v="Non-IEA"/>
    <s v="3.0-Country/Area"/>
    <s v="AOA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s v=""/>
    <s v=""/>
    <n v="98104"/>
    <s v=""/>
    <n v="98106"/>
    <n v="98107"/>
    <s v=""/>
    <s v=""/>
    <n v="98110"/>
    <s v=""/>
    <s v=""/>
    <s v=""/>
    <s v=""/>
    <s v=""/>
    <s v=""/>
    <s v=""/>
    <n v="98118"/>
    <s v=""/>
    <s v=""/>
    <s v=""/>
    <n v="98122"/>
    <n v="98123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M"/>
    <x v="220"/>
    <n v="120"/>
    <n v="110"/>
    <s v="Cameroon"/>
    <x v="220"/>
    <s v="the Republic of Cameroon"/>
    <s v="Cameroun"/>
    <s v="Camerún"/>
    <n v="2"/>
    <s v="Africa"/>
    <n v="202"/>
    <s v="Sub-Saharan Africa"/>
    <n v="17"/>
    <s v="Middle Africa"/>
    <s v="Africa"/>
    <s v="Sub-Saharan Africa"/>
    <n v="202"/>
    <s v="Sub-Saharan Africa"/>
    <n v="202"/>
    <s v="Sub-Saharan Africa"/>
    <s v="SSAFRICA"/>
    <x v="11"/>
    <s v="ROW"/>
    <s v="Middle Africa"/>
    <s v="Middle Africa"/>
    <x v="19"/>
    <s v="Lower middle income"/>
    <s v="HIPC"/>
    <s v="Developing"/>
    <s v="ODA recipient"/>
    <s v="SDG 7a1"/>
    <s v="Non-OECD"/>
    <s v="Non-OECD"/>
    <s v="Non-IEA"/>
    <s v="3.0-Country/Area"/>
    <s v="XAF"/>
    <s v="DAC"/>
    <s v="BRI"/>
    <s v="Non LDC"/>
    <s v="Non LLDC"/>
    <s v="Non SIDS"/>
    <s v="Non-EU"/>
    <s v="Non-EU"/>
    <s v="Non SIDS LH"/>
    <s v="Non-G7"/>
    <s v="Non-G8"/>
    <s v="Non-G20"/>
    <s v="Include"/>
    <n v="98100"/>
    <n v="98101"/>
    <s v=""/>
    <s v=""/>
    <s v=""/>
    <s v=""/>
    <n v="98106"/>
    <n v="98107"/>
    <s v=""/>
    <s v=""/>
    <s v=""/>
    <s v=""/>
    <s v=""/>
    <s v=""/>
    <s v=""/>
    <s v=""/>
    <s v=""/>
    <s v=""/>
    <s v=""/>
    <s v=""/>
    <s v=""/>
    <s v=""/>
    <s v=""/>
    <n v="98123"/>
    <n v="98124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F"/>
    <x v="221"/>
    <n v="140"/>
    <n v="111"/>
    <s v="Cent Afr Rep"/>
    <x v="221"/>
    <s v="the Central African Republic"/>
    <s v="République centrafricaine"/>
    <s v="República Centroafricana"/>
    <n v="2"/>
    <s v="Africa"/>
    <n v="202"/>
    <s v="Sub-Saharan Africa"/>
    <n v="17"/>
    <s v="Middle Africa"/>
    <s v="Africa"/>
    <s v="Sub-Saharan Africa"/>
    <n v="202"/>
    <s v="Sub-Saharan Africa"/>
    <n v="202"/>
    <s v="Sub-Saharan Africa"/>
    <s v="SSAFRICA"/>
    <x v="11"/>
    <s v="ROW"/>
    <s v="Middle Africa"/>
    <s v="Middle Africa"/>
    <x v="19"/>
    <s v="Low income"/>
    <s v="HIPC"/>
    <s v="Developing"/>
    <s v="ODA recipient"/>
    <s v="SDG 7a1"/>
    <s v="Non-OECD"/>
    <s v="Non-OECD"/>
    <s v="Non-IEA"/>
    <s v="3.0-Country/Area"/>
    <s v="XAF"/>
    <s v="DAC"/>
    <m/>
    <s v="LDC"/>
    <s v="LLDC"/>
    <s v="Non SIDS"/>
    <s v="Non-EU"/>
    <s v="Non-EU"/>
    <s v="Non SIDS LH"/>
    <s v="Non-G7"/>
    <s v="Non-G8"/>
    <s v="Non-G20"/>
    <s v="Include"/>
    <n v="98100"/>
    <n v="98101"/>
    <s v=""/>
    <s v=""/>
    <s v=""/>
    <s v=""/>
    <n v="98106"/>
    <n v="98107"/>
    <s v=""/>
    <s v=""/>
    <s v=""/>
    <s v=""/>
    <n v="98112"/>
    <s v=""/>
    <s v=""/>
    <s v=""/>
    <n v="98116"/>
    <n v="98117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TD"/>
    <x v="222"/>
    <n v="148"/>
    <n v="112"/>
    <s v="Chad"/>
    <x v="222"/>
    <s v="the Republic of Chad"/>
    <s v="Tchad"/>
    <s v="Chad"/>
    <n v="2"/>
    <s v="Africa"/>
    <n v="202"/>
    <s v="Sub-Saharan Africa"/>
    <n v="17"/>
    <s v="Middle Africa"/>
    <s v="Africa"/>
    <s v="Sub-Saharan Africa"/>
    <n v="202"/>
    <s v="Sub-Saharan Africa"/>
    <n v="202"/>
    <s v="Sub-Saharan Africa"/>
    <s v="SSAFRICA"/>
    <x v="11"/>
    <s v="ROW"/>
    <s v="Middle Africa"/>
    <s v="Middle Africa"/>
    <x v="19"/>
    <s v="Low income"/>
    <s v="HIPC"/>
    <s v="Developing"/>
    <s v="ODA recipient"/>
    <s v="SDG 7a1"/>
    <s v="Non-OECD"/>
    <s v="Non-OECD"/>
    <s v="Non-IEA"/>
    <s v="3.0-Country/Area"/>
    <s v="XAF"/>
    <s v="DAC"/>
    <s v="BRI"/>
    <s v="LDC"/>
    <s v="LLDC"/>
    <s v="Non SIDS"/>
    <s v="Non-EU"/>
    <s v="Non-EU"/>
    <s v="Non SIDS LH"/>
    <s v="Non-G7"/>
    <s v="Non-G8"/>
    <s v="Non-G20"/>
    <s v="Include"/>
    <n v="98100"/>
    <n v="98101"/>
    <s v=""/>
    <s v=""/>
    <s v=""/>
    <s v=""/>
    <n v="98106"/>
    <n v="98107"/>
    <s v=""/>
    <s v=""/>
    <s v=""/>
    <s v=""/>
    <n v="98112"/>
    <s v=""/>
    <s v=""/>
    <s v=""/>
    <n v="98116"/>
    <n v="98117"/>
    <n v="98118"/>
    <s v=""/>
    <s v=""/>
    <s v=""/>
    <n v="98122"/>
    <n v="98123"/>
    <n v="98124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G"/>
    <x v="223"/>
    <n v="178"/>
    <n v="115"/>
    <s v="Congo Rep"/>
    <x v="223"/>
    <s v="the Republic of the Congo"/>
    <s v="Congo"/>
    <s v="Congo"/>
    <n v="2"/>
    <s v="Africa"/>
    <n v="202"/>
    <s v="Sub-Saharan Africa"/>
    <n v="17"/>
    <s v="Middle Africa"/>
    <s v="Africa"/>
    <s v="Sub-Saharan Africa"/>
    <n v="202"/>
    <s v="Sub-Saharan Africa"/>
    <n v="202"/>
    <s v="Sub-Saharan Africa"/>
    <s v="SSAFRICA"/>
    <x v="11"/>
    <s v="ROW"/>
    <s v="Middle Africa"/>
    <s v="Middle Africa"/>
    <x v="19"/>
    <s v="Lower middle income"/>
    <s v="HIPC"/>
    <s v="Developing"/>
    <s v="ODA recipient"/>
    <s v="SDG 7a1"/>
    <s v="Non-OECD"/>
    <s v="Non-OECD"/>
    <s v="Non-IEA"/>
    <s v="3.0-Country/Area"/>
    <s v="XAF"/>
    <s v="DAC"/>
    <s v="BRI"/>
    <s v="Non LDC"/>
    <s v="Non LLDC"/>
    <s v="Non SIDS"/>
    <s v="Non-EU"/>
    <s v="Non-EU"/>
    <s v="Non SIDS LH"/>
    <s v="Non-G7"/>
    <s v="Non-G8"/>
    <s v="Non-G20"/>
    <s v="Include"/>
    <n v="98100"/>
    <n v="98101"/>
    <s v=""/>
    <s v=""/>
    <s v=""/>
    <s v=""/>
    <n v="98106"/>
    <n v="98107"/>
    <s v=""/>
    <s v=""/>
    <s v=""/>
    <s v=""/>
    <s v=""/>
    <s v=""/>
    <s v=""/>
    <s v=""/>
    <s v=""/>
    <s v=""/>
    <s v=""/>
    <s v=""/>
    <s v=""/>
    <s v=""/>
    <s v=""/>
    <n v="98123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D"/>
    <x v="224"/>
    <n v="180"/>
    <n v="114"/>
    <s v="Congo DR"/>
    <x v="224"/>
    <s v="the Democratic Republic of the Congo"/>
    <s v="République démocratique du Congo"/>
    <s v="República Democrática del Congo"/>
    <n v="2"/>
    <s v="Africa"/>
    <n v="202"/>
    <s v="Sub-Saharan Africa"/>
    <n v="17"/>
    <s v="Middle Africa"/>
    <s v="Africa"/>
    <s v="Sub-Saharan Africa"/>
    <n v="202"/>
    <s v="Sub-Saharan Africa"/>
    <n v="202"/>
    <s v="Sub-Saharan Africa"/>
    <s v="SSAFRICA"/>
    <x v="11"/>
    <s v="ROW"/>
    <s v="Middle Africa"/>
    <s v="Middle Africa"/>
    <x v="19"/>
    <s v="Low income"/>
    <s v="HIPC"/>
    <s v="Developing"/>
    <s v="ODA recipient"/>
    <s v="SDG 7a1"/>
    <s v="Non-OECD"/>
    <s v="Non-OECD"/>
    <s v="Non-IEA"/>
    <s v="3.0-Country/Area"/>
    <s v="CDF"/>
    <s v="DAC"/>
    <m/>
    <s v="LDC"/>
    <s v="Non LLDC"/>
    <s v="Non SIDS"/>
    <s v="Non-EU"/>
    <s v="Non-EU"/>
    <s v="Non SIDS LH"/>
    <s v="Non-G7"/>
    <s v="Non-G8"/>
    <s v="Non-G20"/>
    <s v="Include"/>
    <n v="98100"/>
    <s v=""/>
    <n v="98102"/>
    <s v=""/>
    <s v=""/>
    <s v=""/>
    <n v="98106"/>
    <n v="98107"/>
    <s v=""/>
    <s v=""/>
    <n v="98110"/>
    <s v=""/>
    <s v=""/>
    <n v="98113"/>
    <n v="98114"/>
    <s v=""/>
    <s v=""/>
    <s v=""/>
    <n v="98118"/>
    <n v="98119"/>
    <s v=""/>
    <s v=""/>
    <n v="98122"/>
    <n v="98123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Q"/>
    <x v="225"/>
    <n v="226"/>
    <n v="119"/>
    <s v="Eq Guinea"/>
    <x v="225"/>
    <s v="the Republic of Equatorial Guinea"/>
    <s v="Guinée équatoriale"/>
    <s v="Guinea Ecuatorial"/>
    <n v="2"/>
    <s v="Africa"/>
    <n v="202"/>
    <s v="Sub-Saharan Africa"/>
    <n v="17"/>
    <s v="Middle Africa"/>
    <s v="Africa"/>
    <s v="Sub-Saharan Africa"/>
    <n v="202"/>
    <s v="Sub-Saharan Africa"/>
    <n v="202"/>
    <s v="Sub-Saharan Africa"/>
    <s v="SSAFRICA"/>
    <x v="11"/>
    <s v="ROW"/>
    <s v="Middle Africa"/>
    <s v="Middle Africa"/>
    <x v="19"/>
    <s v="Upper middle income"/>
    <s v="Non-HIPC"/>
    <s v="Developing"/>
    <s v="ODA recipient"/>
    <s v="SDG 7a1"/>
    <s v="Non-OECD"/>
    <s v="Non-OECD"/>
    <s v="Non-IEA"/>
    <s v="3.0-Country/Area"/>
    <s v="XAF"/>
    <s v="DAC"/>
    <s v="BRI"/>
    <s v="Non LDC"/>
    <s v="Non LLDC"/>
    <s v="Non SIDS"/>
    <s v="Non-EU"/>
    <s v="Non-EU"/>
    <s v="Non SIDS LH"/>
    <s v="Non-G7"/>
    <s v="Non-G8"/>
    <s v="Non-G20"/>
    <s v="Include"/>
    <n v="98100"/>
    <n v="98101"/>
    <s v=""/>
    <s v=""/>
    <s v=""/>
    <s v=""/>
    <n v="98106"/>
    <n v="98107"/>
    <s v=""/>
    <s v=""/>
    <s v=""/>
    <s v=""/>
    <s v=""/>
    <s v=""/>
    <s v=""/>
    <s v=""/>
    <s v=""/>
    <s v=""/>
    <s v=""/>
    <n v="98119"/>
    <s v=""/>
    <s v=""/>
    <s v=""/>
    <n v="98123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A"/>
    <x v="226"/>
    <n v="266"/>
    <n v="124"/>
    <s v="Gabon"/>
    <x v="226"/>
    <s v="the Gabonese Republic"/>
    <s v="Gabon"/>
    <s v="Gabón"/>
    <n v="2"/>
    <s v="Africa"/>
    <n v="202"/>
    <s v="Sub-Saharan Africa"/>
    <n v="17"/>
    <s v="Middle Africa"/>
    <s v="Africa"/>
    <s v="Sub-Saharan Africa"/>
    <n v="202"/>
    <s v="Sub-Saharan Africa"/>
    <n v="202"/>
    <s v="Sub-Saharan Africa"/>
    <s v="SSAFRICA"/>
    <x v="11"/>
    <s v="ROW"/>
    <s v="Middle Africa"/>
    <s v="Middle Africa"/>
    <x v="19"/>
    <s v="Upper middle income"/>
    <s v="Non-HIPC"/>
    <s v="Developing"/>
    <s v="ODA recipient"/>
    <s v="SDG 7a1"/>
    <s v="Non-OECD"/>
    <s v="Non-OECD"/>
    <s v="Non-IEA"/>
    <s v="3.0-Country/Area"/>
    <s v="XAF"/>
    <s v="DAC"/>
    <s v="BRI"/>
    <s v="Non LDC"/>
    <s v="Non LLDC"/>
    <s v="Non SIDS"/>
    <s v="Non-EU"/>
    <s v="Non-EU"/>
    <s v="Non SIDS LH"/>
    <s v="Non-G7"/>
    <s v="Non-G8"/>
    <s v="Non-G20"/>
    <s v="Include"/>
    <n v="98100"/>
    <n v="98101"/>
    <s v=""/>
    <s v=""/>
    <s v=""/>
    <s v=""/>
    <n v="98106"/>
    <n v="98107"/>
    <s v=""/>
    <s v=""/>
    <s v=""/>
    <s v=""/>
    <s v=""/>
    <s v=""/>
    <s v=""/>
    <s v=""/>
    <s v=""/>
    <s v=""/>
    <s v=""/>
    <s v=""/>
    <s v=""/>
    <s v=""/>
    <s v=""/>
    <n v="98123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T"/>
    <x v="227"/>
    <n v="678"/>
    <n v="148"/>
    <s v="Sao Tome Prn"/>
    <x v="227"/>
    <s v="the Democratic Republic of Sao Tome and Principe"/>
    <s v="Sao Tomé-et-Principe"/>
    <s v="Santo Tomé y Príncipe"/>
    <n v="2"/>
    <s v="Africa"/>
    <n v="202"/>
    <s v="Sub-Saharan Africa"/>
    <n v="17"/>
    <s v="Middle Africa"/>
    <s v="Africa"/>
    <s v="Sub-Saharan Africa"/>
    <n v="202"/>
    <s v="Sub-Saharan Africa"/>
    <n v="202"/>
    <s v="Sub-Saharan Africa"/>
    <s v="SSAFRICA"/>
    <x v="11"/>
    <s v="ROW"/>
    <s v="Middle Africa"/>
    <s v="Middle Africa"/>
    <x v="19"/>
    <s v="Lower middle income"/>
    <s v="HIPC"/>
    <s v="Developing"/>
    <s v="ODA recipient"/>
    <s v="SDG 7a1"/>
    <s v="Non-OECD"/>
    <s v="Non-OECD"/>
    <s v="Non-IEA"/>
    <s v="3.0-Country/Area"/>
    <s v="STN"/>
    <s v="DAC"/>
    <m/>
    <s v="LDC"/>
    <s v="Non LLDC"/>
    <s v="SIDS"/>
    <s v="Non-EU"/>
    <s v="Non-EU"/>
    <s v="SIDS LH"/>
    <s v="Non-G7"/>
    <s v="Non-G8"/>
    <s v="Non-G20"/>
    <s v="Include"/>
    <n v="98100"/>
    <n v="98101"/>
    <s v=""/>
    <s v=""/>
    <s v=""/>
    <s v=""/>
    <n v="98106"/>
    <n v="98107"/>
    <s v=""/>
    <s v=""/>
    <s v=""/>
    <s v=""/>
    <s v=""/>
    <s v=""/>
    <s v=""/>
    <n v="98115"/>
    <s v=""/>
    <s v=""/>
    <n v="98118"/>
    <s v=""/>
    <n v="98120"/>
    <n v="98121"/>
    <s v=""/>
    <s v=""/>
    <s v=""/>
    <n v="98125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DZ"/>
    <x v="228"/>
    <n v="12"/>
    <n v="101"/>
    <s v="Algeria"/>
    <x v="228"/>
    <s v="the People's Democratic Republic of Algeria"/>
    <s v="Algérie"/>
    <s v="Argelia"/>
    <n v="2"/>
    <s v="Africa"/>
    <n v="15"/>
    <s v="Northern Africa"/>
    <n v="15"/>
    <s v="Northern Africa"/>
    <s v="Africa"/>
    <s v="Middle East &amp; North Africa"/>
    <n v="747"/>
    <s v="Western Asia and Northern Africa"/>
    <n v="15"/>
    <s v="Northern Africa"/>
    <s v="MENA"/>
    <x v="16"/>
    <s v="ROW"/>
    <s v="Northern Africa"/>
    <s v="Northern Africa"/>
    <x v="20"/>
    <s v="Lower middle income"/>
    <s v="Non-HIPC"/>
    <s v="Developing"/>
    <s v="ODA recipient"/>
    <s v="SDG 7a1"/>
    <s v="Non-OECD"/>
    <s v="Non-OECD"/>
    <s v="Non-IEA"/>
    <s v="3.0-Country/Area"/>
    <s v="DZD"/>
    <s v="DAC"/>
    <s v="BRI"/>
    <s v="Non LDC"/>
    <s v="Non LLDC"/>
    <s v="Non SIDS"/>
    <s v="Non-EU"/>
    <s v="Non-EU"/>
    <s v="Non SIDS LH"/>
    <s v="Non-G7"/>
    <s v="Non-G8"/>
    <s v="Non-G20"/>
    <s v="Include"/>
    <n v="98100"/>
    <s v=""/>
    <s v=""/>
    <n v="98103"/>
    <s v=""/>
    <s v=""/>
    <n v="98106"/>
    <s v=""/>
    <s v=""/>
    <s v=""/>
    <s v=""/>
    <n v="98111"/>
    <s v=""/>
    <s v=""/>
    <s v=""/>
    <s v=""/>
    <s v=""/>
    <s v=""/>
    <s v=""/>
    <n v="98119"/>
    <s v=""/>
    <s v=""/>
    <s v=""/>
    <n v="98123"/>
    <s v=""/>
    <s v=""/>
    <s v="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501"/>
    <s v=""/>
    <s v=""/>
    <n v="98504"/>
    <s v=""/>
    <s v=""/>
    <n v="98507"/>
    <n v="98508"/>
    <s v=""/>
  </r>
  <r>
    <s v="EG"/>
    <x v="229"/>
    <n v="818"/>
    <n v="118"/>
    <s v="Egypt"/>
    <x v="229"/>
    <s v="the Arab Republic of Egypt"/>
    <s v="Égypte"/>
    <s v="Egipto"/>
    <n v="2"/>
    <s v="Africa"/>
    <n v="15"/>
    <s v="Northern Africa"/>
    <n v="15"/>
    <s v="Northern Africa"/>
    <s v="Africa"/>
    <s v="Middle East &amp; North Africa"/>
    <n v="747"/>
    <s v="Western Asia and Northern Africa"/>
    <n v="15"/>
    <s v="Northern Africa"/>
    <s v="MENA"/>
    <x v="16"/>
    <s v="ROW"/>
    <s v="Northern Africa"/>
    <s v="Northern Africa"/>
    <x v="20"/>
    <s v="Lower middle income"/>
    <s v="Non-HIPC"/>
    <s v="Developing"/>
    <s v="ODA recipient"/>
    <s v="SDG 7a1"/>
    <s v="Non-OECD"/>
    <s v="Non-OECD"/>
    <s v="Non-IEA"/>
    <s v="3.0-Country/Area"/>
    <s v="EGP"/>
    <s v="DAC"/>
    <s v="BRI"/>
    <s v="Non LDC"/>
    <s v="Non LLDC"/>
    <s v="Non SIDS"/>
    <s v="Non-EU"/>
    <s v="Non-EU"/>
    <s v="Non SIDS LH"/>
    <s v="Non-G7"/>
    <s v="Non-G8"/>
    <s v="Non-G20"/>
    <s v="Include"/>
    <n v="98100"/>
    <s v=""/>
    <s v=""/>
    <n v="98103"/>
    <s v=""/>
    <s v=""/>
    <n v="98106"/>
    <s v=""/>
    <s v=""/>
    <s v=""/>
    <s v=""/>
    <s v=""/>
    <n v="98112"/>
    <n v="98113"/>
    <s v=""/>
    <s v=""/>
    <s v=""/>
    <s v=""/>
    <s v=""/>
    <s v=""/>
    <s v=""/>
    <s v=""/>
    <s v=""/>
    <n v="98123"/>
    <s v=""/>
    <s v=""/>
    <s v="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501"/>
    <s v=""/>
    <n v="98503"/>
    <s v=""/>
    <s v=""/>
    <s v=""/>
    <n v="98507"/>
    <n v="98508"/>
    <s v=""/>
  </r>
  <r>
    <s v="LY"/>
    <x v="230"/>
    <n v="434"/>
    <n v="133"/>
    <s v="Libya"/>
    <x v="230"/>
    <s v="the State of Libya"/>
    <s v="Libye"/>
    <s v="Libia"/>
    <n v="2"/>
    <s v="Africa"/>
    <n v="15"/>
    <s v="Northern Africa"/>
    <n v="15"/>
    <s v="Northern Africa"/>
    <s v="Africa"/>
    <s v="Middle East &amp; North Africa"/>
    <n v="747"/>
    <s v="Western Asia and Northern Africa"/>
    <n v="15"/>
    <s v="Northern Africa"/>
    <s v="MENA"/>
    <x v="16"/>
    <s v="ROW"/>
    <s v="Northern Africa"/>
    <s v="Northern Africa"/>
    <x v="20"/>
    <s v="Upper middle income"/>
    <s v="Non-HIPC"/>
    <s v="Developing"/>
    <s v="ODA recipient"/>
    <s v="SDG 7a1"/>
    <s v="Non-OECD"/>
    <s v="Non-OECD"/>
    <s v="Non-IEA"/>
    <s v="3.0-Country/Area"/>
    <s v="LYD"/>
    <s v="DAC"/>
    <s v="BRI"/>
    <s v="Non LDC"/>
    <s v="Non LLDC"/>
    <s v="Non SIDS"/>
    <s v="Non-EU"/>
    <s v="Non-EU"/>
    <s v="Non SIDS LH"/>
    <s v="Non-G7"/>
    <s v="Non-G8"/>
    <s v="Non-G20"/>
    <s v="Include"/>
    <n v="98100"/>
    <s v=""/>
    <s v=""/>
    <n v="98103"/>
    <s v=""/>
    <s v=""/>
    <n v="98106"/>
    <s v=""/>
    <s v=""/>
    <s v=""/>
    <s v=""/>
    <n v="98111"/>
    <n v="98112"/>
    <n v="98113"/>
    <s v=""/>
    <s v=""/>
    <s v=""/>
    <s v=""/>
    <s v=""/>
    <s v=""/>
    <s v=""/>
    <s v=""/>
    <s v=""/>
    <n v="98123"/>
    <s v=""/>
    <s v=""/>
    <s v="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501"/>
    <s v=""/>
    <s v=""/>
    <n v="98504"/>
    <s v=""/>
    <n v="98506"/>
    <s v=""/>
    <n v="98508"/>
    <s v=""/>
  </r>
  <r>
    <s v="MA"/>
    <x v="231"/>
    <n v="504"/>
    <n v="140"/>
    <s v="Morocco"/>
    <x v="231"/>
    <s v="the Kingdom of Morocco"/>
    <s v="Maroc"/>
    <s v="Marruecos"/>
    <n v="2"/>
    <s v="Africa"/>
    <n v="15"/>
    <s v="Northern Africa"/>
    <n v="15"/>
    <s v="Northern Africa"/>
    <s v="Africa"/>
    <s v="Middle East &amp; North Africa"/>
    <n v="747"/>
    <s v="Western Asia and Northern Africa"/>
    <n v="15"/>
    <s v="Northern Africa"/>
    <s v="MENA"/>
    <x v="16"/>
    <s v="ROW"/>
    <s v="Northern Africa"/>
    <s v="Northern Africa"/>
    <x v="20"/>
    <s v="Lower middle income"/>
    <s v="Non-HIPC"/>
    <s v="Developing"/>
    <s v="ODA recipient"/>
    <s v="SDG 7a1"/>
    <s v="Non-OECD"/>
    <s v="Non-OECD"/>
    <s v="Non-IEA"/>
    <s v="3.0-Country/Area"/>
    <s v="MAD"/>
    <s v="DAC"/>
    <s v="BRI"/>
    <s v="Non LDC"/>
    <s v="Non LLDC"/>
    <s v="Non SIDS"/>
    <s v="Non-EU"/>
    <s v="Non-EU"/>
    <s v="Non SIDS LH"/>
    <s v="Non-G7"/>
    <s v="Non-G8"/>
    <s v="Non-G20"/>
    <s v="Include"/>
    <n v="98100"/>
    <s v=""/>
    <s v=""/>
    <n v="98103"/>
    <s v=""/>
    <s v=""/>
    <n v="98106"/>
    <s v=""/>
    <s v=""/>
    <s v=""/>
    <s v=""/>
    <n v="98111"/>
    <n v="98112"/>
    <s v=""/>
    <s v=""/>
    <s v=""/>
    <s v=""/>
    <s v=""/>
    <s v=""/>
    <s v=""/>
    <s v=""/>
    <n v="98121"/>
    <s v=""/>
    <s v=""/>
    <s v=""/>
    <s v=""/>
    <s v="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501"/>
    <s v=""/>
    <s v=""/>
    <n v="98504"/>
    <s v=""/>
    <s v=""/>
    <n v="98507"/>
    <n v="98508"/>
    <s v=""/>
  </r>
  <r>
    <s v="SD"/>
    <x v="232"/>
    <n v="729"/>
    <n v="155"/>
    <s v="Sudan"/>
    <x v="232"/>
    <s v="the Republic of the Sudan"/>
    <s v="Soudan"/>
    <s v="Sudán"/>
    <n v="2"/>
    <s v="Africa"/>
    <n v="15"/>
    <s v="Northern Africa"/>
    <n v="15"/>
    <s v="Northern Africa"/>
    <s v="Africa"/>
    <s v="Sub-Saharan Africa"/>
    <n v="747"/>
    <s v="Western Asia and Northern Africa"/>
    <n v="15"/>
    <s v="Northern Africa"/>
    <s v="SSAFRICA"/>
    <x v="11"/>
    <s v="ROW"/>
    <s v="Northern Africa"/>
    <s v="Northern Africa"/>
    <x v="20"/>
    <s v="Low income"/>
    <s v="HIPC"/>
    <s v="Developing"/>
    <s v="ODA recipient"/>
    <s v="SDG 7a1"/>
    <s v="Non-OECD"/>
    <s v="Non-OECD"/>
    <s v="Non-IEA"/>
    <s v="3.0-Country/Area"/>
    <s v="SDG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s v=""/>
    <n v="98103"/>
    <s v=""/>
    <s v=""/>
    <n v="98106"/>
    <s v=""/>
    <s v=""/>
    <n v="98109"/>
    <s v=""/>
    <s v=""/>
    <n v="98112"/>
    <n v="98113"/>
    <s v=""/>
    <s v=""/>
    <s v=""/>
    <s v=""/>
    <n v="98118"/>
    <n v="98119"/>
    <s v=""/>
    <s v=""/>
    <n v="98122"/>
    <n v="98123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501"/>
    <s v=""/>
    <s v=""/>
    <s v=""/>
    <n v="98505"/>
    <n v="98506"/>
    <s v=""/>
    <s v=""/>
    <n v="98509"/>
  </r>
  <r>
    <s v="TN"/>
    <x v="233"/>
    <n v="788"/>
    <n v="158"/>
    <s v="Tunisia"/>
    <x v="233"/>
    <s v="the Republic of Tunisia"/>
    <s v="Tunisie"/>
    <s v="Túnez"/>
    <n v="2"/>
    <s v="Africa"/>
    <n v="15"/>
    <s v="Northern Africa"/>
    <n v="15"/>
    <s v="Northern Africa"/>
    <s v="Africa"/>
    <s v="Middle East &amp; North Africa"/>
    <n v="747"/>
    <s v="Western Asia and Northern Africa"/>
    <n v="15"/>
    <s v="Northern Africa"/>
    <s v="MENA"/>
    <x v="16"/>
    <s v="ROW"/>
    <s v="Northern Africa"/>
    <s v="Northern Africa"/>
    <x v="20"/>
    <s v="Lower middle income"/>
    <s v="Non-HIPC"/>
    <s v="Developing"/>
    <s v="ODA recipient"/>
    <s v="SDG 7a1"/>
    <s v="Non-OECD"/>
    <s v="Non-OECD"/>
    <s v="Non-IEA"/>
    <s v="3.0-Country/Area"/>
    <s v="TND"/>
    <s v="DAC"/>
    <s v="BRI"/>
    <s v="Non LDC"/>
    <s v="Non LLDC"/>
    <s v="Non SIDS"/>
    <s v="Non-EU"/>
    <s v="Non-EU"/>
    <s v="Non SIDS LH"/>
    <s v="Non-G7"/>
    <s v="Non-G8"/>
    <s v="Non-G20"/>
    <s v="Include"/>
    <n v="98100"/>
    <s v=""/>
    <s v=""/>
    <n v="98103"/>
    <s v=""/>
    <s v=""/>
    <n v="98106"/>
    <s v=""/>
    <s v=""/>
    <s v=""/>
    <s v=""/>
    <n v="98111"/>
    <n v="98112"/>
    <n v="98113"/>
    <s v=""/>
    <s v=""/>
    <s v=""/>
    <s v=""/>
    <s v=""/>
    <s v=""/>
    <s v=""/>
    <s v=""/>
    <s v=""/>
    <n v="98123"/>
    <s v=""/>
    <s v=""/>
    <s v="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501"/>
    <s v=""/>
    <s v=""/>
    <n v="98504"/>
    <s v=""/>
    <s v=""/>
    <n v="98507"/>
    <n v="98508"/>
    <s v=""/>
  </r>
  <r>
    <s v="EH"/>
    <x v="234"/>
    <n v="732"/>
    <n v="160"/>
    <s v="Westn Sahara"/>
    <x v="234"/>
    <m/>
    <s v="Sahara occidental"/>
    <s v="Sáhara Occidental"/>
    <n v="2"/>
    <s v="Africa"/>
    <n v="15"/>
    <s v="Northern Africa"/>
    <n v="15"/>
    <s v="Northern Africa"/>
    <s v="Africa"/>
    <s v="Middle East &amp; North Africa"/>
    <n v="747"/>
    <s v="Western Asia and Northern Africa"/>
    <n v="15"/>
    <s v="Northern Africa"/>
    <s v="SSAFRICA"/>
    <x v="11"/>
    <s v="ROW"/>
    <s v="Northern Africa"/>
    <s v="Northern Africa"/>
    <x v="20"/>
    <s v="Unclassified"/>
    <s v="Unclassified"/>
    <s v="Developing"/>
    <s v="Non recipient"/>
    <s v="Non SDG"/>
    <s v="Non-OECD"/>
    <s v="Non-OECD"/>
    <s v="Non-IEA"/>
    <s v="3.0-Country/Area"/>
    <s v="MAD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n v="9810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M"/>
    <x v="235"/>
    <n v="60"/>
    <n v="701"/>
    <s v="Bermuda"/>
    <x v="235"/>
    <m/>
    <s v="Bermudes"/>
    <s v="Bermuda"/>
    <n v="19"/>
    <s v="Americas"/>
    <n v="21"/>
    <s v="Northern America"/>
    <m/>
    <m/>
    <s v="North America"/>
    <s v="North America"/>
    <n v="513"/>
    <s v="Northern America and Europe"/>
    <n v="21"/>
    <s v="Northern America"/>
    <s v="LAC"/>
    <x v="0"/>
    <s v="ROW"/>
    <s v="Northern America"/>
    <s v="Other Northern America"/>
    <x v="21"/>
    <s v="High income"/>
    <s v="Non-HIPC"/>
    <s v="Developed"/>
    <s v="Non recipient"/>
    <s v="Non SDG"/>
    <s v="Non-OECD"/>
    <s v="Non-OECD Americas"/>
    <s v="Non-IEA"/>
    <s v="3.0-Country/Area"/>
    <s v="BMD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5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L"/>
    <x v="236"/>
    <n v="304"/>
    <n v="703"/>
    <s v="Greenland"/>
    <x v="236"/>
    <m/>
    <s v="Groenland"/>
    <s v="Groenlandia"/>
    <n v="19"/>
    <s v="Americas"/>
    <n v="21"/>
    <s v="Northern America"/>
    <m/>
    <m/>
    <s v="North America"/>
    <s v="Europe &amp; Central Asia"/>
    <n v="513"/>
    <s v="Northern America and Europe"/>
    <n v="21"/>
    <s v="Northern America"/>
    <s v="EU31"/>
    <x v="12"/>
    <s v="ROW"/>
    <s v="Northern America"/>
    <s v="Other Northern America"/>
    <x v="21"/>
    <s v="High income"/>
    <s v="Non-HIPC"/>
    <s v="Developed"/>
    <s v="Non recipient"/>
    <s v="Non SDG"/>
    <s v="Non-OECD"/>
    <s v="Non-OECD Americas"/>
    <s v="Non-IEA"/>
    <s v="3.0-Country/Area"/>
    <s v="DKK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5"/>
    <s v=""/>
    <s v=""/>
    <s v=""/>
    <s v=""/>
    <s v=""/>
    <s v=""/>
    <s v=""/>
    <s v=""/>
    <s v=""/>
    <s v=""/>
    <s v=""/>
    <s v=""/>
    <s v=""/>
    <s v=""/>
    <s v=""/>
    <s v=""/>
    <s v=""/>
    <s v=""/>
  </r>
  <r>
    <s v="PM"/>
    <x v="237"/>
    <n v="666"/>
    <n v="705"/>
    <s v="St Pierre Mq"/>
    <x v="237"/>
    <m/>
    <s v="Saint-Pierre-et-Miquelon"/>
    <s v="Saint Pierre y Miquelon"/>
    <n v="19"/>
    <s v="Americas"/>
    <n v="21"/>
    <s v="Northern America"/>
    <m/>
    <m/>
    <s v="North America"/>
    <s v="North America"/>
    <n v="513"/>
    <s v="Northern America and Europe"/>
    <n v="21"/>
    <s v="Northern America"/>
    <s v="CANMEX"/>
    <x v="5"/>
    <s v="usa"/>
    <s v="Northern America"/>
    <s v="Other Northern America"/>
    <x v="21"/>
    <s v="Unclassified"/>
    <s v="Unclassified"/>
    <s v="Developed"/>
    <s v="Non recipient"/>
    <s v="Non SDG"/>
    <s v="Non-OECD"/>
    <s v="Non-OECD Americas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5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S"/>
    <x v="238"/>
    <n v="16"/>
    <n v="801"/>
    <s v="Amer Samoa"/>
    <x v="238"/>
    <m/>
    <s v="Samoa américaines"/>
    <s v="Samoa Americana"/>
    <n v="9"/>
    <s v="Oceania"/>
    <n v="61"/>
    <s v="Polynesia"/>
    <m/>
    <m/>
    <s v="Oceania"/>
    <s v="East Asia &amp; Pacific"/>
    <n v="9"/>
    <s v="Oceania"/>
    <n v="543"/>
    <s v="Oceania excluding Australia and New Zealand"/>
    <s v="ASIAPAC"/>
    <x v="2"/>
    <s v="ROW"/>
    <s v="Polynesia"/>
    <s v="Other Oceania"/>
    <x v="22"/>
    <s v="Upper middle income"/>
    <s v="Non-HIPC"/>
    <s v="Developing"/>
    <s v="Non recipient"/>
    <s v="Non SDG"/>
    <s v="Non-OECD"/>
    <s v="Non-OECD"/>
    <s v="Non-IEA"/>
    <s v="3.0-Country/Area"/>
    <s v="USD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n v="98436"/>
    <s v=""/>
    <s v=""/>
    <s v=""/>
    <s v=""/>
    <s v=""/>
    <s v=""/>
    <s v=""/>
    <s v=""/>
    <s v=""/>
    <s v=""/>
    <s v=""/>
    <s v=""/>
  </r>
  <r>
    <s v="CK"/>
    <x v="239"/>
    <n v="184"/>
    <n v="805"/>
    <s v="Cook Is"/>
    <x v="239"/>
    <s v="the Cook Islands"/>
    <s v="Îles Cook"/>
    <s v="Islas Cook"/>
    <n v="9"/>
    <s v="Oceania"/>
    <n v="61"/>
    <s v="Polynesia"/>
    <m/>
    <m/>
    <s v="Oceania"/>
    <s v="East Asia &amp; Pacific"/>
    <n v="9"/>
    <s v="Oceania"/>
    <n v="543"/>
    <s v="Oceania excluding Australia and New Zealand"/>
    <s v="ASIAPAC"/>
    <x v="2"/>
    <s v="ROW"/>
    <s v="Polynesia"/>
    <s v="Other Oceania"/>
    <x v="22"/>
    <s v="Unclassified"/>
    <s v="Unclassified"/>
    <s v="Developing"/>
    <s v="Non recipient"/>
    <s v="SDG 7a1"/>
    <s v="Non-OECD"/>
    <s v="Non-OECD"/>
    <s v="Non-IEA"/>
    <s v="3.0-Country/Area"/>
    <s v="NZD"/>
    <s v="DAC"/>
    <s v="BRI"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s v=""/>
    <s v=""/>
    <s v=""/>
    <s v=""/>
    <s v=""/>
    <s v=""/>
    <s v=""/>
    <s v=""/>
    <s v=""/>
    <s v=""/>
    <s v=""/>
    <s v=""/>
    <s v=""/>
  </r>
  <r>
    <s v="FJ"/>
    <x v="240"/>
    <n v="242"/>
    <n v="806"/>
    <s v="Fiji"/>
    <x v="240"/>
    <s v="the Republic of Fiji"/>
    <s v="Fidji"/>
    <s v="Fiji"/>
    <n v="9"/>
    <s v="Oceania"/>
    <n v="54"/>
    <s v="Melanesia"/>
    <m/>
    <m/>
    <s v="Oceania"/>
    <s v="East Asia &amp; Pacific"/>
    <n v="9"/>
    <s v="Oceania"/>
    <n v="543"/>
    <s v="Oceania excluding Australia and New Zealand"/>
    <s v="ASIAPAC"/>
    <x v="2"/>
    <s v="ROW"/>
    <s v="Melanesia"/>
    <s v="Other Oceania"/>
    <x v="22"/>
    <s v="Upper middle income"/>
    <s v="Non-HIPC"/>
    <s v="Developing"/>
    <s v="ODA recipient"/>
    <s v="SDG 7a1"/>
    <s v="Non-OECD"/>
    <s v="Non-OECD"/>
    <s v="Non-IEA"/>
    <s v="3.0-Country/Area"/>
    <s v="FJD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s v=""/>
    <n v="98437"/>
    <s v=""/>
    <s v=""/>
    <s v=""/>
    <s v=""/>
    <s v=""/>
    <s v=""/>
    <s v=""/>
    <s v=""/>
    <s v=""/>
    <s v=""/>
    <s v=""/>
  </r>
  <r>
    <s v="PF"/>
    <x v="241"/>
    <n v="258"/>
    <n v="807"/>
    <s v="Fr Polynesia"/>
    <x v="241"/>
    <m/>
    <s v="Polynésie française"/>
    <s v="Polinesia Francesa"/>
    <n v="9"/>
    <s v="Oceania"/>
    <n v="61"/>
    <s v="Polynesia"/>
    <m/>
    <m/>
    <s v="Oceania"/>
    <s v="East Asia &amp; Pacific"/>
    <n v="9"/>
    <s v="Oceania"/>
    <n v="543"/>
    <s v="Oceania excluding Australia and New Zealand"/>
    <s v="ASIAPAC"/>
    <x v="2"/>
    <s v="ROW"/>
    <s v="Polynesia"/>
    <s v="Other Oceania"/>
    <x v="22"/>
    <s v="High income"/>
    <s v="Non-HIPC"/>
    <s v="Developing"/>
    <s v="Non recipient"/>
    <s v="SDG 7a1"/>
    <s v="Non-OECD"/>
    <s v="Non-OECD"/>
    <s v="Non-IEA"/>
    <s v="3.0-Country/Area"/>
    <s v="XPF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n v="98436"/>
    <s v=""/>
    <s v=""/>
    <s v=""/>
    <s v=""/>
    <s v=""/>
    <s v=""/>
    <s v=""/>
    <s v=""/>
    <s v=""/>
    <s v=""/>
    <s v=""/>
    <s v=""/>
  </r>
  <r>
    <s v="GU"/>
    <x v="242"/>
    <n v="316"/>
    <n v="808"/>
    <s v="Guam"/>
    <x v="242"/>
    <m/>
    <s v="Guam"/>
    <s v="Guam"/>
    <n v="9"/>
    <s v="Oceania"/>
    <n v="57"/>
    <s v="Micronesia"/>
    <m/>
    <m/>
    <s v="Oceania"/>
    <s v="East Asia &amp; Pacific"/>
    <n v="9"/>
    <s v="Oceania"/>
    <n v="543"/>
    <s v="Oceania excluding Australia and New Zealand"/>
    <s v="ASIAPAC"/>
    <x v="2"/>
    <s v="ROW"/>
    <s v="Micronesia"/>
    <s v="Other Oceania"/>
    <x v="22"/>
    <s v="High income"/>
    <s v="Non-HIPC"/>
    <s v="Developing"/>
    <s v="Non recipient"/>
    <s v="Non SDG"/>
    <s v="Non-OECD"/>
    <s v="Non-OECD"/>
    <s v="Non-IEA"/>
    <s v="3.0-Country/Area"/>
    <s v="USD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n v="98436"/>
    <s v=""/>
    <s v=""/>
    <s v=""/>
    <s v=""/>
    <s v=""/>
    <s v=""/>
    <s v=""/>
    <s v=""/>
    <s v=""/>
    <s v=""/>
    <s v=""/>
    <s v=""/>
  </r>
  <r>
    <s v="KI"/>
    <x v="243"/>
    <n v="296"/>
    <n v="809"/>
    <s v="Kiribati"/>
    <x v="243"/>
    <s v="the Republic of Kiribati"/>
    <s v="Kiribati"/>
    <s v="Kiribati"/>
    <n v="9"/>
    <s v="Oceania"/>
    <n v="57"/>
    <s v="Micronesia"/>
    <m/>
    <m/>
    <s v="Oceania"/>
    <s v="East Asia &amp; Pacific"/>
    <n v="9"/>
    <s v="Oceania"/>
    <n v="543"/>
    <s v="Oceania excluding Australia and New Zealand"/>
    <s v="ASIAPAC"/>
    <x v="2"/>
    <s v="ROW"/>
    <s v="Micronesia"/>
    <s v="Other Oceania"/>
    <x v="22"/>
    <s v="Lower middle income"/>
    <s v="Non-HIPC"/>
    <s v="Developing"/>
    <s v="ODA recipient"/>
    <s v="SDG 7a1"/>
    <s v="Non-OECD"/>
    <s v="Non-OECD"/>
    <s v="Non-IEA"/>
    <s v="3.0-Country/Area"/>
    <s v="AUD"/>
    <s v="DAC"/>
    <m/>
    <s v="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n v="98411"/>
    <s v=""/>
    <s v=""/>
    <n v="98418"/>
    <s v=""/>
    <s v=""/>
    <s v=""/>
    <s v=""/>
    <s v=""/>
    <s v=""/>
    <n v="98427"/>
    <s v=""/>
    <n v="98434"/>
    <n v="98435"/>
    <s v=""/>
    <s v=""/>
    <n v="98438"/>
    <s v=""/>
    <s v=""/>
    <s v=""/>
    <s v=""/>
    <s v=""/>
    <s v=""/>
    <s v=""/>
    <s v=""/>
    <s v=""/>
    <s v=""/>
  </r>
  <r>
    <s v="MH"/>
    <x v="244"/>
    <n v="584"/>
    <n v="810"/>
    <s v="Marshall Is"/>
    <x v="244"/>
    <s v="the Republic of the Marshall Islands"/>
    <s v="Îles Marshall"/>
    <s v="Islas Marshall"/>
    <n v="9"/>
    <s v="Oceania"/>
    <n v="57"/>
    <s v="Micronesia"/>
    <m/>
    <m/>
    <s v="Oceania"/>
    <s v="East Asia &amp; Pacific"/>
    <n v="9"/>
    <s v="Oceania"/>
    <n v="543"/>
    <s v="Oceania excluding Australia and New Zealand"/>
    <s v="ASIAPAC"/>
    <x v="2"/>
    <s v="ROW"/>
    <s v="Micronesia"/>
    <s v="Other Oceania"/>
    <x v="22"/>
    <s v="Upper middle income"/>
    <s v="Non-HIPC"/>
    <s v="Developing"/>
    <s v="ODA recipient"/>
    <s v="SDG 7a1"/>
    <s v="Non-OECD"/>
    <s v="Non-OECD"/>
    <s v="Non-IEA"/>
    <s v="3.0-Country/Area"/>
    <s v="USD"/>
    <s v="DAC"/>
    <m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s v=""/>
    <n v="98437"/>
    <s v=""/>
    <s v=""/>
    <s v=""/>
    <s v=""/>
    <s v=""/>
    <s v=""/>
    <s v=""/>
    <s v=""/>
    <s v=""/>
    <s v=""/>
    <s v=""/>
  </r>
  <r>
    <s v="FM"/>
    <x v="245"/>
    <n v="583"/>
    <n v="811"/>
    <s v="Micronesia"/>
    <x v="245"/>
    <s v="the Federated States of Micronesia"/>
    <s v="Micronésie (États fédérés de)"/>
    <s v="Micronesia (Estados Federados de)"/>
    <n v="9"/>
    <s v="Oceania"/>
    <n v="57"/>
    <s v="Micronesia"/>
    <m/>
    <m/>
    <s v="Oceania"/>
    <s v="East Asia &amp; Pacific"/>
    <n v="9"/>
    <s v="Oceania"/>
    <n v="543"/>
    <s v="Oceania excluding Australia and New Zealand"/>
    <s v="ASIAPAC"/>
    <x v="2"/>
    <s v="ROW"/>
    <s v="Micronesia"/>
    <s v="Other Oceania"/>
    <x v="22"/>
    <s v="Lower middle income"/>
    <s v="Non-HIPC"/>
    <s v="Developing"/>
    <s v="ODA recipient"/>
    <s v="SDG 7a1"/>
    <s v="Non-OECD"/>
    <s v="Non-OECD"/>
    <s v="Non-IEA"/>
    <s v="3.0-Country/Area"/>
    <s v="USD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s v=""/>
    <s v=""/>
    <n v="98438"/>
    <s v=""/>
    <s v=""/>
    <s v=""/>
    <s v=""/>
    <s v=""/>
    <s v=""/>
    <s v=""/>
    <s v=""/>
    <s v=""/>
    <s v=""/>
  </r>
  <r>
    <s v="NR"/>
    <x v="246"/>
    <n v="520"/>
    <n v="812"/>
    <s v="Nauru"/>
    <x v="246"/>
    <s v="the Republic of Nauru"/>
    <s v="Nauru"/>
    <s v="Nauru"/>
    <n v="9"/>
    <s v="Oceania"/>
    <n v="57"/>
    <s v="Micronesia"/>
    <m/>
    <m/>
    <s v="Oceania"/>
    <s v="East Asia &amp; Pacific"/>
    <n v="9"/>
    <s v="Oceania"/>
    <n v="543"/>
    <s v="Oceania excluding Australia and New Zealand"/>
    <s v="ASIAPAC"/>
    <x v="2"/>
    <s v="ROW"/>
    <s v="Micronesia"/>
    <s v="Other Oceania"/>
    <x v="22"/>
    <s v="High income"/>
    <s v="Non-HIPC"/>
    <s v="Developing"/>
    <s v="ODA recipient"/>
    <s v="SDG 7a1"/>
    <s v="Non-OECD"/>
    <s v="Non-OECD"/>
    <s v="Non-IEA"/>
    <s v="3.0-Country/Area"/>
    <s v="AUD"/>
    <s v="DAC"/>
    <m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n v="98436"/>
    <s v=""/>
    <s v=""/>
    <s v=""/>
    <s v=""/>
    <s v=""/>
    <s v=""/>
    <s v=""/>
    <s v=""/>
    <s v=""/>
    <s v=""/>
    <s v=""/>
    <s v=""/>
  </r>
  <r>
    <s v="NC"/>
    <x v="247"/>
    <n v="540"/>
    <n v="813"/>
    <s v="New Caledon"/>
    <x v="247"/>
    <m/>
    <s v="Nouvelle-Calédonie"/>
    <s v="Nueva Caledonia"/>
    <n v="9"/>
    <s v="Oceania"/>
    <n v="54"/>
    <s v="Melanesia"/>
    <m/>
    <m/>
    <s v="Oceania"/>
    <s v="East Asia &amp; Pacific"/>
    <n v="9"/>
    <s v="Oceania"/>
    <n v="543"/>
    <s v="Oceania excluding Australia and New Zealand"/>
    <s v="ASIAPAC"/>
    <x v="2"/>
    <s v="ROW"/>
    <s v="Melanesia"/>
    <s v="Other Oceania"/>
    <x v="22"/>
    <s v="High income"/>
    <s v="Non-HIPC"/>
    <s v="Developing"/>
    <s v="Non recipient"/>
    <s v="SDG 7a1"/>
    <s v="Non-OECD"/>
    <s v="Non-OECD"/>
    <s v="Non-IEA"/>
    <s v="3.0-Country/Area"/>
    <s v="XPF"/>
    <s v="DAC"/>
    <m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n v="98436"/>
    <s v=""/>
    <s v=""/>
    <s v=""/>
    <s v=""/>
    <s v=""/>
    <s v=""/>
    <s v=""/>
    <s v=""/>
    <s v=""/>
    <s v=""/>
    <s v=""/>
    <s v=""/>
  </r>
  <r>
    <s v="NU"/>
    <x v="248"/>
    <n v="570"/>
    <n v="815"/>
    <s v="Niue"/>
    <x v="248"/>
    <s v="Niue"/>
    <s v="Nioué"/>
    <s v="Niue"/>
    <n v="9"/>
    <s v="Oceania"/>
    <n v="61"/>
    <s v="Polynesia"/>
    <m/>
    <m/>
    <s v="Oceania"/>
    <s v="East Asia &amp; Pacific"/>
    <n v="9"/>
    <s v="Oceania"/>
    <n v="543"/>
    <s v="Oceania excluding Australia and New Zealand"/>
    <s v="ASIAPAC"/>
    <x v="2"/>
    <s v="ROW"/>
    <s v="Polynesia"/>
    <s v="Other Oceania"/>
    <x v="22"/>
    <s v="Unclassified"/>
    <s v="Unclassified"/>
    <s v="Developing"/>
    <s v="ODA recipient"/>
    <s v="SDG 7a1"/>
    <s v="Non-OECD"/>
    <s v="Non-OECD"/>
    <s v="Non-IEA"/>
    <s v="3.0-Country/Area"/>
    <s v="NZD"/>
    <s v="DAC"/>
    <s v="BRI"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s v=""/>
    <s v=""/>
    <s v=""/>
    <s v=""/>
    <s v=""/>
    <s v=""/>
    <s v=""/>
    <s v=""/>
    <s v=""/>
    <s v=""/>
    <s v=""/>
    <s v=""/>
    <s v=""/>
  </r>
  <r>
    <s v="MP"/>
    <x v="249"/>
    <n v="580"/>
    <n v="817"/>
    <s v="Nth Mariana Is"/>
    <x v="249"/>
    <m/>
    <s v="Îles Mariannes du Nord"/>
    <s v="Islas Marianas Septentrionales"/>
    <n v="9"/>
    <s v="Oceania"/>
    <n v="57"/>
    <s v="Micronesia"/>
    <m/>
    <m/>
    <s v="Oceania"/>
    <s v="East Asia &amp; Pacific"/>
    <n v="9"/>
    <s v="Oceania"/>
    <n v="543"/>
    <s v="Oceania excluding Australia and New Zealand"/>
    <s v="USA"/>
    <x v="6"/>
    <s v="ROW"/>
    <s v="Micronesia"/>
    <s v="Other Oceania"/>
    <x v="22"/>
    <s v="High income"/>
    <s v="Non-HIPC"/>
    <s v="Developing"/>
    <s v="Non recipient"/>
    <s v="Non SDG"/>
    <s v="Non-OECD"/>
    <s v="Non-OECD"/>
    <s v="Non-IEA"/>
    <s v="3.0-Country/Area"/>
    <s v="USD"/>
    <s v="DAC"/>
    <m/>
    <s v="Non LDC"/>
    <s v="Non LLDC"/>
    <s v="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n v="98436"/>
    <s v=""/>
    <s v=""/>
    <s v=""/>
    <s v=""/>
    <s v=""/>
    <s v=""/>
    <s v=""/>
    <s v=""/>
    <s v=""/>
    <s v=""/>
    <s v=""/>
    <s v=""/>
  </r>
  <r>
    <s v="PW"/>
    <x v="250"/>
    <n v="585"/>
    <n v="818"/>
    <s v="Palau"/>
    <x v="250"/>
    <s v="the Republic of Palau"/>
    <s v="Palaos"/>
    <s v="Palau"/>
    <n v="9"/>
    <s v="Oceania"/>
    <n v="57"/>
    <s v="Micronesia"/>
    <m/>
    <m/>
    <s v="Oceania"/>
    <s v="East Asia &amp; Pacific"/>
    <n v="9"/>
    <s v="Oceania"/>
    <n v="543"/>
    <s v="Oceania excluding Australia and New Zealand"/>
    <s v="ASIAPAC"/>
    <x v="2"/>
    <s v="ROW"/>
    <s v="Micronesia"/>
    <s v="Other Oceania"/>
    <x v="22"/>
    <s v="Upper middle income"/>
    <s v="Non-HIPC"/>
    <s v="Developing"/>
    <s v="ODA recipient"/>
    <s v="SDG 7a1"/>
    <s v="Non-OECD"/>
    <s v="Non-OECD"/>
    <s v="Non-IEA"/>
    <s v="3.0-Country/Area"/>
    <s v="USD"/>
    <s v="DAC"/>
    <m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s v=""/>
    <n v="98437"/>
    <s v=""/>
    <s v=""/>
    <s v=""/>
    <s v=""/>
    <s v=""/>
    <s v=""/>
    <s v=""/>
    <s v=""/>
    <s v=""/>
    <s v=""/>
    <s v=""/>
  </r>
  <r>
    <s v="PG"/>
    <x v="251"/>
    <n v="598"/>
    <n v="819"/>
    <s v="Papua N Guin"/>
    <x v="251"/>
    <s v="the Independent State of Papua New Guinea"/>
    <s v="Papouasie-Nouvelle-Guinée"/>
    <s v="Papua Nueva Guinea"/>
    <n v="9"/>
    <s v="Oceania"/>
    <n v="54"/>
    <s v="Melanesia"/>
    <m/>
    <m/>
    <s v="Oceania"/>
    <s v="East Asia &amp; Pacific"/>
    <n v="9"/>
    <s v="Oceania"/>
    <n v="543"/>
    <s v="Oceania excluding Australia and New Zealand"/>
    <s v="ASIAPAC"/>
    <x v="2"/>
    <s v="ROW"/>
    <s v="Melanesia"/>
    <s v="Other Oceania"/>
    <x v="22"/>
    <s v="Lower middle income"/>
    <s v="Non-HIPC"/>
    <s v="Developing"/>
    <s v="ODA recipient"/>
    <s v="SDG 7a1"/>
    <s v="Non-OECD"/>
    <s v="Non-OECD"/>
    <s v="Non-IEA"/>
    <s v="3.0-Country/Area"/>
    <s v="PGK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s v=""/>
    <s v=""/>
    <n v="98438"/>
    <s v=""/>
    <s v=""/>
    <s v=""/>
    <s v=""/>
    <s v=""/>
    <s v=""/>
    <s v=""/>
    <s v=""/>
    <s v=""/>
    <s v=""/>
  </r>
  <r>
    <s v="PN"/>
    <x v="252"/>
    <n v="612"/>
    <n v="820"/>
    <s v="Pitcairn"/>
    <x v="252"/>
    <m/>
    <s v="Pitcairn"/>
    <s v="Pitcairn"/>
    <n v="9"/>
    <s v="Oceania"/>
    <n v="61"/>
    <s v="Polynesia"/>
    <m/>
    <m/>
    <s v="Oceania"/>
    <s v="East Asia &amp; Pacific"/>
    <n v="9"/>
    <s v="Oceania"/>
    <n v="543"/>
    <s v="Oceania excluding Australia and New Zealand"/>
    <s v="ASIAPAC"/>
    <x v="2"/>
    <s v="ROW"/>
    <s v="Polynesia"/>
    <s v="Other Oceania"/>
    <x v="22"/>
    <s v="Unclassified"/>
    <s v="Unclassified"/>
    <s v="Developing"/>
    <s v="Non recipient"/>
    <s v="Non SDG"/>
    <s v="Non-OECD"/>
    <s v="Non-OECD"/>
    <s v="Non-IEA"/>
    <s v="3.0-Country/Area"/>
    <s v="NZD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WS"/>
    <x v="253"/>
    <n v="882"/>
    <n v="821"/>
    <s v="Samoa"/>
    <x v="253"/>
    <s v="the Independent State of Samoa"/>
    <s v="Samoa"/>
    <s v="Samoa"/>
    <n v="9"/>
    <s v="Oceania"/>
    <n v="61"/>
    <s v="Polynesia"/>
    <m/>
    <m/>
    <s v="Oceania"/>
    <s v="East Asia &amp; Pacific"/>
    <n v="9"/>
    <s v="Oceania"/>
    <n v="543"/>
    <s v="Oceania excluding Australia and New Zealand"/>
    <s v="ASIAPAC"/>
    <x v="2"/>
    <s v="ROW"/>
    <s v="Polynesia"/>
    <s v="Other Oceania"/>
    <x v="22"/>
    <s v="Lower middle income"/>
    <s v="Non-HIPC"/>
    <s v="Developing"/>
    <s v="ODA recipient"/>
    <s v="SDG 7a1"/>
    <s v="Non-OECD"/>
    <s v="Non-OECD"/>
    <s v="Non-IEA"/>
    <s v="3.0-Country/Area"/>
    <s v="WST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s v=""/>
    <s v=""/>
    <n v="98438"/>
    <s v=""/>
    <s v=""/>
    <s v=""/>
    <s v=""/>
    <s v=""/>
    <s v=""/>
    <s v=""/>
    <s v=""/>
    <s v=""/>
    <s v=""/>
  </r>
  <r>
    <s v="SB"/>
    <x v="254"/>
    <n v="90"/>
    <n v="822"/>
    <s v="Solomon Is"/>
    <x v="254"/>
    <s v="Solomon Islands"/>
    <s v="Îles Salomon"/>
    <s v="Islas Salomón"/>
    <n v="9"/>
    <s v="Oceania"/>
    <n v="54"/>
    <s v="Melanesia"/>
    <m/>
    <m/>
    <s v="Oceania"/>
    <s v="East Asia &amp; Pacific"/>
    <n v="9"/>
    <s v="Oceania"/>
    <n v="543"/>
    <s v="Oceania excluding Australia and New Zealand"/>
    <s v="ASIAPAC"/>
    <x v="2"/>
    <s v="ROW"/>
    <s v="Melanesia"/>
    <s v="Other Oceania"/>
    <x v="22"/>
    <s v="Lower middle income"/>
    <s v="Non-HIPC"/>
    <s v="Developing"/>
    <s v="ODA recipient"/>
    <s v="SDG 7a1"/>
    <s v="Non-OECD"/>
    <s v="Non-OECD"/>
    <s v="Non-IEA"/>
    <s v="3.0-Country/Area"/>
    <s v="SBD"/>
    <s v="DAC"/>
    <m/>
    <s v="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n v="98411"/>
    <s v=""/>
    <s v=""/>
    <n v="98418"/>
    <s v=""/>
    <s v=""/>
    <s v=""/>
    <s v=""/>
    <s v=""/>
    <s v=""/>
    <n v="98427"/>
    <s v=""/>
    <n v="98434"/>
    <n v="98435"/>
    <s v=""/>
    <s v=""/>
    <n v="98438"/>
    <s v=""/>
    <s v=""/>
    <s v=""/>
    <s v=""/>
    <s v=""/>
    <s v=""/>
    <s v=""/>
    <s v=""/>
    <s v=""/>
    <s v=""/>
  </r>
  <r>
    <s v="TK"/>
    <x v="255"/>
    <n v="772"/>
    <n v="823"/>
    <s v="Tokelau"/>
    <x v="255"/>
    <m/>
    <s v="Tokélaou"/>
    <s v="Tokelau"/>
    <n v="9"/>
    <s v="Oceania"/>
    <n v="61"/>
    <s v="Polynesia"/>
    <m/>
    <m/>
    <s v="Oceania"/>
    <s v="East Asia &amp; Pacific"/>
    <n v="9"/>
    <s v="Oceania"/>
    <n v="543"/>
    <s v="Oceania excluding Australia and New Zealand"/>
    <s v="ASIAPAC"/>
    <x v="2"/>
    <s v="ROW"/>
    <s v="Polynesia"/>
    <s v="Other Oceania"/>
    <x v="22"/>
    <s v="Unclassified"/>
    <s v="Unclassified"/>
    <s v="Developing"/>
    <s v="ODA recipient"/>
    <s v="SDG 7a1"/>
    <s v="Non-OECD"/>
    <s v="Non-OECD"/>
    <s v="Non-IEA"/>
    <s v="3.0-Country/Area"/>
    <s v="NZD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TO"/>
    <x v="256"/>
    <n v="776"/>
    <n v="824"/>
    <s v="Tonga"/>
    <x v="256"/>
    <s v="the Kingdom of Tonga"/>
    <s v="Tonga"/>
    <s v="Tonga"/>
    <n v="9"/>
    <s v="Oceania"/>
    <n v="61"/>
    <s v="Polynesia"/>
    <m/>
    <m/>
    <s v="Oceania"/>
    <s v="East Asia &amp; Pacific"/>
    <n v="9"/>
    <s v="Oceania"/>
    <n v="543"/>
    <s v="Oceania excluding Australia and New Zealand"/>
    <s v="ASIAPAC"/>
    <x v="2"/>
    <s v="ROW"/>
    <s v="Polynesia"/>
    <s v="Other Oceania"/>
    <x v="22"/>
    <s v="Upper middle income"/>
    <s v="Non-HIPC"/>
    <s v="Developing"/>
    <s v="ODA recipient"/>
    <s v="SDG 7a1"/>
    <s v="Non-OECD"/>
    <s v="Non-OECD"/>
    <s v="Non-IEA"/>
    <s v="3.0-Country/Area"/>
    <s v="TOP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s v=""/>
    <n v="98437"/>
    <s v=""/>
    <s v=""/>
    <s v=""/>
    <s v=""/>
    <s v=""/>
    <s v=""/>
    <s v=""/>
    <s v=""/>
    <s v=""/>
    <s v=""/>
    <s v=""/>
  </r>
  <r>
    <s v="TV"/>
    <x v="257"/>
    <n v="798"/>
    <n v="825"/>
    <s v="Tuvalu"/>
    <x v="257"/>
    <s v="Tuvalu"/>
    <s v="Tuvalu"/>
    <s v="Tuvalu"/>
    <n v="9"/>
    <s v="Oceania"/>
    <n v="61"/>
    <s v="Polynesia"/>
    <m/>
    <m/>
    <s v="Oceania"/>
    <s v="East Asia &amp; Pacific"/>
    <n v="9"/>
    <s v="Oceania"/>
    <n v="543"/>
    <s v="Oceania excluding Australia and New Zealand"/>
    <s v="ASIAPAC"/>
    <x v="2"/>
    <s v="ROW"/>
    <s v="Polynesia"/>
    <s v="Other Oceania"/>
    <x v="22"/>
    <s v="Upper middle income"/>
    <s v="Non-HIPC"/>
    <s v="Developing"/>
    <s v="ODA recipient"/>
    <s v="SDG 7a1"/>
    <s v="Non-OECD"/>
    <s v="Non-OECD"/>
    <s v="Non-IEA"/>
    <s v="3.0-Country/Area"/>
    <s v="AUD"/>
    <s v="DAC"/>
    <m/>
    <s v="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n v="98411"/>
    <s v=""/>
    <s v=""/>
    <n v="98418"/>
    <s v=""/>
    <s v=""/>
    <s v=""/>
    <s v=""/>
    <s v=""/>
    <s v=""/>
    <n v="98427"/>
    <s v=""/>
    <n v="98434"/>
    <n v="98435"/>
    <s v=""/>
    <n v="98437"/>
    <s v=""/>
    <s v=""/>
    <s v=""/>
    <s v=""/>
    <s v=""/>
    <s v=""/>
    <s v=""/>
    <s v=""/>
    <s v=""/>
    <s v=""/>
    <s v=""/>
  </r>
  <r>
    <s v="UM"/>
    <x v="258"/>
    <n v="581"/>
    <n v="826"/>
    <s v="US Minor Is"/>
    <x v="258"/>
    <m/>
    <s v="Îles mineures éloignées des États-Unis"/>
    <s v="Islas menores alejadas de Estados Unidos"/>
    <n v="9"/>
    <s v="Oceania"/>
    <n v="57"/>
    <s v="Micronesia"/>
    <m/>
    <m/>
    <s v="Oceania"/>
    <s v="East Asia &amp; Pacific"/>
    <n v="9"/>
    <s v="Oceania"/>
    <n v="543"/>
    <s v="Oceania excluding Australia and New Zealand"/>
    <s v="USA"/>
    <x v="6"/>
    <s v="usa"/>
    <s v="Micronesia"/>
    <s v="Other Oceania"/>
    <x v="22"/>
    <s v="Unclassified"/>
    <s v="Unclassified"/>
    <s v="Developing"/>
    <s v="Non recipient"/>
    <s v="Non SDG"/>
    <s v="Non-OECD"/>
    <s v="Non-OECD"/>
    <s v="Non-IEA"/>
    <s v="3.0-Country/Area"/>
    <s v="USD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VU"/>
    <x v="259"/>
    <n v="548"/>
    <n v="827"/>
    <s v="Vanuatu"/>
    <x v="259"/>
    <s v="the Republic of Vanuatu"/>
    <s v="Vanuatu"/>
    <s v="Vanuatu"/>
    <n v="9"/>
    <s v="Oceania"/>
    <n v="54"/>
    <s v="Melanesia"/>
    <m/>
    <m/>
    <s v="Oceania"/>
    <s v="East Asia &amp; Pacific"/>
    <n v="9"/>
    <s v="Oceania"/>
    <n v="543"/>
    <s v="Oceania excluding Australia and New Zealand"/>
    <s v="ASIAPAC"/>
    <x v="2"/>
    <s v="ROW"/>
    <s v="Melanesia"/>
    <s v="Other Oceania"/>
    <x v="22"/>
    <s v="Lower middle income"/>
    <s v="Non-HIPC"/>
    <s v="Developing"/>
    <s v="ODA recipient"/>
    <s v="SDG 7a1"/>
    <s v="Non-OECD"/>
    <s v="Non-OECD"/>
    <s v="Non-IEA"/>
    <s v="3.0-Country/Area"/>
    <s v="VUV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n v="98418"/>
    <s v=""/>
    <s v=""/>
    <s v=""/>
    <s v=""/>
    <s v=""/>
    <s v=""/>
    <n v="98427"/>
    <s v=""/>
    <n v="98434"/>
    <n v="98435"/>
    <s v=""/>
    <s v=""/>
    <n v="98438"/>
    <s v=""/>
    <s v=""/>
    <s v=""/>
    <s v=""/>
    <s v=""/>
    <s v=""/>
    <s v=""/>
    <s v=""/>
    <s v=""/>
    <s v=""/>
  </r>
  <r>
    <s v="WF"/>
    <x v="260"/>
    <n v="876"/>
    <n v="828"/>
    <s v="Wallis Fut Is"/>
    <x v="260"/>
    <m/>
    <s v="Îles Wallis-et-Futuna"/>
    <s v="Islas Wallis y Futuna"/>
    <n v="9"/>
    <s v="Oceania"/>
    <n v="61"/>
    <s v="Polynesia"/>
    <m/>
    <m/>
    <s v="Oceania"/>
    <s v="East Asia &amp; Pacific"/>
    <n v="9"/>
    <s v="Oceania"/>
    <n v="543"/>
    <s v="Oceania excluding Australia and New Zealand"/>
    <s v="ASIAPAC"/>
    <x v="2"/>
    <s v="ROW"/>
    <s v="Polynesia"/>
    <s v="Other Oceania"/>
    <x v="22"/>
    <s v="Unclassified"/>
    <s v="Unclassified"/>
    <s v="Developing"/>
    <s v="ODA recipient"/>
    <s v="SDG 7a1"/>
    <s v="Non-OECD"/>
    <s v="Non-OECD"/>
    <s v="Non-IEA"/>
    <s v="3.0-Country/Area"/>
    <s v="XPF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BH"/>
    <x v="261"/>
    <n v="48"/>
    <n v="601"/>
    <s v="Bahrain"/>
    <x v="261"/>
    <s v="the Kingdom of Bahrain"/>
    <s v="Bahreïn"/>
    <s v="Bahrein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7"/>
    <s v="midEas"/>
    <s v="Western Asia"/>
    <s v="Other Western Asia"/>
    <x v="23"/>
    <s v="High income"/>
    <s v="Non-HIPC"/>
    <s v="Developing"/>
    <s v="Non recipient"/>
    <s v="Non SDG"/>
    <s v="Non-OECD"/>
    <s v="Non-OECD"/>
    <s v="Non-IEA"/>
    <s v="3.0-Country/Area"/>
    <s v="BHD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n v="98502"/>
    <s v=""/>
    <s v=""/>
    <s v=""/>
    <s v=""/>
    <s v=""/>
    <s v=""/>
    <s v=""/>
  </r>
  <r>
    <s v="IQ"/>
    <x v="262"/>
    <n v="368"/>
    <n v="603"/>
    <s v="Iraq"/>
    <x v="262"/>
    <s v="the Republic of Iraq"/>
    <s v="Iraq"/>
    <s v="Iraq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5"/>
    <s v="midEas"/>
    <s v="Western Asia"/>
    <s v="Other Western Asia"/>
    <x v="23"/>
    <s v="Upper middle income"/>
    <s v="Non-HIPC"/>
    <s v="Developing"/>
    <s v="ODA recipient"/>
    <s v="SDG 7a1"/>
    <s v="Non-OECD"/>
    <s v="Non-OECD"/>
    <s v="Non-IEA"/>
    <s v="3.0-Country/Area"/>
    <s v="IQD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s v=""/>
    <n v="98503"/>
    <s v=""/>
    <s v=""/>
    <n v="98506"/>
    <s v=""/>
    <n v="98508"/>
    <s v=""/>
  </r>
  <r>
    <s v="KW"/>
    <x v="263"/>
    <n v="414"/>
    <n v="606"/>
    <s v="Kuwait"/>
    <x v="263"/>
    <s v="the State of Kuwait"/>
    <s v="Koweït"/>
    <s v="Kuwait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7"/>
    <s v="midEas"/>
    <s v="Western Asia"/>
    <s v="Other Western Asia"/>
    <x v="23"/>
    <s v="High income"/>
    <s v="Non-HIPC"/>
    <s v="Developing"/>
    <s v="Non recipient"/>
    <s v="Non SDG"/>
    <s v="Non-OECD"/>
    <s v="Non-OECD"/>
    <s v="Non-IEA"/>
    <s v="3.0-Country/Area"/>
    <s v="KWD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n v="98502"/>
    <s v=""/>
    <s v=""/>
    <s v=""/>
    <s v=""/>
    <s v=""/>
    <s v=""/>
    <s v=""/>
  </r>
  <r>
    <s v="OM"/>
    <x v="264"/>
    <n v="512"/>
    <n v="608"/>
    <s v="Oman"/>
    <x v="264"/>
    <s v="the Sultanate of Oman"/>
    <s v="Oman"/>
    <s v="Omán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7"/>
    <s v="midEas"/>
    <s v="Western Asia"/>
    <s v="Other Western Asia"/>
    <x v="23"/>
    <s v="High income"/>
    <s v="Non-HIPC"/>
    <s v="Developing"/>
    <s v="Non recipient"/>
    <s v="Non SDG"/>
    <s v="Non-OECD"/>
    <s v="Non-OECD"/>
    <s v="Non-IEA"/>
    <s v="3.0-Country/Area"/>
    <s v="OMR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n v="98502"/>
    <s v=""/>
    <s v=""/>
    <s v=""/>
    <s v=""/>
    <s v=""/>
    <s v=""/>
    <s v=""/>
  </r>
  <r>
    <s v="QA"/>
    <x v="265"/>
    <n v="634"/>
    <n v="610"/>
    <s v="Qatar"/>
    <x v="265"/>
    <s v="the State of Qatar"/>
    <s v="Qatar"/>
    <s v="Qatar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7"/>
    <s v="midEas"/>
    <s v="Western Asia"/>
    <s v="Other Western Asia"/>
    <x v="23"/>
    <s v="High income"/>
    <s v="Non-HIPC"/>
    <s v="Developing"/>
    <s v="Non recipient"/>
    <s v="Non SDG"/>
    <s v="Non-OECD"/>
    <s v="Non-OECD"/>
    <s v="Non-IEA"/>
    <s v="3.0-Country/Area"/>
    <s v="QAR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n v="98502"/>
    <s v=""/>
    <s v=""/>
    <s v=""/>
    <s v=""/>
    <s v=""/>
    <s v=""/>
    <s v=""/>
  </r>
  <r>
    <s v="SA"/>
    <x v="266"/>
    <n v="682"/>
    <n v="611"/>
    <s v="Saudi Arabia"/>
    <x v="266"/>
    <s v="the Kingdom of Saudi Arabia"/>
    <s v="Arabie saoudite"/>
    <s v="Arabia Saudita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7"/>
    <s v="midEas"/>
    <s v="Western Asia"/>
    <s v="Saudi Arabia"/>
    <x v="23"/>
    <s v="High income"/>
    <s v="Non-HIPC"/>
    <s v="Developing"/>
    <s v="Non recipient"/>
    <s v="Non SDG"/>
    <s v="Non-OECD"/>
    <s v="Non-OECD"/>
    <s v="Non-IEA"/>
    <s v="3.0-Country/Area"/>
    <s v="SAR"/>
    <s v="DAC"/>
    <s v="BRI"/>
    <s v="Non LDC"/>
    <s v="Non LLDC"/>
    <s v="Non SIDS"/>
    <s v="Non-EU"/>
    <s v="Non-EU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n v="98502"/>
    <s v=""/>
    <s v=""/>
    <s v=""/>
    <s v=""/>
    <s v=""/>
    <s v=""/>
    <s v=""/>
  </r>
  <r>
    <s v="AE"/>
    <x v="267"/>
    <n v="784"/>
    <n v="613"/>
    <s v="United Arab Em"/>
    <x v="267"/>
    <s v="the United Arab Emirates"/>
    <s v="Émirats arabes unis"/>
    <s v="Emiratos Árabes Unidos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7"/>
    <s v="midEas"/>
    <s v="Western Asia"/>
    <s v="Other Western Asia"/>
    <x v="23"/>
    <s v="High income"/>
    <s v="Non-HIPC"/>
    <s v="Developing"/>
    <s v="Non recipient"/>
    <s v="Non SDG"/>
    <s v="Non-OECD"/>
    <s v="Non-OECD"/>
    <s v="Non-IEA"/>
    <s v="3.0-Country/Area"/>
    <s v="AED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n v="98502"/>
    <s v=""/>
    <s v=""/>
    <s v=""/>
    <s v=""/>
    <s v=""/>
    <s v=""/>
    <s v=""/>
  </r>
  <r>
    <s v="IR"/>
    <x v="268"/>
    <n v="364"/>
    <n v="602"/>
    <s v="Iran IR"/>
    <x v="268"/>
    <s v="the Islamic Republic of Iran"/>
    <s v="Iran (République islamique d')"/>
    <s v="Irán (República Islámica del)"/>
    <n v="142"/>
    <s v="Asia"/>
    <n v="34"/>
    <s v="Southern Asia"/>
    <m/>
    <m/>
    <s v="Middle East"/>
    <s v="Middle East &amp; North Africa"/>
    <n v="62"/>
    <s v="Central Asia and Southern Asia"/>
    <n v="34"/>
    <s v="Southern Asia"/>
    <s v="MENA"/>
    <x v="15"/>
    <s v="midEas"/>
    <s v="Southern Asia"/>
    <s v="Other Southern Asia"/>
    <x v="23"/>
    <s v="Lower middle income"/>
    <s v="Non-HIPC"/>
    <s v="Developing"/>
    <s v="ODA recipient"/>
    <s v="SDG 7a1"/>
    <s v="Non-OECD"/>
    <s v="Non-OECD"/>
    <s v="Non-IEA"/>
    <s v="3.0-Country/Area"/>
    <s v="IRR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n v="98407"/>
    <s v=""/>
    <s v=""/>
    <s v=""/>
    <s v=""/>
    <s v=""/>
    <s v=""/>
    <n v="98420"/>
    <s v=""/>
    <s v=""/>
    <s v=""/>
    <s v=""/>
    <s v=""/>
    <s v=""/>
    <s v=""/>
    <s v=""/>
    <s v=""/>
    <s v=""/>
    <n v="98438"/>
    <s v=""/>
    <s v=""/>
    <s v=""/>
    <s v=""/>
    <s v=""/>
    <s v=""/>
    <s v=""/>
    <s v=""/>
    <s v=""/>
    <s v=""/>
  </r>
  <r>
    <s v="YE"/>
    <x v="269"/>
    <n v="887"/>
    <n v="614"/>
    <s v="Yemen"/>
    <x v="269"/>
    <s v="the Republic of Yemen"/>
    <s v="Yémen"/>
    <s v="Yemen"/>
    <n v="142"/>
    <s v="Asia"/>
    <n v="145"/>
    <s v="Western Asia"/>
    <m/>
    <m/>
    <s v="Middle East"/>
    <s v="Middle East &amp; North Africa"/>
    <n v="747"/>
    <s v="Western Asia and Northern Africa"/>
    <n v="145"/>
    <s v="Western Asia"/>
    <s v="MENA"/>
    <x v="15"/>
    <s v="midEas"/>
    <s v="Western Asia"/>
    <s v="Other Western Asia"/>
    <x v="23"/>
    <s v="Low income"/>
    <s v="Non-HIPC"/>
    <s v="Developing"/>
    <s v="ODA recipient"/>
    <s v="SDG 7a1"/>
    <s v="Non-OECD"/>
    <s v="Non-OECD"/>
    <s v="Non-IEA"/>
    <s v="3.0-Country/Area"/>
    <s v="YER"/>
    <s v="DAC"/>
    <s v="BRI"/>
    <s v="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n v="98501"/>
    <s v=""/>
    <s v=""/>
    <s v=""/>
    <n v="98505"/>
    <n v="98506"/>
    <s v=""/>
    <s v=""/>
    <n v="98509"/>
  </r>
  <r>
    <s v="KR"/>
    <x v="270"/>
    <n v="410"/>
    <n v="215"/>
    <s v="Korea Rep"/>
    <x v="270"/>
    <s v="the Republic of Korea"/>
    <s v="République de Corée"/>
    <s v="República de Corea"/>
    <n v="142"/>
    <s v="Asia"/>
    <n v="30"/>
    <s v="Eastern Asia"/>
    <m/>
    <m/>
    <s v="Asia"/>
    <s v="East Asia &amp; Pacific"/>
    <n v="753"/>
    <s v="Eastern Asia and South-eastern Asia"/>
    <n v="30"/>
    <s v="Eastern Asia"/>
    <s v="JPKRTW"/>
    <x v="10"/>
    <s v="ROW"/>
    <s v="Eastern Asia"/>
    <s v="Republic of Korea (the)"/>
    <x v="24"/>
    <s v="High income"/>
    <s v="Non-HIPC"/>
    <s v="Developed"/>
    <s v="Non recipient"/>
    <s v="Non SDG"/>
    <s v="OECD"/>
    <s v="OECD Asia Oceania"/>
    <s v="IEA"/>
    <s v="3.0-Country/Area"/>
    <s v="KRW"/>
    <s v="KOR"/>
    <s v="BRI"/>
    <s v="Non LDC"/>
    <s v="Non LLDC"/>
    <s v="Non SIDS"/>
    <s v="Non-EU"/>
    <s v="Non-EU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n v="98408"/>
    <s v=""/>
    <s v=""/>
    <s v=""/>
    <s v=""/>
    <s v=""/>
    <s v=""/>
    <s v=""/>
    <s v=""/>
    <s v=""/>
    <s v=""/>
    <s v=""/>
    <s v=""/>
    <s v=""/>
    <s v=""/>
    <n v="98436"/>
    <s v=""/>
    <s v=""/>
    <s v=""/>
    <s v=""/>
    <s v=""/>
    <s v=""/>
    <s v=""/>
    <s v=""/>
    <s v=""/>
    <s v=""/>
    <s v=""/>
    <s v=""/>
  </r>
  <r>
    <s v="RU"/>
    <x v="271"/>
    <n v="643"/>
    <n v="404"/>
    <s v="Russian Fed"/>
    <x v="271"/>
    <s v="the Russian Federation"/>
    <s v="Fédération de Russie"/>
    <s v="Federación de Rusia"/>
    <n v="150"/>
    <s v="Europe"/>
    <n v="151"/>
    <s v="Eastern Europe"/>
    <m/>
    <m/>
    <s v="Eurasia"/>
    <s v="Europe &amp; Central Asia"/>
    <n v="513"/>
    <s v="Northern America and Europe"/>
    <n v="150"/>
    <s v="Europe"/>
    <s v="RUSSIA"/>
    <x v="18"/>
    <s v="russia"/>
    <s v="Other Europe"/>
    <s v="Russian Federation (the)"/>
    <x v="25"/>
    <s v="Upper middle income"/>
    <s v="Non-HIPC"/>
    <s v="Developed"/>
    <s v="Non recipient"/>
    <s v="Non SDG"/>
    <s v="Non-OECD"/>
    <s v="Non-OECD"/>
    <s v="Non-IEA"/>
    <s v="3.0-Country/Area"/>
    <s v="RUB"/>
    <s v="DAC"/>
    <s v="BRI"/>
    <s v="Non LDC"/>
    <s v="Non LLDC"/>
    <s v="Non SIDS"/>
    <s v="Non-EU"/>
    <s v="Non-EU"/>
    <s v="Non SIDS LH"/>
    <s v="Non-G7"/>
    <s v="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n v="98201"/>
    <n v="98202"/>
    <s v=""/>
    <s v=""/>
    <s v=""/>
    <n v="98206"/>
    <s v=""/>
    <s v=""/>
    <s v=""/>
    <n v="98400"/>
    <s v=""/>
    <s v=""/>
    <s v=""/>
    <s v=""/>
    <s v=""/>
    <s v=""/>
    <n v="98417"/>
    <s v=""/>
    <s v=""/>
    <s v=""/>
    <s v=""/>
    <s v=""/>
    <s v=""/>
    <s v=""/>
    <s v=""/>
    <s v=""/>
    <s v=""/>
    <s v=""/>
    <s v=""/>
    <n v="98437"/>
    <s v=""/>
    <s v=""/>
    <s v=""/>
    <s v=""/>
    <s v=""/>
    <s v=""/>
    <s v=""/>
    <s v=""/>
    <s v=""/>
    <s v=""/>
    <s v=""/>
  </r>
  <r>
    <s v="ZA"/>
    <x v="272"/>
    <n v="710"/>
    <n v="153"/>
    <s v="South Africa"/>
    <x v="272"/>
    <s v="the Republic of South Africa"/>
    <s v="Afrique du Sud"/>
    <s v="Sudáfrica"/>
    <n v="2"/>
    <s v="Africa"/>
    <n v="202"/>
    <s v="Sub-Saharan Africa"/>
    <n v="18"/>
    <s v="Southern Africa"/>
    <s v="Africa"/>
    <s v="Sub-Saharan Africa"/>
    <n v="202"/>
    <s v="Sub-Saharan Africa"/>
    <n v="202"/>
    <s v="Sub-Saharan Africa"/>
    <s v="SSAFRICA"/>
    <x v="11"/>
    <s v="ROW"/>
    <s v="Southern Africa"/>
    <s v="South Africa"/>
    <x v="26"/>
    <s v="Upper middle income"/>
    <s v="Non-HIPC"/>
    <s v="Developing"/>
    <s v="ODA recipient"/>
    <s v="SDG 7a1"/>
    <s v="Non-OECD"/>
    <s v="Non-OECD"/>
    <s v="Non-IEA"/>
    <s v="3.0-Country/Area"/>
    <s v="ZAR"/>
    <s v="DAC"/>
    <s v="BRI"/>
    <s v="Non LDC"/>
    <s v="Non LLDC"/>
    <s v="Non SIDS"/>
    <s v="Non-EU"/>
    <s v="Non-EU"/>
    <s v="Non SIDS LH"/>
    <s v="Non-G7"/>
    <s v="Non-G8"/>
    <s v="G20"/>
    <s v="Include"/>
    <n v="98100"/>
    <s v=""/>
    <s v=""/>
    <s v=""/>
    <n v="98104"/>
    <s v=""/>
    <n v="98106"/>
    <s v=""/>
    <s v=""/>
    <s v=""/>
    <n v="98110"/>
    <s v=""/>
    <s v=""/>
    <s v=""/>
    <s v=""/>
    <s v=""/>
    <s v=""/>
    <s v=""/>
    <s v=""/>
    <n v="98119"/>
    <s v="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O"/>
    <x v="273"/>
    <n v="68"/>
    <n v="902"/>
    <s v="Bolivia"/>
    <x v="273"/>
    <s v="the Plurinational State of Bolivia"/>
    <s v="Bolivie (État plurinational de)"/>
    <s v="Bolivia (Estado Plurinacional de)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Lower middle income"/>
    <s v="HIPC"/>
    <s v="Developing"/>
    <s v="ODA recipient"/>
    <s v="SDG 7a1"/>
    <s v="Non-OECD"/>
    <s v="Non-OECD Americas"/>
    <s v="Non-IEA"/>
    <s v="3.0-Country/Area"/>
    <s v="BOB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V"/>
    <x v="274"/>
    <n v="74"/>
    <n v="105"/>
    <s v="Bouvet Island"/>
    <x v="274"/>
    <m/>
    <s v="Île Bouvet"/>
    <s v="Isla Bouvet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e v="#N/A"/>
    <x v="3"/>
    <s v="ROW"/>
    <s v="South America"/>
    <s v="Other South America"/>
    <x v="27"/>
    <s v="Unclassified"/>
    <s v="Unclassified"/>
    <s v="Developing"/>
    <s v="Non recipient"/>
    <s v="Non SDG"/>
    <s v="Non-OECD"/>
    <s v="Non-OECD Americas"/>
    <s v="Non-IEA"/>
    <s v="3.0-Country/Area"/>
    <s v="NOK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CO"/>
    <x v="275"/>
    <n v="170"/>
    <n v="905"/>
    <s v="Colombia"/>
    <x v="275"/>
    <s v="the Republic of Colombia"/>
    <s v="Colombie"/>
    <s v="Colombia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Upper middle income"/>
    <s v="Non-HIPC"/>
    <s v="Developing"/>
    <s v="ODA recipient"/>
    <s v="SDG 7a1"/>
    <s v="OECD"/>
    <s v="OECD Americas"/>
    <s v="Non-IEA"/>
    <s v="3.0-Country/Area"/>
    <s v="COP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EC"/>
    <x v="276"/>
    <n v="218"/>
    <n v="906"/>
    <s v="Ecuador"/>
    <x v="276"/>
    <s v="the Republic of Ecuador"/>
    <s v="Équateur"/>
    <s v="Ecuador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Upper middle income"/>
    <s v="Non-HIPC"/>
    <s v="Developing"/>
    <s v="ODA recipient"/>
    <s v="SDG 7a1"/>
    <s v="Non-OECD"/>
    <s v="Non-OECD Americas"/>
    <s v="Non-IEA"/>
    <s v="3.0-Country/Area"/>
    <s v="USD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FK"/>
    <x v="277"/>
    <n v="238"/>
    <n v="907"/>
    <s v="Falklands Malv"/>
    <x v="277"/>
    <m/>
    <s v="Îles Falkland (Malvinas)"/>
    <s v="Islas Malvinas (Falkland)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Unclassified"/>
    <s v="Unclassified"/>
    <s v="Developing"/>
    <s v="Non recipient"/>
    <s v="Non SDG"/>
    <s v="Non-OECD"/>
    <s v="Non-OECD Americas"/>
    <s v="Non-IEA"/>
    <s v="3.0-Country/Area"/>
    <s v="FKP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F"/>
    <x v="278"/>
    <n v="254"/>
    <n v="908"/>
    <s v="Fr Guiana"/>
    <x v="278"/>
    <m/>
    <s v="Guyane française"/>
    <s v="Guayana Francesa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Unclassified"/>
    <s v="Unclassified"/>
    <s v="Developing"/>
    <s v="Non recipient"/>
    <s v="Non SDG"/>
    <s v="Non-OECD"/>
    <s v="Non-OECD Americas"/>
    <s v="Non-IEA"/>
    <s v="3.0-Country/Area"/>
    <s v="EUR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Y"/>
    <x v="279"/>
    <n v="328"/>
    <n v="909"/>
    <s v="Guyana"/>
    <x v="279"/>
    <s v="the Co-operative Republic of Guyana"/>
    <s v="Guyana"/>
    <s v="Guyana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Upper middle income"/>
    <s v="HIPC"/>
    <s v="Developing"/>
    <s v="ODA recipient"/>
    <s v="SDG 7a1"/>
    <s v="Non-OECD"/>
    <s v="Non-OECD Americas"/>
    <s v="Non-IEA"/>
    <s v="3.0-Country/Area"/>
    <s v="GYD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PY"/>
    <x v="280"/>
    <n v="600"/>
    <n v="910"/>
    <s v="Paraguay"/>
    <x v="280"/>
    <s v="the Republic of Paraguay"/>
    <s v="Paraguay"/>
    <s v="Paraguay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Upper middle income"/>
    <s v="Non-HIPC"/>
    <s v="Developing"/>
    <s v="ODA recipient"/>
    <s v="SDG 7a1"/>
    <s v="Non-OECD"/>
    <s v="Non-OECD Americas"/>
    <s v="Non-IEA"/>
    <s v="3.0-Country/Area"/>
    <s v="PYG"/>
    <s v="DAC"/>
    <m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PE"/>
    <x v="281"/>
    <n v="604"/>
    <n v="911"/>
    <s v="Peru"/>
    <x v="281"/>
    <s v="the Republic of Peru"/>
    <s v="Pérou"/>
    <s v="Perú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Upper middle income"/>
    <s v="Non-HIPC"/>
    <s v="Developing"/>
    <s v="ODA recipient"/>
    <s v="SDG 7a1"/>
    <s v="Non-OECD"/>
    <s v="Non-OECD Americas"/>
    <s v="Non-IEA"/>
    <s v="3.0-Country/Area"/>
    <s v="PEN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S"/>
    <x v="282"/>
    <n v="239"/>
    <n v="912"/>
    <s v="South Georgia"/>
    <x v="282"/>
    <m/>
    <s v="Géorgie du Sud-et-les Îles Sandwich du Sud"/>
    <s v="Georgia del Sur y las Islas Sandwich del Sur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Unclassified"/>
    <s v="Unclassified"/>
    <s v="Developing"/>
    <s v="Non recipient"/>
    <s v="Non SDG"/>
    <s v="Non-OECD"/>
    <s v="Non-OECD Americas"/>
    <s v="Non-IEA"/>
    <s v="3.0-Country/Area"/>
    <m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s v=""/>
    <s v=""/>
    <n v="98426"/>
    <s v=""/>
    <s v=""/>
    <s v=""/>
    <s v=""/>
    <s v=""/>
    <s v=""/>
    <s v=""/>
    <s v=""/>
    <s v=""/>
    <s v=""/>
    <s v=""/>
    <s v=""/>
    <s v=""/>
    <s v=""/>
    <s v=""/>
    <s v=""/>
    <s v=""/>
  </r>
  <r>
    <s v="SR"/>
    <x v="283"/>
    <n v="740"/>
    <n v="913"/>
    <s v="Suriname"/>
    <x v="283"/>
    <s v="the Republic of Suriname"/>
    <s v="Suriname"/>
    <s v="Suriname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Upper middle income"/>
    <s v="Non-HIPC"/>
    <s v="Developing"/>
    <s v="ODA recipient"/>
    <s v="SDG 7a1"/>
    <s v="Non-OECD"/>
    <s v="Non-OECD Americas"/>
    <s v="Non-IEA"/>
    <s v="3.0-Country/Area"/>
    <s v="SRD"/>
    <s v="DAC"/>
    <s v="BRI"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n v="98301"/>
    <s v="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UY"/>
    <x v="284"/>
    <n v="858"/>
    <n v="914"/>
    <s v="Uruguay"/>
    <x v="284"/>
    <s v="the Eastern Republic of Uruguay"/>
    <s v="Uruguay"/>
    <s v="Uruguay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High income"/>
    <s v="Non-HIPC"/>
    <s v="Developing"/>
    <s v="Non recipient"/>
    <s v="SDG 7a1"/>
    <s v="Non-OECD"/>
    <s v="Non-OECD Americas"/>
    <s v="Non-IEA"/>
    <s v="3.0-Country/Area"/>
    <s v="UYU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VE"/>
    <x v="285"/>
    <n v="862"/>
    <n v="915"/>
    <s v="Venezuela"/>
    <x v="285"/>
    <s v="the Bolivarian Republic of Venezuela"/>
    <s v="Venezuela (République bolivarienne du)"/>
    <s v="Venezuela (República Bolivariana de)"/>
    <n v="19"/>
    <s v="Americas"/>
    <n v="419"/>
    <s v="Latin America and the Caribbean"/>
    <n v="5"/>
    <s v="South America"/>
    <s v="South America"/>
    <s v="Latin America &amp; Caribbean"/>
    <n v="419"/>
    <s v="Latin America and the Caribbean"/>
    <n v="419"/>
    <s v="Latin America and the Caribbean"/>
    <s v="LAC"/>
    <x v="0"/>
    <s v="ROW"/>
    <s v="South America"/>
    <s v="Other South America"/>
    <x v="27"/>
    <s v="Unclassified"/>
    <s v="Non-HIPC"/>
    <s v="Developing"/>
    <s v="ODA recipient"/>
    <s v="SDG 7a1"/>
    <s v="Non-OECD"/>
    <s v="Non-OECD Americas"/>
    <s v="Non-IEA"/>
    <s v="3.0-Country/Area"/>
    <s v="VES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300"/>
    <s v=""/>
    <n v="98302"/>
    <s v=""/>
    <s v=""/>
    <s v=""/>
    <s v=""/>
    <s v=""/>
    <s v=""/>
    <s v=""/>
    <s v=""/>
    <s v=""/>
    <s v=""/>
    <s v=""/>
    <s v=""/>
    <n v="98424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N"/>
    <x v="286"/>
    <n v="96"/>
    <n v="204"/>
    <s v="Brunei Darsm"/>
    <x v="286"/>
    <s v="Brunei Darussalam"/>
    <s v="Brunéi Darussalam"/>
    <s v="Brunei Darussalam"/>
    <n v="142"/>
    <s v="Asia"/>
    <n v="35"/>
    <s v="South-eastern Asia"/>
    <m/>
    <m/>
    <s v="Asia"/>
    <s v="East Asia &amp; Pacific"/>
    <n v="753"/>
    <s v="Eastern Asia and South-eastern Asia"/>
    <n v="35"/>
    <s v="South-eastern Asia"/>
    <s v="ASIAPAC"/>
    <x v="2"/>
    <s v="ROW"/>
    <s v="South-eastern Asia"/>
    <s v="Other South-eastern Asia"/>
    <x v="28"/>
    <s v="High income"/>
    <s v="Non-HIPC"/>
    <s v="Developing"/>
    <s v="Non recipient"/>
    <s v="Non SDG"/>
    <s v="Non-OECD"/>
    <s v="Non-OECD"/>
    <s v="Non-IEA"/>
    <s v="3.0-Country/Area"/>
    <s v="BND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n v="98406"/>
    <s v=""/>
    <s v=""/>
    <s v=""/>
    <s v=""/>
    <s v=""/>
    <s v=""/>
    <n v="98419"/>
    <s v=""/>
    <s v=""/>
    <s v=""/>
    <s v=""/>
    <s v=""/>
    <s v=""/>
    <s v=""/>
    <s v=""/>
    <s v=""/>
    <n v="98436"/>
    <s v=""/>
    <s v=""/>
    <s v=""/>
    <s v=""/>
    <s v=""/>
    <s v=""/>
    <s v=""/>
    <s v=""/>
    <s v=""/>
    <s v=""/>
    <s v=""/>
    <s v=""/>
  </r>
  <r>
    <s v="KH"/>
    <x v="287"/>
    <n v="116"/>
    <n v="205"/>
    <s v="Cambodia"/>
    <x v="287"/>
    <s v="the Kingdom of Cambodia"/>
    <s v="Cambodge"/>
    <s v="Camboya"/>
    <n v="142"/>
    <s v="Asia"/>
    <n v="35"/>
    <s v="South-eastern Asia"/>
    <m/>
    <m/>
    <s v="Asia"/>
    <s v="East Asia &amp; Pacific"/>
    <n v="753"/>
    <s v="Eastern Asia and South-eastern Asia"/>
    <n v="35"/>
    <s v="South-eastern Asia"/>
    <s v="ASIAPAC"/>
    <x v="2"/>
    <s v="ROW"/>
    <s v="South-eastern Asia"/>
    <s v="Other South-eastern Asia"/>
    <x v="28"/>
    <s v="Lower middle income"/>
    <s v="Non-HIPC"/>
    <s v="Developing"/>
    <s v="ODA recipient"/>
    <s v="SDG 7a1"/>
    <s v="Non-OECD"/>
    <s v="Non-OECD"/>
    <s v="Non-IEA"/>
    <s v="3.0-Country/Area"/>
    <s v="KHR"/>
    <s v="DAC"/>
    <s v="BRI"/>
    <s v="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n v="98406"/>
    <s v=""/>
    <s v=""/>
    <n v="98411"/>
    <s v=""/>
    <s v=""/>
    <s v=""/>
    <n v="98419"/>
    <s v=""/>
    <s v=""/>
    <s v=""/>
    <s v=""/>
    <s v=""/>
    <s v=""/>
    <s v=""/>
    <n v="98434"/>
    <s v=""/>
    <s v=""/>
    <s v=""/>
    <n v="98438"/>
    <s v=""/>
    <s v=""/>
    <s v=""/>
    <s v=""/>
    <s v=""/>
    <s v=""/>
    <s v=""/>
    <s v=""/>
    <s v=""/>
    <s v=""/>
  </r>
  <r>
    <s v="KP"/>
    <x v="288"/>
    <n v="408"/>
    <n v="214"/>
    <s v="Korea DPR"/>
    <x v="288"/>
    <s v="the Democratic People's Republic of Korea"/>
    <s v="République populaire démocratique de Corée"/>
    <s v="República Popular Democrática de Corea"/>
    <n v="142"/>
    <s v="Asia"/>
    <n v="30"/>
    <s v="Eastern Asia"/>
    <m/>
    <m/>
    <s v="Asia"/>
    <s v="East Asia &amp; Pacific"/>
    <n v="753"/>
    <s v="Eastern Asia and South-eastern Asia"/>
    <n v="30"/>
    <s v="Eastern Asia"/>
    <s v="ASIAPAC"/>
    <x v="2"/>
    <s v="ROW"/>
    <s v="Eastern Asia"/>
    <s v="Other Eastern Asia"/>
    <x v="28"/>
    <s v="Low income"/>
    <s v="Non-HIPC"/>
    <s v="Developing"/>
    <s v="ODA recipient"/>
    <s v="SDG 7a1"/>
    <s v="Non-OECD"/>
    <s v="Non-OECD"/>
    <s v="Non-IEA"/>
    <s v="3.0-Country/Area"/>
    <s v="KPW"/>
    <s v="DAC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n v="98408"/>
    <s v=""/>
    <s v=""/>
    <s v=""/>
    <s v=""/>
    <s v=""/>
    <s v=""/>
    <s v=""/>
    <s v=""/>
    <s v=""/>
    <s v=""/>
    <s v=""/>
    <s v=""/>
    <s v=""/>
    <s v=""/>
    <s v=""/>
    <s v=""/>
    <s v=""/>
    <n v="98439"/>
    <s v=""/>
    <s v=""/>
    <s v=""/>
    <s v=""/>
    <s v=""/>
    <s v=""/>
    <s v=""/>
    <s v=""/>
    <s v=""/>
  </r>
  <r>
    <s v="ID"/>
    <x v="289"/>
    <n v="360"/>
    <n v="211"/>
    <s v="Indonesia"/>
    <x v="289"/>
    <s v="the Republic of Indonesia"/>
    <s v="Indonésie"/>
    <s v="Indonesia"/>
    <n v="142"/>
    <s v="Asia"/>
    <n v="35"/>
    <s v="South-eastern Asia"/>
    <m/>
    <m/>
    <s v="Asia"/>
    <s v="East Asia &amp; Pacific"/>
    <n v="753"/>
    <s v="Eastern Asia and South-eastern Asia"/>
    <n v="35"/>
    <s v="South-eastern Asia"/>
    <s v="ASIAPAC"/>
    <x v="2"/>
    <s v="ROW"/>
    <s v="South-eastern Asia"/>
    <s v="Indonesia"/>
    <x v="28"/>
    <s v="Lower middle income"/>
    <s v="Non-HIPC"/>
    <s v="Developing"/>
    <s v="ODA recipient"/>
    <s v="SDG 7a1"/>
    <s v="Non-OECD"/>
    <s v="Non-OECD"/>
    <s v="Non-IEA"/>
    <s v="3.0-Country/Area"/>
    <s v="IDR"/>
    <s v="DAC"/>
    <s v="BRI"/>
    <s v="Non LDC"/>
    <s v="Non LLDC"/>
    <s v="Non SIDS"/>
    <s v="Non-EU"/>
    <s v="Non-EU"/>
    <s v="Non SIDS LH"/>
    <s v="Non-G7"/>
    <s v="Non-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n v="98406"/>
    <s v=""/>
    <s v=""/>
    <s v=""/>
    <s v=""/>
    <s v=""/>
    <s v=""/>
    <n v="98419"/>
    <s v=""/>
    <s v=""/>
    <s v=""/>
    <s v=""/>
    <s v=""/>
    <s v=""/>
    <s v=""/>
    <s v=""/>
    <s v=""/>
    <s v=""/>
    <n v="98437"/>
    <s v=""/>
    <s v=""/>
    <s v=""/>
    <s v=""/>
    <s v=""/>
    <s v=""/>
    <s v=""/>
    <s v=""/>
    <s v=""/>
    <s v=""/>
    <s v=""/>
  </r>
  <r>
    <s v="LA"/>
    <x v="290"/>
    <n v="418"/>
    <n v="217"/>
    <s v="Lao PDR"/>
    <x v="290"/>
    <s v="the Lao People's Democratic Republic"/>
    <s v="République démocratique populaire lao"/>
    <s v="República Democrática Popular Lao"/>
    <n v="142"/>
    <s v="Asia"/>
    <n v="35"/>
    <s v="South-eastern Asia"/>
    <m/>
    <m/>
    <s v="Asia"/>
    <s v="East Asia &amp; Pacific"/>
    <n v="753"/>
    <s v="Eastern Asia and South-eastern Asia"/>
    <n v="35"/>
    <s v="South-eastern Asia"/>
    <s v="ASIAPAC"/>
    <x v="2"/>
    <s v="ROW"/>
    <s v="South-eastern Asia"/>
    <s v="Other South-eastern Asia"/>
    <x v="28"/>
    <s v="Lower middle income"/>
    <s v="Non-HIPC"/>
    <s v="Developing"/>
    <s v="ODA recipient"/>
    <s v="SDG 7a1"/>
    <s v="Non-OECD"/>
    <s v="Non-OECD"/>
    <s v="Non-IEA"/>
    <s v="3.0-Country/Area"/>
    <s v="LAK"/>
    <s v="DAC"/>
    <s v="BRI"/>
    <s v="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n v="98406"/>
    <s v=""/>
    <s v=""/>
    <n v="98411"/>
    <n v="98412"/>
    <s v=""/>
    <s v=""/>
    <n v="98419"/>
    <s v=""/>
    <s v=""/>
    <s v=""/>
    <s v=""/>
    <s v=""/>
    <s v=""/>
    <s v=""/>
    <n v="98434"/>
    <s v=""/>
    <s v=""/>
    <s v=""/>
    <n v="98438"/>
    <s v=""/>
    <s v=""/>
    <s v=""/>
    <s v=""/>
    <s v=""/>
    <s v=""/>
    <s v=""/>
    <s v=""/>
    <s v=""/>
    <s v=""/>
  </r>
  <r>
    <s v="MY"/>
    <x v="291"/>
    <n v="458"/>
    <n v="218"/>
    <s v="Malaysia"/>
    <x v="291"/>
    <s v="Malaysia"/>
    <s v="Malaisie"/>
    <s v="Malasia"/>
    <n v="142"/>
    <s v="Asia"/>
    <n v="35"/>
    <s v="South-eastern Asia"/>
    <m/>
    <m/>
    <s v="Asia"/>
    <s v="East Asia &amp; Pacific"/>
    <n v="753"/>
    <s v="Eastern Asia and South-eastern Asia"/>
    <n v="35"/>
    <s v="South-eastern Asia"/>
    <s v="ASIAPAC"/>
    <x v="2"/>
    <s v="ROW"/>
    <s v="South-eastern Asia"/>
    <s v="Other South-eastern Asia"/>
    <x v="28"/>
    <s v="Upper middle income"/>
    <s v="Non-HIPC"/>
    <s v="Developing"/>
    <s v="ODA recipient"/>
    <s v="SDG 7a1"/>
    <s v="Non-OECD"/>
    <s v="Non-OECD"/>
    <s v="Non-IEA"/>
    <s v="3.0-Country/Area"/>
    <s v="MYR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n v="98406"/>
    <s v=""/>
    <s v=""/>
    <s v=""/>
    <s v=""/>
    <s v=""/>
    <s v=""/>
    <n v="98419"/>
    <s v=""/>
    <s v=""/>
    <s v=""/>
    <s v=""/>
    <s v=""/>
    <s v=""/>
    <s v=""/>
    <s v=""/>
    <s v=""/>
    <s v=""/>
    <n v="98437"/>
    <s v=""/>
    <s v=""/>
    <s v=""/>
    <s v=""/>
    <s v=""/>
    <s v=""/>
    <s v=""/>
    <s v=""/>
    <s v=""/>
    <s v=""/>
    <s v=""/>
  </r>
  <r>
    <s v="MM"/>
    <x v="292"/>
    <n v="104"/>
    <n v="221"/>
    <s v="Myanmar"/>
    <x v="292"/>
    <s v="the Republic of the Union of Myanmar"/>
    <s v="Myanmar"/>
    <s v="Myanmar"/>
    <n v="142"/>
    <s v="Asia"/>
    <n v="35"/>
    <s v="South-eastern Asia"/>
    <m/>
    <m/>
    <s v="Asia"/>
    <s v="East Asia &amp; Pacific"/>
    <n v="753"/>
    <s v="Eastern Asia and South-eastern Asia"/>
    <n v="35"/>
    <s v="South-eastern Asia"/>
    <s v="ASIAPAC"/>
    <x v="2"/>
    <s v="ROW"/>
    <s v="South-eastern Asia"/>
    <s v="Other South-eastern Asia"/>
    <x v="28"/>
    <s v="Lower middle income"/>
    <s v="Non-HIPC"/>
    <s v="Developing"/>
    <s v="ODA recipient"/>
    <s v="SDG 7a1"/>
    <s v="Non-OECD"/>
    <s v="Non-OECD"/>
    <s v="Non-IEA"/>
    <s v="3.0-Country/Area"/>
    <s v="MMK"/>
    <s v="DAC"/>
    <s v="BRI"/>
    <s v="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n v="98406"/>
    <s v=""/>
    <s v=""/>
    <n v="98411"/>
    <s v=""/>
    <s v=""/>
    <s v=""/>
    <n v="98419"/>
    <s v=""/>
    <s v=""/>
    <s v=""/>
    <s v=""/>
    <s v=""/>
    <s v=""/>
    <s v=""/>
    <n v="98434"/>
    <s v=""/>
    <s v=""/>
    <s v=""/>
    <n v="98438"/>
    <s v=""/>
    <s v=""/>
    <s v=""/>
    <s v=""/>
    <s v=""/>
    <s v=""/>
    <s v=""/>
    <s v=""/>
    <s v=""/>
    <s v=""/>
  </r>
  <r>
    <s v="PH"/>
    <x v="293"/>
    <n v="608"/>
    <n v="224"/>
    <s v="Philippines"/>
    <x v="293"/>
    <s v="the Republic of the Philippines"/>
    <s v="Philippines"/>
    <s v="Filipinas"/>
    <n v="142"/>
    <s v="Asia"/>
    <n v="35"/>
    <s v="South-eastern Asia"/>
    <m/>
    <m/>
    <s v="Asia"/>
    <s v="East Asia &amp; Pacific"/>
    <n v="753"/>
    <s v="Eastern Asia and South-eastern Asia"/>
    <n v="35"/>
    <s v="South-eastern Asia"/>
    <s v="ASIAPAC"/>
    <x v="2"/>
    <s v="ROW"/>
    <s v="South-eastern Asia"/>
    <s v="Other South-eastern Asia"/>
    <x v="28"/>
    <s v="Lower middle income"/>
    <s v="Non-HIPC"/>
    <s v="Developing"/>
    <s v="ODA recipient"/>
    <s v="SDG 7a1"/>
    <s v="Non-OECD"/>
    <s v="Non-OECD"/>
    <s v="Non-IEA"/>
    <s v="3.0-Country/Area"/>
    <s v="PHP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n v="98406"/>
    <s v=""/>
    <s v=""/>
    <s v=""/>
    <s v=""/>
    <s v=""/>
    <s v=""/>
    <n v="98419"/>
    <s v=""/>
    <s v=""/>
    <s v=""/>
    <s v=""/>
    <s v=""/>
    <s v=""/>
    <s v=""/>
    <s v=""/>
    <s v=""/>
    <s v=""/>
    <s v=""/>
    <n v="98438"/>
    <s v=""/>
    <s v=""/>
    <s v=""/>
    <s v=""/>
    <s v=""/>
    <s v=""/>
    <s v=""/>
    <s v=""/>
    <s v=""/>
    <s v=""/>
  </r>
  <r>
    <s v="SG"/>
    <x v="294"/>
    <n v="702"/>
    <n v="225"/>
    <s v="Singapore"/>
    <x v="294"/>
    <s v="the Republic of Singapore"/>
    <s v="Singapour"/>
    <s v="Singapur"/>
    <n v="142"/>
    <s v="Asia"/>
    <n v="35"/>
    <s v="South-eastern Asia"/>
    <m/>
    <m/>
    <s v="Asia"/>
    <s v="East Asia &amp; Pacific"/>
    <n v="753"/>
    <s v="Eastern Asia and South-eastern Asia"/>
    <n v="35"/>
    <s v="South-eastern Asia"/>
    <s v="ASIAPAC"/>
    <x v="2"/>
    <s v="ROW"/>
    <s v="South-eastern Asia"/>
    <s v="Other South-eastern Asia"/>
    <x v="28"/>
    <s v="High income"/>
    <s v="Non-HIPC"/>
    <s v="Developing"/>
    <s v="Non recipient"/>
    <s v="Non SDG"/>
    <s v="Non-OECD"/>
    <s v="Non-OECD"/>
    <s v="Non-IEA"/>
    <s v="3.0-Country/Area"/>
    <s v="SGD"/>
    <s v="DAC"/>
    <s v="BRI"/>
    <s v="Non 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n v="98406"/>
    <s v=""/>
    <s v=""/>
    <s v=""/>
    <s v=""/>
    <s v=""/>
    <s v=""/>
    <n v="98419"/>
    <s v=""/>
    <s v=""/>
    <s v=""/>
    <s v=""/>
    <s v=""/>
    <s v=""/>
    <s v=""/>
    <s v=""/>
    <n v="98435"/>
    <n v="98436"/>
    <s v=""/>
    <s v=""/>
    <s v=""/>
    <s v=""/>
    <s v=""/>
    <s v=""/>
    <s v=""/>
    <s v=""/>
    <s v=""/>
    <s v=""/>
    <s v=""/>
    <s v=""/>
  </r>
  <r>
    <s v="TH"/>
    <x v="295"/>
    <n v="764"/>
    <n v="228"/>
    <s v="Thailand"/>
    <x v="295"/>
    <s v="the Kingdom of Thailand"/>
    <s v="Thaïlande"/>
    <s v="Tailandia"/>
    <n v="142"/>
    <s v="Asia"/>
    <n v="35"/>
    <s v="South-eastern Asia"/>
    <m/>
    <m/>
    <s v="Asia"/>
    <s v="East Asia &amp; Pacific"/>
    <n v="753"/>
    <s v="Eastern Asia and South-eastern Asia"/>
    <n v="35"/>
    <s v="South-eastern Asia"/>
    <s v="ASIAPAC"/>
    <x v="2"/>
    <s v="ROW"/>
    <s v="South-eastern Asia"/>
    <s v="Other South-eastern Asia"/>
    <x v="28"/>
    <s v="Upper middle income"/>
    <s v="Non-HIPC"/>
    <s v="Developing"/>
    <s v="ODA recipient"/>
    <s v="SDG 7a1"/>
    <s v="Non-OECD"/>
    <s v="Non-OECD"/>
    <s v="Non-IEA"/>
    <s v="3.0-Country/Area"/>
    <s v="THB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n v="98406"/>
    <s v=""/>
    <s v=""/>
    <s v=""/>
    <s v=""/>
    <s v=""/>
    <s v=""/>
    <n v="98419"/>
    <s v=""/>
    <s v=""/>
    <s v=""/>
    <s v=""/>
    <s v=""/>
    <s v=""/>
    <s v=""/>
    <s v=""/>
    <s v=""/>
    <s v=""/>
    <n v="98437"/>
    <s v=""/>
    <s v=""/>
    <s v=""/>
    <s v=""/>
    <s v=""/>
    <s v=""/>
    <s v=""/>
    <s v=""/>
    <s v=""/>
    <s v=""/>
    <s v=""/>
  </r>
  <r>
    <s v="TL"/>
    <x v="296"/>
    <n v="626"/>
    <n v="229"/>
    <s v="Timor Leste"/>
    <x v="296"/>
    <s v="the Democratic Republic of Timor-Leste"/>
    <s v="Timor-Leste"/>
    <s v="Timor-Leste"/>
    <n v="142"/>
    <s v="Asia"/>
    <n v="35"/>
    <s v="South-eastern Asia"/>
    <m/>
    <m/>
    <s v="Asia"/>
    <s v="East Asia &amp; Pacific"/>
    <n v="753"/>
    <s v="Eastern Asia and South-eastern Asia"/>
    <n v="35"/>
    <s v="South-eastern Asia"/>
    <s v="ASIAPAC"/>
    <x v="2"/>
    <s v="ROW"/>
    <s v="South-eastern Asia"/>
    <s v="Other South-eastern Asia"/>
    <x v="28"/>
    <s v="Lower middle income"/>
    <s v="Non-HIPC"/>
    <s v="Developing"/>
    <s v="ODA recipient"/>
    <s v="SDG 7a1"/>
    <s v="Non-OECD"/>
    <s v="Non-OECD"/>
    <s v="Non-IEA"/>
    <s v="3.0-Country/Area"/>
    <s v="USD"/>
    <s v="DAC"/>
    <s v="BRI"/>
    <s v="LDC"/>
    <s v="Non LLDC"/>
    <s v="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n v="98406"/>
    <s v=""/>
    <s v=""/>
    <n v="98411"/>
    <s v=""/>
    <s v=""/>
    <s v=""/>
    <n v="98419"/>
    <s v=""/>
    <s v=""/>
    <s v=""/>
    <s v=""/>
    <s v=""/>
    <s v=""/>
    <s v=""/>
    <n v="98434"/>
    <n v="98435"/>
    <s v=""/>
    <s v=""/>
    <n v="98438"/>
    <s v=""/>
    <s v=""/>
    <s v=""/>
    <s v=""/>
    <s v=""/>
    <s v=""/>
    <s v=""/>
    <s v=""/>
    <s v=""/>
    <s v=""/>
  </r>
  <r>
    <s v="VN"/>
    <x v="297"/>
    <n v="704"/>
    <n v="232"/>
    <s v="Viet Nam"/>
    <x v="297"/>
    <s v="the Socialist Republic of Viet Nam"/>
    <s v="Viet Nam"/>
    <s v="Viet Nam"/>
    <n v="142"/>
    <s v="Asia"/>
    <n v="35"/>
    <s v="South-eastern Asia"/>
    <m/>
    <m/>
    <s v="Asia"/>
    <s v="East Asia &amp; Pacific"/>
    <n v="753"/>
    <s v="Eastern Asia and South-eastern Asia"/>
    <n v="35"/>
    <s v="South-eastern Asia"/>
    <s v="ASIAPAC"/>
    <x v="2"/>
    <s v="ROW"/>
    <s v="South-eastern Asia"/>
    <s v="Other South-eastern Asia"/>
    <x v="28"/>
    <s v="Lower middle income"/>
    <s v="Non-HIPC"/>
    <s v="Developing"/>
    <s v="ODA recipient"/>
    <s v="SDG 7a1"/>
    <s v="Non-OECD"/>
    <s v="Non-OECD"/>
    <s v="Non-IEA"/>
    <s v="3.0-Country/Area"/>
    <s v="VND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n v="98406"/>
    <s v=""/>
    <s v=""/>
    <s v=""/>
    <s v=""/>
    <s v=""/>
    <s v=""/>
    <n v="98419"/>
    <s v=""/>
    <s v=""/>
    <s v=""/>
    <s v=""/>
    <s v=""/>
    <s v=""/>
    <s v=""/>
    <s v=""/>
    <s v=""/>
    <s v=""/>
    <s v=""/>
    <n v="98438"/>
    <s v=""/>
    <s v=""/>
    <s v=""/>
    <s v=""/>
    <s v=""/>
    <s v=""/>
    <s v=""/>
    <s v=""/>
    <s v=""/>
    <s v=""/>
  </r>
  <r>
    <s v="BW"/>
    <x v="298"/>
    <n v="72"/>
    <n v="104"/>
    <s v="Botswana"/>
    <x v="298"/>
    <s v="the Republic of Botswana"/>
    <s v="Botswana"/>
    <s v="Botswana"/>
    <n v="2"/>
    <s v="Africa"/>
    <n v="202"/>
    <s v="Sub-Saharan Africa"/>
    <n v="18"/>
    <s v="Southern Africa"/>
    <s v="Africa"/>
    <s v="Sub-Saharan Africa"/>
    <n v="202"/>
    <s v="Sub-Saharan Africa"/>
    <n v="202"/>
    <s v="Sub-Saharan Africa"/>
    <s v="SSAFRICA"/>
    <x v="11"/>
    <s v="ROW"/>
    <s v="Southern Africa"/>
    <s v="Other Southern Africa"/>
    <x v="29"/>
    <s v="Upper middle income"/>
    <s v="Non-HIPC"/>
    <s v="Developing"/>
    <s v="ODA recipient"/>
    <s v="SDG 7a1"/>
    <s v="Non-OECD"/>
    <s v="Non-OECD"/>
    <s v="Non-IEA"/>
    <s v="3.0-Country/Area"/>
    <s v="BWP"/>
    <s v="DAC"/>
    <m/>
    <s v="Non LDC"/>
    <s v="LLDC"/>
    <s v="Non SIDS"/>
    <s v="Non-EU"/>
    <s v="Non-EU"/>
    <s v="Non SIDS LH"/>
    <s v="Non-G7"/>
    <s v="Non-G8"/>
    <s v="Non-G20"/>
    <s v="Include"/>
    <n v="98100"/>
    <s v=""/>
    <s v=""/>
    <s v=""/>
    <n v="98104"/>
    <s v=""/>
    <n v="98106"/>
    <s v=""/>
    <s v=""/>
    <s v=""/>
    <n v="98110"/>
    <s v=""/>
    <s v=""/>
    <s v=""/>
    <s v=""/>
    <s v=""/>
    <n v="98116"/>
    <s v=""/>
    <s v=""/>
    <n v="98119"/>
    <s v="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Z"/>
    <x v="299"/>
    <n v="748"/>
    <n v="121"/>
    <s v="Eswatini"/>
    <x v="299"/>
    <s v="the Kingdom of Eswatini"/>
    <s v="Eswatini"/>
    <s v="Eswatini"/>
    <n v="2"/>
    <s v="Africa"/>
    <n v="202"/>
    <s v="Sub-Saharan Africa"/>
    <n v="18"/>
    <s v="Southern Africa"/>
    <s v="Africa"/>
    <s v="Sub-Saharan Africa"/>
    <n v="202"/>
    <s v="Sub-Saharan Africa"/>
    <n v="202"/>
    <s v="Sub-Saharan Africa"/>
    <s v="SSAFRICA"/>
    <x v="11"/>
    <s v="ROW"/>
    <s v="Southern Africa"/>
    <s v="Other Southern Africa"/>
    <x v="29"/>
    <s v="Lower middle income"/>
    <s v="Non-HIPC"/>
    <s v="Developing"/>
    <s v="ODA recipient"/>
    <s v="SDG 7a1"/>
    <s v="Non-OECD"/>
    <s v="Non-OECD"/>
    <s v="Non-IEA"/>
    <s v="3.0-Country/Area"/>
    <s v="SZL"/>
    <s v="DAC"/>
    <m/>
    <s v="Non LDC"/>
    <s v="LLDC"/>
    <s v="Non SIDS"/>
    <s v="Non-EU"/>
    <s v="Non-EU"/>
    <s v="Non SIDS LH"/>
    <s v="Non-G7"/>
    <s v="Non-G8"/>
    <s v="Non-G20"/>
    <s v="Include"/>
    <n v="98100"/>
    <s v=""/>
    <s v=""/>
    <s v=""/>
    <n v="98104"/>
    <s v=""/>
    <n v="98106"/>
    <s v=""/>
    <s v=""/>
    <s v=""/>
    <n v="98110"/>
    <s v=""/>
    <s v=""/>
    <n v="98113"/>
    <s v=""/>
    <s v=""/>
    <n v="98116"/>
    <s v=""/>
    <s v=""/>
    <s v=""/>
    <s v="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LS"/>
    <x v="300"/>
    <n v="426"/>
    <n v="131"/>
    <s v="Lesotho"/>
    <x v="300"/>
    <s v="the Kingdom of Lesotho"/>
    <s v="Lesotho"/>
    <s v="Lesotho"/>
    <n v="2"/>
    <s v="Africa"/>
    <n v="202"/>
    <s v="Sub-Saharan Africa"/>
    <n v="18"/>
    <s v="Southern Africa"/>
    <s v="Africa"/>
    <s v="Sub-Saharan Africa"/>
    <n v="202"/>
    <s v="Sub-Saharan Africa"/>
    <n v="202"/>
    <s v="Sub-Saharan Africa"/>
    <s v="SSAFRICA"/>
    <x v="11"/>
    <s v="ROW"/>
    <s v="Southern Africa"/>
    <s v="Other Southern Africa"/>
    <x v="29"/>
    <s v="Lower middle income"/>
    <s v="Non-HIPC"/>
    <s v="Developing"/>
    <s v="ODA recipient"/>
    <s v="SDG 7a1"/>
    <s v="Non-OECD"/>
    <s v="Non-OECD"/>
    <s v="Non-IEA"/>
    <s v="3.0-Country/Area"/>
    <s v="LSL"/>
    <s v="DAC"/>
    <m/>
    <s v="LDC"/>
    <s v="LLDC"/>
    <s v="Non SIDS"/>
    <s v="Non-EU"/>
    <s v="Non-EU"/>
    <s v="Non SIDS LH"/>
    <s v="Non-G7"/>
    <s v="Non-G8"/>
    <s v="Non-G20"/>
    <s v="Include"/>
    <n v="98100"/>
    <s v=""/>
    <s v=""/>
    <s v=""/>
    <n v="98104"/>
    <s v=""/>
    <n v="98106"/>
    <s v=""/>
    <s v=""/>
    <s v=""/>
    <n v="98110"/>
    <s v=""/>
    <s v=""/>
    <s v=""/>
    <s v=""/>
    <s v=""/>
    <n v="98116"/>
    <n v="98117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NA"/>
    <x v="301"/>
    <n v="516"/>
    <n v="142"/>
    <s v="Namibia"/>
    <x v="301"/>
    <s v="the Republic of Namibia"/>
    <s v="Namibie"/>
    <s v="Namibia"/>
    <n v="2"/>
    <s v="Africa"/>
    <n v="202"/>
    <s v="Sub-Saharan Africa"/>
    <n v="18"/>
    <s v="Southern Africa"/>
    <s v="Africa"/>
    <s v="Sub-Saharan Africa"/>
    <n v="202"/>
    <s v="Sub-Saharan Africa"/>
    <n v="202"/>
    <s v="Sub-Saharan Africa"/>
    <s v="SSAFRICA"/>
    <x v="11"/>
    <s v="ROW"/>
    <s v="Southern Africa"/>
    <s v="Other Southern Africa"/>
    <x v="29"/>
    <s v="Upper middle income"/>
    <s v="Non-HIPC"/>
    <s v="Developing"/>
    <s v="ODA recipient"/>
    <s v="SDG 7a1"/>
    <s v="Non-OECD"/>
    <s v="Non-OECD"/>
    <s v="Non-IEA"/>
    <s v="3.0-Country/Area"/>
    <s v="NAD"/>
    <s v="DAC"/>
    <s v="BRI"/>
    <s v="Non LDC"/>
    <s v="Non LLDC"/>
    <s v="Non SIDS"/>
    <s v="Non-EU"/>
    <s v="Non-EU"/>
    <s v="Non SIDS LH"/>
    <s v="Non-G7"/>
    <s v="Non-G8"/>
    <s v="Non-G20"/>
    <s v="Include"/>
    <n v="98100"/>
    <s v=""/>
    <s v=""/>
    <s v=""/>
    <n v="98104"/>
    <s v=""/>
    <n v="98106"/>
    <s v=""/>
    <s v=""/>
    <s v=""/>
    <n v="98110"/>
    <s v=""/>
    <s v=""/>
    <s v=""/>
    <s v=""/>
    <s v=""/>
    <s v=""/>
    <s v=""/>
    <s v=""/>
    <n v="98119"/>
    <s v="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AF"/>
    <x v="302"/>
    <n v="4"/>
    <n v="201"/>
    <s v="Afghanistan"/>
    <x v="302"/>
    <s v="the Islamic Republic of Afghanistan"/>
    <s v="Afghanistan"/>
    <s v="Afganistán"/>
    <n v="142"/>
    <s v="Asia"/>
    <n v="34"/>
    <s v="Southern Asia"/>
    <m/>
    <m/>
    <s v="Asia"/>
    <s v="South Asia"/>
    <n v="62"/>
    <s v="Central Asia and Southern Asia"/>
    <n v="34"/>
    <s v="Southern Asia"/>
    <s v="CENASIA"/>
    <x v="8"/>
    <s v="ROW"/>
    <s v="Southern Asia"/>
    <s v="Other Southern Asia"/>
    <x v="30"/>
    <s v="Low income"/>
    <s v="HIPC"/>
    <s v="Developing"/>
    <s v="ODA recipient"/>
    <s v="SDG 7a1"/>
    <s v="Non-OECD"/>
    <s v="Non-OECD"/>
    <s v="Non-IEA"/>
    <s v="3.0-Country/Area"/>
    <s v="AFN"/>
    <s v="DAC"/>
    <s v="BRI"/>
    <s v="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n v="98407"/>
    <s v=""/>
    <n v="98411"/>
    <n v="98412"/>
    <s v=""/>
    <s v=""/>
    <s v=""/>
    <n v="98420"/>
    <s v=""/>
    <s v=""/>
    <s v=""/>
    <s v=""/>
    <s v=""/>
    <n v="98428"/>
    <n v="98434"/>
    <s v=""/>
    <s v=""/>
    <s v=""/>
    <s v=""/>
    <n v="98439"/>
    <s v=""/>
    <s v=""/>
    <s v=""/>
    <s v=""/>
    <s v=""/>
    <s v=""/>
    <s v=""/>
    <s v=""/>
    <s v=""/>
  </r>
  <r>
    <s v="BD"/>
    <x v="303"/>
    <n v="50"/>
    <n v="202"/>
    <s v="Bangladesh"/>
    <x v="303"/>
    <s v="the People's Republic of Bangladesh"/>
    <s v="Bangladesh"/>
    <s v="Bangladesh"/>
    <n v="142"/>
    <s v="Asia"/>
    <n v="34"/>
    <s v="Southern Asia"/>
    <m/>
    <m/>
    <s v="Asia"/>
    <s v="South Asia"/>
    <n v="62"/>
    <s v="Central Asia and Southern Asia"/>
    <n v="34"/>
    <s v="Southern Asia"/>
    <s v="CENASIA"/>
    <x v="8"/>
    <s v="ROW"/>
    <s v="Southern Asia"/>
    <s v="Other Southern Asia"/>
    <x v="30"/>
    <s v="Lower middle income"/>
    <s v="Non-HIPC"/>
    <s v="Developing"/>
    <s v="ODA recipient"/>
    <s v="SDG 7a1"/>
    <s v="Non-OECD"/>
    <s v="Non-OECD"/>
    <s v="Non-IEA"/>
    <s v="3.0-Country/Area"/>
    <s v="BDT"/>
    <s v="DAC"/>
    <s v="BRI"/>
    <s v="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n v="98411"/>
    <s v=""/>
    <s v=""/>
    <s v=""/>
    <s v=""/>
    <n v="98420"/>
    <s v=""/>
    <s v=""/>
    <s v=""/>
    <s v=""/>
    <s v=""/>
    <n v="98428"/>
    <n v="98434"/>
    <s v=""/>
    <s v=""/>
    <s v=""/>
    <n v="98438"/>
    <s v=""/>
    <s v=""/>
    <s v=""/>
    <s v=""/>
    <s v=""/>
    <s v=""/>
    <s v=""/>
    <s v=""/>
    <s v=""/>
    <s v=""/>
  </r>
  <r>
    <s v="BT"/>
    <x v="304"/>
    <n v="64"/>
    <n v="203"/>
    <s v="Bhutan"/>
    <x v="304"/>
    <s v="the Kingdom of Bhutan"/>
    <s v="Bhoutan"/>
    <s v="Bhután"/>
    <n v="142"/>
    <s v="Asia"/>
    <n v="34"/>
    <s v="Southern Asia"/>
    <m/>
    <m/>
    <s v="Asia"/>
    <s v="South Asia"/>
    <n v="62"/>
    <s v="Central Asia and Southern Asia"/>
    <n v="34"/>
    <s v="Southern Asia"/>
    <s v="CENASIA"/>
    <x v="8"/>
    <s v="ROW"/>
    <s v="Southern Asia"/>
    <s v="Other Southern Asia"/>
    <x v="30"/>
    <s v="Lower middle income"/>
    <s v="Non-HIPC"/>
    <s v="Developing"/>
    <s v="ODA recipient"/>
    <s v="SDG 7a1"/>
    <s v="Non-OECD"/>
    <s v="Non-OECD"/>
    <s v="Non-IEA"/>
    <s v="3.0-Country/Area"/>
    <s v="INR"/>
    <s v="DAC"/>
    <s v="BRI"/>
    <s v="Non 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n v="98412"/>
    <s v=""/>
    <s v=""/>
    <s v=""/>
    <n v="98420"/>
    <s v=""/>
    <s v=""/>
    <s v=""/>
    <s v=""/>
    <s v=""/>
    <n v="98428"/>
    <n v="98434"/>
    <s v=""/>
    <s v=""/>
    <s v=""/>
    <n v="98438"/>
    <s v=""/>
    <s v=""/>
    <s v=""/>
    <s v=""/>
    <s v=""/>
    <s v=""/>
    <s v=""/>
    <s v=""/>
    <s v=""/>
    <s v=""/>
  </r>
  <r>
    <s v="MV"/>
    <x v="305"/>
    <n v="462"/>
    <n v="219"/>
    <s v="Maldives"/>
    <x v="305"/>
    <s v="the Republic of Maldives"/>
    <s v="Maldives"/>
    <s v="Maldivas"/>
    <n v="142"/>
    <s v="Asia"/>
    <n v="34"/>
    <s v="Southern Asia"/>
    <m/>
    <m/>
    <s v="Asia"/>
    <s v="South Asia"/>
    <n v="62"/>
    <s v="Central Asia and Southern Asia"/>
    <n v="34"/>
    <s v="Southern Asia"/>
    <s v="ASIAPAC"/>
    <x v="2"/>
    <s v="ROW"/>
    <s v="Southern Asia"/>
    <s v="Other Southern Asia"/>
    <x v="30"/>
    <s v="Upper middle income"/>
    <s v="Non-HIPC"/>
    <s v="Developing"/>
    <s v="ODA recipient"/>
    <s v="SDG 7a1"/>
    <s v="Non-OECD"/>
    <s v="Non-OECD"/>
    <s v="Non-IEA"/>
    <s v="3.0-Country/Area"/>
    <s v="MVR"/>
    <s v="DAC"/>
    <s v="BRI"/>
    <s v="Non LDC"/>
    <s v="Non LLDC"/>
    <s v="SIDS"/>
    <s v="Non-EU"/>
    <s v="Non-EU"/>
    <s v="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s v=""/>
    <s v=""/>
    <n v="98420"/>
    <s v=""/>
    <s v=""/>
    <s v=""/>
    <s v=""/>
    <s v=""/>
    <n v="98428"/>
    <n v="98434"/>
    <n v="98435"/>
    <s v=""/>
    <n v="98437"/>
    <s v=""/>
    <s v=""/>
    <s v=""/>
    <s v=""/>
    <s v=""/>
    <s v=""/>
    <s v=""/>
    <s v=""/>
    <s v=""/>
    <s v=""/>
    <s v=""/>
  </r>
  <r>
    <s v="NP"/>
    <x v="306"/>
    <n v="524"/>
    <n v="222"/>
    <s v="Nepal"/>
    <x v="306"/>
    <s v="Nepal"/>
    <s v="Népal"/>
    <s v="Nepal"/>
    <n v="142"/>
    <s v="Asia"/>
    <n v="34"/>
    <s v="Southern Asia"/>
    <m/>
    <m/>
    <s v="Asia"/>
    <s v="South Asia"/>
    <n v="62"/>
    <s v="Central Asia and Southern Asia"/>
    <n v="34"/>
    <s v="Southern Asia"/>
    <s v="CENASIA"/>
    <x v="8"/>
    <s v="ROW"/>
    <s v="Southern Asia"/>
    <s v="Other Southern Asia"/>
    <x v="30"/>
    <s v="Lower middle income"/>
    <s v="Non-HIPC"/>
    <s v="Developing"/>
    <s v="ODA recipient"/>
    <s v="SDG 7a1"/>
    <s v="Non-OECD"/>
    <s v="Non-OECD"/>
    <s v="Non-IEA"/>
    <s v="3.0-Country/Area"/>
    <s v="NPR"/>
    <s v="DAC"/>
    <s v="BRI"/>
    <s v="LDC"/>
    <s v="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n v="98411"/>
    <n v="98412"/>
    <s v=""/>
    <s v=""/>
    <s v=""/>
    <n v="98420"/>
    <s v=""/>
    <s v=""/>
    <s v=""/>
    <s v=""/>
    <s v=""/>
    <n v="98428"/>
    <n v="98434"/>
    <s v=""/>
    <s v=""/>
    <s v=""/>
    <n v="98438"/>
    <s v=""/>
    <s v=""/>
    <s v=""/>
    <s v=""/>
    <s v=""/>
    <s v=""/>
    <s v=""/>
    <s v=""/>
    <s v=""/>
    <s v=""/>
  </r>
  <r>
    <s v="PK"/>
    <x v="307"/>
    <n v="586"/>
    <n v="223"/>
    <s v="Pakistan"/>
    <x v="307"/>
    <s v="the Islamic Republic of Pakistan"/>
    <s v="Pakistan"/>
    <s v="Pakistán"/>
    <n v="142"/>
    <s v="Asia"/>
    <n v="34"/>
    <s v="Southern Asia"/>
    <m/>
    <m/>
    <s v="Asia"/>
    <s v="South Asia"/>
    <n v="62"/>
    <s v="Central Asia and Southern Asia"/>
    <n v="34"/>
    <s v="Southern Asia"/>
    <s v="CENASIA"/>
    <x v="8"/>
    <s v="ROW"/>
    <s v="Southern Asia"/>
    <s v="Other Southern Asia"/>
    <x v="30"/>
    <s v="Lower middle income"/>
    <s v="Non-HIPC"/>
    <s v="Developing"/>
    <s v="ODA recipient"/>
    <s v="SDG 7a1"/>
    <s v="Non-OECD"/>
    <s v="Non-OECD"/>
    <s v="Non-IEA"/>
    <s v="3.0-Country/Area"/>
    <s v="PKR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n v="98407"/>
    <s v=""/>
    <s v=""/>
    <s v=""/>
    <s v=""/>
    <s v=""/>
    <s v=""/>
    <n v="98420"/>
    <s v=""/>
    <s v=""/>
    <s v=""/>
    <s v=""/>
    <s v=""/>
    <n v="98428"/>
    <s v=""/>
    <s v=""/>
    <s v=""/>
    <s v=""/>
    <n v="98438"/>
    <s v=""/>
    <s v=""/>
    <s v=""/>
    <s v=""/>
    <s v=""/>
    <s v=""/>
    <s v=""/>
    <s v=""/>
    <s v=""/>
    <s v=""/>
  </r>
  <r>
    <s v="LK"/>
    <x v="308"/>
    <n v="144"/>
    <n v="226"/>
    <s v="Sri Lanka"/>
    <x v="308"/>
    <s v="the Democratic Socialist Republic of Sri Lanka"/>
    <s v="Sri Lanka"/>
    <s v="Sri Lanka"/>
    <n v="142"/>
    <s v="Asia"/>
    <n v="34"/>
    <s v="Southern Asia"/>
    <m/>
    <m/>
    <s v="Asia"/>
    <s v="South Asia"/>
    <n v="62"/>
    <s v="Central Asia and Southern Asia"/>
    <n v="34"/>
    <s v="Southern Asia"/>
    <s v="CENASIA"/>
    <x v="8"/>
    <s v="ROW"/>
    <s v="Southern Asia"/>
    <s v="Other Southern Asia"/>
    <x v="30"/>
    <s v="Lower middle income"/>
    <s v="Non-HIPC"/>
    <s v="Developing"/>
    <s v="ODA recipient"/>
    <s v="SDG 7a1"/>
    <s v="Non-OECD"/>
    <s v="Non-OECD"/>
    <s v="Non-IEA"/>
    <s v="3.0-Country/Area"/>
    <s v="LKR"/>
    <s v="DAC"/>
    <s v="BRI"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0"/>
    <s v=""/>
    <s v=""/>
    <s v=""/>
    <s v=""/>
    <s v=""/>
    <s v=""/>
    <s v=""/>
    <s v=""/>
    <s v=""/>
    <n v="98420"/>
    <s v=""/>
    <s v=""/>
    <s v=""/>
    <s v=""/>
    <s v=""/>
    <n v="98428"/>
    <s v=""/>
    <s v=""/>
    <s v=""/>
    <s v=""/>
    <n v="98438"/>
    <s v=""/>
    <s v=""/>
    <s v=""/>
    <s v=""/>
    <s v=""/>
    <s v=""/>
    <s v=""/>
    <s v=""/>
    <s v=""/>
    <s v=""/>
  </r>
  <r>
    <s v="CH"/>
    <x v="309"/>
    <n v="756"/>
    <n v="552"/>
    <s v="Switzerland"/>
    <x v="309"/>
    <s v="the Swiss Confederation"/>
    <s v="Suisse"/>
    <s v="Suiza"/>
    <n v="150"/>
    <s v="Europe"/>
    <n v="155"/>
    <s v="Western Europe"/>
    <m/>
    <m/>
    <s v="Europe"/>
    <s v="Europe &amp; Central Asia"/>
    <n v="513"/>
    <s v="Northern America and Europe"/>
    <n v="150"/>
    <s v="Europe"/>
    <s v="EU31"/>
    <x v="12"/>
    <s v="swiss"/>
    <s v="Other Europe"/>
    <s v="Switzerland"/>
    <x v="31"/>
    <s v="High income"/>
    <s v="Non-HIPC"/>
    <s v="Developed"/>
    <s v="Non recipient"/>
    <s v="Non SDG"/>
    <s v="OECD"/>
    <s v="OECD Europe"/>
    <s v="IEA"/>
    <s v="3.0-Country/Area"/>
    <s v="CHF"/>
    <s v="CHE"/>
    <m/>
    <s v="Non LDC"/>
    <s v="Non LLDC"/>
    <s v="Non SIDS"/>
    <s v="Non-EU"/>
    <s v="Non-EU"/>
    <s v="Non SIDS LH"/>
    <s v="Non-G7"/>
    <s v="Non-G8"/>
    <s v="Non-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B"/>
    <x v="310"/>
    <n v="826"/>
    <n v="553"/>
    <s v="UK"/>
    <x v="310"/>
    <s v="the United Kingdom of Great Britain and Northern Ireland"/>
    <s v="Royaume-Uni de Grande-Bretagne et d'Irlande du Nord"/>
    <s v="Reino Unido de Gran Bretaña e Irlanda del Norte"/>
    <n v="150"/>
    <s v="Europe"/>
    <n v="154"/>
    <s v="Northern Europe"/>
    <m/>
    <m/>
    <s v="Europe"/>
    <s v="Europe &amp; Central Asia"/>
    <n v="513"/>
    <s v="Northern America and Europe"/>
    <n v="150"/>
    <s v="Europe"/>
    <s v="EU31"/>
    <x v="12"/>
    <s v="eu27+"/>
    <s v="Other Europe"/>
    <s v="United Kingdom of Great Britain and Northern Ireland (the)"/>
    <x v="32"/>
    <s v="High income"/>
    <s v="Non-HIPC"/>
    <s v="Developed"/>
    <s v="Non recipient"/>
    <s v="Non SDG"/>
    <s v="OECD"/>
    <s v="OECD Europe"/>
    <s v="IEA"/>
    <s v="3.0-Country/Area"/>
    <s v="GBP"/>
    <s v="GBR"/>
    <m/>
    <s v="Non LDC"/>
    <s v="Non LLDC"/>
    <s v="Non SIDS"/>
    <s v="EU-28"/>
    <s v="Non-EU"/>
    <s v="Non SIDS LH"/>
    <s v="G7"/>
    <s v="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US"/>
    <x v="311"/>
    <n v="840"/>
    <n v="706"/>
    <s v="USA"/>
    <x v="311"/>
    <s v="the United States of America"/>
    <s v="États-Unis d'Amérique"/>
    <s v="Estados Unidos de América"/>
    <n v="19"/>
    <s v="Americas"/>
    <n v="21"/>
    <s v="Northern America"/>
    <m/>
    <m/>
    <s v="North America"/>
    <s v="North America"/>
    <n v="513"/>
    <s v="Northern America and Europe"/>
    <n v="21"/>
    <s v="Northern America"/>
    <s v="USA"/>
    <x v="6"/>
    <s v="usa"/>
    <s v="Northern America"/>
    <s v="United States of America (the)"/>
    <x v="33"/>
    <s v="High income"/>
    <s v="Non-HIPC"/>
    <s v="Developed"/>
    <s v="Non recipient"/>
    <s v="Non SDG"/>
    <s v="OECD"/>
    <s v="OECD Americas"/>
    <s v="IEA"/>
    <s v="3.0-Country/Area"/>
    <s v="USD"/>
    <s v="USA"/>
    <m/>
    <s v="Non LDC"/>
    <s v="Non LLDC"/>
    <s v="Non SIDS"/>
    <s v="Non-EU"/>
    <s v="Non-EU"/>
    <s v="Non SIDS LH"/>
    <s v="G7"/>
    <s v="G8"/>
    <s v="G20"/>
    <s v="Include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2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25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J"/>
    <x v="312"/>
    <n v="204"/>
    <n v="103"/>
    <s v="Benin"/>
    <x v="312"/>
    <s v="the Republic of Benin"/>
    <s v="Bénin"/>
    <s v="Benin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er middle income"/>
    <s v="HIPC"/>
    <s v="Developing"/>
    <s v="ODA recipient"/>
    <s v="SDG 7a1"/>
    <s v="Non-OECD"/>
    <s v="Non-OECD"/>
    <s v="Non-IEA"/>
    <s v="3.0-Country/Area"/>
    <s v="XOF"/>
    <s v="DAC"/>
    <m/>
    <s v="LDC"/>
    <s v="Non 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s v=""/>
    <s v="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BF"/>
    <x v="313"/>
    <n v="854"/>
    <n v="107"/>
    <s v="Burkina Faso"/>
    <x v="313"/>
    <s v="Burkina Faso"/>
    <s v="Burkina Faso"/>
    <s v="Burkina Faso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 income"/>
    <s v="HIPC"/>
    <s v="Developing"/>
    <s v="ODA recipient"/>
    <s v="SDG 7a1"/>
    <s v="Non-OECD"/>
    <s v="Non-OECD"/>
    <s v="Non-IEA"/>
    <s v="3.0-Country/Area"/>
    <s v="XOF"/>
    <s v="DAC"/>
    <m/>
    <s v="LDC"/>
    <s v="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n v="98116"/>
    <n v="98117"/>
    <n v="98118"/>
    <n v="98119"/>
    <n v="98120"/>
    <n v="98121"/>
    <s v=""/>
    <s v=""/>
    <n v="98124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V"/>
    <x v="314"/>
    <n v="132"/>
    <n v="109"/>
    <s v="Cabo Verde"/>
    <x v="314"/>
    <s v="the Republic of Cabo Verde"/>
    <s v="Cabo Verde"/>
    <s v="Cabo Verde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er middle income"/>
    <s v="Non-HIPC"/>
    <s v="Developing"/>
    <s v="ODA recipient"/>
    <s v="SDG 7a1"/>
    <s v="Non-OECD"/>
    <s v="Non-OECD"/>
    <s v="Non-IEA"/>
    <s v="3.0-Country/Area"/>
    <s v="CVE"/>
    <s v="DAC"/>
    <s v="BRI"/>
    <s v="Non LDC"/>
    <s v="Non LLDC"/>
    <s v="SIDS"/>
    <s v="Non-EU"/>
    <s v="Non-EU"/>
    <s v="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s v=""/>
    <s v=""/>
    <s v=""/>
    <n v="98115"/>
    <s v=""/>
    <s v=""/>
    <s v=""/>
    <s v=""/>
    <s v=""/>
    <n v="98121"/>
    <s v=""/>
    <s v=""/>
    <s v=""/>
    <n v="98125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CI"/>
    <x v="315"/>
    <n v="384"/>
    <n v="116"/>
    <s v="Cote d Ivoire"/>
    <x v="315"/>
    <s v="the Republic of Côte d'Ivoire"/>
    <s v="Côte d'Ivoire"/>
    <s v="Côte d'Ivoire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er middle income"/>
    <s v="HIPC"/>
    <s v="Developing"/>
    <s v="ODA recipient"/>
    <s v="SDG 7a1"/>
    <s v="Non-OECD"/>
    <s v="Non-OECD"/>
    <s v="Non-IEA"/>
    <s v="3.0-Country/Area"/>
    <s v="XOF"/>
    <s v="DAC"/>
    <s v="BRI"/>
    <s v="Non LDC"/>
    <s v="Non 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s v=""/>
    <s v=""/>
    <s v=""/>
    <s v=""/>
    <s v=""/>
    <s v=""/>
    <s v=""/>
    <n v="98123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M"/>
    <x v="316"/>
    <n v="270"/>
    <n v="125"/>
    <s v="Gambia"/>
    <x v="316"/>
    <s v="the Republic of the Gambia"/>
    <s v="Gambie"/>
    <s v="Gambia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 income"/>
    <s v="HIPC"/>
    <s v="Developing"/>
    <s v="ODA recipient"/>
    <s v="SDG 7a1"/>
    <s v="Non-OECD"/>
    <s v="Non-OECD"/>
    <s v="Non-IEA"/>
    <s v="3.0-Country/Area"/>
    <s v="GMD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s v=""/>
    <s v=""/>
    <n v="98118"/>
    <s v=""/>
    <n v="98120"/>
    <n v="98121"/>
    <s v=""/>
    <s v=""/>
    <n v="98124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H"/>
    <x v="317"/>
    <n v="288"/>
    <n v="126"/>
    <s v="Ghana"/>
    <x v="317"/>
    <s v="the Republic of Ghana"/>
    <s v="Ghana"/>
    <s v="Ghana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er middle income"/>
    <s v="HIPC"/>
    <s v="Developing"/>
    <s v="ODA recipient"/>
    <s v="SDG 7a1"/>
    <s v="Non-OECD"/>
    <s v="Non-OECD"/>
    <s v="Non-IEA"/>
    <s v="3.0-Country/Area"/>
    <s v="GHS"/>
    <s v="DAC"/>
    <s v="BRI"/>
    <s v="Non LDC"/>
    <s v="Non 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s v=""/>
    <s v=""/>
    <s v=""/>
    <n v="98119"/>
    <s v=""/>
    <s v=""/>
    <s v=""/>
    <n v="98123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N"/>
    <x v="318"/>
    <n v="324"/>
    <n v="127"/>
    <s v="Guinea"/>
    <x v="318"/>
    <s v="the Republic of Guinea"/>
    <s v="Guinée"/>
    <s v="Guinea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 income"/>
    <s v="HIPC"/>
    <s v="Developing"/>
    <s v="ODA recipient"/>
    <s v="SDG 7a1"/>
    <s v="Non-OECD"/>
    <s v="Non-OECD"/>
    <s v="Non-IEA"/>
    <s v="3.0-Country/Area"/>
    <s v="GNF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s v=""/>
    <s v=""/>
    <s v=""/>
    <s v=""/>
    <s v=""/>
    <s v=""/>
    <n v="98118"/>
    <n v="98119"/>
    <n v="98120"/>
    <n v="98121"/>
    <s v=""/>
    <s v=""/>
    <n v="98124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GW"/>
    <x v="319"/>
    <n v="624"/>
    <n v="128"/>
    <s v="Guinea Bissau"/>
    <x v="319"/>
    <s v="the Republic of Guinea-Bissau"/>
    <s v="Guinée-Bissau"/>
    <s v="Guinea-Bissau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 income"/>
    <s v="HIPC"/>
    <s v="Developing"/>
    <s v="ODA recipient"/>
    <s v="SDG 7a1"/>
    <s v="Non-OECD"/>
    <s v="Non-OECD"/>
    <s v="Non-IEA"/>
    <s v="3.0-Country/Area"/>
    <s v="XOF"/>
    <s v="DAC"/>
    <m/>
    <s v="LDC"/>
    <s v="Non LLDC"/>
    <s v="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s v=""/>
    <s v=""/>
    <n v="98118"/>
    <s v="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LR"/>
    <x v="320"/>
    <n v="430"/>
    <n v="132"/>
    <s v="Liberia"/>
    <x v="320"/>
    <s v="the Republic of Liberia"/>
    <s v="Libéria"/>
    <s v="Liberia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 income"/>
    <s v="HIPC"/>
    <s v="Developing"/>
    <s v="ODA recipient"/>
    <s v="SDG 7a1"/>
    <s v="Non-OECD"/>
    <s v="Non-OECD"/>
    <s v="Non-IEA"/>
    <s v="3.0-Country/Area"/>
    <s v="LRD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s v=""/>
    <s v=""/>
    <s v=""/>
    <s v=""/>
    <s v=""/>
    <s v="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L"/>
    <x v="321"/>
    <n v="466"/>
    <n v="136"/>
    <s v="Mali"/>
    <x v="321"/>
    <s v="the Republic of Mali"/>
    <s v="Mali"/>
    <s v="Malí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 income"/>
    <s v="HIPC"/>
    <s v="Developing"/>
    <s v="ODA recipient"/>
    <s v="SDG 7a1"/>
    <s v="Non-OECD"/>
    <s v="Non-OECD"/>
    <s v="Non-IEA"/>
    <s v="3.0-Country/Area"/>
    <s v="XOF"/>
    <s v="DAC"/>
    <m/>
    <s v="LDC"/>
    <s v="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n v="98116"/>
    <n v="98117"/>
    <n v="98118"/>
    <n v="98119"/>
    <n v="98120"/>
    <n v="98121"/>
    <s v=""/>
    <s v=""/>
    <n v="98124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MR"/>
    <x v="322"/>
    <n v="478"/>
    <n v="137"/>
    <s v="Mauritania"/>
    <x v="322"/>
    <s v="the Islamic Republic of Mauritania"/>
    <s v="Mauritanie"/>
    <s v="Mauritania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er middle income"/>
    <s v="HIPC"/>
    <s v="Developing"/>
    <s v="ODA recipient"/>
    <s v="SDG 7a1"/>
    <s v="Non-OECD"/>
    <s v="Non-OECD"/>
    <s v="Non-IEA"/>
    <s v="3.0-Country/Area"/>
    <s v="MRU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s v=""/>
    <n v="98103"/>
    <s v=""/>
    <s v=""/>
    <n v="98106"/>
    <s v=""/>
    <s v=""/>
    <s v=""/>
    <s v=""/>
    <n v="98111"/>
    <n v="98112"/>
    <s v=""/>
    <s v=""/>
    <s v=""/>
    <s v=""/>
    <s v=""/>
    <n v="98118"/>
    <n v="98119"/>
    <n v="98120"/>
    <n v="98121"/>
    <s v=""/>
    <s v=""/>
    <n v="98124"/>
    <s v=""/>
    <s v="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501"/>
    <s v=""/>
    <s v=""/>
    <s v=""/>
    <n v="98505"/>
    <s v=""/>
    <s v=""/>
    <n v="98508"/>
    <s v=""/>
  </r>
  <r>
    <s v="NE"/>
    <x v="323"/>
    <n v="562"/>
    <n v="143"/>
    <s v="Niger"/>
    <x v="323"/>
    <s v="the Republic of the Niger"/>
    <s v="Niger"/>
    <s v="Níger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 income"/>
    <s v="HIPC"/>
    <s v="Developing"/>
    <s v="ODA recipient"/>
    <s v="SDG 7a1"/>
    <s v="Non-OECD"/>
    <s v="Non-OECD"/>
    <s v="Non-IEA"/>
    <s v="3.0-Country/Area"/>
    <s v="XOF"/>
    <s v="DAC"/>
    <m/>
    <s v="LDC"/>
    <s v="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n v="98116"/>
    <n v="98117"/>
    <n v="98118"/>
    <n v="98119"/>
    <s v=""/>
    <s v=""/>
    <n v="98122"/>
    <n v="98123"/>
    <n v="98124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NG"/>
    <x v="324"/>
    <n v="566"/>
    <n v="144"/>
    <s v="Nigeria"/>
    <x v="324"/>
    <s v="the Federal Republic of Nigeria"/>
    <s v="Nigéria"/>
    <s v="Nigeria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er middle income"/>
    <s v="Non-HIPC"/>
    <s v="Developing"/>
    <s v="ODA recipient"/>
    <s v="SDG 7a1"/>
    <s v="Non-OECD"/>
    <s v="Non-OECD"/>
    <s v="Non-IEA"/>
    <s v="3.0-Country/Area"/>
    <s v="NGN"/>
    <s v="DAC"/>
    <s v="BRI"/>
    <s v="Non LDC"/>
    <s v="Non 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s v=""/>
    <s v=""/>
    <s v=""/>
    <s v=""/>
    <s v=""/>
    <s v=""/>
    <s v=""/>
    <n v="98123"/>
    <n v="98124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H"/>
    <x v="325"/>
    <n v="654"/>
    <n v="147"/>
    <s v="Saint Helena"/>
    <x v="325"/>
    <m/>
    <s v="Sainte-Hélène"/>
    <s v="Santa Elena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Unclassified"/>
    <s v="Unclassified"/>
    <s v="Developing"/>
    <s v="ODA recipient"/>
    <s v="SDG 7a1"/>
    <s v="Non-OECD"/>
    <s v="Non-OECD"/>
    <s v="Non-IEA"/>
    <s v="3.0-Country/Area"/>
    <s v="SHP"/>
    <s v="DAC"/>
    <m/>
    <s v="Non LDC"/>
    <s v="Non LLDC"/>
    <s v="Non SIDS"/>
    <s v="Non-EU"/>
    <s v="Non-EU"/>
    <s v="Non SIDS LH"/>
    <s v="Non-G7"/>
    <s v="Non-G8"/>
    <s v="Non-G20"/>
    <s v="DNI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N"/>
    <x v="326"/>
    <n v="686"/>
    <n v="149"/>
    <s v="Senegal"/>
    <x v="326"/>
    <s v="the Republic of Senegal"/>
    <s v="Sénégal"/>
    <s v="Senegal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er middle income"/>
    <s v="HIPC"/>
    <s v="Developing"/>
    <s v="ODA recipient"/>
    <s v="SDG 7a1"/>
    <s v="Non-OECD"/>
    <s v="Non-OECD"/>
    <s v="Non-IEA"/>
    <s v="3.0-Country/Area"/>
    <s v="XOF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s v=""/>
    <s v=""/>
    <n v="98118"/>
    <s v=""/>
    <n v="98120"/>
    <n v="98121"/>
    <s v=""/>
    <s v=""/>
    <n v="98124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SL"/>
    <x v="327"/>
    <n v="694"/>
    <n v="151"/>
    <s v="Sierra Leone"/>
    <x v="327"/>
    <s v="the Republic of Sierra Leone"/>
    <s v="Sierra Leone"/>
    <s v="Sierra Leona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 income"/>
    <s v="HIPC"/>
    <s v="Developing"/>
    <s v="ODA recipient"/>
    <s v="SDG 7a1"/>
    <s v="Non-OECD"/>
    <s v="Non-OECD"/>
    <s v="Non-IEA"/>
    <s v="3.0-Country/Area"/>
    <s v="SLL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s v=""/>
    <s v="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  <r>
    <s v="TG"/>
    <x v="328"/>
    <n v="768"/>
    <n v="157"/>
    <s v="Togo"/>
    <x v="328"/>
    <s v="the Togolese Republic"/>
    <s v="Togo"/>
    <s v="Togo"/>
    <n v="2"/>
    <s v="Africa"/>
    <n v="202"/>
    <s v="Sub-Saharan Africa"/>
    <n v="11"/>
    <s v="Western Africa"/>
    <s v="Africa"/>
    <s v="Sub-Saharan Africa"/>
    <n v="202"/>
    <s v="Sub-Saharan Africa"/>
    <n v="202"/>
    <s v="Sub-Saharan Africa"/>
    <s v="SSAFRICA"/>
    <x v="11"/>
    <s v="ROW"/>
    <s v="Western Africa"/>
    <s v="Western Africa"/>
    <x v="34"/>
    <s v="Low income"/>
    <s v="HIPC"/>
    <s v="Developing"/>
    <s v="ODA recipient"/>
    <s v="SDG 7a1"/>
    <s v="Non-OECD"/>
    <s v="Non-OECD"/>
    <s v="Non-IEA"/>
    <s v="3.0-Country/Area"/>
    <s v="XOF"/>
    <s v="DAC"/>
    <s v="BRI"/>
    <s v="LDC"/>
    <s v="Non LLDC"/>
    <s v="Non SIDS"/>
    <s v="Non-EU"/>
    <s v="Non-EU"/>
    <s v="Non SIDS LH"/>
    <s v="Non-G7"/>
    <s v="Non-G8"/>
    <s v="Non-G20"/>
    <s v="Include"/>
    <n v="98100"/>
    <s v=""/>
    <s v=""/>
    <s v=""/>
    <s v=""/>
    <n v="98105"/>
    <n v="98106"/>
    <s v=""/>
    <n v="98108"/>
    <s v=""/>
    <s v=""/>
    <s v=""/>
    <n v="98112"/>
    <s v=""/>
    <s v=""/>
    <s v=""/>
    <s v=""/>
    <s v=""/>
    <n v="98118"/>
    <n v="98119"/>
    <n v="98120"/>
    <n v="98121"/>
    <s v=""/>
    <s v=""/>
    <s v=""/>
    <s v=""/>
    <n v="98126"/>
    <s v=""/>
    <s v=""/>
    <s v=""/>
    <s v=""/>
    <s v=""/>
    <s v=""/>
    <s v=""/>
    <s v=""/>
    <s v=""/>
    <s v=""/>
    <s v=""/>
    <n v="9840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C7FC3-344D-4A67-99E9-CD0587128BE7}" name="PivotTable49" cacheId="29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B259" firstHeaderRow="1" firstDataRow="1" firstDataCol="2"/>
  <pivotFields count="1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329">
        <item x="302"/>
        <item x="58"/>
        <item x="180"/>
        <item x="181"/>
        <item x="228"/>
        <item x="238"/>
        <item x="59"/>
        <item x="182"/>
        <item x="219"/>
        <item x="9"/>
        <item x="60"/>
        <item x="10"/>
        <item x="0"/>
        <item x="44"/>
        <item x="11"/>
        <item x="61"/>
        <item x="1"/>
        <item x="62"/>
        <item x="153"/>
        <item x="45"/>
        <item x="12"/>
        <item x="261"/>
        <item x="303"/>
        <item x="13"/>
        <item x="183"/>
        <item x="154"/>
        <item x="37"/>
        <item x="312"/>
        <item x="235"/>
        <item x="304"/>
        <item x="273"/>
        <item x="14"/>
        <item x="184"/>
        <item x="298"/>
        <item x="274"/>
        <item x="7"/>
        <item x="131"/>
        <item x="15"/>
        <item x="286"/>
        <item x="155"/>
        <item x="206"/>
        <item x="313"/>
        <item x="132"/>
        <item x="314"/>
        <item x="287"/>
        <item x="220"/>
        <item x="8"/>
        <item x="63"/>
        <item x="16"/>
        <item x="221"/>
        <item x="64"/>
        <item x="65"/>
        <item x="66"/>
        <item x="67"/>
        <item x="222"/>
        <item x="185"/>
        <item x="52"/>
        <item x="53"/>
        <item x="54"/>
        <item x="55"/>
        <item x="57"/>
        <item x="2"/>
        <item x="3"/>
        <item x="275"/>
        <item x="133"/>
        <item x="223"/>
        <item x="239"/>
        <item x="38"/>
        <item x="315"/>
        <item x="156"/>
        <item x="17"/>
        <item x="18"/>
        <item x="157"/>
        <item x="158"/>
        <item x="288"/>
        <item x="224"/>
        <item x="159"/>
        <item x="68"/>
        <item x="69"/>
        <item x="134"/>
        <item x="19"/>
        <item x="20"/>
        <item x="70"/>
        <item x="71"/>
        <item x="72"/>
        <item x="73"/>
        <item x="276"/>
        <item x="229"/>
        <item x="39"/>
        <item x="225"/>
        <item x="135"/>
        <item x="160"/>
        <item x="299"/>
        <item x="136"/>
        <item x="74"/>
        <item x="75"/>
        <item x="76"/>
        <item x="77"/>
        <item x="78"/>
        <item x="277"/>
        <item x="186"/>
        <item x="240"/>
        <item x="161"/>
        <item x="162"/>
        <item x="207"/>
        <item x="278"/>
        <item x="241"/>
        <item x="137"/>
        <item x="79"/>
        <item x="80"/>
        <item x="81"/>
        <item x="226"/>
        <item x="316"/>
        <item x="46"/>
        <item x="163"/>
        <item x="317"/>
        <item x="187"/>
        <item x="164"/>
        <item x="236"/>
        <item x="21"/>
        <item x="22"/>
        <item x="242"/>
        <item x="40"/>
        <item x="188"/>
        <item x="318"/>
        <item x="319"/>
        <item x="279"/>
        <item x="23"/>
        <item x="4"/>
        <item x="189"/>
        <item x="41"/>
        <item x="165"/>
        <item x="190"/>
        <item x="82"/>
        <item x="83"/>
        <item x="205"/>
        <item x="289"/>
        <item x="208"/>
        <item x="209"/>
        <item x="268"/>
        <item x="262"/>
        <item x="166"/>
        <item x="191"/>
        <item x="212"/>
        <item x="167"/>
        <item x="24"/>
        <item x="211"/>
        <item x="192"/>
        <item x="213"/>
        <item x="47"/>
        <item x="138"/>
        <item x="243"/>
        <item x="193"/>
        <item x="263"/>
        <item x="48"/>
        <item x="84"/>
        <item x="290"/>
        <item x="85"/>
        <item x="168"/>
        <item x="86"/>
        <item x="214"/>
        <item x="300"/>
        <item x="320"/>
        <item x="230"/>
        <item x="194"/>
        <item x="169"/>
        <item x="170"/>
        <item x="139"/>
        <item x="140"/>
        <item x="291"/>
        <item x="305"/>
        <item x="321"/>
        <item x="171"/>
        <item x="244"/>
        <item x="25"/>
        <item x="322"/>
        <item x="141"/>
        <item x="142"/>
        <item x="87"/>
        <item x="218"/>
        <item x="88"/>
        <item x="245"/>
        <item x="89"/>
        <item x="90"/>
        <item x="195"/>
        <item x="56"/>
        <item x="196"/>
        <item x="26"/>
        <item x="231"/>
        <item x="143"/>
        <item x="91"/>
        <item x="292"/>
        <item x="301"/>
        <item x="246"/>
        <item x="306"/>
        <item x="172"/>
        <item x="247"/>
        <item x="5"/>
        <item x="42"/>
        <item x="323"/>
        <item x="324"/>
        <item x="248"/>
        <item x="92"/>
        <item x="6"/>
        <item x="197"/>
        <item x="93"/>
        <item x="94"/>
        <item x="95"/>
        <item x="96"/>
        <item x="249"/>
        <item x="198"/>
        <item x="97"/>
        <item x="98"/>
        <item x="264"/>
        <item x="307"/>
        <item x="250"/>
        <item x="43"/>
        <item x="251"/>
        <item x="280"/>
        <item x="281"/>
        <item x="293"/>
        <item x="252"/>
        <item x="173"/>
        <item x="99"/>
        <item x="174"/>
        <item x="27"/>
        <item x="265"/>
        <item x="270"/>
        <item x="1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44"/>
        <item x="175"/>
        <item x="271"/>
        <item x="145"/>
        <item x="28"/>
        <item x="325"/>
        <item x="29"/>
        <item x="30"/>
        <item x="31"/>
        <item x="237"/>
        <item x="32"/>
        <item x="253"/>
        <item x="200"/>
        <item x="227"/>
        <item x="201"/>
        <item x="266"/>
        <item x="326"/>
        <item x="202"/>
        <item x="146"/>
        <item x="327"/>
        <item x="294"/>
        <item x="33"/>
        <item x="176"/>
        <item x="177"/>
        <item x="118"/>
        <item x="254"/>
        <item x="147"/>
        <item x="272"/>
        <item x="119"/>
        <item x="282"/>
        <item x="148"/>
        <item x="120"/>
        <item x="121"/>
        <item x="122"/>
        <item x="123"/>
        <item x="178"/>
        <item x="210"/>
        <item x="308"/>
        <item x="215"/>
        <item x="124"/>
        <item x="232"/>
        <item x="283"/>
        <item x="203"/>
        <item x="179"/>
        <item x="309"/>
        <item x="216"/>
        <item x="49"/>
        <item x="295"/>
        <item x="296"/>
        <item x="328"/>
        <item x="255"/>
        <item x="256"/>
        <item x="34"/>
        <item x="233"/>
        <item x="217"/>
        <item x="50"/>
        <item x="35"/>
        <item x="257"/>
        <item x="149"/>
        <item x="204"/>
        <item x="267"/>
        <item x="310"/>
        <item x="150"/>
        <item x="258"/>
        <item x="311"/>
        <item x="36"/>
        <item x="125"/>
        <item x="284"/>
        <item x="51"/>
        <item x="259"/>
        <item x="285"/>
        <item x="297"/>
        <item x="260"/>
        <item x="126"/>
        <item x="127"/>
        <item x="128"/>
        <item x="129"/>
        <item x="234"/>
        <item x="130"/>
        <item x="269"/>
        <item x="151"/>
        <item x="1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7">
        <item m="1" x="40"/>
        <item x="0"/>
        <item x="1"/>
        <item x="2"/>
        <item x="3"/>
        <item x="4"/>
        <item x="5"/>
        <item m="1" x="46"/>
        <item x="6"/>
        <item x="7"/>
        <item x="8"/>
        <item x="9"/>
        <item h="1" x="10"/>
        <item x="11"/>
        <item x="12"/>
        <item m="1" x="38"/>
        <item m="1" x="45"/>
        <item x="14"/>
        <item x="15"/>
        <item x="16"/>
        <item x="17"/>
        <item x="18"/>
        <item x="19"/>
        <item x="13"/>
        <item x="20"/>
        <item m="1" x="39"/>
        <item x="21"/>
        <item m="1" x="37"/>
        <item x="23"/>
        <item m="1" x="41"/>
        <item m="1" x="43"/>
        <item x="24"/>
        <item x="25"/>
        <item x="26"/>
        <item x="27"/>
        <item m="1" x="35"/>
        <item x="28"/>
        <item x="29"/>
        <item m="1" x="36"/>
        <item x="30"/>
        <item m="1" x="44"/>
        <item x="31"/>
        <item x="22"/>
        <item x="32"/>
        <item x="33"/>
        <item x="34"/>
        <item m="1"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6"/>
    <field x="5"/>
  </rowFields>
  <rowItems count="256">
    <i>
      <x v="1"/>
      <x v="12"/>
    </i>
    <i>
      <x v="2"/>
      <x v="16"/>
    </i>
    <i r="1">
      <x v="61"/>
    </i>
    <i r="1">
      <x v="62"/>
    </i>
    <i r="1">
      <x v="128"/>
    </i>
    <i r="1">
      <x v="197"/>
    </i>
    <i r="1">
      <x v="203"/>
    </i>
    <i>
      <x v="3"/>
      <x v="35"/>
    </i>
    <i>
      <x v="4"/>
      <x v="46"/>
    </i>
    <i>
      <x v="5"/>
      <x v="9"/>
    </i>
    <i r="1">
      <x v="11"/>
    </i>
    <i r="1">
      <x v="14"/>
    </i>
    <i r="1">
      <x v="20"/>
    </i>
    <i r="1">
      <x v="23"/>
    </i>
    <i r="1">
      <x v="31"/>
    </i>
    <i r="1">
      <x v="37"/>
    </i>
    <i r="1">
      <x v="48"/>
    </i>
    <i r="1">
      <x v="70"/>
    </i>
    <i r="1">
      <x v="71"/>
    </i>
    <i r="1">
      <x v="80"/>
    </i>
    <i r="1">
      <x v="81"/>
    </i>
    <i r="1">
      <x v="119"/>
    </i>
    <i r="1">
      <x v="120"/>
    </i>
    <i r="1">
      <x v="127"/>
    </i>
    <i r="1">
      <x v="145"/>
    </i>
    <i r="1">
      <x v="174"/>
    </i>
    <i r="1">
      <x v="187"/>
    </i>
    <i r="1">
      <x v="225"/>
    </i>
    <i r="1">
      <x v="251"/>
    </i>
    <i r="1">
      <x v="253"/>
    </i>
    <i r="1">
      <x v="254"/>
    </i>
    <i r="1">
      <x v="255"/>
    </i>
    <i r="1">
      <x v="257"/>
    </i>
    <i r="1">
      <x v="268"/>
    </i>
    <i r="1">
      <x v="299"/>
    </i>
    <i r="1">
      <x v="303"/>
    </i>
    <i r="1">
      <x v="312"/>
    </i>
    <i>
      <x v="6"/>
      <x v="26"/>
    </i>
    <i r="1">
      <x v="67"/>
    </i>
    <i r="1">
      <x v="88"/>
    </i>
    <i r="1">
      <x v="122"/>
    </i>
    <i r="1">
      <x v="130"/>
    </i>
    <i r="1">
      <x v="198"/>
    </i>
    <i r="1">
      <x v="216"/>
    </i>
    <i>
      <x v="8"/>
      <x v="13"/>
    </i>
    <i r="1">
      <x v="19"/>
    </i>
    <i r="1">
      <x v="113"/>
    </i>
    <i r="1">
      <x v="149"/>
    </i>
    <i r="1">
      <x v="154"/>
    </i>
    <i r="1">
      <x v="293"/>
    </i>
    <i r="1">
      <x v="302"/>
    </i>
    <i r="1">
      <x v="315"/>
    </i>
    <i>
      <x v="9"/>
      <x v="56"/>
    </i>
    <i>
      <x v="10"/>
      <x v="57"/>
    </i>
    <i r="1">
      <x v="58"/>
    </i>
    <i r="1">
      <x v="59"/>
    </i>
    <i r="1">
      <x v="185"/>
    </i>
    <i>
      <x v="11"/>
      <x v="60"/>
    </i>
    <i>
      <x v="13"/>
      <x v="36"/>
    </i>
    <i r="1">
      <x v="42"/>
    </i>
    <i r="1">
      <x v="64"/>
    </i>
    <i r="1">
      <x v="79"/>
    </i>
    <i r="1">
      <x v="90"/>
    </i>
    <i r="1">
      <x v="93"/>
    </i>
    <i r="1">
      <x v="107"/>
    </i>
    <i r="1">
      <x v="150"/>
    </i>
    <i r="1">
      <x v="167"/>
    </i>
    <i r="1">
      <x v="168"/>
    </i>
    <i r="1">
      <x v="176"/>
    </i>
    <i r="1">
      <x v="177"/>
    </i>
    <i r="1">
      <x v="189"/>
    </i>
    <i r="1">
      <x v="247"/>
    </i>
    <i r="1">
      <x v="250"/>
    </i>
    <i r="1">
      <x v="265"/>
    </i>
    <i r="1">
      <x v="273"/>
    </i>
    <i r="1">
      <x v="277"/>
    </i>
    <i r="1">
      <x v="305"/>
    </i>
    <i r="1">
      <x v="309"/>
    </i>
    <i r="1">
      <x v="327"/>
    </i>
    <i r="1">
      <x v="328"/>
    </i>
    <i>
      <x v="14"/>
      <x v="18"/>
    </i>
    <i r="1">
      <x v="25"/>
    </i>
    <i r="1">
      <x v="39"/>
    </i>
    <i r="1">
      <x v="69"/>
    </i>
    <i r="1">
      <x v="72"/>
    </i>
    <i r="1">
      <x v="73"/>
    </i>
    <i r="1">
      <x v="76"/>
    </i>
    <i r="1">
      <x v="91"/>
    </i>
    <i r="1">
      <x v="102"/>
    </i>
    <i r="1">
      <x v="103"/>
    </i>
    <i r="1">
      <x v="114"/>
    </i>
    <i r="1">
      <x v="117"/>
    </i>
    <i r="1">
      <x v="131"/>
    </i>
    <i r="1">
      <x v="141"/>
    </i>
    <i r="1">
      <x v="144"/>
    </i>
    <i r="1">
      <x v="158"/>
    </i>
    <i r="1">
      <x v="165"/>
    </i>
    <i r="1">
      <x v="166"/>
    </i>
    <i r="1">
      <x v="172"/>
    </i>
    <i r="1">
      <x v="195"/>
    </i>
    <i r="1">
      <x v="222"/>
    </i>
    <i r="1">
      <x v="224"/>
    </i>
    <i r="1">
      <x v="248"/>
    </i>
    <i r="1">
      <x v="269"/>
    </i>
    <i r="1">
      <x v="270"/>
    </i>
    <i r="1">
      <x v="282"/>
    </i>
    <i r="1">
      <x v="290"/>
    </i>
    <i>
      <x v="17"/>
      <x v="135"/>
    </i>
    <i>
      <x v="18"/>
      <x v="40"/>
    </i>
    <i r="1">
      <x v="104"/>
    </i>
    <i r="1">
      <x v="137"/>
    </i>
    <i r="1">
      <x v="138"/>
    </i>
    <i r="1">
      <x v="283"/>
    </i>
    <i>
      <x v="19"/>
      <x v="146"/>
    </i>
    <i>
      <x v="20"/>
      <x v="143"/>
    </i>
    <i r="1">
      <x v="148"/>
    </i>
    <i r="1">
      <x v="160"/>
    </i>
    <i r="1">
      <x v="285"/>
    </i>
    <i r="1">
      <x v="292"/>
    </i>
    <i r="1">
      <x v="301"/>
    </i>
    <i>
      <x v="21"/>
      <x v="179"/>
    </i>
    <i>
      <x v="22"/>
      <x v="8"/>
    </i>
    <i r="1">
      <x v="45"/>
    </i>
    <i r="1">
      <x v="49"/>
    </i>
    <i r="1">
      <x v="54"/>
    </i>
    <i r="1">
      <x v="65"/>
    </i>
    <i r="1">
      <x v="75"/>
    </i>
    <i r="1">
      <x v="89"/>
    </i>
    <i r="1">
      <x v="111"/>
    </i>
    <i r="1">
      <x v="260"/>
    </i>
    <i>
      <x v="23"/>
      <x v="2"/>
    </i>
    <i r="1">
      <x v="3"/>
    </i>
    <i r="1">
      <x v="7"/>
    </i>
    <i r="1">
      <x v="24"/>
    </i>
    <i r="1">
      <x v="32"/>
    </i>
    <i r="1">
      <x v="55"/>
    </i>
    <i r="1">
      <x v="100"/>
    </i>
    <i r="1">
      <x v="116"/>
    </i>
    <i r="1">
      <x v="123"/>
    </i>
    <i r="1">
      <x v="129"/>
    </i>
    <i r="1">
      <x v="132"/>
    </i>
    <i r="1">
      <x v="142"/>
    </i>
    <i r="1">
      <x v="147"/>
    </i>
    <i r="1">
      <x v="152"/>
    </i>
    <i r="1">
      <x v="164"/>
    </i>
    <i r="1">
      <x v="184"/>
    </i>
    <i r="1">
      <x v="186"/>
    </i>
    <i r="1">
      <x v="204"/>
    </i>
    <i r="1">
      <x v="210"/>
    </i>
    <i r="1">
      <x v="228"/>
    </i>
    <i r="1">
      <x v="259"/>
    </i>
    <i r="1">
      <x v="261"/>
    </i>
    <i r="1">
      <x v="264"/>
    </i>
    <i r="1">
      <x v="289"/>
    </i>
    <i r="1">
      <x v="306"/>
    </i>
    <i>
      <x v="24"/>
      <x v="4"/>
    </i>
    <i r="1">
      <x v="87"/>
    </i>
    <i r="1">
      <x v="163"/>
    </i>
    <i r="1">
      <x v="188"/>
    </i>
    <i r="1">
      <x v="287"/>
    </i>
    <i r="1">
      <x v="300"/>
    </i>
    <i r="1">
      <x v="324"/>
    </i>
    <i>
      <x v="26"/>
      <x v="28"/>
    </i>
    <i r="1">
      <x v="118"/>
    </i>
    <i r="1">
      <x v="256"/>
    </i>
    <i>
      <x v="28"/>
      <x v="21"/>
    </i>
    <i r="1">
      <x v="139"/>
    </i>
    <i r="1">
      <x v="140"/>
    </i>
    <i r="1">
      <x v="153"/>
    </i>
    <i r="1">
      <x v="213"/>
    </i>
    <i r="1">
      <x v="226"/>
    </i>
    <i r="1">
      <x v="262"/>
    </i>
    <i r="1">
      <x v="307"/>
    </i>
    <i r="1">
      <x v="326"/>
    </i>
    <i>
      <x v="31"/>
      <x v="227"/>
    </i>
    <i>
      <x v="32"/>
      <x v="249"/>
    </i>
    <i>
      <x v="33"/>
      <x v="274"/>
    </i>
    <i>
      <x v="34"/>
      <x v="30"/>
    </i>
    <i r="1">
      <x v="34"/>
    </i>
    <i r="1">
      <x v="63"/>
    </i>
    <i r="1">
      <x v="86"/>
    </i>
    <i r="1">
      <x v="99"/>
    </i>
    <i r="1">
      <x v="105"/>
    </i>
    <i r="1">
      <x v="126"/>
    </i>
    <i r="1">
      <x v="218"/>
    </i>
    <i r="1">
      <x v="219"/>
    </i>
    <i r="1">
      <x v="276"/>
    </i>
    <i r="1">
      <x v="288"/>
    </i>
    <i r="1">
      <x v="314"/>
    </i>
    <i r="1">
      <x v="317"/>
    </i>
    <i>
      <x v="36"/>
      <x v="38"/>
    </i>
    <i r="1">
      <x v="44"/>
    </i>
    <i r="1">
      <x v="74"/>
    </i>
    <i r="1">
      <x v="136"/>
    </i>
    <i r="1">
      <x v="156"/>
    </i>
    <i r="1">
      <x v="169"/>
    </i>
    <i r="1">
      <x v="191"/>
    </i>
    <i r="1">
      <x v="220"/>
    </i>
    <i r="1">
      <x v="267"/>
    </i>
    <i r="1">
      <x v="294"/>
    </i>
    <i r="1">
      <x v="295"/>
    </i>
    <i r="1">
      <x v="318"/>
    </i>
    <i>
      <x v="37"/>
      <x v="33"/>
    </i>
    <i r="1">
      <x v="92"/>
    </i>
    <i r="1">
      <x v="161"/>
    </i>
    <i r="1">
      <x v="192"/>
    </i>
    <i>
      <x v="39"/>
      <x/>
    </i>
    <i r="1">
      <x v="22"/>
    </i>
    <i r="1">
      <x v="29"/>
    </i>
    <i r="1">
      <x v="170"/>
    </i>
    <i r="1">
      <x v="194"/>
    </i>
    <i r="1">
      <x v="214"/>
    </i>
    <i r="1">
      <x v="284"/>
    </i>
    <i>
      <x v="41"/>
      <x v="291"/>
    </i>
    <i>
      <x v="42"/>
      <x v="5"/>
    </i>
    <i r="1">
      <x v="66"/>
    </i>
    <i r="1">
      <x v="101"/>
    </i>
    <i r="1">
      <x v="106"/>
    </i>
    <i r="1">
      <x v="121"/>
    </i>
    <i r="1">
      <x v="151"/>
    </i>
    <i r="1">
      <x v="173"/>
    </i>
    <i r="1">
      <x v="181"/>
    </i>
    <i r="1">
      <x v="193"/>
    </i>
    <i r="1">
      <x v="196"/>
    </i>
    <i r="1">
      <x v="201"/>
    </i>
    <i r="1">
      <x v="209"/>
    </i>
    <i r="1">
      <x v="215"/>
    </i>
    <i r="1">
      <x v="217"/>
    </i>
    <i r="1">
      <x v="221"/>
    </i>
    <i r="1">
      <x v="258"/>
    </i>
    <i r="1">
      <x v="272"/>
    </i>
    <i r="1">
      <x v="297"/>
    </i>
    <i r="1">
      <x v="298"/>
    </i>
    <i r="1">
      <x v="304"/>
    </i>
    <i r="1">
      <x v="310"/>
    </i>
    <i r="1">
      <x v="316"/>
    </i>
    <i r="1">
      <x v="319"/>
    </i>
    <i>
      <x v="43"/>
      <x v="308"/>
    </i>
    <i>
      <x v="44"/>
      <x v="311"/>
    </i>
    <i>
      <x v="45"/>
      <x v="27"/>
    </i>
    <i r="1">
      <x v="41"/>
    </i>
    <i r="1">
      <x v="43"/>
    </i>
    <i r="1">
      <x v="68"/>
    </i>
    <i r="1">
      <x v="112"/>
    </i>
    <i r="1">
      <x v="115"/>
    </i>
    <i r="1">
      <x v="124"/>
    </i>
    <i r="1">
      <x v="125"/>
    </i>
    <i r="1">
      <x v="162"/>
    </i>
    <i r="1">
      <x v="171"/>
    </i>
    <i r="1">
      <x v="175"/>
    </i>
    <i r="1">
      <x v="199"/>
    </i>
    <i r="1">
      <x v="200"/>
    </i>
    <i r="1">
      <x v="252"/>
    </i>
    <i r="1">
      <x v="263"/>
    </i>
    <i r="1">
      <x v="266"/>
    </i>
    <i r="1">
      <x v="296"/>
    </i>
  </rowItems>
  <colItems count="1">
    <i/>
  </colItem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2722C-028B-4DBC-843D-FA82671D048D}" name="PivotTable1" cacheId="29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3:F52" firstHeaderRow="1" firstDataRow="1" firstDataCol="2"/>
  <pivotFields count="11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329">
        <item x="231"/>
        <item x="11"/>
        <item x="302"/>
        <item x="219"/>
        <item x="9"/>
        <item x="208"/>
        <item x="180"/>
        <item x="181"/>
        <item x="59"/>
        <item x="182"/>
        <item x="267"/>
        <item x="0"/>
        <item x="44"/>
        <item x="238"/>
        <item x="60"/>
        <item x="137"/>
        <item x="10"/>
        <item x="1"/>
        <item x="153"/>
        <item x="62"/>
        <item x="45"/>
        <item x="132"/>
        <item x="154"/>
        <item x="312"/>
        <item x="14"/>
        <item x="313"/>
        <item x="303"/>
        <item x="155"/>
        <item x="261"/>
        <item x="12"/>
        <item x="184"/>
        <item x="28"/>
        <item x="183"/>
        <item x="37"/>
        <item x="235"/>
        <item x="273"/>
        <item x="7"/>
        <item x="13"/>
        <item x="286"/>
        <item x="304"/>
        <item x="274"/>
        <item x="298"/>
        <item x="221"/>
        <item x="64"/>
        <item x="8"/>
        <item x="63"/>
        <item x="66"/>
        <item x="3"/>
        <item x="309"/>
        <item x="52"/>
        <item x="53"/>
        <item x="315"/>
        <item x="220"/>
        <item x="224"/>
        <item x="223"/>
        <item x="239"/>
        <item x="275"/>
        <item x="133"/>
        <item x="314"/>
        <item x="38"/>
        <item x="67"/>
        <item x="17"/>
        <item x="18"/>
        <item x="2"/>
        <item x="16"/>
        <item x="157"/>
        <item x="158"/>
        <item x="163"/>
        <item x="68"/>
        <item x="69"/>
        <item x="134"/>
        <item x="19"/>
        <item x="159"/>
        <item x="20"/>
        <item x="228"/>
        <item x="70"/>
        <item x="71"/>
        <item x="276"/>
        <item x="73"/>
        <item x="229"/>
        <item x="135"/>
        <item x="234"/>
        <item x="178"/>
        <item x="72"/>
        <item x="160"/>
        <item x="136"/>
        <item x="77"/>
        <item x="78"/>
        <item x="161"/>
        <item x="240"/>
        <item x="277"/>
        <item x="162"/>
        <item x="186"/>
        <item x="245"/>
        <item x="80"/>
        <item x="81"/>
        <item x="79"/>
        <item x="226"/>
        <item x="310"/>
        <item x="46"/>
        <item x="188"/>
        <item x="317"/>
        <item x="187"/>
        <item x="318"/>
        <item x="130"/>
        <item x="22"/>
        <item x="316"/>
        <item x="319"/>
        <item x="225"/>
        <item x="164"/>
        <item x="21"/>
        <item x="236"/>
        <item x="40"/>
        <item x="278"/>
        <item x="242"/>
        <item x="279"/>
        <item x="54"/>
        <item x="4"/>
        <item x="41"/>
        <item x="156"/>
        <item x="23"/>
        <item x="165"/>
        <item x="289"/>
        <item x="83"/>
        <item x="82"/>
        <item x="191"/>
        <item x="205"/>
        <item x="131"/>
        <item x="166"/>
        <item x="268"/>
        <item x="262"/>
        <item x="190"/>
        <item x="212"/>
        <item x="167"/>
        <item x="24"/>
        <item x="192"/>
        <item x="213"/>
        <item x="211"/>
        <item x="47"/>
        <item x="138"/>
        <item x="48"/>
        <item x="287"/>
        <item x="243"/>
        <item x="29"/>
        <item x="270"/>
        <item x="263"/>
        <item x="290"/>
        <item x="85"/>
        <item x="214"/>
        <item x="320"/>
        <item x="230"/>
        <item x="30"/>
        <item x="86"/>
        <item x="194"/>
        <item x="308"/>
        <item x="84"/>
        <item x="300"/>
        <item x="169"/>
        <item x="170"/>
        <item x="168"/>
        <item x="55"/>
        <item x="31"/>
        <item x="195"/>
        <item x="199"/>
        <item x="139"/>
        <item x="305"/>
        <item x="87"/>
        <item x="218"/>
        <item x="244"/>
        <item x="88"/>
        <item x="89"/>
        <item x="197"/>
        <item x="321"/>
        <item x="171"/>
        <item x="292"/>
        <item x="196"/>
        <item x="56"/>
        <item x="249"/>
        <item x="143"/>
        <item x="322"/>
        <item x="26"/>
        <item x="25"/>
        <item x="141"/>
        <item x="140"/>
        <item x="291"/>
        <item x="142"/>
        <item x="95"/>
        <item x="93"/>
        <item x="301"/>
        <item x="247"/>
        <item x="96"/>
        <item x="323"/>
        <item x="6"/>
        <item x="324"/>
        <item x="42"/>
        <item x="248"/>
        <item x="172"/>
        <item x="92"/>
        <item x="198"/>
        <item x="306"/>
        <item x="246"/>
        <item x="5"/>
        <item x="98"/>
        <item x="264"/>
        <item x="307"/>
        <item x="43"/>
        <item x="252"/>
        <item x="281"/>
        <item x="293"/>
        <item x="250"/>
        <item x="99"/>
        <item x="251"/>
        <item x="173"/>
        <item x="27"/>
        <item x="288"/>
        <item x="174"/>
        <item x="280"/>
        <item x="215"/>
        <item x="241"/>
        <item x="265"/>
        <item x="58"/>
        <item x="61"/>
        <item x="65"/>
        <item x="74"/>
        <item x="75"/>
        <item x="144"/>
        <item x="90"/>
        <item x="94"/>
        <item x="97"/>
        <item x="175"/>
        <item x="119"/>
        <item x="271"/>
        <item x="145"/>
        <item x="122"/>
        <item x="266"/>
        <item x="232"/>
        <item x="120"/>
        <item x="326"/>
        <item x="294"/>
        <item x="282"/>
        <item x="209"/>
        <item x="325"/>
        <item x="118"/>
        <item x="203"/>
        <item x="254"/>
        <item x="327"/>
        <item x="39"/>
        <item x="200"/>
        <item x="121"/>
        <item x="123"/>
        <item x="147"/>
        <item x="237"/>
        <item x="202"/>
        <item x="124"/>
        <item x="148"/>
        <item x="227"/>
        <item x="283"/>
        <item x="176"/>
        <item x="177"/>
        <item x="179"/>
        <item x="299"/>
        <item x="33"/>
        <item x="146"/>
        <item x="216"/>
        <item x="35"/>
        <item x="222"/>
        <item x="328"/>
        <item x="295"/>
        <item x="49"/>
        <item x="255"/>
        <item x="50"/>
        <item x="296"/>
        <item x="256"/>
        <item x="34"/>
        <item x="233"/>
        <item x="217"/>
        <item x="257"/>
        <item x="57"/>
        <item x="150"/>
        <item x="149"/>
        <item x="204"/>
        <item x="258"/>
        <item x="284"/>
        <item x="311"/>
        <item x="51"/>
        <item x="189"/>
        <item x="32"/>
        <item x="285"/>
        <item x="15"/>
        <item x="36"/>
        <item x="297"/>
        <item x="259"/>
        <item x="126"/>
        <item x="128"/>
        <item x="127"/>
        <item x="129"/>
        <item x="260"/>
        <item x="253"/>
        <item x="76"/>
        <item x="206"/>
        <item x="207"/>
        <item x="110"/>
        <item x="115"/>
        <item x="103"/>
        <item x="101"/>
        <item x="100"/>
        <item x="185"/>
        <item x="102"/>
        <item x="125"/>
        <item x="105"/>
        <item x="106"/>
        <item x="104"/>
        <item x="108"/>
        <item x="193"/>
        <item x="107"/>
        <item x="117"/>
        <item x="91"/>
        <item x="109"/>
        <item x="111"/>
        <item x="112"/>
        <item x="113"/>
        <item x="201"/>
        <item x="114"/>
        <item x="116"/>
        <item x="210"/>
        <item x="269"/>
        <item x="272"/>
        <item x="151"/>
        <item x="1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ascending" defaultSubtotal="0">
      <items count="329">
        <item x="302"/>
        <item x="58"/>
        <item x="180"/>
        <item x="181"/>
        <item x="228"/>
        <item x="238"/>
        <item x="59"/>
        <item x="182"/>
        <item x="219"/>
        <item x="9"/>
        <item x="60"/>
        <item x="10"/>
        <item x="0"/>
        <item x="44"/>
        <item x="11"/>
        <item x="61"/>
        <item x="1"/>
        <item x="62"/>
        <item x="153"/>
        <item x="45"/>
        <item x="12"/>
        <item x="261"/>
        <item x="303"/>
        <item x="13"/>
        <item x="183"/>
        <item x="154"/>
        <item x="37"/>
        <item x="312"/>
        <item x="235"/>
        <item x="304"/>
        <item x="273"/>
        <item x="14"/>
        <item x="184"/>
        <item x="298"/>
        <item x="274"/>
        <item x="7"/>
        <item x="131"/>
        <item x="15"/>
        <item x="286"/>
        <item x="155"/>
        <item x="206"/>
        <item x="313"/>
        <item x="132"/>
        <item x="314"/>
        <item x="287"/>
        <item x="220"/>
        <item x="8"/>
        <item x="63"/>
        <item x="16"/>
        <item x="221"/>
        <item x="64"/>
        <item x="65"/>
        <item x="66"/>
        <item x="67"/>
        <item x="222"/>
        <item x="185"/>
        <item x="52"/>
        <item x="53"/>
        <item x="54"/>
        <item x="55"/>
        <item x="57"/>
        <item x="2"/>
        <item x="3"/>
        <item x="275"/>
        <item x="133"/>
        <item x="223"/>
        <item x="239"/>
        <item x="38"/>
        <item x="315"/>
        <item x="156"/>
        <item x="17"/>
        <item x="18"/>
        <item x="157"/>
        <item x="158"/>
        <item x="288"/>
        <item x="224"/>
        <item x="159"/>
        <item x="68"/>
        <item x="69"/>
        <item x="134"/>
        <item x="19"/>
        <item x="20"/>
        <item x="70"/>
        <item x="71"/>
        <item x="72"/>
        <item x="73"/>
        <item x="276"/>
        <item x="229"/>
        <item x="39"/>
        <item x="225"/>
        <item x="135"/>
        <item x="160"/>
        <item x="299"/>
        <item x="136"/>
        <item x="74"/>
        <item x="75"/>
        <item x="76"/>
        <item x="77"/>
        <item x="78"/>
        <item x="277"/>
        <item x="186"/>
        <item x="240"/>
        <item x="161"/>
        <item x="162"/>
        <item x="207"/>
        <item x="278"/>
        <item x="241"/>
        <item x="137"/>
        <item x="79"/>
        <item x="80"/>
        <item x="81"/>
        <item x="226"/>
        <item x="316"/>
        <item x="46"/>
        <item x="163"/>
        <item x="317"/>
        <item x="187"/>
        <item x="164"/>
        <item x="236"/>
        <item x="21"/>
        <item x="22"/>
        <item x="242"/>
        <item x="40"/>
        <item x="188"/>
        <item x="318"/>
        <item x="319"/>
        <item x="279"/>
        <item x="23"/>
        <item x="4"/>
        <item x="189"/>
        <item x="41"/>
        <item x="165"/>
        <item x="190"/>
        <item x="82"/>
        <item x="83"/>
        <item x="205"/>
        <item x="289"/>
        <item x="208"/>
        <item x="209"/>
        <item x="268"/>
        <item x="262"/>
        <item x="166"/>
        <item x="191"/>
        <item x="212"/>
        <item x="167"/>
        <item x="24"/>
        <item x="211"/>
        <item x="192"/>
        <item x="213"/>
        <item x="47"/>
        <item x="138"/>
        <item x="243"/>
        <item x="193"/>
        <item x="263"/>
        <item x="48"/>
        <item x="84"/>
        <item x="290"/>
        <item x="85"/>
        <item x="168"/>
        <item x="86"/>
        <item x="214"/>
        <item x="300"/>
        <item x="320"/>
        <item x="230"/>
        <item x="194"/>
        <item x="169"/>
        <item x="170"/>
        <item x="139"/>
        <item x="140"/>
        <item x="291"/>
        <item x="305"/>
        <item x="321"/>
        <item x="171"/>
        <item x="244"/>
        <item x="25"/>
        <item x="322"/>
        <item x="141"/>
        <item x="142"/>
        <item x="87"/>
        <item x="218"/>
        <item x="88"/>
        <item x="245"/>
        <item x="89"/>
        <item x="90"/>
        <item x="195"/>
        <item x="56"/>
        <item x="196"/>
        <item x="26"/>
        <item x="231"/>
        <item x="143"/>
        <item x="91"/>
        <item x="292"/>
        <item x="301"/>
        <item x="246"/>
        <item x="306"/>
        <item x="172"/>
        <item x="247"/>
        <item x="5"/>
        <item x="42"/>
        <item x="323"/>
        <item x="324"/>
        <item x="248"/>
        <item x="92"/>
        <item x="6"/>
        <item x="197"/>
        <item x="93"/>
        <item x="94"/>
        <item x="95"/>
        <item x="96"/>
        <item x="249"/>
        <item x="198"/>
        <item x="97"/>
        <item x="98"/>
        <item x="264"/>
        <item x="307"/>
        <item x="250"/>
        <item x="43"/>
        <item x="251"/>
        <item x="280"/>
        <item x="281"/>
        <item x="293"/>
        <item x="252"/>
        <item x="173"/>
        <item x="99"/>
        <item x="174"/>
        <item x="27"/>
        <item x="265"/>
        <item x="270"/>
        <item x="1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44"/>
        <item x="175"/>
        <item x="271"/>
        <item x="145"/>
        <item x="28"/>
        <item x="325"/>
        <item x="29"/>
        <item x="30"/>
        <item x="31"/>
        <item x="237"/>
        <item x="32"/>
        <item x="253"/>
        <item x="200"/>
        <item x="227"/>
        <item x="201"/>
        <item x="266"/>
        <item x="326"/>
        <item x="202"/>
        <item x="146"/>
        <item x="327"/>
        <item x="294"/>
        <item x="33"/>
        <item x="176"/>
        <item x="177"/>
        <item x="118"/>
        <item x="254"/>
        <item x="147"/>
        <item x="272"/>
        <item x="119"/>
        <item x="282"/>
        <item x="148"/>
        <item x="120"/>
        <item x="121"/>
        <item x="122"/>
        <item x="123"/>
        <item x="178"/>
        <item x="210"/>
        <item x="308"/>
        <item x="215"/>
        <item x="124"/>
        <item x="232"/>
        <item x="283"/>
        <item x="203"/>
        <item x="179"/>
        <item x="309"/>
        <item x="216"/>
        <item x="49"/>
        <item x="295"/>
        <item x="296"/>
        <item x="328"/>
        <item x="255"/>
        <item x="256"/>
        <item x="34"/>
        <item x="233"/>
        <item x="217"/>
        <item x="50"/>
        <item x="35"/>
        <item x="257"/>
        <item x="149"/>
        <item x="204"/>
        <item x="267"/>
        <item x="310"/>
        <item x="150"/>
        <item x="258"/>
        <item x="311"/>
        <item x="36"/>
        <item x="125"/>
        <item x="284"/>
        <item x="51"/>
        <item x="259"/>
        <item x="285"/>
        <item x="297"/>
        <item x="260"/>
        <item x="126"/>
        <item x="127"/>
        <item x="128"/>
        <item x="129"/>
        <item x="234"/>
        <item x="130"/>
        <item x="269"/>
        <item x="151"/>
        <item x="1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9">
        <item x="2"/>
        <item x="1"/>
        <item x="4"/>
        <item x="5"/>
        <item x="8"/>
        <item x="9"/>
        <item x="7"/>
        <item x="12"/>
        <item x="17"/>
        <item x="13"/>
        <item x="10"/>
        <item x="0"/>
        <item x="15"/>
        <item x="16"/>
        <item x="18"/>
        <item x="11"/>
        <item x="6"/>
        <item x="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47">
        <item m="1" x="40"/>
        <item x="0"/>
        <item x="1"/>
        <item x="2"/>
        <item x="3"/>
        <item x="4"/>
        <item x="5"/>
        <item m="1" x="46"/>
        <item x="6"/>
        <item x="7"/>
        <item x="8"/>
        <item x="9"/>
        <item h="1" x="10"/>
        <item x="11"/>
        <item x="12"/>
        <item m="1" x="38"/>
        <item m="1" x="45"/>
        <item x="14"/>
        <item h="1" x="15"/>
        <item x="16"/>
        <item x="17"/>
        <item x="18"/>
        <item x="19"/>
        <item x="13"/>
        <item x="20"/>
        <item m="1" x="39"/>
        <item x="21"/>
        <item m="1" x="37"/>
        <item x="23"/>
        <item m="1" x="41"/>
        <item m="1" x="43"/>
        <item x="24"/>
        <item x="25"/>
        <item x="26"/>
        <item x="27"/>
        <item m="1" x="35"/>
        <item x="28"/>
        <item x="29"/>
        <item m="1" x="36"/>
        <item x="30"/>
        <item m="1" x="44"/>
        <item x="31"/>
        <item x="22"/>
        <item x="32"/>
        <item x="33"/>
        <item x="34"/>
        <item m="1" x="4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6"/>
    <field x="22"/>
  </rowFields>
  <rowItems count="49">
    <i>
      <x v="5"/>
      <x v="11"/>
    </i>
    <i r="1">
      <x v="16"/>
    </i>
    <i>
      <x v="14"/>
      <x v="7"/>
    </i>
    <i r="1">
      <x v="17"/>
    </i>
    <i>
      <x v="23"/>
      <x v="7"/>
    </i>
    <i r="1">
      <x v="6"/>
    </i>
    <i r="1">
      <x v="17"/>
    </i>
    <i>
      <x v="42"/>
      <x/>
    </i>
    <i r="1">
      <x v="16"/>
    </i>
    <i>
      <x v="13"/>
      <x v="15"/>
    </i>
    <i r="1">
      <x v="17"/>
    </i>
    <i>
      <x v="45"/>
      <x v="15"/>
    </i>
    <i>
      <x v="34"/>
      <x v="11"/>
    </i>
    <i r="1">
      <x v="17"/>
    </i>
    <i>
      <x v="36"/>
      <x/>
    </i>
    <i>
      <x v="28"/>
      <x v="8"/>
    </i>
    <i r="1">
      <x v="12"/>
    </i>
    <i>
      <x v="22"/>
      <x v="15"/>
    </i>
    <i>
      <x v="8"/>
      <x v="4"/>
    </i>
    <i r="1">
      <x v="6"/>
    </i>
    <i>
      <x v="39"/>
      <x v="4"/>
    </i>
    <i r="1">
      <x/>
    </i>
    <i>
      <x v="24"/>
      <x v="13"/>
    </i>
    <i r="1">
      <x v="15"/>
    </i>
    <i>
      <x v="6"/>
      <x v="11"/>
    </i>
    <i>
      <x v="2"/>
      <x/>
    </i>
    <i r="1">
      <x v="1"/>
    </i>
    <i r="1">
      <x v="17"/>
    </i>
    <i>
      <x v="20"/>
      <x v="12"/>
    </i>
    <i r="1">
      <x v="6"/>
    </i>
    <i>
      <x v="10"/>
      <x v="5"/>
    </i>
    <i>
      <x v="37"/>
      <x v="15"/>
    </i>
    <i>
      <x v="26"/>
      <x v="3"/>
    </i>
    <i r="1">
      <x v="11"/>
    </i>
    <i r="1">
      <x v="7"/>
    </i>
    <i>
      <x v="21"/>
      <x v="3"/>
    </i>
    <i>
      <x v="4"/>
      <x v="3"/>
    </i>
    <i>
      <x v="1"/>
      <x v="11"/>
    </i>
    <i>
      <x v="17"/>
      <x v="9"/>
    </i>
    <i>
      <x v="9"/>
      <x v="11"/>
    </i>
    <i>
      <x v="19"/>
      <x v="10"/>
    </i>
    <i>
      <x v="11"/>
      <x v="10"/>
    </i>
    <i>
      <x v="41"/>
      <x v="7"/>
    </i>
    <i>
      <x v="3"/>
      <x v="2"/>
    </i>
    <i>
      <x v="43"/>
      <x v="7"/>
    </i>
    <i>
      <x v="44"/>
      <x v="16"/>
    </i>
    <i>
      <x v="33"/>
      <x v="15"/>
    </i>
    <i>
      <x v="32"/>
      <x v="14"/>
    </i>
    <i>
      <x v="31"/>
      <x v="10"/>
    </i>
  </rowItems>
  <colItems count="1">
    <i/>
  </colItems>
  <dataFields count="1">
    <dataField name="Count of ISO3" fld="1" subtotal="count" baseField="0" baseItem="0"/>
  </dataFields>
  <formats count="67">
    <format dxfId="244">
      <pivotArea dataOnly="0" labelOnly="1" outline="0" fieldPosition="0">
        <references count="2">
          <reference field="22" count="1">
            <x v="11"/>
          </reference>
          <reference field="26" count="1" selected="0">
            <x v="5"/>
          </reference>
        </references>
      </pivotArea>
    </format>
    <format dxfId="243">
      <pivotArea dataOnly="0" labelOnly="1" outline="0" fieldPosition="0">
        <references count="2">
          <reference field="22" count="1">
            <x v="7"/>
          </reference>
          <reference field="26" count="1" selected="0">
            <x v="14"/>
          </reference>
        </references>
      </pivotArea>
    </format>
    <format dxfId="242">
      <pivotArea dataOnly="0" labelOnly="1" outline="0" fieldPosition="0">
        <references count="2">
          <reference field="22" count="1">
            <x v="6"/>
          </reference>
          <reference field="26" count="1" selected="0">
            <x v="23"/>
          </reference>
        </references>
      </pivotArea>
    </format>
    <format dxfId="241">
      <pivotArea dataOnly="0" labelOnly="1" outline="0" fieldPosition="0">
        <references count="2">
          <reference field="22" count="1">
            <x v="0"/>
          </reference>
          <reference field="26" count="1" selected="0">
            <x v="42"/>
          </reference>
        </references>
      </pivotArea>
    </format>
    <format dxfId="240">
      <pivotArea dataOnly="0" labelOnly="1" outline="0" fieldPosition="0">
        <references count="2">
          <reference field="22" count="1">
            <x v="15"/>
          </reference>
          <reference field="26" count="1" selected="0">
            <x v="13"/>
          </reference>
        </references>
      </pivotArea>
    </format>
    <format dxfId="239">
      <pivotArea dataOnly="0" labelOnly="1" outline="0" fieldPosition="0">
        <references count="2">
          <reference field="22" count="1">
            <x v="15"/>
          </reference>
          <reference field="26" count="1" selected="0">
            <x v="45"/>
          </reference>
        </references>
      </pivotArea>
    </format>
    <format dxfId="238">
      <pivotArea dataOnly="0" labelOnly="1" outline="0" fieldPosition="0">
        <references count="2">
          <reference field="22" count="1">
            <x v="11"/>
          </reference>
          <reference field="26" count="1" selected="0">
            <x v="34"/>
          </reference>
        </references>
      </pivotArea>
    </format>
    <format dxfId="237">
      <pivotArea dataOnly="0" labelOnly="1" outline="0" fieldPosition="0">
        <references count="2">
          <reference field="22" count="1">
            <x v="0"/>
          </reference>
          <reference field="26" count="1" selected="0">
            <x v="36"/>
          </reference>
        </references>
      </pivotArea>
    </format>
    <format dxfId="236">
      <pivotArea dataOnly="0" labelOnly="1" outline="0" fieldPosition="0">
        <references count="2">
          <reference field="22" count="1">
            <x v="8"/>
          </reference>
          <reference field="26" count="1" selected="0">
            <x v="28"/>
          </reference>
        </references>
      </pivotArea>
    </format>
    <format dxfId="235">
      <pivotArea dataOnly="0" labelOnly="1" outline="0" fieldPosition="0">
        <references count="2">
          <reference field="22" count="1">
            <x v="12"/>
          </reference>
          <reference field="26" count="1" selected="0">
            <x v="28"/>
          </reference>
        </references>
      </pivotArea>
    </format>
    <format dxfId="234">
      <pivotArea dataOnly="0" labelOnly="1" outline="0" fieldPosition="0">
        <references count="2">
          <reference field="22" count="1">
            <x v="15"/>
          </reference>
          <reference field="26" count="1" selected="0">
            <x v="22"/>
          </reference>
        </references>
      </pivotArea>
    </format>
    <format dxfId="233">
      <pivotArea dataOnly="0" labelOnly="1" outline="0" fieldPosition="0">
        <references count="2">
          <reference field="22" count="1">
            <x v="4"/>
          </reference>
          <reference field="26" count="1" selected="0">
            <x v="8"/>
          </reference>
        </references>
      </pivotArea>
    </format>
    <format dxfId="232">
      <pivotArea dataOnly="0" labelOnly="1" outline="0" fieldPosition="0">
        <references count="2">
          <reference field="22" count="1">
            <x v="4"/>
          </reference>
          <reference field="26" count="1" selected="0">
            <x v="39"/>
          </reference>
        </references>
      </pivotArea>
    </format>
    <format dxfId="231">
      <pivotArea dataOnly="0" labelOnly="1" outline="0" fieldPosition="0">
        <references count="2">
          <reference field="22" count="1">
            <x v="11"/>
          </reference>
          <reference field="26" count="1" selected="0">
            <x v="6"/>
          </reference>
        </references>
      </pivotArea>
    </format>
    <format dxfId="230">
      <pivotArea dataOnly="0" labelOnly="1" outline="0" fieldPosition="0">
        <references count="2">
          <reference field="22" count="1">
            <x v="13"/>
          </reference>
          <reference field="26" count="1" selected="0">
            <x v="24"/>
          </reference>
        </references>
      </pivotArea>
    </format>
    <format dxfId="229">
      <pivotArea dataOnly="0" labelOnly="1" outline="0" fieldPosition="0">
        <references count="2">
          <reference field="22" count="1">
            <x v="1"/>
          </reference>
          <reference field="26" count="1" selected="0">
            <x v="2"/>
          </reference>
        </references>
      </pivotArea>
    </format>
    <format dxfId="228">
      <pivotArea dataOnly="0" labelOnly="1" outline="0" fieldPosition="0">
        <references count="2">
          <reference field="22" count="1">
            <x v="12"/>
          </reference>
          <reference field="26" count="1" selected="0">
            <x v="20"/>
          </reference>
        </references>
      </pivotArea>
    </format>
    <format dxfId="227">
      <pivotArea dataOnly="0" labelOnly="1" outline="0" fieldPosition="0">
        <references count="2">
          <reference field="22" count="1">
            <x v="15"/>
          </reference>
          <reference field="26" count="1" selected="0">
            <x v="37"/>
          </reference>
        </references>
      </pivotArea>
    </format>
    <format dxfId="226">
      <pivotArea dataOnly="0" labelOnly="1" outline="0" fieldPosition="0">
        <references count="2">
          <reference field="22" count="1">
            <x v="5"/>
          </reference>
          <reference field="26" count="1" selected="0">
            <x v="10"/>
          </reference>
        </references>
      </pivotArea>
    </format>
    <format dxfId="225">
      <pivotArea dataOnly="0" labelOnly="1" outline="0" fieldPosition="0">
        <references count="2">
          <reference field="22" count="1">
            <x v="11"/>
          </reference>
          <reference field="26" count="1" selected="0">
            <x v="26"/>
          </reference>
        </references>
      </pivotArea>
    </format>
    <format dxfId="224">
      <pivotArea dataOnly="0" labelOnly="1" outline="0" fieldPosition="0">
        <references count="2">
          <reference field="22" count="1">
            <x v="7"/>
          </reference>
          <reference field="26" count="1" selected="0">
            <x v="43"/>
          </reference>
        </references>
      </pivotArea>
    </format>
    <format dxfId="223">
      <pivotArea dataOnly="0" labelOnly="1" outline="0" fieldPosition="0">
        <references count="2">
          <reference field="22" count="1">
            <x v="9"/>
          </reference>
          <reference field="26" count="1" selected="0">
            <x v="17"/>
          </reference>
        </references>
      </pivotArea>
    </format>
    <format dxfId="222">
      <pivotArea dataOnly="0" labelOnly="1" outline="0" fieldPosition="0">
        <references count="2">
          <reference field="22" count="1">
            <x v="15"/>
          </reference>
          <reference field="26" count="1" selected="0">
            <x v="33"/>
          </reference>
        </references>
      </pivotArea>
    </format>
    <format dxfId="221">
      <pivotArea dataOnly="0" labelOnly="1" outline="0" fieldPosition="0">
        <references count="2">
          <reference field="22" count="1">
            <x v="3"/>
          </reference>
          <reference field="26" count="1" selected="0">
            <x v="4"/>
          </reference>
        </references>
      </pivotArea>
    </format>
    <format dxfId="220">
      <pivotArea dataOnly="0" labelOnly="1" outline="0" fieldPosition="0">
        <references count="2">
          <reference field="22" count="1">
            <x v="10"/>
          </reference>
          <reference field="26" count="1" selected="0">
            <x v="11"/>
          </reference>
        </references>
      </pivotArea>
    </format>
    <format dxfId="219">
      <pivotArea dataOnly="0" labelOnly="1" outline="0" fieldPosition="0">
        <references count="2">
          <reference field="22" count="1">
            <x v="7"/>
          </reference>
          <reference field="26" count="1" selected="0">
            <x v="41"/>
          </reference>
        </references>
      </pivotArea>
    </format>
    <format dxfId="218">
      <pivotArea dataOnly="0" labelOnly="1" outline="0" fieldPosition="0">
        <references count="2">
          <reference field="22" count="1">
            <x v="10"/>
          </reference>
          <reference field="26" count="1" selected="0">
            <x v="19"/>
          </reference>
        </references>
      </pivotArea>
    </format>
    <format dxfId="217">
      <pivotArea dataOnly="0" labelOnly="1" outline="0" fieldPosition="0">
        <references count="2">
          <reference field="22" count="1">
            <x v="2"/>
          </reference>
          <reference field="26" count="1" selected="0">
            <x v="3"/>
          </reference>
        </references>
      </pivotArea>
    </format>
    <format dxfId="216">
      <pivotArea dataOnly="0" labelOnly="1" outline="0" fieldPosition="0">
        <references count="2">
          <reference field="22" count="1">
            <x v="16"/>
          </reference>
          <reference field="26" count="1" selected="0">
            <x v="44"/>
          </reference>
        </references>
      </pivotArea>
    </format>
    <format dxfId="215">
      <pivotArea dataOnly="0" labelOnly="1" outline="0" fieldPosition="0">
        <references count="2">
          <reference field="22" count="1">
            <x v="10"/>
          </reference>
          <reference field="26" count="1" selected="0">
            <x v="31"/>
          </reference>
        </references>
      </pivotArea>
    </format>
    <format dxfId="214">
      <pivotArea dataOnly="0" labelOnly="1" outline="0" fieldPosition="0">
        <references count="2">
          <reference field="22" count="1">
            <x v="11"/>
          </reference>
          <reference field="26" count="1" selected="0">
            <x v="9"/>
          </reference>
        </references>
      </pivotArea>
    </format>
    <format dxfId="213">
      <pivotArea dataOnly="0" labelOnly="1" outline="0" fieldPosition="0">
        <references count="2">
          <reference field="22" count="1">
            <x v="14"/>
          </reference>
          <reference field="26" count="1" selected="0">
            <x v="32"/>
          </reference>
        </references>
      </pivotArea>
    </format>
    <format dxfId="212">
      <pivotArea dataOnly="0" labelOnly="1" outline="0" fieldPosition="0">
        <references count="2">
          <reference field="22" count="1">
            <x v="11"/>
          </reference>
          <reference field="26" count="1" selected="0">
            <x v="1"/>
          </reference>
        </references>
      </pivotArea>
    </format>
    <format dxfId="211">
      <pivotArea dataOnly="0" labelOnly="1" outline="0" fieldPosition="0">
        <references count="2">
          <reference field="22" count="1">
            <x v="3"/>
          </reference>
          <reference field="26" count="1" selected="0">
            <x v="21"/>
          </reference>
        </references>
      </pivotArea>
    </format>
    <format dxfId="210">
      <pivotArea dataOnly="0" labelOnly="1" outline="0" fieldPosition="0">
        <references count="2">
          <reference field="22" count="1">
            <x v="11"/>
          </reference>
          <reference field="26" count="1" selected="0">
            <x v="5"/>
          </reference>
        </references>
      </pivotArea>
    </format>
    <format dxfId="209">
      <pivotArea dataOnly="0" labelOnly="1" outline="0" fieldPosition="0">
        <references count="2">
          <reference field="22" count="1">
            <x v="7"/>
          </reference>
          <reference field="26" count="1" selected="0">
            <x v="14"/>
          </reference>
        </references>
      </pivotArea>
    </format>
    <format dxfId="208">
      <pivotArea dataOnly="0" labelOnly="1" outline="0" fieldPosition="0">
        <references count="2">
          <reference field="22" count="1">
            <x v="6"/>
          </reference>
          <reference field="26" count="1" selected="0">
            <x v="23"/>
          </reference>
        </references>
      </pivotArea>
    </format>
    <format dxfId="207">
      <pivotArea dataOnly="0" labelOnly="1" outline="0" fieldPosition="0">
        <references count="2">
          <reference field="22" count="1">
            <x v="0"/>
          </reference>
          <reference field="26" count="1" selected="0">
            <x v="42"/>
          </reference>
        </references>
      </pivotArea>
    </format>
    <format dxfId="206">
      <pivotArea dataOnly="0" labelOnly="1" outline="0" fieldPosition="0">
        <references count="2">
          <reference field="22" count="1">
            <x v="15"/>
          </reference>
          <reference field="26" count="1" selected="0">
            <x v="13"/>
          </reference>
        </references>
      </pivotArea>
    </format>
    <format dxfId="205">
      <pivotArea dataOnly="0" labelOnly="1" outline="0" fieldPosition="0">
        <references count="2">
          <reference field="22" count="1">
            <x v="15"/>
          </reference>
          <reference field="26" count="1" selected="0">
            <x v="45"/>
          </reference>
        </references>
      </pivotArea>
    </format>
    <format dxfId="204">
      <pivotArea dataOnly="0" labelOnly="1" outline="0" fieldPosition="0">
        <references count="2">
          <reference field="22" count="1">
            <x v="11"/>
          </reference>
          <reference field="26" count="1" selected="0">
            <x v="34"/>
          </reference>
        </references>
      </pivotArea>
    </format>
    <format dxfId="203">
      <pivotArea dataOnly="0" labelOnly="1" outline="0" fieldPosition="0">
        <references count="2">
          <reference field="22" count="1">
            <x v="0"/>
          </reference>
          <reference field="26" count="1" selected="0">
            <x v="36"/>
          </reference>
        </references>
      </pivotArea>
    </format>
    <format dxfId="202">
      <pivotArea dataOnly="0" labelOnly="1" outline="0" fieldPosition="0">
        <references count="2">
          <reference field="22" count="1">
            <x v="8"/>
          </reference>
          <reference field="26" count="1" selected="0">
            <x v="28"/>
          </reference>
        </references>
      </pivotArea>
    </format>
    <format dxfId="201">
      <pivotArea dataOnly="0" labelOnly="1" outline="0" fieldPosition="0">
        <references count="2">
          <reference field="22" count="1">
            <x v="15"/>
          </reference>
          <reference field="26" count="1" selected="0">
            <x v="22"/>
          </reference>
        </references>
      </pivotArea>
    </format>
    <format dxfId="200">
      <pivotArea dataOnly="0" labelOnly="1" outline="0" fieldPosition="0">
        <references count="2">
          <reference field="22" count="1">
            <x v="4"/>
          </reference>
          <reference field="26" count="1" selected="0">
            <x v="8"/>
          </reference>
        </references>
      </pivotArea>
    </format>
    <format dxfId="199">
      <pivotArea dataOnly="0" labelOnly="1" outline="0" fieldPosition="0">
        <references count="2">
          <reference field="22" count="1">
            <x v="4"/>
          </reference>
          <reference field="26" count="1" selected="0">
            <x v="39"/>
          </reference>
        </references>
      </pivotArea>
    </format>
    <format dxfId="198">
      <pivotArea dataOnly="0" labelOnly="1" outline="0" fieldPosition="0">
        <references count="2">
          <reference field="22" count="1">
            <x v="11"/>
          </reference>
          <reference field="26" count="1" selected="0">
            <x v="6"/>
          </reference>
        </references>
      </pivotArea>
    </format>
    <format dxfId="197">
      <pivotArea dataOnly="0" labelOnly="1" outline="0" fieldPosition="0">
        <references count="2">
          <reference field="22" count="1">
            <x v="13"/>
          </reference>
          <reference field="26" count="1" selected="0">
            <x v="24"/>
          </reference>
        </references>
      </pivotArea>
    </format>
    <format dxfId="196">
      <pivotArea dataOnly="0" labelOnly="1" outline="0" fieldPosition="0">
        <references count="2">
          <reference field="22" count="1">
            <x v="1"/>
          </reference>
          <reference field="26" count="1" selected="0">
            <x v="2"/>
          </reference>
        </references>
      </pivotArea>
    </format>
    <format dxfId="195">
      <pivotArea dataOnly="0" labelOnly="1" outline="0" fieldPosition="0">
        <references count="2">
          <reference field="22" count="1">
            <x v="12"/>
          </reference>
          <reference field="26" count="1" selected="0">
            <x v="20"/>
          </reference>
        </references>
      </pivotArea>
    </format>
    <format dxfId="194">
      <pivotArea dataOnly="0" labelOnly="1" outline="0" fieldPosition="0">
        <references count="2">
          <reference field="22" count="1">
            <x v="15"/>
          </reference>
          <reference field="26" count="1" selected="0">
            <x v="37"/>
          </reference>
        </references>
      </pivotArea>
    </format>
    <format dxfId="193">
      <pivotArea dataOnly="0" labelOnly="1" outline="0" fieldPosition="0">
        <references count="2">
          <reference field="22" count="1">
            <x v="5"/>
          </reference>
          <reference field="26" count="1" selected="0">
            <x v="10"/>
          </reference>
        </references>
      </pivotArea>
    </format>
    <format dxfId="192">
      <pivotArea dataOnly="0" labelOnly="1" outline="0" fieldPosition="0">
        <references count="2">
          <reference field="22" count="1">
            <x v="11"/>
          </reference>
          <reference field="26" count="1" selected="0">
            <x v="26"/>
          </reference>
        </references>
      </pivotArea>
    </format>
    <format dxfId="191">
      <pivotArea dataOnly="0" labelOnly="1" outline="0" fieldPosition="0">
        <references count="2">
          <reference field="22" count="1">
            <x v="7"/>
          </reference>
          <reference field="26" count="1" selected="0">
            <x v="43"/>
          </reference>
        </references>
      </pivotArea>
    </format>
    <format dxfId="190">
      <pivotArea dataOnly="0" labelOnly="1" outline="0" fieldPosition="0">
        <references count="2">
          <reference field="22" count="1">
            <x v="9"/>
          </reference>
          <reference field="26" count="1" selected="0">
            <x v="17"/>
          </reference>
        </references>
      </pivotArea>
    </format>
    <format dxfId="189">
      <pivotArea dataOnly="0" labelOnly="1" outline="0" fieldPosition="0">
        <references count="2">
          <reference field="22" count="1">
            <x v="15"/>
          </reference>
          <reference field="26" count="1" selected="0">
            <x v="33"/>
          </reference>
        </references>
      </pivotArea>
    </format>
    <format dxfId="188">
      <pivotArea dataOnly="0" labelOnly="1" outline="0" fieldPosition="0">
        <references count="2">
          <reference field="22" count="1">
            <x v="3"/>
          </reference>
          <reference field="26" count="1" selected="0">
            <x v="4"/>
          </reference>
        </references>
      </pivotArea>
    </format>
    <format dxfId="187">
      <pivotArea dataOnly="0" labelOnly="1" outline="0" fieldPosition="0">
        <references count="2">
          <reference field="22" count="1">
            <x v="10"/>
          </reference>
          <reference field="26" count="1" selected="0">
            <x v="11"/>
          </reference>
        </references>
      </pivotArea>
    </format>
    <format dxfId="186">
      <pivotArea dataOnly="0" labelOnly="1" outline="0" fieldPosition="0">
        <references count="2">
          <reference field="22" count="1">
            <x v="7"/>
          </reference>
          <reference field="26" count="1" selected="0">
            <x v="41"/>
          </reference>
        </references>
      </pivotArea>
    </format>
    <format dxfId="185">
      <pivotArea dataOnly="0" labelOnly="1" outline="0" fieldPosition="0">
        <references count="2">
          <reference field="22" count="1">
            <x v="10"/>
          </reference>
          <reference field="26" count="1" selected="0">
            <x v="19"/>
          </reference>
        </references>
      </pivotArea>
    </format>
    <format dxfId="184">
      <pivotArea dataOnly="0" labelOnly="1" outline="0" fieldPosition="0">
        <references count="2">
          <reference field="22" count="1">
            <x v="2"/>
          </reference>
          <reference field="26" count="1" selected="0">
            <x v="3"/>
          </reference>
        </references>
      </pivotArea>
    </format>
    <format dxfId="183">
      <pivotArea dataOnly="0" labelOnly="1" outline="0" fieldPosition="0">
        <references count="2">
          <reference field="22" count="1">
            <x v="16"/>
          </reference>
          <reference field="26" count="1" selected="0">
            <x v="44"/>
          </reference>
        </references>
      </pivotArea>
    </format>
    <format dxfId="182">
      <pivotArea dataOnly="0" labelOnly="1" outline="0" fieldPosition="0">
        <references count="2">
          <reference field="22" count="1">
            <x v="10"/>
          </reference>
          <reference field="26" count="1" selected="0">
            <x v="31"/>
          </reference>
        </references>
      </pivotArea>
    </format>
    <format dxfId="181">
      <pivotArea dataOnly="0" labelOnly="1" outline="0" fieldPosition="0">
        <references count="2">
          <reference field="22" count="1">
            <x v="11"/>
          </reference>
          <reference field="26" count="1" selected="0">
            <x v="9"/>
          </reference>
        </references>
      </pivotArea>
    </format>
    <format dxfId="180">
      <pivotArea dataOnly="0" labelOnly="1" outline="0" fieldPosition="0">
        <references count="2">
          <reference field="22" count="1">
            <x v="14"/>
          </reference>
          <reference field="26" count="1" selected="0">
            <x v="32"/>
          </reference>
        </references>
      </pivotArea>
    </format>
    <format dxfId="179">
      <pivotArea dataOnly="0" labelOnly="1" outline="0" fieldPosition="0">
        <references count="2">
          <reference field="22" count="1">
            <x v="11"/>
          </reference>
          <reference field="26" count="1" selected="0">
            <x v="1"/>
          </reference>
        </references>
      </pivotArea>
    </format>
    <format dxfId="178">
      <pivotArea dataOnly="0" labelOnly="1" outline="0" fieldPosition="0">
        <references count="2">
          <reference field="22" count="1">
            <x v="3"/>
          </reference>
          <reference field="26" count="1" selected="0">
            <x v="2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8D2751-6C82-4BEC-B42A-C3FAE1FDE8FE}" name="CountryCleanup" displayName="CountryCleanup" ref="B2:E1628" totalsRowShown="0">
  <autoFilter ref="B2:E1628" xr:uid="{47A70459-D7AE-4A1C-B775-20A3B9ED3B13}"/>
  <sortState xmlns:xlrd2="http://schemas.microsoft.com/office/spreadsheetml/2017/richdata2" ref="B3:E1628">
    <sortCondition ref="B2:B1628"/>
  </sortState>
  <tableColumns count="4">
    <tableColumn id="1" xr3:uid="{BA4A2988-759F-4E35-9CF9-420F66F35635}" name="Name"/>
    <tableColumn id="2" xr3:uid="{D79EA5D3-8265-4AC0-826E-FC0F6712F9F9}" name="ISO3"/>
    <tableColumn id="3" xr3:uid="{9B2B5D7C-AAC8-4273-8346-1E2BC725D204}" name="M49" dataDxfId="6">
      <calculatedColumnFormula>IFERROR(INDEX(Countries[],MATCH(CountryCleanup[[#This Row],[ISO3]],Countries[ISO3],0),3),"")</calculatedColumnFormula>
    </tableColumn>
    <tableColumn id="4" xr3:uid="{FFB29105-9015-4592-9ED2-81EB5B548123}" name="UN Name" dataDxfId="5">
      <calculatedColumnFormula>IFERROR(INDEX(Countries[],MATCH(CountryCleanup[[#This Row],[ISO3]],Countries[ISO3],0),6),"")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7BD2CD-BF24-4285-ACF9-98A9E03514A8}" name="Table4" displayName="Table4" ref="H2:J33" totalsRowShown="0" headerRowDxfId="177">
  <autoFilter ref="H2:J33" xr:uid="{A57BD2CD-BF24-4285-ACF9-98A9E03514A8}"/>
  <sortState xmlns:xlrd2="http://schemas.microsoft.com/office/spreadsheetml/2017/richdata2" ref="H3:J33">
    <sortCondition ref="I2:I33"/>
  </sortState>
  <tableColumns count="3">
    <tableColumn id="1" xr3:uid="{81D371A7-7D1E-4934-9B4B-B9D589B54FAF}" name="Model" dataDxfId="176"/>
    <tableColumn id="3" xr3:uid="{FFD08509-A883-4266-A470-90BC2D3CC175}" name="Region" dataDxfId="175"/>
    <tableColumn id="2" xr3:uid="{6C75DB33-BC79-4E32-BE08-BFB8B57A33C7}" name="MERG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untries" displayName="Countries" ref="A4:DO333" totalsRowShown="0" headerRowDxfId="174">
  <autoFilter ref="A4:DO333" xr:uid="{00000000-0009-0000-0100-000001000000}">
    <filterColumn colId="36">
      <filters>
        <filter val="1.0-World"/>
        <filter val="2.0-Region (M49)"/>
        <filter val="2.1-Sub-Region (M49)"/>
        <filter val="2.2-SDG classification"/>
        <filter val="2.3-Other OECD"/>
        <filter val="2.4-Other Multilateral"/>
      </filters>
    </filterColumn>
  </autoFilter>
  <sortState xmlns:xlrd2="http://schemas.microsoft.com/office/spreadsheetml/2017/richdata2" ref="A5:DO333">
    <sortCondition ref="AA4:AA333"/>
  </sortState>
  <tableColumns count="119">
    <tableColumn id="16" xr3:uid="{00000000-0010-0000-0000-000010000000}" name="ISO2" dataDxfId="173"/>
    <tableColumn id="11" xr3:uid="{00000000-0010-0000-0000-00000B000000}" name="ISO3"/>
    <tableColumn id="10" xr3:uid="{00000000-0010-0000-0000-00000A000000}" name="M49" dataDxfId="172"/>
    <tableColumn id="3" xr3:uid="{B1590296-027C-43FA-85BC-D9DACF19B7F9}" name="IRENA Sort Order" dataDxfId="171"/>
    <tableColumn id="13" xr3:uid="{05C29713-FE94-46C9-8911-95878F4E63AC}" name="IRENA Country Name" dataDxfId="170"/>
    <tableColumn id="9" xr3:uid="{00000000-0010-0000-0000-000009000000}" name="UN Short Name EN" dataDxfId="169"/>
    <tableColumn id="108" xr3:uid="{E45A69B9-FE58-4B2A-A1B2-D98DC7ADAE38}" name="UN Formal Name EN" dataDxfId="168"/>
    <tableColumn id="23" xr3:uid="{7DC7CAEE-5584-4489-B9D1-D5BAC8449C3C}" name="UN Short Name FR" dataDxfId="167"/>
    <tableColumn id="28" xr3:uid="{915D80B6-EE20-460F-8622-0CF3EDBE23B4}" name="UN Short Name ES"/>
    <tableColumn id="33" xr3:uid="{9CE2843E-8443-45FA-8F3D-1BDFF5E18666}" name="Region (M49)" dataDxfId="166"/>
    <tableColumn id="4" xr3:uid="{00000000-0010-0000-0000-000004000000}" name="UN Region"/>
    <tableColumn id="34" xr3:uid="{4F2DC942-8BA4-4186-BD92-22B52FD129C5}" name="Sub-region (M49)" dataDxfId="165"/>
    <tableColumn id="6" xr3:uid="{00000000-0010-0000-0000-000006000000}" name="UN Sub-region"/>
    <tableColumn id="37" xr3:uid="{0ABEE55C-8D11-41E8-9C35-8EDB519599FC}" name="Sub-region2 (M49)"/>
    <tableColumn id="36" xr3:uid="{D9012210-2B0A-46E2-8A37-BF739E309A3C}" name="UN Sub-region2" dataDxfId="164"/>
    <tableColumn id="8" xr3:uid="{9ED90D67-A326-4613-BF2C-3C4A1F8F1A5B}" name="IRENA Region" dataDxfId="163"/>
    <tableColumn id="7" xr3:uid="{D8FCF6FD-1186-4141-8D2F-70B053674D9A}" name="WBG Region" dataDxfId="162"/>
    <tableColumn id="30" xr3:uid="{8CD0FC4B-272B-4704-AFFA-38C6B835B0D9}" name="SDG Region (M49)" dataDxfId="161"/>
    <tableColumn id="31" xr3:uid="{E930BA62-6775-42BE-8292-053C815FA538}" name="SDG Region" dataDxfId="160"/>
    <tableColumn id="114" xr3:uid="{41C4279A-3CCA-4D32-8734-668F3ECF8881}" name="SDG Sub-region (M49)" dataDxfId="159"/>
    <tableColumn id="113" xr3:uid="{51734B46-4BDC-4F0F-BF27-8953EC476925}" name="SDG Sub-region" dataDxfId="158"/>
    <tableColumn id="116" xr3:uid="{B666AC8C-4A70-4888-BECC-9DF9535A7EC9}" name="GMM 15" dataDxfId="157"/>
    <tableColumn id="115" xr3:uid="{179174EC-95A3-4745-8626-6723182B3DA1}" name="GMM 17" dataDxfId="156"/>
    <tableColumn id="112" xr3:uid="{7C8B14C1-9967-4A7F-8C4B-4DAFE8589427}" name="MERGE legacy" dataDxfId="155"/>
    <tableColumn id="18" xr3:uid="{42CE38E8-230C-4DAF-82A1-41BB52BECB00}" name="MERGE option 1" dataDxfId="154"/>
    <tableColumn id="117" xr3:uid="{52CFCD5B-A148-4888-878B-6EBA593CB842}" name="MERGE option 2"/>
    <tableColumn id="118" xr3:uid="{F4D8C86A-4204-467F-9EC0-FA4281753B79}" name="MERGE"/>
    <tableColumn id="119" xr3:uid="{F5FA9B86-713F-4A13-88E6-9CE03426F12C}" name="MERGE ISO" dataDxfId="153"/>
    <tableColumn id="12" xr3:uid="{51E90169-1619-4B25-86EB-60E27CBC836E}" name="WBG Income Group" dataDxfId="152"/>
    <tableColumn id="111" xr3:uid="{C26D4BA1-1FD3-455B-AF7D-2CDD35DB3218}" name="Heavily indebted poor countries (HIPC)" dataDxfId="151"/>
    <tableColumn id="15" xr3:uid="{00000000-0010-0000-0000-00000F000000}" name="Developed / Developing"/>
    <tableColumn id="109" xr3:uid="{0B9211D0-466C-4FE8-AD7D-21B7721494B0}" name="ODA recipient" dataDxfId="150"/>
    <tableColumn id="110" xr3:uid="{15E367EF-8C1D-447D-9A31-BC29CADB833B}" name="SDG 7a1"/>
    <tableColumn id="1" xr3:uid="{00000000-0010-0000-0000-000001000000}" name="OECD" dataDxfId="149"/>
    <tableColumn id="2" xr3:uid="{00000000-0010-0000-0000-000002000000}" name="Sub-OECD" dataDxfId="148"/>
    <tableColumn id="5" xr3:uid="{00000000-0010-0000-0000-000005000000}" name="IEA" dataDxfId="147"/>
    <tableColumn id="14" xr3:uid="{00000000-0010-0000-0000-00000E000000}" name="Granularity" dataDxfId="146"/>
    <tableColumn id="22" xr3:uid="{37D67904-BF90-43AB-85C2-F5ED500AC705}" name="CurrencyISO" dataDxfId="145"/>
    <tableColumn id="35" xr3:uid="{B85B8E9E-4824-4C55-8CC4-86A5D3D496FD}" name="DeflatorISO" dataDxfId="144"/>
    <tableColumn id="25" xr3:uid="{899EF540-503D-4984-BA68-CC657908368F}" name="Belt Road Initiative" dataDxfId="143"/>
    <tableColumn id="26" xr3:uid="{6AE59920-EFDE-4F3C-9159-2AB4BEA641B6}" name="LDC" dataDxfId="142"/>
    <tableColumn id="39" xr3:uid="{A98206D4-35F5-4087-8782-8A715AF8E6F6}" name="LLDC" dataDxfId="141"/>
    <tableColumn id="38" xr3:uid="{89807791-CF1C-4C05-B9F0-7309711E0C04}" name="SIDS" dataDxfId="140">
      <calculatedColumnFormula>VLOOKUP(Countries[[#This Row],[ISO3]],#REF!,1,0)</calculatedColumnFormula>
    </tableColumn>
    <tableColumn id="27" xr3:uid="{1A6812DA-E9E4-4522-9533-90A944214354}" name="EU-28" dataDxfId="139"/>
    <tableColumn id="105" xr3:uid="{B251FCC1-00F3-43CD-8DED-8FF944EFFE99}" name="EU-27" dataDxfId="138"/>
    <tableColumn id="29" xr3:uid="{AF9D54E7-8878-4860-8118-B98073E71050}" name="SIDS Lighthouse" dataDxfId="137"/>
    <tableColumn id="75" xr3:uid="{C685C649-8E18-448D-B08C-45E5B6367D9C}" name="G7" dataDxfId="136"/>
    <tableColumn id="76" xr3:uid="{3C222B50-47C7-433C-A87F-EEA765D7B095}" name="G8" dataDxfId="135"/>
    <tableColumn id="93" xr3:uid="{AAEAC814-58F4-4706-B3F4-A3A75241D1E5}" name="G20" dataDxfId="134"/>
    <tableColumn id="17" xr3:uid="{C9198758-5EDD-4007-9308-15BC33C7E844}" name="DNI SDG7b1" dataDxfId="133"/>
    <tableColumn id="20" xr3:uid="{563C247C-DF55-488B-933A-F751138143CF}" name="ECA_ALL" dataDxfId="132"/>
    <tableColumn id="21" xr3:uid="{C13A57A8-8C7D-46BF-9250-5D9D5D6CF851}" name="ECA_CA" dataDxfId="131"/>
    <tableColumn id="24" xr3:uid="{F1E2AE81-EE5A-44B7-B3D7-CF80C6AF56D0}" name="ECA_EA" dataDxfId="130"/>
    <tableColumn id="32" xr3:uid="{437D4025-0978-4FB5-A4A8-464B52F6FE71}" name="ECA_NA" dataDxfId="129"/>
    <tableColumn id="40" xr3:uid="{06EB4254-B92F-4BBF-997E-8CDC93CA902C}" name="ECA_SA" dataDxfId="128"/>
    <tableColumn id="41" xr3:uid="{E4FD8CAD-EF22-4D5F-BB36-8366213CD6ED}" name="ECA_WA" dataDxfId="127"/>
    <tableColumn id="42" xr3:uid="{F29440BC-89E7-4A84-A11E-1EDD335C4341}" name="AUC" dataDxfId="126"/>
    <tableColumn id="43" xr3:uid="{4A7EE24C-E167-4AF0-9E3B-8BAB38FFDBCD}" name="ECA_ECCAS" dataDxfId="125"/>
    <tableColumn id="44" xr3:uid="{E70A758E-B59F-4A9E-8A28-229067FD2F6B}" name="ECA_ECOWAS" dataDxfId="124"/>
    <tableColumn id="45" xr3:uid="{AF178FC4-7E9E-4268-9A81-0BB16E26353D}" name="ECA_IGAD" dataDxfId="123"/>
    <tableColumn id="46" xr3:uid="{13F29C09-BD7A-45C7-8599-420EEEF7A7BF}" name="ECA_SADC" dataDxfId="122"/>
    <tableColumn id="47" xr3:uid="{4E708072-225D-49A7-94EE-386068EC4F44}" name="ECA_AMU" dataDxfId="121"/>
    <tableColumn id="48" xr3:uid="{F4E616AB-937D-4372-892C-D15B7A68549B}" name="ECA_CEN_SAD" dataDxfId="120"/>
    <tableColumn id="49" xr3:uid="{DF2635C1-0EB8-42D7-82F4-1B256A0070F0}" name="ECA_COMESA" dataDxfId="119"/>
    <tableColumn id="50" xr3:uid="{50ABD845-B9BD-4BA8-BADE-E655BFBAD448}" name="ECA_EAC" dataDxfId="118"/>
    <tableColumn id="51" xr3:uid="{F2878D08-1CEA-447B-873B-0CAAA5A7B6F7}" name="ECA_IE" dataDxfId="117"/>
    <tableColumn id="52" xr3:uid="{681C79BC-004E-4957-B543-3A3C9C0803AC}" name="ECA_LLC" dataDxfId="116"/>
    <tableColumn id="53" xr3:uid="{FCD7D7DD-325F-4C8B-A024-7791EDAE8314}" name="ECA_LL_LDC" dataDxfId="115"/>
    <tableColumn id="54" xr3:uid="{6A1A124C-F97A-4E1E-9F7A-38526D3B3178}" name="ECA_LDC" dataDxfId="114"/>
    <tableColumn id="55" xr3:uid="{B5E15CF0-3EB5-4446-93E7-17E5495E40A4}" name="ECA_MRC" dataDxfId="113"/>
    <tableColumn id="56" xr3:uid="{0A63BF3C-6F2E-495A-AFB2-014F0FE257B6}" name="ECA_NO_LDC" dataDxfId="112"/>
    <tableColumn id="57" xr3:uid="{DA668FF3-E68F-49AE-9B27-35BD4C6430D7}" name="ECA_NOP" dataDxfId="111"/>
    <tableColumn id="58" xr3:uid="{91D81BC2-1731-4739-B005-ADC45B7CB286}" name="ECA_O_LDC" dataDxfId="110"/>
    <tableColumn id="59" xr3:uid="{A95E76E4-E356-4A97-86C5-37523E53ABC3}" name="ECA_OP" dataDxfId="109"/>
    <tableColumn id="60" xr3:uid="{E6EFF9CA-E33D-4147-9872-3DB7F3198C7F}" name="ECA_SAHEL" dataDxfId="108"/>
    <tableColumn id="61" xr3:uid="{4434021C-700B-406F-A30D-2F85A5BBA067}" name="ECA_SIS" dataDxfId="107"/>
    <tableColumn id="62" xr3:uid="{A89B95FE-E110-4CD2-9F2D-FECF8C9BD87E}" name="ECA_SSA" dataDxfId="106"/>
    <tableColumn id="63" xr3:uid="{AD4C2807-FD21-429E-BCEE-1102BC0BBA73}" name="ECE_ALL" dataDxfId="105"/>
    <tableColumn id="64" xr3:uid="{E5DDBFDB-E4F5-4D59-BEA6-8384C7DC9C58}" name="ECE_CIS11" dataDxfId="104"/>
    <tableColumn id="65" xr3:uid="{02FBCCBB-B184-4595-ABD1-0C94FF49D1E9}" name="ECE_EECCA" dataDxfId="103"/>
    <tableColumn id="66" xr3:uid="{E0B79386-FF78-40F5-97CD-BF0D9828F9F2}" name="ECE_EU27" dataDxfId="102"/>
    <tableColumn id="67" xr3:uid="{5A531712-F949-4B03-8EA6-4E33F1FDD30D}" name="ECE_EU_EuroArea" dataDxfId="101"/>
    <tableColumn id="68" xr3:uid="{624747A0-4E72-4E7B-946E-2BCCAAC61F49}" name="ECE_WestBalkans" dataDxfId="100"/>
    <tableColumn id="69" xr3:uid="{2699EDE5-92B4-4E03-A3BF-BCB709B0B7D6}" name="ECE_EAEU" dataDxfId="99"/>
    <tableColumn id="70" xr3:uid="{9935A7CF-81E5-449A-B3D4-163D91D40539}" name="ECLAC_ALL" dataDxfId="98"/>
    <tableColumn id="71" xr3:uid="{43931E5E-10D6-4DC0-9B88-CE3E79E573BA}" name="ECLAC-Caribbean" dataDxfId="97"/>
    <tableColumn id="72" xr3:uid="{4C358E80-9B71-4B13-9943-6F4865122FDC}" name="ECLAC-LA" dataDxfId="96"/>
    <tableColumn id="77" xr3:uid="{7BD74A78-08C8-4993-809B-83E7B27BB478}" name="ESCAP_ALL" dataDxfId="95"/>
    <tableColumn id="78" xr3:uid="{3ED59918-62CE-4331-908C-B6958CA2A203}" name="ESCAP_AFRICA" dataDxfId="94"/>
    <tableColumn id="79" xr3:uid="{71F7F7A1-7151-4379-8999-E5DBEE94B383}" name="ESCAP_ASEAN" dataDxfId="93"/>
    <tableColumn id="80" xr3:uid="{0FFC125A-4E71-4AB3-B867-97F3A5A486F6}" name="ESCAP_ECO" dataDxfId="92"/>
    <tableColumn id="81" xr3:uid="{0D1C8273-69AC-4C7B-A1A2-4A35CBC3F8FD}" name="ESCAP_ENEA" dataDxfId="91"/>
    <tableColumn id="82" xr3:uid="{516DF66D-B6B5-4C36-B433-018C32904954}" name="ESCAP_LDC" dataDxfId="90"/>
    <tableColumn id="83" xr3:uid="{5CB0F630-DEDE-4C9C-9C53-FF1AA0DD40BC}" name="ESCAP_LLDC" dataDxfId="89"/>
    <tableColumn id="84" xr3:uid="{A1BC3938-178A-4D3C-A271-FEF37B518E5B}" name="ESCAP_NCA" dataDxfId="88"/>
    <tableColumn id="85" xr3:uid="{00E343C0-4C7B-4121-89FF-5637115BBD61}" name="ESCAP_PACIFIC" dataDxfId="87"/>
    <tableColumn id="86" xr3:uid="{5D239C4B-427B-4468-8FC0-7B8F791685D1}" name="ESCAP_SEA" dataDxfId="86"/>
    <tableColumn id="87" xr3:uid="{37FBCDD7-EF97-4786-9261-ADCB2C4626EB}" name="ESCAP_SSWA" dataDxfId="85"/>
    <tableColumn id="88" xr3:uid="{42EAA31E-F104-41AD-9FA1-9C6274FF4B2C}" name="ESCAP_EUROPE" dataDxfId="84"/>
    <tableColumn id="89" xr3:uid="{45B86D4B-E76A-41EB-8625-733B827C483B}" name="ESCAP_LATIN_AMERICA" dataDxfId="83"/>
    <tableColumn id="90" xr3:uid="{805CBF7D-4F97-4BCA-B8BE-C443429B204B}" name="ESCAP_NORTH_AMERICA" dataDxfId="82"/>
    <tableColumn id="91" xr3:uid="{0CD31470-390C-448C-94EF-00F24CE2B910}" name="ESCAP_OTHER_AREA" dataDxfId="81"/>
    <tableColumn id="92" xr3:uid="{C86E596E-2476-4915-A0EF-AB743C6E6B31}" name="ESCAP_PIDE" dataDxfId="80"/>
    <tableColumn id="94" xr3:uid="{6ACA8291-0812-4CFA-95C9-47325DFD9821}" name="ESCAP_SAARC" dataDxfId="79"/>
    <tableColumn id="95" xr3:uid="{FC770B62-C299-4778-BA66-734FB8D6CBA7}" name="ESCAP_CSN" dataDxfId="78"/>
    <tableColumn id="96" xr3:uid="{5D3D4612-5678-4DDE-9D79-5107E2FA1F5A}" name="ESCAP_SIDS" dataDxfId="77"/>
    <tableColumn id="97" xr3:uid="{B3FC32FE-EAE1-444C-B8F5-71BFDA52B68E}" name="ESCAP_WB_HIGH" dataDxfId="76"/>
    <tableColumn id="98" xr3:uid="{D505FC34-9E87-48B8-9E93-A9AC2B59D7CA}" name="ESCAP_WB_UPPER_MID" dataDxfId="75"/>
    <tableColumn id="99" xr3:uid="{AF13D9E0-E5FC-45A1-B626-838C893FE057}" name="ESCAP_WB_LOWER_MID" dataDxfId="74"/>
    <tableColumn id="100" xr3:uid="{1E2CE937-D9A2-4988-9006-2C5295BDDDBF}" name="ESCAP_WB_LOW" dataDxfId="73"/>
    <tableColumn id="101" xr3:uid="{35D50471-3194-48E0-9305-B1D654A4FC8A}" name="Arab" dataDxfId="72"/>
    <tableColumn id="102" xr3:uid="{9450C9CA-2ACB-4D06-AFFA-7289EA4B92A4}" name="ESCWA_GCC" dataDxfId="71"/>
    <tableColumn id="103" xr3:uid="{86BA4EEF-FC98-44AB-88BD-B8B4AE602BB6}" name="ESCWA_MASHREQ" dataDxfId="70"/>
    <tableColumn id="104" xr3:uid="{E21E4987-C2BB-4A07-8390-A82E4392C51C}" name="ESCWA_MAGHREB" dataDxfId="69"/>
    <tableColumn id="74" xr3:uid="{245E29D5-6EBE-46C0-B641-471926A0BA7B}" name="ESCWA_LDC" dataDxfId="68"/>
    <tableColumn id="73" xr3:uid="{08A9F110-11A9-4E46-BE85-4896515D368B}" name="ESCWA_CONFLICT" dataDxfId="67"/>
    <tableColumn id="106" xr3:uid="{7D5D53DD-68BD-4A3F-BFDA-C7F2D4BFD59B}" name="ESCWA_NOCONFLICT_MID" dataDxfId="66"/>
    <tableColumn id="19" xr3:uid="{D1B18191-D8CF-48B9-B443-D0AC28300967}" name="ESCWA_ARAB_MID" dataDxfId="65"/>
    <tableColumn id="107" xr3:uid="{42F9DE09-911D-46DB-B3D8-319E1D21B10C}" name="ESCWA_ARAB_LOW" dataDxfId="6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C96516-1525-4D67-8EB6-D6941886A5C6}" name="RegionalCommissions" displayName="RegionalCommissions" ref="B4:F1325" totalsRowShown="0">
  <autoFilter ref="B4:F1325" xr:uid="{14A3A221-89F9-4C81-B3BD-B7663EF945DA}"/>
  <tableColumns count="5">
    <tableColumn id="2" xr3:uid="{01A75602-7BD2-4FD1-8CD7-7E3D5FDF1C27}" name="M49" dataDxfId="63"/>
    <tableColumn id="1" xr3:uid="{37587387-A0F2-46A0-87A5-F817157C6EEA}" name="RC_UNSDCode" dataDxfId="62" dataCellStyle="Normal 5"/>
    <tableColumn id="3" xr3:uid="{D7F6DF5C-7522-4408-A574-0F540A12FDF8}" name="RC_Name" dataDxfId="61"/>
    <tableColumn id="4" xr3:uid="{0342E15D-A082-48CF-9F24-03780299D0AF}" name="RC_RegionName" dataDxfId="60"/>
    <tableColumn id="5" xr3:uid="{5E693752-88DE-403A-89C5-03D8F062C11C}" name="RC_Region" dataDxfId="5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2" dT="2022-12-24T09:17:16.70" personId="{7EDB581C-2BF5-43BE-A0ED-2105E12EDC12}" id="{334CD5E5-E268-4D08-8786-BFF9B9B8E8C9}">
    <text>=IFERROR(SWITCH(INDEX('[9. CompositionOfRegions_RCs_20231221.xlsx]Ref_Area_Matrix'!$A$3:$BV$365,MATCH([@M49],'[9. CompositionOfRegions_RCs_20231221.xlsx]Ref_Area_Matrix'!$A$3:$A$365,0),MATCH(AS$2,'[9. CompositionOfRegions_RCs_20231221.xlsx]Ref_Area_Matrix'!$A$3:$BV$3,0)),1,AS$2,""),"")</text>
  </threadedComment>
  <threadedComment ref="AY2" dT="2022-12-24T09:18:31.00" personId="{7EDB581C-2BF5-43BE-A0ED-2105E12EDC12}" id="{FD18DE8A-4E57-4475-AC35-6CB7CA26B224}" parentId="{334CD5E5-E268-4D08-8786-BFF9B9B8E8C9}">
    <text>paste on the first formula, row 4</text>
  </threadedComment>
  <threadedComment ref="F4" dT="2022-12-24T07:07:32.62" personId="{7EDB581C-2BF5-43BE-A0ED-2105E12EDC12}" id="{7B57594B-BD4E-4763-94D8-8FB100B12A6D}">
    <text>The content inside parenthesis is part of the official UN short name of the country.
https://unterm.un.org/unterm2/en/country</text>
    <extLst>
      <x:ext xmlns:xltc2="http://schemas.microsoft.com/office/spreadsheetml/2020/threadedcomments2" uri="{F7C98A9C-CBB3-438F-8F68-D28B6AF4A901}">
        <xltc2:checksum>579947187</xltc2:checksum>
        <xltc2:hyperlink startIndex="85" length="40" url="https://unterm.un.org/unterm2/en/country"/>
      </x:ext>
    </extLst>
  </threadedComment>
  <threadedComment ref="G4" dT="2022-12-24T07:38:38.56" personId="{7EDB581C-2BF5-43BE-A0ED-2105E12EDC12}" id="{AD9ABAFD-AAE7-4325-8119-A5763C2C73CC}">
    <text>Based on the UNGEGN List of Country Names
https://unstats.un.org/unsd/geoinfo/ungegn/docs/11th-uncsgn-docs/E_Conf.105_13_CRP.13_15_UNGEGN%20WG%20Country%20Names%20Document.pdf
https://unterm.un.org/unterm2/en/country</text>
    <extLst>
      <x:ext xmlns:xltc2="http://schemas.microsoft.com/office/spreadsheetml/2020/threadedcomments2" uri="{F7C98A9C-CBB3-438F-8F68-D28B6AF4A901}">
        <xltc2:checksum>3889505880</xltc2:checksum>
        <xltc2:hyperlink startIndex="42" length="133" url="https://unstats.un.org/unsd/geoinfo/ungegn/docs/11th-uncsgn-docs/E_Conf.105_13_CRP.13_15_UNGEGN%20WG%20Country%20Names%20Document.pdf"/>
        <xltc2:hyperlink startIndex="177" length="40" url="https://unterm.un.org/unterm2/en/country"/>
      </x:ext>
    </extLst>
  </threadedComment>
  <threadedComment ref="Y4" dT="2024-09-06T14:41:24.58" personId="{DF48DC69-D805-4D6F-ACB7-C2958FBD499C}" id="{2D9655EC-643B-4D12-A76D-9D733D6D3AC5}">
    <text>UN-based</text>
  </threadedComment>
  <threadedComment ref="Z4" dT="2024-09-06T14:41:36.94" personId="{DF48DC69-D805-4D6F-ACB7-C2958FBD499C}" id="{F1E00E12-0A5E-4E11-BFE4-907F32F520EA}">
    <text>UN + political (G20)</text>
  </threadedComment>
  <threadedComment ref="AC4" dT="2022-08-25T09:43:26.80" personId="{7EDB581C-2BF5-43BE-A0ED-2105E12EDC12}" id="{6B560760-0F52-4B87-B02C-D0543052FA97}">
    <text>From https://datahelpdesk.worldbank.org/knowledgebase/articles/906519</text>
  </threadedComment>
  <threadedComment ref="AD4" dT="2022-12-23T19:26:25.41" personId="{7EDB581C-2BF5-43BE-A0ED-2105E12EDC12}" id="{F85EC017-B1E4-415A-9D33-A77ECC7F6E5C}">
    <text>Classified by the World Bank from 
https://datahelpdesk.worldbank.org/knowledgebase/articles/906519</text>
  </threadedComment>
  <threadedComment ref="AE4" dT="2023-01-02T04:49:37.75" personId="{7EDB581C-2BF5-43BE-A0ED-2105E12EDC12}" id="{86A1F907-244E-49D9-8F87-A5E1F90B86A5}">
    <text>This classification was discontinued by the UNSD in December 2021. But the latest classification here reflects a May 2022 version by the UNSD found in:
https://unstats.un.org/unsd/methodology/m49/</text>
    <extLst>
      <x:ext xmlns:xltc2="http://schemas.microsoft.com/office/spreadsheetml/2020/threadedcomments2" uri="{F7C98A9C-CBB3-438F-8F68-D28B6AF4A901}">
        <xltc2:checksum>934211810</xltc2:checksum>
        <xltc2:hyperlink startIndex="152" length="44" url="https://unstats.un.org/unsd/methodology/m49/"/>
      </x:ext>
    </extLst>
  </threadedComment>
  <threadedComment ref="AF4" dT="2022-11-30T07:34:10.08" personId="{7EDB581C-2BF5-43BE-A0ED-2105E12EDC12}" id="{4BF8D8AB-81FC-4399-B60C-BF49CDCE8EFC}">
    <text>Updated 30/11/22 from https://www.oecd.org/dac/financing-sustainable-development/development-finance-standards/daclist.htm</text>
  </threadedComment>
  <threadedComment ref="AL4" dT="2020-07-01T07:05:24.42" personId="{7EDB581C-2BF5-43BE-A0ED-2105E12EDC12}" id="{2878AA2E-2490-4268-BB3B-EA31B6A297C3}">
    <text>ISO currency codes 
https://www.currency-iso.org/en/home/tables/table-a1.html</text>
  </threadedComment>
  <threadedComment ref="AX4" dT="2020-09-15T06:27:30.72" personId="{7EDB581C-2BF5-43BE-A0ED-2105E12EDC12}" id="{E445B2ED-ABC4-47C5-8F5B-551B261AC0D7}">
    <text>this excludes the countries/territories with no capacity data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F270-D898-4808-BB41-67AFD1C55AF2}">
  <sheetPr codeName="Sheet4"/>
  <dimension ref="A3:F259"/>
  <sheetViews>
    <sheetView topLeftCell="C1" workbookViewId="0">
      <selection activeCell="G15" sqref="G15"/>
    </sheetView>
  </sheetViews>
  <sheetFormatPr defaultRowHeight="14.25" x14ac:dyDescent="0.45"/>
  <cols>
    <col min="1" max="1" width="28.73046875" customWidth="1"/>
    <col min="2" max="2" width="50.86328125" bestFit="1" customWidth="1"/>
    <col min="4" max="4" width="28.73046875" customWidth="1"/>
    <col min="5" max="5" width="10" bestFit="1" customWidth="1"/>
    <col min="6" max="6" width="11.59765625" bestFit="1" customWidth="1"/>
    <col min="7" max="7" width="10" bestFit="1" customWidth="1"/>
  </cols>
  <sheetData>
    <row r="3" spans="1:6" x14ac:dyDescent="0.45">
      <c r="A3" s="28" t="s">
        <v>2476</v>
      </c>
      <c r="B3" s="28" t="s">
        <v>5</v>
      </c>
      <c r="D3" s="28" t="s">
        <v>2476</v>
      </c>
      <c r="E3" s="28" t="s">
        <v>2448</v>
      </c>
      <c r="F3" t="s">
        <v>2765</v>
      </c>
    </row>
    <row r="4" spans="1:6" x14ac:dyDescent="0.45">
      <c r="A4" t="s">
        <v>194</v>
      </c>
      <c r="B4" t="s">
        <v>194</v>
      </c>
      <c r="D4" t="s">
        <v>175</v>
      </c>
      <c r="E4" s="29" t="s">
        <v>2455</v>
      </c>
      <c r="F4">
        <v>26</v>
      </c>
    </row>
    <row r="5" spans="1:6" x14ac:dyDescent="0.45">
      <c r="A5" t="s">
        <v>215</v>
      </c>
      <c r="B5" t="s">
        <v>213</v>
      </c>
      <c r="D5" t="s">
        <v>175</v>
      </c>
      <c r="E5" t="s">
        <v>1406</v>
      </c>
      <c r="F5">
        <v>2</v>
      </c>
    </row>
    <row r="6" spans="1:6" x14ac:dyDescent="0.45">
      <c r="A6" t="s">
        <v>215</v>
      </c>
      <c r="B6" t="s">
        <v>431</v>
      </c>
      <c r="D6" t="s">
        <v>2464</v>
      </c>
      <c r="E6" s="29" t="s">
        <v>2451</v>
      </c>
      <c r="F6">
        <v>26</v>
      </c>
    </row>
    <row r="7" spans="1:6" x14ac:dyDescent="0.45">
      <c r="A7" t="s">
        <v>215</v>
      </c>
      <c r="B7" t="s">
        <v>436</v>
      </c>
      <c r="D7" t="s">
        <v>2464</v>
      </c>
      <c r="E7" t="s">
        <v>2764</v>
      </c>
      <c r="F7">
        <v>1</v>
      </c>
    </row>
    <row r="8" spans="1:6" x14ac:dyDescent="0.45">
      <c r="A8" t="s">
        <v>215</v>
      </c>
      <c r="B8" t="s">
        <v>696</v>
      </c>
      <c r="D8" t="s">
        <v>2759</v>
      </c>
      <c r="E8" t="s">
        <v>2451</v>
      </c>
      <c r="F8">
        <v>12</v>
      </c>
    </row>
    <row r="9" spans="1:6" x14ac:dyDescent="0.45">
      <c r="A9" t="s">
        <v>215</v>
      </c>
      <c r="B9" t="s">
        <v>972</v>
      </c>
      <c r="D9" t="s">
        <v>2759</v>
      </c>
      <c r="E9" s="29" t="s">
        <v>2456</v>
      </c>
      <c r="F9">
        <v>9</v>
      </c>
    </row>
    <row r="10" spans="1:6" x14ac:dyDescent="0.45">
      <c r="A10" t="s">
        <v>215</v>
      </c>
      <c r="B10" t="s">
        <v>995</v>
      </c>
      <c r="D10" t="s">
        <v>2759</v>
      </c>
      <c r="E10" t="s">
        <v>2764</v>
      </c>
      <c r="F10">
        <v>4</v>
      </c>
    </row>
    <row r="11" spans="1:6" x14ac:dyDescent="0.45">
      <c r="A11" t="s">
        <v>319</v>
      </c>
      <c r="B11" t="s">
        <v>319</v>
      </c>
      <c r="D11" t="s">
        <v>2761</v>
      </c>
      <c r="E11" s="29" t="s">
        <v>2458</v>
      </c>
      <c r="F11">
        <v>21</v>
      </c>
    </row>
    <row r="12" spans="1:6" x14ac:dyDescent="0.45">
      <c r="A12" t="s">
        <v>370</v>
      </c>
      <c r="B12" t="s">
        <v>370</v>
      </c>
      <c r="D12" t="s">
        <v>2761</v>
      </c>
      <c r="E12" t="s">
        <v>1406</v>
      </c>
      <c r="F12">
        <v>2</v>
      </c>
    </row>
    <row r="13" spans="1:6" x14ac:dyDescent="0.45">
      <c r="A13" t="s">
        <v>175</v>
      </c>
      <c r="B13" t="s">
        <v>172</v>
      </c>
      <c r="D13" t="s">
        <v>328</v>
      </c>
      <c r="E13" s="29" t="s">
        <v>2457</v>
      </c>
      <c r="F13">
        <v>20</v>
      </c>
    </row>
    <row r="14" spans="1:6" x14ac:dyDescent="0.45">
      <c r="A14" t="s">
        <v>175</v>
      </c>
      <c r="B14" t="s">
        <v>188</v>
      </c>
      <c r="D14" t="s">
        <v>328</v>
      </c>
      <c r="E14" t="s">
        <v>2764</v>
      </c>
      <c r="F14">
        <v>2</v>
      </c>
    </row>
    <row r="15" spans="1:6" x14ac:dyDescent="0.45">
      <c r="A15" t="s">
        <v>175</v>
      </c>
      <c r="B15" t="s">
        <v>207</v>
      </c>
      <c r="D15" t="s">
        <v>273</v>
      </c>
      <c r="E15" s="29" t="s">
        <v>2457</v>
      </c>
      <c r="F15">
        <v>17</v>
      </c>
    </row>
    <row r="16" spans="1:6" x14ac:dyDescent="0.45">
      <c r="A16" t="s">
        <v>175</v>
      </c>
      <c r="B16" t="s">
        <v>2007</v>
      </c>
      <c r="D16" t="s">
        <v>2762</v>
      </c>
      <c r="E16" s="29" t="s">
        <v>2455</v>
      </c>
      <c r="F16">
        <v>12</v>
      </c>
    </row>
    <row r="17" spans="1:6" x14ac:dyDescent="0.45">
      <c r="A17" t="s">
        <v>175</v>
      </c>
      <c r="B17" t="s">
        <v>248</v>
      </c>
      <c r="D17" t="s">
        <v>2762</v>
      </c>
      <c r="E17" t="s">
        <v>2764</v>
      </c>
      <c r="F17">
        <v>1</v>
      </c>
    </row>
    <row r="18" spans="1:6" x14ac:dyDescent="0.45">
      <c r="A18" t="s">
        <v>175</v>
      </c>
      <c r="B18" t="s">
        <v>297</v>
      </c>
      <c r="D18" t="s">
        <v>338</v>
      </c>
      <c r="E18" s="29" t="s">
        <v>2458</v>
      </c>
      <c r="F18">
        <v>12</v>
      </c>
    </row>
    <row r="19" spans="1:6" x14ac:dyDescent="0.45">
      <c r="A19" t="s">
        <v>175</v>
      </c>
      <c r="B19" t="s">
        <v>331</v>
      </c>
      <c r="D19" t="s">
        <v>2758</v>
      </c>
      <c r="E19" s="29" t="s">
        <v>2453</v>
      </c>
      <c r="F19">
        <v>6</v>
      </c>
    </row>
    <row r="20" spans="1:6" x14ac:dyDescent="0.45">
      <c r="A20" t="s">
        <v>175</v>
      </c>
      <c r="B20" t="s">
        <v>376</v>
      </c>
      <c r="D20" t="s">
        <v>2758</v>
      </c>
      <c r="E20" s="1" t="s">
        <v>2198</v>
      </c>
      <c r="F20">
        <v>3</v>
      </c>
    </row>
    <row r="21" spans="1:6" x14ac:dyDescent="0.45">
      <c r="A21" t="s">
        <v>175</v>
      </c>
      <c r="B21" t="s">
        <v>475</v>
      </c>
      <c r="D21" t="s">
        <v>167</v>
      </c>
      <c r="E21" s="29" t="s">
        <v>2457</v>
      </c>
      <c r="F21">
        <v>9</v>
      </c>
    </row>
    <row r="22" spans="1:6" x14ac:dyDescent="0.45">
      <c r="A22" t="s">
        <v>175</v>
      </c>
      <c r="B22" t="s">
        <v>480</v>
      </c>
      <c r="D22" t="s">
        <v>2755</v>
      </c>
      <c r="E22" s="29" t="s">
        <v>2454</v>
      </c>
      <c r="F22">
        <v>6</v>
      </c>
    </row>
    <row r="23" spans="1:6" x14ac:dyDescent="0.45">
      <c r="A23" t="s">
        <v>175</v>
      </c>
      <c r="B23" t="s">
        <v>517</v>
      </c>
      <c r="D23" t="s">
        <v>2755</v>
      </c>
      <c r="E23" t="s">
        <v>2456</v>
      </c>
      <c r="F23">
        <v>2</v>
      </c>
    </row>
    <row r="24" spans="1:6" x14ac:dyDescent="0.45">
      <c r="A24" t="s">
        <v>175</v>
      </c>
      <c r="B24" t="s">
        <v>1896</v>
      </c>
      <c r="D24" t="s">
        <v>2756</v>
      </c>
      <c r="E24" s="29" t="s">
        <v>2454</v>
      </c>
      <c r="F24">
        <v>6</v>
      </c>
    </row>
    <row r="25" spans="1:6" x14ac:dyDescent="0.45">
      <c r="A25" t="s">
        <v>175</v>
      </c>
      <c r="B25" t="s">
        <v>655</v>
      </c>
      <c r="D25" t="s">
        <v>2756</v>
      </c>
      <c r="E25" t="s">
        <v>2458</v>
      </c>
      <c r="F25">
        <v>1</v>
      </c>
    </row>
    <row r="26" spans="1:6" x14ac:dyDescent="0.45">
      <c r="A26" t="s">
        <v>175</v>
      </c>
      <c r="B26" t="s">
        <v>660</v>
      </c>
      <c r="D26" t="s">
        <v>145</v>
      </c>
      <c r="E26" s="29" t="s">
        <v>2462</v>
      </c>
      <c r="F26">
        <v>5</v>
      </c>
    </row>
    <row r="27" spans="1:6" x14ac:dyDescent="0.45">
      <c r="A27" t="s">
        <v>175</v>
      </c>
      <c r="B27" t="s">
        <v>690</v>
      </c>
      <c r="D27" t="s">
        <v>145</v>
      </c>
      <c r="E27" t="s">
        <v>2457</v>
      </c>
      <c r="F27">
        <v>2</v>
      </c>
    </row>
    <row r="28" spans="1:6" x14ac:dyDescent="0.45">
      <c r="A28" t="s">
        <v>175</v>
      </c>
      <c r="B28" t="s">
        <v>761</v>
      </c>
      <c r="D28" t="s">
        <v>267</v>
      </c>
      <c r="E28" s="29" t="s">
        <v>2455</v>
      </c>
      <c r="F28">
        <v>7</v>
      </c>
    </row>
    <row r="29" spans="1:6" x14ac:dyDescent="0.45">
      <c r="A29" t="s">
        <v>175</v>
      </c>
      <c r="B29" t="s">
        <v>885</v>
      </c>
      <c r="D29" t="s">
        <v>215</v>
      </c>
      <c r="E29" t="s">
        <v>2458</v>
      </c>
      <c r="F29">
        <v>3</v>
      </c>
    </row>
    <row r="30" spans="1:6" x14ac:dyDescent="0.45">
      <c r="A30" t="s">
        <v>175</v>
      </c>
      <c r="B30" t="s">
        <v>929</v>
      </c>
      <c r="D30" t="s">
        <v>215</v>
      </c>
      <c r="E30" s="29" t="s">
        <v>2459</v>
      </c>
      <c r="F30">
        <v>2</v>
      </c>
    </row>
    <row r="31" spans="1:6" x14ac:dyDescent="0.45">
      <c r="A31" t="s">
        <v>175</v>
      </c>
      <c r="B31" t="s">
        <v>1071</v>
      </c>
      <c r="D31" t="s">
        <v>215</v>
      </c>
      <c r="E31" t="s">
        <v>2764</v>
      </c>
      <c r="F31">
        <v>1</v>
      </c>
    </row>
    <row r="32" spans="1:6" x14ac:dyDescent="0.45">
      <c r="A32" t="s">
        <v>175</v>
      </c>
      <c r="B32" t="s">
        <v>1141</v>
      </c>
      <c r="D32" t="s">
        <v>2757</v>
      </c>
      <c r="E32" s="29" t="s">
        <v>2198</v>
      </c>
      <c r="F32">
        <v>5</v>
      </c>
    </row>
    <row r="33" spans="1:6" x14ac:dyDescent="0.45">
      <c r="A33" t="s">
        <v>175</v>
      </c>
      <c r="B33" t="s">
        <v>1152</v>
      </c>
      <c r="D33" t="s">
        <v>2757</v>
      </c>
      <c r="E33" t="s">
        <v>2456</v>
      </c>
      <c r="F33">
        <v>1</v>
      </c>
    </row>
    <row r="34" spans="1:6" x14ac:dyDescent="0.45">
      <c r="A34" t="s">
        <v>175</v>
      </c>
      <c r="B34" t="s">
        <v>1157</v>
      </c>
      <c r="D34" t="s">
        <v>405</v>
      </c>
      <c r="E34" s="29" t="s">
        <v>2461</v>
      </c>
      <c r="F34">
        <v>4</v>
      </c>
    </row>
    <row r="35" spans="1:6" x14ac:dyDescent="0.45">
      <c r="A35" t="s">
        <v>175</v>
      </c>
      <c r="B35" t="s">
        <v>1163</v>
      </c>
      <c r="D35" t="s">
        <v>2763</v>
      </c>
      <c r="E35" s="29" t="s">
        <v>2457</v>
      </c>
      <c r="F35">
        <v>4</v>
      </c>
    </row>
    <row r="36" spans="1:6" x14ac:dyDescent="0.45">
      <c r="A36" t="s">
        <v>175</v>
      </c>
      <c r="B36" t="s">
        <v>1173</v>
      </c>
      <c r="D36" t="s">
        <v>2760</v>
      </c>
      <c r="E36" t="s">
        <v>2460</v>
      </c>
      <c r="F36">
        <v>1</v>
      </c>
    </row>
    <row r="37" spans="1:6" x14ac:dyDescent="0.45">
      <c r="A37" t="s">
        <v>175</v>
      </c>
      <c r="B37" t="s">
        <v>2184</v>
      </c>
      <c r="D37" t="s">
        <v>2760</v>
      </c>
      <c r="E37" s="29" t="s">
        <v>2455</v>
      </c>
      <c r="F37">
        <v>1</v>
      </c>
    </row>
    <row r="38" spans="1:6" x14ac:dyDescent="0.45">
      <c r="A38" t="s">
        <v>175</v>
      </c>
      <c r="B38" t="s">
        <v>1344</v>
      </c>
      <c r="D38" t="s">
        <v>2760</v>
      </c>
      <c r="E38" t="s">
        <v>2451</v>
      </c>
      <c r="F38">
        <v>1</v>
      </c>
    </row>
    <row r="39" spans="1:6" x14ac:dyDescent="0.45">
      <c r="A39" t="s">
        <v>175</v>
      </c>
      <c r="B39" t="s">
        <v>1366</v>
      </c>
      <c r="D39" t="s">
        <v>903</v>
      </c>
      <c r="E39" s="29" t="s">
        <v>2460</v>
      </c>
      <c r="F39">
        <v>1</v>
      </c>
    </row>
    <row r="40" spans="1:6" x14ac:dyDescent="0.45">
      <c r="A40" t="s">
        <v>175</v>
      </c>
      <c r="B40" t="s">
        <v>1412</v>
      </c>
      <c r="D40" t="s">
        <v>370</v>
      </c>
      <c r="E40" s="29" t="s">
        <v>2460</v>
      </c>
      <c r="F40">
        <v>1</v>
      </c>
    </row>
    <row r="41" spans="1:6" x14ac:dyDescent="0.45">
      <c r="A41" t="s">
        <v>267</v>
      </c>
      <c r="B41" t="s">
        <v>265</v>
      </c>
      <c r="D41" t="s">
        <v>194</v>
      </c>
      <c r="E41" s="29" t="s">
        <v>2455</v>
      </c>
      <c r="F41">
        <v>1</v>
      </c>
    </row>
    <row r="42" spans="1:6" x14ac:dyDescent="0.45">
      <c r="A42" t="s">
        <v>267</v>
      </c>
      <c r="B42" t="s">
        <v>461</v>
      </c>
      <c r="D42" t="s">
        <v>722</v>
      </c>
      <c r="E42" s="29" t="s">
        <v>1968</v>
      </c>
      <c r="F42">
        <v>1</v>
      </c>
    </row>
    <row r="43" spans="1:6" x14ac:dyDescent="0.45">
      <c r="A43" t="s">
        <v>267</v>
      </c>
      <c r="B43" t="s">
        <v>538</v>
      </c>
      <c r="D43" t="s">
        <v>400</v>
      </c>
      <c r="E43" s="29" t="s">
        <v>2455</v>
      </c>
      <c r="F43">
        <v>1</v>
      </c>
    </row>
    <row r="44" spans="1:6" x14ac:dyDescent="0.45">
      <c r="A44" t="s">
        <v>267</v>
      </c>
      <c r="B44" t="s">
        <v>668</v>
      </c>
      <c r="D44" t="s">
        <v>766</v>
      </c>
      <c r="E44" s="29" t="s">
        <v>2463</v>
      </c>
      <c r="F44">
        <v>1</v>
      </c>
    </row>
    <row r="45" spans="1:6" x14ac:dyDescent="0.45">
      <c r="A45" t="s">
        <v>267</v>
      </c>
      <c r="B45" t="s">
        <v>706</v>
      </c>
      <c r="D45" t="s">
        <v>425</v>
      </c>
      <c r="E45" s="29" t="s">
        <v>2463</v>
      </c>
      <c r="F45">
        <v>1</v>
      </c>
    </row>
    <row r="46" spans="1:6" x14ac:dyDescent="0.45">
      <c r="A46" t="s">
        <v>267</v>
      </c>
      <c r="B46" t="s">
        <v>977</v>
      </c>
      <c r="D46" t="s">
        <v>1307</v>
      </c>
      <c r="E46" s="29" t="s">
        <v>2451</v>
      </c>
      <c r="F46">
        <v>1</v>
      </c>
    </row>
    <row r="47" spans="1:6" x14ac:dyDescent="0.45">
      <c r="A47" t="s">
        <v>267</v>
      </c>
      <c r="B47" t="s">
        <v>1033</v>
      </c>
      <c r="D47" t="s">
        <v>319</v>
      </c>
      <c r="E47" s="29" t="s">
        <v>1949</v>
      </c>
      <c r="F47">
        <v>1</v>
      </c>
    </row>
    <row r="48" spans="1:6" x14ac:dyDescent="0.45">
      <c r="A48" t="s">
        <v>2755</v>
      </c>
      <c r="B48" t="s">
        <v>200</v>
      </c>
      <c r="D48" t="s">
        <v>1390</v>
      </c>
      <c r="E48" s="29" t="s">
        <v>2451</v>
      </c>
      <c r="F48">
        <v>1</v>
      </c>
    </row>
    <row r="49" spans="1:6" x14ac:dyDescent="0.45">
      <c r="A49" t="s">
        <v>2755</v>
      </c>
      <c r="B49" t="s">
        <v>227</v>
      </c>
      <c r="D49" t="s">
        <v>1851</v>
      </c>
      <c r="E49" s="29" t="s">
        <v>1406</v>
      </c>
      <c r="F49">
        <v>1</v>
      </c>
    </row>
    <row r="50" spans="1:6" x14ac:dyDescent="0.45">
      <c r="A50" t="s">
        <v>2755</v>
      </c>
      <c r="B50" t="s">
        <v>627</v>
      </c>
      <c r="D50" t="s">
        <v>1253</v>
      </c>
      <c r="E50" s="29" t="s">
        <v>2457</v>
      </c>
      <c r="F50">
        <v>1</v>
      </c>
    </row>
    <row r="51" spans="1:6" x14ac:dyDescent="0.45">
      <c r="A51" t="s">
        <v>2755</v>
      </c>
      <c r="B51" t="s">
        <v>781</v>
      </c>
      <c r="D51" t="s">
        <v>1761</v>
      </c>
      <c r="E51" s="29" t="s">
        <v>2200</v>
      </c>
      <c r="F51">
        <v>1</v>
      </c>
    </row>
    <row r="52" spans="1:6" x14ac:dyDescent="0.45">
      <c r="A52" t="s">
        <v>2755</v>
      </c>
      <c r="B52" t="s">
        <v>800</v>
      </c>
      <c r="D52" t="s">
        <v>1079</v>
      </c>
      <c r="E52" s="29" t="s">
        <v>2463</v>
      </c>
      <c r="F52">
        <v>1</v>
      </c>
    </row>
    <row r="53" spans="1:6" x14ac:dyDescent="0.45">
      <c r="A53" t="s">
        <v>2755</v>
      </c>
      <c r="B53" t="s">
        <v>1318</v>
      </c>
    </row>
    <row r="54" spans="1:6" x14ac:dyDescent="0.45">
      <c r="A54" t="s">
        <v>2755</v>
      </c>
      <c r="B54" t="s">
        <v>1360</v>
      </c>
    </row>
    <row r="55" spans="1:6" x14ac:dyDescent="0.45">
      <c r="A55" t="s">
        <v>2755</v>
      </c>
      <c r="B55" t="s">
        <v>1423</v>
      </c>
    </row>
    <row r="56" spans="1:6" x14ac:dyDescent="0.45">
      <c r="A56" t="s">
        <v>400</v>
      </c>
      <c r="B56" t="s">
        <v>400</v>
      </c>
    </row>
    <row r="57" spans="1:6" x14ac:dyDescent="0.45">
      <c r="A57" t="s">
        <v>405</v>
      </c>
      <c r="B57" t="s">
        <v>405</v>
      </c>
    </row>
    <row r="58" spans="1:6" x14ac:dyDescent="0.45">
      <c r="A58" t="s">
        <v>405</v>
      </c>
      <c r="B58" t="s">
        <v>412</v>
      </c>
    </row>
    <row r="59" spans="1:6" x14ac:dyDescent="0.45">
      <c r="A59" t="s">
        <v>405</v>
      </c>
      <c r="B59" t="s">
        <v>419</v>
      </c>
    </row>
    <row r="60" spans="1:6" x14ac:dyDescent="0.45">
      <c r="A60" t="s">
        <v>405</v>
      </c>
      <c r="B60" t="s">
        <v>920</v>
      </c>
    </row>
    <row r="61" spans="1:6" x14ac:dyDescent="0.45">
      <c r="A61" t="s">
        <v>425</v>
      </c>
      <c r="B61" t="s">
        <v>425</v>
      </c>
    </row>
    <row r="62" spans="1:6" x14ac:dyDescent="0.45">
      <c r="A62" t="s">
        <v>328</v>
      </c>
      <c r="B62" t="s">
        <v>325</v>
      </c>
    </row>
    <row r="63" spans="1:6" x14ac:dyDescent="0.45">
      <c r="A63" t="s">
        <v>328</v>
      </c>
      <c r="B63" t="s">
        <v>350</v>
      </c>
    </row>
    <row r="64" spans="1:6" x14ac:dyDescent="0.45">
      <c r="A64" t="s">
        <v>328</v>
      </c>
      <c r="B64" t="s">
        <v>2008</v>
      </c>
    </row>
    <row r="65" spans="1:2" x14ac:dyDescent="0.45">
      <c r="A65" t="s">
        <v>328</v>
      </c>
      <c r="B65" t="s">
        <v>513</v>
      </c>
    </row>
    <row r="66" spans="1:2" x14ac:dyDescent="0.45">
      <c r="A66" t="s">
        <v>328</v>
      </c>
      <c r="B66" t="s">
        <v>547</v>
      </c>
    </row>
    <row r="67" spans="1:2" x14ac:dyDescent="0.45">
      <c r="A67" t="s">
        <v>328</v>
      </c>
      <c r="B67" t="s">
        <v>560</v>
      </c>
    </row>
    <row r="68" spans="1:2" x14ac:dyDescent="0.45">
      <c r="A68" t="s">
        <v>328</v>
      </c>
      <c r="B68" t="s">
        <v>613</v>
      </c>
    </row>
    <row r="69" spans="1:2" x14ac:dyDescent="0.45">
      <c r="A69" t="s">
        <v>328</v>
      </c>
      <c r="B69" t="s">
        <v>786</v>
      </c>
    </row>
    <row r="70" spans="1:2" x14ac:dyDescent="0.45">
      <c r="A70" t="s">
        <v>328</v>
      </c>
      <c r="B70" t="s">
        <v>853</v>
      </c>
    </row>
    <row r="71" spans="1:2" x14ac:dyDescent="0.45">
      <c r="A71" t="s">
        <v>328</v>
      </c>
      <c r="B71" t="s">
        <v>857</v>
      </c>
    </row>
    <row r="72" spans="1:2" x14ac:dyDescent="0.45">
      <c r="A72" t="s">
        <v>328</v>
      </c>
      <c r="B72" t="s">
        <v>894</v>
      </c>
    </row>
    <row r="73" spans="1:2" x14ac:dyDescent="0.45">
      <c r="A73" t="s">
        <v>328</v>
      </c>
      <c r="B73" t="s">
        <v>900</v>
      </c>
    </row>
    <row r="74" spans="1:2" x14ac:dyDescent="0.45">
      <c r="A74" t="s">
        <v>328</v>
      </c>
      <c r="B74" t="s">
        <v>938</v>
      </c>
    </row>
    <row r="75" spans="1:2" x14ac:dyDescent="0.45">
      <c r="A75" t="s">
        <v>328</v>
      </c>
      <c r="B75" t="s">
        <v>1120</v>
      </c>
    </row>
    <row r="76" spans="1:2" x14ac:dyDescent="0.45">
      <c r="A76" t="s">
        <v>328</v>
      </c>
      <c r="B76" t="s">
        <v>1136</v>
      </c>
    </row>
    <row r="77" spans="1:2" x14ac:dyDescent="0.45">
      <c r="A77" t="s">
        <v>328</v>
      </c>
      <c r="B77" t="s">
        <v>1210</v>
      </c>
    </row>
    <row r="78" spans="1:2" x14ac:dyDescent="0.45">
      <c r="A78" t="s">
        <v>328</v>
      </c>
      <c r="B78" t="s">
        <v>1248</v>
      </c>
    </row>
    <row r="79" spans="1:2" x14ac:dyDescent="0.45">
      <c r="A79" t="s">
        <v>328</v>
      </c>
      <c r="B79" t="s">
        <v>1266</v>
      </c>
    </row>
    <row r="80" spans="1:2" x14ac:dyDescent="0.45">
      <c r="A80" t="s">
        <v>328</v>
      </c>
      <c r="B80" t="s">
        <v>1374</v>
      </c>
    </row>
    <row r="81" spans="1:2" x14ac:dyDescent="0.45">
      <c r="A81" t="s">
        <v>328</v>
      </c>
      <c r="B81" t="s">
        <v>1903</v>
      </c>
    </row>
    <row r="82" spans="1:2" x14ac:dyDescent="0.45">
      <c r="A82" t="s">
        <v>328</v>
      </c>
      <c r="B82" t="s">
        <v>1462</v>
      </c>
    </row>
    <row r="83" spans="1:2" x14ac:dyDescent="0.45">
      <c r="A83" t="s">
        <v>328</v>
      </c>
      <c r="B83" t="s">
        <v>1467</v>
      </c>
    </row>
    <row r="84" spans="1:2" x14ac:dyDescent="0.45">
      <c r="A84" t="s">
        <v>2464</v>
      </c>
      <c r="B84" t="s">
        <v>221</v>
      </c>
    </row>
    <row r="85" spans="1:2" x14ac:dyDescent="0.45">
      <c r="A85" t="s">
        <v>2464</v>
      </c>
      <c r="B85" t="s">
        <v>260</v>
      </c>
    </row>
    <row r="86" spans="1:2" x14ac:dyDescent="0.45">
      <c r="A86" t="s">
        <v>2464</v>
      </c>
      <c r="B86" t="s">
        <v>342</v>
      </c>
    </row>
    <row r="87" spans="1:2" x14ac:dyDescent="0.45">
      <c r="A87" t="s">
        <v>2464</v>
      </c>
      <c r="B87" t="s">
        <v>469</v>
      </c>
    </row>
    <row r="88" spans="1:2" x14ac:dyDescent="0.45">
      <c r="A88" t="s">
        <v>2464</v>
      </c>
      <c r="B88" t="s">
        <v>484</v>
      </c>
    </row>
    <row r="89" spans="1:2" x14ac:dyDescent="0.45">
      <c r="A89" t="s">
        <v>2464</v>
      </c>
      <c r="B89" t="s">
        <v>489</v>
      </c>
    </row>
    <row r="90" spans="1:2" x14ac:dyDescent="0.45">
      <c r="A90" t="s">
        <v>2464</v>
      </c>
      <c r="B90" t="s">
        <v>507</v>
      </c>
    </row>
    <row r="91" spans="1:2" x14ac:dyDescent="0.45">
      <c r="A91" t="s">
        <v>2464</v>
      </c>
      <c r="B91" t="s">
        <v>552</v>
      </c>
    </row>
    <row r="92" spans="1:2" x14ac:dyDescent="0.45">
      <c r="A92" t="s">
        <v>2464</v>
      </c>
      <c r="B92" t="s">
        <v>592</v>
      </c>
    </row>
    <row r="93" spans="1:2" x14ac:dyDescent="0.45">
      <c r="A93" t="s">
        <v>2464</v>
      </c>
      <c r="B93" t="s">
        <v>597</v>
      </c>
    </row>
    <row r="94" spans="1:2" x14ac:dyDescent="0.45">
      <c r="A94" t="s">
        <v>2464</v>
      </c>
      <c r="B94" t="s">
        <v>632</v>
      </c>
    </row>
    <row r="95" spans="1:2" x14ac:dyDescent="0.45">
      <c r="A95" t="s">
        <v>2464</v>
      </c>
      <c r="B95" t="s">
        <v>645</v>
      </c>
    </row>
    <row r="96" spans="1:2" x14ac:dyDescent="0.45">
      <c r="A96" t="s">
        <v>2464</v>
      </c>
      <c r="B96" t="s">
        <v>710</v>
      </c>
    </row>
    <row r="97" spans="1:2" x14ac:dyDescent="0.45">
      <c r="A97" t="s">
        <v>2464</v>
      </c>
      <c r="B97" t="s">
        <v>741</v>
      </c>
    </row>
    <row r="98" spans="1:2" x14ac:dyDescent="0.45">
      <c r="A98" t="s">
        <v>2464</v>
      </c>
      <c r="B98" t="s">
        <v>756</v>
      </c>
    </row>
    <row r="99" spans="1:2" x14ac:dyDescent="0.45">
      <c r="A99" t="s">
        <v>2464</v>
      </c>
      <c r="B99" t="s">
        <v>813</v>
      </c>
    </row>
    <row r="100" spans="1:2" x14ac:dyDescent="0.45">
      <c r="A100" t="s">
        <v>2464</v>
      </c>
      <c r="B100" t="s">
        <v>844</v>
      </c>
    </row>
    <row r="101" spans="1:2" x14ac:dyDescent="0.45">
      <c r="A101" t="s">
        <v>2464</v>
      </c>
      <c r="B101" t="s">
        <v>849</v>
      </c>
    </row>
    <row r="102" spans="1:2" x14ac:dyDescent="0.45">
      <c r="A102" t="s">
        <v>2464</v>
      </c>
      <c r="B102" t="s">
        <v>876</v>
      </c>
    </row>
    <row r="103" spans="1:2" x14ac:dyDescent="0.45">
      <c r="A103" t="s">
        <v>2464</v>
      </c>
      <c r="B103" t="s">
        <v>1944</v>
      </c>
    </row>
    <row r="104" spans="1:2" x14ac:dyDescent="0.45">
      <c r="A104" t="s">
        <v>2464</v>
      </c>
      <c r="B104" t="s">
        <v>1062</v>
      </c>
    </row>
    <row r="105" spans="1:2" x14ac:dyDescent="0.45">
      <c r="A105" t="s">
        <v>2464</v>
      </c>
      <c r="B105" t="s">
        <v>1068</v>
      </c>
    </row>
    <row r="106" spans="1:2" x14ac:dyDescent="0.45">
      <c r="A106" t="s">
        <v>2464</v>
      </c>
      <c r="B106" t="s">
        <v>1124</v>
      </c>
    </row>
    <row r="107" spans="1:2" x14ac:dyDescent="0.45">
      <c r="A107" t="s">
        <v>2464</v>
      </c>
      <c r="B107" t="s">
        <v>1231</v>
      </c>
    </row>
    <row r="108" spans="1:2" x14ac:dyDescent="0.45">
      <c r="A108" t="s">
        <v>2464</v>
      </c>
      <c r="B108" t="s">
        <v>1236</v>
      </c>
    </row>
    <row r="109" spans="1:2" x14ac:dyDescent="0.45">
      <c r="A109" t="s">
        <v>2464</v>
      </c>
      <c r="B109" t="s">
        <v>1272</v>
      </c>
    </row>
    <row r="110" spans="1:2" x14ac:dyDescent="0.45">
      <c r="A110" t="s">
        <v>2464</v>
      </c>
      <c r="B110" t="s">
        <v>1301</v>
      </c>
    </row>
    <row r="111" spans="1:2" x14ac:dyDescent="0.45">
      <c r="A111" t="s">
        <v>722</v>
      </c>
      <c r="B111" t="s">
        <v>722</v>
      </c>
    </row>
    <row r="112" spans="1:2" x14ac:dyDescent="0.45">
      <c r="A112" t="s">
        <v>2510</v>
      </c>
      <c r="B112" t="s">
        <v>2398</v>
      </c>
    </row>
    <row r="113" spans="1:2" x14ac:dyDescent="0.45">
      <c r="A113" t="s">
        <v>2510</v>
      </c>
      <c r="B113" t="s">
        <v>2399</v>
      </c>
    </row>
    <row r="114" spans="1:2" x14ac:dyDescent="0.45">
      <c r="A114" t="s">
        <v>2510</v>
      </c>
      <c r="B114" t="s">
        <v>2496</v>
      </c>
    </row>
    <row r="115" spans="1:2" x14ac:dyDescent="0.45">
      <c r="A115" t="s">
        <v>2510</v>
      </c>
      <c r="B115" t="s">
        <v>2498</v>
      </c>
    </row>
    <row r="116" spans="1:2" x14ac:dyDescent="0.45">
      <c r="A116" t="s">
        <v>2510</v>
      </c>
      <c r="B116" t="s">
        <v>2400</v>
      </c>
    </row>
    <row r="117" spans="1:2" x14ac:dyDescent="0.45">
      <c r="A117" t="s">
        <v>766</v>
      </c>
      <c r="B117" t="s">
        <v>766</v>
      </c>
    </row>
    <row r="118" spans="1:2" x14ac:dyDescent="0.45">
      <c r="A118" t="s">
        <v>2757</v>
      </c>
      <c r="B118" t="s">
        <v>751</v>
      </c>
    </row>
    <row r="119" spans="1:2" x14ac:dyDescent="0.45">
      <c r="A119" t="s">
        <v>2757</v>
      </c>
      <c r="B119" t="s">
        <v>775</v>
      </c>
    </row>
    <row r="120" spans="1:2" x14ac:dyDescent="0.45">
      <c r="A120" t="s">
        <v>2757</v>
      </c>
      <c r="B120" t="s">
        <v>819</v>
      </c>
    </row>
    <row r="121" spans="1:2" x14ac:dyDescent="0.45">
      <c r="A121" t="s">
        <v>2757</v>
      </c>
      <c r="B121" t="s">
        <v>2180</v>
      </c>
    </row>
    <row r="122" spans="1:2" x14ac:dyDescent="0.45">
      <c r="A122" t="s">
        <v>2757</v>
      </c>
      <c r="B122" t="s">
        <v>2178</v>
      </c>
    </row>
    <row r="123" spans="1:2" x14ac:dyDescent="0.45">
      <c r="A123" t="s">
        <v>2757</v>
      </c>
      <c r="B123" t="s">
        <v>1356</v>
      </c>
    </row>
    <row r="124" spans="1:2" x14ac:dyDescent="0.45">
      <c r="A124" t="s">
        <v>903</v>
      </c>
      <c r="B124" t="s">
        <v>903</v>
      </c>
    </row>
    <row r="125" spans="1:2" x14ac:dyDescent="0.45">
      <c r="A125" t="s">
        <v>167</v>
      </c>
      <c r="B125" t="s">
        <v>165</v>
      </c>
    </row>
    <row r="126" spans="1:2" x14ac:dyDescent="0.45">
      <c r="A126" t="s">
        <v>167</v>
      </c>
      <c r="B126" t="s">
        <v>364</v>
      </c>
    </row>
    <row r="127" spans="1:2" x14ac:dyDescent="0.45">
      <c r="A127" t="s">
        <v>167</v>
      </c>
      <c r="B127" t="s">
        <v>1894</v>
      </c>
    </row>
    <row r="128" spans="1:2" x14ac:dyDescent="0.45">
      <c r="A128" t="s">
        <v>167</v>
      </c>
      <c r="B128" t="s">
        <v>392</v>
      </c>
    </row>
    <row r="129" spans="1:2" x14ac:dyDescent="0.45">
      <c r="A129" t="s">
        <v>167</v>
      </c>
      <c r="B129" t="s">
        <v>2009</v>
      </c>
    </row>
    <row r="130" spans="1:2" x14ac:dyDescent="0.45">
      <c r="A130" t="s">
        <v>167</v>
      </c>
      <c r="B130" t="s">
        <v>1895</v>
      </c>
    </row>
    <row r="131" spans="1:2" x14ac:dyDescent="0.45">
      <c r="A131" t="s">
        <v>167</v>
      </c>
      <c r="B131" t="s">
        <v>542</v>
      </c>
    </row>
    <row r="132" spans="1:2" x14ac:dyDescent="0.45">
      <c r="A132" t="s">
        <v>167</v>
      </c>
      <c r="B132" t="s">
        <v>618</v>
      </c>
    </row>
    <row r="133" spans="1:2" x14ac:dyDescent="0.45">
      <c r="A133" t="s">
        <v>167</v>
      </c>
      <c r="B133" t="s">
        <v>1186</v>
      </c>
    </row>
    <row r="134" spans="1:2" x14ac:dyDescent="0.45">
      <c r="A134" t="s">
        <v>2759</v>
      </c>
      <c r="B134" t="s">
        <v>124</v>
      </c>
    </row>
    <row r="135" spans="1:2" x14ac:dyDescent="0.45">
      <c r="A135" t="s">
        <v>2759</v>
      </c>
      <c r="B135" t="s">
        <v>135</v>
      </c>
    </row>
    <row r="136" spans="1:2" x14ac:dyDescent="0.45">
      <c r="A136" t="s">
        <v>2759</v>
      </c>
      <c r="B136" t="s">
        <v>161</v>
      </c>
    </row>
    <row r="137" spans="1:2" x14ac:dyDescent="0.45">
      <c r="A137" t="s">
        <v>2759</v>
      </c>
      <c r="B137" t="s">
        <v>253</v>
      </c>
    </row>
    <row r="138" spans="1:2" x14ac:dyDescent="0.45">
      <c r="A138" t="s">
        <v>2759</v>
      </c>
      <c r="B138" t="s">
        <v>302</v>
      </c>
    </row>
    <row r="139" spans="1:2" x14ac:dyDescent="0.45">
      <c r="A139" t="s">
        <v>2759</v>
      </c>
      <c r="B139" t="s">
        <v>395</v>
      </c>
    </row>
    <row r="140" spans="1:2" x14ac:dyDescent="0.45">
      <c r="A140" t="s">
        <v>2759</v>
      </c>
      <c r="B140" t="s">
        <v>581</v>
      </c>
    </row>
    <row r="141" spans="1:2" x14ac:dyDescent="0.45">
      <c r="A141" t="s">
        <v>2759</v>
      </c>
      <c r="B141" t="s">
        <v>641</v>
      </c>
    </row>
    <row r="142" spans="1:2" x14ac:dyDescent="0.45">
      <c r="A142" t="s">
        <v>2759</v>
      </c>
      <c r="B142" t="s">
        <v>672</v>
      </c>
    </row>
    <row r="143" spans="1:2" x14ac:dyDescent="0.45">
      <c r="A143" t="s">
        <v>2759</v>
      </c>
      <c r="B143" t="s">
        <v>1897</v>
      </c>
    </row>
    <row r="144" spans="1:2" x14ac:dyDescent="0.45">
      <c r="A144" t="s">
        <v>2759</v>
      </c>
      <c r="B144" t="s">
        <v>716</v>
      </c>
    </row>
    <row r="145" spans="1:2" x14ac:dyDescent="0.45">
      <c r="A145" t="s">
        <v>2759</v>
      </c>
      <c r="B145" t="s">
        <v>746</v>
      </c>
    </row>
    <row r="146" spans="1:2" x14ac:dyDescent="0.45">
      <c r="A146" t="s">
        <v>2759</v>
      </c>
      <c r="B146" t="s">
        <v>772</v>
      </c>
    </row>
    <row r="147" spans="1:2" x14ac:dyDescent="0.45">
      <c r="A147" t="s">
        <v>2759</v>
      </c>
      <c r="B147" t="s">
        <v>1697</v>
      </c>
    </row>
    <row r="148" spans="1:2" x14ac:dyDescent="0.45">
      <c r="A148" t="s">
        <v>2759</v>
      </c>
      <c r="B148" t="s">
        <v>840</v>
      </c>
    </row>
    <row r="149" spans="1:2" x14ac:dyDescent="0.45">
      <c r="A149" t="s">
        <v>2759</v>
      </c>
      <c r="B149" t="s">
        <v>916</v>
      </c>
    </row>
    <row r="150" spans="1:2" x14ac:dyDescent="0.45">
      <c r="A150" t="s">
        <v>2759</v>
      </c>
      <c r="B150" t="s">
        <v>925</v>
      </c>
    </row>
    <row r="151" spans="1:2" x14ac:dyDescent="0.45">
      <c r="A151" t="s">
        <v>2759</v>
      </c>
      <c r="B151" t="s">
        <v>1091</v>
      </c>
    </row>
    <row r="152" spans="1:2" x14ac:dyDescent="0.45">
      <c r="A152" t="s">
        <v>2759</v>
      </c>
      <c r="B152" t="s">
        <v>1008</v>
      </c>
    </row>
    <row r="153" spans="1:2" x14ac:dyDescent="0.45">
      <c r="A153" t="s">
        <v>2759</v>
      </c>
      <c r="B153" t="s">
        <v>1901</v>
      </c>
    </row>
    <row r="154" spans="1:2" x14ac:dyDescent="0.45">
      <c r="A154" t="s">
        <v>2759</v>
      </c>
      <c r="B154" t="s">
        <v>1182</v>
      </c>
    </row>
    <row r="155" spans="1:2" x14ac:dyDescent="0.45">
      <c r="A155" t="s">
        <v>2759</v>
      </c>
      <c r="B155" t="s">
        <v>1191</v>
      </c>
    </row>
    <row r="156" spans="1:2" x14ac:dyDescent="0.45">
      <c r="A156" t="s">
        <v>2759</v>
      </c>
      <c r="B156" t="s">
        <v>1205</v>
      </c>
    </row>
    <row r="157" spans="1:2" x14ac:dyDescent="0.45">
      <c r="A157" t="s">
        <v>2759</v>
      </c>
      <c r="B157" t="s">
        <v>1296</v>
      </c>
    </row>
    <row r="158" spans="1:2" x14ac:dyDescent="0.45">
      <c r="A158" t="s">
        <v>2759</v>
      </c>
      <c r="B158" t="s">
        <v>1379</v>
      </c>
    </row>
    <row r="159" spans="1:2" x14ac:dyDescent="0.45">
      <c r="A159" t="s">
        <v>145</v>
      </c>
      <c r="B159" t="s">
        <v>142</v>
      </c>
    </row>
    <row r="160" spans="1:2" x14ac:dyDescent="0.45">
      <c r="A160" t="s">
        <v>145</v>
      </c>
      <c r="B160" t="s">
        <v>532</v>
      </c>
    </row>
    <row r="161" spans="1:2" x14ac:dyDescent="0.45">
      <c r="A161" t="s">
        <v>145</v>
      </c>
      <c r="B161" t="s">
        <v>834</v>
      </c>
    </row>
    <row r="162" spans="1:2" x14ac:dyDescent="0.45">
      <c r="A162" t="s">
        <v>145</v>
      </c>
      <c r="B162" t="s">
        <v>932</v>
      </c>
    </row>
    <row r="163" spans="1:2" x14ac:dyDescent="0.45">
      <c r="A163" t="s">
        <v>145</v>
      </c>
      <c r="B163" t="s">
        <v>2014</v>
      </c>
    </row>
    <row r="164" spans="1:2" x14ac:dyDescent="0.45">
      <c r="A164" t="s">
        <v>145</v>
      </c>
      <c r="B164" t="s">
        <v>1350</v>
      </c>
    </row>
    <row r="165" spans="1:2" x14ac:dyDescent="0.45">
      <c r="A165" t="s">
        <v>145</v>
      </c>
      <c r="B165" t="s">
        <v>1449</v>
      </c>
    </row>
    <row r="166" spans="1:2" x14ac:dyDescent="0.45">
      <c r="A166" t="s">
        <v>2760</v>
      </c>
      <c r="B166" t="s">
        <v>277</v>
      </c>
    </row>
    <row r="167" spans="1:2" x14ac:dyDescent="0.45">
      <c r="A167" t="s">
        <v>2760</v>
      </c>
      <c r="B167" t="s">
        <v>650</v>
      </c>
    </row>
    <row r="168" spans="1:2" x14ac:dyDescent="0.45">
      <c r="A168" t="s">
        <v>2760</v>
      </c>
      <c r="B168" t="s">
        <v>1168</v>
      </c>
    </row>
    <row r="169" spans="1:2" x14ac:dyDescent="0.45">
      <c r="A169" t="s">
        <v>2758</v>
      </c>
      <c r="B169" t="s">
        <v>237</v>
      </c>
    </row>
    <row r="170" spans="1:2" x14ac:dyDescent="0.45">
      <c r="A170" t="s">
        <v>2758</v>
      </c>
      <c r="B170" t="s">
        <v>731</v>
      </c>
    </row>
    <row r="171" spans="1:2" x14ac:dyDescent="0.45">
      <c r="A171" t="s">
        <v>2758</v>
      </c>
      <c r="B171" t="s">
        <v>737</v>
      </c>
    </row>
    <row r="172" spans="1:2" x14ac:dyDescent="0.45">
      <c r="A172" t="s">
        <v>2758</v>
      </c>
      <c r="B172" t="s">
        <v>795</v>
      </c>
    </row>
    <row r="173" spans="1:2" x14ac:dyDescent="0.45">
      <c r="A173" t="s">
        <v>2758</v>
      </c>
      <c r="B173" t="s">
        <v>1015</v>
      </c>
    </row>
    <row r="174" spans="1:2" x14ac:dyDescent="0.45">
      <c r="A174" t="s">
        <v>2758</v>
      </c>
      <c r="B174" t="s">
        <v>1075</v>
      </c>
    </row>
    <row r="175" spans="1:2" x14ac:dyDescent="0.45">
      <c r="A175" t="s">
        <v>2758</v>
      </c>
      <c r="B175" t="s">
        <v>1195</v>
      </c>
    </row>
    <row r="176" spans="1:2" x14ac:dyDescent="0.45">
      <c r="A176" t="s">
        <v>2758</v>
      </c>
      <c r="B176" t="s">
        <v>1904</v>
      </c>
    </row>
    <row r="177" spans="1:2" x14ac:dyDescent="0.45">
      <c r="A177" t="s">
        <v>2758</v>
      </c>
      <c r="B177" t="s">
        <v>1457</v>
      </c>
    </row>
    <row r="178" spans="1:2" x14ac:dyDescent="0.45">
      <c r="A178" t="s">
        <v>1079</v>
      </c>
      <c r="B178" t="s">
        <v>1899</v>
      </c>
    </row>
    <row r="179" spans="1:2" x14ac:dyDescent="0.45">
      <c r="A179" t="s">
        <v>1761</v>
      </c>
      <c r="B179" t="s">
        <v>1902</v>
      </c>
    </row>
    <row r="180" spans="1:2" x14ac:dyDescent="0.45">
      <c r="A180" t="s">
        <v>1253</v>
      </c>
      <c r="B180" t="s">
        <v>1253</v>
      </c>
    </row>
    <row r="181" spans="1:2" x14ac:dyDescent="0.45">
      <c r="A181" t="s">
        <v>2762</v>
      </c>
      <c r="B181" t="s">
        <v>291</v>
      </c>
    </row>
    <row r="182" spans="1:2" x14ac:dyDescent="0.45">
      <c r="A182" t="s">
        <v>2762</v>
      </c>
      <c r="B182" t="s">
        <v>313</v>
      </c>
    </row>
    <row r="183" spans="1:2" x14ac:dyDescent="0.45">
      <c r="A183" t="s">
        <v>2762</v>
      </c>
      <c r="B183" t="s">
        <v>441</v>
      </c>
    </row>
    <row r="184" spans="1:2" x14ac:dyDescent="0.45">
      <c r="A184" t="s">
        <v>2762</v>
      </c>
      <c r="B184" t="s">
        <v>528</v>
      </c>
    </row>
    <row r="185" spans="1:2" x14ac:dyDescent="0.45">
      <c r="A185" t="s">
        <v>2762</v>
      </c>
      <c r="B185" t="s">
        <v>575</v>
      </c>
    </row>
    <row r="186" spans="1:2" x14ac:dyDescent="0.45">
      <c r="A186" t="s">
        <v>2762</v>
      </c>
      <c r="B186" t="s">
        <v>601</v>
      </c>
    </row>
    <row r="187" spans="1:2" x14ac:dyDescent="0.45">
      <c r="A187" t="s">
        <v>2762</v>
      </c>
      <c r="B187" t="s">
        <v>686</v>
      </c>
    </row>
    <row r="188" spans="1:2" x14ac:dyDescent="0.45">
      <c r="A188" t="s">
        <v>2762</v>
      </c>
      <c r="B188" t="s">
        <v>1044</v>
      </c>
    </row>
    <row r="189" spans="1:2" x14ac:dyDescent="0.45">
      <c r="A189" t="s">
        <v>2762</v>
      </c>
      <c r="B189" t="s">
        <v>1048</v>
      </c>
    </row>
    <row r="190" spans="1:2" x14ac:dyDescent="0.45">
      <c r="A190" t="s">
        <v>2762</v>
      </c>
      <c r="B190" t="s">
        <v>1261</v>
      </c>
    </row>
    <row r="191" spans="1:2" x14ac:dyDescent="0.45">
      <c r="A191" t="s">
        <v>2762</v>
      </c>
      <c r="B191" t="s">
        <v>1292</v>
      </c>
    </row>
    <row r="192" spans="1:2" x14ac:dyDescent="0.45">
      <c r="A192" t="s">
        <v>2762</v>
      </c>
      <c r="B192" t="s">
        <v>1419</v>
      </c>
    </row>
    <row r="193" spans="1:2" x14ac:dyDescent="0.45">
      <c r="A193" t="s">
        <v>2762</v>
      </c>
      <c r="B193" t="s">
        <v>1433</v>
      </c>
    </row>
    <row r="194" spans="1:2" x14ac:dyDescent="0.45">
      <c r="A194" t="s">
        <v>338</v>
      </c>
      <c r="B194" t="s">
        <v>336</v>
      </c>
    </row>
    <row r="195" spans="1:2" x14ac:dyDescent="0.45">
      <c r="A195" t="s">
        <v>338</v>
      </c>
      <c r="B195" t="s">
        <v>358</v>
      </c>
    </row>
    <row r="196" spans="1:2" x14ac:dyDescent="0.45">
      <c r="A196" t="s">
        <v>338</v>
      </c>
      <c r="B196" t="s">
        <v>1898</v>
      </c>
    </row>
    <row r="197" spans="1:2" x14ac:dyDescent="0.45">
      <c r="A197" t="s">
        <v>338</v>
      </c>
      <c r="B197" t="s">
        <v>726</v>
      </c>
    </row>
    <row r="198" spans="1:2" x14ac:dyDescent="0.45">
      <c r="A198" t="s">
        <v>338</v>
      </c>
      <c r="B198" t="s">
        <v>1900</v>
      </c>
    </row>
    <row r="199" spans="1:2" x14ac:dyDescent="0.45">
      <c r="A199" t="s">
        <v>338</v>
      </c>
      <c r="B199" t="s">
        <v>861</v>
      </c>
    </row>
    <row r="200" spans="1:2" x14ac:dyDescent="0.45">
      <c r="A200" t="s">
        <v>338</v>
      </c>
      <c r="B200" t="s">
        <v>945</v>
      </c>
    </row>
    <row r="201" spans="1:2" x14ac:dyDescent="0.45">
      <c r="A201" t="s">
        <v>338</v>
      </c>
      <c r="B201" t="s">
        <v>2013</v>
      </c>
    </row>
    <row r="202" spans="1:2" x14ac:dyDescent="0.45">
      <c r="A202" t="s">
        <v>338</v>
      </c>
      <c r="B202" t="s">
        <v>1219</v>
      </c>
    </row>
    <row r="203" spans="1:2" x14ac:dyDescent="0.45">
      <c r="A203" t="s">
        <v>338</v>
      </c>
      <c r="B203" t="s">
        <v>1324</v>
      </c>
    </row>
    <row r="204" spans="1:2" x14ac:dyDescent="0.45">
      <c r="A204" t="s">
        <v>338</v>
      </c>
      <c r="B204" t="s">
        <v>1330</v>
      </c>
    </row>
    <row r="205" spans="1:2" x14ac:dyDescent="0.45">
      <c r="A205" t="s">
        <v>338</v>
      </c>
      <c r="B205" t="s">
        <v>1439</v>
      </c>
    </row>
    <row r="206" spans="1:2" x14ac:dyDescent="0.45">
      <c r="A206" t="s">
        <v>2763</v>
      </c>
      <c r="B206" t="s">
        <v>308</v>
      </c>
    </row>
    <row r="207" spans="1:2" x14ac:dyDescent="0.45">
      <c r="A207" t="s">
        <v>2763</v>
      </c>
      <c r="B207" t="s">
        <v>556</v>
      </c>
    </row>
    <row r="208" spans="1:2" x14ac:dyDescent="0.45">
      <c r="A208" t="s">
        <v>2763</v>
      </c>
      <c r="B208" t="s">
        <v>825</v>
      </c>
    </row>
    <row r="209" spans="1:2" x14ac:dyDescent="0.45">
      <c r="A209" t="s">
        <v>2763</v>
      </c>
      <c r="B209" t="s">
        <v>949</v>
      </c>
    </row>
    <row r="210" spans="1:2" x14ac:dyDescent="0.45">
      <c r="A210" t="s">
        <v>2756</v>
      </c>
      <c r="B210" t="s">
        <v>98</v>
      </c>
    </row>
    <row r="211" spans="1:2" x14ac:dyDescent="0.45">
      <c r="A211" t="s">
        <v>2756</v>
      </c>
      <c r="B211" t="s">
        <v>244</v>
      </c>
    </row>
    <row r="212" spans="1:2" x14ac:dyDescent="0.45">
      <c r="A212" t="s">
        <v>2756</v>
      </c>
      <c r="B212" t="s">
        <v>285</v>
      </c>
    </row>
    <row r="213" spans="1:2" x14ac:dyDescent="0.45">
      <c r="A213" t="s">
        <v>2756</v>
      </c>
      <c r="B213" t="s">
        <v>867</v>
      </c>
    </row>
    <row r="214" spans="1:2" x14ac:dyDescent="0.45">
      <c r="A214" t="s">
        <v>2756</v>
      </c>
      <c r="B214" t="s">
        <v>957</v>
      </c>
    </row>
    <row r="215" spans="1:2" x14ac:dyDescent="0.45">
      <c r="A215" t="s">
        <v>2756</v>
      </c>
      <c r="B215" t="s">
        <v>1024</v>
      </c>
    </row>
    <row r="216" spans="1:2" x14ac:dyDescent="0.45">
      <c r="A216" t="s">
        <v>2756</v>
      </c>
      <c r="B216" t="s">
        <v>1277</v>
      </c>
    </row>
    <row r="217" spans="1:2" x14ac:dyDescent="0.45">
      <c r="A217" t="s">
        <v>1307</v>
      </c>
      <c r="B217" t="s">
        <v>1307</v>
      </c>
    </row>
    <row r="218" spans="1:2" x14ac:dyDescent="0.45">
      <c r="A218" t="s">
        <v>2761</v>
      </c>
      <c r="B218" t="s">
        <v>150</v>
      </c>
    </row>
    <row r="219" spans="1:2" x14ac:dyDescent="0.45">
      <c r="A219" t="s">
        <v>2761</v>
      </c>
      <c r="B219" t="s">
        <v>2181</v>
      </c>
    </row>
    <row r="220" spans="1:2" x14ac:dyDescent="0.45">
      <c r="A220" t="s">
        <v>2761</v>
      </c>
      <c r="B220" t="s">
        <v>586</v>
      </c>
    </row>
    <row r="221" spans="1:2" x14ac:dyDescent="0.45">
      <c r="A221" t="s">
        <v>2761</v>
      </c>
      <c r="B221" t="s">
        <v>606</v>
      </c>
    </row>
    <row r="222" spans="1:2" x14ac:dyDescent="0.45">
      <c r="A222" t="s">
        <v>2761</v>
      </c>
      <c r="B222" t="s">
        <v>664</v>
      </c>
    </row>
    <row r="223" spans="1:2" x14ac:dyDescent="0.45">
      <c r="A223" t="s">
        <v>2761</v>
      </c>
      <c r="B223" t="s">
        <v>790</v>
      </c>
    </row>
    <row r="224" spans="1:2" x14ac:dyDescent="0.45">
      <c r="A224" t="s">
        <v>2761</v>
      </c>
      <c r="B224" t="s">
        <v>2012</v>
      </c>
    </row>
    <row r="225" spans="1:2" x14ac:dyDescent="0.45">
      <c r="A225" t="s">
        <v>2761</v>
      </c>
      <c r="B225" t="s">
        <v>909</v>
      </c>
    </row>
    <row r="226" spans="1:2" x14ac:dyDescent="0.45">
      <c r="A226" t="s">
        <v>2761</v>
      </c>
      <c r="B226" t="s">
        <v>954</v>
      </c>
    </row>
    <row r="227" spans="1:2" x14ac:dyDescent="0.45">
      <c r="A227" t="s">
        <v>2761</v>
      </c>
      <c r="B227" t="s">
        <v>967</v>
      </c>
    </row>
    <row r="228" spans="1:2" x14ac:dyDescent="0.45">
      <c r="A228" t="s">
        <v>2761</v>
      </c>
      <c r="B228" t="s">
        <v>990</v>
      </c>
    </row>
    <row r="229" spans="1:2" x14ac:dyDescent="0.45">
      <c r="A229" t="s">
        <v>2761</v>
      </c>
      <c r="B229" t="s">
        <v>1003</v>
      </c>
    </row>
    <row r="230" spans="1:2" x14ac:dyDescent="0.45">
      <c r="A230" t="s">
        <v>2761</v>
      </c>
      <c r="B230" t="s">
        <v>1029</v>
      </c>
    </row>
    <row r="231" spans="1:2" x14ac:dyDescent="0.45">
      <c r="A231" t="s">
        <v>2761</v>
      </c>
      <c r="B231" t="s">
        <v>1038</v>
      </c>
    </row>
    <row r="232" spans="1:2" x14ac:dyDescent="0.45">
      <c r="A232" t="s">
        <v>2761</v>
      </c>
      <c r="B232" t="s">
        <v>1059</v>
      </c>
    </row>
    <row r="233" spans="1:2" x14ac:dyDescent="0.45">
      <c r="A233" t="s">
        <v>2761</v>
      </c>
      <c r="B233" t="s">
        <v>1178</v>
      </c>
    </row>
    <row r="234" spans="1:2" x14ac:dyDescent="0.45">
      <c r="A234" t="s">
        <v>2761</v>
      </c>
      <c r="B234" t="s">
        <v>1242</v>
      </c>
    </row>
    <row r="235" spans="1:2" x14ac:dyDescent="0.45">
      <c r="A235" t="s">
        <v>2761</v>
      </c>
      <c r="B235" t="s">
        <v>1336</v>
      </c>
    </row>
    <row r="236" spans="1:2" x14ac:dyDescent="0.45">
      <c r="A236" t="s">
        <v>2761</v>
      </c>
      <c r="B236" t="s">
        <v>1340</v>
      </c>
    </row>
    <row r="237" spans="1:2" x14ac:dyDescent="0.45">
      <c r="A237" t="s">
        <v>2761</v>
      </c>
      <c r="B237" t="s">
        <v>1371</v>
      </c>
    </row>
    <row r="238" spans="1:2" x14ac:dyDescent="0.45">
      <c r="A238" t="s">
        <v>2761</v>
      </c>
      <c r="B238" t="s">
        <v>1402</v>
      </c>
    </row>
    <row r="239" spans="1:2" x14ac:dyDescent="0.45">
      <c r="A239" t="s">
        <v>2761</v>
      </c>
      <c r="B239" t="s">
        <v>1429</v>
      </c>
    </row>
    <row r="240" spans="1:2" x14ac:dyDescent="0.45">
      <c r="A240" t="s">
        <v>2761</v>
      </c>
      <c r="B240" t="s">
        <v>1443</v>
      </c>
    </row>
    <row r="241" spans="1:2" x14ac:dyDescent="0.45">
      <c r="A241" t="s">
        <v>1390</v>
      </c>
      <c r="B241" t="s">
        <v>1905</v>
      </c>
    </row>
    <row r="242" spans="1:2" x14ac:dyDescent="0.45">
      <c r="A242" t="s">
        <v>1851</v>
      </c>
      <c r="B242" t="s">
        <v>1906</v>
      </c>
    </row>
    <row r="243" spans="1:2" x14ac:dyDescent="0.45">
      <c r="A243" t="s">
        <v>273</v>
      </c>
      <c r="B243" t="s">
        <v>271</v>
      </c>
    </row>
    <row r="244" spans="1:2" x14ac:dyDescent="0.45">
      <c r="A244" t="s">
        <v>273</v>
      </c>
      <c r="B244" t="s">
        <v>347</v>
      </c>
    </row>
    <row r="245" spans="1:2" x14ac:dyDescent="0.45">
      <c r="A245" t="s">
        <v>273</v>
      </c>
      <c r="B245" t="s">
        <v>354</v>
      </c>
    </row>
    <row r="246" spans="1:2" x14ac:dyDescent="0.45">
      <c r="A246" t="s">
        <v>273</v>
      </c>
      <c r="B246" t="s">
        <v>466</v>
      </c>
    </row>
    <row r="247" spans="1:2" x14ac:dyDescent="0.45">
      <c r="A247" t="s">
        <v>273</v>
      </c>
      <c r="B247" t="s">
        <v>2010</v>
      </c>
    </row>
    <row r="248" spans="1:2" x14ac:dyDescent="0.45">
      <c r="A248" t="s">
        <v>273</v>
      </c>
      <c r="B248" t="s">
        <v>637</v>
      </c>
    </row>
    <row r="249" spans="1:2" x14ac:dyDescent="0.45">
      <c r="A249" t="s">
        <v>273</v>
      </c>
      <c r="B249" t="s">
        <v>677</v>
      </c>
    </row>
    <row r="250" spans="1:2" x14ac:dyDescent="0.45">
      <c r="A250" t="s">
        <v>273</v>
      </c>
      <c r="B250" t="s">
        <v>682</v>
      </c>
    </row>
    <row r="251" spans="1:2" x14ac:dyDescent="0.45">
      <c r="A251" t="s">
        <v>273</v>
      </c>
      <c r="B251" t="s">
        <v>829</v>
      </c>
    </row>
    <row r="252" spans="1:2" x14ac:dyDescent="0.45">
      <c r="A252" t="s">
        <v>273</v>
      </c>
      <c r="B252" t="s">
        <v>872</v>
      </c>
    </row>
    <row r="253" spans="1:2" x14ac:dyDescent="0.45">
      <c r="A253" t="s">
        <v>273</v>
      </c>
      <c r="B253" t="s">
        <v>889</v>
      </c>
    </row>
    <row r="254" spans="1:2" x14ac:dyDescent="0.45">
      <c r="A254" t="s">
        <v>273</v>
      </c>
      <c r="B254" t="s">
        <v>2011</v>
      </c>
    </row>
    <row r="255" spans="1:2" x14ac:dyDescent="0.45">
      <c r="A255" t="s">
        <v>273</v>
      </c>
      <c r="B255" t="s">
        <v>985</v>
      </c>
    </row>
    <row r="256" spans="1:2" x14ac:dyDescent="0.45">
      <c r="A256" t="s">
        <v>273</v>
      </c>
      <c r="B256" t="s">
        <v>1146</v>
      </c>
    </row>
    <row r="257" spans="1:2" x14ac:dyDescent="0.45">
      <c r="A257" t="s">
        <v>273</v>
      </c>
      <c r="B257" t="s">
        <v>1201</v>
      </c>
    </row>
    <row r="258" spans="1:2" x14ac:dyDescent="0.45">
      <c r="A258" t="s">
        <v>273</v>
      </c>
      <c r="B258" t="s">
        <v>1214</v>
      </c>
    </row>
    <row r="259" spans="1:2" x14ac:dyDescent="0.45">
      <c r="A259" t="s">
        <v>273</v>
      </c>
      <c r="B259" t="s">
        <v>1333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1FE6-06CA-493D-8B4A-5DB7733CDCF5}">
  <sheetPr codeName="Sheet2"/>
  <dimension ref="A1:L1628"/>
  <sheetViews>
    <sheetView showGridLines="0" tabSelected="1" topLeftCell="A1595" zoomScaleNormal="100" workbookViewId="0">
      <selection activeCell="C1628" sqref="C1628"/>
    </sheetView>
  </sheetViews>
  <sheetFormatPr defaultColWidth="8.86328125" defaultRowHeight="14.25" x14ac:dyDescent="0.45"/>
  <cols>
    <col min="2" max="2" width="38" customWidth="1"/>
    <col min="3" max="3" width="7" bestFit="1" customWidth="1"/>
    <col min="5" max="5" width="23.1328125" customWidth="1"/>
  </cols>
  <sheetData>
    <row r="1" spans="1:12" x14ac:dyDescent="0.45">
      <c r="A1" t="s">
        <v>1542</v>
      </c>
      <c r="H1" s="3" t="s">
        <v>2936</v>
      </c>
      <c r="I1" s="3"/>
    </row>
    <row r="2" spans="1:12" x14ac:dyDescent="0.45">
      <c r="B2" t="s">
        <v>1543</v>
      </c>
      <c r="C2" t="s">
        <v>1</v>
      </c>
      <c r="D2" t="s">
        <v>2</v>
      </c>
      <c r="E2" t="s">
        <v>2359</v>
      </c>
      <c r="H2" s="3" t="s">
        <v>2937</v>
      </c>
      <c r="I2" s="3" t="s">
        <v>2946</v>
      </c>
      <c r="J2" s="3" t="s">
        <v>2476</v>
      </c>
      <c r="K2" s="3"/>
    </row>
    <row r="3" spans="1:12" x14ac:dyDescent="0.45">
      <c r="B3">
        <v>4</v>
      </c>
      <c r="C3" t="s">
        <v>97</v>
      </c>
      <c r="D3">
        <f>IFERROR(INDEX(Countries[],MATCH(CountryCleanup[[#This Row],[ISO3]],Countries[ISO3],0),3),"")</f>
        <v>4</v>
      </c>
      <c r="E3" t="str">
        <f>IFERROR(INDEX(Countries[],MATCH(CountryCleanup[[#This Row],[ISO3]],Countries[ISO3],0),6),"")</f>
        <v>Afghanistan</v>
      </c>
      <c r="H3" s="3" t="s">
        <v>2947</v>
      </c>
      <c r="I3" s="3" t="s">
        <v>2938</v>
      </c>
      <c r="J3" t="s">
        <v>328</v>
      </c>
      <c r="L3" s="3"/>
    </row>
    <row r="4" spans="1:12" x14ac:dyDescent="0.45">
      <c r="B4">
        <v>8</v>
      </c>
      <c r="C4" t="s">
        <v>134</v>
      </c>
      <c r="D4">
        <f>IFERROR(INDEX(Countries[],MATCH(CountryCleanup[[#This Row],[ISO3]],Countries[ISO3],0),3),"")</f>
        <v>8</v>
      </c>
      <c r="E4" t="str">
        <f>IFERROR(INDEX(Countries[],MATCH(CountryCleanup[[#This Row],[ISO3]],Countries[ISO3],0),6),"")</f>
        <v>Albania</v>
      </c>
      <c r="H4" s="3" t="s">
        <v>2947</v>
      </c>
      <c r="I4" s="3" t="s">
        <v>2938</v>
      </c>
      <c r="J4" t="s">
        <v>167</v>
      </c>
      <c r="L4" s="3"/>
    </row>
    <row r="5" spans="1:12" x14ac:dyDescent="0.45">
      <c r="B5">
        <v>12</v>
      </c>
      <c r="C5" t="s">
        <v>141</v>
      </c>
      <c r="D5">
        <f>IFERROR(INDEX(Countries[],MATCH(CountryCleanup[[#This Row],[ISO3]],Countries[ISO3],0),3),"")</f>
        <v>12</v>
      </c>
      <c r="E5" t="str">
        <f>IFERROR(INDEX(Countries[],MATCH(CountryCleanup[[#This Row],[ISO3]],Countries[ISO3],0),6),"")</f>
        <v>Algeria</v>
      </c>
      <c r="H5" s="3" t="s">
        <v>2947</v>
      </c>
      <c r="I5" s="3" t="s">
        <v>2938</v>
      </c>
      <c r="J5" t="s">
        <v>145</v>
      </c>
      <c r="L5" s="3"/>
    </row>
    <row r="6" spans="1:12" x14ac:dyDescent="0.45">
      <c r="B6">
        <v>16</v>
      </c>
      <c r="C6" t="s">
        <v>149</v>
      </c>
      <c r="D6">
        <f>IFERROR(INDEX(Countries[],MATCH(CountryCleanup[[#This Row],[ISO3]],Countries[ISO3],0),3),"")</f>
        <v>16</v>
      </c>
      <c r="E6" t="str">
        <f>IFERROR(INDEX(Countries[],MATCH(CountryCleanup[[#This Row],[ISO3]],Countries[ISO3],0),6),"")</f>
        <v>American Samoa</v>
      </c>
      <c r="H6" s="3" t="s">
        <v>2947</v>
      </c>
      <c r="I6" s="3" t="s">
        <v>2938</v>
      </c>
      <c r="J6" t="s">
        <v>1253</v>
      </c>
      <c r="L6" s="31"/>
    </row>
    <row r="7" spans="1:12" x14ac:dyDescent="0.45">
      <c r="B7">
        <v>20</v>
      </c>
      <c r="C7" t="s">
        <v>160</v>
      </c>
      <c r="D7">
        <f>IFERROR(INDEX(Countries[],MATCH(CountryCleanup[[#This Row],[ISO3]],Countries[ISO3],0),3),"")</f>
        <v>20</v>
      </c>
      <c r="E7" t="str">
        <f>IFERROR(INDEX(Countries[],MATCH(CountryCleanup[[#This Row],[ISO3]],Countries[ISO3],0),6),"")</f>
        <v>Andorra</v>
      </c>
      <c r="H7" s="3" t="s">
        <v>2947</v>
      </c>
      <c r="I7" s="3" t="s">
        <v>2938</v>
      </c>
      <c r="J7" t="s">
        <v>2763</v>
      </c>
      <c r="L7" s="3"/>
    </row>
    <row r="8" spans="1:12" x14ac:dyDescent="0.45">
      <c r="B8">
        <v>24</v>
      </c>
      <c r="C8" t="s">
        <v>164</v>
      </c>
      <c r="D8">
        <f>IFERROR(INDEX(Countries[],MATCH(CountryCleanup[[#This Row],[ISO3]],Countries[ISO3],0),3),"")</f>
        <v>24</v>
      </c>
      <c r="E8" t="str">
        <f>IFERROR(INDEX(Countries[],MATCH(CountryCleanup[[#This Row],[ISO3]],Countries[ISO3],0),6),"")</f>
        <v>Angola</v>
      </c>
      <c r="H8" s="3" t="s">
        <v>2947</v>
      </c>
      <c r="I8" s="3" t="s">
        <v>2938</v>
      </c>
      <c r="J8" t="s">
        <v>273</v>
      </c>
      <c r="L8" s="3"/>
    </row>
    <row r="9" spans="1:12" x14ac:dyDescent="0.45">
      <c r="B9">
        <v>28</v>
      </c>
      <c r="C9" t="s">
        <v>187</v>
      </c>
      <c r="D9">
        <f>IFERROR(INDEX(Countries[],MATCH(CountryCleanup[[#This Row],[ISO3]],Countries[ISO3],0),3),"")</f>
        <v>28</v>
      </c>
      <c r="E9" t="str">
        <f>IFERROR(INDEX(Countries[],MATCH(CountryCleanup[[#This Row],[ISO3]],Countries[ISO3],0),6),"")</f>
        <v>Antigua and Barbuda</v>
      </c>
      <c r="H9" s="3" t="s">
        <v>2947</v>
      </c>
      <c r="I9" s="3" t="s">
        <v>212</v>
      </c>
      <c r="J9" t="s">
        <v>215</v>
      </c>
      <c r="L9" s="3"/>
    </row>
    <row r="10" spans="1:12" x14ac:dyDescent="0.45">
      <c r="B10">
        <v>31</v>
      </c>
      <c r="C10" t="s">
        <v>226</v>
      </c>
      <c r="D10">
        <f>IFERROR(INDEX(Countries[],MATCH(CountryCleanup[[#This Row],[ISO3]],Countries[ISO3],0),3),"")</f>
        <v>31</v>
      </c>
      <c r="E10" t="str">
        <f>IFERROR(INDEX(Countries[],MATCH(CountryCleanup[[#This Row],[ISO3]],Countries[ISO3],0),6),"")</f>
        <v>Azerbaijan</v>
      </c>
      <c r="H10" s="3" t="s">
        <v>2947</v>
      </c>
      <c r="I10" s="3" t="s">
        <v>369</v>
      </c>
      <c r="J10" t="s">
        <v>370</v>
      </c>
      <c r="L10" s="3"/>
    </row>
    <row r="11" spans="1:12" x14ac:dyDescent="0.45">
      <c r="B11">
        <v>32</v>
      </c>
      <c r="C11" t="s">
        <v>193</v>
      </c>
      <c r="D11">
        <f>IFERROR(INDEX(Countries[],MATCH(CountryCleanup[[#This Row],[ISO3]],Countries[ISO3],0),3),"")</f>
        <v>32</v>
      </c>
      <c r="E11" t="str">
        <f>IFERROR(INDEX(Countries[],MATCH(CountryCleanup[[#This Row],[ISO3]],Countries[ISO3],0),6),"")</f>
        <v>Argentina</v>
      </c>
      <c r="H11" s="3" t="s">
        <v>2947</v>
      </c>
      <c r="I11" s="3" t="s">
        <v>2939</v>
      </c>
      <c r="J11" t="s">
        <v>405</v>
      </c>
      <c r="L11" s="3"/>
    </row>
    <row r="12" spans="1:12" x14ac:dyDescent="0.45">
      <c r="B12">
        <v>36</v>
      </c>
      <c r="C12" t="s">
        <v>212</v>
      </c>
      <c r="D12">
        <f>IFERROR(INDEX(Countries[],MATCH(CountryCleanup[[#This Row],[ISO3]],Countries[ISO3],0),3),"")</f>
        <v>36</v>
      </c>
      <c r="E12" t="str">
        <f>IFERROR(INDEX(Countries[],MATCH(CountryCleanup[[#This Row],[ISO3]],Countries[ISO3],0),6),"")</f>
        <v>Australia</v>
      </c>
      <c r="H12" s="3" t="s">
        <v>2947</v>
      </c>
      <c r="I12" s="3" t="s">
        <v>2314</v>
      </c>
      <c r="J12" t="s">
        <v>194</v>
      </c>
    </row>
    <row r="13" spans="1:12" x14ac:dyDescent="0.45">
      <c r="B13">
        <v>40</v>
      </c>
      <c r="C13" t="s">
        <v>220</v>
      </c>
      <c r="D13">
        <f>IFERROR(INDEX(Countries[],MATCH(CountryCleanup[[#This Row],[ISO3]],Countries[ISO3],0),3),"")</f>
        <v>40</v>
      </c>
      <c r="E13" t="str">
        <f>IFERROR(INDEX(Countries[],MATCH(CountryCleanup[[#This Row],[ISO3]],Countries[ISO3],0),6),"")</f>
        <v>Austria</v>
      </c>
      <c r="H13" s="3" t="s">
        <v>2947</v>
      </c>
      <c r="I13" s="3" t="s">
        <v>2314</v>
      </c>
      <c r="J13" t="s">
        <v>319</v>
      </c>
      <c r="L13" s="3"/>
    </row>
    <row r="14" spans="1:12" x14ac:dyDescent="0.45">
      <c r="B14">
        <v>44</v>
      </c>
      <c r="C14" t="s">
        <v>232</v>
      </c>
      <c r="D14">
        <f>IFERROR(INDEX(Countries[],MATCH(CountryCleanup[[#This Row],[ISO3]],Countries[ISO3],0),3),"")</f>
        <v>44</v>
      </c>
      <c r="E14" t="str">
        <f>IFERROR(INDEX(Countries[],MATCH(CountryCleanup[[#This Row],[ISO3]],Countries[ISO3],0),6),"")</f>
        <v>Bahamas (the)</v>
      </c>
      <c r="H14" s="3" t="s">
        <v>2947</v>
      </c>
      <c r="I14" s="3" t="s">
        <v>2314</v>
      </c>
      <c r="J14" t="s">
        <v>2799</v>
      </c>
      <c r="L14" s="3"/>
    </row>
    <row r="15" spans="1:12" x14ac:dyDescent="0.45">
      <c r="B15">
        <v>48</v>
      </c>
      <c r="C15" t="s">
        <v>236</v>
      </c>
      <c r="D15">
        <f>IFERROR(INDEX(Countries[],MATCH(CountryCleanup[[#This Row],[ISO3]],Countries[ISO3],0),3),"")</f>
        <v>48</v>
      </c>
      <c r="E15" t="str">
        <f>IFERROR(INDEX(Countries[],MATCH(CountryCleanup[[#This Row],[ISO3]],Countries[ISO3],0),6),"")</f>
        <v>Bahrain</v>
      </c>
      <c r="H15" s="3" t="s">
        <v>2947</v>
      </c>
      <c r="I15" s="3" t="s">
        <v>2314</v>
      </c>
      <c r="J15" t="s">
        <v>267</v>
      </c>
      <c r="L15" s="3"/>
    </row>
    <row r="16" spans="1:12" x14ac:dyDescent="0.45">
      <c r="B16">
        <v>50</v>
      </c>
      <c r="C16" t="s">
        <v>243</v>
      </c>
      <c r="D16">
        <f>IFERROR(INDEX(Countries[],MATCH(CountryCleanup[[#This Row],[ISO3]],Countries[ISO3],0),3),"")</f>
        <v>50</v>
      </c>
      <c r="E16" t="str">
        <f>IFERROR(INDEX(Countries[],MATCH(CountryCleanup[[#This Row],[ISO3]],Countries[ISO3],0),6),"")</f>
        <v>Bangladesh</v>
      </c>
      <c r="H16" s="3" t="s">
        <v>2947</v>
      </c>
      <c r="I16" s="3" t="s">
        <v>2314</v>
      </c>
      <c r="J16" t="s">
        <v>400</v>
      </c>
      <c r="L16" s="3"/>
    </row>
    <row r="17" spans="2:12" x14ac:dyDescent="0.45">
      <c r="B17">
        <v>51</v>
      </c>
      <c r="C17" t="s">
        <v>199</v>
      </c>
      <c r="D17">
        <f>IFERROR(INDEX(Countries[],MATCH(CountryCleanup[[#This Row],[ISO3]],Countries[ISO3],0),3),"")</f>
        <v>51</v>
      </c>
      <c r="E17" t="str">
        <f>IFERROR(INDEX(Countries[],MATCH(CountryCleanup[[#This Row],[ISO3]],Countries[ISO3],0),6),"")</f>
        <v>Armenia</v>
      </c>
      <c r="H17" s="3" t="s">
        <v>2947</v>
      </c>
      <c r="I17" s="3" t="s">
        <v>2314</v>
      </c>
      <c r="J17" t="s">
        <v>2762</v>
      </c>
    </row>
    <row r="18" spans="2:12" x14ac:dyDescent="0.45">
      <c r="B18">
        <v>52</v>
      </c>
      <c r="C18" t="s">
        <v>247</v>
      </c>
      <c r="D18">
        <f>IFERROR(INDEX(Countries[],MATCH(CountryCleanup[[#This Row],[ISO3]],Countries[ISO3],0),3),"")</f>
        <v>52</v>
      </c>
      <c r="E18" t="str">
        <f>IFERROR(INDEX(Countries[],MATCH(CountryCleanup[[#This Row],[ISO3]],Countries[ISO3],0),6),"")</f>
        <v>Barbados</v>
      </c>
      <c r="H18" s="3" t="s">
        <v>2947</v>
      </c>
      <c r="I18" s="3" t="s">
        <v>2940</v>
      </c>
      <c r="J18" t="s">
        <v>2759</v>
      </c>
      <c r="L18" s="3"/>
    </row>
    <row r="19" spans="2:12" x14ac:dyDescent="0.45">
      <c r="B19">
        <v>56</v>
      </c>
      <c r="C19" t="s">
        <v>259</v>
      </c>
      <c r="D19">
        <f>IFERROR(INDEX(Countries[],MATCH(CountryCleanup[[#This Row],[ISO3]],Countries[ISO3],0),3),"")</f>
        <v>56</v>
      </c>
      <c r="E19" t="str">
        <f>IFERROR(INDEX(Countries[],MATCH(CountryCleanup[[#This Row],[ISO3]],Countries[ISO3],0),6),"")</f>
        <v>Belgium</v>
      </c>
      <c r="H19" s="3" t="s">
        <v>2947</v>
      </c>
      <c r="I19" s="3" t="s">
        <v>2941</v>
      </c>
      <c r="J19" t="s">
        <v>1761</v>
      </c>
      <c r="L19" s="3"/>
    </row>
    <row r="20" spans="2:12" x14ac:dyDescent="0.45">
      <c r="B20">
        <v>60</v>
      </c>
      <c r="C20" t="s">
        <v>276</v>
      </c>
      <c r="D20">
        <f>IFERROR(INDEX(Countries[],MATCH(CountryCleanup[[#This Row],[ISO3]],Countries[ISO3],0),3),"")</f>
        <v>60</v>
      </c>
      <c r="E20" t="str">
        <f>IFERROR(INDEX(Countries[],MATCH(CountryCleanup[[#This Row],[ISO3]],Countries[ISO3],0),6),"")</f>
        <v>Bermuda</v>
      </c>
      <c r="H20" s="3" t="s">
        <v>2947</v>
      </c>
      <c r="I20" s="3" t="s">
        <v>721</v>
      </c>
      <c r="J20" t="s">
        <v>722</v>
      </c>
      <c r="L20" s="3"/>
    </row>
    <row r="21" spans="2:12" x14ac:dyDescent="0.45">
      <c r="B21">
        <v>64</v>
      </c>
      <c r="C21" t="s">
        <v>284</v>
      </c>
      <c r="D21">
        <f>IFERROR(INDEX(Countries[],MATCH(CountryCleanup[[#This Row],[ISO3]],Countries[ISO3],0),3),"")</f>
        <v>64</v>
      </c>
      <c r="E21" t="str">
        <f>IFERROR(INDEX(Countries[],MATCH(CountryCleanup[[#This Row],[ISO3]],Countries[ISO3],0),6),"")</f>
        <v>Bhutan</v>
      </c>
      <c r="H21" s="3" t="s">
        <v>2947</v>
      </c>
      <c r="I21" s="3" t="s">
        <v>765</v>
      </c>
      <c r="J21" t="s">
        <v>766</v>
      </c>
      <c r="L21" s="31"/>
    </row>
    <row r="22" spans="2:12" x14ac:dyDescent="0.45">
      <c r="B22">
        <v>68</v>
      </c>
      <c r="C22" t="s">
        <v>290</v>
      </c>
      <c r="D22">
        <f>IFERROR(INDEX(Countries[],MATCH(CountryCleanup[[#This Row],[ISO3]],Countries[ISO3],0),3),"")</f>
        <v>68</v>
      </c>
      <c r="E22" t="str">
        <f>IFERROR(INDEX(Countries[],MATCH(CountryCleanup[[#This Row],[ISO3]],Countries[ISO3],0),6),"")</f>
        <v>Bolivia (Plurinational State of)</v>
      </c>
      <c r="H22" s="3" t="s">
        <v>2947</v>
      </c>
      <c r="I22" s="3" t="s">
        <v>2942</v>
      </c>
      <c r="J22" t="s">
        <v>2757</v>
      </c>
      <c r="L22" s="31"/>
    </row>
    <row r="23" spans="2:12" x14ac:dyDescent="0.45">
      <c r="B23">
        <v>70</v>
      </c>
      <c r="C23" t="s">
        <v>301</v>
      </c>
      <c r="D23">
        <f>IFERROR(INDEX(Countries[],MATCH(CountryCleanup[[#This Row],[ISO3]],Countries[ISO3],0),3),"")</f>
        <v>70</v>
      </c>
      <c r="E23" t="str">
        <f>IFERROR(INDEX(Countries[],MATCH(CountryCleanup[[#This Row],[ISO3]],Countries[ISO3],0),6),"")</f>
        <v>Bosnia and Herzegovina</v>
      </c>
      <c r="H23" s="3" t="s">
        <v>2947</v>
      </c>
      <c r="I23" s="3" t="s">
        <v>2942</v>
      </c>
      <c r="J23" t="s">
        <v>2758</v>
      </c>
      <c r="L23" s="3"/>
    </row>
    <row r="24" spans="2:12" x14ac:dyDescent="0.45">
      <c r="B24">
        <v>72</v>
      </c>
      <c r="C24" t="s">
        <v>307</v>
      </c>
      <c r="D24">
        <f>IFERROR(INDEX(Countries[],MATCH(CountryCleanup[[#This Row],[ISO3]],Countries[ISO3],0),3),"")</f>
        <v>72</v>
      </c>
      <c r="E24" t="str">
        <f>IFERROR(INDEX(Countries[],MATCH(CountryCleanup[[#This Row],[ISO3]],Countries[ISO3],0),6),"")</f>
        <v>Botswana</v>
      </c>
      <c r="H24" s="3" t="s">
        <v>2947</v>
      </c>
      <c r="I24" s="3" t="s">
        <v>902</v>
      </c>
      <c r="J24" t="s">
        <v>903</v>
      </c>
      <c r="L24" s="3"/>
    </row>
    <row r="25" spans="2:12" x14ac:dyDescent="0.45">
      <c r="B25">
        <v>76</v>
      </c>
      <c r="C25" t="s">
        <v>318</v>
      </c>
      <c r="D25">
        <f>IFERROR(INDEX(Countries[],MATCH(CountryCleanup[[#This Row],[ISO3]],Countries[ISO3],0),3),"")</f>
        <v>76</v>
      </c>
      <c r="E25" t="str">
        <f>IFERROR(INDEX(Countries[],MATCH(CountryCleanup[[#This Row],[ISO3]],Countries[ISO3],0),6),"")</f>
        <v>Brazil</v>
      </c>
      <c r="H25" s="3" t="s">
        <v>2947</v>
      </c>
      <c r="I25" s="3" t="s">
        <v>2943</v>
      </c>
      <c r="J25" t="s">
        <v>2755</v>
      </c>
      <c r="L25" s="3"/>
    </row>
    <row r="26" spans="2:12" x14ac:dyDescent="0.45">
      <c r="B26">
        <v>81</v>
      </c>
      <c r="C26" t="s">
        <v>181</v>
      </c>
      <c r="D26">
        <f>IFERROR(INDEX(Countries[],MATCH(CountryCleanup[[#This Row],[ISO3]],Countries[ISO3],0),3),"")</f>
        <v>10</v>
      </c>
      <c r="E26" t="str">
        <f>IFERROR(INDEX(Countries[],MATCH(CountryCleanup[[#This Row],[ISO3]],Countries[ISO3],0),6),"")</f>
        <v>Antarctica</v>
      </c>
      <c r="H26" s="3" t="s">
        <v>2947</v>
      </c>
      <c r="I26" s="3" t="s">
        <v>2943</v>
      </c>
      <c r="J26" t="s">
        <v>338</v>
      </c>
      <c r="L26" s="31"/>
    </row>
    <row r="27" spans="2:12" x14ac:dyDescent="0.45">
      <c r="B27">
        <v>84</v>
      </c>
      <c r="C27" t="s">
        <v>264</v>
      </c>
      <c r="D27">
        <f>IFERROR(INDEX(Countries[],MATCH(CountryCleanup[[#This Row],[ISO3]],Countries[ISO3],0),3),"")</f>
        <v>84</v>
      </c>
      <c r="E27" t="str">
        <f>IFERROR(INDEX(Countries[],MATCH(CountryCleanup[[#This Row],[ISO3]],Countries[ISO3],0),6),"")</f>
        <v>Belize</v>
      </c>
      <c r="H27" s="3" t="s">
        <v>2947</v>
      </c>
      <c r="I27" s="3" t="s">
        <v>2943</v>
      </c>
      <c r="J27" t="s">
        <v>2756</v>
      </c>
      <c r="L27" s="3"/>
    </row>
    <row r="28" spans="2:12" x14ac:dyDescent="0.45">
      <c r="B28">
        <v>90</v>
      </c>
      <c r="C28" t="s">
        <v>1241</v>
      </c>
      <c r="D28">
        <f>IFERROR(INDEX(Countries[],MATCH(CountryCleanup[[#This Row],[ISO3]],Countries[ISO3],0),3),"")</f>
        <v>90</v>
      </c>
      <c r="E28" t="str">
        <f>IFERROR(INDEX(Countries[],MATCH(CountryCleanup[[#This Row],[ISO3]],Countries[ISO3],0),6),"")</f>
        <v>Solomon Islands</v>
      </c>
      <c r="H28" s="3" t="s">
        <v>2947</v>
      </c>
      <c r="I28" s="3" t="s">
        <v>2943</v>
      </c>
      <c r="J28" t="s">
        <v>2761</v>
      </c>
      <c r="L28" s="3"/>
    </row>
    <row r="29" spans="2:12" x14ac:dyDescent="0.45">
      <c r="B29">
        <v>92</v>
      </c>
      <c r="C29" t="s">
        <v>330</v>
      </c>
      <c r="D29">
        <f>IFERROR(INDEX(Countries[],MATCH(CountryCleanup[[#This Row],[ISO3]],Countries[ISO3],0),3),"")</f>
        <v>92</v>
      </c>
      <c r="E29" t="str">
        <f>IFERROR(INDEX(Countries[],MATCH(CountryCleanup[[#This Row],[ISO3]],Countries[ISO3],0),6),"")</f>
        <v>British Virgin Islands</v>
      </c>
      <c r="H29" s="3" t="s">
        <v>2947</v>
      </c>
      <c r="I29" s="3" t="s">
        <v>2944</v>
      </c>
      <c r="J29" t="s">
        <v>1079</v>
      </c>
      <c r="L29" s="31"/>
    </row>
    <row r="30" spans="2:12" x14ac:dyDescent="0.45">
      <c r="B30">
        <v>96</v>
      </c>
      <c r="C30" t="s">
        <v>335</v>
      </c>
      <c r="D30">
        <f>IFERROR(INDEX(Countries[],MATCH(CountryCleanup[[#This Row],[ISO3]],Countries[ISO3],0),3),"")</f>
        <v>96</v>
      </c>
      <c r="E30" t="str">
        <f>IFERROR(INDEX(Countries[],MATCH(CountryCleanup[[#This Row],[ISO3]],Countries[ISO3],0),6),"")</f>
        <v>Brunei Darussalam</v>
      </c>
      <c r="H30" s="3" t="s">
        <v>2947</v>
      </c>
      <c r="I30" s="3" t="s">
        <v>1406</v>
      </c>
      <c r="J30" t="s">
        <v>1851</v>
      </c>
      <c r="L30" s="3"/>
    </row>
    <row r="31" spans="2:12" x14ac:dyDescent="0.45">
      <c r="B31">
        <v>100</v>
      </c>
      <c r="C31" t="s">
        <v>341</v>
      </c>
      <c r="D31">
        <f>IFERROR(INDEX(Countries[],MATCH(CountryCleanup[[#This Row],[ISO3]],Countries[ISO3],0),3),"")</f>
        <v>100</v>
      </c>
      <c r="E31" t="str">
        <f>IFERROR(INDEX(Countries[],MATCH(CountryCleanup[[#This Row],[ISO3]],Countries[ISO3],0),6),"")</f>
        <v>Bulgaria</v>
      </c>
      <c r="H31" s="3" t="s">
        <v>2947</v>
      </c>
      <c r="I31" s="3" t="s">
        <v>2945</v>
      </c>
      <c r="J31" t="s">
        <v>2464</v>
      </c>
      <c r="L31" s="3"/>
    </row>
    <row r="32" spans="2:12" x14ac:dyDescent="0.45">
      <c r="B32">
        <v>104</v>
      </c>
      <c r="C32" t="s">
        <v>944</v>
      </c>
      <c r="D32">
        <f>IFERROR(INDEX(Countries[],MATCH(CountryCleanup[[#This Row],[ISO3]],Countries[ISO3],0),3),"")</f>
        <v>104</v>
      </c>
      <c r="E32" t="str">
        <f>IFERROR(INDEX(Countries[],MATCH(CountryCleanup[[#This Row],[ISO3]],Countries[ISO3],0),6),"")</f>
        <v>Myanmar</v>
      </c>
      <c r="H32" s="3" t="s">
        <v>2947</v>
      </c>
      <c r="I32" s="3" t="s">
        <v>2945</v>
      </c>
      <c r="J32" t="s">
        <v>1307</v>
      </c>
      <c r="L32" s="3"/>
    </row>
    <row r="33" spans="2:12" x14ac:dyDescent="0.45">
      <c r="B33">
        <v>108</v>
      </c>
      <c r="C33" t="s">
        <v>349</v>
      </c>
      <c r="D33">
        <f>IFERROR(INDEX(Countries[],MATCH(CountryCleanup[[#This Row],[ISO3]],Countries[ISO3],0),3),"")</f>
        <v>108</v>
      </c>
      <c r="E33" t="str">
        <f>IFERROR(INDEX(Countries[],MATCH(CountryCleanup[[#This Row],[ISO3]],Countries[ISO3],0),6),"")</f>
        <v>Burundi</v>
      </c>
      <c r="H33" s="3" t="s">
        <v>2947</v>
      </c>
      <c r="I33" s="3" t="s">
        <v>2945</v>
      </c>
      <c r="J33" t="s">
        <v>1390</v>
      </c>
      <c r="L33" s="3"/>
    </row>
    <row r="34" spans="2:12" x14ac:dyDescent="0.45">
      <c r="B34">
        <v>112</v>
      </c>
      <c r="C34" t="s">
        <v>252</v>
      </c>
      <c r="D34">
        <f>IFERROR(INDEX(Countries[],MATCH(CountryCleanup[[#This Row],[ISO3]],Countries[ISO3],0),3),"")</f>
        <v>112</v>
      </c>
      <c r="E34" t="str">
        <f>IFERROR(INDEX(Countries[],MATCH(CountryCleanup[[#This Row],[ISO3]],Countries[ISO3],0),6),"")</f>
        <v>Belarus</v>
      </c>
      <c r="L34" s="3"/>
    </row>
    <row r="35" spans="2:12" x14ac:dyDescent="0.45">
      <c r="B35">
        <v>116</v>
      </c>
      <c r="C35" t="s">
        <v>357</v>
      </c>
      <c r="D35">
        <f>IFERROR(INDEX(Countries[],MATCH(CountryCleanup[[#This Row],[ISO3]],Countries[ISO3],0),3),"")</f>
        <v>116</v>
      </c>
      <c r="E35" t="str">
        <f>IFERROR(INDEX(Countries[],MATCH(CountryCleanup[[#This Row],[ISO3]],Countries[ISO3],0),6),"")</f>
        <v>Cambodia</v>
      </c>
      <c r="L35" s="3"/>
    </row>
    <row r="36" spans="2:12" x14ac:dyDescent="0.45">
      <c r="B36">
        <v>120</v>
      </c>
      <c r="C36" t="s">
        <v>363</v>
      </c>
      <c r="D36">
        <f>IFERROR(INDEX(Countries[],MATCH(CountryCleanup[[#This Row],[ISO3]],Countries[ISO3],0),3),"")</f>
        <v>120</v>
      </c>
      <c r="E36" t="str">
        <f>IFERROR(INDEX(Countries[],MATCH(CountryCleanup[[#This Row],[ISO3]],Countries[ISO3],0),6),"")</f>
        <v>Cameroon</v>
      </c>
    </row>
    <row r="37" spans="2:12" x14ac:dyDescent="0.45">
      <c r="B37">
        <v>124</v>
      </c>
      <c r="C37" t="s">
        <v>369</v>
      </c>
      <c r="D37">
        <f>IFERROR(INDEX(Countries[],MATCH(CountryCleanup[[#This Row],[ISO3]],Countries[ISO3],0),3),"")</f>
        <v>124</v>
      </c>
      <c r="E37" t="str">
        <f>IFERROR(INDEX(Countries[],MATCH(CountryCleanup[[#This Row],[ISO3]],Countries[ISO3],0),6),"")</f>
        <v>Canada</v>
      </c>
    </row>
    <row r="38" spans="2:12" x14ac:dyDescent="0.45">
      <c r="B38">
        <v>132</v>
      </c>
      <c r="C38" t="s">
        <v>353</v>
      </c>
      <c r="D38">
        <f>IFERROR(INDEX(Countries[],MATCH(CountryCleanup[[#This Row],[ISO3]],Countries[ISO3],0),3),"")</f>
        <v>132</v>
      </c>
      <c r="E38" t="str">
        <f>IFERROR(INDEX(Countries[],MATCH(CountryCleanup[[#This Row],[ISO3]],Countries[ISO3],0),6),"")</f>
        <v>Cabo Verde</v>
      </c>
    </row>
    <row r="39" spans="2:12" x14ac:dyDescent="0.45">
      <c r="B39">
        <v>136</v>
      </c>
      <c r="C39" t="s">
        <v>375</v>
      </c>
      <c r="D39">
        <f>IFERROR(INDEX(Countries[],MATCH(CountryCleanup[[#This Row],[ISO3]],Countries[ISO3],0),3),"")</f>
        <v>136</v>
      </c>
      <c r="E39" t="str">
        <f>IFERROR(INDEX(Countries[],MATCH(CountryCleanup[[#This Row],[ISO3]],Countries[ISO3],0),6),"")</f>
        <v>Cayman Islands</v>
      </c>
    </row>
    <row r="40" spans="2:12" x14ac:dyDescent="0.45">
      <c r="B40">
        <v>140</v>
      </c>
      <c r="C40" t="s">
        <v>381</v>
      </c>
      <c r="D40">
        <f>IFERROR(INDEX(Countries[],MATCH(CountryCleanup[[#This Row],[ISO3]],Countries[ISO3],0),3),"")</f>
        <v>140</v>
      </c>
      <c r="E40" t="str">
        <f>IFERROR(INDEX(Countries[],MATCH(CountryCleanup[[#This Row],[ISO3]],Countries[ISO3],0),6),"")</f>
        <v>Central African Republic (the)</v>
      </c>
    </row>
    <row r="41" spans="2:12" x14ac:dyDescent="0.45">
      <c r="B41">
        <v>144</v>
      </c>
      <c r="C41" t="s">
        <v>1276</v>
      </c>
      <c r="D41">
        <f>IFERROR(INDEX(Countries[],MATCH(CountryCleanup[[#This Row],[ISO3]],Countries[ISO3],0),3),"")</f>
        <v>144</v>
      </c>
      <c r="E41" t="str">
        <f>IFERROR(INDEX(Countries[],MATCH(CountryCleanup[[#This Row],[ISO3]],Countries[ISO3],0),6),"")</f>
        <v>Sri Lanka</v>
      </c>
    </row>
    <row r="42" spans="2:12" x14ac:dyDescent="0.45">
      <c r="B42">
        <v>148</v>
      </c>
      <c r="C42" t="s">
        <v>391</v>
      </c>
      <c r="D42">
        <f>IFERROR(INDEX(Countries[],MATCH(CountryCleanup[[#This Row],[ISO3]],Countries[ISO3],0),3),"")</f>
        <v>148</v>
      </c>
      <c r="E42" t="str">
        <f>IFERROR(INDEX(Countries[],MATCH(CountryCleanup[[#This Row],[ISO3]],Countries[ISO3],0),6),"")</f>
        <v>Chad</v>
      </c>
    </row>
    <row r="43" spans="2:12" x14ac:dyDescent="0.45">
      <c r="B43">
        <v>152</v>
      </c>
      <c r="C43" t="s">
        <v>399</v>
      </c>
      <c r="D43">
        <f>IFERROR(INDEX(Countries[],MATCH(CountryCleanup[[#This Row],[ISO3]],Countries[ISO3],0),3),"")</f>
        <v>152</v>
      </c>
      <c r="E43" t="str">
        <f>IFERROR(INDEX(Countries[],MATCH(CountryCleanup[[#This Row],[ISO3]],Countries[ISO3],0),6),"")</f>
        <v>Chile</v>
      </c>
    </row>
    <row r="44" spans="2:12" x14ac:dyDescent="0.45">
      <c r="B44">
        <v>156</v>
      </c>
      <c r="C44" t="s">
        <v>404</v>
      </c>
      <c r="D44">
        <f>IFERROR(INDEX(Countries[],MATCH(CountryCleanup[[#This Row],[ISO3]],Countries[ISO3],0),3),"")</f>
        <v>156</v>
      </c>
      <c r="E44" t="str">
        <f>IFERROR(INDEX(Countries[],MATCH(CountryCleanup[[#This Row],[ISO3]],Countries[ISO3],0),6),"")</f>
        <v>China</v>
      </c>
    </row>
    <row r="45" spans="2:12" x14ac:dyDescent="0.45">
      <c r="B45">
        <v>158</v>
      </c>
      <c r="C45" t="s">
        <v>424</v>
      </c>
      <c r="D45">
        <f>IFERROR(INDEX(Countries[],MATCH(CountryCleanup[[#This Row],[ISO3]],Countries[ISO3],0),3),"")</f>
        <v>158</v>
      </c>
      <c r="E45" t="str">
        <f>IFERROR(INDEX(Countries[],MATCH(CountryCleanup[[#This Row],[ISO3]],Countries[ISO3],0),6),"")</f>
        <v>Chinese Taipei</v>
      </c>
    </row>
    <row r="46" spans="2:12" x14ac:dyDescent="0.45">
      <c r="B46">
        <v>162</v>
      </c>
      <c r="C46" t="s">
        <v>430</v>
      </c>
      <c r="D46" s="33">
        <f>IFERROR(INDEX(Countries[],MATCH(CountryCleanup[[#This Row],[ISO3]],Countries[ISO3],0),3),"")</f>
        <v>162</v>
      </c>
      <c r="E46" t="str">
        <f>IFERROR(INDEX(Countries[],MATCH(CountryCleanup[[#This Row],[ISO3]],Countries[ISO3],0),6),"")</f>
        <v>Christmas Island</v>
      </c>
    </row>
    <row r="47" spans="2:12" x14ac:dyDescent="0.45">
      <c r="B47">
        <v>170</v>
      </c>
      <c r="C47" t="s">
        <v>440</v>
      </c>
      <c r="D47">
        <f>IFERROR(INDEX(Countries[],MATCH(CountryCleanup[[#This Row],[ISO3]],Countries[ISO3],0),3),"")</f>
        <v>170</v>
      </c>
      <c r="E47" t="str">
        <f>IFERROR(INDEX(Countries[],MATCH(CountryCleanup[[#This Row],[ISO3]],Countries[ISO3],0),6),"")</f>
        <v>Colombia</v>
      </c>
    </row>
    <row r="48" spans="2:12" x14ac:dyDescent="0.45">
      <c r="B48">
        <v>172</v>
      </c>
      <c r="C48" s="3" t="s">
        <v>1129</v>
      </c>
      <c r="D48" s="33">
        <f>IFERROR(INDEX(Countries[],MATCH(CountryCleanup[[#This Row],[ISO3]],Countries[ISO3],0),3),"")</f>
        <v>643</v>
      </c>
      <c r="E48" t="str">
        <f>IFERROR(INDEX(Countries[],MATCH(CountryCleanup[[#This Row],[ISO3]],Countries[ISO3],0),6),"")</f>
        <v>Russian Federation (the)</v>
      </c>
    </row>
    <row r="49" spans="2:5" x14ac:dyDescent="0.45">
      <c r="B49">
        <v>174</v>
      </c>
      <c r="C49" t="s">
        <v>445</v>
      </c>
      <c r="D49">
        <f>IFERROR(INDEX(Countries[],MATCH(CountryCleanup[[#This Row],[ISO3]],Countries[ISO3],0),3),"")</f>
        <v>174</v>
      </c>
      <c r="E49" t="str">
        <f>IFERROR(INDEX(Countries[],MATCH(CountryCleanup[[#This Row],[ISO3]],Countries[ISO3],0),6),"")</f>
        <v>Comoros (the)</v>
      </c>
    </row>
    <row r="50" spans="2:5" x14ac:dyDescent="0.45">
      <c r="B50">
        <v>175</v>
      </c>
      <c r="C50" t="s">
        <v>899</v>
      </c>
      <c r="D50">
        <f>IFERROR(INDEX(Countries[],MATCH(CountryCleanup[[#This Row],[ISO3]],Countries[ISO3],0),3),"")</f>
        <v>175</v>
      </c>
      <c r="E50" t="str">
        <f>IFERROR(INDEX(Countries[],MATCH(CountryCleanup[[#This Row],[ISO3]],Countries[ISO3],0),6),"")</f>
        <v>Mayotte</v>
      </c>
    </row>
    <row r="51" spans="2:5" x14ac:dyDescent="0.45">
      <c r="B51" s="3">
        <v>176</v>
      </c>
      <c r="C51" t="s">
        <v>899</v>
      </c>
      <c r="D51">
        <f>IFERROR(INDEX(Countries[],MATCH(CountryCleanup[[#This Row],[ISO3]],Countries[ISO3],0),3),"")</f>
        <v>175</v>
      </c>
      <c r="E51" t="str">
        <f>IFERROR(INDEX(Countries[],MATCH(CountryCleanup[[#This Row],[ISO3]],Countries[ISO3],0),6),"")</f>
        <v>Mayotte</v>
      </c>
    </row>
    <row r="52" spans="2:5" x14ac:dyDescent="0.45">
      <c r="B52">
        <v>178</v>
      </c>
      <c r="C52" t="s">
        <v>451</v>
      </c>
      <c r="D52">
        <f>IFERROR(INDEX(Countries[],MATCH(CountryCleanup[[#This Row],[ISO3]],Countries[ISO3],0),3),"")</f>
        <v>178</v>
      </c>
      <c r="E52" t="str">
        <f>IFERROR(INDEX(Countries[],MATCH(CountryCleanup[[#This Row],[ISO3]],Countries[ISO3],0),6),"")</f>
        <v>Congo (the)</v>
      </c>
    </row>
    <row r="53" spans="2:5" x14ac:dyDescent="0.45">
      <c r="B53">
        <v>180</v>
      </c>
      <c r="C53" t="s">
        <v>500</v>
      </c>
      <c r="D53">
        <f>IFERROR(INDEX(Countries[],MATCH(CountryCleanup[[#This Row],[ISO3]],Countries[ISO3],0),3),"")</f>
        <v>180</v>
      </c>
      <c r="E53" t="str">
        <f>IFERROR(INDEX(Countries[],MATCH(CountryCleanup[[#This Row],[ISO3]],Countries[ISO3],0),6),"")</f>
        <v>Democratic Republic of the Congo (the)</v>
      </c>
    </row>
    <row r="54" spans="2:5" x14ac:dyDescent="0.45">
      <c r="B54">
        <v>184</v>
      </c>
      <c r="C54" t="s">
        <v>454</v>
      </c>
      <c r="D54">
        <f>IFERROR(INDEX(Countries[],MATCH(CountryCleanup[[#This Row],[ISO3]],Countries[ISO3],0),3),"")</f>
        <v>184</v>
      </c>
      <c r="E54" t="str">
        <f>IFERROR(INDEX(Countries[],MATCH(CountryCleanup[[#This Row],[ISO3]],Countries[ISO3],0),6),"")</f>
        <v>Cook Islands (the)</v>
      </c>
    </row>
    <row r="55" spans="2:5" x14ac:dyDescent="0.45">
      <c r="B55">
        <v>188</v>
      </c>
      <c r="C55" t="s">
        <v>460</v>
      </c>
      <c r="D55">
        <f>IFERROR(INDEX(Countries[],MATCH(CountryCleanup[[#This Row],[ISO3]],Countries[ISO3],0),3),"")</f>
        <v>188</v>
      </c>
      <c r="E55" t="str">
        <f>IFERROR(INDEX(Countries[],MATCH(CountryCleanup[[#This Row],[ISO3]],Countries[ISO3],0),6),"")</f>
        <v>Costa Rica</v>
      </c>
    </row>
    <row r="56" spans="2:5" x14ac:dyDescent="0.45">
      <c r="B56">
        <v>191</v>
      </c>
      <c r="C56" t="s">
        <v>468</v>
      </c>
      <c r="D56">
        <f>IFERROR(INDEX(Countries[],MATCH(CountryCleanup[[#This Row],[ISO3]],Countries[ISO3],0),3),"")</f>
        <v>191</v>
      </c>
      <c r="E56" t="str">
        <f>IFERROR(INDEX(Countries[],MATCH(CountryCleanup[[#This Row],[ISO3]],Countries[ISO3],0),6),"")</f>
        <v>Croatia</v>
      </c>
    </row>
    <row r="57" spans="2:5" x14ac:dyDescent="0.45">
      <c r="B57">
        <v>192</v>
      </c>
      <c r="C57" t="s">
        <v>474</v>
      </c>
      <c r="D57">
        <f>IFERROR(INDEX(Countries[],MATCH(CountryCleanup[[#This Row],[ISO3]],Countries[ISO3],0),3),"")</f>
        <v>192</v>
      </c>
      <c r="E57" t="str">
        <f>IFERROR(INDEX(Countries[],MATCH(CountryCleanup[[#This Row],[ISO3]],Countries[ISO3],0),6),"")</f>
        <v>Cuba</v>
      </c>
    </row>
    <row r="58" spans="2:5" x14ac:dyDescent="0.45">
      <c r="B58">
        <v>196</v>
      </c>
      <c r="C58" t="s">
        <v>483</v>
      </c>
      <c r="D58">
        <f>IFERROR(INDEX(Countries[],MATCH(CountryCleanup[[#This Row],[ISO3]],Countries[ISO3],0),3),"")</f>
        <v>196</v>
      </c>
      <c r="E58" t="str">
        <f>IFERROR(INDEX(Countries[],MATCH(CountryCleanup[[#This Row],[ISO3]],Countries[ISO3],0),6),"")</f>
        <v>Cyprus</v>
      </c>
    </row>
    <row r="59" spans="2:5" x14ac:dyDescent="0.45">
      <c r="B59" s="3">
        <v>200</v>
      </c>
      <c r="C59" t="s">
        <v>488</v>
      </c>
      <c r="D59">
        <f>IFERROR(INDEX(Countries[],MATCH(CountryCleanup[[#This Row],[ISO3]],Countries[ISO3],0),3),"")</f>
        <v>203</v>
      </c>
      <c r="E59" t="str">
        <f>IFERROR(INDEX(Countries[],MATCH(CountryCleanup[[#This Row],[ISO3]],Countries[ISO3],0),6),"")</f>
        <v>Czechia</v>
      </c>
    </row>
    <row r="60" spans="2:5" x14ac:dyDescent="0.45">
      <c r="B60">
        <v>203</v>
      </c>
      <c r="C60" t="s">
        <v>488</v>
      </c>
      <c r="D60">
        <f>IFERROR(INDEX(Countries[],MATCH(CountryCleanup[[#This Row],[ISO3]],Countries[ISO3],0),3),"")</f>
        <v>203</v>
      </c>
      <c r="E60" t="str">
        <f>IFERROR(INDEX(Countries[],MATCH(CountryCleanup[[#This Row],[ISO3]],Countries[ISO3],0),6),"")</f>
        <v>Czechia</v>
      </c>
    </row>
    <row r="61" spans="2:5" x14ac:dyDescent="0.45">
      <c r="B61">
        <v>204</v>
      </c>
      <c r="C61" t="s">
        <v>270</v>
      </c>
      <c r="D61">
        <f>IFERROR(INDEX(Countries[],MATCH(CountryCleanup[[#This Row],[ISO3]],Countries[ISO3],0),3),"")</f>
        <v>204</v>
      </c>
      <c r="E61" t="str">
        <f>IFERROR(INDEX(Countries[],MATCH(CountryCleanup[[#This Row],[ISO3]],Countries[ISO3],0),6),"")</f>
        <v>Benin</v>
      </c>
    </row>
    <row r="62" spans="2:5" x14ac:dyDescent="0.45">
      <c r="B62">
        <v>208</v>
      </c>
      <c r="C62" t="s">
        <v>506</v>
      </c>
      <c r="D62">
        <f>IFERROR(INDEX(Countries[],MATCH(CountryCleanup[[#This Row],[ISO3]],Countries[ISO3],0),3),"")</f>
        <v>208</v>
      </c>
      <c r="E62" t="str">
        <f>IFERROR(INDEX(Countries[],MATCH(CountryCleanup[[#This Row],[ISO3]],Countries[ISO3],0),6),"")</f>
        <v>Denmark</v>
      </c>
    </row>
    <row r="63" spans="2:5" x14ac:dyDescent="0.45">
      <c r="B63">
        <v>212</v>
      </c>
      <c r="C63" t="s">
        <v>516</v>
      </c>
      <c r="D63">
        <f>IFERROR(INDEX(Countries[],MATCH(CountryCleanup[[#This Row],[ISO3]],Countries[ISO3],0),3),"")</f>
        <v>212</v>
      </c>
      <c r="E63" t="str">
        <f>IFERROR(INDEX(Countries[],MATCH(CountryCleanup[[#This Row],[ISO3]],Countries[ISO3],0),6),"")</f>
        <v>Dominica</v>
      </c>
    </row>
    <row r="64" spans="2:5" x14ac:dyDescent="0.45">
      <c r="B64">
        <v>214</v>
      </c>
      <c r="C64" t="s">
        <v>520</v>
      </c>
      <c r="D64">
        <f>IFERROR(INDEX(Countries[],MATCH(CountryCleanup[[#This Row],[ISO3]],Countries[ISO3],0),3),"")</f>
        <v>214</v>
      </c>
      <c r="E64" t="str">
        <f>IFERROR(INDEX(Countries[],MATCH(CountryCleanup[[#This Row],[ISO3]],Countries[ISO3],0),6),"")</f>
        <v>Dominican Republic (the)</v>
      </c>
    </row>
    <row r="65" spans="2:5" x14ac:dyDescent="0.45">
      <c r="B65">
        <v>218</v>
      </c>
      <c r="C65" t="s">
        <v>527</v>
      </c>
      <c r="D65">
        <f>IFERROR(INDEX(Countries[],MATCH(CountryCleanup[[#This Row],[ISO3]],Countries[ISO3],0),3),"")</f>
        <v>218</v>
      </c>
      <c r="E65" t="str">
        <f>IFERROR(INDEX(Countries[],MATCH(CountryCleanup[[#This Row],[ISO3]],Countries[ISO3],0),6),"")</f>
        <v>Ecuador</v>
      </c>
    </row>
    <row r="66" spans="2:5" x14ac:dyDescent="0.45">
      <c r="B66">
        <v>222</v>
      </c>
      <c r="C66" t="s">
        <v>537</v>
      </c>
      <c r="D66">
        <f>IFERROR(INDEX(Countries[],MATCH(CountryCleanup[[#This Row],[ISO3]],Countries[ISO3],0),3),"")</f>
        <v>222</v>
      </c>
      <c r="E66" t="str">
        <f>IFERROR(INDEX(Countries[],MATCH(CountryCleanup[[#This Row],[ISO3]],Countries[ISO3],0),6),"")</f>
        <v>El Salvador</v>
      </c>
    </row>
    <row r="67" spans="2:5" x14ac:dyDescent="0.45">
      <c r="B67">
        <v>226</v>
      </c>
      <c r="C67" t="s">
        <v>541</v>
      </c>
      <c r="D67">
        <f>IFERROR(INDEX(Countries[],MATCH(CountryCleanup[[#This Row],[ISO3]],Countries[ISO3],0),3),"")</f>
        <v>226</v>
      </c>
      <c r="E67" t="str">
        <f>IFERROR(INDEX(Countries[],MATCH(CountryCleanup[[#This Row],[ISO3]],Countries[ISO3],0),6),"")</f>
        <v>Equatorial Guinea</v>
      </c>
    </row>
    <row r="68" spans="2:5" x14ac:dyDescent="0.45">
      <c r="B68" s="3">
        <v>230</v>
      </c>
      <c r="C68" t="s">
        <v>559</v>
      </c>
      <c r="D68">
        <f>IFERROR(INDEX(Countries[],MATCH(CountryCleanup[[#This Row],[ISO3]],Countries[ISO3],0),3),"")</f>
        <v>231</v>
      </c>
      <c r="E68" t="str">
        <f>IFERROR(INDEX(Countries[],MATCH(CountryCleanup[[#This Row],[ISO3]],Countries[ISO3],0),6),"")</f>
        <v>Ethiopia</v>
      </c>
    </row>
    <row r="69" spans="2:5" x14ac:dyDescent="0.45">
      <c r="B69">
        <v>231</v>
      </c>
      <c r="C69" t="s">
        <v>559</v>
      </c>
      <c r="D69">
        <f>IFERROR(INDEX(Countries[],MATCH(CountryCleanup[[#This Row],[ISO3]],Countries[ISO3],0),3),"")</f>
        <v>231</v>
      </c>
      <c r="E69" t="str">
        <f>IFERROR(INDEX(Countries[],MATCH(CountryCleanup[[#This Row],[ISO3]],Countries[ISO3],0),6),"")</f>
        <v>Ethiopia</v>
      </c>
    </row>
    <row r="70" spans="2:5" x14ac:dyDescent="0.45">
      <c r="B70">
        <v>232</v>
      </c>
      <c r="C70" t="s">
        <v>546</v>
      </c>
      <c r="D70">
        <f>IFERROR(INDEX(Countries[],MATCH(CountryCleanup[[#This Row],[ISO3]],Countries[ISO3],0),3),"")</f>
        <v>232</v>
      </c>
      <c r="E70" t="str">
        <f>IFERROR(INDEX(Countries[],MATCH(CountryCleanup[[#This Row],[ISO3]],Countries[ISO3],0),6),"")</f>
        <v>Eritrea</v>
      </c>
    </row>
    <row r="71" spans="2:5" x14ac:dyDescent="0.45">
      <c r="B71">
        <v>233</v>
      </c>
      <c r="C71" t="s">
        <v>551</v>
      </c>
      <c r="D71">
        <f>IFERROR(INDEX(Countries[],MATCH(CountryCleanup[[#This Row],[ISO3]],Countries[ISO3],0),3),"")</f>
        <v>233</v>
      </c>
      <c r="E71" t="str">
        <f>IFERROR(INDEX(Countries[],MATCH(CountryCleanup[[#This Row],[ISO3]],Countries[ISO3],0),6),"")</f>
        <v>Estonia</v>
      </c>
    </row>
    <row r="72" spans="2:5" x14ac:dyDescent="0.45">
      <c r="B72">
        <v>234</v>
      </c>
      <c r="C72" t="s">
        <v>580</v>
      </c>
      <c r="D72">
        <f>IFERROR(INDEX(Countries[],MATCH(CountryCleanup[[#This Row],[ISO3]],Countries[ISO3],0),3),"")</f>
        <v>234</v>
      </c>
      <c r="E72" t="str">
        <f>IFERROR(INDEX(Countries[],MATCH(CountryCleanup[[#This Row],[ISO3]],Countries[ISO3],0),6),"")</f>
        <v>Faroe Islands</v>
      </c>
    </row>
    <row r="73" spans="2:5" x14ac:dyDescent="0.45">
      <c r="B73">
        <v>238</v>
      </c>
      <c r="C73" t="s">
        <v>574</v>
      </c>
      <c r="D73">
        <f>IFERROR(INDEX(Countries[],MATCH(CountryCleanup[[#This Row],[ISO3]],Countries[ISO3],0),3),"")</f>
        <v>238</v>
      </c>
      <c r="E73" t="str">
        <f>IFERROR(INDEX(Countries[],MATCH(CountryCleanup[[#This Row],[ISO3]],Countries[ISO3],0),6),"")</f>
        <v>Falkland Islands (Malvinas)</v>
      </c>
    </row>
    <row r="74" spans="2:5" x14ac:dyDescent="0.45">
      <c r="B74">
        <v>242</v>
      </c>
      <c r="C74" t="s">
        <v>585</v>
      </c>
      <c r="D74">
        <f>IFERROR(INDEX(Countries[],MATCH(CountryCleanup[[#This Row],[ISO3]],Countries[ISO3],0),3),"")</f>
        <v>242</v>
      </c>
      <c r="E74" t="str">
        <f>IFERROR(INDEX(Countries[],MATCH(CountryCleanup[[#This Row],[ISO3]],Countries[ISO3],0),6),"")</f>
        <v>Fiji</v>
      </c>
    </row>
    <row r="75" spans="2:5" x14ac:dyDescent="0.45">
      <c r="B75">
        <v>246</v>
      </c>
      <c r="C75" t="s">
        <v>591</v>
      </c>
      <c r="D75">
        <f>IFERROR(INDEX(Countries[],MATCH(CountryCleanup[[#This Row],[ISO3]],Countries[ISO3],0),3),"")</f>
        <v>246</v>
      </c>
      <c r="E75" t="str">
        <f>IFERROR(INDEX(Countries[],MATCH(CountryCleanup[[#This Row],[ISO3]],Countries[ISO3],0),6),"")</f>
        <v>Finland</v>
      </c>
    </row>
    <row r="76" spans="2:5" x14ac:dyDescent="0.45">
      <c r="B76">
        <v>251</v>
      </c>
      <c r="C76" t="s">
        <v>596</v>
      </c>
      <c r="D76">
        <f>IFERROR(INDEX(Countries[],MATCH(CountryCleanup[[#This Row],[ISO3]],Countries[ISO3],0),3),"")</f>
        <v>250</v>
      </c>
      <c r="E76" t="str">
        <f>IFERROR(INDEX(Countries[],MATCH(CountryCleanup[[#This Row],[ISO3]],Countries[ISO3],0),6),"")</f>
        <v>France</v>
      </c>
    </row>
    <row r="77" spans="2:5" x14ac:dyDescent="0.45">
      <c r="B77">
        <v>252</v>
      </c>
      <c r="C77" s="3" t="s">
        <v>2787</v>
      </c>
      <c r="D77" t="str">
        <f>IFERROR(INDEX(Countries[],MATCH(CountryCleanup[[#This Row],[ISO3]],Countries[ISO3],0),3),"")</f>
        <v/>
      </c>
      <c r="E77" t="str">
        <f>IFERROR(INDEX(Countries[],MATCH(CountryCleanup[[#This Row],[ISO3]],Countries[ISO3],0),6),"")</f>
        <v/>
      </c>
    </row>
    <row r="78" spans="2:5" x14ac:dyDescent="0.45">
      <c r="B78">
        <v>254</v>
      </c>
      <c r="C78" t="s">
        <v>600</v>
      </c>
      <c r="D78">
        <f>IFERROR(INDEX(Countries[],MATCH(CountryCleanup[[#This Row],[ISO3]],Countries[ISO3],0),3),"")</f>
        <v>254</v>
      </c>
      <c r="E78" t="str">
        <f>IFERROR(INDEX(Countries[],MATCH(CountryCleanup[[#This Row],[ISO3]],Countries[ISO3],0),6),"")</f>
        <v>French Guiana</v>
      </c>
    </row>
    <row r="79" spans="2:5" x14ac:dyDescent="0.45">
      <c r="B79">
        <v>258</v>
      </c>
      <c r="C79" t="s">
        <v>605</v>
      </c>
      <c r="D79">
        <f>IFERROR(INDEX(Countries[],MATCH(CountryCleanup[[#This Row],[ISO3]],Countries[ISO3],0),3),"")</f>
        <v>258</v>
      </c>
      <c r="E79" t="str">
        <f>IFERROR(INDEX(Countries[],MATCH(CountryCleanup[[#This Row],[ISO3]],Countries[ISO3],0),6),"")</f>
        <v>French Polynesia</v>
      </c>
    </row>
    <row r="80" spans="2:5" x14ac:dyDescent="0.45">
      <c r="B80">
        <v>262</v>
      </c>
      <c r="C80" t="s">
        <v>512</v>
      </c>
      <c r="D80">
        <f>IFERROR(INDEX(Countries[],MATCH(CountryCleanup[[#This Row],[ISO3]],Countries[ISO3],0),3),"")</f>
        <v>262</v>
      </c>
      <c r="E80" t="str">
        <f>IFERROR(INDEX(Countries[],MATCH(CountryCleanup[[#This Row],[ISO3]],Countries[ISO3],0),6),"")</f>
        <v>Djibouti</v>
      </c>
    </row>
    <row r="81" spans="2:5" x14ac:dyDescent="0.45">
      <c r="B81">
        <v>263</v>
      </c>
      <c r="C81" s="3" t="s">
        <v>2335</v>
      </c>
      <c r="D81" s="33">
        <f>IFERROR(INDEX(Countries[],MATCH(CountryCleanup[[#This Row],[ISO3]],Countries[ISO3],0),3),"")</f>
        <v>11</v>
      </c>
      <c r="E81" t="str">
        <f>IFERROR(INDEX(Countries[],MATCH(CountryCleanup[[#This Row],[ISO3]],Countries[ISO3],0),6),"")</f>
        <v>Western Africa</v>
      </c>
    </row>
    <row r="82" spans="2:5" x14ac:dyDescent="0.45">
      <c r="B82">
        <v>265</v>
      </c>
      <c r="C82" t="s">
        <v>2330</v>
      </c>
      <c r="D82" s="33">
        <f>IFERROR(INDEX(Countries[],MATCH(CountryCleanup[[#This Row],[ISO3]],Countries[ISO3],0),3),"")</f>
        <v>35</v>
      </c>
      <c r="E82" t="str">
        <f>IFERROR(INDEX(Countries[],MATCH(CountryCleanup[[#This Row],[ISO3]],Countries[ISO3],0),6),"")</f>
        <v>South-eastern Asia</v>
      </c>
    </row>
    <row r="83" spans="2:5" x14ac:dyDescent="0.45">
      <c r="B83">
        <v>266</v>
      </c>
      <c r="C83" t="s">
        <v>617</v>
      </c>
      <c r="D83">
        <f>IFERROR(INDEX(Countries[],MATCH(CountryCleanup[[#This Row],[ISO3]],Countries[ISO3],0),3),"")</f>
        <v>266</v>
      </c>
      <c r="E83" t="str">
        <f>IFERROR(INDEX(Countries[],MATCH(CountryCleanup[[#This Row],[ISO3]],Countries[ISO3],0),6),"")</f>
        <v>Gabon</v>
      </c>
    </row>
    <row r="84" spans="2:5" x14ac:dyDescent="0.45">
      <c r="B84">
        <v>267</v>
      </c>
      <c r="C84" t="s">
        <v>2335</v>
      </c>
      <c r="D84" s="33">
        <f>IFERROR(INDEX(Countries[],MATCH(CountryCleanup[[#This Row],[ISO3]],Countries[ISO3],0),3),"")</f>
        <v>11</v>
      </c>
      <c r="E84" t="str">
        <f>IFERROR(INDEX(Countries[],MATCH(CountryCleanup[[#This Row],[ISO3]],Countries[ISO3],0),6),"")</f>
        <v>Western Africa</v>
      </c>
    </row>
    <row r="85" spans="2:5" x14ac:dyDescent="0.45">
      <c r="B85">
        <v>268</v>
      </c>
      <c r="C85" t="s">
        <v>626</v>
      </c>
      <c r="D85">
        <f>IFERROR(INDEX(Countries[],MATCH(CountryCleanup[[#This Row],[ISO3]],Countries[ISO3],0),3),"")</f>
        <v>268</v>
      </c>
      <c r="E85" t="str">
        <f>IFERROR(INDEX(Countries[],MATCH(CountryCleanup[[#This Row],[ISO3]],Countries[ISO3],0),6),"")</f>
        <v>Georgia</v>
      </c>
    </row>
    <row r="86" spans="2:5" x14ac:dyDescent="0.45">
      <c r="B86">
        <v>270</v>
      </c>
      <c r="C86" t="s">
        <v>621</v>
      </c>
      <c r="D86">
        <f>IFERROR(INDEX(Countries[],MATCH(CountryCleanup[[#This Row],[ISO3]],Countries[ISO3],0),3),"")</f>
        <v>270</v>
      </c>
      <c r="E86" t="str">
        <f>IFERROR(INDEX(Countries[],MATCH(CountryCleanup[[#This Row],[ISO3]],Countries[ISO3],0),6),"")</f>
        <v>Gambia (the)</v>
      </c>
    </row>
    <row r="87" spans="2:5" x14ac:dyDescent="0.45">
      <c r="B87">
        <v>275</v>
      </c>
      <c r="C87" t="s">
        <v>1280</v>
      </c>
      <c r="D87">
        <f>IFERROR(INDEX(Countries[],MATCH(CountryCleanup[[#This Row],[ISO3]],Countries[ISO3],0),3),"")</f>
        <v>275</v>
      </c>
      <c r="E87" t="str">
        <f>IFERROR(INDEX(Countries[],MATCH(CountryCleanup[[#This Row],[ISO3]],Countries[ISO3],0),6),"")</f>
        <v>State of Palestine (the)</v>
      </c>
    </row>
    <row r="88" spans="2:5" x14ac:dyDescent="0.45">
      <c r="B88">
        <v>276</v>
      </c>
      <c r="C88" t="s">
        <v>631</v>
      </c>
      <c r="D88">
        <f>IFERROR(INDEX(Countries[],MATCH(CountryCleanup[[#This Row],[ISO3]],Countries[ISO3],0),3),"")</f>
        <v>276</v>
      </c>
      <c r="E88" t="str">
        <f>IFERROR(INDEX(Countries[],MATCH(CountryCleanup[[#This Row],[ISO3]],Countries[ISO3],0),6),"")</f>
        <v>Germany</v>
      </c>
    </row>
    <row r="89" spans="2:5" x14ac:dyDescent="0.45">
      <c r="B89" s="3">
        <v>278</v>
      </c>
      <c r="C89" t="s">
        <v>631</v>
      </c>
      <c r="D89">
        <f>IFERROR(INDEX(Countries[],MATCH(CountryCleanup[[#This Row],[ISO3]],Countries[ISO3],0),3),"")</f>
        <v>276</v>
      </c>
      <c r="E89" t="str">
        <f>IFERROR(INDEX(Countries[],MATCH(CountryCleanup[[#This Row],[ISO3]],Countries[ISO3],0),6),"")</f>
        <v>Germany</v>
      </c>
    </row>
    <row r="90" spans="2:5" x14ac:dyDescent="0.45">
      <c r="B90" s="3">
        <v>280</v>
      </c>
      <c r="C90" t="s">
        <v>631</v>
      </c>
      <c r="D90">
        <f>IFERROR(INDEX(Countries[],MATCH(CountryCleanup[[#This Row],[ISO3]],Countries[ISO3],0),3),"")</f>
        <v>276</v>
      </c>
      <c r="E90" t="str">
        <f>IFERROR(INDEX(Countries[],MATCH(CountryCleanup[[#This Row],[ISO3]],Countries[ISO3],0),6),"")</f>
        <v>Germany</v>
      </c>
    </row>
    <row r="91" spans="2:5" x14ac:dyDescent="0.45">
      <c r="B91">
        <v>288</v>
      </c>
      <c r="C91" t="s">
        <v>636</v>
      </c>
      <c r="D91">
        <f>IFERROR(INDEX(Countries[],MATCH(CountryCleanup[[#This Row],[ISO3]],Countries[ISO3],0),3),"")</f>
        <v>288</v>
      </c>
      <c r="E91" t="str">
        <f>IFERROR(INDEX(Countries[],MATCH(CountryCleanup[[#This Row],[ISO3]],Countries[ISO3],0),6),"")</f>
        <v>Ghana</v>
      </c>
    </row>
    <row r="92" spans="2:5" x14ac:dyDescent="0.45">
      <c r="B92">
        <v>292</v>
      </c>
      <c r="C92" t="s">
        <v>640</v>
      </c>
      <c r="D92">
        <f>IFERROR(INDEX(Countries[],MATCH(CountryCleanup[[#This Row],[ISO3]],Countries[ISO3],0),3),"")</f>
        <v>292</v>
      </c>
      <c r="E92" t="str">
        <f>IFERROR(INDEX(Countries[],MATCH(CountryCleanup[[#This Row],[ISO3]],Countries[ISO3],0),6),"")</f>
        <v>Gibraltar</v>
      </c>
    </row>
    <row r="93" spans="2:5" x14ac:dyDescent="0.45">
      <c r="B93">
        <v>296</v>
      </c>
      <c r="C93" t="s">
        <v>789</v>
      </c>
      <c r="D93">
        <f>IFERROR(INDEX(Countries[],MATCH(CountryCleanup[[#This Row],[ISO3]],Countries[ISO3],0),3),"")</f>
        <v>296</v>
      </c>
      <c r="E93" t="str">
        <f>IFERROR(INDEX(Countries[],MATCH(CountryCleanup[[#This Row],[ISO3]],Countries[ISO3],0),6),"")</f>
        <v>Kiribati</v>
      </c>
    </row>
    <row r="94" spans="2:5" x14ac:dyDescent="0.45">
      <c r="B94">
        <v>300</v>
      </c>
      <c r="C94" t="s">
        <v>644</v>
      </c>
      <c r="D94">
        <f>IFERROR(INDEX(Countries[],MATCH(CountryCleanup[[#This Row],[ISO3]],Countries[ISO3],0),3),"")</f>
        <v>300</v>
      </c>
      <c r="E94" t="str">
        <f>IFERROR(INDEX(Countries[],MATCH(CountryCleanup[[#This Row],[ISO3]],Countries[ISO3],0),6),"")</f>
        <v>Greece</v>
      </c>
    </row>
    <row r="95" spans="2:5" x14ac:dyDescent="0.45">
      <c r="B95">
        <v>304</v>
      </c>
      <c r="C95" t="s">
        <v>649</v>
      </c>
      <c r="D95">
        <f>IFERROR(INDEX(Countries[],MATCH(CountryCleanup[[#This Row],[ISO3]],Countries[ISO3],0),3),"")</f>
        <v>304</v>
      </c>
      <c r="E95" t="str">
        <f>IFERROR(INDEX(Countries[],MATCH(CountryCleanup[[#This Row],[ISO3]],Countries[ISO3],0),6),"")</f>
        <v>Greenland</v>
      </c>
    </row>
    <row r="96" spans="2:5" x14ac:dyDescent="0.45">
      <c r="B96">
        <v>308</v>
      </c>
      <c r="C96" t="s">
        <v>654</v>
      </c>
      <c r="D96">
        <f>IFERROR(INDEX(Countries[],MATCH(CountryCleanup[[#This Row],[ISO3]],Countries[ISO3],0),3),"")</f>
        <v>308</v>
      </c>
      <c r="E96" t="str">
        <f>IFERROR(INDEX(Countries[],MATCH(CountryCleanup[[#This Row],[ISO3]],Countries[ISO3],0),6),"")</f>
        <v>Grenada</v>
      </c>
    </row>
    <row r="97" spans="2:5" x14ac:dyDescent="0.45">
      <c r="B97">
        <v>312</v>
      </c>
      <c r="C97" t="s">
        <v>659</v>
      </c>
      <c r="D97">
        <f>IFERROR(INDEX(Countries[],MATCH(CountryCleanup[[#This Row],[ISO3]],Countries[ISO3],0),3),"")</f>
        <v>312</v>
      </c>
      <c r="E97" t="str">
        <f>IFERROR(INDEX(Countries[],MATCH(CountryCleanup[[#This Row],[ISO3]],Countries[ISO3],0),6),"")</f>
        <v>Guadeloupe</v>
      </c>
    </row>
    <row r="98" spans="2:5" x14ac:dyDescent="0.45">
      <c r="B98">
        <v>313</v>
      </c>
      <c r="C98" t="s">
        <v>659</v>
      </c>
      <c r="D98">
        <f>IFERROR(INDEX(Countries[],MATCH(CountryCleanup[[#This Row],[ISO3]],Countries[ISO3],0),3),"")</f>
        <v>312</v>
      </c>
      <c r="E98" t="str">
        <f>IFERROR(INDEX(Countries[],MATCH(CountryCleanup[[#This Row],[ISO3]],Countries[ISO3],0),6),"")</f>
        <v>Guadeloupe</v>
      </c>
    </row>
    <row r="99" spans="2:5" x14ac:dyDescent="0.45">
      <c r="B99">
        <v>316</v>
      </c>
      <c r="C99" t="s">
        <v>663</v>
      </c>
      <c r="D99">
        <f>IFERROR(INDEX(Countries[],MATCH(CountryCleanup[[#This Row],[ISO3]],Countries[ISO3],0),3),"")</f>
        <v>316</v>
      </c>
      <c r="E99" t="str">
        <f>IFERROR(INDEX(Countries[],MATCH(CountryCleanup[[#This Row],[ISO3]],Countries[ISO3],0),6),"")</f>
        <v>Guam</v>
      </c>
    </row>
    <row r="100" spans="2:5" x14ac:dyDescent="0.45">
      <c r="B100">
        <v>320</v>
      </c>
      <c r="C100" t="s">
        <v>667</v>
      </c>
      <c r="D100">
        <f>IFERROR(INDEX(Countries[],MATCH(CountryCleanup[[#This Row],[ISO3]],Countries[ISO3],0),3),"")</f>
        <v>320</v>
      </c>
      <c r="E100" t="str">
        <f>IFERROR(INDEX(Countries[],MATCH(CountryCleanup[[#This Row],[ISO3]],Countries[ISO3],0),6),"")</f>
        <v>Guatemala</v>
      </c>
    </row>
    <row r="101" spans="2:5" x14ac:dyDescent="0.45">
      <c r="B101">
        <v>324</v>
      </c>
      <c r="C101" t="s">
        <v>676</v>
      </c>
      <c r="D101">
        <f>IFERROR(INDEX(Countries[],MATCH(CountryCleanup[[#This Row],[ISO3]],Countries[ISO3],0),3),"")</f>
        <v>324</v>
      </c>
      <c r="E101" t="str">
        <f>IFERROR(INDEX(Countries[],MATCH(CountryCleanup[[#This Row],[ISO3]],Countries[ISO3],0),6),"")</f>
        <v>Guinea</v>
      </c>
    </row>
    <row r="102" spans="2:5" x14ac:dyDescent="0.45">
      <c r="B102">
        <v>328</v>
      </c>
      <c r="C102" t="s">
        <v>685</v>
      </c>
      <c r="D102">
        <f>IFERROR(INDEX(Countries[],MATCH(CountryCleanup[[#This Row],[ISO3]],Countries[ISO3],0),3),"")</f>
        <v>328</v>
      </c>
      <c r="E102" t="str">
        <f>IFERROR(INDEX(Countries[],MATCH(CountryCleanup[[#This Row],[ISO3]],Countries[ISO3],0),6),"")</f>
        <v>Guyana</v>
      </c>
    </row>
    <row r="103" spans="2:5" x14ac:dyDescent="0.45">
      <c r="B103">
        <v>332</v>
      </c>
      <c r="C103" t="s">
        <v>689</v>
      </c>
      <c r="D103">
        <f>IFERROR(INDEX(Countries[],MATCH(CountryCleanup[[#This Row],[ISO3]],Countries[ISO3],0),3),"")</f>
        <v>332</v>
      </c>
      <c r="E103" t="str">
        <f>IFERROR(INDEX(Countries[],MATCH(CountryCleanup[[#This Row],[ISO3]],Countries[ISO3],0),6),"")</f>
        <v>Haiti</v>
      </c>
    </row>
    <row r="104" spans="2:5" x14ac:dyDescent="0.45">
      <c r="B104">
        <v>340</v>
      </c>
      <c r="C104" t="s">
        <v>705</v>
      </c>
      <c r="D104">
        <f>IFERROR(INDEX(Countries[],MATCH(CountryCleanup[[#This Row],[ISO3]],Countries[ISO3],0),3),"")</f>
        <v>340</v>
      </c>
      <c r="E104" t="str">
        <f>IFERROR(INDEX(Countries[],MATCH(CountryCleanup[[#This Row],[ISO3]],Countries[ISO3],0),6),"")</f>
        <v>Honduras</v>
      </c>
    </row>
    <row r="105" spans="2:5" x14ac:dyDescent="0.45">
      <c r="B105">
        <v>344</v>
      </c>
      <c r="C105" t="s">
        <v>410</v>
      </c>
      <c r="D105">
        <f>IFERROR(INDEX(Countries[],MATCH(CountryCleanup[[#This Row],[ISO3]],Countries[ISO3],0),3),"")</f>
        <v>344</v>
      </c>
      <c r="E105" t="str">
        <f>IFERROR(INDEX(Countries[],MATCH(CountryCleanup[[#This Row],[ISO3]],Countries[ISO3],0),6),"")</f>
        <v>China, Hong Kong Special Administrative Region</v>
      </c>
    </row>
    <row r="106" spans="2:5" x14ac:dyDescent="0.45">
      <c r="B106">
        <v>348</v>
      </c>
      <c r="C106" t="s">
        <v>709</v>
      </c>
      <c r="D106">
        <f>IFERROR(INDEX(Countries[],MATCH(CountryCleanup[[#This Row],[ISO3]],Countries[ISO3],0),3),"")</f>
        <v>348</v>
      </c>
      <c r="E106" t="str">
        <f>IFERROR(INDEX(Countries[],MATCH(CountryCleanup[[#This Row],[ISO3]],Countries[ISO3],0),6),"")</f>
        <v>Hungary</v>
      </c>
    </row>
    <row r="107" spans="2:5" x14ac:dyDescent="0.45">
      <c r="B107">
        <v>352</v>
      </c>
      <c r="C107" t="s">
        <v>715</v>
      </c>
      <c r="D107">
        <f>IFERROR(INDEX(Countries[],MATCH(CountryCleanup[[#This Row],[ISO3]],Countries[ISO3],0),3),"")</f>
        <v>352</v>
      </c>
      <c r="E107" t="str">
        <f>IFERROR(INDEX(Countries[],MATCH(CountryCleanup[[#This Row],[ISO3]],Countries[ISO3],0),6),"")</f>
        <v>Iceland</v>
      </c>
    </row>
    <row r="108" spans="2:5" x14ac:dyDescent="0.45">
      <c r="B108">
        <v>356</v>
      </c>
      <c r="C108" t="s">
        <v>721</v>
      </c>
      <c r="D108">
        <f>IFERROR(INDEX(Countries[],MATCH(CountryCleanup[[#This Row],[ISO3]],Countries[ISO3],0),3),"")</f>
        <v>356</v>
      </c>
      <c r="E108" t="str">
        <f>IFERROR(INDEX(Countries[],MATCH(CountryCleanup[[#This Row],[ISO3]],Countries[ISO3],0),6),"")</f>
        <v>India</v>
      </c>
    </row>
    <row r="109" spans="2:5" x14ac:dyDescent="0.45">
      <c r="B109">
        <v>360</v>
      </c>
      <c r="C109" t="s">
        <v>725</v>
      </c>
      <c r="D109">
        <f>IFERROR(INDEX(Countries[],MATCH(CountryCleanup[[#This Row],[ISO3]],Countries[ISO3],0),3),"")</f>
        <v>360</v>
      </c>
      <c r="E109" t="str">
        <f>IFERROR(INDEX(Countries[],MATCH(CountryCleanup[[#This Row],[ISO3]],Countries[ISO3],0),6),"")</f>
        <v>Indonesia</v>
      </c>
    </row>
    <row r="110" spans="2:5" x14ac:dyDescent="0.45">
      <c r="B110">
        <v>364</v>
      </c>
      <c r="C110" t="s">
        <v>730</v>
      </c>
      <c r="D110">
        <f>IFERROR(INDEX(Countries[],MATCH(CountryCleanup[[#This Row],[ISO3]],Countries[ISO3],0),3),"")</f>
        <v>364</v>
      </c>
      <c r="E110" t="str">
        <f>IFERROR(INDEX(Countries[],MATCH(CountryCleanup[[#This Row],[ISO3]],Countries[ISO3],0),6),"")</f>
        <v>Iran (Islamic Republic of)</v>
      </c>
    </row>
    <row r="111" spans="2:5" x14ac:dyDescent="0.45">
      <c r="B111">
        <v>368</v>
      </c>
      <c r="C111" t="s">
        <v>736</v>
      </c>
      <c r="D111">
        <f>IFERROR(INDEX(Countries[],MATCH(CountryCleanup[[#This Row],[ISO3]],Countries[ISO3],0),3),"")</f>
        <v>368</v>
      </c>
      <c r="E111" t="str">
        <f>IFERROR(INDEX(Countries[],MATCH(CountryCleanup[[#This Row],[ISO3]],Countries[ISO3],0),6),"")</f>
        <v>Iraq</v>
      </c>
    </row>
    <row r="112" spans="2:5" x14ac:dyDescent="0.45">
      <c r="B112">
        <v>372</v>
      </c>
      <c r="C112" t="s">
        <v>740</v>
      </c>
      <c r="D112">
        <f>IFERROR(INDEX(Countries[],MATCH(CountryCleanup[[#This Row],[ISO3]],Countries[ISO3],0),3),"")</f>
        <v>372</v>
      </c>
      <c r="E112" t="str">
        <f>IFERROR(INDEX(Countries[],MATCH(CountryCleanup[[#This Row],[ISO3]],Countries[ISO3],0),6),"")</f>
        <v>Ireland</v>
      </c>
    </row>
    <row r="113" spans="2:5" x14ac:dyDescent="0.45">
      <c r="B113">
        <v>376</v>
      </c>
      <c r="C113" t="s">
        <v>750</v>
      </c>
      <c r="D113">
        <f>IFERROR(INDEX(Countries[],MATCH(CountryCleanup[[#This Row],[ISO3]],Countries[ISO3],0),3),"")</f>
        <v>376</v>
      </c>
      <c r="E113" t="str">
        <f>IFERROR(INDEX(Countries[],MATCH(CountryCleanup[[#This Row],[ISO3]],Countries[ISO3],0),6),"")</f>
        <v>Israel</v>
      </c>
    </row>
    <row r="114" spans="2:5" x14ac:dyDescent="0.45">
      <c r="B114">
        <v>382</v>
      </c>
      <c r="C114" t="s">
        <v>755</v>
      </c>
      <c r="D114">
        <f>IFERROR(INDEX(Countries[],MATCH(CountryCleanup[[#This Row],[ISO3]],Countries[ISO3],0),3),"")</f>
        <v>380</v>
      </c>
      <c r="E114" t="str">
        <f>IFERROR(INDEX(Countries[],MATCH(CountryCleanup[[#This Row],[ISO3]],Countries[ISO3],0),6),"")</f>
        <v>Italy</v>
      </c>
    </row>
    <row r="115" spans="2:5" x14ac:dyDescent="0.45">
      <c r="B115">
        <v>384</v>
      </c>
      <c r="C115" t="s">
        <v>464</v>
      </c>
      <c r="D115">
        <f>IFERROR(INDEX(Countries[],MATCH(CountryCleanup[[#This Row],[ISO3]],Countries[ISO3],0),3),"")</f>
        <v>384</v>
      </c>
      <c r="E115" t="str">
        <f>IFERROR(INDEX(Countries[],MATCH(CountryCleanup[[#This Row],[ISO3]],Countries[ISO3],0),6),"")</f>
        <v>Côte d'Ivoire</v>
      </c>
    </row>
    <row r="116" spans="2:5" x14ac:dyDescent="0.45">
      <c r="B116">
        <v>388</v>
      </c>
      <c r="C116" t="s">
        <v>760</v>
      </c>
      <c r="D116">
        <f>IFERROR(INDEX(Countries[],MATCH(CountryCleanup[[#This Row],[ISO3]],Countries[ISO3],0),3),"")</f>
        <v>388</v>
      </c>
      <c r="E116" t="str">
        <f>IFERROR(INDEX(Countries[],MATCH(CountryCleanup[[#This Row],[ISO3]],Countries[ISO3],0),6),"")</f>
        <v>Jamaica</v>
      </c>
    </row>
    <row r="117" spans="2:5" x14ac:dyDescent="0.45">
      <c r="B117">
        <v>392</v>
      </c>
      <c r="C117" t="s">
        <v>765</v>
      </c>
      <c r="D117">
        <f>IFERROR(INDEX(Countries[],MATCH(CountryCleanup[[#This Row],[ISO3]],Countries[ISO3],0),3),"")</f>
        <v>392</v>
      </c>
      <c r="E117" t="str">
        <f>IFERROR(INDEX(Countries[],MATCH(CountryCleanup[[#This Row],[ISO3]],Countries[ISO3],0),6),"")</f>
        <v>Japan</v>
      </c>
    </row>
    <row r="118" spans="2:5" x14ac:dyDescent="0.45">
      <c r="B118">
        <v>393</v>
      </c>
      <c r="C118" t="s">
        <v>765</v>
      </c>
      <c r="D118" s="33">
        <f>IFERROR(INDEX(Countries[],MATCH(CountryCleanup[[#This Row],[ISO3]],Countries[ISO3],0),3),"")</f>
        <v>392</v>
      </c>
      <c r="E118" t="str">
        <f>IFERROR(INDEX(Countries[],MATCH(CountryCleanup[[#This Row],[ISO3]],Countries[ISO3],0),6),"")</f>
        <v>Japan</v>
      </c>
    </row>
    <row r="119" spans="2:5" x14ac:dyDescent="0.45">
      <c r="B119">
        <v>398</v>
      </c>
      <c r="C119" t="s">
        <v>780</v>
      </c>
      <c r="D119">
        <f>IFERROR(INDEX(Countries[],MATCH(CountryCleanup[[#This Row],[ISO3]],Countries[ISO3],0),3),"")</f>
        <v>398</v>
      </c>
      <c r="E119" t="str">
        <f>IFERROR(INDEX(Countries[],MATCH(CountryCleanup[[#This Row],[ISO3]],Countries[ISO3],0),6),"")</f>
        <v>Kazakhstan</v>
      </c>
    </row>
    <row r="120" spans="2:5" x14ac:dyDescent="0.45">
      <c r="B120">
        <v>400</v>
      </c>
      <c r="C120" t="s">
        <v>774</v>
      </c>
      <c r="D120">
        <f>IFERROR(INDEX(Countries[],MATCH(CountryCleanup[[#This Row],[ISO3]],Countries[ISO3],0),3),"")</f>
        <v>400</v>
      </c>
      <c r="E120" t="str">
        <f>IFERROR(INDEX(Countries[],MATCH(CountryCleanup[[#This Row],[ISO3]],Countries[ISO3],0),6),"")</f>
        <v>Jordan</v>
      </c>
    </row>
    <row r="121" spans="2:5" x14ac:dyDescent="0.45">
      <c r="B121">
        <v>404</v>
      </c>
      <c r="C121" t="s">
        <v>785</v>
      </c>
      <c r="D121">
        <f>IFERROR(INDEX(Countries[],MATCH(CountryCleanup[[#This Row],[ISO3]],Countries[ISO3],0),3),"")</f>
        <v>404</v>
      </c>
      <c r="E121" t="str">
        <f>IFERROR(INDEX(Countries[],MATCH(CountryCleanup[[#This Row],[ISO3]],Countries[ISO3],0),6),"")</f>
        <v>Kenya</v>
      </c>
    </row>
    <row r="122" spans="2:5" x14ac:dyDescent="0.45">
      <c r="B122">
        <v>408</v>
      </c>
      <c r="C122" t="s">
        <v>494</v>
      </c>
      <c r="D122">
        <f>IFERROR(INDEX(Countries[],MATCH(CountryCleanup[[#This Row],[ISO3]],Countries[ISO3],0),3),"")</f>
        <v>408</v>
      </c>
      <c r="E122" t="str">
        <f>IFERROR(INDEX(Countries[],MATCH(CountryCleanup[[#This Row],[ISO3]],Countries[ISO3],0),6),"")</f>
        <v>Democratic People's Republic of Korea (the)</v>
      </c>
    </row>
    <row r="123" spans="2:5" x14ac:dyDescent="0.45">
      <c r="B123">
        <v>410</v>
      </c>
      <c r="C123" t="s">
        <v>1078</v>
      </c>
      <c r="D123">
        <f>IFERROR(INDEX(Countries[],MATCH(CountryCleanup[[#This Row],[ISO3]],Countries[ISO3],0),3),"")</f>
        <v>410</v>
      </c>
      <c r="E123" t="str">
        <f>IFERROR(INDEX(Countries[],MATCH(CountryCleanup[[#This Row],[ISO3]],Countries[ISO3],0),6),"")</f>
        <v>Republic of Korea (the)</v>
      </c>
    </row>
    <row r="124" spans="2:5" x14ac:dyDescent="0.45">
      <c r="B124">
        <v>412</v>
      </c>
      <c r="C124" t="s">
        <v>791</v>
      </c>
      <c r="D124">
        <f>IFERROR(INDEX(Countries[],MATCH(CountryCleanup[[#This Row],[ISO3]],Countries[ISO3],0),3),"")</f>
        <v>412</v>
      </c>
      <c r="E124" t="str">
        <f>IFERROR(INDEX(Countries[],MATCH(CountryCleanup[[#This Row],[ISO3]],Countries[ISO3],0),6),"")</f>
        <v>Kosovo</v>
      </c>
    </row>
    <row r="125" spans="2:5" x14ac:dyDescent="0.45">
      <c r="B125">
        <v>414</v>
      </c>
      <c r="C125" t="s">
        <v>794</v>
      </c>
      <c r="D125">
        <f>IFERROR(INDEX(Countries[],MATCH(CountryCleanup[[#This Row],[ISO3]],Countries[ISO3],0),3),"")</f>
        <v>414</v>
      </c>
      <c r="E125" t="str">
        <f>IFERROR(INDEX(Countries[],MATCH(CountryCleanup[[#This Row],[ISO3]],Countries[ISO3],0),6),"")</f>
        <v>Kuwait</v>
      </c>
    </row>
    <row r="126" spans="2:5" x14ac:dyDescent="0.45">
      <c r="B126">
        <v>417</v>
      </c>
      <c r="C126" t="s">
        <v>799</v>
      </c>
      <c r="D126">
        <f>IFERROR(INDEX(Countries[],MATCH(CountryCleanup[[#This Row],[ISO3]],Countries[ISO3],0),3),"")</f>
        <v>417</v>
      </c>
      <c r="E126" t="str">
        <f>IFERROR(INDEX(Countries[],MATCH(CountryCleanup[[#This Row],[ISO3]],Countries[ISO3],0),6),"")</f>
        <v>Kyrgyzstan</v>
      </c>
    </row>
    <row r="127" spans="2:5" x14ac:dyDescent="0.45">
      <c r="B127">
        <v>418</v>
      </c>
      <c r="C127" t="s">
        <v>806</v>
      </c>
      <c r="D127">
        <f>IFERROR(INDEX(Countries[],MATCH(CountryCleanup[[#This Row],[ISO3]],Countries[ISO3],0),3),"")</f>
        <v>418</v>
      </c>
      <c r="E127" t="str">
        <f>IFERROR(INDEX(Countries[],MATCH(CountryCleanup[[#This Row],[ISO3]],Countries[ISO3],0),6),"")</f>
        <v>Lao People's Democratic Republic (the)</v>
      </c>
    </row>
    <row r="128" spans="2:5" x14ac:dyDescent="0.45">
      <c r="B128">
        <v>422</v>
      </c>
      <c r="C128" t="s">
        <v>818</v>
      </c>
      <c r="D128">
        <f>IFERROR(INDEX(Countries[],MATCH(CountryCleanup[[#This Row],[ISO3]],Countries[ISO3],0),3),"")</f>
        <v>422</v>
      </c>
      <c r="E128" t="str">
        <f>IFERROR(INDEX(Countries[],MATCH(CountryCleanup[[#This Row],[ISO3]],Countries[ISO3],0),6),"")</f>
        <v>Lebanon</v>
      </c>
    </row>
    <row r="129" spans="2:5" x14ac:dyDescent="0.45">
      <c r="B129">
        <v>423</v>
      </c>
      <c r="C129" t="s">
        <v>2311</v>
      </c>
      <c r="D129" s="33">
        <f>IFERROR(INDEX(Countries[],MATCH(CountryCleanup[[#This Row],[ISO3]],Countries[ISO3],0),3),"")</f>
        <v>29</v>
      </c>
      <c r="E129" t="str">
        <f>IFERROR(INDEX(Countries[],MATCH(CountryCleanup[[#This Row],[ISO3]],Countries[ISO3],0),6),"")</f>
        <v>Caribbean</v>
      </c>
    </row>
    <row r="130" spans="2:5" x14ac:dyDescent="0.45">
      <c r="B130">
        <v>426</v>
      </c>
      <c r="C130" t="s">
        <v>824</v>
      </c>
      <c r="D130">
        <f>IFERROR(INDEX(Countries[],MATCH(CountryCleanup[[#This Row],[ISO3]],Countries[ISO3],0),3),"")</f>
        <v>426</v>
      </c>
      <c r="E130" t="str">
        <f>IFERROR(INDEX(Countries[],MATCH(CountryCleanup[[#This Row],[ISO3]],Countries[ISO3],0),6),"")</f>
        <v>Lesotho</v>
      </c>
    </row>
    <row r="131" spans="2:5" x14ac:dyDescent="0.45">
      <c r="B131">
        <v>428</v>
      </c>
      <c r="C131" t="s">
        <v>812</v>
      </c>
      <c r="D131">
        <f>IFERROR(INDEX(Countries[],MATCH(CountryCleanup[[#This Row],[ISO3]],Countries[ISO3],0),3),"")</f>
        <v>428</v>
      </c>
      <c r="E131" t="str">
        <f>IFERROR(INDEX(Countries[],MATCH(CountryCleanup[[#This Row],[ISO3]],Countries[ISO3],0),6),"")</f>
        <v>Latvia</v>
      </c>
    </row>
    <row r="132" spans="2:5" x14ac:dyDescent="0.45">
      <c r="B132">
        <v>430</v>
      </c>
      <c r="C132" t="s">
        <v>828</v>
      </c>
      <c r="D132">
        <f>IFERROR(INDEX(Countries[],MATCH(CountryCleanup[[#This Row],[ISO3]],Countries[ISO3],0),3),"")</f>
        <v>430</v>
      </c>
      <c r="E132" t="str">
        <f>IFERROR(INDEX(Countries[],MATCH(CountryCleanup[[#This Row],[ISO3]],Countries[ISO3],0),6),"")</f>
        <v>Liberia</v>
      </c>
    </row>
    <row r="133" spans="2:5" x14ac:dyDescent="0.45">
      <c r="B133">
        <v>434</v>
      </c>
      <c r="C133" t="s">
        <v>833</v>
      </c>
      <c r="D133">
        <f>IFERROR(INDEX(Countries[],MATCH(CountryCleanup[[#This Row],[ISO3]],Countries[ISO3],0),3),"")</f>
        <v>434</v>
      </c>
      <c r="E133" t="str">
        <f>IFERROR(INDEX(Countries[],MATCH(CountryCleanup[[#This Row],[ISO3]],Countries[ISO3],0),6),"")</f>
        <v>Libya</v>
      </c>
    </row>
    <row r="134" spans="2:5" x14ac:dyDescent="0.45">
      <c r="B134">
        <v>438</v>
      </c>
      <c r="C134" t="s">
        <v>839</v>
      </c>
      <c r="D134">
        <f>IFERROR(INDEX(Countries[],MATCH(CountryCleanup[[#This Row],[ISO3]],Countries[ISO3],0),3),"")</f>
        <v>438</v>
      </c>
      <c r="E134" t="str">
        <f>IFERROR(INDEX(Countries[],MATCH(CountryCleanup[[#This Row],[ISO3]],Countries[ISO3],0),6),"")</f>
        <v>Liechtenstein</v>
      </c>
    </row>
    <row r="135" spans="2:5" x14ac:dyDescent="0.45">
      <c r="B135">
        <v>440</v>
      </c>
      <c r="C135" t="s">
        <v>843</v>
      </c>
      <c r="D135">
        <f>IFERROR(INDEX(Countries[],MATCH(CountryCleanup[[#This Row],[ISO3]],Countries[ISO3],0),3),"")</f>
        <v>440</v>
      </c>
      <c r="E135" t="str">
        <f>IFERROR(INDEX(Countries[],MATCH(CountryCleanup[[#This Row],[ISO3]],Countries[ISO3],0),6),"")</f>
        <v>Lithuania</v>
      </c>
    </row>
    <row r="136" spans="2:5" x14ac:dyDescent="0.45">
      <c r="B136">
        <v>442</v>
      </c>
      <c r="C136" t="s">
        <v>848</v>
      </c>
      <c r="D136">
        <f>IFERROR(INDEX(Countries[],MATCH(CountryCleanup[[#This Row],[ISO3]],Countries[ISO3],0),3),"")</f>
        <v>442</v>
      </c>
      <c r="E136" t="str">
        <f>IFERROR(INDEX(Countries[],MATCH(CountryCleanup[[#This Row],[ISO3]],Countries[ISO3],0),6),"")</f>
        <v>Luxembourg</v>
      </c>
    </row>
    <row r="137" spans="2:5" x14ac:dyDescent="0.45">
      <c r="B137">
        <v>446</v>
      </c>
      <c r="C137" t="s">
        <v>417</v>
      </c>
      <c r="D137">
        <f>IFERROR(INDEX(Countries[],MATCH(CountryCleanup[[#This Row],[ISO3]],Countries[ISO3],0),3),"")</f>
        <v>446</v>
      </c>
      <c r="E137" t="str">
        <f>IFERROR(INDEX(Countries[],MATCH(CountryCleanup[[#This Row],[ISO3]],Countries[ISO3],0),6),"")</f>
        <v>China, Macao Special Administrative Region</v>
      </c>
    </row>
    <row r="138" spans="2:5" x14ac:dyDescent="0.45">
      <c r="B138">
        <v>450</v>
      </c>
      <c r="C138" t="s">
        <v>852</v>
      </c>
      <c r="D138">
        <f>IFERROR(INDEX(Countries[],MATCH(CountryCleanup[[#This Row],[ISO3]],Countries[ISO3],0),3),"")</f>
        <v>450</v>
      </c>
      <c r="E138" t="str">
        <f>IFERROR(INDEX(Countries[],MATCH(CountryCleanup[[#This Row],[ISO3]],Countries[ISO3],0),6),"")</f>
        <v>Madagascar</v>
      </c>
    </row>
    <row r="139" spans="2:5" x14ac:dyDescent="0.45">
      <c r="B139">
        <v>454</v>
      </c>
      <c r="C139" t="s">
        <v>856</v>
      </c>
      <c r="D139">
        <f>IFERROR(INDEX(Countries[],MATCH(CountryCleanup[[#This Row],[ISO3]],Countries[ISO3],0),3),"")</f>
        <v>454</v>
      </c>
      <c r="E139" t="str">
        <f>IFERROR(INDEX(Countries[],MATCH(CountryCleanup[[#This Row],[ISO3]],Countries[ISO3],0),6),"")</f>
        <v>Malawi</v>
      </c>
    </row>
    <row r="140" spans="2:5" x14ac:dyDescent="0.45">
      <c r="B140">
        <v>455</v>
      </c>
      <c r="C140" s="3" t="s">
        <v>1218</v>
      </c>
      <c r="D140" s="33">
        <f>IFERROR(INDEX(Countries[],MATCH(CountryCleanup[[#This Row],[ISO3]],Countries[ISO3],0),3),"")</f>
        <v>702</v>
      </c>
      <c r="E140" t="str">
        <f>IFERROR(INDEX(Countries[],MATCH(CountryCleanup[[#This Row],[ISO3]],Countries[ISO3],0),6),"")</f>
        <v>Singapore</v>
      </c>
    </row>
    <row r="141" spans="2:5" x14ac:dyDescent="0.45">
      <c r="B141">
        <v>457</v>
      </c>
      <c r="C141" t="s">
        <v>860</v>
      </c>
      <c r="D141" s="33">
        <f>IFERROR(INDEX(Countries[],MATCH(CountryCleanup[[#This Row],[ISO3]],Countries[ISO3],0),3),"")</f>
        <v>458</v>
      </c>
      <c r="E141" t="str">
        <f>IFERROR(INDEX(Countries[],MATCH(CountryCleanup[[#This Row],[ISO3]],Countries[ISO3],0),6),"")</f>
        <v>Malaysia</v>
      </c>
    </row>
    <row r="142" spans="2:5" x14ac:dyDescent="0.45">
      <c r="B142">
        <v>458</v>
      </c>
      <c r="C142" t="s">
        <v>860</v>
      </c>
      <c r="D142">
        <f>IFERROR(INDEX(Countries[],MATCH(CountryCleanup[[#This Row],[ISO3]],Countries[ISO3],0),3),"")</f>
        <v>458</v>
      </c>
      <c r="E142" t="str">
        <f>IFERROR(INDEX(Countries[],MATCH(CountryCleanup[[#This Row],[ISO3]],Countries[ISO3],0),6),"")</f>
        <v>Malaysia</v>
      </c>
    </row>
    <row r="143" spans="2:5" x14ac:dyDescent="0.45">
      <c r="B143">
        <v>459</v>
      </c>
      <c r="C143" t="s">
        <v>860</v>
      </c>
      <c r="D143" s="33">
        <f>IFERROR(INDEX(Countries[],MATCH(CountryCleanup[[#This Row],[ISO3]],Countries[ISO3],0),3),"")</f>
        <v>458</v>
      </c>
      <c r="E143" t="str">
        <f>IFERROR(INDEX(Countries[],MATCH(CountryCleanup[[#This Row],[ISO3]],Countries[ISO3],0),6),"")</f>
        <v>Malaysia</v>
      </c>
    </row>
    <row r="144" spans="2:5" x14ac:dyDescent="0.45">
      <c r="B144">
        <v>461</v>
      </c>
      <c r="C144" t="s">
        <v>860</v>
      </c>
      <c r="D144" s="33">
        <f>IFERROR(INDEX(Countries[],MATCH(CountryCleanup[[#This Row],[ISO3]],Countries[ISO3],0),3),"")</f>
        <v>458</v>
      </c>
      <c r="E144" t="str">
        <f>IFERROR(INDEX(Countries[],MATCH(CountryCleanup[[#This Row],[ISO3]],Countries[ISO3],0),6),"")</f>
        <v>Malaysia</v>
      </c>
    </row>
    <row r="145" spans="2:5" x14ac:dyDescent="0.45">
      <c r="B145">
        <v>462</v>
      </c>
      <c r="C145" t="s">
        <v>866</v>
      </c>
      <c r="D145">
        <f>IFERROR(INDEX(Countries[],MATCH(CountryCleanup[[#This Row],[ISO3]],Countries[ISO3],0),3),"")</f>
        <v>462</v>
      </c>
      <c r="E145" t="str">
        <f>IFERROR(INDEX(Countries[],MATCH(CountryCleanup[[#This Row],[ISO3]],Countries[ISO3],0),6),"")</f>
        <v>Maldives</v>
      </c>
    </row>
    <row r="146" spans="2:5" x14ac:dyDescent="0.45">
      <c r="B146">
        <v>466</v>
      </c>
      <c r="C146" t="s">
        <v>871</v>
      </c>
      <c r="D146">
        <f>IFERROR(INDEX(Countries[],MATCH(CountryCleanup[[#This Row],[ISO3]],Countries[ISO3],0),3),"")</f>
        <v>466</v>
      </c>
      <c r="E146" t="str">
        <f>IFERROR(INDEX(Countries[],MATCH(CountryCleanup[[#This Row],[ISO3]],Countries[ISO3],0),6),"")</f>
        <v>Mali</v>
      </c>
    </row>
    <row r="147" spans="2:5" x14ac:dyDescent="0.45">
      <c r="B147">
        <v>470</v>
      </c>
      <c r="C147" t="s">
        <v>875</v>
      </c>
      <c r="D147">
        <f>IFERROR(INDEX(Countries[],MATCH(CountryCleanup[[#This Row],[ISO3]],Countries[ISO3],0),3),"")</f>
        <v>470</v>
      </c>
      <c r="E147" t="str">
        <f>IFERROR(INDEX(Countries[],MATCH(CountryCleanup[[#This Row],[ISO3]],Countries[ISO3],0),6),"")</f>
        <v>Malta</v>
      </c>
    </row>
    <row r="148" spans="2:5" x14ac:dyDescent="0.45">
      <c r="B148">
        <v>474</v>
      </c>
      <c r="C148" t="s">
        <v>884</v>
      </c>
      <c r="D148">
        <f>IFERROR(INDEX(Countries[],MATCH(CountryCleanup[[#This Row],[ISO3]],Countries[ISO3],0),3),"")</f>
        <v>474</v>
      </c>
      <c r="E148" t="str">
        <f>IFERROR(INDEX(Countries[],MATCH(CountryCleanup[[#This Row],[ISO3]],Countries[ISO3],0),6),"")</f>
        <v>Martinique</v>
      </c>
    </row>
    <row r="149" spans="2:5" x14ac:dyDescent="0.45">
      <c r="B149">
        <v>475</v>
      </c>
      <c r="C149" t="s">
        <v>884</v>
      </c>
      <c r="D149">
        <f>IFERROR(INDEX(Countries[],MATCH(CountryCleanup[[#This Row],[ISO3]],Countries[ISO3],0),3),"")</f>
        <v>474</v>
      </c>
      <c r="E149" t="str">
        <f>IFERROR(INDEX(Countries[],MATCH(CountryCleanup[[#This Row],[ISO3]],Countries[ISO3],0),6),"")</f>
        <v>Martinique</v>
      </c>
    </row>
    <row r="150" spans="2:5" x14ac:dyDescent="0.45">
      <c r="B150">
        <v>478</v>
      </c>
      <c r="C150" t="s">
        <v>888</v>
      </c>
      <c r="D150">
        <f>IFERROR(INDEX(Countries[],MATCH(CountryCleanup[[#This Row],[ISO3]],Countries[ISO3],0),3),"")</f>
        <v>478</v>
      </c>
      <c r="E150" t="str">
        <f>IFERROR(INDEX(Countries[],MATCH(CountryCleanup[[#This Row],[ISO3]],Countries[ISO3],0),6),"")</f>
        <v>Mauritania</v>
      </c>
    </row>
    <row r="151" spans="2:5" x14ac:dyDescent="0.45">
      <c r="B151">
        <v>480</v>
      </c>
      <c r="C151" t="s">
        <v>893</v>
      </c>
      <c r="D151">
        <f>IFERROR(INDEX(Countries[],MATCH(CountryCleanup[[#This Row],[ISO3]],Countries[ISO3],0),3),"")</f>
        <v>480</v>
      </c>
      <c r="E151" t="str">
        <f>IFERROR(INDEX(Countries[],MATCH(CountryCleanup[[#This Row],[ISO3]],Countries[ISO3],0),6),"")</f>
        <v>Mauritius</v>
      </c>
    </row>
    <row r="152" spans="2:5" x14ac:dyDescent="0.45">
      <c r="B152">
        <v>484</v>
      </c>
      <c r="C152" t="s">
        <v>902</v>
      </c>
      <c r="D152">
        <f>IFERROR(INDEX(Countries[],MATCH(CountryCleanup[[#This Row],[ISO3]],Countries[ISO3],0),3),"")</f>
        <v>484</v>
      </c>
      <c r="E152" t="str">
        <f>IFERROR(INDEX(Countries[],MATCH(CountryCleanup[[#This Row],[ISO3]],Countries[ISO3],0),6),"")</f>
        <v>Mexico</v>
      </c>
    </row>
    <row r="153" spans="2:5" x14ac:dyDescent="0.45">
      <c r="B153">
        <v>496</v>
      </c>
      <c r="C153" t="s">
        <v>919</v>
      </c>
      <c r="D153">
        <f>IFERROR(INDEX(Countries[],MATCH(CountryCleanup[[#This Row],[ISO3]],Countries[ISO3],0),3),"")</f>
        <v>496</v>
      </c>
      <c r="E153" t="str">
        <f>IFERROR(INDEX(Countries[],MATCH(CountryCleanup[[#This Row],[ISO3]],Countries[ISO3],0),6),"")</f>
        <v>Mongolia</v>
      </c>
    </row>
    <row r="154" spans="2:5" x14ac:dyDescent="0.45">
      <c r="B154">
        <v>498</v>
      </c>
      <c r="C154" t="s">
        <v>1084</v>
      </c>
      <c r="D154">
        <f>IFERROR(INDEX(Countries[],MATCH(CountryCleanup[[#This Row],[ISO3]],Countries[ISO3],0),3),"")</f>
        <v>498</v>
      </c>
      <c r="E154" t="str">
        <f>IFERROR(INDEX(Countries[],MATCH(CountryCleanup[[#This Row],[ISO3]],Countries[ISO3],0),6),"")</f>
        <v>Republic of Moldova (the)</v>
      </c>
    </row>
    <row r="155" spans="2:5" x14ac:dyDescent="0.45">
      <c r="B155">
        <v>499</v>
      </c>
      <c r="C155" t="s">
        <v>924</v>
      </c>
      <c r="D155">
        <f>IFERROR(INDEX(Countries[],MATCH(CountryCleanup[[#This Row],[ISO3]],Countries[ISO3],0),3),"")</f>
        <v>499</v>
      </c>
      <c r="E155" t="str">
        <f>IFERROR(INDEX(Countries[],MATCH(CountryCleanup[[#This Row],[ISO3]],Countries[ISO3],0),6),"")</f>
        <v>Montenegro</v>
      </c>
    </row>
    <row r="156" spans="2:5" x14ac:dyDescent="0.45">
      <c r="B156">
        <v>500</v>
      </c>
      <c r="C156" t="s">
        <v>928</v>
      </c>
      <c r="D156">
        <f>IFERROR(INDEX(Countries[],MATCH(CountryCleanup[[#This Row],[ISO3]],Countries[ISO3],0),3),"")</f>
        <v>500</v>
      </c>
      <c r="E156" t="str">
        <f>IFERROR(INDEX(Countries[],MATCH(CountryCleanup[[#This Row],[ISO3]],Countries[ISO3],0),6),"")</f>
        <v>Montserrat</v>
      </c>
    </row>
    <row r="157" spans="2:5" x14ac:dyDescent="0.45">
      <c r="B157">
        <v>504</v>
      </c>
      <c r="C157" t="s">
        <v>931</v>
      </c>
      <c r="D157">
        <f>IFERROR(INDEX(Countries[],MATCH(CountryCleanup[[#This Row],[ISO3]],Countries[ISO3],0),3),"")</f>
        <v>504</v>
      </c>
      <c r="E157" t="str">
        <f>IFERROR(INDEX(Countries[],MATCH(CountryCleanup[[#This Row],[ISO3]],Countries[ISO3],0),6),"")</f>
        <v>Morocco</v>
      </c>
    </row>
    <row r="158" spans="2:5" x14ac:dyDescent="0.45">
      <c r="B158">
        <v>508</v>
      </c>
      <c r="C158" t="s">
        <v>937</v>
      </c>
      <c r="D158">
        <f>IFERROR(INDEX(Countries[],MATCH(CountryCleanup[[#This Row],[ISO3]],Countries[ISO3],0),3),"")</f>
        <v>508</v>
      </c>
      <c r="E158" t="str">
        <f>IFERROR(INDEX(Countries[],MATCH(CountryCleanup[[#This Row],[ISO3]],Countries[ISO3],0),6),"")</f>
        <v>Mozambique</v>
      </c>
    </row>
    <row r="159" spans="2:5" x14ac:dyDescent="0.45">
      <c r="B159">
        <v>512</v>
      </c>
      <c r="C159" t="s">
        <v>1014</v>
      </c>
      <c r="D159">
        <f>IFERROR(INDEX(Countries[],MATCH(CountryCleanup[[#This Row],[ISO3]],Countries[ISO3],0),3),"")</f>
        <v>512</v>
      </c>
      <c r="E159" t="str">
        <f>IFERROR(INDEX(Countries[],MATCH(CountryCleanup[[#This Row],[ISO3]],Countries[ISO3],0),6),"")</f>
        <v>Oman</v>
      </c>
    </row>
    <row r="160" spans="2:5" x14ac:dyDescent="0.45">
      <c r="B160">
        <v>516</v>
      </c>
      <c r="C160" t="s">
        <v>948</v>
      </c>
      <c r="D160">
        <f>IFERROR(INDEX(Countries[],MATCH(CountryCleanup[[#This Row],[ISO3]],Countries[ISO3],0),3),"")</f>
        <v>516</v>
      </c>
      <c r="E160" t="str">
        <f>IFERROR(INDEX(Countries[],MATCH(CountryCleanup[[#This Row],[ISO3]],Countries[ISO3],0),6),"")</f>
        <v>Namibia</v>
      </c>
    </row>
    <row r="161" spans="2:5" x14ac:dyDescent="0.45">
      <c r="B161">
        <v>520</v>
      </c>
      <c r="C161" t="s">
        <v>953</v>
      </c>
      <c r="D161">
        <f>IFERROR(INDEX(Countries[],MATCH(CountryCleanup[[#This Row],[ISO3]],Countries[ISO3],0),3),"")</f>
        <v>520</v>
      </c>
      <c r="E161" t="str">
        <f>IFERROR(INDEX(Countries[],MATCH(CountryCleanup[[#This Row],[ISO3]],Countries[ISO3],0),6),"")</f>
        <v>Nauru</v>
      </c>
    </row>
    <row r="162" spans="2:5" x14ac:dyDescent="0.45">
      <c r="B162">
        <v>524</v>
      </c>
      <c r="C162" t="s">
        <v>956</v>
      </c>
      <c r="D162">
        <f>IFERROR(INDEX(Countries[],MATCH(CountryCleanup[[#This Row],[ISO3]],Countries[ISO3],0),3),"")</f>
        <v>524</v>
      </c>
      <c r="E162" t="str">
        <f>IFERROR(INDEX(Countries[],MATCH(CountryCleanup[[#This Row],[ISO3]],Countries[ISO3],0),6),"")</f>
        <v>Nepal</v>
      </c>
    </row>
    <row r="163" spans="2:5" x14ac:dyDescent="0.45">
      <c r="B163">
        <v>528</v>
      </c>
      <c r="C163" t="s">
        <v>961</v>
      </c>
      <c r="D163">
        <f>IFERROR(INDEX(Countries[],MATCH(CountryCleanup[[#This Row],[ISO3]],Countries[ISO3],0),3),"")</f>
        <v>528</v>
      </c>
      <c r="E163" t="str">
        <f>IFERROR(INDEX(Countries[],MATCH(CountryCleanup[[#This Row],[ISO3]],Countries[ISO3],0),6),"")</f>
        <v>Netherlands (Kingdom of the)</v>
      </c>
    </row>
    <row r="164" spans="2:5" x14ac:dyDescent="0.45">
      <c r="B164">
        <v>530</v>
      </c>
      <c r="C164" t="s">
        <v>478</v>
      </c>
      <c r="D164">
        <f>IFERROR(INDEX(Countries[],MATCH(CountryCleanup[[#This Row],[ISO3]],Countries[ISO3],0),3),"")</f>
        <v>531</v>
      </c>
      <c r="E164" t="str">
        <f>IFERROR(INDEX(Countries[],MATCH(CountryCleanup[[#This Row],[ISO3]],Countries[ISO3],0),6),"")</f>
        <v>Curaçao</v>
      </c>
    </row>
    <row r="165" spans="2:5" x14ac:dyDescent="0.45">
      <c r="B165">
        <v>531</v>
      </c>
      <c r="C165" t="s">
        <v>478</v>
      </c>
      <c r="D165">
        <f>IFERROR(INDEX(Countries[],MATCH(CountryCleanup[[#This Row],[ISO3]],Countries[ISO3],0),3),"")</f>
        <v>531</v>
      </c>
      <c r="E165" t="str">
        <f>IFERROR(INDEX(Countries[],MATCH(CountryCleanup[[#This Row],[ISO3]],Countries[ISO3],0),6),"")</f>
        <v>Curaçao</v>
      </c>
    </row>
    <row r="166" spans="2:5" x14ac:dyDescent="0.45">
      <c r="B166">
        <v>532</v>
      </c>
      <c r="C166" t="s">
        <v>478</v>
      </c>
      <c r="D166" s="33">
        <f>IFERROR(INDEX(Countries[],MATCH(CountryCleanup[[#This Row],[ISO3]],Countries[ISO3],0),3),"")</f>
        <v>531</v>
      </c>
      <c r="E166" t="str">
        <f>IFERROR(INDEX(Countries[],MATCH(CountryCleanup[[#This Row],[ISO3]],Countries[ISO3],0),6),"")</f>
        <v>Curaçao</v>
      </c>
    </row>
    <row r="167" spans="2:5" x14ac:dyDescent="0.45">
      <c r="B167">
        <v>533</v>
      </c>
      <c r="C167" t="s">
        <v>206</v>
      </c>
      <c r="D167">
        <f>IFERROR(INDEX(Countries[],MATCH(CountryCleanup[[#This Row],[ISO3]],Countries[ISO3],0),3),"")</f>
        <v>533</v>
      </c>
      <c r="E167" t="str">
        <f>IFERROR(INDEX(Countries[],MATCH(CountryCleanup[[#This Row],[ISO3]],Countries[ISO3],0),6),"")</f>
        <v>Aruba</v>
      </c>
    </row>
    <row r="168" spans="2:5" x14ac:dyDescent="0.45">
      <c r="B168">
        <v>534</v>
      </c>
      <c r="C168" t="s">
        <v>1224</v>
      </c>
      <c r="D168">
        <f>IFERROR(INDEX(Countries[],MATCH(CountryCleanup[[#This Row],[ISO3]],Countries[ISO3],0),3),"")</f>
        <v>534</v>
      </c>
      <c r="E168" t="str">
        <f>IFERROR(INDEX(Countries[],MATCH(CountryCleanup[[#This Row],[ISO3]],Countries[ISO3],0),6),"")</f>
        <v>Sint Maarten (Dutch Part)</v>
      </c>
    </row>
    <row r="169" spans="2:5" x14ac:dyDescent="0.45">
      <c r="B169">
        <v>535</v>
      </c>
      <c r="C169" t="s">
        <v>296</v>
      </c>
      <c r="D169">
        <f>IFERROR(INDEX(Countries[],MATCH(CountryCleanup[[#This Row],[ISO3]],Countries[ISO3],0),3),"")</f>
        <v>535</v>
      </c>
      <c r="E169" t="str">
        <f>IFERROR(INDEX(Countries[],MATCH(CountryCleanup[[#This Row],[ISO3]],Countries[ISO3],0),6),"")</f>
        <v>Bonaire, Sint Eustatius and Saba</v>
      </c>
    </row>
    <row r="170" spans="2:5" x14ac:dyDescent="0.45">
      <c r="B170">
        <v>540</v>
      </c>
      <c r="C170" t="s">
        <v>966</v>
      </c>
      <c r="D170">
        <f>IFERROR(INDEX(Countries[],MATCH(CountryCleanup[[#This Row],[ISO3]],Countries[ISO3],0),3),"")</f>
        <v>540</v>
      </c>
      <c r="E170" t="str">
        <f>IFERROR(INDEX(Countries[],MATCH(CountryCleanup[[#This Row],[ISO3]],Countries[ISO3],0),6),"")</f>
        <v>New Caledonia</v>
      </c>
    </row>
    <row r="171" spans="2:5" x14ac:dyDescent="0.45">
      <c r="B171">
        <v>548</v>
      </c>
      <c r="C171" t="s">
        <v>1428</v>
      </c>
      <c r="D171">
        <f>IFERROR(INDEX(Countries[],MATCH(CountryCleanup[[#This Row],[ISO3]],Countries[ISO3],0),3),"")</f>
        <v>548</v>
      </c>
      <c r="E171" t="str">
        <f>IFERROR(INDEX(Countries[],MATCH(CountryCleanup[[#This Row],[ISO3]],Countries[ISO3],0),6),"")</f>
        <v>Vanuatu</v>
      </c>
    </row>
    <row r="172" spans="2:5" x14ac:dyDescent="0.45">
      <c r="B172">
        <v>554</v>
      </c>
      <c r="C172" t="s">
        <v>971</v>
      </c>
      <c r="D172">
        <f>IFERROR(INDEX(Countries[],MATCH(CountryCleanup[[#This Row],[ISO3]],Countries[ISO3],0),3),"")</f>
        <v>554</v>
      </c>
      <c r="E172" t="str">
        <f>IFERROR(INDEX(Countries[],MATCH(CountryCleanup[[#This Row],[ISO3]],Countries[ISO3],0),6),"")</f>
        <v>New Zealand</v>
      </c>
    </row>
    <row r="173" spans="2:5" x14ac:dyDescent="0.45">
      <c r="B173">
        <v>558</v>
      </c>
      <c r="C173" t="s">
        <v>976</v>
      </c>
      <c r="D173">
        <f>IFERROR(INDEX(Countries[],MATCH(CountryCleanup[[#This Row],[ISO3]],Countries[ISO3],0),3),"")</f>
        <v>558</v>
      </c>
      <c r="E173" t="str">
        <f>IFERROR(INDEX(Countries[],MATCH(CountryCleanup[[#This Row],[ISO3]],Countries[ISO3],0),6),"")</f>
        <v>Nicaragua</v>
      </c>
    </row>
    <row r="174" spans="2:5" x14ac:dyDescent="0.45">
      <c r="B174">
        <v>562</v>
      </c>
      <c r="C174" t="s">
        <v>980</v>
      </c>
      <c r="D174">
        <f>IFERROR(INDEX(Countries[],MATCH(CountryCleanup[[#This Row],[ISO3]],Countries[ISO3],0),3),"")</f>
        <v>562</v>
      </c>
      <c r="E174" t="str">
        <f>IFERROR(INDEX(Countries[],MATCH(CountryCleanup[[#This Row],[ISO3]],Countries[ISO3],0),6),"")</f>
        <v>Niger (the)</v>
      </c>
    </row>
    <row r="175" spans="2:5" x14ac:dyDescent="0.45">
      <c r="B175">
        <v>566</v>
      </c>
      <c r="C175" t="s">
        <v>984</v>
      </c>
      <c r="D175">
        <f>IFERROR(INDEX(Countries[],MATCH(CountryCleanup[[#This Row],[ISO3]],Countries[ISO3],0),3),"")</f>
        <v>566</v>
      </c>
      <c r="E175" t="str">
        <f>IFERROR(INDEX(Countries[],MATCH(CountryCleanup[[#This Row],[ISO3]],Countries[ISO3],0),6),"")</f>
        <v>Nigeria</v>
      </c>
    </row>
    <row r="176" spans="2:5" x14ac:dyDescent="0.45">
      <c r="B176">
        <v>570</v>
      </c>
      <c r="C176" t="s">
        <v>989</v>
      </c>
      <c r="D176">
        <f>IFERROR(INDEX(Countries[],MATCH(CountryCleanup[[#This Row],[ISO3]],Countries[ISO3],0),3),"")</f>
        <v>570</v>
      </c>
      <c r="E176" t="str">
        <f>IFERROR(INDEX(Countries[],MATCH(CountryCleanup[[#This Row],[ISO3]],Countries[ISO3],0),6),"")</f>
        <v>Niue</v>
      </c>
    </row>
    <row r="177" spans="2:5" x14ac:dyDescent="0.45">
      <c r="B177">
        <v>579</v>
      </c>
      <c r="C177" t="s">
        <v>1007</v>
      </c>
      <c r="D177">
        <f>IFERROR(INDEX(Countries[],MATCH(CountryCleanup[[#This Row],[ISO3]],Countries[ISO3],0),3),"")</f>
        <v>578</v>
      </c>
      <c r="E177" t="str">
        <f>IFERROR(INDEX(Countries[],MATCH(CountryCleanup[[#This Row],[ISO3]],Countries[ISO3],0),6),"")</f>
        <v>Norway</v>
      </c>
    </row>
    <row r="178" spans="2:5" x14ac:dyDescent="0.45">
      <c r="B178">
        <v>580</v>
      </c>
      <c r="C178" t="s">
        <v>1002</v>
      </c>
      <c r="D178">
        <f>IFERROR(INDEX(Countries[],MATCH(CountryCleanup[[#This Row],[ISO3]],Countries[ISO3],0),3),"")</f>
        <v>580</v>
      </c>
      <c r="E178" t="str">
        <f>IFERROR(INDEX(Countries[],MATCH(CountryCleanup[[#This Row],[ISO3]],Countries[ISO3],0),6),"")</f>
        <v>Northern Mariana Islands</v>
      </c>
    </row>
    <row r="179" spans="2:5" x14ac:dyDescent="0.45">
      <c r="B179" s="3">
        <v>582</v>
      </c>
      <c r="C179" t="s">
        <v>908</v>
      </c>
      <c r="D179">
        <f>IFERROR(INDEX(Countries[],MATCH(CountryCleanup[[#This Row],[ISO3]],Countries[ISO3],0),3),"")</f>
        <v>583</v>
      </c>
      <c r="E179" t="str">
        <f>IFERROR(INDEX(Countries[],MATCH(CountryCleanup[[#This Row],[ISO3]],Countries[ISO3],0),6),"")</f>
        <v>Micronesia (Federated States of)</v>
      </c>
    </row>
    <row r="180" spans="2:5" x14ac:dyDescent="0.45">
      <c r="B180">
        <v>583</v>
      </c>
      <c r="C180" t="s">
        <v>908</v>
      </c>
      <c r="D180">
        <f>IFERROR(INDEX(Countries[],MATCH(CountryCleanup[[#This Row],[ISO3]],Countries[ISO3],0),3),"")</f>
        <v>583</v>
      </c>
      <c r="E180" t="str">
        <f>IFERROR(INDEX(Countries[],MATCH(CountryCleanup[[#This Row],[ISO3]],Countries[ISO3],0),6),"")</f>
        <v>Micronesia (Federated States of)</v>
      </c>
    </row>
    <row r="181" spans="2:5" x14ac:dyDescent="0.45">
      <c r="B181">
        <v>584</v>
      </c>
      <c r="C181" t="s">
        <v>879</v>
      </c>
      <c r="D181">
        <f>IFERROR(INDEX(Countries[],MATCH(CountryCleanup[[#This Row],[ISO3]],Countries[ISO3],0),3),"")</f>
        <v>584</v>
      </c>
      <c r="E181" t="str">
        <f>IFERROR(INDEX(Countries[],MATCH(CountryCleanup[[#This Row],[ISO3]],Countries[ISO3],0),6),"")</f>
        <v>Marshall Islands (the)</v>
      </c>
    </row>
    <row r="182" spans="2:5" x14ac:dyDescent="0.45">
      <c r="B182">
        <v>585</v>
      </c>
      <c r="C182" t="s">
        <v>1028</v>
      </c>
      <c r="D182">
        <f>IFERROR(INDEX(Countries[],MATCH(CountryCleanup[[#This Row],[ISO3]],Countries[ISO3],0),3),"")</f>
        <v>585</v>
      </c>
      <c r="E182" t="str">
        <f>IFERROR(INDEX(Countries[],MATCH(CountryCleanup[[#This Row],[ISO3]],Countries[ISO3],0),6),"")</f>
        <v>Palau</v>
      </c>
    </row>
    <row r="183" spans="2:5" x14ac:dyDescent="0.45">
      <c r="B183">
        <v>586</v>
      </c>
      <c r="C183" t="s">
        <v>1023</v>
      </c>
      <c r="D183">
        <f>IFERROR(INDEX(Countries[],MATCH(CountryCleanup[[#This Row],[ISO3]],Countries[ISO3],0),3),"")</f>
        <v>586</v>
      </c>
      <c r="E183" t="str">
        <f>IFERROR(INDEX(Countries[],MATCH(CountryCleanup[[#This Row],[ISO3]],Countries[ISO3],0),6),"")</f>
        <v>Pakistan</v>
      </c>
    </row>
    <row r="184" spans="2:5" x14ac:dyDescent="0.45">
      <c r="B184">
        <v>588</v>
      </c>
      <c r="C184" s="3" t="s">
        <v>1023</v>
      </c>
      <c r="D184" s="33">
        <f>IFERROR(INDEX(Countries[],MATCH(CountryCleanup[[#This Row],[ISO3]],Countries[ISO3],0),3),"")</f>
        <v>586</v>
      </c>
      <c r="E184" t="str">
        <f>IFERROR(INDEX(Countries[],MATCH(CountryCleanup[[#This Row],[ISO3]],Countries[ISO3],0),6),"")</f>
        <v>Pakistan</v>
      </c>
    </row>
    <row r="185" spans="2:5" x14ac:dyDescent="0.45">
      <c r="B185">
        <v>590</v>
      </c>
      <c r="C185" t="s">
        <v>1032</v>
      </c>
      <c r="D185" s="33">
        <f>IFERROR(INDEX(Countries[],MATCH(CountryCleanup[[#This Row],[ISO3]],Countries[ISO3],0),3),"")</f>
        <v>591</v>
      </c>
      <c r="E185" t="str">
        <f>IFERROR(INDEX(Countries[],MATCH(CountryCleanup[[#This Row],[ISO3]],Countries[ISO3],0),6),"")</f>
        <v>Panama</v>
      </c>
    </row>
    <row r="186" spans="2:5" x14ac:dyDescent="0.45">
      <c r="B186">
        <v>591</v>
      </c>
      <c r="C186" t="s">
        <v>1032</v>
      </c>
      <c r="D186">
        <f>IFERROR(INDEX(Countries[],MATCH(CountryCleanup[[#This Row],[ISO3]],Countries[ISO3],0),3),"")</f>
        <v>591</v>
      </c>
      <c r="E186" t="str">
        <f>IFERROR(INDEX(Countries[],MATCH(CountryCleanup[[#This Row],[ISO3]],Countries[ISO3],0),6),"")</f>
        <v>Panama</v>
      </c>
    </row>
    <row r="187" spans="2:5" x14ac:dyDescent="0.45">
      <c r="B187">
        <v>592</v>
      </c>
      <c r="C187" t="s">
        <v>1032</v>
      </c>
      <c r="D187" s="33">
        <f>IFERROR(INDEX(Countries[],MATCH(CountryCleanup[[#This Row],[ISO3]],Countries[ISO3],0),3),"")</f>
        <v>591</v>
      </c>
      <c r="E187" t="str">
        <f>IFERROR(INDEX(Countries[],MATCH(CountryCleanup[[#This Row],[ISO3]],Countries[ISO3],0),6),"")</f>
        <v>Panama</v>
      </c>
    </row>
    <row r="188" spans="2:5" x14ac:dyDescent="0.45">
      <c r="B188">
        <v>598</v>
      </c>
      <c r="C188" t="s">
        <v>1037</v>
      </c>
      <c r="D188">
        <f>IFERROR(INDEX(Countries[],MATCH(CountryCleanup[[#This Row],[ISO3]],Countries[ISO3],0),3),"")</f>
        <v>598</v>
      </c>
      <c r="E188" t="str">
        <f>IFERROR(INDEX(Countries[],MATCH(CountryCleanup[[#This Row],[ISO3]],Countries[ISO3],0),6),"")</f>
        <v>Papua New Guinea</v>
      </c>
    </row>
    <row r="189" spans="2:5" x14ac:dyDescent="0.45">
      <c r="B189">
        <v>600</v>
      </c>
      <c r="C189" t="s">
        <v>1043</v>
      </c>
      <c r="D189">
        <f>IFERROR(INDEX(Countries[],MATCH(CountryCleanup[[#This Row],[ISO3]],Countries[ISO3],0),3),"")</f>
        <v>600</v>
      </c>
      <c r="E189" t="str">
        <f>IFERROR(INDEX(Countries[],MATCH(CountryCleanup[[#This Row],[ISO3]],Countries[ISO3],0),6),"")</f>
        <v>Paraguay</v>
      </c>
    </row>
    <row r="190" spans="2:5" x14ac:dyDescent="0.45">
      <c r="B190">
        <v>604</v>
      </c>
      <c r="C190" t="s">
        <v>1047</v>
      </c>
      <c r="D190">
        <f>IFERROR(INDEX(Countries[],MATCH(CountryCleanup[[#This Row],[ISO3]],Countries[ISO3],0),3),"")</f>
        <v>604</v>
      </c>
      <c r="E190" t="str">
        <f>IFERROR(INDEX(Countries[],MATCH(CountryCleanup[[#This Row],[ISO3]],Countries[ISO3],0),6),"")</f>
        <v>Peru</v>
      </c>
    </row>
    <row r="191" spans="2:5" x14ac:dyDescent="0.45">
      <c r="B191">
        <v>608</v>
      </c>
      <c r="C191" t="s">
        <v>1053</v>
      </c>
      <c r="D191">
        <f>IFERROR(INDEX(Countries[],MATCH(CountryCleanup[[#This Row],[ISO3]],Countries[ISO3],0),3),"")</f>
        <v>608</v>
      </c>
      <c r="E191" t="str">
        <f>IFERROR(INDEX(Countries[],MATCH(CountryCleanup[[#This Row],[ISO3]],Countries[ISO3],0),6),"")</f>
        <v>Philippines (the)</v>
      </c>
    </row>
    <row r="192" spans="2:5" x14ac:dyDescent="0.45">
      <c r="B192">
        <v>616</v>
      </c>
      <c r="C192" t="s">
        <v>1061</v>
      </c>
      <c r="D192">
        <f>IFERROR(INDEX(Countries[],MATCH(CountryCleanup[[#This Row],[ISO3]],Countries[ISO3],0),3),"")</f>
        <v>616</v>
      </c>
      <c r="E192" t="str">
        <f>IFERROR(INDEX(Countries[],MATCH(CountryCleanup[[#This Row],[ISO3]],Countries[ISO3],0),6),"")</f>
        <v>Poland</v>
      </c>
    </row>
    <row r="193" spans="2:5" x14ac:dyDescent="0.45">
      <c r="B193">
        <v>620</v>
      </c>
      <c r="C193" t="s">
        <v>1067</v>
      </c>
      <c r="D193">
        <f>IFERROR(INDEX(Countries[],MATCH(CountryCleanup[[#This Row],[ISO3]],Countries[ISO3],0),3),"")</f>
        <v>620</v>
      </c>
      <c r="E193" t="str">
        <f>IFERROR(INDEX(Countries[],MATCH(CountryCleanup[[#This Row],[ISO3]],Countries[ISO3],0),6),"")</f>
        <v>Portugal</v>
      </c>
    </row>
    <row r="194" spans="2:5" x14ac:dyDescent="0.45">
      <c r="B194">
        <v>624</v>
      </c>
      <c r="C194" t="s">
        <v>681</v>
      </c>
      <c r="D194">
        <f>IFERROR(INDEX(Countries[],MATCH(CountryCleanup[[#This Row],[ISO3]],Countries[ISO3],0),3),"")</f>
        <v>624</v>
      </c>
      <c r="E194" t="str">
        <f>IFERROR(INDEX(Countries[],MATCH(CountryCleanup[[#This Row],[ISO3]],Countries[ISO3],0),6),"")</f>
        <v>Guinea-Bissau</v>
      </c>
    </row>
    <row r="195" spans="2:5" x14ac:dyDescent="0.45">
      <c r="B195">
        <v>626</v>
      </c>
      <c r="C195" t="s">
        <v>1329</v>
      </c>
      <c r="D195">
        <f>IFERROR(INDEX(Countries[],MATCH(CountryCleanup[[#This Row],[ISO3]],Countries[ISO3],0),3),"")</f>
        <v>626</v>
      </c>
      <c r="E195" t="str">
        <f>IFERROR(INDEX(Countries[],MATCH(CountryCleanup[[#This Row],[ISO3]],Countries[ISO3],0),6),"")</f>
        <v>Timor-Leste</v>
      </c>
    </row>
    <row r="196" spans="2:5" x14ac:dyDescent="0.45">
      <c r="B196">
        <v>630</v>
      </c>
      <c r="C196" t="s">
        <v>1070</v>
      </c>
      <c r="D196">
        <f>IFERROR(INDEX(Countries[],MATCH(CountryCleanup[[#This Row],[ISO3]],Countries[ISO3],0),3),"")</f>
        <v>630</v>
      </c>
      <c r="E196" t="str">
        <f>IFERROR(INDEX(Countries[],MATCH(CountryCleanup[[#This Row],[ISO3]],Countries[ISO3],0),6),"")</f>
        <v>Puerto Rico</v>
      </c>
    </row>
    <row r="197" spans="2:5" x14ac:dyDescent="0.45">
      <c r="B197">
        <v>634</v>
      </c>
      <c r="C197" t="s">
        <v>1074</v>
      </c>
      <c r="D197">
        <f>IFERROR(INDEX(Countries[],MATCH(CountryCleanup[[#This Row],[ISO3]],Countries[ISO3],0),3),"")</f>
        <v>634</v>
      </c>
      <c r="E197" t="str">
        <f>IFERROR(INDEX(Countries[],MATCH(CountryCleanup[[#This Row],[ISO3]],Countries[ISO3],0),6),"")</f>
        <v>Qatar</v>
      </c>
    </row>
    <row r="198" spans="2:5" x14ac:dyDescent="0.45">
      <c r="B198">
        <v>638</v>
      </c>
      <c r="C198" t="s">
        <v>1119</v>
      </c>
      <c r="D198">
        <f>IFERROR(INDEX(Countries[],MATCH(CountryCleanup[[#This Row],[ISO3]],Countries[ISO3],0),3),"")</f>
        <v>638</v>
      </c>
      <c r="E198" t="str">
        <f>IFERROR(INDEX(Countries[],MATCH(CountryCleanup[[#This Row],[ISO3]],Countries[ISO3],0),6),"")</f>
        <v>Réunion</v>
      </c>
    </row>
    <row r="199" spans="2:5" x14ac:dyDescent="0.45">
      <c r="B199">
        <v>639</v>
      </c>
      <c r="C199" t="s">
        <v>1119</v>
      </c>
      <c r="D199">
        <f>IFERROR(INDEX(Countries[],MATCH(CountryCleanup[[#This Row],[ISO3]],Countries[ISO3],0),3),"")</f>
        <v>638</v>
      </c>
      <c r="E199" t="str">
        <f>IFERROR(INDEX(Countries[],MATCH(CountryCleanup[[#This Row],[ISO3]],Countries[ISO3],0),6),"")</f>
        <v>Réunion</v>
      </c>
    </row>
    <row r="200" spans="2:5" x14ac:dyDescent="0.45">
      <c r="B200">
        <v>642</v>
      </c>
      <c r="C200" t="s">
        <v>1123</v>
      </c>
      <c r="D200">
        <f>IFERROR(INDEX(Countries[],MATCH(CountryCleanup[[#This Row],[ISO3]],Countries[ISO3],0),3),"")</f>
        <v>642</v>
      </c>
      <c r="E200" t="str">
        <f>IFERROR(INDEX(Countries[],MATCH(CountryCleanup[[#This Row],[ISO3]],Countries[ISO3],0),6),"")</f>
        <v>Romania</v>
      </c>
    </row>
    <row r="201" spans="2:5" x14ac:dyDescent="0.45">
      <c r="B201">
        <v>643</v>
      </c>
      <c r="C201" t="s">
        <v>1129</v>
      </c>
      <c r="D201">
        <f>IFERROR(INDEX(Countries[],MATCH(CountryCleanup[[#This Row],[ISO3]],Countries[ISO3],0),3),"")</f>
        <v>643</v>
      </c>
      <c r="E201" t="str">
        <f>IFERROR(INDEX(Countries[],MATCH(CountryCleanup[[#This Row],[ISO3]],Countries[ISO3],0),6),"")</f>
        <v>Russian Federation (the)</v>
      </c>
    </row>
    <row r="202" spans="2:5" x14ac:dyDescent="0.45">
      <c r="B202">
        <v>645</v>
      </c>
      <c r="C202" t="s">
        <v>349</v>
      </c>
      <c r="D202" s="33">
        <f>IFERROR(INDEX(Countries[],MATCH(CountryCleanup[[#This Row],[ISO3]],Countries[ISO3],0),3),"")</f>
        <v>108</v>
      </c>
      <c r="E202" t="str">
        <f>IFERROR(INDEX(Countries[],MATCH(CountryCleanup[[#This Row],[ISO3]],Countries[ISO3],0),6),"")</f>
        <v>Burundi</v>
      </c>
    </row>
    <row r="203" spans="2:5" x14ac:dyDescent="0.45">
      <c r="B203">
        <v>646</v>
      </c>
      <c r="C203" t="s">
        <v>1135</v>
      </c>
      <c r="D203">
        <f>IFERROR(INDEX(Countries[],MATCH(CountryCleanup[[#This Row],[ISO3]],Countries[ISO3],0),3),"")</f>
        <v>646</v>
      </c>
      <c r="E203" t="str">
        <f>IFERROR(INDEX(Countries[],MATCH(CountryCleanup[[#This Row],[ISO3]],Countries[ISO3],0),6),"")</f>
        <v>Rwanda</v>
      </c>
    </row>
    <row r="204" spans="2:5" x14ac:dyDescent="0.45">
      <c r="B204">
        <v>647</v>
      </c>
      <c r="C204" t="s">
        <v>765</v>
      </c>
      <c r="D204" s="33">
        <f>IFERROR(INDEX(Countries[],MATCH(CountryCleanup[[#This Row],[ISO3]],Countries[ISO3],0),3),"")</f>
        <v>392</v>
      </c>
      <c r="E204" t="str">
        <f>IFERROR(INDEX(Countries[],MATCH(CountryCleanup[[#This Row],[ISO3]],Countries[ISO3],0),6),"")</f>
        <v>Japan</v>
      </c>
    </row>
    <row r="205" spans="2:5" x14ac:dyDescent="0.45">
      <c r="B205">
        <v>652</v>
      </c>
      <c r="C205" t="s">
        <v>1139</v>
      </c>
      <c r="D205">
        <f>IFERROR(INDEX(Countries[],MATCH(CountryCleanup[[#This Row],[ISO3]],Countries[ISO3],0),3),"")</f>
        <v>652</v>
      </c>
      <c r="E205" t="str">
        <f>IFERROR(INDEX(Countries[],MATCH(CountryCleanup[[#This Row],[ISO3]],Countries[ISO3],0),6),"")</f>
        <v>Saint Barthélemy</v>
      </c>
    </row>
    <row r="206" spans="2:5" x14ac:dyDescent="0.45">
      <c r="B206">
        <v>654</v>
      </c>
      <c r="C206" t="s">
        <v>1145</v>
      </c>
      <c r="D206">
        <f>IFERROR(INDEX(Countries[],MATCH(CountryCleanup[[#This Row],[ISO3]],Countries[ISO3],0),3),"")</f>
        <v>654</v>
      </c>
      <c r="E206" t="str">
        <f>IFERROR(INDEX(Countries[],MATCH(CountryCleanup[[#This Row],[ISO3]],Countries[ISO3],0),6),"")</f>
        <v>Saint Helena</v>
      </c>
    </row>
    <row r="207" spans="2:5" x14ac:dyDescent="0.45">
      <c r="B207">
        <v>658</v>
      </c>
      <c r="C207" t="s">
        <v>1151</v>
      </c>
      <c r="D207" s="33">
        <f>IFERROR(INDEX(Countries[],MATCH(CountryCleanup[[#This Row],[ISO3]],Countries[ISO3],0),3),"")</f>
        <v>659</v>
      </c>
      <c r="E207" t="str">
        <f>IFERROR(INDEX(Countries[],MATCH(CountryCleanup[[#This Row],[ISO3]],Countries[ISO3],0),6),"")</f>
        <v>Saint Kitts and Nevis</v>
      </c>
    </row>
    <row r="208" spans="2:5" x14ac:dyDescent="0.45">
      <c r="B208">
        <v>659</v>
      </c>
      <c r="C208" t="s">
        <v>1151</v>
      </c>
      <c r="D208">
        <f>IFERROR(INDEX(Countries[],MATCH(CountryCleanup[[#This Row],[ISO3]],Countries[ISO3],0),3),"")</f>
        <v>659</v>
      </c>
      <c r="E208" t="str">
        <f>IFERROR(INDEX(Countries[],MATCH(CountryCleanup[[#This Row],[ISO3]],Countries[ISO3],0),6),"")</f>
        <v>Saint Kitts and Nevis</v>
      </c>
    </row>
    <row r="209" spans="2:5" x14ac:dyDescent="0.45">
      <c r="B209">
        <v>660</v>
      </c>
      <c r="C209" t="s">
        <v>171</v>
      </c>
      <c r="D209">
        <f>IFERROR(INDEX(Countries[],MATCH(CountryCleanup[[#This Row],[ISO3]],Countries[ISO3],0),3),"")</f>
        <v>660</v>
      </c>
      <c r="E209" t="str">
        <f>IFERROR(INDEX(Countries[],MATCH(CountryCleanup[[#This Row],[ISO3]],Countries[ISO3],0),6),"")</f>
        <v>Anguilla</v>
      </c>
    </row>
    <row r="210" spans="2:5" x14ac:dyDescent="0.45">
      <c r="B210">
        <v>662</v>
      </c>
      <c r="C210" t="s">
        <v>1156</v>
      </c>
      <c r="D210">
        <f>IFERROR(INDEX(Countries[],MATCH(CountryCleanup[[#This Row],[ISO3]],Countries[ISO3],0),3),"")</f>
        <v>662</v>
      </c>
      <c r="E210" t="str">
        <f>IFERROR(INDEX(Countries[],MATCH(CountryCleanup[[#This Row],[ISO3]],Countries[ISO3],0),6),"")</f>
        <v>Saint Lucia</v>
      </c>
    </row>
    <row r="211" spans="2:5" x14ac:dyDescent="0.45">
      <c r="B211">
        <v>663</v>
      </c>
      <c r="C211" t="s">
        <v>1161</v>
      </c>
      <c r="D211">
        <f>IFERROR(INDEX(Countries[],MATCH(CountryCleanup[[#This Row],[ISO3]],Countries[ISO3],0),3),"")</f>
        <v>663</v>
      </c>
      <c r="E211" t="str">
        <f>IFERROR(INDEX(Countries[],MATCH(CountryCleanup[[#This Row],[ISO3]],Countries[ISO3],0),6),"")</f>
        <v>Saint Martin (French Part)</v>
      </c>
    </row>
    <row r="212" spans="2:5" x14ac:dyDescent="0.45">
      <c r="B212">
        <v>666</v>
      </c>
      <c r="C212" t="s">
        <v>1167</v>
      </c>
      <c r="D212">
        <f>IFERROR(INDEX(Countries[],MATCH(CountryCleanup[[#This Row],[ISO3]],Countries[ISO3],0),3),"")</f>
        <v>666</v>
      </c>
      <c r="E212" t="str">
        <f>IFERROR(INDEX(Countries[],MATCH(CountryCleanup[[#This Row],[ISO3]],Countries[ISO3],0),6),"")</f>
        <v>Saint Pierre and Miquelon</v>
      </c>
    </row>
    <row r="213" spans="2:5" x14ac:dyDescent="0.45">
      <c r="B213">
        <v>670</v>
      </c>
      <c r="C213" t="s">
        <v>1172</v>
      </c>
      <c r="D213">
        <f>IFERROR(INDEX(Countries[],MATCH(CountryCleanup[[#This Row],[ISO3]],Countries[ISO3],0),3),"")</f>
        <v>670</v>
      </c>
      <c r="E213" t="str">
        <f>IFERROR(INDEX(Countries[],MATCH(CountryCleanup[[#This Row],[ISO3]],Countries[ISO3],0),6),"")</f>
        <v>Saint Vincent and the Grenadines</v>
      </c>
    </row>
    <row r="214" spans="2:5" x14ac:dyDescent="0.45">
      <c r="B214">
        <v>678</v>
      </c>
      <c r="C214" t="s">
        <v>1185</v>
      </c>
      <c r="D214">
        <f>IFERROR(INDEX(Countries[],MATCH(CountryCleanup[[#This Row],[ISO3]],Countries[ISO3],0),3),"")</f>
        <v>678</v>
      </c>
      <c r="E214" t="str">
        <f>IFERROR(INDEX(Countries[],MATCH(CountryCleanup[[#This Row],[ISO3]],Countries[ISO3],0),6),"")</f>
        <v>Sao Tome and Principe</v>
      </c>
    </row>
    <row r="215" spans="2:5" x14ac:dyDescent="0.45">
      <c r="B215">
        <v>682</v>
      </c>
      <c r="C215" t="s">
        <v>1194</v>
      </c>
      <c r="D215">
        <f>IFERROR(INDEX(Countries[],MATCH(CountryCleanup[[#This Row],[ISO3]],Countries[ISO3],0),3),"")</f>
        <v>682</v>
      </c>
      <c r="E215" t="str">
        <f>IFERROR(INDEX(Countries[],MATCH(CountryCleanup[[#This Row],[ISO3]],Countries[ISO3],0),6),"")</f>
        <v>Saudi Arabia</v>
      </c>
    </row>
    <row r="216" spans="2:5" x14ac:dyDescent="0.45">
      <c r="B216">
        <v>686</v>
      </c>
      <c r="C216" t="s">
        <v>1200</v>
      </c>
      <c r="D216">
        <f>IFERROR(INDEX(Countries[],MATCH(CountryCleanup[[#This Row],[ISO3]],Countries[ISO3],0),3),"")</f>
        <v>686</v>
      </c>
      <c r="E216" t="str">
        <f>IFERROR(INDEX(Countries[],MATCH(CountryCleanup[[#This Row],[ISO3]],Countries[ISO3],0),6),"")</f>
        <v>Senegal</v>
      </c>
    </row>
    <row r="217" spans="2:5" x14ac:dyDescent="0.45">
      <c r="B217">
        <v>688</v>
      </c>
      <c r="C217" t="s">
        <v>1204</v>
      </c>
      <c r="D217">
        <f>IFERROR(INDEX(Countries[],MATCH(CountryCleanup[[#This Row],[ISO3]],Countries[ISO3],0),3),"")</f>
        <v>688</v>
      </c>
      <c r="E217" t="str">
        <f>IFERROR(INDEX(Countries[],MATCH(CountryCleanup[[#This Row],[ISO3]],Countries[ISO3],0),6),"")</f>
        <v>Serbia</v>
      </c>
    </row>
    <row r="218" spans="2:5" x14ac:dyDescent="0.45">
      <c r="B218">
        <v>690</v>
      </c>
      <c r="C218" t="s">
        <v>1209</v>
      </c>
      <c r="D218">
        <f>IFERROR(INDEX(Countries[],MATCH(CountryCleanup[[#This Row],[ISO3]],Countries[ISO3],0),3),"")</f>
        <v>690</v>
      </c>
      <c r="E218" t="str">
        <f>IFERROR(INDEX(Countries[],MATCH(CountryCleanup[[#This Row],[ISO3]],Countries[ISO3],0),6),"")</f>
        <v>Seychelles</v>
      </c>
    </row>
    <row r="219" spans="2:5" x14ac:dyDescent="0.45">
      <c r="B219">
        <v>694</v>
      </c>
      <c r="C219" t="s">
        <v>1213</v>
      </c>
      <c r="D219">
        <f>IFERROR(INDEX(Countries[],MATCH(CountryCleanup[[#This Row],[ISO3]],Countries[ISO3],0),3),"")</f>
        <v>694</v>
      </c>
      <c r="E219" t="str">
        <f>IFERROR(INDEX(Countries[],MATCH(CountryCleanup[[#This Row],[ISO3]],Countries[ISO3],0),6),"")</f>
        <v>Sierra Leone</v>
      </c>
    </row>
    <row r="220" spans="2:5" x14ac:dyDescent="0.45">
      <c r="B220">
        <v>702</v>
      </c>
      <c r="C220" t="s">
        <v>1218</v>
      </c>
      <c r="D220">
        <f>IFERROR(INDEX(Countries[],MATCH(CountryCleanup[[#This Row],[ISO3]],Countries[ISO3],0),3),"")</f>
        <v>702</v>
      </c>
      <c r="E220" t="str">
        <f>IFERROR(INDEX(Countries[],MATCH(CountryCleanup[[#This Row],[ISO3]],Countries[ISO3],0),6),"")</f>
        <v>Singapore</v>
      </c>
    </row>
    <row r="221" spans="2:5" x14ac:dyDescent="0.45">
      <c r="B221">
        <v>703</v>
      </c>
      <c r="C221" t="s">
        <v>1230</v>
      </c>
      <c r="D221">
        <f>IFERROR(INDEX(Countries[],MATCH(CountryCleanup[[#This Row],[ISO3]],Countries[ISO3],0),3),"")</f>
        <v>703</v>
      </c>
      <c r="E221" t="str">
        <f>IFERROR(INDEX(Countries[],MATCH(CountryCleanup[[#This Row],[ISO3]],Countries[ISO3],0),6),"")</f>
        <v>Slovakia</v>
      </c>
    </row>
    <row r="222" spans="2:5" x14ac:dyDescent="0.45">
      <c r="B222">
        <v>704</v>
      </c>
      <c r="C222" t="s">
        <v>1438</v>
      </c>
      <c r="D222">
        <f>IFERROR(INDEX(Countries[],MATCH(CountryCleanup[[#This Row],[ISO3]],Countries[ISO3],0),3),"")</f>
        <v>704</v>
      </c>
      <c r="E222" t="str">
        <f>IFERROR(INDEX(Countries[],MATCH(CountryCleanup[[#This Row],[ISO3]],Countries[ISO3],0),6),"")</f>
        <v>Viet Nam</v>
      </c>
    </row>
    <row r="223" spans="2:5" x14ac:dyDescent="0.45">
      <c r="B223">
        <v>705</v>
      </c>
      <c r="C223" t="s">
        <v>1235</v>
      </c>
      <c r="D223">
        <f>IFERROR(INDEX(Countries[],MATCH(CountryCleanup[[#This Row],[ISO3]],Countries[ISO3],0),3),"")</f>
        <v>705</v>
      </c>
      <c r="E223" t="str">
        <f>IFERROR(INDEX(Countries[],MATCH(CountryCleanup[[#This Row],[ISO3]],Countries[ISO3],0),6),"")</f>
        <v>Slovenia</v>
      </c>
    </row>
    <row r="224" spans="2:5" x14ac:dyDescent="0.45">
      <c r="B224">
        <v>706</v>
      </c>
      <c r="C224" t="s">
        <v>1247</v>
      </c>
      <c r="D224">
        <f>IFERROR(INDEX(Countries[],MATCH(CountryCleanup[[#This Row],[ISO3]],Countries[ISO3],0),3),"")</f>
        <v>706</v>
      </c>
      <c r="E224" t="str">
        <f>IFERROR(INDEX(Countries[],MATCH(CountryCleanup[[#This Row],[ISO3]],Countries[ISO3],0),6),"")</f>
        <v>Somalia</v>
      </c>
    </row>
    <row r="225" spans="2:5" x14ac:dyDescent="0.45">
      <c r="B225">
        <v>710</v>
      </c>
      <c r="C225" t="s">
        <v>1252</v>
      </c>
      <c r="D225">
        <f>IFERROR(INDEX(Countries[],MATCH(CountryCleanup[[#This Row],[ISO3]],Countries[ISO3],0),3),"")</f>
        <v>710</v>
      </c>
      <c r="E225" t="str">
        <f>IFERROR(INDEX(Countries[],MATCH(CountryCleanup[[#This Row],[ISO3]],Countries[ISO3],0),6),"")</f>
        <v>South Africa</v>
      </c>
    </row>
    <row r="226" spans="2:5" x14ac:dyDescent="0.45">
      <c r="B226">
        <v>711</v>
      </c>
      <c r="C226" t="s">
        <v>2331</v>
      </c>
      <c r="D226" s="33">
        <f>IFERROR(INDEX(Countries[],MATCH(CountryCleanup[[#This Row],[ISO3]],Countries[ISO3],0),3),"")</f>
        <v>18</v>
      </c>
      <c r="E226" t="str">
        <f>IFERROR(INDEX(Countries[],MATCH(CountryCleanup[[#This Row],[ISO3]],Countries[ISO3],0),6),"")</f>
        <v>Southern Africa</v>
      </c>
    </row>
    <row r="227" spans="2:5" x14ac:dyDescent="0.45">
      <c r="B227">
        <v>716</v>
      </c>
      <c r="C227" t="s">
        <v>1466</v>
      </c>
      <c r="D227">
        <f>IFERROR(INDEX(Countries[],MATCH(CountryCleanup[[#This Row],[ISO3]],Countries[ISO3],0),3),"")</f>
        <v>716</v>
      </c>
      <c r="E227" t="str">
        <f>IFERROR(INDEX(Countries[],MATCH(CountryCleanup[[#This Row],[ISO3]],Countries[ISO3],0),6),"")</f>
        <v>Zimbabwe</v>
      </c>
    </row>
    <row r="228" spans="2:5" x14ac:dyDescent="0.45">
      <c r="B228">
        <v>717</v>
      </c>
      <c r="C228" t="s">
        <v>856</v>
      </c>
      <c r="D228" s="33">
        <f>IFERROR(INDEX(Countries[],MATCH(CountryCleanup[[#This Row],[ISO3]],Countries[ISO3],0),3),"")</f>
        <v>454</v>
      </c>
      <c r="E228" t="str">
        <f>IFERROR(INDEX(Countries[],MATCH(CountryCleanup[[#This Row],[ISO3]],Countries[ISO3],0),6),"")</f>
        <v>Malawi</v>
      </c>
    </row>
    <row r="229" spans="2:5" x14ac:dyDescent="0.45">
      <c r="B229" s="3">
        <v>720</v>
      </c>
      <c r="C229" t="s">
        <v>1456</v>
      </c>
      <c r="D229">
        <f>IFERROR(INDEX(Countries[],MATCH(CountryCleanup[[#This Row],[ISO3]],Countries[ISO3],0),3),"")</f>
        <v>887</v>
      </c>
      <c r="E229" t="str">
        <f>IFERROR(INDEX(Countries[],MATCH(CountryCleanup[[#This Row],[ISO3]],Countries[ISO3],0),6),"")</f>
        <v>Yemen</v>
      </c>
    </row>
    <row r="230" spans="2:5" x14ac:dyDescent="0.45">
      <c r="B230">
        <v>724</v>
      </c>
      <c r="C230" t="s">
        <v>1271</v>
      </c>
      <c r="D230">
        <f>IFERROR(INDEX(Countries[],MATCH(CountryCleanup[[#This Row],[ISO3]],Countries[ISO3],0),3),"")</f>
        <v>724</v>
      </c>
      <c r="E230" t="str">
        <f>IFERROR(INDEX(Countries[],MATCH(CountryCleanup[[#This Row],[ISO3]],Countries[ISO3],0),6),"")</f>
        <v>Spain</v>
      </c>
    </row>
    <row r="231" spans="2:5" x14ac:dyDescent="0.45">
      <c r="B231">
        <v>728</v>
      </c>
      <c r="C231" t="s">
        <v>1265</v>
      </c>
      <c r="D231">
        <f>IFERROR(INDEX(Countries[],MATCH(CountryCleanup[[#This Row],[ISO3]],Countries[ISO3],0),3),"")</f>
        <v>728</v>
      </c>
      <c r="E231" t="str">
        <f>IFERROR(INDEX(Countries[],MATCH(CountryCleanup[[#This Row],[ISO3]],Countries[ISO3],0),6),"")</f>
        <v>South Sudan</v>
      </c>
    </row>
    <row r="232" spans="2:5" x14ac:dyDescent="0.45">
      <c r="B232">
        <v>729</v>
      </c>
      <c r="C232" t="s">
        <v>1285</v>
      </c>
      <c r="D232">
        <f>IFERROR(INDEX(Countries[],MATCH(CountryCleanup[[#This Row],[ISO3]],Countries[ISO3],0),3),"")</f>
        <v>729</v>
      </c>
      <c r="E232" t="str">
        <f>IFERROR(INDEX(Countries[],MATCH(CountryCleanup[[#This Row],[ISO3]],Countries[ISO3],0),6),"")</f>
        <v>Sudan (the)</v>
      </c>
    </row>
    <row r="233" spans="2:5" x14ac:dyDescent="0.45">
      <c r="B233">
        <v>732</v>
      </c>
      <c r="C233" s="5" t="s">
        <v>1448</v>
      </c>
      <c r="D233" s="33">
        <f>IFERROR(INDEX(Countries[],MATCH(CountryCleanup[[#This Row],[ISO3]],Countries[ISO3],0),3),"")</f>
        <v>732</v>
      </c>
      <c r="E233" t="str">
        <f>IFERROR(INDEX(Countries[],MATCH(CountryCleanup[[#This Row],[ISO3]],Countries[ISO3],0),6),"")</f>
        <v>Western Sahara</v>
      </c>
    </row>
    <row r="234" spans="2:5" x14ac:dyDescent="0.45">
      <c r="B234">
        <v>736</v>
      </c>
      <c r="C234" t="s">
        <v>1285</v>
      </c>
      <c r="D234">
        <f>IFERROR(INDEX(Countries[],MATCH(CountryCleanup[[#This Row],[ISO3]],Countries[ISO3],0),3),"")</f>
        <v>729</v>
      </c>
      <c r="E234" t="str">
        <f>IFERROR(INDEX(Countries[],MATCH(CountryCleanup[[#This Row],[ISO3]],Countries[ISO3],0),6),"")</f>
        <v>Sudan (the)</v>
      </c>
    </row>
    <row r="235" spans="2:5" x14ac:dyDescent="0.45">
      <c r="B235">
        <v>740</v>
      </c>
      <c r="C235" t="s">
        <v>1291</v>
      </c>
      <c r="D235">
        <f>IFERROR(INDEX(Countries[],MATCH(CountryCleanup[[#This Row],[ISO3]],Countries[ISO3],0),3),"")</f>
        <v>740</v>
      </c>
      <c r="E235" t="str">
        <f>IFERROR(INDEX(Countries[],MATCH(CountryCleanup[[#This Row],[ISO3]],Countries[ISO3],0),6),"")</f>
        <v>Suriname</v>
      </c>
    </row>
    <row r="236" spans="2:5" x14ac:dyDescent="0.45">
      <c r="B236">
        <v>748</v>
      </c>
      <c r="C236" t="s">
        <v>555</v>
      </c>
      <c r="D236">
        <f>IFERROR(INDEX(Countries[],MATCH(CountryCleanup[[#This Row],[ISO3]],Countries[ISO3],0),3),"")</f>
        <v>748</v>
      </c>
      <c r="E236" t="str">
        <f>IFERROR(INDEX(Countries[],MATCH(CountryCleanup[[#This Row],[ISO3]],Countries[ISO3],0),6),"")</f>
        <v>Eswatini</v>
      </c>
    </row>
    <row r="237" spans="2:5" x14ac:dyDescent="0.45">
      <c r="B237">
        <v>752</v>
      </c>
      <c r="C237" t="s">
        <v>1300</v>
      </c>
      <c r="D237">
        <f>IFERROR(INDEX(Countries[],MATCH(CountryCleanup[[#This Row],[ISO3]],Countries[ISO3],0),3),"")</f>
        <v>752</v>
      </c>
      <c r="E237" t="str">
        <f>IFERROR(INDEX(Countries[],MATCH(CountryCleanup[[#This Row],[ISO3]],Countries[ISO3],0),6),"")</f>
        <v>Sweden</v>
      </c>
    </row>
    <row r="238" spans="2:5" x14ac:dyDescent="0.45">
      <c r="B238">
        <v>757</v>
      </c>
      <c r="C238" t="s">
        <v>1306</v>
      </c>
      <c r="D238">
        <f>IFERROR(INDEX(Countries[],MATCH(CountryCleanup[[#This Row],[ISO3]],Countries[ISO3],0),3),"")</f>
        <v>756</v>
      </c>
      <c r="E238" t="str">
        <f>IFERROR(INDEX(Countries[],MATCH(CountryCleanup[[#This Row],[ISO3]],Countries[ISO3],0),6),"")</f>
        <v>Switzerland</v>
      </c>
    </row>
    <row r="239" spans="2:5" x14ac:dyDescent="0.45">
      <c r="B239">
        <v>760</v>
      </c>
      <c r="C239" t="s">
        <v>1311</v>
      </c>
      <c r="D239">
        <f>IFERROR(INDEX(Countries[],MATCH(CountryCleanup[[#This Row],[ISO3]],Countries[ISO3],0),3),"")</f>
        <v>760</v>
      </c>
      <c r="E239" t="str">
        <f>IFERROR(INDEX(Countries[],MATCH(CountryCleanup[[#This Row],[ISO3]],Countries[ISO3],0),6),"")</f>
        <v>Syrian Arab Republic (the)</v>
      </c>
    </row>
    <row r="240" spans="2:5" x14ac:dyDescent="0.45">
      <c r="B240">
        <v>762</v>
      </c>
      <c r="C240" t="s">
        <v>1317</v>
      </c>
      <c r="D240">
        <f>IFERROR(INDEX(Countries[],MATCH(CountryCleanup[[#This Row],[ISO3]],Countries[ISO3],0),3),"")</f>
        <v>762</v>
      </c>
      <c r="E240" t="str">
        <f>IFERROR(INDEX(Countries[],MATCH(CountryCleanup[[#This Row],[ISO3]],Countries[ISO3],0),6),"")</f>
        <v>Tajikistan</v>
      </c>
    </row>
    <row r="241" spans="2:5" x14ac:dyDescent="0.45">
      <c r="B241">
        <v>764</v>
      </c>
      <c r="C241" t="s">
        <v>1323</v>
      </c>
      <c r="D241">
        <f>IFERROR(INDEX(Countries[],MATCH(CountryCleanup[[#This Row],[ISO3]],Countries[ISO3],0),3),"")</f>
        <v>764</v>
      </c>
      <c r="E241" t="str">
        <f>IFERROR(INDEX(Countries[],MATCH(CountryCleanup[[#This Row],[ISO3]],Countries[ISO3],0),6),"")</f>
        <v>Thailand</v>
      </c>
    </row>
    <row r="242" spans="2:5" x14ac:dyDescent="0.45">
      <c r="B242">
        <v>768</v>
      </c>
      <c r="C242" t="s">
        <v>1332</v>
      </c>
      <c r="D242">
        <f>IFERROR(INDEX(Countries[],MATCH(CountryCleanup[[#This Row],[ISO3]],Countries[ISO3],0),3),"")</f>
        <v>768</v>
      </c>
      <c r="E242" t="str">
        <f>IFERROR(INDEX(Countries[],MATCH(CountryCleanup[[#This Row],[ISO3]],Countries[ISO3],0),6),"")</f>
        <v>Togo</v>
      </c>
    </row>
    <row r="243" spans="2:5" x14ac:dyDescent="0.45">
      <c r="B243">
        <v>776</v>
      </c>
      <c r="C243" t="s">
        <v>1339</v>
      </c>
      <c r="D243">
        <f>IFERROR(INDEX(Countries[],MATCH(CountryCleanup[[#This Row],[ISO3]],Countries[ISO3],0),3),"")</f>
        <v>776</v>
      </c>
      <c r="E243" t="str">
        <f>IFERROR(INDEX(Countries[],MATCH(CountryCleanup[[#This Row],[ISO3]],Countries[ISO3],0),6),"")</f>
        <v>Tonga</v>
      </c>
    </row>
    <row r="244" spans="2:5" x14ac:dyDescent="0.45">
      <c r="B244">
        <v>780</v>
      </c>
      <c r="C244" t="s">
        <v>1343</v>
      </c>
      <c r="D244">
        <f>IFERROR(INDEX(Countries[],MATCH(CountryCleanup[[#This Row],[ISO3]],Countries[ISO3],0),3),"")</f>
        <v>780</v>
      </c>
      <c r="E244" t="str">
        <f>IFERROR(INDEX(Countries[],MATCH(CountryCleanup[[#This Row],[ISO3]],Countries[ISO3],0),6),"")</f>
        <v>Trinidad and Tobago</v>
      </c>
    </row>
    <row r="245" spans="2:5" x14ac:dyDescent="0.45">
      <c r="B245">
        <v>784</v>
      </c>
      <c r="C245" t="s">
        <v>1383</v>
      </c>
      <c r="D245">
        <f>IFERROR(INDEX(Countries[],MATCH(CountryCleanup[[#This Row],[ISO3]],Countries[ISO3],0),3),"")</f>
        <v>784</v>
      </c>
      <c r="E245" t="str">
        <f>IFERROR(INDEX(Countries[],MATCH(CountryCleanup[[#This Row],[ISO3]],Countries[ISO3],0),6),"")</f>
        <v>United Arab Emirates (the)</v>
      </c>
    </row>
    <row r="246" spans="2:5" x14ac:dyDescent="0.45">
      <c r="B246">
        <v>788</v>
      </c>
      <c r="C246" t="s">
        <v>1349</v>
      </c>
      <c r="D246">
        <f>IFERROR(INDEX(Countries[],MATCH(CountryCleanup[[#This Row],[ISO3]],Countries[ISO3],0),3),"")</f>
        <v>788</v>
      </c>
      <c r="E246" t="str">
        <f>IFERROR(INDEX(Countries[],MATCH(CountryCleanup[[#This Row],[ISO3]],Countries[ISO3],0),6),"")</f>
        <v>Tunisia</v>
      </c>
    </row>
    <row r="247" spans="2:5" x14ac:dyDescent="0.45">
      <c r="B247">
        <v>792</v>
      </c>
      <c r="C247" t="s">
        <v>1355</v>
      </c>
      <c r="D247">
        <f>IFERROR(INDEX(Countries[],MATCH(CountryCleanup[[#This Row],[ISO3]],Countries[ISO3],0),3),"")</f>
        <v>792</v>
      </c>
      <c r="E247" t="str">
        <f>IFERROR(INDEX(Countries[],MATCH(CountryCleanup[[#This Row],[ISO3]],Countries[ISO3],0),6),"")</f>
        <v>Türkiye</v>
      </c>
    </row>
    <row r="248" spans="2:5" x14ac:dyDescent="0.45">
      <c r="B248">
        <v>795</v>
      </c>
      <c r="C248" t="s">
        <v>1359</v>
      </c>
      <c r="D248">
        <f>IFERROR(INDEX(Countries[],MATCH(CountryCleanup[[#This Row],[ISO3]],Countries[ISO3],0),3),"")</f>
        <v>795</v>
      </c>
      <c r="E248" t="str">
        <f>IFERROR(INDEX(Countries[],MATCH(CountryCleanup[[#This Row],[ISO3]],Countries[ISO3],0),6),"")</f>
        <v>Turkmenistan</v>
      </c>
    </row>
    <row r="249" spans="2:5" x14ac:dyDescent="0.45">
      <c r="B249">
        <v>796</v>
      </c>
      <c r="C249" t="s">
        <v>1365</v>
      </c>
      <c r="D249">
        <f>IFERROR(INDEX(Countries[],MATCH(CountryCleanup[[#This Row],[ISO3]],Countries[ISO3],0),3),"")</f>
        <v>796</v>
      </c>
      <c r="E249" t="str">
        <f>IFERROR(INDEX(Countries[],MATCH(CountryCleanup[[#This Row],[ISO3]],Countries[ISO3],0),6),"")</f>
        <v>Turks and Caicos Islands</v>
      </c>
    </row>
    <row r="250" spans="2:5" x14ac:dyDescent="0.45">
      <c r="B250">
        <v>798</v>
      </c>
      <c r="C250" t="s">
        <v>1370</v>
      </c>
      <c r="D250">
        <f>IFERROR(INDEX(Countries[],MATCH(CountryCleanup[[#This Row],[ISO3]],Countries[ISO3],0),3),"")</f>
        <v>798</v>
      </c>
      <c r="E250" t="str">
        <f>IFERROR(INDEX(Countries[],MATCH(CountryCleanup[[#This Row],[ISO3]],Countries[ISO3],0),6),"")</f>
        <v>Tuvalu</v>
      </c>
    </row>
    <row r="251" spans="2:5" x14ac:dyDescent="0.45">
      <c r="B251">
        <v>800</v>
      </c>
      <c r="C251" t="s">
        <v>1373</v>
      </c>
      <c r="D251">
        <f>IFERROR(INDEX(Countries[],MATCH(CountryCleanup[[#This Row],[ISO3]],Countries[ISO3],0),3),"")</f>
        <v>800</v>
      </c>
      <c r="E251" t="str">
        <f>IFERROR(INDEX(Countries[],MATCH(CountryCleanup[[#This Row],[ISO3]],Countries[ISO3],0),6),"")</f>
        <v>Uganda</v>
      </c>
    </row>
    <row r="252" spans="2:5" x14ac:dyDescent="0.45">
      <c r="B252">
        <v>804</v>
      </c>
      <c r="C252" t="s">
        <v>1378</v>
      </c>
      <c r="D252">
        <f>IFERROR(INDEX(Countries[],MATCH(CountryCleanup[[#This Row],[ISO3]],Countries[ISO3],0),3),"")</f>
        <v>804</v>
      </c>
      <c r="E252" t="str">
        <f>IFERROR(INDEX(Countries[],MATCH(CountryCleanup[[#This Row],[ISO3]],Countries[ISO3],0),6),"")</f>
        <v>Ukraine</v>
      </c>
    </row>
    <row r="253" spans="2:5" x14ac:dyDescent="0.45">
      <c r="B253">
        <v>807</v>
      </c>
      <c r="C253" t="s">
        <v>1090</v>
      </c>
      <c r="D253">
        <f>IFERROR(INDEX(Countries[],MATCH(CountryCleanup[[#This Row],[ISO3]],Countries[ISO3],0),3),"")</f>
        <v>807</v>
      </c>
      <c r="E253" t="str">
        <f>IFERROR(INDEX(Countries[],MATCH(CountryCleanup[[#This Row],[ISO3]],Countries[ISO3],0),6),"")</f>
        <v>North Macedonia</v>
      </c>
    </row>
    <row r="254" spans="2:5" x14ac:dyDescent="0.45">
      <c r="B254" s="3">
        <v>810</v>
      </c>
      <c r="C254" t="s">
        <v>1129</v>
      </c>
      <c r="D254">
        <f>IFERROR(INDEX(Countries[],MATCH(CountryCleanup[[#This Row],[ISO3]],Countries[ISO3],0),3),"")</f>
        <v>643</v>
      </c>
      <c r="E254" t="str">
        <f>IFERROR(INDEX(Countries[],MATCH(CountryCleanup[[#This Row],[ISO3]],Countries[ISO3],0),6),"")</f>
        <v>Russian Federation (the)</v>
      </c>
    </row>
    <row r="255" spans="2:5" x14ac:dyDescent="0.45">
      <c r="B255">
        <v>818</v>
      </c>
      <c r="C255" t="s">
        <v>531</v>
      </c>
      <c r="D255">
        <f>IFERROR(INDEX(Countries[],MATCH(CountryCleanup[[#This Row],[ISO3]],Countries[ISO3],0),3),"")</f>
        <v>818</v>
      </c>
      <c r="E255" t="str">
        <f>IFERROR(INDEX(Countries[],MATCH(CountryCleanup[[#This Row],[ISO3]],Countries[ISO3],0),6),"")</f>
        <v>Egypt</v>
      </c>
    </row>
    <row r="256" spans="2:5" x14ac:dyDescent="0.45">
      <c r="B256">
        <v>826</v>
      </c>
      <c r="C256" t="s">
        <v>1389</v>
      </c>
      <c r="D256">
        <f>IFERROR(INDEX(Countries[],MATCH(CountryCleanup[[#This Row],[ISO3]],Countries[ISO3],0),3),"")</f>
        <v>826</v>
      </c>
      <c r="E256" t="str">
        <f>IFERROR(INDEX(Countries[],MATCH(CountryCleanup[[#This Row],[ISO3]],Countries[ISO3],0),6),"")</f>
        <v>United Kingdom of Great Britain and Northern Ireland (the)</v>
      </c>
    </row>
    <row r="257" spans="2:5" x14ac:dyDescent="0.45">
      <c r="B257">
        <v>831</v>
      </c>
      <c r="C257" t="s">
        <v>671</v>
      </c>
      <c r="D257">
        <f>IFERROR(INDEX(Countries[],MATCH(CountryCleanup[[#This Row],[ISO3]],Countries[ISO3],0),3),"")</f>
        <v>831</v>
      </c>
      <c r="E257" t="str">
        <f>IFERROR(INDEX(Countries[],MATCH(CountryCleanup[[#This Row],[ISO3]],Countries[ISO3],0),6),"")</f>
        <v>Guernsey</v>
      </c>
    </row>
    <row r="258" spans="2:5" x14ac:dyDescent="0.45">
      <c r="B258">
        <v>832</v>
      </c>
      <c r="C258" t="s">
        <v>771</v>
      </c>
      <c r="D258">
        <f>IFERROR(INDEX(Countries[],MATCH(CountryCleanup[[#This Row],[ISO3]],Countries[ISO3],0),3),"")</f>
        <v>832</v>
      </c>
      <c r="E258" t="str">
        <f>IFERROR(INDEX(Countries[],MATCH(CountryCleanup[[#This Row],[ISO3]],Countries[ISO3],0),6),"")</f>
        <v>Jersey</v>
      </c>
    </row>
    <row r="259" spans="2:5" x14ac:dyDescent="0.45">
      <c r="B259">
        <v>833</v>
      </c>
      <c r="C259" t="s">
        <v>745</v>
      </c>
      <c r="D259">
        <f>IFERROR(INDEX(Countries[],MATCH(CountryCleanup[[#This Row],[ISO3]],Countries[ISO3],0),3),"")</f>
        <v>833</v>
      </c>
      <c r="E259" t="str">
        <f>IFERROR(INDEX(Countries[],MATCH(CountryCleanup[[#This Row],[ISO3]],Countries[ISO3],0),6),"")</f>
        <v>Isle of Man</v>
      </c>
    </row>
    <row r="260" spans="2:5" x14ac:dyDescent="0.45">
      <c r="B260">
        <v>834</v>
      </c>
      <c r="C260" t="s">
        <v>1395</v>
      </c>
      <c r="D260">
        <f>IFERROR(INDEX(Countries[],MATCH(CountryCleanup[[#This Row],[ISO3]],Countries[ISO3],0),3),"")</f>
        <v>834</v>
      </c>
      <c r="E260" t="str">
        <f>IFERROR(INDEX(Countries[],MATCH(CountryCleanup[[#This Row],[ISO3]],Countries[ISO3],0),6),"")</f>
        <v>United Republic of Tanzania (the)</v>
      </c>
    </row>
    <row r="261" spans="2:5" x14ac:dyDescent="0.45">
      <c r="B261">
        <v>835</v>
      </c>
      <c r="C261" t="s">
        <v>1395</v>
      </c>
      <c r="D261" s="33">
        <f>IFERROR(INDEX(Countries[],MATCH(CountryCleanup[[#This Row],[ISO3]],Countries[ISO3],0),3),"")</f>
        <v>834</v>
      </c>
      <c r="E261" t="str">
        <f>IFERROR(INDEX(Countries[],MATCH(CountryCleanup[[#This Row],[ISO3]],Countries[ISO3],0),6),"")</f>
        <v>United Republic of Tanzania (the)</v>
      </c>
    </row>
    <row r="262" spans="2:5" x14ac:dyDescent="0.45">
      <c r="B262">
        <v>836</v>
      </c>
      <c r="C262" t="s">
        <v>1395</v>
      </c>
      <c r="D262" s="33">
        <f>IFERROR(INDEX(Countries[],MATCH(CountryCleanup[[#This Row],[ISO3]],Countries[ISO3],0),3),"")</f>
        <v>834</v>
      </c>
      <c r="E262" t="str">
        <f>IFERROR(INDEX(Countries[],MATCH(CountryCleanup[[#This Row],[ISO3]],Countries[ISO3],0),6),"")</f>
        <v>United Republic of Tanzania (the)</v>
      </c>
    </row>
    <row r="263" spans="2:5" x14ac:dyDescent="0.45">
      <c r="B263">
        <v>840</v>
      </c>
      <c r="C263" t="s">
        <v>1406</v>
      </c>
      <c r="D263">
        <f>IFERROR(INDEX(Countries[],MATCH(CountryCleanup[[#This Row],[ISO3]],Countries[ISO3],0),3),"")</f>
        <v>840</v>
      </c>
      <c r="E263" t="str">
        <f>IFERROR(INDEX(Countries[],MATCH(CountryCleanup[[#This Row],[ISO3]],Countries[ISO3],0),6),"")</f>
        <v>United States of America (the)</v>
      </c>
    </row>
    <row r="264" spans="2:5" x14ac:dyDescent="0.45">
      <c r="B264">
        <v>850</v>
      </c>
      <c r="C264" t="s">
        <v>1411</v>
      </c>
      <c r="D264">
        <f>IFERROR(INDEX(Countries[],MATCH(CountryCleanup[[#This Row],[ISO3]],Countries[ISO3],0),3),"")</f>
        <v>850</v>
      </c>
      <c r="E264" t="str">
        <f>IFERROR(INDEX(Countries[],MATCH(CountryCleanup[[#This Row],[ISO3]],Countries[ISO3],0),6),"")</f>
        <v>United States Virgin Islands</v>
      </c>
    </row>
    <row r="265" spans="2:5" x14ac:dyDescent="0.45">
      <c r="B265">
        <v>854</v>
      </c>
      <c r="C265" t="s">
        <v>346</v>
      </c>
      <c r="D265">
        <f>IFERROR(INDEX(Countries[],MATCH(CountryCleanup[[#This Row],[ISO3]],Countries[ISO3],0),3),"")</f>
        <v>854</v>
      </c>
      <c r="E265" t="str">
        <f>IFERROR(INDEX(Countries[],MATCH(CountryCleanup[[#This Row],[ISO3]],Countries[ISO3],0),6),"")</f>
        <v>Burkina Faso</v>
      </c>
    </row>
    <row r="266" spans="2:5" x14ac:dyDescent="0.45">
      <c r="B266">
        <v>858</v>
      </c>
      <c r="C266" t="s">
        <v>1418</v>
      </c>
      <c r="D266">
        <f>IFERROR(INDEX(Countries[],MATCH(CountryCleanup[[#This Row],[ISO3]],Countries[ISO3],0),3),"")</f>
        <v>858</v>
      </c>
      <c r="E266" t="str">
        <f>IFERROR(INDEX(Countries[],MATCH(CountryCleanup[[#This Row],[ISO3]],Countries[ISO3],0),6),"")</f>
        <v>Uruguay</v>
      </c>
    </row>
    <row r="267" spans="2:5" x14ac:dyDescent="0.45">
      <c r="B267">
        <v>860</v>
      </c>
      <c r="C267" t="s">
        <v>1422</v>
      </c>
      <c r="D267">
        <f>IFERROR(INDEX(Countries[],MATCH(CountryCleanup[[#This Row],[ISO3]],Countries[ISO3],0),3),"")</f>
        <v>860</v>
      </c>
      <c r="E267" t="str">
        <f>IFERROR(INDEX(Countries[],MATCH(CountryCleanup[[#This Row],[ISO3]],Countries[ISO3],0),6),"")</f>
        <v>Uzbekistan</v>
      </c>
    </row>
    <row r="268" spans="2:5" x14ac:dyDescent="0.45">
      <c r="B268">
        <v>862</v>
      </c>
      <c r="C268" t="s">
        <v>1432</v>
      </c>
      <c r="D268">
        <f>IFERROR(INDEX(Countries[],MATCH(CountryCleanup[[#This Row],[ISO3]],Countries[ISO3],0),3),"")</f>
        <v>862</v>
      </c>
      <c r="E268" t="str">
        <f>IFERROR(INDEX(Countries[],MATCH(CountryCleanup[[#This Row],[ISO3]],Countries[ISO3],0),6),"")</f>
        <v>Venezuela (Bolivarian Republic of)</v>
      </c>
    </row>
    <row r="269" spans="2:5" x14ac:dyDescent="0.45">
      <c r="B269">
        <v>866</v>
      </c>
      <c r="C269" t="s">
        <v>1438</v>
      </c>
      <c r="D269" s="33">
        <f>IFERROR(INDEX(Countries[],MATCH(CountryCleanup[[#This Row],[ISO3]],Countries[ISO3],0),3),"")</f>
        <v>704</v>
      </c>
      <c r="E269" t="str">
        <f>IFERROR(INDEX(Countries[],MATCH(CountryCleanup[[#This Row],[ISO3]],Countries[ISO3],0),6),"")</f>
        <v>Viet Nam</v>
      </c>
    </row>
    <row r="270" spans="2:5" x14ac:dyDescent="0.45">
      <c r="B270">
        <v>868</v>
      </c>
      <c r="C270" t="s">
        <v>1438</v>
      </c>
      <c r="D270" s="33">
        <f>IFERROR(INDEX(Countries[],MATCH(CountryCleanup[[#This Row],[ISO3]],Countries[ISO3],0),3),"")</f>
        <v>704</v>
      </c>
      <c r="E270" t="str">
        <f>IFERROR(INDEX(Countries[],MATCH(CountryCleanup[[#This Row],[ISO3]],Countries[ISO3],0),6),"")</f>
        <v>Viet Nam</v>
      </c>
    </row>
    <row r="271" spans="2:5" x14ac:dyDescent="0.45">
      <c r="B271" s="30">
        <v>868</v>
      </c>
      <c r="C271" t="s">
        <v>1438</v>
      </c>
      <c r="D271" s="33">
        <f>IFERROR(INDEX(Countries[],MATCH(CountryCleanup[[#This Row],[ISO3]],Countries[ISO3],0),3),"")</f>
        <v>704</v>
      </c>
      <c r="E271" t="str">
        <f>IFERROR(INDEX(Countries[],MATCH(CountryCleanup[[#This Row],[ISO3]],Countries[ISO3],0),6),"")</f>
        <v>Viet Nam</v>
      </c>
    </row>
    <row r="272" spans="2:5" x14ac:dyDescent="0.45">
      <c r="B272">
        <v>876</v>
      </c>
      <c r="C272" t="s">
        <v>1442</v>
      </c>
      <c r="D272">
        <f>IFERROR(INDEX(Countries[],MATCH(CountryCleanup[[#This Row],[ISO3]],Countries[ISO3],0),3),"")</f>
        <v>876</v>
      </c>
      <c r="E272" t="str">
        <f>IFERROR(INDEX(Countries[],MATCH(CountryCleanup[[#This Row],[ISO3]],Countries[ISO3],0),6),"")</f>
        <v>Wallis and Futuna Islands</v>
      </c>
    </row>
    <row r="273" spans="2:5" x14ac:dyDescent="0.45">
      <c r="B273">
        <v>882</v>
      </c>
      <c r="C273" t="s">
        <v>1177</v>
      </c>
      <c r="D273">
        <f>IFERROR(INDEX(Countries[],MATCH(CountryCleanup[[#This Row],[ISO3]],Countries[ISO3],0),3),"")</f>
        <v>882</v>
      </c>
      <c r="E273" t="str">
        <f>IFERROR(INDEX(Countries[],MATCH(CountryCleanup[[#This Row],[ISO3]],Countries[ISO3],0),6),"")</f>
        <v>Samoa</v>
      </c>
    </row>
    <row r="274" spans="2:5" x14ac:dyDescent="0.45">
      <c r="B274" s="3">
        <v>886</v>
      </c>
      <c r="C274" t="s">
        <v>1456</v>
      </c>
      <c r="D274">
        <f>IFERROR(INDEX(Countries[],MATCH(CountryCleanup[[#This Row],[ISO3]],Countries[ISO3],0),3),"")</f>
        <v>887</v>
      </c>
      <c r="E274" t="str">
        <f>IFERROR(INDEX(Countries[],MATCH(CountryCleanup[[#This Row],[ISO3]],Countries[ISO3],0),6),"")</f>
        <v>Yemen</v>
      </c>
    </row>
    <row r="275" spans="2:5" x14ac:dyDescent="0.45">
      <c r="B275">
        <v>887</v>
      </c>
      <c r="C275" t="s">
        <v>1456</v>
      </c>
      <c r="D275">
        <f>IFERROR(INDEX(Countries[],MATCH(CountryCleanup[[#This Row],[ISO3]],Countries[ISO3],0),3),"")</f>
        <v>887</v>
      </c>
      <c r="E275" t="str">
        <f>IFERROR(INDEX(Countries[],MATCH(CountryCleanup[[#This Row],[ISO3]],Countries[ISO3],0),6),"")</f>
        <v>Yemen</v>
      </c>
    </row>
    <row r="276" spans="2:5" x14ac:dyDescent="0.45">
      <c r="B276" s="3">
        <v>890</v>
      </c>
      <c r="C276" t="s">
        <v>1090</v>
      </c>
      <c r="D276">
        <f>IFERROR(INDEX(Countries[],MATCH(CountryCleanup[[#This Row],[ISO3]],Countries[ISO3],0),3),"")</f>
        <v>807</v>
      </c>
      <c r="E276" t="str">
        <f>IFERROR(INDEX(Countries[],MATCH(CountryCleanup[[#This Row],[ISO3]],Countries[ISO3],0),6),"")</f>
        <v>North Macedonia</v>
      </c>
    </row>
    <row r="277" spans="2:5" x14ac:dyDescent="0.45">
      <c r="B277">
        <v>891</v>
      </c>
      <c r="C277" t="s">
        <v>924</v>
      </c>
      <c r="D277">
        <f>IFERROR(INDEX(Countries[],MATCH(CountryCleanup[[#This Row],[ISO3]],Countries[ISO3],0),3),"")</f>
        <v>499</v>
      </c>
      <c r="E277" t="str">
        <f>IFERROR(INDEX(Countries[],MATCH(CountryCleanup[[#This Row],[ISO3]],Countries[ISO3],0),6),"")</f>
        <v>Montenegro</v>
      </c>
    </row>
    <row r="278" spans="2:5" x14ac:dyDescent="0.45">
      <c r="B278">
        <v>894</v>
      </c>
      <c r="C278" t="s">
        <v>1461</v>
      </c>
      <c r="D278">
        <f>IFERROR(INDEX(Countries[],MATCH(CountryCleanup[[#This Row],[ISO3]],Countries[ISO3],0),3),"")</f>
        <v>894</v>
      </c>
      <c r="E278" t="str">
        <f>IFERROR(INDEX(Countries[],MATCH(CountryCleanup[[#This Row],[ISO3]],Countries[ISO3],0),6),"")</f>
        <v>Zambia</v>
      </c>
    </row>
    <row r="279" spans="2:5" x14ac:dyDescent="0.45">
      <c r="B279" t="s">
        <v>2512</v>
      </c>
      <c r="C279" t="s">
        <v>97</v>
      </c>
      <c r="D279">
        <f>IFERROR(INDEX(Countries[],MATCH(CountryCleanup[[#This Row],[ISO3]],Countries[ISO3],0),3),"")</f>
        <v>4</v>
      </c>
      <c r="E279" t="str">
        <f>IFERROR(INDEX(Countries[],MATCH(CountryCleanup[[#This Row],[ISO3]],Countries[ISO3],0),6),"")</f>
        <v>Afghanistan</v>
      </c>
    </row>
    <row r="280" spans="2:5" x14ac:dyDescent="0.45">
      <c r="B280" t="s">
        <v>2513</v>
      </c>
      <c r="C280" t="s">
        <v>134</v>
      </c>
      <c r="D280">
        <f>IFERROR(INDEX(Countries[],MATCH(CountryCleanup[[#This Row],[ISO3]],Countries[ISO3],0),3),"")</f>
        <v>8</v>
      </c>
      <c r="E280" t="str">
        <f>IFERROR(INDEX(Countries[],MATCH(CountryCleanup[[#This Row],[ISO3]],Countries[ISO3],0),6),"")</f>
        <v>Albania</v>
      </c>
    </row>
    <row r="281" spans="2:5" x14ac:dyDescent="0.45">
      <c r="B281" t="s">
        <v>2514</v>
      </c>
      <c r="C281" t="s">
        <v>141</v>
      </c>
      <c r="D281">
        <f>IFERROR(INDEX(Countries[],MATCH(CountryCleanup[[#This Row],[ISO3]],Countries[ISO3],0),3),"")</f>
        <v>12</v>
      </c>
      <c r="E281" t="str">
        <f>IFERROR(INDEX(Countries[],MATCH(CountryCleanup[[#This Row],[ISO3]],Countries[ISO3],0),6),"")</f>
        <v>Algeria</v>
      </c>
    </row>
    <row r="282" spans="2:5" x14ac:dyDescent="0.45">
      <c r="B282" t="s">
        <v>2515</v>
      </c>
      <c r="C282" t="s">
        <v>149</v>
      </c>
      <c r="D282">
        <f>IFERROR(INDEX(Countries[],MATCH(CountryCleanup[[#This Row],[ISO3]],Countries[ISO3],0),3),"")</f>
        <v>16</v>
      </c>
      <c r="E282" t="str">
        <f>IFERROR(INDEX(Countries[],MATCH(CountryCleanup[[#This Row],[ISO3]],Countries[ISO3],0),6),"")</f>
        <v>American Samoa</v>
      </c>
    </row>
    <row r="283" spans="2:5" x14ac:dyDescent="0.45">
      <c r="B283" t="s">
        <v>2516</v>
      </c>
      <c r="C283" t="s">
        <v>160</v>
      </c>
      <c r="D283">
        <f>IFERROR(INDEX(Countries[],MATCH(CountryCleanup[[#This Row],[ISO3]],Countries[ISO3],0),3),"")</f>
        <v>20</v>
      </c>
      <c r="E283" t="str">
        <f>IFERROR(INDEX(Countries[],MATCH(CountryCleanup[[#This Row],[ISO3]],Countries[ISO3],0),6),"")</f>
        <v>Andorra</v>
      </c>
    </row>
    <row r="284" spans="2:5" x14ac:dyDescent="0.45">
      <c r="B284" t="s">
        <v>2517</v>
      </c>
      <c r="C284" t="s">
        <v>164</v>
      </c>
      <c r="D284">
        <f>IFERROR(INDEX(Countries[],MATCH(CountryCleanup[[#This Row],[ISO3]],Countries[ISO3],0),3),"")</f>
        <v>24</v>
      </c>
      <c r="E284" t="str">
        <f>IFERROR(INDEX(Countries[],MATCH(CountryCleanup[[#This Row],[ISO3]],Countries[ISO3],0),6),"")</f>
        <v>Angola</v>
      </c>
    </row>
    <row r="285" spans="2:5" x14ac:dyDescent="0.45">
      <c r="B285" t="s">
        <v>2518</v>
      </c>
      <c r="C285" t="s">
        <v>187</v>
      </c>
      <c r="D285">
        <f>IFERROR(INDEX(Countries[],MATCH(CountryCleanup[[#This Row],[ISO3]],Countries[ISO3],0),3),"")</f>
        <v>28</v>
      </c>
      <c r="E285" t="str">
        <f>IFERROR(INDEX(Countries[],MATCH(CountryCleanup[[#This Row],[ISO3]],Countries[ISO3],0),6),"")</f>
        <v>Antigua and Barbuda</v>
      </c>
    </row>
    <row r="286" spans="2:5" x14ac:dyDescent="0.45">
      <c r="B286" t="s">
        <v>2519</v>
      </c>
      <c r="C286" t="s">
        <v>226</v>
      </c>
      <c r="D286">
        <f>IFERROR(INDEX(Countries[],MATCH(CountryCleanup[[#This Row],[ISO3]],Countries[ISO3],0),3),"")</f>
        <v>31</v>
      </c>
      <c r="E286" t="str">
        <f>IFERROR(INDEX(Countries[],MATCH(CountryCleanup[[#This Row],[ISO3]],Countries[ISO3],0),6),"")</f>
        <v>Azerbaijan</v>
      </c>
    </row>
    <row r="287" spans="2:5" x14ac:dyDescent="0.45">
      <c r="B287" t="s">
        <v>2520</v>
      </c>
      <c r="C287" t="s">
        <v>193</v>
      </c>
      <c r="D287">
        <f>IFERROR(INDEX(Countries[],MATCH(CountryCleanup[[#This Row],[ISO3]],Countries[ISO3],0),3),"")</f>
        <v>32</v>
      </c>
      <c r="E287" t="str">
        <f>IFERROR(INDEX(Countries[],MATCH(CountryCleanup[[#This Row],[ISO3]],Countries[ISO3],0),6),"")</f>
        <v>Argentina</v>
      </c>
    </row>
    <row r="288" spans="2:5" x14ac:dyDescent="0.45">
      <c r="B288" t="s">
        <v>2521</v>
      </c>
      <c r="C288" t="s">
        <v>212</v>
      </c>
      <c r="D288">
        <f>IFERROR(INDEX(Countries[],MATCH(CountryCleanup[[#This Row],[ISO3]],Countries[ISO3],0),3),"")</f>
        <v>36</v>
      </c>
      <c r="E288" t="str">
        <f>IFERROR(INDEX(Countries[],MATCH(CountryCleanup[[#This Row],[ISO3]],Countries[ISO3],0),6),"")</f>
        <v>Australia</v>
      </c>
    </row>
    <row r="289" spans="2:5" x14ac:dyDescent="0.45">
      <c r="B289" t="s">
        <v>2522</v>
      </c>
      <c r="C289" t="s">
        <v>220</v>
      </c>
      <c r="D289">
        <f>IFERROR(INDEX(Countries[],MATCH(CountryCleanup[[#This Row],[ISO3]],Countries[ISO3],0),3),"")</f>
        <v>40</v>
      </c>
      <c r="E289" t="str">
        <f>IFERROR(INDEX(Countries[],MATCH(CountryCleanup[[#This Row],[ISO3]],Countries[ISO3],0),6),"")</f>
        <v>Austria</v>
      </c>
    </row>
    <row r="290" spans="2:5" x14ac:dyDescent="0.45">
      <c r="B290" t="s">
        <v>2523</v>
      </c>
      <c r="C290" t="s">
        <v>232</v>
      </c>
      <c r="D290">
        <f>IFERROR(INDEX(Countries[],MATCH(CountryCleanup[[#This Row],[ISO3]],Countries[ISO3],0),3),"")</f>
        <v>44</v>
      </c>
      <c r="E290" t="str">
        <f>IFERROR(INDEX(Countries[],MATCH(CountryCleanup[[#This Row],[ISO3]],Countries[ISO3],0),6),"")</f>
        <v>Bahamas (the)</v>
      </c>
    </row>
    <row r="291" spans="2:5" x14ac:dyDescent="0.45">
      <c r="B291" t="s">
        <v>2524</v>
      </c>
      <c r="C291" t="s">
        <v>236</v>
      </c>
      <c r="D291">
        <f>IFERROR(INDEX(Countries[],MATCH(CountryCleanup[[#This Row],[ISO3]],Countries[ISO3],0),3),"")</f>
        <v>48</v>
      </c>
      <c r="E291" t="str">
        <f>IFERROR(INDEX(Countries[],MATCH(CountryCleanup[[#This Row],[ISO3]],Countries[ISO3],0),6),"")</f>
        <v>Bahrain</v>
      </c>
    </row>
    <row r="292" spans="2:5" x14ac:dyDescent="0.45">
      <c r="B292" t="s">
        <v>2525</v>
      </c>
      <c r="C292" t="s">
        <v>243</v>
      </c>
      <c r="D292">
        <f>IFERROR(INDEX(Countries[],MATCH(CountryCleanup[[#This Row],[ISO3]],Countries[ISO3],0),3),"")</f>
        <v>50</v>
      </c>
      <c r="E292" t="str">
        <f>IFERROR(INDEX(Countries[],MATCH(CountryCleanup[[#This Row],[ISO3]],Countries[ISO3],0),6),"")</f>
        <v>Bangladesh</v>
      </c>
    </row>
    <row r="293" spans="2:5" x14ac:dyDescent="0.45">
      <c r="B293" t="s">
        <v>2526</v>
      </c>
      <c r="C293" t="s">
        <v>199</v>
      </c>
      <c r="D293">
        <f>IFERROR(INDEX(Countries[],MATCH(CountryCleanup[[#This Row],[ISO3]],Countries[ISO3],0),3),"")</f>
        <v>51</v>
      </c>
      <c r="E293" t="str">
        <f>IFERROR(INDEX(Countries[],MATCH(CountryCleanup[[#This Row],[ISO3]],Countries[ISO3],0),6),"")</f>
        <v>Armenia</v>
      </c>
    </row>
    <row r="294" spans="2:5" x14ac:dyDescent="0.45">
      <c r="B294" t="s">
        <v>2527</v>
      </c>
      <c r="C294" t="s">
        <v>247</v>
      </c>
      <c r="D294">
        <f>IFERROR(INDEX(Countries[],MATCH(CountryCleanup[[#This Row],[ISO3]],Countries[ISO3],0),3),"")</f>
        <v>52</v>
      </c>
      <c r="E294" t="str">
        <f>IFERROR(INDEX(Countries[],MATCH(CountryCleanup[[#This Row],[ISO3]],Countries[ISO3],0),6),"")</f>
        <v>Barbados</v>
      </c>
    </row>
    <row r="295" spans="2:5" x14ac:dyDescent="0.45">
      <c r="B295" t="s">
        <v>2528</v>
      </c>
      <c r="C295" t="s">
        <v>259</v>
      </c>
      <c r="D295">
        <f>IFERROR(INDEX(Countries[],MATCH(CountryCleanup[[#This Row],[ISO3]],Countries[ISO3],0),3),"")</f>
        <v>56</v>
      </c>
      <c r="E295" t="str">
        <f>IFERROR(INDEX(Countries[],MATCH(CountryCleanup[[#This Row],[ISO3]],Countries[ISO3],0),6),"")</f>
        <v>Belgium</v>
      </c>
    </row>
    <row r="296" spans="2:5" x14ac:dyDescent="0.45">
      <c r="B296" t="s">
        <v>2529</v>
      </c>
      <c r="C296" t="s">
        <v>276</v>
      </c>
      <c r="D296">
        <f>IFERROR(INDEX(Countries[],MATCH(CountryCleanup[[#This Row],[ISO3]],Countries[ISO3],0),3),"")</f>
        <v>60</v>
      </c>
      <c r="E296" t="str">
        <f>IFERROR(INDEX(Countries[],MATCH(CountryCleanup[[#This Row],[ISO3]],Countries[ISO3],0),6),"")</f>
        <v>Bermuda</v>
      </c>
    </row>
    <row r="297" spans="2:5" x14ac:dyDescent="0.45">
      <c r="B297" t="s">
        <v>2530</v>
      </c>
      <c r="C297" t="s">
        <v>284</v>
      </c>
      <c r="D297">
        <f>IFERROR(INDEX(Countries[],MATCH(CountryCleanup[[#This Row],[ISO3]],Countries[ISO3],0),3),"")</f>
        <v>64</v>
      </c>
      <c r="E297" t="str">
        <f>IFERROR(INDEX(Countries[],MATCH(CountryCleanup[[#This Row],[ISO3]],Countries[ISO3],0),6),"")</f>
        <v>Bhutan</v>
      </c>
    </row>
    <row r="298" spans="2:5" x14ac:dyDescent="0.45">
      <c r="B298" t="s">
        <v>2531</v>
      </c>
      <c r="C298" t="s">
        <v>290</v>
      </c>
      <c r="D298">
        <f>IFERROR(INDEX(Countries[],MATCH(CountryCleanup[[#This Row],[ISO3]],Countries[ISO3],0),3),"")</f>
        <v>68</v>
      </c>
      <c r="E298" t="str">
        <f>IFERROR(INDEX(Countries[],MATCH(CountryCleanup[[#This Row],[ISO3]],Countries[ISO3],0),6),"")</f>
        <v>Bolivia (Plurinational State of)</v>
      </c>
    </row>
    <row r="299" spans="2:5" x14ac:dyDescent="0.45">
      <c r="B299" t="s">
        <v>2532</v>
      </c>
      <c r="C299" t="s">
        <v>301</v>
      </c>
      <c r="D299">
        <f>IFERROR(INDEX(Countries[],MATCH(CountryCleanup[[#This Row],[ISO3]],Countries[ISO3],0),3),"")</f>
        <v>70</v>
      </c>
      <c r="E299" t="str">
        <f>IFERROR(INDEX(Countries[],MATCH(CountryCleanup[[#This Row],[ISO3]],Countries[ISO3],0),6),"")</f>
        <v>Bosnia and Herzegovina</v>
      </c>
    </row>
    <row r="300" spans="2:5" x14ac:dyDescent="0.45">
      <c r="B300" t="s">
        <v>2533</v>
      </c>
      <c r="C300" t="s">
        <v>307</v>
      </c>
      <c r="D300">
        <f>IFERROR(INDEX(Countries[],MATCH(CountryCleanup[[#This Row],[ISO3]],Countries[ISO3],0),3),"")</f>
        <v>72</v>
      </c>
      <c r="E300" t="str">
        <f>IFERROR(INDEX(Countries[],MATCH(CountryCleanup[[#This Row],[ISO3]],Countries[ISO3],0),6),"")</f>
        <v>Botswana</v>
      </c>
    </row>
    <row r="301" spans="2:5" x14ac:dyDescent="0.45">
      <c r="B301" t="s">
        <v>2534</v>
      </c>
      <c r="C301" t="s">
        <v>318</v>
      </c>
      <c r="D301">
        <f>IFERROR(INDEX(Countries[],MATCH(CountryCleanup[[#This Row],[ISO3]],Countries[ISO3],0),3),"")</f>
        <v>76</v>
      </c>
      <c r="E301" t="str">
        <f>IFERROR(INDEX(Countries[],MATCH(CountryCleanup[[#This Row],[ISO3]],Countries[ISO3],0),6),"")</f>
        <v>Brazil</v>
      </c>
    </row>
    <row r="302" spans="2:5" x14ac:dyDescent="0.45">
      <c r="B302" t="s">
        <v>2535</v>
      </c>
      <c r="C302" t="s">
        <v>181</v>
      </c>
      <c r="D302">
        <f>IFERROR(INDEX(Countries[],MATCH(CountryCleanup[[#This Row],[ISO3]],Countries[ISO3],0),3),"")</f>
        <v>10</v>
      </c>
      <c r="E302" t="str">
        <f>IFERROR(INDEX(Countries[],MATCH(CountryCleanup[[#This Row],[ISO3]],Countries[ISO3],0),6),"")</f>
        <v>Antarctica</v>
      </c>
    </row>
    <row r="303" spans="2:5" x14ac:dyDescent="0.45">
      <c r="B303" t="s">
        <v>2536</v>
      </c>
      <c r="C303" t="s">
        <v>264</v>
      </c>
      <c r="D303">
        <f>IFERROR(INDEX(Countries[],MATCH(CountryCleanup[[#This Row],[ISO3]],Countries[ISO3],0),3),"")</f>
        <v>84</v>
      </c>
      <c r="E303" t="str">
        <f>IFERROR(INDEX(Countries[],MATCH(CountryCleanup[[#This Row],[ISO3]],Countries[ISO3],0),6),"")</f>
        <v>Belize</v>
      </c>
    </row>
    <row r="304" spans="2:5" x14ac:dyDescent="0.45">
      <c r="B304" t="s">
        <v>2537</v>
      </c>
      <c r="C304" t="s">
        <v>1241</v>
      </c>
      <c r="D304">
        <f>IFERROR(INDEX(Countries[],MATCH(CountryCleanup[[#This Row],[ISO3]],Countries[ISO3],0),3),"")</f>
        <v>90</v>
      </c>
      <c r="E304" t="str">
        <f>IFERROR(INDEX(Countries[],MATCH(CountryCleanup[[#This Row],[ISO3]],Countries[ISO3],0),6),"")</f>
        <v>Solomon Islands</v>
      </c>
    </row>
    <row r="305" spans="2:5" x14ac:dyDescent="0.45">
      <c r="B305" t="s">
        <v>2538</v>
      </c>
      <c r="C305" t="s">
        <v>330</v>
      </c>
      <c r="D305">
        <f>IFERROR(INDEX(Countries[],MATCH(CountryCleanup[[#This Row],[ISO3]],Countries[ISO3],0),3),"")</f>
        <v>92</v>
      </c>
      <c r="E305" t="str">
        <f>IFERROR(INDEX(Countries[],MATCH(CountryCleanup[[#This Row],[ISO3]],Countries[ISO3],0),6),"")</f>
        <v>British Virgin Islands</v>
      </c>
    </row>
    <row r="306" spans="2:5" x14ac:dyDescent="0.45">
      <c r="B306" t="s">
        <v>2539</v>
      </c>
      <c r="C306" t="s">
        <v>335</v>
      </c>
      <c r="D306">
        <f>IFERROR(INDEX(Countries[],MATCH(CountryCleanup[[#This Row],[ISO3]],Countries[ISO3],0),3),"")</f>
        <v>96</v>
      </c>
      <c r="E306" t="str">
        <f>IFERROR(INDEX(Countries[],MATCH(CountryCleanup[[#This Row],[ISO3]],Countries[ISO3],0),6),"")</f>
        <v>Brunei Darussalam</v>
      </c>
    </row>
    <row r="307" spans="2:5" x14ac:dyDescent="0.45">
      <c r="B307" t="s">
        <v>2540</v>
      </c>
      <c r="C307" t="s">
        <v>341</v>
      </c>
      <c r="D307">
        <f>IFERROR(INDEX(Countries[],MATCH(CountryCleanup[[#This Row],[ISO3]],Countries[ISO3],0),3),"")</f>
        <v>100</v>
      </c>
      <c r="E307" t="str">
        <f>IFERROR(INDEX(Countries[],MATCH(CountryCleanup[[#This Row],[ISO3]],Countries[ISO3],0),6),"")</f>
        <v>Bulgaria</v>
      </c>
    </row>
    <row r="308" spans="2:5" x14ac:dyDescent="0.45">
      <c r="B308" t="s">
        <v>2541</v>
      </c>
      <c r="C308" t="s">
        <v>944</v>
      </c>
      <c r="D308">
        <f>IFERROR(INDEX(Countries[],MATCH(CountryCleanup[[#This Row],[ISO3]],Countries[ISO3],0),3),"")</f>
        <v>104</v>
      </c>
      <c r="E308" t="str">
        <f>IFERROR(INDEX(Countries[],MATCH(CountryCleanup[[#This Row],[ISO3]],Countries[ISO3],0),6),"")</f>
        <v>Myanmar</v>
      </c>
    </row>
    <row r="309" spans="2:5" x14ac:dyDescent="0.45">
      <c r="B309" t="s">
        <v>2542</v>
      </c>
      <c r="C309" t="s">
        <v>349</v>
      </c>
      <c r="D309">
        <f>IFERROR(INDEX(Countries[],MATCH(CountryCleanup[[#This Row],[ISO3]],Countries[ISO3],0),3),"")</f>
        <v>108</v>
      </c>
      <c r="E309" t="str">
        <f>IFERROR(INDEX(Countries[],MATCH(CountryCleanup[[#This Row],[ISO3]],Countries[ISO3],0),6),"")</f>
        <v>Burundi</v>
      </c>
    </row>
    <row r="310" spans="2:5" x14ac:dyDescent="0.45">
      <c r="B310" t="s">
        <v>2543</v>
      </c>
      <c r="C310" t="s">
        <v>252</v>
      </c>
      <c r="D310">
        <f>IFERROR(INDEX(Countries[],MATCH(CountryCleanup[[#This Row],[ISO3]],Countries[ISO3],0),3),"")</f>
        <v>112</v>
      </c>
      <c r="E310" t="str">
        <f>IFERROR(INDEX(Countries[],MATCH(CountryCleanup[[#This Row],[ISO3]],Countries[ISO3],0),6),"")</f>
        <v>Belarus</v>
      </c>
    </row>
    <row r="311" spans="2:5" x14ac:dyDescent="0.45">
      <c r="B311" t="s">
        <v>2544</v>
      </c>
      <c r="C311" t="s">
        <v>357</v>
      </c>
      <c r="D311">
        <f>IFERROR(INDEX(Countries[],MATCH(CountryCleanup[[#This Row],[ISO3]],Countries[ISO3],0),3),"")</f>
        <v>116</v>
      </c>
      <c r="E311" t="str">
        <f>IFERROR(INDEX(Countries[],MATCH(CountryCleanup[[#This Row],[ISO3]],Countries[ISO3],0),6),"")</f>
        <v>Cambodia</v>
      </c>
    </row>
    <row r="312" spans="2:5" x14ac:dyDescent="0.45">
      <c r="B312" t="s">
        <v>2545</v>
      </c>
      <c r="C312" t="s">
        <v>363</v>
      </c>
      <c r="D312">
        <f>IFERROR(INDEX(Countries[],MATCH(CountryCleanup[[#This Row],[ISO3]],Countries[ISO3],0),3),"")</f>
        <v>120</v>
      </c>
      <c r="E312" t="str">
        <f>IFERROR(INDEX(Countries[],MATCH(CountryCleanup[[#This Row],[ISO3]],Countries[ISO3],0),6),"")</f>
        <v>Cameroon</v>
      </c>
    </row>
    <row r="313" spans="2:5" x14ac:dyDescent="0.45">
      <c r="B313" t="s">
        <v>2546</v>
      </c>
      <c r="C313" t="s">
        <v>369</v>
      </c>
      <c r="D313">
        <f>IFERROR(INDEX(Countries[],MATCH(CountryCleanup[[#This Row],[ISO3]],Countries[ISO3],0),3),"")</f>
        <v>124</v>
      </c>
      <c r="E313" t="str">
        <f>IFERROR(INDEX(Countries[],MATCH(CountryCleanup[[#This Row],[ISO3]],Countries[ISO3],0),6),"")</f>
        <v>Canada</v>
      </c>
    </row>
    <row r="314" spans="2:5" x14ac:dyDescent="0.45">
      <c r="B314" t="s">
        <v>2547</v>
      </c>
      <c r="C314" t="s">
        <v>353</v>
      </c>
      <c r="D314">
        <f>IFERROR(INDEX(Countries[],MATCH(CountryCleanup[[#This Row],[ISO3]],Countries[ISO3],0),3),"")</f>
        <v>132</v>
      </c>
      <c r="E314" t="str">
        <f>IFERROR(INDEX(Countries[],MATCH(CountryCleanup[[#This Row],[ISO3]],Countries[ISO3],0),6),"")</f>
        <v>Cabo Verde</v>
      </c>
    </row>
    <row r="315" spans="2:5" x14ac:dyDescent="0.45">
      <c r="B315" t="s">
        <v>2548</v>
      </c>
      <c r="C315" t="s">
        <v>375</v>
      </c>
      <c r="D315">
        <f>IFERROR(INDEX(Countries[],MATCH(CountryCleanup[[#This Row],[ISO3]],Countries[ISO3],0),3),"")</f>
        <v>136</v>
      </c>
      <c r="E315" t="str">
        <f>IFERROR(INDEX(Countries[],MATCH(CountryCleanup[[#This Row],[ISO3]],Countries[ISO3],0),6),"")</f>
        <v>Cayman Islands</v>
      </c>
    </row>
    <row r="316" spans="2:5" x14ac:dyDescent="0.45">
      <c r="B316" t="s">
        <v>2549</v>
      </c>
      <c r="C316" t="s">
        <v>381</v>
      </c>
      <c r="D316">
        <f>IFERROR(INDEX(Countries[],MATCH(CountryCleanup[[#This Row],[ISO3]],Countries[ISO3],0),3),"")</f>
        <v>140</v>
      </c>
      <c r="E316" t="str">
        <f>IFERROR(INDEX(Countries[],MATCH(CountryCleanup[[#This Row],[ISO3]],Countries[ISO3],0),6),"")</f>
        <v>Central African Republic (the)</v>
      </c>
    </row>
    <row r="317" spans="2:5" x14ac:dyDescent="0.45">
      <c r="B317" t="s">
        <v>2550</v>
      </c>
      <c r="C317" t="s">
        <v>1276</v>
      </c>
      <c r="D317">
        <f>IFERROR(INDEX(Countries[],MATCH(CountryCleanup[[#This Row],[ISO3]],Countries[ISO3],0),3),"")</f>
        <v>144</v>
      </c>
      <c r="E317" t="str">
        <f>IFERROR(INDEX(Countries[],MATCH(CountryCleanup[[#This Row],[ISO3]],Countries[ISO3],0),6),"")</f>
        <v>Sri Lanka</v>
      </c>
    </row>
    <row r="318" spans="2:5" x14ac:dyDescent="0.45">
      <c r="B318" t="s">
        <v>2551</v>
      </c>
      <c r="C318" t="s">
        <v>391</v>
      </c>
      <c r="D318">
        <f>IFERROR(INDEX(Countries[],MATCH(CountryCleanup[[#This Row],[ISO3]],Countries[ISO3],0),3),"")</f>
        <v>148</v>
      </c>
      <c r="E318" t="str">
        <f>IFERROR(INDEX(Countries[],MATCH(CountryCleanup[[#This Row],[ISO3]],Countries[ISO3],0),6),"")</f>
        <v>Chad</v>
      </c>
    </row>
    <row r="319" spans="2:5" x14ac:dyDescent="0.45">
      <c r="B319" t="s">
        <v>2552</v>
      </c>
      <c r="C319" t="s">
        <v>399</v>
      </c>
      <c r="D319">
        <f>IFERROR(INDEX(Countries[],MATCH(CountryCleanup[[#This Row],[ISO3]],Countries[ISO3],0),3),"")</f>
        <v>152</v>
      </c>
      <c r="E319" t="str">
        <f>IFERROR(INDEX(Countries[],MATCH(CountryCleanup[[#This Row],[ISO3]],Countries[ISO3],0),6),"")</f>
        <v>Chile</v>
      </c>
    </row>
    <row r="320" spans="2:5" x14ac:dyDescent="0.45">
      <c r="B320" t="s">
        <v>2553</v>
      </c>
      <c r="C320" t="s">
        <v>404</v>
      </c>
      <c r="D320">
        <f>IFERROR(INDEX(Countries[],MATCH(CountryCleanup[[#This Row],[ISO3]],Countries[ISO3],0),3),"")</f>
        <v>156</v>
      </c>
      <c r="E320" t="str">
        <f>IFERROR(INDEX(Countries[],MATCH(CountryCleanup[[#This Row],[ISO3]],Countries[ISO3],0),6),"")</f>
        <v>China</v>
      </c>
    </row>
    <row r="321" spans="2:5" x14ac:dyDescent="0.45">
      <c r="B321" t="s">
        <v>2554</v>
      </c>
      <c r="C321" t="s">
        <v>424</v>
      </c>
      <c r="D321">
        <f>IFERROR(INDEX(Countries[],MATCH(CountryCleanup[[#This Row],[ISO3]],Countries[ISO3],0),3),"")</f>
        <v>158</v>
      </c>
      <c r="E321" t="str">
        <f>IFERROR(INDEX(Countries[],MATCH(CountryCleanup[[#This Row],[ISO3]],Countries[ISO3],0),6),"")</f>
        <v>Chinese Taipei</v>
      </c>
    </row>
    <row r="322" spans="2:5" x14ac:dyDescent="0.45">
      <c r="B322" s="32" t="s">
        <v>2974</v>
      </c>
      <c r="C322" t="s">
        <v>430</v>
      </c>
      <c r="D322" s="33">
        <f>IFERROR(INDEX(Countries[],MATCH(CountryCleanup[[#This Row],[ISO3]],Countries[ISO3],0),3),"")</f>
        <v>162</v>
      </c>
      <c r="E322" t="str">
        <f>IFERROR(INDEX(Countries[],MATCH(CountryCleanup[[#This Row],[ISO3]],Countries[ISO3],0),6),"")</f>
        <v>Christmas Island</v>
      </c>
    </row>
    <row r="323" spans="2:5" x14ac:dyDescent="0.45">
      <c r="B323" t="s">
        <v>2555</v>
      </c>
      <c r="C323" t="s">
        <v>440</v>
      </c>
      <c r="D323">
        <f>IFERROR(INDEX(Countries[],MATCH(CountryCleanup[[#This Row],[ISO3]],Countries[ISO3],0),3),"")</f>
        <v>170</v>
      </c>
      <c r="E323" t="str">
        <f>IFERROR(INDEX(Countries[],MATCH(CountryCleanup[[#This Row],[ISO3]],Countries[ISO3],0),6),"")</f>
        <v>Colombia</v>
      </c>
    </row>
    <row r="324" spans="2:5" x14ac:dyDescent="0.45">
      <c r="B324" s="32" t="s">
        <v>2975</v>
      </c>
      <c r="C324" s="3" t="s">
        <v>1129</v>
      </c>
      <c r="D324" s="33">
        <f>IFERROR(INDEX(Countries[],MATCH(CountryCleanup[[#This Row],[ISO3]],Countries[ISO3],0),3),"")</f>
        <v>643</v>
      </c>
      <c r="E324" t="str">
        <f>IFERROR(INDEX(Countries[],MATCH(CountryCleanup[[#This Row],[ISO3]],Countries[ISO3],0),6),"")</f>
        <v>Russian Federation (the)</v>
      </c>
    </row>
    <row r="325" spans="2:5" x14ac:dyDescent="0.45">
      <c r="B325" t="s">
        <v>2556</v>
      </c>
      <c r="C325" t="s">
        <v>445</v>
      </c>
      <c r="D325">
        <f>IFERROR(INDEX(Countries[],MATCH(CountryCleanup[[#This Row],[ISO3]],Countries[ISO3],0),3),"")</f>
        <v>174</v>
      </c>
      <c r="E325" t="str">
        <f>IFERROR(INDEX(Countries[],MATCH(CountryCleanup[[#This Row],[ISO3]],Countries[ISO3],0),6),"")</f>
        <v>Comoros (the)</v>
      </c>
    </row>
    <row r="326" spans="2:5" x14ac:dyDescent="0.45">
      <c r="B326" t="s">
        <v>2557</v>
      </c>
      <c r="C326" t="s">
        <v>899</v>
      </c>
      <c r="D326">
        <f>IFERROR(INDEX(Countries[],MATCH(CountryCleanup[[#This Row],[ISO3]],Countries[ISO3],0),3),"")</f>
        <v>175</v>
      </c>
      <c r="E326" t="str">
        <f>IFERROR(INDEX(Countries[],MATCH(CountryCleanup[[#This Row],[ISO3]],Countries[ISO3],0),6),"")</f>
        <v>Mayotte</v>
      </c>
    </row>
    <row r="327" spans="2:5" x14ac:dyDescent="0.45">
      <c r="B327" s="32" t="s">
        <v>2961</v>
      </c>
      <c r="C327" t="s">
        <v>899</v>
      </c>
      <c r="D327">
        <f>IFERROR(INDEX(Countries[],MATCH(CountryCleanup[[#This Row],[ISO3]],Countries[ISO3],0),3),"")</f>
        <v>175</v>
      </c>
      <c r="E327" t="str">
        <f>IFERROR(INDEX(Countries[],MATCH(CountryCleanup[[#This Row],[ISO3]],Countries[ISO3],0),6),"")</f>
        <v>Mayotte</v>
      </c>
    </row>
    <row r="328" spans="2:5" x14ac:dyDescent="0.45">
      <c r="B328" t="s">
        <v>2558</v>
      </c>
      <c r="C328" t="s">
        <v>451</v>
      </c>
      <c r="D328">
        <f>IFERROR(INDEX(Countries[],MATCH(CountryCleanup[[#This Row],[ISO3]],Countries[ISO3],0),3),"")</f>
        <v>178</v>
      </c>
      <c r="E328" t="str">
        <f>IFERROR(INDEX(Countries[],MATCH(CountryCleanup[[#This Row],[ISO3]],Countries[ISO3],0),6),"")</f>
        <v>Congo (the)</v>
      </c>
    </row>
    <row r="329" spans="2:5" x14ac:dyDescent="0.45">
      <c r="B329" t="s">
        <v>2559</v>
      </c>
      <c r="C329" t="s">
        <v>500</v>
      </c>
      <c r="D329">
        <f>IFERROR(INDEX(Countries[],MATCH(CountryCleanup[[#This Row],[ISO3]],Countries[ISO3],0),3),"")</f>
        <v>180</v>
      </c>
      <c r="E329" t="str">
        <f>IFERROR(INDEX(Countries[],MATCH(CountryCleanup[[#This Row],[ISO3]],Countries[ISO3],0),6),"")</f>
        <v>Democratic Republic of the Congo (the)</v>
      </c>
    </row>
    <row r="330" spans="2:5" x14ac:dyDescent="0.45">
      <c r="B330" t="s">
        <v>2560</v>
      </c>
      <c r="C330" t="s">
        <v>454</v>
      </c>
      <c r="D330">
        <f>IFERROR(INDEX(Countries[],MATCH(CountryCleanup[[#This Row],[ISO3]],Countries[ISO3],0),3),"")</f>
        <v>184</v>
      </c>
      <c r="E330" t="str">
        <f>IFERROR(INDEX(Countries[],MATCH(CountryCleanup[[#This Row],[ISO3]],Countries[ISO3],0),6),"")</f>
        <v>Cook Islands (the)</v>
      </c>
    </row>
    <row r="331" spans="2:5" x14ac:dyDescent="0.45">
      <c r="B331" t="s">
        <v>2561</v>
      </c>
      <c r="C331" t="s">
        <v>460</v>
      </c>
      <c r="D331">
        <f>IFERROR(INDEX(Countries[],MATCH(CountryCleanup[[#This Row],[ISO3]],Countries[ISO3],0),3),"")</f>
        <v>188</v>
      </c>
      <c r="E331" t="str">
        <f>IFERROR(INDEX(Countries[],MATCH(CountryCleanup[[#This Row],[ISO3]],Countries[ISO3],0),6),"")</f>
        <v>Costa Rica</v>
      </c>
    </row>
    <row r="332" spans="2:5" x14ac:dyDescent="0.45">
      <c r="B332" t="s">
        <v>2562</v>
      </c>
      <c r="C332" t="s">
        <v>468</v>
      </c>
      <c r="D332">
        <f>IFERROR(INDEX(Countries[],MATCH(CountryCleanup[[#This Row],[ISO3]],Countries[ISO3],0),3),"")</f>
        <v>191</v>
      </c>
      <c r="E332" t="str">
        <f>IFERROR(INDEX(Countries[],MATCH(CountryCleanup[[#This Row],[ISO3]],Countries[ISO3],0),6),"")</f>
        <v>Croatia</v>
      </c>
    </row>
    <row r="333" spans="2:5" x14ac:dyDescent="0.45">
      <c r="B333" t="s">
        <v>2563</v>
      </c>
      <c r="C333" t="s">
        <v>474</v>
      </c>
      <c r="D333">
        <f>IFERROR(INDEX(Countries[],MATCH(CountryCleanup[[#This Row],[ISO3]],Countries[ISO3],0),3),"")</f>
        <v>192</v>
      </c>
      <c r="E333" t="str">
        <f>IFERROR(INDEX(Countries[],MATCH(CountryCleanup[[#This Row],[ISO3]],Countries[ISO3],0),6),"")</f>
        <v>Cuba</v>
      </c>
    </row>
    <row r="334" spans="2:5" x14ac:dyDescent="0.45">
      <c r="B334" t="s">
        <v>2564</v>
      </c>
      <c r="C334" t="s">
        <v>483</v>
      </c>
      <c r="D334">
        <f>IFERROR(INDEX(Countries[],MATCH(CountryCleanup[[#This Row],[ISO3]],Countries[ISO3],0),3),"")</f>
        <v>196</v>
      </c>
      <c r="E334" t="str">
        <f>IFERROR(INDEX(Countries[],MATCH(CountryCleanup[[#This Row],[ISO3]],Countries[ISO3],0),6),"")</f>
        <v>Cyprus</v>
      </c>
    </row>
    <row r="335" spans="2:5" x14ac:dyDescent="0.45">
      <c r="B335" s="32" t="s">
        <v>2968</v>
      </c>
      <c r="C335" t="s">
        <v>488</v>
      </c>
      <c r="D335">
        <f>IFERROR(INDEX(Countries[],MATCH(CountryCleanup[[#This Row],[ISO3]],Countries[ISO3],0),3),"")</f>
        <v>203</v>
      </c>
      <c r="E335" t="str">
        <f>IFERROR(INDEX(Countries[],MATCH(CountryCleanup[[#This Row],[ISO3]],Countries[ISO3],0),6),"")</f>
        <v>Czechia</v>
      </c>
    </row>
    <row r="336" spans="2:5" x14ac:dyDescent="0.45">
      <c r="B336" t="s">
        <v>2565</v>
      </c>
      <c r="C336" t="s">
        <v>488</v>
      </c>
      <c r="D336">
        <f>IFERROR(INDEX(Countries[],MATCH(CountryCleanup[[#This Row],[ISO3]],Countries[ISO3],0),3),"")</f>
        <v>203</v>
      </c>
      <c r="E336" t="str">
        <f>IFERROR(INDEX(Countries[],MATCH(CountryCleanup[[#This Row],[ISO3]],Countries[ISO3],0),6),"")</f>
        <v>Czechia</v>
      </c>
    </row>
    <row r="337" spans="2:5" x14ac:dyDescent="0.45">
      <c r="B337" t="s">
        <v>2566</v>
      </c>
      <c r="C337" t="s">
        <v>270</v>
      </c>
      <c r="D337">
        <f>IFERROR(INDEX(Countries[],MATCH(CountryCleanup[[#This Row],[ISO3]],Countries[ISO3],0),3),"")</f>
        <v>204</v>
      </c>
      <c r="E337" t="str">
        <f>IFERROR(INDEX(Countries[],MATCH(CountryCleanup[[#This Row],[ISO3]],Countries[ISO3],0),6),"")</f>
        <v>Benin</v>
      </c>
    </row>
    <row r="338" spans="2:5" x14ac:dyDescent="0.45">
      <c r="B338" t="s">
        <v>2567</v>
      </c>
      <c r="C338" t="s">
        <v>506</v>
      </c>
      <c r="D338">
        <f>IFERROR(INDEX(Countries[],MATCH(CountryCleanup[[#This Row],[ISO3]],Countries[ISO3],0),3),"")</f>
        <v>208</v>
      </c>
      <c r="E338" t="str">
        <f>IFERROR(INDEX(Countries[],MATCH(CountryCleanup[[#This Row],[ISO3]],Countries[ISO3],0),6),"")</f>
        <v>Denmark</v>
      </c>
    </row>
    <row r="339" spans="2:5" x14ac:dyDescent="0.45">
      <c r="B339" t="s">
        <v>2568</v>
      </c>
      <c r="C339" t="s">
        <v>516</v>
      </c>
      <c r="D339">
        <f>IFERROR(INDEX(Countries[],MATCH(CountryCleanup[[#This Row],[ISO3]],Countries[ISO3],0),3),"")</f>
        <v>212</v>
      </c>
      <c r="E339" t="str">
        <f>IFERROR(INDEX(Countries[],MATCH(CountryCleanup[[#This Row],[ISO3]],Countries[ISO3],0),6),"")</f>
        <v>Dominica</v>
      </c>
    </row>
    <row r="340" spans="2:5" x14ac:dyDescent="0.45">
      <c r="B340" t="s">
        <v>2569</v>
      </c>
      <c r="C340" t="s">
        <v>520</v>
      </c>
      <c r="D340">
        <f>IFERROR(INDEX(Countries[],MATCH(CountryCleanup[[#This Row],[ISO3]],Countries[ISO3],0),3),"")</f>
        <v>214</v>
      </c>
      <c r="E340" t="str">
        <f>IFERROR(INDEX(Countries[],MATCH(CountryCleanup[[#This Row],[ISO3]],Countries[ISO3],0),6),"")</f>
        <v>Dominican Republic (the)</v>
      </c>
    </row>
    <row r="341" spans="2:5" x14ac:dyDescent="0.45">
      <c r="B341" t="s">
        <v>2570</v>
      </c>
      <c r="C341" t="s">
        <v>527</v>
      </c>
      <c r="D341">
        <f>IFERROR(INDEX(Countries[],MATCH(CountryCleanup[[#This Row],[ISO3]],Countries[ISO3],0),3),"")</f>
        <v>218</v>
      </c>
      <c r="E341" t="str">
        <f>IFERROR(INDEX(Countries[],MATCH(CountryCleanup[[#This Row],[ISO3]],Countries[ISO3],0),6),"")</f>
        <v>Ecuador</v>
      </c>
    </row>
    <row r="342" spans="2:5" x14ac:dyDescent="0.45">
      <c r="B342" t="s">
        <v>2571</v>
      </c>
      <c r="C342" t="s">
        <v>537</v>
      </c>
      <c r="D342">
        <f>IFERROR(INDEX(Countries[],MATCH(CountryCleanup[[#This Row],[ISO3]],Countries[ISO3],0),3),"")</f>
        <v>222</v>
      </c>
      <c r="E342" t="str">
        <f>IFERROR(INDEX(Countries[],MATCH(CountryCleanup[[#This Row],[ISO3]],Countries[ISO3],0),6),"")</f>
        <v>El Salvador</v>
      </c>
    </row>
    <row r="343" spans="2:5" x14ac:dyDescent="0.45">
      <c r="B343" t="s">
        <v>2572</v>
      </c>
      <c r="C343" t="s">
        <v>541</v>
      </c>
      <c r="D343">
        <f>IFERROR(INDEX(Countries[],MATCH(CountryCleanup[[#This Row],[ISO3]],Countries[ISO3],0),3),"")</f>
        <v>226</v>
      </c>
      <c r="E343" t="str">
        <f>IFERROR(INDEX(Countries[],MATCH(CountryCleanup[[#This Row],[ISO3]],Countries[ISO3],0),6),"")</f>
        <v>Equatorial Guinea</v>
      </c>
    </row>
    <row r="344" spans="2:5" x14ac:dyDescent="0.45">
      <c r="B344" s="32" t="s">
        <v>2969</v>
      </c>
      <c r="C344" t="s">
        <v>559</v>
      </c>
      <c r="D344">
        <f>IFERROR(INDEX(Countries[],MATCH(CountryCleanup[[#This Row],[ISO3]],Countries[ISO3],0),3),"")</f>
        <v>231</v>
      </c>
      <c r="E344" t="str">
        <f>IFERROR(INDEX(Countries[],MATCH(CountryCleanup[[#This Row],[ISO3]],Countries[ISO3],0),6),"")</f>
        <v>Ethiopia</v>
      </c>
    </row>
    <row r="345" spans="2:5" x14ac:dyDescent="0.45">
      <c r="B345" t="s">
        <v>2573</v>
      </c>
      <c r="C345" t="s">
        <v>559</v>
      </c>
      <c r="D345">
        <f>IFERROR(INDEX(Countries[],MATCH(CountryCleanup[[#This Row],[ISO3]],Countries[ISO3],0),3),"")</f>
        <v>231</v>
      </c>
      <c r="E345" t="str">
        <f>IFERROR(INDEX(Countries[],MATCH(CountryCleanup[[#This Row],[ISO3]],Countries[ISO3],0),6),"")</f>
        <v>Ethiopia</v>
      </c>
    </row>
    <row r="346" spans="2:5" x14ac:dyDescent="0.45">
      <c r="B346" t="s">
        <v>2574</v>
      </c>
      <c r="C346" t="s">
        <v>546</v>
      </c>
      <c r="D346">
        <f>IFERROR(INDEX(Countries[],MATCH(CountryCleanup[[#This Row],[ISO3]],Countries[ISO3],0),3),"")</f>
        <v>232</v>
      </c>
      <c r="E346" t="str">
        <f>IFERROR(INDEX(Countries[],MATCH(CountryCleanup[[#This Row],[ISO3]],Countries[ISO3],0),6),"")</f>
        <v>Eritrea</v>
      </c>
    </row>
    <row r="347" spans="2:5" x14ac:dyDescent="0.45">
      <c r="B347" t="s">
        <v>2575</v>
      </c>
      <c r="C347" t="s">
        <v>551</v>
      </c>
      <c r="D347">
        <f>IFERROR(INDEX(Countries[],MATCH(CountryCleanup[[#This Row],[ISO3]],Countries[ISO3],0),3),"")</f>
        <v>233</v>
      </c>
      <c r="E347" t="str">
        <f>IFERROR(INDEX(Countries[],MATCH(CountryCleanup[[#This Row],[ISO3]],Countries[ISO3],0),6),"")</f>
        <v>Estonia</v>
      </c>
    </row>
    <row r="348" spans="2:5" x14ac:dyDescent="0.45">
      <c r="B348" t="s">
        <v>2576</v>
      </c>
      <c r="C348" t="s">
        <v>580</v>
      </c>
      <c r="D348">
        <f>IFERROR(INDEX(Countries[],MATCH(CountryCleanup[[#This Row],[ISO3]],Countries[ISO3],0),3),"")</f>
        <v>234</v>
      </c>
      <c r="E348" t="str">
        <f>IFERROR(INDEX(Countries[],MATCH(CountryCleanup[[#This Row],[ISO3]],Countries[ISO3],0),6),"")</f>
        <v>Faroe Islands</v>
      </c>
    </row>
    <row r="349" spans="2:5" x14ac:dyDescent="0.45">
      <c r="B349" t="s">
        <v>2577</v>
      </c>
      <c r="C349" t="s">
        <v>574</v>
      </c>
      <c r="D349">
        <f>IFERROR(INDEX(Countries[],MATCH(CountryCleanup[[#This Row],[ISO3]],Countries[ISO3],0),3),"")</f>
        <v>238</v>
      </c>
      <c r="E349" t="str">
        <f>IFERROR(INDEX(Countries[],MATCH(CountryCleanup[[#This Row],[ISO3]],Countries[ISO3],0),6),"")</f>
        <v>Falkland Islands (Malvinas)</v>
      </c>
    </row>
    <row r="350" spans="2:5" x14ac:dyDescent="0.45">
      <c r="B350" t="s">
        <v>2578</v>
      </c>
      <c r="C350" t="s">
        <v>585</v>
      </c>
      <c r="D350">
        <f>IFERROR(INDEX(Countries[],MATCH(CountryCleanup[[#This Row],[ISO3]],Countries[ISO3],0),3),"")</f>
        <v>242</v>
      </c>
      <c r="E350" t="str">
        <f>IFERROR(INDEX(Countries[],MATCH(CountryCleanup[[#This Row],[ISO3]],Countries[ISO3],0),6),"")</f>
        <v>Fiji</v>
      </c>
    </row>
    <row r="351" spans="2:5" x14ac:dyDescent="0.45">
      <c r="B351" t="s">
        <v>2579</v>
      </c>
      <c r="C351" t="s">
        <v>591</v>
      </c>
      <c r="D351">
        <f>IFERROR(INDEX(Countries[],MATCH(CountryCleanup[[#This Row],[ISO3]],Countries[ISO3],0),3),"")</f>
        <v>246</v>
      </c>
      <c r="E351" t="str">
        <f>IFERROR(INDEX(Countries[],MATCH(CountryCleanup[[#This Row],[ISO3]],Countries[ISO3],0),6),"")</f>
        <v>Finland</v>
      </c>
    </row>
    <row r="352" spans="2:5" x14ac:dyDescent="0.45">
      <c r="B352" t="s">
        <v>2580</v>
      </c>
      <c r="C352" t="s">
        <v>596</v>
      </c>
      <c r="D352">
        <f>IFERROR(INDEX(Countries[],MATCH(CountryCleanup[[#This Row],[ISO3]],Countries[ISO3],0),3),"")</f>
        <v>250</v>
      </c>
      <c r="E352" t="str">
        <f>IFERROR(INDEX(Countries[],MATCH(CountryCleanup[[#This Row],[ISO3]],Countries[ISO3],0),6),"")</f>
        <v>France</v>
      </c>
    </row>
    <row r="353" spans="2:5" x14ac:dyDescent="0.45">
      <c r="B353" t="s">
        <v>2581</v>
      </c>
      <c r="C353" s="3" t="s">
        <v>2787</v>
      </c>
      <c r="D353" t="str">
        <f>IFERROR(INDEX(Countries[],MATCH(CountryCleanup[[#This Row],[ISO3]],Countries[ISO3],0),3),"")</f>
        <v/>
      </c>
      <c r="E353" t="str">
        <f>IFERROR(INDEX(Countries[],MATCH(CountryCleanup[[#This Row],[ISO3]],Countries[ISO3],0),6),"")</f>
        <v/>
      </c>
    </row>
    <row r="354" spans="2:5" x14ac:dyDescent="0.45">
      <c r="B354" t="s">
        <v>2582</v>
      </c>
      <c r="C354" t="s">
        <v>600</v>
      </c>
      <c r="D354">
        <f>IFERROR(INDEX(Countries[],MATCH(CountryCleanup[[#This Row],[ISO3]],Countries[ISO3],0),3),"")</f>
        <v>254</v>
      </c>
      <c r="E354" t="str">
        <f>IFERROR(INDEX(Countries[],MATCH(CountryCleanup[[#This Row],[ISO3]],Countries[ISO3],0),6),"")</f>
        <v>French Guiana</v>
      </c>
    </row>
    <row r="355" spans="2:5" x14ac:dyDescent="0.45">
      <c r="B355" t="s">
        <v>2583</v>
      </c>
      <c r="C355" t="s">
        <v>605</v>
      </c>
      <c r="D355">
        <f>IFERROR(INDEX(Countries[],MATCH(CountryCleanup[[#This Row],[ISO3]],Countries[ISO3],0),3),"")</f>
        <v>258</v>
      </c>
      <c r="E355" t="str">
        <f>IFERROR(INDEX(Countries[],MATCH(CountryCleanup[[#This Row],[ISO3]],Countries[ISO3],0),6),"")</f>
        <v>French Polynesia</v>
      </c>
    </row>
    <row r="356" spans="2:5" x14ac:dyDescent="0.45">
      <c r="B356" t="s">
        <v>2584</v>
      </c>
      <c r="C356" t="s">
        <v>512</v>
      </c>
      <c r="D356">
        <f>IFERROR(INDEX(Countries[],MATCH(CountryCleanup[[#This Row],[ISO3]],Countries[ISO3],0),3),"")</f>
        <v>262</v>
      </c>
      <c r="E356" t="str">
        <f>IFERROR(INDEX(Countries[],MATCH(CountryCleanup[[#This Row],[ISO3]],Countries[ISO3],0),6),"")</f>
        <v>Djibouti</v>
      </c>
    </row>
    <row r="357" spans="2:5" x14ac:dyDescent="0.45">
      <c r="B357" s="32" t="s">
        <v>2976</v>
      </c>
      <c r="C357" s="3" t="s">
        <v>2335</v>
      </c>
      <c r="D357" s="33">
        <f>IFERROR(INDEX(Countries[],MATCH(CountryCleanup[[#This Row],[ISO3]],Countries[ISO3],0),3),"")</f>
        <v>11</v>
      </c>
      <c r="E357" t="str">
        <f>IFERROR(INDEX(Countries[],MATCH(CountryCleanup[[#This Row],[ISO3]],Countries[ISO3],0),6),"")</f>
        <v>Western Africa</v>
      </c>
    </row>
    <row r="358" spans="2:5" x14ac:dyDescent="0.45">
      <c r="B358" s="32" t="s">
        <v>2977</v>
      </c>
      <c r="C358" t="s">
        <v>2330</v>
      </c>
      <c r="D358" s="33">
        <f>IFERROR(INDEX(Countries[],MATCH(CountryCleanup[[#This Row],[ISO3]],Countries[ISO3],0),3),"")</f>
        <v>35</v>
      </c>
      <c r="E358" t="str">
        <f>IFERROR(INDEX(Countries[],MATCH(CountryCleanup[[#This Row],[ISO3]],Countries[ISO3],0),6),"")</f>
        <v>South-eastern Asia</v>
      </c>
    </row>
    <row r="359" spans="2:5" x14ac:dyDescent="0.45">
      <c r="B359" t="s">
        <v>2585</v>
      </c>
      <c r="C359" t="s">
        <v>617</v>
      </c>
      <c r="D359">
        <f>IFERROR(INDEX(Countries[],MATCH(CountryCleanup[[#This Row],[ISO3]],Countries[ISO3],0),3),"")</f>
        <v>266</v>
      </c>
      <c r="E359" t="str">
        <f>IFERROR(INDEX(Countries[],MATCH(CountryCleanup[[#This Row],[ISO3]],Countries[ISO3],0),6),"")</f>
        <v>Gabon</v>
      </c>
    </row>
    <row r="360" spans="2:5" x14ac:dyDescent="0.45">
      <c r="B360" s="32" t="s">
        <v>2978</v>
      </c>
      <c r="C360" t="s">
        <v>2335</v>
      </c>
      <c r="D360" s="33">
        <f>IFERROR(INDEX(Countries[],MATCH(CountryCleanup[[#This Row],[ISO3]],Countries[ISO3],0),3),"")</f>
        <v>11</v>
      </c>
      <c r="E360" t="str">
        <f>IFERROR(INDEX(Countries[],MATCH(CountryCleanup[[#This Row],[ISO3]],Countries[ISO3],0),6),"")</f>
        <v>Western Africa</v>
      </c>
    </row>
    <row r="361" spans="2:5" x14ac:dyDescent="0.45">
      <c r="B361" t="s">
        <v>2586</v>
      </c>
      <c r="C361" t="s">
        <v>626</v>
      </c>
      <c r="D361">
        <f>IFERROR(INDEX(Countries[],MATCH(CountryCleanup[[#This Row],[ISO3]],Countries[ISO3],0),3),"")</f>
        <v>268</v>
      </c>
      <c r="E361" t="str">
        <f>IFERROR(INDEX(Countries[],MATCH(CountryCleanup[[#This Row],[ISO3]],Countries[ISO3],0),6),"")</f>
        <v>Georgia</v>
      </c>
    </row>
    <row r="362" spans="2:5" x14ac:dyDescent="0.45">
      <c r="B362" t="s">
        <v>2587</v>
      </c>
      <c r="C362" t="s">
        <v>621</v>
      </c>
      <c r="D362">
        <f>IFERROR(INDEX(Countries[],MATCH(CountryCleanup[[#This Row],[ISO3]],Countries[ISO3],0),3),"")</f>
        <v>270</v>
      </c>
      <c r="E362" t="str">
        <f>IFERROR(INDEX(Countries[],MATCH(CountryCleanup[[#This Row],[ISO3]],Countries[ISO3],0),6),"")</f>
        <v>Gambia (the)</v>
      </c>
    </row>
    <row r="363" spans="2:5" x14ac:dyDescent="0.45">
      <c r="B363" t="s">
        <v>2588</v>
      </c>
      <c r="C363" t="s">
        <v>1280</v>
      </c>
      <c r="D363">
        <f>IFERROR(INDEX(Countries[],MATCH(CountryCleanup[[#This Row],[ISO3]],Countries[ISO3],0),3),"")</f>
        <v>275</v>
      </c>
      <c r="E363" t="str">
        <f>IFERROR(INDEX(Countries[],MATCH(CountryCleanup[[#This Row],[ISO3]],Countries[ISO3],0),6),"")</f>
        <v>State of Palestine (the)</v>
      </c>
    </row>
    <row r="364" spans="2:5" x14ac:dyDescent="0.45">
      <c r="B364" t="s">
        <v>2589</v>
      </c>
      <c r="C364" t="s">
        <v>631</v>
      </c>
      <c r="D364">
        <f>IFERROR(INDEX(Countries[],MATCH(CountryCleanup[[#This Row],[ISO3]],Countries[ISO3],0),3),"")</f>
        <v>276</v>
      </c>
      <c r="E364" t="str">
        <f>IFERROR(INDEX(Countries[],MATCH(CountryCleanup[[#This Row],[ISO3]],Countries[ISO3],0),6),"")</f>
        <v>Germany</v>
      </c>
    </row>
    <row r="365" spans="2:5" x14ac:dyDescent="0.45">
      <c r="B365" s="32" t="s">
        <v>2970</v>
      </c>
      <c r="C365" t="s">
        <v>631</v>
      </c>
      <c r="D365">
        <f>IFERROR(INDEX(Countries[],MATCH(CountryCleanup[[#This Row],[ISO3]],Countries[ISO3],0),3),"")</f>
        <v>276</v>
      </c>
      <c r="E365" t="str">
        <f>IFERROR(INDEX(Countries[],MATCH(CountryCleanup[[#This Row],[ISO3]],Countries[ISO3],0),6),"")</f>
        <v>Germany</v>
      </c>
    </row>
    <row r="366" spans="2:5" x14ac:dyDescent="0.45">
      <c r="B366" s="32" t="s">
        <v>2962</v>
      </c>
      <c r="C366" t="s">
        <v>631</v>
      </c>
      <c r="D366">
        <f>IFERROR(INDEX(Countries[],MATCH(CountryCleanup[[#This Row],[ISO3]],Countries[ISO3],0),3),"")</f>
        <v>276</v>
      </c>
      <c r="E366" t="str">
        <f>IFERROR(INDEX(Countries[],MATCH(CountryCleanup[[#This Row],[ISO3]],Countries[ISO3],0),6),"")</f>
        <v>Germany</v>
      </c>
    </row>
    <row r="367" spans="2:5" x14ac:dyDescent="0.45">
      <c r="B367" t="s">
        <v>2590</v>
      </c>
      <c r="C367" t="s">
        <v>636</v>
      </c>
      <c r="D367">
        <f>IFERROR(INDEX(Countries[],MATCH(CountryCleanup[[#This Row],[ISO3]],Countries[ISO3],0),3),"")</f>
        <v>288</v>
      </c>
      <c r="E367" t="str">
        <f>IFERROR(INDEX(Countries[],MATCH(CountryCleanup[[#This Row],[ISO3]],Countries[ISO3],0),6),"")</f>
        <v>Ghana</v>
      </c>
    </row>
    <row r="368" spans="2:5" x14ac:dyDescent="0.45">
      <c r="B368" t="s">
        <v>2591</v>
      </c>
      <c r="C368" t="s">
        <v>640</v>
      </c>
      <c r="D368">
        <f>IFERROR(INDEX(Countries[],MATCH(CountryCleanup[[#This Row],[ISO3]],Countries[ISO3],0),3),"")</f>
        <v>292</v>
      </c>
      <c r="E368" t="str">
        <f>IFERROR(INDEX(Countries[],MATCH(CountryCleanup[[#This Row],[ISO3]],Countries[ISO3],0),6),"")</f>
        <v>Gibraltar</v>
      </c>
    </row>
    <row r="369" spans="2:5" x14ac:dyDescent="0.45">
      <c r="B369" t="s">
        <v>2592</v>
      </c>
      <c r="C369" t="s">
        <v>789</v>
      </c>
      <c r="D369">
        <f>IFERROR(INDEX(Countries[],MATCH(CountryCleanup[[#This Row],[ISO3]],Countries[ISO3],0),3),"")</f>
        <v>296</v>
      </c>
      <c r="E369" t="str">
        <f>IFERROR(INDEX(Countries[],MATCH(CountryCleanup[[#This Row],[ISO3]],Countries[ISO3],0),6),"")</f>
        <v>Kiribati</v>
      </c>
    </row>
    <row r="370" spans="2:5" x14ac:dyDescent="0.45">
      <c r="B370" t="s">
        <v>2593</v>
      </c>
      <c r="C370" t="s">
        <v>644</v>
      </c>
      <c r="D370">
        <f>IFERROR(INDEX(Countries[],MATCH(CountryCleanup[[#This Row],[ISO3]],Countries[ISO3],0),3),"")</f>
        <v>300</v>
      </c>
      <c r="E370" t="str">
        <f>IFERROR(INDEX(Countries[],MATCH(CountryCleanup[[#This Row],[ISO3]],Countries[ISO3],0),6),"")</f>
        <v>Greece</v>
      </c>
    </row>
    <row r="371" spans="2:5" x14ac:dyDescent="0.45">
      <c r="B371" t="s">
        <v>2594</v>
      </c>
      <c r="C371" t="s">
        <v>649</v>
      </c>
      <c r="D371">
        <f>IFERROR(INDEX(Countries[],MATCH(CountryCleanup[[#This Row],[ISO3]],Countries[ISO3],0),3),"")</f>
        <v>304</v>
      </c>
      <c r="E371" t="str">
        <f>IFERROR(INDEX(Countries[],MATCH(CountryCleanup[[#This Row],[ISO3]],Countries[ISO3],0),6),"")</f>
        <v>Greenland</v>
      </c>
    </row>
    <row r="372" spans="2:5" x14ac:dyDescent="0.45">
      <c r="B372" t="s">
        <v>2595</v>
      </c>
      <c r="C372" t="s">
        <v>654</v>
      </c>
      <c r="D372">
        <f>IFERROR(INDEX(Countries[],MATCH(CountryCleanup[[#This Row],[ISO3]],Countries[ISO3],0),3),"")</f>
        <v>308</v>
      </c>
      <c r="E372" t="str">
        <f>IFERROR(INDEX(Countries[],MATCH(CountryCleanup[[#This Row],[ISO3]],Countries[ISO3],0),6),"")</f>
        <v>Grenada</v>
      </c>
    </row>
    <row r="373" spans="2:5" x14ac:dyDescent="0.45">
      <c r="B373" t="s">
        <v>2596</v>
      </c>
      <c r="C373" t="s">
        <v>659</v>
      </c>
      <c r="D373">
        <f>IFERROR(INDEX(Countries[],MATCH(CountryCleanup[[#This Row],[ISO3]],Countries[ISO3],0),3),"")</f>
        <v>312</v>
      </c>
      <c r="E373" t="str">
        <f>IFERROR(INDEX(Countries[],MATCH(CountryCleanup[[#This Row],[ISO3]],Countries[ISO3],0),6),"")</f>
        <v>Guadeloupe</v>
      </c>
    </row>
    <row r="374" spans="2:5" x14ac:dyDescent="0.45">
      <c r="B374" s="30" t="s">
        <v>2971</v>
      </c>
      <c r="C374" t="s">
        <v>659</v>
      </c>
      <c r="D374">
        <f>IFERROR(INDEX(Countries[],MATCH(CountryCleanup[[#This Row],[ISO3]],Countries[ISO3],0),3),"")</f>
        <v>312</v>
      </c>
      <c r="E374" t="str">
        <f>IFERROR(INDEX(Countries[],MATCH(CountryCleanup[[#This Row],[ISO3]],Countries[ISO3],0),6),"")</f>
        <v>Guadeloupe</v>
      </c>
    </row>
    <row r="375" spans="2:5" x14ac:dyDescent="0.45">
      <c r="B375" t="s">
        <v>2597</v>
      </c>
      <c r="C375" t="s">
        <v>663</v>
      </c>
      <c r="D375">
        <f>IFERROR(INDEX(Countries[],MATCH(CountryCleanup[[#This Row],[ISO3]],Countries[ISO3],0),3),"")</f>
        <v>316</v>
      </c>
      <c r="E375" t="str">
        <f>IFERROR(INDEX(Countries[],MATCH(CountryCleanup[[#This Row],[ISO3]],Countries[ISO3],0),6),"")</f>
        <v>Guam</v>
      </c>
    </row>
    <row r="376" spans="2:5" x14ac:dyDescent="0.45">
      <c r="B376" t="s">
        <v>2598</v>
      </c>
      <c r="C376" t="s">
        <v>667</v>
      </c>
      <c r="D376">
        <f>IFERROR(INDEX(Countries[],MATCH(CountryCleanup[[#This Row],[ISO3]],Countries[ISO3],0),3),"")</f>
        <v>320</v>
      </c>
      <c r="E376" t="str">
        <f>IFERROR(INDEX(Countries[],MATCH(CountryCleanup[[#This Row],[ISO3]],Countries[ISO3],0),6),"")</f>
        <v>Guatemala</v>
      </c>
    </row>
    <row r="377" spans="2:5" x14ac:dyDescent="0.45">
      <c r="B377" t="s">
        <v>2599</v>
      </c>
      <c r="C377" t="s">
        <v>676</v>
      </c>
      <c r="D377">
        <f>IFERROR(INDEX(Countries[],MATCH(CountryCleanup[[#This Row],[ISO3]],Countries[ISO3],0),3),"")</f>
        <v>324</v>
      </c>
      <c r="E377" t="str">
        <f>IFERROR(INDEX(Countries[],MATCH(CountryCleanup[[#This Row],[ISO3]],Countries[ISO3],0),6),"")</f>
        <v>Guinea</v>
      </c>
    </row>
    <row r="378" spans="2:5" x14ac:dyDescent="0.45">
      <c r="B378" t="s">
        <v>2600</v>
      </c>
      <c r="C378" t="s">
        <v>685</v>
      </c>
      <c r="D378">
        <f>IFERROR(INDEX(Countries[],MATCH(CountryCleanup[[#This Row],[ISO3]],Countries[ISO3],0),3),"")</f>
        <v>328</v>
      </c>
      <c r="E378" t="str">
        <f>IFERROR(INDEX(Countries[],MATCH(CountryCleanup[[#This Row],[ISO3]],Countries[ISO3],0),6),"")</f>
        <v>Guyana</v>
      </c>
    </row>
    <row r="379" spans="2:5" x14ac:dyDescent="0.45">
      <c r="B379" t="s">
        <v>2601</v>
      </c>
      <c r="C379" t="s">
        <v>689</v>
      </c>
      <c r="D379">
        <f>IFERROR(INDEX(Countries[],MATCH(CountryCleanup[[#This Row],[ISO3]],Countries[ISO3],0),3),"")</f>
        <v>332</v>
      </c>
      <c r="E379" t="str">
        <f>IFERROR(INDEX(Countries[],MATCH(CountryCleanup[[#This Row],[ISO3]],Countries[ISO3],0),6),"")</f>
        <v>Haiti</v>
      </c>
    </row>
    <row r="380" spans="2:5" x14ac:dyDescent="0.45">
      <c r="B380" t="s">
        <v>2602</v>
      </c>
      <c r="C380" t="s">
        <v>705</v>
      </c>
      <c r="D380">
        <f>IFERROR(INDEX(Countries[],MATCH(CountryCleanup[[#This Row],[ISO3]],Countries[ISO3],0),3),"")</f>
        <v>340</v>
      </c>
      <c r="E380" t="str">
        <f>IFERROR(INDEX(Countries[],MATCH(CountryCleanup[[#This Row],[ISO3]],Countries[ISO3],0),6),"")</f>
        <v>Honduras</v>
      </c>
    </row>
    <row r="381" spans="2:5" x14ac:dyDescent="0.45">
      <c r="B381" t="s">
        <v>2603</v>
      </c>
      <c r="C381" t="s">
        <v>410</v>
      </c>
      <c r="D381">
        <f>IFERROR(INDEX(Countries[],MATCH(CountryCleanup[[#This Row],[ISO3]],Countries[ISO3],0),3),"")</f>
        <v>344</v>
      </c>
      <c r="E381" t="str">
        <f>IFERROR(INDEX(Countries[],MATCH(CountryCleanup[[#This Row],[ISO3]],Countries[ISO3],0),6),"")</f>
        <v>China, Hong Kong Special Administrative Region</v>
      </c>
    </row>
    <row r="382" spans="2:5" x14ac:dyDescent="0.45">
      <c r="B382" t="s">
        <v>2604</v>
      </c>
      <c r="C382" t="s">
        <v>709</v>
      </c>
      <c r="D382">
        <f>IFERROR(INDEX(Countries[],MATCH(CountryCleanup[[#This Row],[ISO3]],Countries[ISO3],0),3),"")</f>
        <v>348</v>
      </c>
      <c r="E382" t="str">
        <f>IFERROR(INDEX(Countries[],MATCH(CountryCleanup[[#This Row],[ISO3]],Countries[ISO3],0),6),"")</f>
        <v>Hungary</v>
      </c>
    </row>
    <row r="383" spans="2:5" x14ac:dyDescent="0.45">
      <c r="B383" t="s">
        <v>2605</v>
      </c>
      <c r="C383" t="s">
        <v>715</v>
      </c>
      <c r="D383">
        <f>IFERROR(INDEX(Countries[],MATCH(CountryCleanup[[#This Row],[ISO3]],Countries[ISO3],0),3),"")</f>
        <v>352</v>
      </c>
      <c r="E383" t="str">
        <f>IFERROR(INDEX(Countries[],MATCH(CountryCleanup[[#This Row],[ISO3]],Countries[ISO3],0),6),"")</f>
        <v>Iceland</v>
      </c>
    </row>
    <row r="384" spans="2:5" x14ac:dyDescent="0.45">
      <c r="B384" t="s">
        <v>2606</v>
      </c>
      <c r="C384" t="s">
        <v>721</v>
      </c>
      <c r="D384">
        <f>IFERROR(INDEX(Countries[],MATCH(CountryCleanup[[#This Row],[ISO3]],Countries[ISO3],0),3),"")</f>
        <v>356</v>
      </c>
      <c r="E384" t="str">
        <f>IFERROR(INDEX(Countries[],MATCH(CountryCleanup[[#This Row],[ISO3]],Countries[ISO3],0),6),"")</f>
        <v>India</v>
      </c>
    </row>
    <row r="385" spans="2:5" x14ac:dyDescent="0.45">
      <c r="B385" t="s">
        <v>2607</v>
      </c>
      <c r="C385" t="s">
        <v>725</v>
      </c>
      <c r="D385">
        <f>IFERROR(INDEX(Countries[],MATCH(CountryCleanup[[#This Row],[ISO3]],Countries[ISO3],0),3),"")</f>
        <v>360</v>
      </c>
      <c r="E385" t="str">
        <f>IFERROR(INDEX(Countries[],MATCH(CountryCleanup[[#This Row],[ISO3]],Countries[ISO3],0),6),"")</f>
        <v>Indonesia</v>
      </c>
    </row>
    <row r="386" spans="2:5" x14ac:dyDescent="0.45">
      <c r="B386" t="s">
        <v>2608</v>
      </c>
      <c r="C386" t="s">
        <v>730</v>
      </c>
      <c r="D386">
        <f>IFERROR(INDEX(Countries[],MATCH(CountryCleanup[[#This Row],[ISO3]],Countries[ISO3],0),3),"")</f>
        <v>364</v>
      </c>
      <c r="E386" t="str">
        <f>IFERROR(INDEX(Countries[],MATCH(CountryCleanup[[#This Row],[ISO3]],Countries[ISO3],0),6),"")</f>
        <v>Iran (Islamic Republic of)</v>
      </c>
    </row>
    <row r="387" spans="2:5" x14ac:dyDescent="0.45">
      <c r="B387" t="s">
        <v>2609</v>
      </c>
      <c r="C387" t="s">
        <v>736</v>
      </c>
      <c r="D387">
        <f>IFERROR(INDEX(Countries[],MATCH(CountryCleanup[[#This Row],[ISO3]],Countries[ISO3],0),3),"")</f>
        <v>368</v>
      </c>
      <c r="E387" t="str">
        <f>IFERROR(INDEX(Countries[],MATCH(CountryCleanup[[#This Row],[ISO3]],Countries[ISO3],0),6),"")</f>
        <v>Iraq</v>
      </c>
    </row>
    <row r="388" spans="2:5" x14ac:dyDescent="0.45">
      <c r="B388" t="s">
        <v>2610</v>
      </c>
      <c r="C388" t="s">
        <v>740</v>
      </c>
      <c r="D388">
        <f>IFERROR(INDEX(Countries[],MATCH(CountryCleanup[[#This Row],[ISO3]],Countries[ISO3],0),3),"")</f>
        <v>372</v>
      </c>
      <c r="E388" t="str">
        <f>IFERROR(INDEX(Countries[],MATCH(CountryCleanup[[#This Row],[ISO3]],Countries[ISO3],0),6),"")</f>
        <v>Ireland</v>
      </c>
    </row>
    <row r="389" spans="2:5" x14ac:dyDescent="0.45">
      <c r="B389" t="s">
        <v>2611</v>
      </c>
      <c r="C389" t="s">
        <v>750</v>
      </c>
      <c r="D389">
        <f>IFERROR(INDEX(Countries[],MATCH(CountryCleanup[[#This Row],[ISO3]],Countries[ISO3],0),3),"")</f>
        <v>376</v>
      </c>
      <c r="E389" t="str">
        <f>IFERROR(INDEX(Countries[],MATCH(CountryCleanup[[#This Row],[ISO3]],Countries[ISO3],0),6),"")</f>
        <v>Israel</v>
      </c>
    </row>
    <row r="390" spans="2:5" x14ac:dyDescent="0.45">
      <c r="B390" t="s">
        <v>2612</v>
      </c>
      <c r="C390" t="s">
        <v>755</v>
      </c>
      <c r="D390">
        <f>IFERROR(INDEX(Countries[],MATCH(CountryCleanup[[#This Row],[ISO3]],Countries[ISO3],0),3),"")</f>
        <v>380</v>
      </c>
      <c r="E390" t="str">
        <f>IFERROR(INDEX(Countries[],MATCH(CountryCleanup[[#This Row],[ISO3]],Countries[ISO3],0),6),"")</f>
        <v>Italy</v>
      </c>
    </row>
    <row r="391" spans="2:5" x14ac:dyDescent="0.45">
      <c r="B391" t="s">
        <v>2613</v>
      </c>
      <c r="C391" t="s">
        <v>464</v>
      </c>
      <c r="D391">
        <f>IFERROR(INDEX(Countries[],MATCH(CountryCleanup[[#This Row],[ISO3]],Countries[ISO3],0),3),"")</f>
        <v>384</v>
      </c>
      <c r="E391" t="str">
        <f>IFERROR(INDEX(Countries[],MATCH(CountryCleanup[[#This Row],[ISO3]],Countries[ISO3],0),6),"")</f>
        <v>Côte d'Ivoire</v>
      </c>
    </row>
    <row r="392" spans="2:5" x14ac:dyDescent="0.45">
      <c r="B392" t="s">
        <v>2614</v>
      </c>
      <c r="C392" t="s">
        <v>760</v>
      </c>
      <c r="D392">
        <f>IFERROR(INDEX(Countries[],MATCH(CountryCleanup[[#This Row],[ISO3]],Countries[ISO3],0),3),"")</f>
        <v>388</v>
      </c>
      <c r="E392" t="str">
        <f>IFERROR(INDEX(Countries[],MATCH(CountryCleanup[[#This Row],[ISO3]],Countries[ISO3],0),6),"")</f>
        <v>Jamaica</v>
      </c>
    </row>
    <row r="393" spans="2:5" x14ac:dyDescent="0.45">
      <c r="B393" t="s">
        <v>2615</v>
      </c>
      <c r="C393" t="s">
        <v>765</v>
      </c>
      <c r="D393">
        <f>IFERROR(INDEX(Countries[],MATCH(CountryCleanup[[#This Row],[ISO3]],Countries[ISO3],0),3),"")</f>
        <v>392</v>
      </c>
      <c r="E393" t="str">
        <f>IFERROR(INDEX(Countries[],MATCH(CountryCleanup[[#This Row],[ISO3]],Countries[ISO3],0),6),"")</f>
        <v>Japan</v>
      </c>
    </row>
    <row r="394" spans="2:5" x14ac:dyDescent="0.45">
      <c r="B394" s="32" t="s">
        <v>2979</v>
      </c>
      <c r="C394" t="s">
        <v>765</v>
      </c>
      <c r="D394" s="33">
        <f>IFERROR(INDEX(Countries[],MATCH(CountryCleanup[[#This Row],[ISO3]],Countries[ISO3],0),3),"")</f>
        <v>392</v>
      </c>
      <c r="E394" t="str">
        <f>IFERROR(INDEX(Countries[],MATCH(CountryCleanup[[#This Row],[ISO3]],Countries[ISO3],0),6),"")</f>
        <v>Japan</v>
      </c>
    </row>
    <row r="395" spans="2:5" x14ac:dyDescent="0.45">
      <c r="B395" t="s">
        <v>2616</v>
      </c>
      <c r="C395" t="s">
        <v>780</v>
      </c>
      <c r="D395">
        <f>IFERROR(INDEX(Countries[],MATCH(CountryCleanup[[#This Row],[ISO3]],Countries[ISO3],0),3),"")</f>
        <v>398</v>
      </c>
      <c r="E395" t="str">
        <f>IFERROR(INDEX(Countries[],MATCH(CountryCleanup[[#This Row],[ISO3]],Countries[ISO3],0),6),"")</f>
        <v>Kazakhstan</v>
      </c>
    </row>
    <row r="396" spans="2:5" x14ac:dyDescent="0.45">
      <c r="B396" t="s">
        <v>2617</v>
      </c>
      <c r="C396" t="s">
        <v>774</v>
      </c>
      <c r="D396">
        <f>IFERROR(INDEX(Countries[],MATCH(CountryCleanup[[#This Row],[ISO3]],Countries[ISO3],0),3),"")</f>
        <v>400</v>
      </c>
      <c r="E396" t="str">
        <f>IFERROR(INDEX(Countries[],MATCH(CountryCleanup[[#This Row],[ISO3]],Countries[ISO3],0),6),"")</f>
        <v>Jordan</v>
      </c>
    </row>
    <row r="397" spans="2:5" x14ac:dyDescent="0.45">
      <c r="B397" t="s">
        <v>2618</v>
      </c>
      <c r="C397" t="s">
        <v>785</v>
      </c>
      <c r="D397">
        <f>IFERROR(INDEX(Countries[],MATCH(CountryCleanup[[#This Row],[ISO3]],Countries[ISO3],0),3),"")</f>
        <v>404</v>
      </c>
      <c r="E397" t="str">
        <f>IFERROR(INDEX(Countries[],MATCH(CountryCleanup[[#This Row],[ISO3]],Countries[ISO3],0),6),"")</f>
        <v>Kenya</v>
      </c>
    </row>
    <row r="398" spans="2:5" x14ac:dyDescent="0.45">
      <c r="B398" t="s">
        <v>2619</v>
      </c>
      <c r="C398" t="s">
        <v>494</v>
      </c>
      <c r="D398">
        <f>IFERROR(INDEX(Countries[],MATCH(CountryCleanup[[#This Row],[ISO3]],Countries[ISO3],0),3),"")</f>
        <v>408</v>
      </c>
      <c r="E398" t="str">
        <f>IFERROR(INDEX(Countries[],MATCH(CountryCleanup[[#This Row],[ISO3]],Countries[ISO3],0),6),"")</f>
        <v>Democratic People's Republic of Korea (the)</v>
      </c>
    </row>
    <row r="399" spans="2:5" x14ac:dyDescent="0.45">
      <c r="B399" t="s">
        <v>2620</v>
      </c>
      <c r="C399" t="s">
        <v>1078</v>
      </c>
      <c r="D399">
        <f>IFERROR(INDEX(Countries[],MATCH(CountryCleanup[[#This Row],[ISO3]],Countries[ISO3],0),3),"")</f>
        <v>410</v>
      </c>
      <c r="E399" t="str">
        <f>IFERROR(INDEX(Countries[],MATCH(CountryCleanup[[#This Row],[ISO3]],Countries[ISO3],0),6),"")</f>
        <v>Republic of Korea (the)</v>
      </c>
    </row>
    <row r="400" spans="2:5" x14ac:dyDescent="0.45">
      <c r="B400" t="s">
        <v>2621</v>
      </c>
      <c r="C400" t="s">
        <v>791</v>
      </c>
      <c r="D400">
        <f>IFERROR(INDEX(Countries[],MATCH(CountryCleanup[[#This Row],[ISO3]],Countries[ISO3],0),3),"")</f>
        <v>412</v>
      </c>
      <c r="E400" t="str">
        <f>IFERROR(INDEX(Countries[],MATCH(CountryCleanup[[#This Row],[ISO3]],Countries[ISO3],0),6),"")</f>
        <v>Kosovo</v>
      </c>
    </row>
    <row r="401" spans="2:5" x14ac:dyDescent="0.45">
      <c r="B401" t="s">
        <v>2622</v>
      </c>
      <c r="C401" t="s">
        <v>794</v>
      </c>
      <c r="D401">
        <f>IFERROR(INDEX(Countries[],MATCH(CountryCleanup[[#This Row],[ISO3]],Countries[ISO3],0),3),"")</f>
        <v>414</v>
      </c>
      <c r="E401" t="str">
        <f>IFERROR(INDEX(Countries[],MATCH(CountryCleanup[[#This Row],[ISO3]],Countries[ISO3],0),6),"")</f>
        <v>Kuwait</v>
      </c>
    </row>
    <row r="402" spans="2:5" x14ac:dyDescent="0.45">
      <c r="B402" t="s">
        <v>2623</v>
      </c>
      <c r="C402" t="s">
        <v>799</v>
      </c>
      <c r="D402">
        <f>IFERROR(INDEX(Countries[],MATCH(CountryCleanup[[#This Row],[ISO3]],Countries[ISO3],0),3),"")</f>
        <v>417</v>
      </c>
      <c r="E402" t="str">
        <f>IFERROR(INDEX(Countries[],MATCH(CountryCleanup[[#This Row],[ISO3]],Countries[ISO3],0),6),"")</f>
        <v>Kyrgyzstan</v>
      </c>
    </row>
    <row r="403" spans="2:5" x14ac:dyDescent="0.45">
      <c r="B403" t="s">
        <v>2624</v>
      </c>
      <c r="C403" t="s">
        <v>806</v>
      </c>
      <c r="D403">
        <f>IFERROR(INDEX(Countries[],MATCH(CountryCleanup[[#This Row],[ISO3]],Countries[ISO3],0),3),"")</f>
        <v>418</v>
      </c>
      <c r="E403" t="str">
        <f>IFERROR(INDEX(Countries[],MATCH(CountryCleanup[[#This Row],[ISO3]],Countries[ISO3],0),6),"")</f>
        <v>Lao People's Democratic Republic (the)</v>
      </c>
    </row>
    <row r="404" spans="2:5" x14ac:dyDescent="0.45">
      <c r="B404" t="s">
        <v>2625</v>
      </c>
      <c r="C404" t="s">
        <v>818</v>
      </c>
      <c r="D404">
        <f>IFERROR(INDEX(Countries[],MATCH(CountryCleanup[[#This Row],[ISO3]],Countries[ISO3],0),3),"")</f>
        <v>422</v>
      </c>
      <c r="E404" t="str">
        <f>IFERROR(INDEX(Countries[],MATCH(CountryCleanup[[#This Row],[ISO3]],Countries[ISO3],0),6),"")</f>
        <v>Lebanon</v>
      </c>
    </row>
    <row r="405" spans="2:5" x14ac:dyDescent="0.45">
      <c r="B405" s="32" t="s">
        <v>2980</v>
      </c>
      <c r="C405" t="s">
        <v>2311</v>
      </c>
      <c r="D405" s="33">
        <f>IFERROR(INDEX(Countries[],MATCH(CountryCleanup[[#This Row],[ISO3]],Countries[ISO3],0),3),"")</f>
        <v>29</v>
      </c>
      <c r="E405" t="str">
        <f>IFERROR(INDEX(Countries[],MATCH(CountryCleanup[[#This Row],[ISO3]],Countries[ISO3],0),6),"")</f>
        <v>Caribbean</v>
      </c>
    </row>
    <row r="406" spans="2:5" x14ac:dyDescent="0.45">
      <c r="B406" t="s">
        <v>2626</v>
      </c>
      <c r="C406" t="s">
        <v>824</v>
      </c>
      <c r="D406">
        <f>IFERROR(INDEX(Countries[],MATCH(CountryCleanup[[#This Row],[ISO3]],Countries[ISO3],0),3),"")</f>
        <v>426</v>
      </c>
      <c r="E406" t="str">
        <f>IFERROR(INDEX(Countries[],MATCH(CountryCleanup[[#This Row],[ISO3]],Countries[ISO3],0),6),"")</f>
        <v>Lesotho</v>
      </c>
    </row>
    <row r="407" spans="2:5" x14ac:dyDescent="0.45">
      <c r="B407" t="s">
        <v>2627</v>
      </c>
      <c r="C407" t="s">
        <v>812</v>
      </c>
      <c r="D407">
        <f>IFERROR(INDEX(Countries[],MATCH(CountryCleanup[[#This Row],[ISO3]],Countries[ISO3],0),3),"")</f>
        <v>428</v>
      </c>
      <c r="E407" t="str">
        <f>IFERROR(INDEX(Countries[],MATCH(CountryCleanup[[#This Row],[ISO3]],Countries[ISO3],0),6),"")</f>
        <v>Latvia</v>
      </c>
    </row>
    <row r="408" spans="2:5" x14ac:dyDescent="0.45">
      <c r="B408" t="s">
        <v>2628</v>
      </c>
      <c r="C408" t="s">
        <v>828</v>
      </c>
      <c r="D408">
        <f>IFERROR(INDEX(Countries[],MATCH(CountryCleanup[[#This Row],[ISO3]],Countries[ISO3],0),3),"")</f>
        <v>430</v>
      </c>
      <c r="E408" t="str">
        <f>IFERROR(INDEX(Countries[],MATCH(CountryCleanup[[#This Row],[ISO3]],Countries[ISO3],0),6),"")</f>
        <v>Liberia</v>
      </c>
    </row>
    <row r="409" spans="2:5" x14ac:dyDescent="0.45">
      <c r="B409" t="s">
        <v>2629</v>
      </c>
      <c r="C409" t="s">
        <v>833</v>
      </c>
      <c r="D409">
        <f>IFERROR(INDEX(Countries[],MATCH(CountryCleanup[[#This Row],[ISO3]],Countries[ISO3],0),3),"")</f>
        <v>434</v>
      </c>
      <c r="E409" t="str">
        <f>IFERROR(INDEX(Countries[],MATCH(CountryCleanup[[#This Row],[ISO3]],Countries[ISO3],0),6),"")</f>
        <v>Libya</v>
      </c>
    </row>
    <row r="410" spans="2:5" x14ac:dyDescent="0.45">
      <c r="B410" t="s">
        <v>2630</v>
      </c>
      <c r="C410" t="s">
        <v>839</v>
      </c>
      <c r="D410">
        <f>IFERROR(INDEX(Countries[],MATCH(CountryCleanup[[#This Row],[ISO3]],Countries[ISO3],0),3),"")</f>
        <v>438</v>
      </c>
      <c r="E410" t="str">
        <f>IFERROR(INDEX(Countries[],MATCH(CountryCleanup[[#This Row],[ISO3]],Countries[ISO3],0),6),"")</f>
        <v>Liechtenstein</v>
      </c>
    </row>
    <row r="411" spans="2:5" x14ac:dyDescent="0.45">
      <c r="B411" t="s">
        <v>2631</v>
      </c>
      <c r="C411" t="s">
        <v>843</v>
      </c>
      <c r="D411">
        <f>IFERROR(INDEX(Countries[],MATCH(CountryCleanup[[#This Row],[ISO3]],Countries[ISO3],0),3),"")</f>
        <v>440</v>
      </c>
      <c r="E411" t="str">
        <f>IFERROR(INDEX(Countries[],MATCH(CountryCleanup[[#This Row],[ISO3]],Countries[ISO3],0),6),"")</f>
        <v>Lithuania</v>
      </c>
    </row>
    <row r="412" spans="2:5" x14ac:dyDescent="0.45">
      <c r="B412" t="s">
        <v>2632</v>
      </c>
      <c r="C412" t="s">
        <v>848</v>
      </c>
      <c r="D412">
        <f>IFERROR(INDEX(Countries[],MATCH(CountryCleanup[[#This Row],[ISO3]],Countries[ISO3],0),3),"")</f>
        <v>442</v>
      </c>
      <c r="E412" t="str">
        <f>IFERROR(INDEX(Countries[],MATCH(CountryCleanup[[#This Row],[ISO3]],Countries[ISO3],0),6),"")</f>
        <v>Luxembourg</v>
      </c>
    </row>
    <row r="413" spans="2:5" x14ac:dyDescent="0.45">
      <c r="B413" t="s">
        <v>2633</v>
      </c>
      <c r="C413" t="s">
        <v>417</v>
      </c>
      <c r="D413">
        <f>IFERROR(INDEX(Countries[],MATCH(CountryCleanup[[#This Row],[ISO3]],Countries[ISO3],0),3),"")</f>
        <v>446</v>
      </c>
      <c r="E413" t="str">
        <f>IFERROR(INDEX(Countries[],MATCH(CountryCleanup[[#This Row],[ISO3]],Countries[ISO3],0),6),"")</f>
        <v>China, Macao Special Administrative Region</v>
      </c>
    </row>
    <row r="414" spans="2:5" x14ac:dyDescent="0.45">
      <c r="B414" t="s">
        <v>2634</v>
      </c>
      <c r="C414" t="s">
        <v>852</v>
      </c>
      <c r="D414">
        <f>IFERROR(INDEX(Countries[],MATCH(CountryCleanup[[#This Row],[ISO3]],Countries[ISO3],0),3),"")</f>
        <v>450</v>
      </c>
      <c r="E414" t="str">
        <f>IFERROR(INDEX(Countries[],MATCH(CountryCleanup[[#This Row],[ISO3]],Countries[ISO3],0),6),"")</f>
        <v>Madagascar</v>
      </c>
    </row>
    <row r="415" spans="2:5" x14ac:dyDescent="0.45">
      <c r="B415" t="s">
        <v>2635</v>
      </c>
      <c r="C415" t="s">
        <v>856</v>
      </c>
      <c r="D415">
        <f>IFERROR(INDEX(Countries[],MATCH(CountryCleanup[[#This Row],[ISO3]],Countries[ISO3],0),3),"")</f>
        <v>454</v>
      </c>
      <c r="E415" t="str">
        <f>IFERROR(INDEX(Countries[],MATCH(CountryCleanup[[#This Row],[ISO3]],Countries[ISO3],0),6),"")</f>
        <v>Malawi</v>
      </c>
    </row>
    <row r="416" spans="2:5" x14ac:dyDescent="0.45">
      <c r="B416" s="32" t="s">
        <v>2981</v>
      </c>
      <c r="C416" s="3" t="s">
        <v>1218</v>
      </c>
      <c r="D416" s="33">
        <f>IFERROR(INDEX(Countries[],MATCH(CountryCleanup[[#This Row],[ISO3]],Countries[ISO3],0),3),"")</f>
        <v>702</v>
      </c>
      <c r="E416" t="str">
        <f>IFERROR(INDEX(Countries[],MATCH(CountryCleanup[[#This Row],[ISO3]],Countries[ISO3],0),6),"")</f>
        <v>Singapore</v>
      </c>
    </row>
    <row r="417" spans="2:5" x14ac:dyDescent="0.45">
      <c r="B417" s="32" t="s">
        <v>2982</v>
      </c>
      <c r="C417" t="s">
        <v>860</v>
      </c>
      <c r="D417" s="33">
        <f>IFERROR(INDEX(Countries[],MATCH(CountryCleanup[[#This Row],[ISO3]],Countries[ISO3],0),3),"")</f>
        <v>458</v>
      </c>
      <c r="E417" t="str">
        <f>IFERROR(INDEX(Countries[],MATCH(CountryCleanup[[#This Row],[ISO3]],Countries[ISO3],0),6),"")</f>
        <v>Malaysia</v>
      </c>
    </row>
    <row r="418" spans="2:5" x14ac:dyDescent="0.45">
      <c r="B418" t="s">
        <v>2636</v>
      </c>
      <c r="C418" t="s">
        <v>860</v>
      </c>
      <c r="D418">
        <f>IFERROR(INDEX(Countries[],MATCH(CountryCleanup[[#This Row],[ISO3]],Countries[ISO3],0),3),"")</f>
        <v>458</v>
      </c>
      <c r="E418" t="str">
        <f>IFERROR(INDEX(Countries[],MATCH(CountryCleanup[[#This Row],[ISO3]],Countries[ISO3],0),6),"")</f>
        <v>Malaysia</v>
      </c>
    </row>
    <row r="419" spans="2:5" x14ac:dyDescent="0.45">
      <c r="B419" s="32" t="s">
        <v>2983</v>
      </c>
      <c r="C419" t="s">
        <v>860</v>
      </c>
      <c r="D419" s="33">
        <f>IFERROR(INDEX(Countries[],MATCH(CountryCleanup[[#This Row],[ISO3]],Countries[ISO3],0),3),"")</f>
        <v>458</v>
      </c>
      <c r="E419" t="str">
        <f>IFERROR(INDEX(Countries[],MATCH(CountryCleanup[[#This Row],[ISO3]],Countries[ISO3],0),6),"")</f>
        <v>Malaysia</v>
      </c>
    </row>
    <row r="420" spans="2:5" x14ac:dyDescent="0.45">
      <c r="B420" s="32" t="s">
        <v>2984</v>
      </c>
      <c r="C420" t="s">
        <v>860</v>
      </c>
      <c r="D420" s="33">
        <f>IFERROR(INDEX(Countries[],MATCH(CountryCleanup[[#This Row],[ISO3]],Countries[ISO3],0),3),"")</f>
        <v>458</v>
      </c>
      <c r="E420" t="str">
        <f>IFERROR(INDEX(Countries[],MATCH(CountryCleanup[[#This Row],[ISO3]],Countries[ISO3],0),6),"")</f>
        <v>Malaysia</v>
      </c>
    </row>
    <row r="421" spans="2:5" x14ac:dyDescent="0.45">
      <c r="B421" t="s">
        <v>2637</v>
      </c>
      <c r="C421" t="s">
        <v>866</v>
      </c>
      <c r="D421">
        <f>IFERROR(INDEX(Countries[],MATCH(CountryCleanup[[#This Row],[ISO3]],Countries[ISO3],0),3),"")</f>
        <v>462</v>
      </c>
      <c r="E421" t="str">
        <f>IFERROR(INDEX(Countries[],MATCH(CountryCleanup[[#This Row],[ISO3]],Countries[ISO3],0),6),"")</f>
        <v>Maldives</v>
      </c>
    </row>
    <row r="422" spans="2:5" x14ac:dyDescent="0.45">
      <c r="B422" t="s">
        <v>2638</v>
      </c>
      <c r="C422" t="s">
        <v>871</v>
      </c>
      <c r="D422">
        <f>IFERROR(INDEX(Countries[],MATCH(CountryCleanup[[#This Row],[ISO3]],Countries[ISO3],0),3),"")</f>
        <v>466</v>
      </c>
      <c r="E422" t="str">
        <f>IFERROR(INDEX(Countries[],MATCH(CountryCleanup[[#This Row],[ISO3]],Countries[ISO3],0),6),"")</f>
        <v>Mali</v>
      </c>
    </row>
    <row r="423" spans="2:5" x14ac:dyDescent="0.45">
      <c r="B423" t="s">
        <v>2639</v>
      </c>
      <c r="C423" t="s">
        <v>875</v>
      </c>
      <c r="D423">
        <f>IFERROR(INDEX(Countries[],MATCH(CountryCleanup[[#This Row],[ISO3]],Countries[ISO3],0),3),"")</f>
        <v>470</v>
      </c>
      <c r="E423" t="str">
        <f>IFERROR(INDEX(Countries[],MATCH(CountryCleanup[[#This Row],[ISO3]],Countries[ISO3],0),6),"")</f>
        <v>Malta</v>
      </c>
    </row>
    <row r="424" spans="2:5" x14ac:dyDescent="0.45">
      <c r="B424" t="s">
        <v>2640</v>
      </c>
      <c r="C424" t="s">
        <v>884</v>
      </c>
      <c r="D424">
        <f>IFERROR(INDEX(Countries[],MATCH(CountryCleanup[[#This Row],[ISO3]],Countries[ISO3],0),3),"")</f>
        <v>474</v>
      </c>
      <c r="E424" t="str">
        <f>IFERROR(INDEX(Countries[],MATCH(CountryCleanup[[#This Row],[ISO3]],Countries[ISO3],0),6),"")</f>
        <v>Martinique</v>
      </c>
    </row>
    <row r="425" spans="2:5" x14ac:dyDescent="0.45">
      <c r="B425" s="30" t="s">
        <v>2972</v>
      </c>
      <c r="C425" t="s">
        <v>884</v>
      </c>
      <c r="D425">
        <f>IFERROR(INDEX(Countries[],MATCH(CountryCleanup[[#This Row],[ISO3]],Countries[ISO3],0),3),"")</f>
        <v>474</v>
      </c>
      <c r="E425" t="str">
        <f>IFERROR(INDEX(Countries[],MATCH(CountryCleanup[[#This Row],[ISO3]],Countries[ISO3],0),6),"")</f>
        <v>Martinique</v>
      </c>
    </row>
    <row r="426" spans="2:5" x14ac:dyDescent="0.45">
      <c r="B426" t="s">
        <v>2641</v>
      </c>
      <c r="C426" t="s">
        <v>888</v>
      </c>
      <c r="D426">
        <f>IFERROR(INDEX(Countries[],MATCH(CountryCleanup[[#This Row],[ISO3]],Countries[ISO3],0),3),"")</f>
        <v>478</v>
      </c>
      <c r="E426" t="str">
        <f>IFERROR(INDEX(Countries[],MATCH(CountryCleanup[[#This Row],[ISO3]],Countries[ISO3],0),6),"")</f>
        <v>Mauritania</v>
      </c>
    </row>
    <row r="427" spans="2:5" x14ac:dyDescent="0.45">
      <c r="B427" t="s">
        <v>2642</v>
      </c>
      <c r="C427" t="s">
        <v>893</v>
      </c>
      <c r="D427">
        <f>IFERROR(INDEX(Countries[],MATCH(CountryCleanup[[#This Row],[ISO3]],Countries[ISO3],0),3),"")</f>
        <v>480</v>
      </c>
      <c r="E427" t="str">
        <f>IFERROR(INDEX(Countries[],MATCH(CountryCleanup[[#This Row],[ISO3]],Countries[ISO3],0),6),"")</f>
        <v>Mauritius</v>
      </c>
    </row>
    <row r="428" spans="2:5" x14ac:dyDescent="0.45">
      <c r="B428" t="s">
        <v>2643</v>
      </c>
      <c r="C428" t="s">
        <v>902</v>
      </c>
      <c r="D428">
        <f>IFERROR(INDEX(Countries[],MATCH(CountryCleanup[[#This Row],[ISO3]],Countries[ISO3],0),3),"")</f>
        <v>484</v>
      </c>
      <c r="E428" t="str">
        <f>IFERROR(INDEX(Countries[],MATCH(CountryCleanup[[#This Row],[ISO3]],Countries[ISO3],0),6),"")</f>
        <v>Mexico</v>
      </c>
    </row>
    <row r="429" spans="2:5" x14ac:dyDescent="0.45">
      <c r="B429" t="s">
        <v>2644</v>
      </c>
      <c r="C429" t="s">
        <v>919</v>
      </c>
      <c r="D429">
        <f>IFERROR(INDEX(Countries[],MATCH(CountryCleanup[[#This Row],[ISO3]],Countries[ISO3],0),3),"")</f>
        <v>496</v>
      </c>
      <c r="E429" t="str">
        <f>IFERROR(INDEX(Countries[],MATCH(CountryCleanup[[#This Row],[ISO3]],Countries[ISO3],0),6),"")</f>
        <v>Mongolia</v>
      </c>
    </row>
    <row r="430" spans="2:5" x14ac:dyDescent="0.45">
      <c r="B430" t="s">
        <v>2645</v>
      </c>
      <c r="C430" t="s">
        <v>1084</v>
      </c>
      <c r="D430">
        <f>IFERROR(INDEX(Countries[],MATCH(CountryCleanup[[#This Row],[ISO3]],Countries[ISO3],0),3),"")</f>
        <v>498</v>
      </c>
      <c r="E430" t="str">
        <f>IFERROR(INDEX(Countries[],MATCH(CountryCleanup[[#This Row],[ISO3]],Countries[ISO3],0),6),"")</f>
        <v>Republic of Moldova (the)</v>
      </c>
    </row>
    <row r="431" spans="2:5" x14ac:dyDescent="0.45">
      <c r="B431" t="s">
        <v>2646</v>
      </c>
      <c r="C431" t="s">
        <v>924</v>
      </c>
      <c r="D431">
        <f>IFERROR(INDEX(Countries[],MATCH(CountryCleanup[[#This Row],[ISO3]],Countries[ISO3],0),3),"")</f>
        <v>499</v>
      </c>
      <c r="E431" t="str">
        <f>IFERROR(INDEX(Countries[],MATCH(CountryCleanup[[#This Row],[ISO3]],Countries[ISO3],0),6),"")</f>
        <v>Montenegro</v>
      </c>
    </row>
    <row r="432" spans="2:5" x14ac:dyDescent="0.45">
      <c r="B432" t="s">
        <v>2647</v>
      </c>
      <c r="C432" t="s">
        <v>928</v>
      </c>
      <c r="D432">
        <f>IFERROR(INDEX(Countries[],MATCH(CountryCleanup[[#This Row],[ISO3]],Countries[ISO3],0),3),"")</f>
        <v>500</v>
      </c>
      <c r="E432" t="str">
        <f>IFERROR(INDEX(Countries[],MATCH(CountryCleanup[[#This Row],[ISO3]],Countries[ISO3],0),6),"")</f>
        <v>Montserrat</v>
      </c>
    </row>
    <row r="433" spans="2:5" x14ac:dyDescent="0.45">
      <c r="B433" t="s">
        <v>2648</v>
      </c>
      <c r="C433" t="s">
        <v>931</v>
      </c>
      <c r="D433">
        <f>IFERROR(INDEX(Countries[],MATCH(CountryCleanup[[#This Row],[ISO3]],Countries[ISO3],0),3),"")</f>
        <v>504</v>
      </c>
      <c r="E433" t="str">
        <f>IFERROR(INDEX(Countries[],MATCH(CountryCleanup[[#This Row],[ISO3]],Countries[ISO3],0),6),"")</f>
        <v>Morocco</v>
      </c>
    </row>
    <row r="434" spans="2:5" x14ac:dyDescent="0.45">
      <c r="B434" t="s">
        <v>2649</v>
      </c>
      <c r="C434" t="s">
        <v>937</v>
      </c>
      <c r="D434">
        <f>IFERROR(INDEX(Countries[],MATCH(CountryCleanup[[#This Row],[ISO3]],Countries[ISO3],0),3),"")</f>
        <v>508</v>
      </c>
      <c r="E434" t="str">
        <f>IFERROR(INDEX(Countries[],MATCH(CountryCleanup[[#This Row],[ISO3]],Countries[ISO3],0),6),"")</f>
        <v>Mozambique</v>
      </c>
    </row>
    <row r="435" spans="2:5" x14ac:dyDescent="0.45">
      <c r="B435" t="s">
        <v>2650</v>
      </c>
      <c r="C435" t="s">
        <v>1014</v>
      </c>
      <c r="D435">
        <f>IFERROR(INDEX(Countries[],MATCH(CountryCleanup[[#This Row],[ISO3]],Countries[ISO3],0),3),"")</f>
        <v>512</v>
      </c>
      <c r="E435" t="str">
        <f>IFERROR(INDEX(Countries[],MATCH(CountryCleanup[[#This Row],[ISO3]],Countries[ISO3],0),6),"")</f>
        <v>Oman</v>
      </c>
    </row>
    <row r="436" spans="2:5" x14ac:dyDescent="0.45">
      <c r="B436" t="s">
        <v>2651</v>
      </c>
      <c r="C436" t="s">
        <v>948</v>
      </c>
      <c r="D436">
        <f>IFERROR(INDEX(Countries[],MATCH(CountryCleanup[[#This Row],[ISO3]],Countries[ISO3],0),3),"")</f>
        <v>516</v>
      </c>
      <c r="E436" t="str">
        <f>IFERROR(INDEX(Countries[],MATCH(CountryCleanup[[#This Row],[ISO3]],Countries[ISO3],0),6),"")</f>
        <v>Namibia</v>
      </c>
    </row>
    <row r="437" spans="2:5" x14ac:dyDescent="0.45">
      <c r="B437" t="s">
        <v>2652</v>
      </c>
      <c r="C437" t="s">
        <v>953</v>
      </c>
      <c r="D437">
        <f>IFERROR(INDEX(Countries[],MATCH(CountryCleanup[[#This Row],[ISO3]],Countries[ISO3],0),3),"")</f>
        <v>520</v>
      </c>
      <c r="E437" t="str">
        <f>IFERROR(INDEX(Countries[],MATCH(CountryCleanup[[#This Row],[ISO3]],Countries[ISO3],0),6),"")</f>
        <v>Nauru</v>
      </c>
    </row>
    <row r="438" spans="2:5" x14ac:dyDescent="0.45">
      <c r="B438" t="s">
        <v>2653</v>
      </c>
      <c r="C438" t="s">
        <v>956</v>
      </c>
      <c r="D438">
        <f>IFERROR(INDEX(Countries[],MATCH(CountryCleanup[[#This Row],[ISO3]],Countries[ISO3],0),3),"")</f>
        <v>524</v>
      </c>
      <c r="E438" t="str">
        <f>IFERROR(INDEX(Countries[],MATCH(CountryCleanup[[#This Row],[ISO3]],Countries[ISO3],0),6),"")</f>
        <v>Nepal</v>
      </c>
    </row>
    <row r="439" spans="2:5" x14ac:dyDescent="0.45">
      <c r="B439" t="s">
        <v>2654</v>
      </c>
      <c r="C439" t="s">
        <v>961</v>
      </c>
      <c r="D439">
        <f>IFERROR(INDEX(Countries[],MATCH(CountryCleanup[[#This Row],[ISO3]],Countries[ISO3],0),3),"")</f>
        <v>528</v>
      </c>
      <c r="E439" t="str">
        <f>IFERROR(INDEX(Countries[],MATCH(CountryCleanup[[#This Row],[ISO3]],Countries[ISO3],0),6),"")</f>
        <v>Netherlands (Kingdom of the)</v>
      </c>
    </row>
    <row r="440" spans="2:5" x14ac:dyDescent="0.45">
      <c r="B440" t="s">
        <v>2655</v>
      </c>
      <c r="C440" t="s">
        <v>478</v>
      </c>
      <c r="D440">
        <f>IFERROR(INDEX(Countries[],MATCH(CountryCleanup[[#This Row],[ISO3]],Countries[ISO3],0),3),"")</f>
        <v>531</v>
      </c>
      <c r="E440" t="str">
        <f>IFERROR(INDEX(Countries[],MATCH(CountryCleanup[[#This Row],[ISO3]],Countries[ISO3],0),6),"")</f>
        <v>Curaçao</v>
      </c>
    </row>
    <row r="441" spans="2:5" x14ac:dyDescent="0.45">
      <c r="B441" t="s">
        <v>2656</v>
      </c>
      <c r="C441" t="s">
        <v>478</v>
      </c>
      <c r="D441">
        <f>IFERROR(INDEX(Countries[],MATCH(CountryCleanup[[#This Row],[ISO3]],Countries[ISO3],0),3),"")</f>
        <v>531</v>
      </c>
      <c r="E441" t="str">
        <f>IFERROR(INDEX(Countries[],MATCH(CountryCleanup[[#This Row],[ISO3]],Countries[ISO3],0),6),"")</f>
        <v>Curaçao</v>
      </c>
    </row>
    <row r="442" spans="2:5" x14ac:dyDescent="0.45">
      <c r="B442" s="32" t="s">
        <v>2985</v>
      </c>
      <c r="C442" t="s">
        <v>478</v>
      </c>
      <c r="D442" s="33">
        <f>IFERROR(INDEX(Countries[],MATCH(CountryCleanup[[#This Row],[ISO3]],Countries[ISO3],0),3),"")</f>
        <v>531</v>
      </c>
      <c r="E442" t="str">
        <f>IFERROR(INDEX(Countries[],MATCH(CountryCleanup[[#This Row],[ISO3]],Countries[ISO3],0),6),"")</f>
        <v>Curaçao</v>
      </c>
    </row>
    <row r="443" spans="2:5" x14ac:dyDescent="0.45">
      <c r="B443" t="s">
        <v>2657</v>
      </c>
      <c r="C443" t="s">
        <v>206</v>
      </c>
      <c r="D443">
        <f>IFERROR(INDEX(Countries[],MATCH(CountryCleanup[[#This Row],[ISO3]],Countries[ISO3],0),3),"")</f>
        <v>533</v>
      </c>
      <c r="E443" t="str">
        <f>IFERROR(INDEX(Countries[],MATCH(CountryCleanup[[#This Row],[ISO3]],Countries[ISO3],0),6),"")</f>
        <v>Aruba</v>
      </c>
    </row>
    <row r="444" spans="2:5" x14ac:dyDescent="0.45">
      <c r="B444" t="s">
        <v>2658</v>
      </c>
      <c r="C444" t="s">
        <v>1224</v>
      </c>
      <c r="D444">
        <f>IFERROR(INDEX(Countries[],MATCH(CountryCleanup[[#This Row],[ISO3]],Countries[ISO3],0),3),"")</f>
        <v>534</v>
      </c>
      <c r="E444" t="str">
        <f>IFERROR(INDEX(Countries[],MATCH(CountryCleanup[[#This Row],[ISO3]],Countries[ISO3],0),6),"")</f>
        <v>Sint Maarten (Dutch Part)</v>
      </c>
    </row>
    <row r="445" spans="2:5" x14ac:dyDescent="0.45">
      <c r="B445" t="s">
        <v>2659</v>
      </c>
      <c r="C445" t="s">
        <v>296</v>
      </c>
      <c r="D445">
        <f>IFERROR(INDEX(Countries[],MATCH(CountryCleanup[[#This Row],[ISO3]],Countries[ISO3],0),3),"")</f>
        <v>535</v>
      </c>
      <c r="E445" t="str">
        <f>IFERROR(INDEX(Countries[],MATCH(CountryCleanup[[#This Row],[ISO3]],Countries[ISO3],0),6),"")</f>
        <v>Bonaire, Sint Eustatius and Saba</v>
      </c>
    </row>
    <row r="446" spans="2:5" x14ac:dyDescent="0.45">
      <c r="B446" t="s">
        <v>2660</v>
      </c>
      <c r="C446" t="s">
        <v>966</v>
      </c>
      <c r="D446">
        <f>IFERROR(INDEX(Countries[],MATCH(CountryCleanup[[#This Row],[ISO3]],Countries[ISO3],0),3),"")</f>
        <v>540</v>
      </c>
      <c r="E446" t="str">
        <f>IFERROR(INDEX(Countries[],MATCH(CountryCleanup[[#This Row],[ISO3]],Countries[ISO3],0),6),"")</f>
        <v>New Caledonia</v>
      </c>
    </row>
    <row r="447" spans="2:5" x14ac:dyDescent="0.45">
      <c r="B447" t="s">
        <v>2661</v>
      </c>
      <c r="C447" t="s">
        <v>1428</v>
      </c>
      <c r="D447">
        <f>IFERROR(INDEX(Countries[],MATCH(CountryCleanup[[#This Row],[ISO3]],Countries[ISO3],0),3),"")</f>
        <v>548</v>
      </c>
      <c r="E447" t="str">
        <f>IFERROR(INDEX(Countries[],MATCH(CountryCleanup[[#This Row],[ISO3]],Countries[ISO3],0),6),"")</f>
        <v>Vanuatu</v>
      </c>
    </row>
    <row r="448" spans="2:5" x14ac:dyDescent="0.45">
      <c r="B448" t="s">
        <v>2662</v>
      </c>
      <c r="C448" t="s">
        <v>971</v>
      </c>
      <c r="D448">
        <f>IFERROR(INDEX(Countries[],MATCH(CountryCleanup[[#This Row],[ISO3]],Countries[ISO3],0),3),"")</f>
        <v>554</v>
      </c>
      <c r="E448" t="str">
        <f>IFERROR(INDEX(Countries[],MATCH(CountryCleanup[[#This Row],[ISO3]],Countries[ISO3],0),6),"")</f>
        <v>New Zealand</v>
      </c>
    </row>
    <row r="449" spans="2:5" x14ac:dyDescent="0.45">
      <c r="B449" t="s">
        <v>2663</v>
      </c>
      <c r="C449" t="s">
        <v>976</v>
      </c>
      <c r="D449">
        <f>IFERROR(INDEX(Countries[],MATCH(CountryCleanup[[#This Row],[ISO3]],Countries[ISO3],0),3),"")</f>
        <v>558</v>
      </c>
      <c r="E449" t="str">
        <f>IFERROR(INDEX(Countries[],MATCH(CountryCleanup[[#This Row],[ISO3]],Countries[ISO3],0),6),"")</f>
        <v>Nicaragua</v>
      </c>
    </row>
    <row r="450" spans="2:5" x14ac:dyDescent="0.45">
      <c r="B450" t="s">
        <v>2664</v>
      </c>
      <c r="C450" t="s">
        <v>980</v>
      </c>
      <c r="D450">
        <f>IFERROR(INDEX(Countries[],MATCH(CountryCleanup[[#This Row],[ISO3]],Countries[ISO3],0),3),"")</f>
        <v>562</v>
      </c>
      <c r="E450" t="str">
        <f>IFERROR(INDEX(Countries[],MATCH(CountryCleanup[[#This Row],[ISO3]],Countries[ISO3],0),6),"")</f>
        <v>Niger (the)</v>
      </c>
    </row>
    <row r="451" spans="2:5" x14ac:dyDescent="0.45">
      <c r="B451" t="s">
        <v>2665</v>
      </c>
      <c r="C451" t="s">
        <v>984</v>
      </c>
      <c r="D451">
        <f>IFERROR(INDEX(Countries[],MATCH(CountryCleanup[[#This Row],[ISO3]],Countries[ISO3],0),3),"")</f>
        <v>566</v>
      </c>
      <c r="E451" t="str">
        <f>IFERROR(INDEX(Countries[],MATCH(CountryCleanup[[#This Row],[ISO3]],Countries[ISO3],0),6),"")</f>
        <v>Nigeria</v>
      </c>
    </row>
    <row r="452" spans="2:5" x14ac:dyDescent="0.45">
      <c r="B452" t="s">
        <v>2666</v>
      </c>
      <c r="C452" t="s">
        <v>989</v>
      </c>
      <c r="D452">
        <f>IFERROR(INDEX(Countries[],MATCH(CountryCleanup[[#This Row],[ISO3]],Countries[ISO3],0),3),"")</f>
        <v>570</v>
      </c>
      <c r="E452" t="str">
        <f>IFERROR(INDEX(Countries[],MATCH(CountryCleanup[[#This Row],[ISO3]],Countries[ISO3],0),6),"")</f>
        <v>Niue</v>
      </c>
    </row>
    <row r="453" spans="2:5" x14ac:dyDescent="0.45">
      <c r="B453" t="s">
        <v>2667</v>
      </c>
      <c r="C453" t="s">
        <v>1007</v>
      </c>
      <c r="D453">
        <f>IFERROR(INDEX(Countries[],MATCH(CountryCleanup[[#This Row],[ISO3]],Countries[ISO3],0),3),"")</f>
        <v>578</v>
      </c>
      <c r="E453" t="str">
        <f>IFERROR(INDEX(Countries[],MATCH(CountryCleanup[[#This Row],[ISO3]],Countries[ISO3],0),6),"")</f>
        <v>Norway</v>
      </c>
    </row>
    <row r="454" spans="2:5" x14ac:dyDescent="0.45">
      <c r="B454" t="s">
        <v>2668</v>
      </c>
      <c r="C454" t="s">
        <v>1002</v>
      </c>
      <c r="D454">
        <f>IFERROR(INDEX(Countries[],MATCH(CountryCleanup[[#This Row],[ISO3]],Countries[ISO3],0),3),"")</f>
        <v>580</v>
      </c>
      <c r="E454" t="str">
        <f>IFERROR(INDEX(Countries[],MATCH(CountryCleanup[[#This Row],[ISO3]],Countries[ISO3],0),6),"")</f>
        <v>Northern Mariana Islands</v>
      </c>
    </row>
    <row r="455" spans="2:5" x14ac:dyDescent="0.45">
      <c r="B455" s="32" t="s">
        <v>2963</v>
      </c>
      <c r="C455" t="s">
        <v>908</v>
      </c>
      <c r="D455">
        <f>IFERROR(INDEX(Countries[],MATCH(CountryCleanup[[#This Row],[ISO3]],Countries[ISO3],0),3),"")</f>
        <v>583</v>
      </c>
      <c r="E455" t="str">
        <f>IFERROR(INDEX(Countries[],MATCH(CountryCleanup[[#This Row],[ISO3]],Countries[ISO3],0),6),"")</f>
        <v>Micronesia (Federated States of)</v>
      </c>
    </row>
    <row r="456" spans="2:5" x14ac:dyDescent="0.45">
      <c r="B456" t="s">
        <v>2669</v>
      </c>
      <c r="C456" t="s">
        <v>908</v>
      </c>
      <c r="D456">
        <f>IFERROR(INDEX(Countries[],MATCH(CountryCleanup[[#This Row],[ISO3]],Countries[ISO3],0),3),"")</f>
        <v>583</v>
      </c>
      <c r="E456" t="str">
        <f>IFERROR(INDEX(Countries[],MATCH(CountryCleanup[[#This Row],[ISO3]],Countries[ISO3],0),6),"")</f>
        <v>Micronesia (Federated States of)</v>
      </c>
    </row>
    <row r="457" spans="2:5" x14ac:dyDescent="0.45">
      <c r="B457" t="s">
        <v>2670</v>
      </c>
      <c r="C457" t="s">
        <v>879</v>
      </c>
      <c r="D457">
        <f>IFERROR(INDEX(Countries[],MATCH(CountryCleanup[[#This Row],[ISO3]],Countries[ISO3],0),3),"")</f>
        <v>584</v>
      </c>
      <c r="E457" t="str">
        <f>IFERROR(INDEX(Countries[],MATCH(CountryCleanup[[#This Row],[ISO3]],Countries[ISO3],0),6),"")</f>
        <v>Marshall Islands (the)</v>
      </c>
    </row>
    <row r="458" spans="2:5" x14ac:dyDescent="0.45">
      <c r="B458" t="s">
        <v>2671</v>
      </c>
      <c r="C458" t="s">
        <v>1028</v>
      </c>
      <c r="D458">
        <f>IFERROR(INDEX(Countries[],MATCH(CountryCleanup[[#This Row],[ISO3]],Countries[ISO3],0),3),"")</f>
        <v>585</v>
      </c>
      <c r="E458" t="str">
        <f>IFERROR(INDEX(Countries[],MATCH(CountryCleanup[[#This Row],[ISO3]],Countries[ISO3],0),6),"")</f>
        <v>Palau</v>
      </c>
    </row>
    <row r="459" spans="2:5" x14ac:dyDescent="0.45">
      <c r="B459" t="s">
        <v>2672</v>
      </c>
      <c r="C459" t="s">
        <v>1023</v>
      </c>
      <c r="D459">
        <f>IFERROR(INDEX(Countries[],MATCH(CountryCleanup[[#This Row],[ISO3]],Countries[ISO3],0),3),"")</f>
        <v>586</v>
      </c>
      <c r="E459" t="str">
        <f>IFERROR(INDEX(Countries[],MATCH(CountryCleanup[[#This Row],[ISO3]],Countries[ISO3],0),6),"")</f>
        <v>Pakistan</v>
      </c>
    </row>
    <row r="460" spans="2:5" x14ac:dyDescent="0.45">
      <c r="B460" s="32" t="s">
        <v>2986</v>
      </c>
      <c r="C460" s="3" t="s">
        <v>1023</v>
      </c>
      <c r="D460" s="33">
        <f>IFERROR(INDEX(Countries[],MATCH(CountryCleanup[[#This Row],[ISO3]],Countries[ISO3],0),3),"")</f>
        <v>586</v>
      </c>
      <c r="E460" t="str">
        <f>IFERROR(INDEX(Countries[],MATCH(CountryCleanup[[#This Row],[ISO3]],Countries[ISO3],0),6),"")</f>
        <v>Pakistan</v>
      </c>
    </row>
    <row r="461" spans="2:5" x14ac:dyDescent="0.45">
      <c r="B461" s="32" t="s">
        <v>2987</v>
      </c>
      <c r="C461" t="s">
        <v>1032</v>
      </c>
      <c r="D461" s="33">
        <f>IFERROR(INDEX(Countries[],MATCH(CountryCleanup[[#This Row],[ISO3]],Countries[ISO3],0),3),"")</f>
        <v>591</v>
      </c>
      <c r="E461" t="str">
        <f>IFERROR(INDEX(Countries[],MATCH(CountryCleanup[[#This Row],[ISO3]],Countries[ISO3],0),6),"")</f>
        <v>Panama</v>
      </c>
    </row>
    <row r="462" spans="2:5" x14ac:dyDescent="0.45">
      <c r="B462" t="s">
        <v>2673</v>
      </c>
      <c r="C462" t="s">
        <v>1032</v>
      </c>
      <c r="D462">
        <f>IFERROR(INDEX(Countries[],MATCH(CountryCleanup[[#This Row],[ISO3]],Countries[ISO3],0),3),"")</f>
        <v>591</v>
      </c>
      <c r="E462" t="str">
        <f>IFERROR(INDEX(Countries[],MATCH(CountryCleanup[[#This Row],[ISO3]],Countries[ISO3],0),6),"")</f>
        <v>Panama</v>
      </c>
    </row>
    <row r="463" spans="2:5" x14ac:dyDescent="0.45">
      <c r="B463" s="32" t="s">
        <v>2988</v>
      </c>
      <c r="C463" t="s">
        <v>1032</v>
      </c>
      <c r="D463" s="33">
        <f>IFERROR(INDEX(Countries[],MATCH(CountryCleanup[[#This Row],[ISO3]],Countries[ISO3],0),3),"")</f>
        <v>591</v>
      </c>
      <c r="E463" t="str">
        <f>IFERROR(INDEX(Countries[],MATCH(CountryCleanup[[#This Row],[ISO3]],Countries[ISO3],0),6),"")</f>
        <v>Panama</v>
      </c>
    </row>
    <row r="464" spans="2:5" x14ac:dyDescent="0.45">
      <c r="B464" t="s">
        <v>2674</v>
      </c>
      <c r="C464" t="s">
        <v>1037</v>
      </c>
      <c r="D464">
        <f>IFERROR(INDEX(Countries[],MATCH(CountryCleanup[[#This Row],[ISO3]],Countries[ISO3],0),3),"")</f>
        <v>598</v>
      </c>
      <c r="E464" t="str">
        <f>IFERROR(INDEX(Countries[],MATCH(CountryCleanup[[#This Row],[ISO3]],Countries[ISO3],0),6),"")</f>
        <v>Papua New Guinea</v>
      </c>
    </row>
    <row r="465" spans="2:5" x14ac:dyDescent="0.45">
      <c r="B465" t="s">
        <v>2675</v>
      </c>
      <c r="C465" t="s">
        <v>1043</v>
      </c>
      <c r="D465">
        <f>IFERROR(INDEX(Countries[],MATCH(CountryCleanup[[#This Row],[ISO3]],Countries[ISO3],0),3),"")</f>
        <v>600</v>
      </c>
      <c r="E465" t="str">
        <f>IFERROR(INDEX(Countries[],MATCH(CountryCleanup[[#This Row],[ISO3]],Countries[ISO3],0),6),"")</f>
        <v>Paraguay</v>
      </c>
    </row>
    <row r="466" spans="2:5" x14ac:dyDescent="0.45">
      <c r="B466" t="s">
        <v>2676</v>
      </c>
      <c r="C466" t="s">
        <v>1047</v>
      </c>
      <c r="D466">
        <f>IFERROR(INDEX(Countries[],MATCH(CountryCleanup[[#This Row],[ISO3]],Countries[ISO3],0),3),"")</f>
        <v>604</v>
      </c>
      <c r="E466" t="str">
        <f>IFERROR(INDEX(Countries[],MATCH(CountryCleanup[[#This Row],[ISO3]],Countries[ISO3],0),6),"")</f>
        <v>Peru</v>
      </c>
    </row>
    <row r="467" spans="2:5" x14ac:dyDescent="0.45">
      <c r="B467" t="s">
        <v>2677</v>
      </c>
      <c r="C467" t="s">
        <v>1053</v>
      </c>
      <c r="D467">
        <f>IFERROR(INDEX(Countries[],MATCH(CountryCleanup[[#This Row],[ISO3]],Countries[ISO3],0),3),"")</f>
        <v>608</v>
      </c>
      <c r="E467" t="str">
        <f>IFERROR(INDEX(Countries[],MATCH(CountryCleanup[[#This Row],[ISO3]],Countries[ISO3],0),6),"")</f>
        <v>Philippines (the)</v>
      </c>
    </row>
    <row r="468" spans="2:5" x14ac:dyDescent="0.45">
      <c r="B468" t="s">
        <v>2678</v>
      </c>
      <c r="C468" t="s">
        <v>1061</v>
      </c>
      <c r="D468">
        <f>IFERROR(INDEX(Countries[],MATCH(CountryCleanup[[#This Row],[ISO3]],Countries[ISO3],0),3),"")</f>
        <v>616</v>
      </c>
      <c r="E468" t="str">
        <f>IFERROR(INDEX(Countries[],MATCH(CountryCleanup[[#This Row],[ISO3]],Countries[ISO3],0),6),"")</f>
        <v>Poland</v>
      </c>
    </row>
    <row r="469" spans="2:5" x14ac:dyDescent="0.45">
      <c r="B469" t="s">
        <v>2679</v>
      </c>
      <c r="C469" t="s">
        <v>1067</v>
      </c>
      <c r="D469">
        <f>IFERROR(INDEX(Countries[],MATCH(CountryCleanup[[#This Row],[ISO3]],Countries[ISO3],0),3),"")</f>
        <v>620</v>
      </c>
      <c r="E469" t="str">
        <f>IFERROR(INDEX(Countries[],MATCH(CountryCleanup[[#This Row],[ISO3]],Countries[ISO3],0),6),"")</f>
        <v>Portugal</v>
      </c>
    </row>
    <row r="470" spans="2:5" x14ac:dyDescent="0.45">
      <c r="B470" t="s">
        <v>2680</v>
      </c>
      <c r="C470" t="s">
        <v>681</v>
      </c>
      <c r="D470">
        <f>IFERROR(INDEX(Countries[],MATCH(CountryCleanup[[#This Row],[ISO3]],Countries[ISO3],0),3),"")</f>
        <v>624</v>
      </c>
      <c r="E470" t="str">
        <f>IFERROR(INDEX(Countries[],MATCH(CountryCleanup[[#This Row],[ISO3]],Countries[ISO3],0),6),"")</f>
        <v>Guinea-Bissau</v>
      </c>
    </row>
    <row r="471" spans="2:5" x14ac:dyDescent="0.45">
      <c r="B471" t="s">
        <v>2681</v>
      </c>
      <c r="C471" t="s">
        <v>1329</v>
      </c>
      <c r="D471">
        <f>IFERROR(INDEX(Countries[],MATCH(CountryCleanup[[#This Row],[ISO3]],Countries[ISO3],0),3),"")</f>
        <v>626</v>
      </c>
      <c r="E471" t="str">
        <f>IFERROR(INDEX(Countries[],MATCH(CountryCleanup[[#This Row],[ISO3]],Countries[ISO3],0),6),"")</f>
        <v>Timor-Leste</v>
      </c>
    </row>
    <row r="472" spans="2:5" x14ac:dyDescent="0.45">
      <c r="B472" t="s">
        <v>2682</v>
      </c>
      <c r="C472" t="s">
        <v>1070</v>
      </c>
      <c r="D472">
        <f>IFERROR(INDEX(Countries[],MATCH(CountryCleanup[[#This Row],[ISO3]],Countries[ISO3],0),3),"")</f>
        <v>630</v>
      </c>
      <c r="E472" t="str">
        <f>IFERROR(INDEX(Countries[],MATCH(CountryCleanup[[#This Row],[ISO3]],Countries[ISO3],0),6),"")</f>
        <v>Puerto Rico</v>
      </c>
    </row>
    <row r="473" spans="2:5" x14ac:dyDescent="0.45">
      <c r="B473" t="s">
        <v>2683</v>
      </c>
      <c r="C473" t="s">
        <v>1074</v>
      </c>
      <c r="D473">
        <f>IFERROR(INDEX(Countries[],MATCH(CountryCleanup[[#This Row],[ISO3]],Countries[ISO3],0),3),"")</f>
        <v>634</v>
      </c>
      <c r="E473" t="str">
        <f>IFERROR(INDEX(Countries[],MATCH(CountryCleanup[[#This Row],[ISO3]],Countries[ISO3],0),6),"")</f>
        <v>Qatar</v>
      </c>
    </row>
    <row r="474" spans="2:5" x14ac:dyDescent="0.45">
      <c r="B474" t="s">
        <v>2684</v>
      </c>
      <c r="C474" t="s">
        <v>1119</v>
      </c>
      <c r="D474">
        <f>IFERROR(INDEX(Countries[],MATCH(CountryCleanup[[#This Row],[ISO3]],Countries[ISO3],0),3),"")</f>
        <v>638</v>
      </c>
      <c r="E474" t="str">
        <f>IFERROR(INDEX(Countries[],MATCH(CountryCleanup[[#This Row],[ISO3]],Countries[ISO3],0),6),"")</f>
        <v>Réunion</v>
      </c>
    </row>
    <row r="475" spans="2:5" x14ac:dyDescent="0.45">
      <c r="B475" s="30" t="s">
        <v>2973</v>
      </c>
      <c r="C475" t="s">
        <v>1119</v>
      </c>
      <c r="D475">
        <f>IFERROR(INDEX(Countries[],MATCH(CountryCleanup[[#This Row],[ISO3]],Countries[ISO3],0),3),"")</f>
        <v>638</v>
      </c>
      <c r="E475" t="str">
        <f>IFERROR(INDEX(Countries[],MATCH(CountryCleanup[[#This Row],[ISO3]],Countries[ISO3],0),6),"")</f>
        <v>Réunion</v>
      </c>
    </row>
    <row r="476" spans="2:5" x14ac:dyDescent="0.45">
      <c r="B476" t="s">
        <v>2685</v>
      </c>
      <c r="C476" t="s">
        <v>1123</v>
      </c>
      <c r="D476">
        <f>IFERROR(INDEX(Countries[],MATCH(CountryCleanup[[#This Row],[ISO3]],Countries[ISO3],0),3),"")</f>
        <v>642</v>
      </c>
      <c r="E476" t="str">
        <f>IFERROR(INDEX(Countries[],MATCH(CountryCleanup[[#This Row],[ISO3]],Countries[ISO3],0),6),"")</f>
        <v>Romania</v>
      </c>
    </row>
    <row r="477" spans="2:5" x14ac:dyDescent="0.45">
      <c r="B477" t="s">
        <v>2686</v>
      </c>
      <c r="C477" t="s">
        <v>1129</v>
      </c>
      <c r="D477">
        <f>IFERROR(INDEX(Countries[],MATCH(CountryCleanup[[#This Row],[ISO3]],Countries[ISO3],0),3),"")</f>
        <v>643</v>
      </c>
      <c r="E477" t="str">
        <f>IFERROR(INDEX(Countries[],MATCH(CountryCleanup[[#This Row],[ISO3]],Countries[ISO3],0),6),"")</f>
        <v>Russian Federation (the)</v>
      </c>
    </row>
    <row r="478" spans="2:5" x14ac:dyDescent="0.45">
      <c r="B478" s="32" t="s">
        <v>2989</v>
      </c>
      <c r="C478" t="s">
        <v>349</v>
      </c>
      <c r="D478" s="33">
        <f>IFERROR(INDEX(Countries[],MATCH(CountryCleanup[[#This Row],[ISO3]],Countries[ISO3],0),3),"")</f>
        <v>108</v>
      </c>
      <c r="E478" t="str">
        <f>IFERROR(INDEX(Countries[],MATCH(CountryCleanup[[#This Row],[ISO3]],Countries[ISO3],0),6),"")</f>
        <v>Burundi</v>
      </c>
    </row>
    <row r="479" spans="2:5" x14ac:dyDescent="0.45">
      <c r="B479" t="s">
        <v>2687</v>
      </c>
      <c r="C479" t="s">
        <v>1135</v>
      </c>
      <c r="D479">
        <f>IFERROR(INDEX(Countries[],MATCH(CountryCleanup[[#This Row],[ISO3]],Countries[ISO3],0),3),"")</f>
        <v>646</v>
      </c>
      <c r="E479" t="str">
        <f>IFERROR(INDEX(Countries[],MATCH(CountryCleanup[[#This Row],[ISO3]],Countries[ISO3],0),6),"")</f>
        <v>Rwanda</v>
      </c>
    </row>
    <row r="480" spans="2:5" x14ac:dyDescent="0.45">
      <c r="B480" s="32" t="s">
        <v>2990</v>
      </c>
      <c r="C480" t="s">
        <v>765</v>
      </c>
      <c r="D480" s="33">
        <f>IFERROR(INDEX(Countries[],MATCH(CountryCleanup[[#This Row],[ISO3]],Countries[ISO3],0),3),"")</f>
        <v>392</v>
      </c>
      <c r="E480" t="str">
        <f>IFERROR(INDEX(Countries[],MATCH(CountryCleanup[[#This Row],[ISO3]],Countries[ISO3],0),6),"")</f>
        <v>Japan</v>
      </c>
    </row>
    <row r="481" spans="2:5" x14ac:dyDescent="0.45">
      <c r="B481" t="s">
        <v>2688</v>
      </c>
      <c r="C481" t="s">
        <v>1139</v>
      </c>
      <c r="D481">
        <f>IFERROR(INDEX(Countries[],MATCH(CountryCleanup[[#This Row],[ISO3]],Countries[ISO3],0),3),"")</f>
        <v>652</v>
      </c>
      <c r="E481" t="str">
        <f>IFERROR(INDEX(Countries[],MATCH(CountryCleanup[[#This Row],[ISO3]],Countries[ISO3],0),6),"")</f>
        <v>Saint Barthélemy</v>
      </c>
    </row>
    <row r="482" spans="2:5" x14ac:dyDescent="0.45">
      <c r="B482" t="s">
        <v>2689</v>
      </c>
      <c r="C482" t="s">
        <v>1145</v>
      </c>
      <c r="D482">
        <f>IFERROR(INDEX(Countries[],MATCH(CountryCleanup[[#This Row],[ISO3]],Countries[ISO3],0),3),"")</f>
        <v>654</v>
      </c>
      <c r="E482" t="str">
        <f>IFERROR(INDEX(Countries[],MATCH(CountryCleanup[[#This Row],[ISO3]],Countries[ISO3],0),6),"")</f>
        <v>Saint Helena</v>
      </c>
    </row>
    <row r="483" spans="2:5" x14ac:dyDescent="0.45">
      <c r="B483" s="32" t="s">
        <v>2991</v>
      </c>
      <c r="C483" t="s">
        <v>1151</v>
      </c>
      <c r="D483" s="33">
        <f>IFERROR(INDEX(Countries[],MATCH(CountryCleanup[[#This Row],[ISO3]],Countries[ISO3],0),3),"")</f>
        <v>659</v>
      </c>
      <c r="E483" t="str">
        <f>IFERROR(INDEX(Countries[],MATCH(CountryCleanup[[#This Row],[ISO3]],Countries[ISO3],0),6),"")</f>
        <v>Saint Kitts and Nevis</v>
      </c>
    </row>
    <row r="484" spans="2:5" x14ac:dyDescent="0.45">
      <c r="B484" t="s">
        <v>2690</v>
      </c>
      <c r="C484" t="s">
        <v>1151</v>
      </c>
      <c r="D484">
        <f>IFERROR(INDEX(Countries[],MATCH(CountryCleanup[[#This Row],[ISO3]],Countries[ISO3],0),3),"")</f>
        <v>659</v>
      </c>
      <c r="E484" t="str">
        <f>IFERROR(INDEX(Countries[],MATCH(CountryCleanup[[#This Row],[ISO3]],Countries[ISO3],0),6),"")</f>
        <v>Saint Kitts and Nevis</v>
      </c>
    </row>
    <row r="485" spans="2:5" x14ac:dyDescent="0.45">
      <c r="B485" t="s">
        <v>2691</v>
      </c>
      <c r="C485" t="s">
        <v>171</v>
      </c>
      <c r="D485">
        <f>IFERROR(INDEX(Countries[],MATCH(CountryCleanup[[#This Row],[ISO3]],Countries[ISO3],0),3),"")</f>
        <v>660</v>
      </c>
      <c r="E485" t="str">
        <f>IFERROR(INDEX(Countries[],MATCH(CountryCleanup[[#This Row],[ISO3]],Countries[ISO3],0),6),"")</f>
        <v>Anguilla</v>
      </c>
    </row>
    <row r="486" spans="2:5" x14ac:dyDescent="0.45">
      <c r="B486" t="s">
        <v>2692</v>
      </c>
      <c r="C486" t="s">
        <v>1156</v>
      </c>
      <c r="D486">
        <f>IFERROR(INDEX(Countries[],MATCH(CountryCleanup[[#This Row],[ISO3]],Countries[ISO3],0),3),"")</f>
        <v>662</v>
      </c>
      <c r="E486" t="str">
        <f>IFERROR(INDEX(Countries[],MATCH(CountryCleanup[[#This Row],[ISO3]],Countries[ISO3],0),6),"")</f>
        <v>Saint Lucia</v>
      </c>
    </row>
    <row r="487" spans="2:5" x14ac:dyDescent="0.45">
      <c r="B487" t="s">
        <v>2693</v>
      </c>
      <c r="C487" t="s">
        <v>1161</v>
      </c>
      <c r="D487">
        <f>IFERROR(INDEX(Countries[],MATCH(CountryCleanup[[#This Row],[ISO3]],Countries[ISO3],0),3),"")</f>
        <v>663</v>
      </c>
      <c r="E487" t="str">
        <f>IFERROR(INDEX(Countries[],MATCH(CountryCleanup[[#This Row],[ISO3]],Countries[ISO3],0),6),"")</f>
        <v>Saint Martin (French Part)</v>
      </c>
    </row>
    <row r="488" spans="2:5" x14ac:dyDescent="0.45">
      <c r="B488" t="s">
        <v>2694</v>
      </c>
      <c r="C488" t="s">
        <v>1167</v>
      </c>
      <c r="D488">
        <f>IFERROR(INDEX(Countries[],MATCH(CountryCleanup[[#This Row],[ISO3]],Countries[ISO3],0),3),"")</f>
        <v>666</v>
      </c>
      <c r="E488" t="str">
        <f>IFERROR(INDEX(Countries[],MATCH(CountryCleanup[[#This Row],[ISO3]],Countries[ISO3],0),6),"")</f>
        <v>Saint Pierre and Miquelon</v>
      </c>
    </row>
    <row r="489" spans="2:5" x14ac:dyDescent="0.45">
      <c r="B489" t="s">
        <v>2695</v>
      </c>
      <c r="C489" t="s">
        <v>1172</v>
      </c>
      <c r="D489">
        <f>IFERROR(INDEX(Countries[],MATCH(CountryCleanup[[#This Row],[ISO3]],Countries[ISO3],0),3),"")</f>
        <v>670</v>
      </c>
      <c r="E489" t="str">
        <f>IFERROR(INDEX(Countries[],MATCH(CountryCleanup[[#This Row],[ISO3]],Countries[ISO3],0),6),"")</f>
        <v>Saint Vincent and the Grenadines</v>
      </c>
    </row>
    <row r="490" spans="2:5" x14ac:dyDescent="0.45">
      <c r="B490" t="s">
        <v>2696</v>
      </c>
      <c r="C490" t="s">
        <v>1185</v>
      </c>
      <c r="D490">
        <f>IFERROR(INDEX(Countries[],MATCH(CountryCleanup[[#This Row],[ISO3]],Countries[ISO3],0),3),"")</f>
        <v>678</v>
      </c>
      <c r="E490" t="str">
        <f>IFERROR(INDEX(Countries[],MATCH(CountryCleanup[[#This Row],[ISO3]],Countries[ISO3],0),6),"")</f>
        <v>Sao Tome and Principe</v>
      </c>
    </row>
    <row r="491" spans="2:5" x14ac:dyDescent="0.45">
      <c r="B491" t="s">
        <v>2697</v>
      </c>
      <c r="C491" t="s">
        <v>1194</v>
      </c>
      <c r="D491">
        <f>IFERROR(INDEX(Countries[],MATCH(CountryCleanup[[#This Row],[ISO3]],Countries[ISO3],0),3),"")</f>
        <v>682</v>
      </c>
      <c r="E491" t="str">
        <f>IFERROR(INDEX(Countries[],MATCH(CountryCleanup[[#This Row],[ISO3]],Countries[ISO3],0),6),"")</f>
        <v>Saudi Arabia</v>
      </c>
    </row>
    <row r="492" spans="2:5" x14ac:dyDescent="0.45">
      <c r="B492" t="s">
        <v>2698</v>
      </c>
      <c r="C492" t="s">
        <v>1200</v>
      </c>
      <c r="D492">
        <f>IFERROR(INDEX(Countries[],MATCH(CountryCleanup[[#This Row],[ISO3]],Countries[ISO3],0),3),"")</f>
        <v>686</v>
      </c>
      <c r="E492" t="str">
        <f>IFERROR(INDEX(Countries[],MATCH(CountryCleanup[[#This Row],[ISO3]],Countries[ISO3],0),6),"")</f>
        <v>Senegal</v>
      </c>
    </row>
    <row r="493" spans="2:5" x14ac:dyDescent="0.45">
      <c r="B493" t="s">
        <v>2699</v>
      </c>
      <c r="C493" t="s">
        <v>1204</v>
      </c>
      <c r="D493">
        <f>IFERROR(INDEX(Countries[],MATCH(CountryCleanup[[#This Row],[ISO3]],Countries[ISO3],0),3),"")</f>
        <v>688</v>
      </c>
      <c r="E493" t="str">
        <f>IFERROR(INDEX(Countries[],MATCH(CountryCleanup[[#This Row],[ISO3]],Countries[ISO3],0),6),"")</f>
        <v>Serbia</v>
      </c>
    </row>
    <row r="494" spans="2:5" x14ac:dyDescent="0.45">
      <c r="B494" t="s">
        <v>2700</v>
      </c>
      <c r="C494" t="s">
        <v>1209</v>
      </c>
      <c r="D494">
        <f>IFERROR(INDEX(Countries[],MATCH(CountryCleanup[[#This Row],[ISO3]],Countries[ISO3],0),3),"")</f>
        <v>690</v>
      </c>
      <c r="E494" t="str">
        <f>IFERROR(INDEX(Countries[],MATCH(CountryCleanup[[#This Row],[ISO3]],Countries[ISO3],0),6),"")</f>
        <v>Seychelles</v>
      </c>
    </row>
    <row r="495" spans="2:5" x14ac:dyDescent="0.45">
      <c r="B495" t="s">
        <v>2701</v>
      </c>
      <c r="C495" t="s">
        <v>1213</v>
      </c>
      <c r="D495">
        <f>IFERROR(INDEX(Countries[],MATCH(CountryCleanup[[#This Row],[ISO3]],Countries[ISO3],0),3),"")</f>
        <v>694</v>
      </c>
      <c r="E495" t="str">
        <f>IFERROR(INDEX(Countries[],MATCH(CountryCleanup[[#This Row],[ISO3]],Countries[ISO3],0),6),"")</f>
        <v>Sierra Leone</v>
      </c>
    </row>
    <row r="496" spans="2:5" x14ac:dyDescent="0.45">
      <c r="B496" t="s">
        <v>2702</v>
      </c>
      <c r="C496" t="s">
        <v>1218</v>
      </c>
      <c r="D496">
        <f>IFERROR(INDEX(Countries[],MATCH(CountryCleanup[[#This Row],[ISO3]],Countries[ISO3],0),3),"")</f>
        <v>702</v>
      </c>
      <c r="E496" t="str">
        <f>IFERROR(INDEX(Countries[],MATCH(CountryCleanup[[#This Row],[ISO3]],Countries[ISO3],0),6),"")</f>
        <v>Singapore</v>
      </c>
    </row>
    <row r="497" spans="2:5" x14ac:dyDescent="0.45">
      <c r="B497" t="s">
        <v>2703</v>
      </c>
      <c r="C497" t="s">
        <v>1230</v>
      </c>
      <c r="D497">
        <f>IFERROR(INDEX(Countries[],MATCH(CountryCleanup[[#This Row],[ISO3]],Countries[ISO3],0),3),"")</f>
        <v>703</v>
      </c>
      <c r="E497" t="str">
        <f>IFERROR(INDEX(Countries[],MATCH(CountryCleanup[[#This Row],[ISO3]],Countries[ISO3],0),6),"")</f>
        <v>Slovakia</v>
      </c>
    </row>
    <row r="498" spans="2:5" x14ac:dyDescent="0.45">
      <c r="B498" t="s">
        <v>2704</v>
      </c>
      <c r="C498" t="s">
        <v>1438</v>
      </c>
      <c r="D498">
        <f>IFERROR(INDEX(Countries[],MATCH(CountryCleanup[[#This Row],[ISO3]],Countries[ISO3],0),3),"")</f>
        <v>704</v>
      </c>
      <c r="E498" t="str">
        <f>IFERROR(INDEX(Countries[],MATCH(CountryCleanup[[#This Row],[ISO3]],Countries[ISO3],0),6),"")</f>
        <v>Viet Nam</v>
      </c>
    </row>
    <row r="499" spans="2:5" x14ac:dyDescent="0.45">
      <c r="B499" t="s">
        <v>2705</v>
      </c>
      <c r="C499" t="s">
        <v>1235</v>
      </c>
      <c r="D499">
        <f>IFERROR(INDEX(Countries[],MATCH(CountryCleanup[[#This Row],[ISO3]],Countries[ISO3],0),3),"")</f>
        <v>705</v>
      </c>
      <c r="E499" t="str">
        <f>IFERROR(INDEX(Countries[],MATCH(CountryCleanup[[#This Row],[ISO3]],Countries[ISO3],0),6),"")</f>
        <v>Slovenia</v>
      </c>
    </row>
    <row r="500" spans="2:5" x14ac:dyDescent="0.45">
      <c r="B500" t="s">
        <v>2706</v>
      </c>
      <c r="C500" t="s">
        <v>1247</v>
      </c>
      <c r="D500">
        <f>IFERROR(INDEX(Countries[],MATCH(CountryCleanup[[#This Row],[ISO3]],Countries[ISO3],0),3),"")</f>
        <v>706</v>
      </c>
      <c r="E500" t="str">
        <f>IFERROR(INDEX(Countries[],MATCH(CountryCleanup[[#This Row],[ISO3]],Countries[ISO3],0),6),"")</f>
        <v>Somalia</v>
      </c>
    </row>
    <row r="501" spans="2:5" x14ac:dyDescent="0.45">
      <c r="B501" t="s">
        <v>2707</v>
      </c>
      <c r="C501" t="s">
        <v>1252</v>
      </c>
      <c r="D501">
        <f>IFERROR(INDEX(Countries[],MATCH(CountryCleanup[[#This Row],[ISO3]],Countries[ISO3],0),3),"")</f>
        <v>710</v>
      </c>
      <c r="E501" t="str">
        <f>IFERROR(INDEX(Countries[],MATCH(CountryCleanup[[#This Row],[ISO3]],Countries[ISO3],0),6),"")</f>
        <v>South Africa</v>
      </c>
    </row>
    <row r="502" spans="2:5" x14ac:dyDescent="0.45">
      <c r="B502" s="32" t="s">
        <v>2992</v>
      </c>
      <c r="C502" t="s">
        <v>2331</v>
      </c>
      <c r="D502" s="33">
        <f>IFERROR(INDEX(Countries[],MATCH(CountryCleanup[[#This Row],[ISO3]],Countries[ISO3],0),3),"")</f>
        <v>18</v>
      </c>
      <c r="E502" t="str">
        <f>IFERROR(INDEX(Countries[],MATCH(CountryCleanup[[#This Row],[ISO3]],Countries[ISO3],0),6),"")</f>
        <v>Southern Africa</v>
      </c>
    </row>
    <row r="503" spans="2:5" x14ac:dyDescent="0.45">
      <c r="B503" t="s">
        <v>2708</v>
      </c>
      <c r="C503" t="s">
        <v>1466</v>
      </c>
      <c r="D503">
        <f>IFERROR(INDEX(Countries[],MATCH(CountryCleanup[[#This Row],[ISO3]],Countries[ISO3],0),3),"")</f>
        <v>716</v>
      </c>
      <c r="E503" t="str">
        <f>IFERROR(INDEX(Countries[],MATCH(CountryCleanup[[#This Row],[ISO3]],Countries[ISO3],0),6),"")</f>
        <v>Zimbabwe</v>
      </c>
    </row>
    <row r="504" spans="2:5" x14ac:dyDescent="0.45">
      <c r="B504" s="32" t="s">
        <v>2993</v>
      </c>
      <c r="C504" t="s">
        <v>856</v>
      </c>
      <c r="D504" s="33">
        <f>IFERROR(INDEX(Countries[],MATCH(CountryCleanup[[#This Row],[ISO3]],Countries[ISO3],0),3),"")</f>
        <v>454</v>
      </c>
      <c r="E504" t="str">
        <f>IFERROR(INDEX(Countries[],MATCH(CountryCleanup[[#This Row],[ISO3]],Countries[ISO3],0),6),"")</f>
        <v>Malawi</v>
      </c>
    </row>
    <row r="505" spans="2:5" x14ac:dyDescent="0.45">
      <c r="B505" s="32" t="s">
        <v>2964</v>
      </c>
      <c r="C505" t="s">
        <v>1456</v>
      </c>
      <c r="D505">
        <f>IFERROR(INDEX(Countries[],MATCH(CountryCleanup[[#This Row],[ISO3]],Countries[ISO3],0),3),"")</f>
        <v>887</v>
      </c>
      <c r="E505" t="str">
        <f>IFERROR(INDEX(Countries[],MATCH(CountryCleanup[[#This Row],[ISO3]],Countries[ISO3],0),6),"")</f>
        <v>Yemen</v>
      </c>
    </row>
    <row r="506" spans="2:5" x14ac:dyDescent="0.45">
      <c r="B506" t="s">
        <v>2709</v>
      </c>
      <c r="C506" t="s">
        <v>1271</v>
      </c>
      <c r="D506">
        <f>IFERROR(INDEX(Countries[],MATCH(CountryCleanup[[#This Row],[ISO3]],Countries[ISO3],0),3),"")</f>
        <v>724</v>
      </c>
      <c r="E506" t="str">
        <f>IFERROR(INDEX(Countries[],MATCH(CountryCleanup[[#This Row],[ISO3]],Countries[ISO3],0),6),"")</f>
        <v>Spain</v>
      </c>
    </row>
    <row r="507" spans="2:5" x14ac:dyDescent="0.45">
      <c r="B507" t="s">
        <v>2710</v>
      </c>
      <c r="C507" t="s">
        <v>1265</v>
      </c>
      <c r="D507">
        <f>IFERROR(INDEX(Countries[],MATCH(CountryCleanup[[#This Row],[ISO3]],Countries[ISO3],0),3),"")</f>
        <v>728</v>
      </c>
      <c r="E507" t="str">
        <f>IFERROR(INDEX(Countries[],MATCH(CountryCleanup[[#This Row],[ISO3]],Countries[ISO3],0),6),"")</f>
        <v>South Sudan</v>
      </c>
    </row>
    <row r="508" spans="2:5" x14ac:dyDescent="0.45">
      <c r="B508" t="s">
        <v>2711</v>
      </c>
      <c r="C508" t="s">
        <v>1285</v>
      </c>
      <c r="D508">
        <f>IFERROR(INDEX(Countries[],MATCH(CountryCleanup[[#This Row],[ISO3]],Countries[ISO3],0),3),"")</f>
        <v>729</v>
      </c>
      <c r="E508" t="str">
        <f>IFERROR(INDEX(Countries[],MATCH(CountryCleanup[[#This Row],[ISO3]],Countries[ISO3],0),6),"")</f>
        <v>Sudan (the)</v>
      </c>
    </row>
    <row r="509" spans="2:5" x14ac:dyDescent="0.45">
      <c r="B509" s="32" t="s">
        <v>2994</v>
      </c>
      <c r="C509" s="5" t="s">
        <v>1448</v>
      </c>
      <c r="D509" s="33">
        <f>IFERROR(INDEX(Countries[],MATCH(CountryCleanup[[#This Row],[ISO3]],Countries[ISO3],0),3),"")</f>
        <v>732</v>
      </c>
      <c r="E509" t="str">
        <f>IFERROR(INDEX(Countries[],MATCH(CountryCleanup[[#This Row],[ISO3]],Countries[ISO3],0),6),"")</f>
        <v>Western Sahara</v>
      </c>
    </row>
    <row r="510" spans="2:5" x14ac:dyDescent="0.45">
      <c r="B510" t="s">
        <v>2712</v>
      </c>
      <c r="C510" t="s">
        <v>1285</v>
      </c>
      <c r="D510">
        <f>IFERROR(INDEX(Countries[],MATCH(CountryCleanup[[#This Row],[ISO3]],Countries[ISO3],0),3),"")</f>
        <v>729</v>
      </c>
      <c r="E510" t="str">
        <f>IFERROR(INDEX(Countries[],MATCH(CountryCleanup[[#This Row],[ISO3]],Countries[ISO3],0),6),"")</f>
        <v>Sudan (the)</v>
      </c>
    </row>
    <row r="511" spans="2:5" x14ac:dyDescent="0.45">
      <c r="B511" t="s">
        <v>2713</v>
      </c>
      <c r="C511" t="s">
        <v>1291</v>
      </c>
      <c r="D511">
        <f>IFERROR(INDEX(Countries[],MATCH(CountryCleanup[[#This Row],[ISO3]],Countries[ISO3],0),3),"")</f>
        <v>740</v>
      </c>
      <c r="E511" t="str">
        <f>IFERROR(INDEX(Countries[],MATCH(CountryCleanup[[#This Row],[ISO3]],Countries[ISO3],0),6),"")</f>
        <v>Suriname</v>
      </c>
    </row>
    <row r="512" spans="2:5" x14ac:dyDescent="0.45">
      <c r="B512" t="s">
        <v>2714</v>
      </c>
      <c r="C512" t="s">
        <v>555</v>
      </c>
      <c r="D512">
        <f>IFERROR(INDEX(Countries[],MATCH(CountryCleanup[[#This Row],[ISO3]],Countries[ISO3],0),3),"")</f>
        <v>748</v>
      </c>
      <c r="E512" t="str">
        <f>IFERROR(INDEX(Countries[],MATCH(CountryCleanup[[#This Row],[ISO3]],Countries[ISO3],0),6),"")</f>
        <v>Eswatini</v>
      </c>
    </row>
    <row r="513" spans="2:5" x14ac:dyDescent="0.45">
      <c r="B513" t="s">
        <v>2715</v>
      </c>
      <c r="C513" t="s">
        <v>1300</v>
      </c>
      <c r="D513">
        <f>IFERROR(INDEX(Countries[],MATCH(CountryCleanup[[#This Row],[ISO3]],Countries[ISO3],0),3),"")</f>
        <v>752</v>
      </c>
      <c r="E513" t="str">
        <f>IFERROR(INDEX(Countries[],MATCH(CountryCleanup[[#This Row],[ISO3]],Countries[ISO3],0),6),"")</f>
        <v>Sweden</v>
      </c>
    </row>
    <row r="514" spans="2:5" x14ac:dyDescent="0.45">
      <c r="B514" t="s">
        <v>2716</v>
      </c>
      <c r="C514" t="s">
        <v>1306</v>
      </c>
      <c r="D514">
        <f>IFERROR(INDEX(Countries[],MATCH(CountryCleanup[[#This Row],[ISO3]],Countries[ISO3],0),3),"")</f>
        <v>756</v>
      </c>
      <c r="E514" t="str">
        <f>IFERROR(INDEX(Countries[],MATCH(CountryCleanup[[#This Row],[ISO3]],Countries[ISO3],0),6),"")</f>
        <v>Switzerland</v>
      </c>
    </row>
    <row r="515" spans="2:5" x14ac:dyDescent="0.45">
      <c r="B515" t="s">
        <v>2717</v>
      </c>
      <c r="C515" t="s">
        <v>1311</v>
      </c>
      <c r="D515">
        <f>IFERROR(INDEX(Countries[],MATCH(CountryCleanup[[#This Row],[ISO3]],Countries[ISO3],0),3),"")</f>
        <v>760</v>
      </c>
      <c r="E515" t="str">
        <f>IFERROR(INDEX(Countries[],MATCH(CountryCleanup[[#This Row],[ISO3]],Countries[ISO3],0),6),"")</f>
        <v>Syrian Arab Republic (the)</v>
      </c>
    </row>
    <row r="516" spans="2:5" x14ac:dyDescent="0.45">
      <c r="B516" t="s">
        <v>2718</v>
      </c>
      <c r="C516" t="s">
        <v>1317</v>
      </c>
      <c r="D516">
        <f>IFERROR(INDEX(Countries[],MATCH(CountryCleanup[[#This Row],[ISO3]],Countries[ISO3],0),3),"")</f>
        <v>762</v>
      </c>
      <c r="E516" t="str">
        <f>IFERROR(INDEX(Countries[],MATCH(CountryCleanup[[#This Row],[ISO3]],Countries[ISO3],0),6),"")</f>
        <v>Tajikistan</v>
      </c>
    </row>
    <row r="517" spans="2:5" x14ac:dyDescent="0.45">
      <c r="B517" t="s">
        <v>2719</v>
      </c>
      <c r="C517" t="s">
        <v>1323</v>
      </c>
      <c r="D517">
        <f>IFERROR(INDEX(Countries[],MATCH(CountryCleanup[[#This Row],[ISO3]],Countries[ISO3],0),3),"")</f>
        <v>764</v>
      </c>
      <c r="E517" t="str">
        <f>IFERROR(INDEX(Countries[],MATCH(CountryCleanup[[#This Row],[ISO3]],Countries[ISO3],0),6),"")</f>
        <v>Thailand</v>
      </c>
    </row>
    <row r="518" spans="2:5" x14ac:dyDescent="0.45">
      <c r="B518" t="s">
        <v>2720</v>
      </c>
      <c r="C518" t="s">
        <v>1332</v>
      </c>
      <c r="D518">
        <f>IFERROR(INDEX(Countries[],MATCH(CountryCleanup[[#This Row],[ISO3]],Countries[ISO3],0),3),"")</f>
        <v>768</v>
      </c>
      <c r="E518" t="str">
        <f>IFERROR(INDEX(Countries[],MATCH(CountryCleanup[[#This Row],[ISO3]],Countries[ISO3],0),6),"")</f>
        <v>Togo</v>
      </c>
    </row>
    <row r="519" spans="2:5" x14ac:dyDescent="0.45">
      <c r="B519" t="s">
        <v>2721</v>
      </c>
      <c r="C519" t="s">
        <v>1339</v>
      </c>
      <c r="D519">
        <f>IFERROR(INDEX(Countries[],MATCH(CountryCleanup[[#This Row],[ISO3]],Countries[ISO3],0),3),"")</f>
        <v>776</v>
      </c>
      <c r="E519" t="str">
        <f>IFERROR(INDEX(Countries[],MATCH(CountryCleanup[[#This Row],[ISO3]],Countries[ISO3],0),6),"")</f>
        <v>Tonga</v>
      </c>
    </row>
    <row r="520" spans="2:5" x14ac:dyDescent="0.45">
      <c r="B520" t="s">
        <v>2722</v>
      </c>
      <c r="C520" t="s">
        <v>1343</v>
      </c>
      <c r="D520">
        <f>IFERROR(INDEX(Countries[],MATCH(CountryCleanup[[#This Row],[ISO3]],Countries[ISO3],0),3),"")</f>
        <v>780</v>
      </c>
      <c r="E520" t="str">
        <f>IFERROR(INDEX(Countries[],MATCH(CountryCleanup[[#This Row],[ISO3]],Countries[ISO3],0),6),"")</f>
        <v>Trinidad and Tobago</v>
      </c>
    </row>
    <row r="521" spans="2:5" x14ac:dyDescent="0.45">
      <c r="B521" t="s">
        <v>2723</v>
      </c>
      <c r="C521" t="s">
        <v>1383</v>
      </c>
      <c r="D521">
        <f>IFERROR(INDEX(Countries[],MATCH(CountryCleanup[[#This Row],[ISO3]],Countries[ISO3],0),3),"")</f>
        <v>784</v>
      </c>
      <c r="E521" t="str">
        <f>IFERROR(INDEX(Countries[],MATCH(CountryCleanup[[#This Row],[ISO3]],Countries[ISO3],0),6),"")</f>
        <v>United Arab Emirates (the)</v>
      </c>
    </row>
    <row r="522" spans="2:5" x14ac:dyDescent="0.45">
      <c r="B522" t="s">
        <v>2724</v>
      </c>
      <c r="C522" t="s">
        <v>1349</v>
      </c>
      <c r="D522">
        <f>IFERROR(INDEX(Countries[],MATCH(CountryCleanup[[#This Row],[ISO3]],Countries[ISO3],0),3),"")</f>
        <v>788</v>
      </c>
      <c r="E522" t="str">
        <f>IFERROR(INDEX(Countries[],MATCH(CountryCleanup[[#This Row],[ISO3]],Countries[ISO3],0),6),"")</f>
        <v>Tunisia</v>
      </c>
    </row>
    <row r="523" spans="2:5" x14ac:dyDescent="0.45">
      <c r="B523" t="s">
        <v>2725</v>
      </c>
      <c r="C523" t="s">
        <v>1355</v>
      </c>
      <c r="D523">
        <f>IFERROR(INDEX(Countries[],MATCH(CountryCleanup[[#This Row],[ISO3]],Countries[ISO3],0),3),"")</f>
        <v>792</v>
      </c>
      <c r="E523" t="str">
        <f>IFERROR(INDEX(Countries[],MATCH(CountryCleanup[[#This Row],[ISO3]],Countries[ISO3],0),6),"")</f>
        <v>Türkiye</v>
      </c>
    </row>
    <row r="524" spans="2:5" x14ac:dyDescent="0.45">
      <c r="B524" t="s">
        <v>2726</v>
      </c>
      <c r="C524" t="s">
        <v>1359</v>
      </c>
      <c r="D524">
        <f>IFERROR(INDEX(Countries[],MATCH(CountryCleanup[[#This Row],[ISO3]],Countries[ISO3],0),3),"")</f>
        <v>795</v>
      </c>
      <c r="E524" t="str">
        <f>IFERROR(INDEX(Countries[],MATCH(CountryCleanup[[#This Row],[ISO3]],Countries[ISO3],0),6),"")</f>
        <v>Turkmenistan</v>
      </c>
    </row>
    <row r="525" spans="2:5" x14ac:dyDescent="0.45">
      <c r="B525" t="s">
        <v>2727</v>
      </c>
      <c r="C525" t="s">
        <v>1365</v>
      </c>
      <c r="D525">
        <f>IFERROR(INDEX(Countries[],MATCH(CountryCleanup[[#This Row],[ISO3]],Countries[ISO3],0),3),"")</f>
        <v>796</v>
      </c>
      <c r="E525" t="str">
        <f>IFERROR(INDEX(Countries[],MATCH(CountryCleanup[[#This Row],[ISO3]],Countries[ISO3],0),6),"")</f>
        <v>Turks and Caicos Islands</v>
      </c>
    </row>
    <row r="526" spans="2:5" x14ac:dyDescent="0.45">
      <c r="B526" t="s">
        <v>2728</v>
      </c>
      <c r="C526" t="s">
        <v>1370</v>
      </c>
      <c r="D526">
        <f>IFERROR(INDEX(Countries[],MATCH(CountryCleanup[[#This Row],[ISO3]],Countries[ISO3],0),3),"")</f>
        <v>798</v>
      </c>
      <c r="E526" t="str">
        <f>IFERROR(INDEX(Countries[],MATCH(CountryCleanup[[#This Row],[ISO3]],Countries[ISO3],0),6),"")</f>
        <v>Tuvalu</v>
      </c>
    </row>
    <row r="527" spans="2:5" x14ac:dyDescent="0.45">
      <c r="B527" t="s">
        <v>2729</v>
      </c>
      <c r="C527" t="s">
        <v>1373</v>
      </c>
      <c r="D527">
        <f>IFERROR(INDEX(Countries[],MATCH(CountryCleanup[[#This Row],[ISO3]],Countries[ISO3],0),3),"")</f>
        <v>800</v>
      </c>
      <c r="E527" t="str">
        <f>IFERROR(INDEX(Countries[],MATCH(CountryCleanup[[#This Row],[ISO3]],Countries[ISO3],0),6),"")</f>
        <v>Uganda</v>
      </c>
    </row>
    <row r="528" spans="2:5" x14ac:dyDescent="0.45">
      <c r="B528" t="s">
        <v>2730</v>
      </c>
      <c r="C528" t="s">
        <v>1378</v>
      </c>
      <c r="D528">
        <f>IFERROR(INDEX(Countries[],MATCH(CountryCleanup[[#This Row],[ISO3]],Countries[ISO3],0),3),"")</f>
        <v>804</v>
      </c>
      <c r="E528" t="str">
        <f>IFERROR(INDEX(Countries[],MATCH(CountryCleanup[[#This Row],[ISO3]],Countries[ISO3],0),6),"")</f>
        <v>Ukraine</v>
      </c>
    </row>
    <row r="529" spans="2:5" x14ac:dyDescent="0.45">
      <c r="B529" t="s">
        <v>2731</v>
      </c>
      <c r="C529" t="s">
        <v>1090</v>
      </c>
      <c r="D529">
        <f>IFERROR(INDEX(Countries[],MATCH(CountryCleanup[[#This Row],[ISO3]],Countries[ISO3],0),3),"")</f>
        <v>807</v>
      </c>
      <c r="E529" t="str">
        <f>IFERROR(INDEX(Countries[],MATCH(CountryCleanup[[#This Row],[ISO3]],Countries[ISO3],0),6),"")</f>
        <v>North Macedonia</v>
      </c>
    </row>
    <row r="530" spans="2:5" x14ac:dyDescent="0.45">
      <c r="B530" s="32" t="s">
        <v>2965</v>
      </c>
      <c r="C530" t="s">
        <v>1129</v>
      </c>
      <c r="D530">
        <f>IFERROR(INDEX(Countries[],MATCH(CountryCleanup[[#This Row],[ISO3]],Countries[ISO3],0),3),"")</f>
        <v>643</v>
      </c>
      <c r="E530" t="str">
        <f>IFERROR(INDEX(Countries[],MATCH(CountryCleanup[[#This Row],[ISO3]],Countries[ISO3],0),6),"")</f>
        <v>Russian Federation (the)</v>
      </c>
    </row>
    <row r="531" spans="2:5" x14ac:dyDescent="0.45">
      <c r="B531" t="s">
        <v>2732</v>
      </c>
      <c r="C531" t="s">
        <v>531</v>
      </c>
      <c r="D531">
        <f>IFERROR(INDEX(Countries[],MATCH(CountryCleanup[[#This Row],[ISO3]],Countries[ISO3],0),3),"")</f>
        <v>818</v>
      </c>
      <c r="E531" t="str">
        <f>IFERROR(INDEX(Countries[],MATCH(CountryCleanup[[#This Row],[ISO3]],Countries[ISO3],0),6),"")</f>
        <v>Egypt</v>
      </c>
    </row>
    <row r="532" spans="2:5" x14ac:dyDescent="0.45">
      <c r="B532" t="s">
        <v>2733</v>
      </c>
      <c r="C532" t="s">
        <v>1389</v>
      </c>
      <c r="D532">
        <f>IFERROR(INDEX(Countries[],MATCH(CountryCleanup[[#This Row],[ISO3]],Countries[ISO3],0),3),"")</f>
        <v>826</v>
      </c>
      <c r="E532" t="str">
        <f>IFERROR(INDEX(Countries[],MATCH(CountryCleanup[[#This Row],[ISO3]],Countries[ISO3],0),6),"")</f>
        <v>United Kingdom of Great Britain and Northern Ireland (the)</v>
      </c>
    </row>
    <row r="533" spans="2:5" x14ac:dyDescent="0.45">
      <c r="B533" t="s">
        <v>2734</v>
      </c>
      <c r="C533" t="s">
        <v>671</v>
      </c>
      <c r="D533">
        <f>IFERROR(INDEX(Countries[],MATCH(CountryCleanup[[#This Row],[ISO3]],Countries[ISO3],0),3),"")</f>
        <v>831</v>
      </c>
      <c r="E533" t="str">
        <f>IFERROR(INDEX(Countries[],MATCH(CountryCleanup[[#This Row],[ISO3]],Countries[ISO3],0),6),"")</f>
        <v>Guernsey</v>
      </c>
    </row>
    <row r="534" spans="2:5" x14ac:dyDescent="0.45">
      <c r="B534" t="s">
        <v>2735</v>
      </c>
      <c r="C534" t="s">
        <v>771</v>
      </c>
      <c r="D534">
        <f>IFERROR(INDEX(Countries[],MATCH(CountryCleanup[[#This Row],[ISO3]],Countries[ISO3],0),3),"")</f>
        <v>832</v>
      </c>
      <c r="E534" t="str">
        <f>IFERROR(INDEX(Countries[],MATCH(CountryCleanup[[#This Row],[ISO3]],Countries[ISO3],0),6),"")</f>
        <v>Jersey</v>
      </c>
    </row>
    <row r="535" spans="2:5" x14ac:dyDescent="0.45">
      <c r="B535" t="s">
        <v>2736</v>
      </c>
      <c r="C535" t="s">
        <v>745</v>
      </c>
      <c r="D535">
        <f>IFERROR(INDEX(Countries[],MATCH(CountryCleanup[[#This Row],[ISO3]],Countries[ISO3],0),3),"")</f>
        <v>833</v>
      </c>
      <c r="E535" t="str">
        <f>IFERROR(INDEX(Countries[],MATCH(CountryCleanup[[#This Row],[ISO3]],Countries[ISO3],0),6),"")</f>
        <v>Isle of Man</v>
      </c>
    </row>
    <row r="536" spans="2:5" x14ac:dyDescent="0.45">
      <c r="B536" t="s">
        <v>2737</v>
      </c>
      <c r="C536" t="s">
        <v>1395</v>
      </c>
      <c r="D536">
        <f>IFERROR(INDEX(Countries[],MATCH(CountryCleanup[[#This Row],[ISO3]],Countries[ISO3],0),3),"")</f>
        <v>834</v>
      </c>
      <c r="E536" t="str">
        <f>IFERROR(INDEX(Countries[],MATCH(CountryCleanup[[#This Row],[ISO3]],Countries[ISO3],0),6),"")</f>
        <v>United Republic of Tanzania (the)</v>
      </c>
    </row>
    <row r="537" spans="2:5" x14ac:dyDescent="0.45">
      <c r="B537" s="32" t="s">
        <v>2995</v>
      </c>
      <c r="C537" t="s">
        <v>1395</v>
      </c>
      <c r="D537" s="33">
        <f>IFERROR(INDEX(Countries[],MATCH(CountryCleanup[[#This Row],[ISO3]],Countries[ISO3],0),3),"")</f>
        <v>834</v>
      </c>
      <c r="E537" t="str">
        <f>IFERROR(INDEX(Countries[],MATCH(CountryCleanup[[#This Row],[ISO3]],Countries[ISO3],0),6),"")</f>
        <v>United Republic of Tanzania (the)</v>
      </c>
    </row>
    <row r="538" spans="2:5" x14ac:dyDescent="0.45">
      <c r="B538" s="32" t="s">
        <v>2996</v>
      </c>
      <c r="C538" t="s">
        <v>1395</v>
      </c>
      <c r="D538" s="33">
        <f>IFERROR(INDEX(Countries[],MATCH(CountryCleanup[[#This Row],[ISO3]],Countries[ISO3],0),3),"")</f>
        <v>834</v>
      </c>
      <c r="E538" t="str">
        <f>IFERROR(INDEX(Countries[],MATCH(CountryCleanup[[#This Row],[ISO3]],Countries[ISO3],0),6),"")</f>
        <v>United Republic of Tanzania (the)</v>
      </c>
    </row>
    <row r="539" spans="2:5" x14ac:dyDescent="0.45">
      <c r="B539" t="s">
        <v>2738</v>
      </c>
      <c r="C539" t="s">
        <v>1406</v>
      </c>
      <c r="D539">
        <f>IFERROR(INDEX(Countries[],MATCH(CountryCleanup[[#This Row],[ISO3]],Countries[ISO3],0),3),"")</f>
        <v>840</v>
      </c>
      <c r="E539" t="str">
        <f>IFERROR(INDEX(Countries[],MATCH(CountryCleanup[[#This Row],[ISO3]],Countries[ISO3],0),6),"")</f>
        <v>United States of America (the)</v>
      </c>
    </row>
    <row r="540" spans="2:5" x14ac:dyDescent="0.45">
      <c r="B540" t="s">
        <v>2739</v>
      </c>
      <c r="C540" t="s">
        <v>1411</v>
      </c>
      <c r="D540">
        <f>IFERROR(INDEX(Countries[],MATCH(CountryCleanup[[#This Row],[ISO3]],Countries[ISO3],0),3),"")</f>
        <v>850</v>
      </c>
      <c r="E540" t="str">
        <f>IFERROR(INDEX(Countries[],MATCH(CountryCleanup[[#This Row],[ISO3]],Countries[ISO3],0),6),"")</f>
        <v>United States Virgin Islands</v>
      </c>
    </row>
    <row r="541" spans="2:5" x14ac:dyDescent="0.45">
      <c r="B541" t="s">
        <v>2740</v>
      </c>
      <c r="C541" t="s">
        <v>346</v>
      </c>
      <c r="D541">
        <f>IFERROR(INDEX(Countries[],MATCH(CountryCleanup[[#This Row],[ISO3]],Countries[ISO3],0),3),"")</f>
        <v>854</v>
      </c>
      <c r="E541" t="str">
        <f>IFERROR(INDEX(Countries[],MATCH(CountryCleanup[[#This Row],[ISO3]],Countries[ISO3],0),6),"")</f>
        <v>Burkina Faso</v>
      </c>
    </row>
    <row r="542" spans="2:5" x14ac:dyDescent="0.45">
      <c r="B542" t="s">
        <v>2741</v>
      </c>
      <c r="C542" t="s">
        <v>1418</v>
      </c>
      <c r="D542">
        <f>IFERROR(INDEX(Countries[],MATCH(CountryCleanup[[#This Row],[ISO3]],Countries[ISO3],0),3),"")</f>
        <v>858</v>
      </c>
      <c r="E542" t="str">
        <f>IFERROR(INDEX(Countries[],MATCH(CountryCleanup[[#This Row],[ISO3]],Countries[ISO3],0),6),"")</f>
        <v>Uruguay</v>
      </c>
    </row>
    <row r="543" spans="2:5" x14ac:dyDescent="0.45">
      <c r="B543" t="s">
        <v>2742</v>
      </c>
      <c r="C543" t="s">
        <v>1422</v>
      </c>
      <c r="D543">
        <f>IFERROR(INDEX(Countries[],MATCH(CountryCleanup[[#This Row],[ISO3]],Countries[ISO3],0),3),"")</f>
        <v>860</v>
      </c>
      <c r="E543" t="str">
        <f>IFERROR(INDEX(Countries[],MATCH(CountryCleanup[[#This Row],[ISO3]],Countries[ISO3],0),6),"")</f>
        <v>Uzbekistan</v>
      </c>
    </row>
    <row r="544" spans="2:5" x14ac:dyDescent="0.45">
      <c r="B544" t="s">
        <v>2743</v>
      </c>
      <c r="C544" t="s">
        <v>1432</v>
      </c>
      <c r="D544">
        <f>IFERROR(INDEX(Countries[],MATCH(CountryCleanup[[#This Row],[ISO3]],Countries[ISO3],0),3),"")</f>
        <v>862</v>
      </c>
      <c r="E544" t="str">
        <f>IFERROR(INDEX(Countries[],MATCH(CountryCleanup[[#This Row],[ISO3]],Countries[ISO3],0),6),"")</f>
        <v>Venezuela (Bolivarian Republic of)</v>
      </c>
    </row>
    <row r="545" spans="2:5" x14ac:dyDescent="0.45">
      <c r="B545" s="32" t="s">
        <v>2997</v>
      </c>
      <c r="C545" t="s">
        <v>1438</v>
      </c>
      <c r="D545" s="33">
        <f>IFERROR(INDEX(Countries[],MATCH(CountryCleanup[[#This Row],[ISO3]],Countries[ISO3],0),3),"")</f>
        <v>704</v>
      </c>
      <c r="E545" t="str">
        <f>IFERROR(INDEX(Countries[],MATCH(CountryCleanup[[#This Row],[ISO3]],Countries[ISO3],0),6),"")</f>
        <v>Viet Nam</v>
      </c>
    </row>
    <row r="546" spans="2:5" x14ac:dyDescent="0.45">
      <c r="B546" t="s">
        <v>2744</v>
      </c>
      <c r="C546" t="s">
        <v>1442</v>
      </c>
      <c r="D546">
        <f>IFERROR(INDEX(Countries[],MATCH(CountryCleanup[[#This Row],[ISO3]],Countries[ISO3],0),3),"")</f>
        <v>876</v>
      </c>
      <c r="E546" t="str">
        <f>IFERROR(INDEX(Countries[],MATCH(CountryCleanup[[#This Row],[ISO3]],Countries[ISO3],0),6),"")</f>
        <v>Wallis and Futuna Islands</v>
      </c>
    </row>
    <row r="547" spans="2:5" x14ac:dyDescent="0.45">
      <c r="B547" t="s">
        <v>2745</v>
      </c>
      <c r="C547" t="s">
        <v>1177</v>
      </c>
      <c r="D547">
        <f>IFERROR(INDEX(Countries[],MATCH(CountryCleanup[[#This Row],[ISO3]],Countries[ISO3],0),3),"")</f>
        <v>882</v>
      </c>
      <c r="E547" t="str">
        <f>IFERROR(INDEX(Countries[],MATCH(CountryCleanup[[#This Row],[ISO3]],Countries[ISO3],0),6),"")</f>
        <v>Samoa</v>
      </c>
    </row>
    <row r="548" spans="2:5" x14ac:dyDescent="0.45">
      <c r="B548" s="32" t="s">
        <v>2966</v>
      </c>
      <c r="C548" t="s">
        <v>1456</v>
      </c>
      <c r="D548">
        <f>IFERROR(INDEX(Countries[],MATCH(CountryCleanup[[#This Row],[ISO3]],Countries[ISO3],0),3),"")</f>
        <v>887</v>
      </c>
      <c r="E548" t="str">
        <f>IFERROR(INDEX(Countries[],MATCH(CountryCleanup[[#This Row],[ISO3]],Countries[ISO3],0),6),"")</f>
        <v>Yemen</v>
      </c>
    </row>
    <row r="549" spans="2:5" x14ac:dyDescent="0.45">
      <c r="B549" t="s">
        <v>2746</v>
      </c>
      <c r="C549" t="s">
        <v>1456</v>
      </c>
      <c r="D549">
        <f>IFERROR(INDEX(Countries[],MATCH(CountryCleanup[[#This Row],[ISO3]],Countries[ISO3],0),3),"")</f>
        <v>887</v>
      </c>
      <c r="E549" t="str">
        <f>IFERROR(INDEX(Countries[],MATCH(CountryCleanup[[#This Row],[ISO3]],Countries[ISO3],0),6),"")</f>
        <v>Yemen</v>
      </c>
    </row>
    <row r="550" spans="2:5" x14ac:dyDescent="0.45">
      <c r="B550" s="32" t="s">
        <v>2967</v>
      </c>
      <c r="C550" t="s">
        <v>1090</v>
      </c>
      <c r="D550">
        <f>IFERROR(INDEX(Countries[],MATCH(CountryCleanup[[#This Row],[ISO3]],Countries[ISO3],0),3),"")</f>
        <v>807</v>
      </c>
      <c r="E550" t="str">
        <f>IFERROR(INDEX(Countries[],MATCH(CountryCleanup[[#This Row],[ISO3]],Countries[ISO3],0),6),"")</f>
        <v>North Macedonia</v>
      </c>
    </row>
    <row r="551" spans="2:5" x14ac:dyDescent="0.45">
      <c r="B551" t="s">
        <v>2747</v>
      </c>
      <c r="C551" t="s">
        <v>924</v>
      </c>
      <c r="D551">
        <f>IFERROR(INDEX(Countries[],MATCH(CountryCleanup[[#This Row],[ISO3]],Countries[ISO3],0),3),"")</f>
        <v>499</v>
      </c>
      <c r="E551" t="str">
        <f>IFERROR(INDEX(Countries[],MATCH(CountryCleanup[[#This Row],[ISO3]],Countries[ISO3],0),6),"")</f>
        <v>Montenegro</v>
      </c>
    </row>
    <row r="552" spans="2:5" x14ac:dyDescent="0.45">
      <c r="B552" t="s">
        <v>2748</v>
      </c>
      <c r="C552" t="s">
        <v>1461</v>
      </c>
      <c r="D552">
        <f>IFERROR(INDEX(Countries[],MATCH(CountryCleanup[[#This Row],[ISO3]],Countries[ISO3],0),3),"")</f>
        <v>894</v>
      </c>
      <c r="E552" t="str">
        <f>IFERROR(INDEX(Countries[],MATCH(CountryCleanup[[#This Row],[ISO3]],Countries[ISO3],0),6),"")</f>
        <v>Zambia</v>
      </c>
    </row>
    <row r="553" spans="2:5" x14ac:dyDescent="0.45">
      <c r="B553" t="s">
        <v>2789</v>
      </c>
      <c r="C553" s="3" t="s">
        <v>1383</v>
      </c>
      <c r="D553">
        <f>IFERROR(INDEX(Countries[],MATCH(CountryCleanup[[#This Row],[ISO3]],Countries[ISO3],0),3),"")</f>
        <v>784</v>
      </c>
      <c r="E553" t="str">
        <f>IFERROR(INDEX(Countries[],MATCH(CountryCleanup[[#This Row],[ISO3]],Countries[ISO3],0),6),"")</f>
        <v>United Arab Emirates (the)</v>
      </c>
    </row>
    <row r="554" spans="2:5" x14ac:dyDescent="0.45">
      <c r="B554" t="s">
        <v>98</v>
      </c>
      <c r="C554" t="s">
        <v>97</v>
      </c>
      <c r="D554">
        <f>IFERROR(INDEX(Countries[],MATCH(CountryCleanup[[#This Row],[ISO3]],Countries[ISO3],0),3),"")</f>
        <v>4</v>
      </c>
      <c r="E554" t="str">
        <f>IFERROR(INDEX(Countries[],MATCH(CountryCleanup[[#This Row],[ISO3]],Countries[ISO3],0),6),"")</f>
        <v>Afghanistan</v>
      </c>
    </row>
    <row r="555" spans="2:5" x14ac:dyDescent="0.45">
      <c r="B555" t="s">
        <v>116</v>
      </c>
      <c r="C555" s="3" t="s">
        <v>115</v>
      </c>
      <c r="D555">
        <f>IFERROR(INDEX(Countries[],MATCH(CountryCleanup[[#This Row],[ISO3]],Countries[ISO3],0),3),"")</f>
        <v>2</v>
      </c>
      <c r="E555" t="str">
        <f>IFERROR(INDEX(Countries[],MATCH(CountryCleanup[[#This Row],[ISO3]],Countries[ISO3],0),6),"")</f>
        <v>Africa</v>
      </c>
    </row>
    <row r="556" spans="2:5" x14ac:dyDescent="0.45">
      <c r="B556" t="s">
        <v>2195</v>
      </c>
      <c r="C556" s="3" t="s">
        <v>115</v>
      </c>
      <c r="D556">
        <f>IFERROR(INDEX(Countries[],MATCH(CountryCleanup[[#This Row],[ISO3]],Countries[ISO3],0),3),"")</f>
        <v>2</v>
      </c>
      <c r="E556" t="str">
        <f>IFERROR(INDEX(Countries[],MATCH(CountryCleanup[[#This Row],[ISO3]],Countries[ISO3],0),6),"")</f>
        <v>Africa</v>
      </c>
    </row>
    <row r="557" spans="2:5" x14ac:dyDescent="0.45">
      <c r="B557" t="s">
        <v>1544</v>
      </c>
      <c r="C557" s="3" t="s">
        <v>115</v>
      </c>
      <c r="D557">
        <f>IFERROR(INDEX(Countries[],MATCH(CountryCleanup[[#This Row],[ISO3]],Countries[ISO3],0),3),"")</f>
        <v>2</v>
      </c>
      <c r="E557" t="str">
        <f>IFERROR(INDEX(Countries[],MATCH(CountryCleanup[[#This Row],[ISO3]],Countries[ISO3],0),6),"")</f>
        <v>Africa</v>
      </c>
    </row>
    <row r="558" spans="2:5" x14ac:dyDescent="0.45">
      <c r="B558" t="s">
        <v>1545</v>
      </c>
      <c r="C558" t="s">
        <v>367</v>
      </c>
      <c r="D558">
        <f>IFERROR(INDEX(Countries[],MATCH(CountryCleanup[[#This Row],[ISO3]],Countries[ISO3],0),3),"")</f>
        <v>99039</v>
      </c>
      <c r="E558" t="str">
        <f>IFERROR(INDEX(Countries[],MATCH(CountryCleanup[[#This Row],[ISO3]],Countries[ISO3],0),6),"")</f>
        <v>Residual/unallocated: Sub-Saharan Africa</v>
      </c>
    </row>
    <row r="559" spans="2:5" x14ac:dyDescent="0.45">
      <c r="B559" t="s">
        <v>2845</v>
      </c>
      <c r="C559" s="5" t="s">
        <v>122</v>
      </c>
      <c r="D559">
        <f>IFERROR(INDEX(Countries[],MATCH(CountryCleanup[[#This Row],[ISO3]],Countries[ISO3],0),3),"")</f>
        <v>248</v>
      </c>
      <c r="E559" t="str">
        <f>IFERROR(INDEX(Countries[],MATCH(CountryCleanup[[#This Row],[ISO3]],Countries[ISO3],0),6),"")</f>
        <v>Åland Islands</v>
      </c>
    </row>
    <row r="560" spans="2:5" x14ac:dyDescent="0.45">
      <c r="B560" s="5" t="s">
        <v>123</v>
      </c>
      <c r="C560" s="5" t="s">
        <v>122</v>
      </c>
      <c r="D560">
        <f>IFERROR(INDEX(Countries[],MATCH(CountryCleanup[[#This Row],[ISO3]],Countries[ISO3],0),3),"")</f>
        <v>248</v>
      </c>
      <c r="E560" t="str">
        <f>IFERROR(INDEX(Countries[],MATCH(CountryCleanup[[#This Row],[ISO3]],Countries[ISO3],0),6),"")</f>
        <v>Åland Islands</v>
      </c>
    </row>
    <row r="561" spans="2:5" x14ac:dyDescent="0.45">
      <c r="B561" t="s">
        <v>124</v>
      </c>
      <c r="C561" t="s">
        <v>122</v>
      </c>
      <c r="D561">
        <f>IFERROR(INDEX(Countries[],MATCH(CountryCleanup[[#This Row],[ISO3]],Countries[ISO3],0),3),"")</f>
        <v>248</v>
      </c>
      <c r="E561" t="str">
        <f>IFERROR(INDEX(Countries[],MATCH(CountryCleanup[[#This Row],[ISO3]],Countries[ISO3],0),6),"")</f>
        <v>Åland Islands</v>
      </c>
    </row>
    <row r="562" spans="2:5" x14ac:dyDescent="0.45">
      <c r="B562" t="s">
        <v>2814</v>
      </c>
      <c r="C562" t="s">
        <v>1406</v>
      </c>
      <c r="D562">
        <f>IFERROR(INDEX(Countries[],MATCH(CountryCleanup[[#This Row],[ISO3]],Countries[ISO3],0),3),"")</f>
        <v>840</v>
      </c>
      <c r="E562" t="str">
        <f>IFERROR(INDEX(Countries[],MATCH(CountryCleanup[[#This Row],[ISO3]],Countries[ISO3],0),6),"")</f>
        <v>United States of America (the)</v>
      </c>
    </row>
    <row r="563" spans="2:5" x14ac:dyDescent="0.45">
      <c r="B563" t="s">
        <v>135</v>
      </c>
      <c r="C563" t="s">
        <v>134</v>
      </c>
      <c r="D563">
        <f>IFERROR(INDEX(Countries[],MATCH(CountryCleanup[[#This Row],[ISO3]],Countries[ISO3],0),3),"")</f>
        <v>8</v>
      </c>
      <c r="E563" t="str">
        <f>IFERROR(INDEX(Countries[],MATCH(CountryCleanup[[#This Row],[ISO3]],Countries[ISO3],0),6),"")</f>
        <v>Albania</v>
      </c>
    </row>
    <row r="564" spans="2:5" x14ac:dyDescent="0.45">
      <c r="B564" t="s">
        <v>1991</v>
      </c>
      <c r="C564" s="3" t="s">
        <v>134</v>
      </c>
      <c r="D564">
        <f>IFERROR(INDEX(Countries[],MATCH(CountryCleanup[[#This Row],[ISO3]],Countries[ISO3],0),3),"")</f>
        <v>8</v>
      </c>
      <c r="E564" t="str">
        <f>IFERROR(INDEX(Countries[],MATCH(CountryCleanup[[#This Row],[ISO3]],Countries[ISO3],0),6),"")</f>
        <v>Albania</v>
      </c>
    </row>
    <row r="565" spans="2:5" x14ac:dyDescent="0.45">
      <c r="B565" t="s">
        <v>142</v>
      </c>
      <c r="C565" t="s">
        <v>141</v>
      </c>
      <c r="D565">
        <f>IFERROR(INDEX(Countries[],MATCH(CountryCleanup[[#This Row],[ISO3]],Countries[ISO3],0),3),"")</f>
        <v>12</v>
      </c>
      <c r="E565" t="str">
        <f>IFERROR(INDEX(Countries[],MATCH(CountryCleanup[[#This Row],[ISO3]],Countries[ISO3],0),6),"")</f>
        <v>Algeria</v>
      </c>
    </row>
    <row r="566" spans="2:5" x14ac:dyDescent="0.45">
      <c r="B566" t="s">
        <v>2224</v>
      </c>
      <c r="C566" t="s">
        <v>141</v>
      </c>
      <c r="D566">
        <f>IFERROR(INDEX(Countries[],MATCH(CountryCleanup[[#This Row],[ISO3]],Countries[ISO3],0),3),"")</f>
        <v>12</v>
      </c>
      <c r="E566" t="str">
        <f>IFERROR(INDEX(Countries[],MATCH(CountryCleanup[[#This Row],[ISO3]],Countries[ISO3],0),6),"")</f>
        <v>Algeria</v>
      </c>
    </row>
    <row r="567" spans="2:5" x14ac:dyDescent="0.45">
      <c r="B567" s="5" t="s">
        <v>1546</v>
      </c>
      <c r="C567" s="5" t="s">
        <v>149</v>
      </c>
      <c r="D567">
        <f>IFERROR(INDEX(Countries[],MATCH(CountryCleanup[[#This Row],[ISO3]],Countries[ISO3],0),3),"")</f>
        <v>16</v>
      </c>
      <c r="E567" t="str">
        <f>IFERROR(INDEX(Countries[],MATCH(CountryCleanup[[#This Row],[ISO3]],Countries[ISO3],0),6),"")</f>
        <v>American Samoa</v>
      </c>
    </row>
    <row r="568" spans="2:5" x14ac:dyDescent="0.45">
      <c r="B568" t="s">
        <v>1547</v>
      </c>
      <c r="C568" s="3" t="s">
        <v>1917</v>
      </c>
      <c r="D568">
        <f>IFERROR(INDEX(Countries[],MATCH(CountryCleanup[[#This Row],[ISO3]],Countries[ISO3],0),3),"")</f>
        <v>99037</v>
      </c>
      <c r="E568" t="str">
        <f>IFERROR(INDEX(Countries[],MATCH(CountryCleanup[[#This Row],[ISO3]],Countries[ISO3],0),6),"")</f>
        <v>Residual/unallocated: Latin America and the Caribbean</v>
      </c>
    </row>
    <row r="569" spans="2:5" x14ac:dyDescent="0.45">
      <c r="B569" t="s">
        <v>150</v>
      </c>
      <c r="C569" t="s">
        <v>149</v>
      </c>
      <c r="D569">
        <f>IFERROR(INDEX(Countries[],MATCH(CountryCleanup[[#This Row],[ISO3]],Countries[ISO3],0),3),"")</f>
        <v>16</v>
      </c>
      <c r="E569" t="str">
        <f>IFERROR(INDEX(Countries[],MATCH(CountryCleanup[[#This Row],[ISO3]],Countries[ISO3],0),6),"")</f>
        <v>American Samoa</v>
      </c>
    </row>
    <row r="570" spans="2:5" x14ac:dyDescent="0.45">
      <c r="B570" t="s">
        <v>2815</v>
      </c>
      <c r="C570" t="s">
        <v>596</v>
      </c>
      <c r="D570">
        <f>IFERROR(INDEX(Countries[],MATCH(CountryCleanup[[#This Row],[ISO3]],Countries[ISO3],0),3),"")</f>
        <v>250</v>
      </c>
      <c r="E570" t="str">
        <f>IFERROR(INDEX(Countries[],MATCH(CountryCleanup[[#This Row],[ISO3]],Countries[ISO3],0),6),"")</f>
        <v>France</v>
      </c>
    </row>
    <row r="571" spans="2:5" x14ac:dyDescent="0.45">
      <c r="B571" t="s">
        <v>2816</v>
      </c>
      <c r="C571" t="s">
        <v>721</v>
      </c>
      <c r="D571">
        <f>IFERROR(INDEX(Countries[],MATCH(CountryCleanup[[#This Row],[ISO3]],Countries[ISO3],0),3),"")</f>
        <v>356</v>
      </c>
      <c r="E571" t="str">
        <f>IFERROR(INDEX(Countries[],MATCH(CountryCleanup[[#This Row],[ISO3]],Countries[ISO3],0),6),"")</f>
        <v>India</v>
      </c>
    </row>
    <row r="572" spans="2:5" x14ac:dyDescent="0.45">
      <c r="B572" t="s">
        <v>161</v>
      </c>
      <c r="C572" t="s">
        <v>160</v>
      </c>
      <c r="D572">
        <f>IFERROR(INDEX(Countries[],MATCH(CountryCleanup[[#This Row],[ISO3]],Countries[ISO3],0),3),"")</f>
        <v>20</v>
      </c>
      <c r="E572" t="str">
        <f>IFERROR(INDEX(Countries[],MATCH(CountryCleanup[[#This Row],[ISO3]],Countries[ISO3],0),6),"")</f>
        <v>Andorra</v>
      </c>
    </row>
    <row r="573" spans="2:5" x14ac:dyDescent="0.45">
      <c r="B573" t="s">
        <v>2948</v>
      </c>
      <c r="C573" t="s">
        <v>160</v>
      </c>
      <c r="D573">
        <f>IFERROR(INDEX(Countries[],MATCH(CountryCleanup[[#This Row],[ISO3]],Countries[ISO3],0),3),"")</f>
        <v>20</v>
      </c>
      <c r="E573" t="str">
        <f>IFERROR(INDEX(Countries[],MATCH(CountryCleanup[[#This Row],[ISO3]],Countries[ISO3],0),6),"")</f>
        <v>Andorra</v>
      </c>
    </row>
    <row r="574" spans="2:5" x14ac:dyDescent="0.45">
      <c r="B574" t="s">
        <v>2790</v>
      </c>
      <c r="C574" t="s">
        <v>160</v>
      </c>
      <c r="D574">
        <f>IFERROR(INDEX(Countries[],MATCH(CountryCleanup[[#This Row],[ISO3]],Countries[ISO3],0),3),"")</f>
        <v>20</v>
      </c>
      <c r="E574" t="str">
        <f>IFERROR(INDEX(Countries[],MATCH(CountryCleanup[[#This Row],[ISO3]],Countries[ISO3],0),6),"")</f>
        <v>Andorra</v>
      </c>
    </row>
    <row r="575" spans="2:5" x14ac:dyDescent="0.45">
      <c r="B575" t="s">
        <v>2899</v>
      </c>
      <c r="C575" t="s">
        <v>160</v>
      </c>
      <c r="D575">
        <f>IFERROR(INDEX(Countries[],MATCH(CountryCleanup[[#This Row],[ISO3]],Countries[ISO3],0),3),"")</f>
        <v>20</v>
      </c>
      <c r="E575" t="str">
        <f>IFERROR(INDEX(Countries[],MATCH(CountryCleanup[[#This Row],[ISO3]],Countries[ISO3],0),6),"")</f>
        <v>Andorra</v>
      </c>
    </row>
    <row r="576" spans="2:5" x14ac:dyDescent="0.45">
      <c r="B576" t="s">
        <v>165</v>
      </c>
      <c r="C576" t="s">
        <v>164</v>
      </c>
      <c r="D576">
        <f>IFERROR(INDEX(Countries[],MATCH(CountryCleanup[[#This Row],[ISO3]],Countries[ISO3],0),3),"")</f>
        <v>24</v>
      </c>
      <c r="E576" t="str">
        <f>IFERROR(INDEX(Countries[],MATCH(CountryCleanup[[#This Row],[ISO3]],Countries[ISO3],0),6),"")</f>
        <v>Angola</v>
      </c>
    </row>
    <row r="577" spans="2:5" x14ac:dyDescent="0.45">
      <c r="B577" t="s">
        <v>2231</v>
      </c>
      <c r="C577" t="s">
        <v>164</v>
      </c>
      <c r="D577">
        <f>IFERROR(INDEX(Countries[],MATCH(CountryCleanup[[#This Row],[ISO3]],Countries[ISO3],0),3),"")</f>
        <v>24</v>
      </c>
      <c r="E577" t="str">
        <f>IFERROR(INDEX(Countries[],MATCH(CountryCleanup[[#This Row],[ISO3]],Countries[ISO3],0),6),"")</f>
        <v>Angola</v>
      </c>
    </row>
    <row r="578" spans="2:5" x14ac:dyDescent="0.45">
      <c r="B578" t="s">
        <v>172</v>
      </c>
      <c r="C578" t="s">
        <v>171</v>
      </c>
      <c r="D578">
        <f>IFERROR(INDEX(Countries[],MATCH(CountryCleanup[[#This Row],[ISO3]],Countries[ISO3],0),3),"")</f>
        <v>660</v>
      </c>
      <c r="E578" t="str">
        <f>IFERROR(INDEX(Countries[],MATCH(CountryCleanup[[#This Row],[ISO3]],Countries[ISO3],0),6),"")</f>
        <v>Anguilla</v>
      </c>
    </row>
    <row r="579" spans="2:5" x14ac:dyDescent="0.45">
      <c r="B579" t="s">
        <v>2869</v>
      </c>
      <c r="C579" t="s">
        <v>478</v>
      </c>
      <c r="D579">
        <f>IFERROR(INDEX(Countries[],MATCH(CountryCleanup[[#This Row],[ISO3]],Countries[ISO3],0),3),"")</f>
        <v>531</v>
      </c>
      <c r="E579" t="str">
        <f>IFERROR(INDEX(Countries[],MATCH(CountryCleanup[[#This Row],[ISO3]],Countries[ISO3],0),6),"")</f>
        <v>Curaçao</v>
      </c>
    </row>
    <row r="580" spans="2:5" x14ac:dyDescent="0.45">
      <c r="B580" t="s">
        <v>182</v>
      </c>
      <c r="C580" t="s">
        <v>181</v>
      </c>
      <c r="D580">
        <f>IFERROR(INDEX(Countries[],MATCH(CountryCleanup[[#This Row],[ISO3]],Countries[ISO3],0),3),"")</f>
        <v>10</v>
      </c>
      <c r="E580" t="str">
        <f>IFERROR(INDEX(Countries[],MATCH(CountryCleanup[[#This Row],[ISO3]],Countries[ISO3],0),6),"")</f>
        <v>Antarctica</v>
      </c>
    </row>
    <row r="581" spans="2:5" x14ac:dyDescent="0.45">
      <c r="B581" t="s">
        <v>1548</v>
      </c>
      <c r="C581" t="s">
        <v>187</v>
      </c>
      <c r="D581">
        <f>IFERROR(INDEX(Countries[],MATCH(CountryCleanup[[#This Row],[ISO3]],Countries[ISO3],0),3),"")</f>
        <v>28</v>
      </c>
      <c r="E581" t="str">
        <f>IFERROR(INDEX(Countries[],MATCH(CountryCleanup[[#This Row],[ISO3]],Countries[ISO3],0),6),"")</f>
        <v>Antigua and Barbuda</v>
      </c>
    </row>
    <row r="582" spans="2:5" x14ac:dyDescent="0.45">
      <c r="B582" t="s">
        <v>188</v>
      </c>
      <c r="C582" t="s">
        <v>187</v>
      </c>
      <c r="D582">
        <f>IFERROR(INDEX(Countries[],MATCH(CountryCleanup[[#This Row],[ISO3]],Countries[ISO3],0),3),"")</f>
        <v>28</v>
      </c>
      <c r="E582" t="str">
        <f>IFERROR(INDEX(Countries[],MATCH(CountryCleanup[[#This Row],[ISO3]],Countries[ISO3],0),6),"")</f>
        <v>Antigua and Barbuda</v>
      </c>
    </row>
    <row r="583" spans="2:5" x14ac:dyDescent="0.45">
      <c r="B583" s="5" t="s">
        <v>1549</v>
      </c>
      <c r="C583" s="5" t="s">
        <v>187</v>
      </c>
      <c r="D583">
        <f>IFERROR(INDEX(Countries[],MATCH(CountryCleanup[[#This Row],[ISO3]],Countries[ISO3],0),3),"")</f>
        <v>28</v>
      </c>
      <c r="E583" t="str">
        <f>IFERROR(INDEX(Countries[],MATCH(CountryCleanup[[#This Row],[ISO3]],Countries[ISO3],0),6),"")</f>
        <v>Antigua and Barbuda</v>
      </c>
    </row>
    <row r="584" spans="2:5" x14ac:dyDescent="0.45">
      <c r="B584" t="s">
        <v>2371</v>
      </c>
      <c r="C584" t="s">
        <v>2401</v>
      </c>
      <c r="D584" t="str">
        <f>IFERROR(INDEX(Countries[],MATCH(CountryCleanup[[#This Row],[ISO3]],Countries[ISO3],0),3),"")</f>
        <v/>
      </c>
      <c r="E584" t="str">
        <f>IFERROR(INDEX(Countries[],MATCH(CountryCleanup[[#This Row],[ISO3]],Countries[ISO3],0),6),"")</f>
        <v/>
      </c>
    </row>
    <row r="585" spans="2:5" x14ac:dyDescent="0.45">
      <c r="B585" t="s">
        <v>194</v>
      </c>
      <c r="C585" t="s">
        <v>193</v>
      </c>
      <c r="D585">
        <f>IFERROR(INDEX(Countries[],MATCH(CountryCleanup[[#This Row],[ISO3]],Countries[ISO3],0),3),"")</f>
        <v>32</v>
      </c>
      <c r="E585" t="str">
        <f>IFERROR(INDEX(Countries[],MATCH(CountryCleanup[[#This Row],[ISO3]],Countries[ISO3],0),6),"")</f>
        <v>Argentina</v>
      </c>
    </row>
    <row r="586" spans="2:5" x14ac:dyDescent="0.45">
      <c r="B586" t="s">
        <v>1945</v>
      </c>
      <c r="C586" t="s">
        <v>193</v>
      </c>
      <c r="D586">
        <f>IFERROR(INDEX(Countries[],MATCH(CountryCleanup[[#This Row],[ISO3]],Countries[ISO3],0),3),"")</f>
        <v>32</v>
      </c>
      <c r="E586" t="str">
        <f>IFERROR(INDEX(Countries[],MATCH(CountryCleanup[[#This Row],[ISO3]],Countries[ISO3],0),6),"")</f>
        <v>Argentina</v>
      </c>
    </row>
    <row r="587" spans="2:5" x14ac:dyDescent="0.45">
      <c r="B587" t="s">
        <v>200</v>
      </c>
      <c r="C587" t="s">
        <v>199</v>
      </c>
      <c r="D587">
        <f>IFERROR(INDEX(Countries[],MATCH(CountryCleanup[[#This Row],[ISO3]],Countries[ISO3],0),3),"")</f>
        <v>51</v>
      </c>
      <c r="E587" t="str">
        <f>IFERROR(INDEX(Countries[],MATCH(CountryCleanup[[#This Row],[ISO3]],Countries[ISO3],0),6),"")</f>
        <v>Armenia</v>
      </c>
    </row>
    <row r="588" spans="2:5" x14ac:dyDescent="0.45">
      <c r="B588" t="s">
        <v>2285</v>
      </c>
      <c r="C588" t="s">
        <v>199</v>
      </c>
      <c r="D588">
        <f>IFERROR(INDEX(Countries[],MATCH(CountryCleanup[[#This Row],[ISO3]],Countries[ISO3],0),3),"")</f>
        <v>51</v>
      </c>
      <c r="E588" t="str">
        <f>IFERROR(INDEX(Countries[],MATCH(CountryCleanup[[#This Row],[ISO3]],Countries[ISO3],0),6),"")</f>
        <v>Armenia</v>
      </c>
    </row>
    <row r="589" spans="2:5" x14ac:dyDescent="0.45">
      <c r="B589" t="s">
        <v>2902</v>
      </c>
      <c r="C589" t="s">
        <v>199</v>
      </c>
      <c r="D589">
        <f>IFERROR(INDEX(Countries[],MATCH(CountryCleanup[[#This Row],[ISO3]],Countries[ISO3],0),3),"")</f>
        <v>51</v>
      </c>
      <c r="E589" t="str">
        <f>IFERROR(INDEX(Countries[],MATCH(CountryCleanup[[#This Row],[ISO3]],Countries[ISO3],0),6),"")</f>
        <v>Armenia</v>
      </c>
    </row>
    <row r="590" spans="2:5" x14ac:dyDescent="0.45">
      <c r="B590" t="s">
        <v>207</v>
      </c>
      <c r="C590" t="s">
        <v>206</v>
      </c>
      <c r="D590">
        <f>IFERROR(INDEX(Countries[],MATCH(CountryCleanup[[#This Row],[ISO3]],Countries[ISO3],0),3),"")</f>
        <v>533</v>
      </c>
      <c r="E590" t="str">
        <f>IFERROR(INDEX(Countries[],MATCH(CountryCleanup[[#This Row],[ISO3]],Countries[ISO3],0),6),"")</f>
        <v>Aruba</v>
      </c>
    </row>
    <row r="591" spans="2:5" x14ac:dyDescent="0.45">
      <c r="B591" t="s">
        <v>2906</v>
      </c>
      <c r="C591" t="s">
        <v>206</v>
      </c>
      <c r="D591">
        <f>IFERROR(INDEX(Countries[],MATCH(CountryCleanup[[#This Row],[ISO3]],Countries[ISO3],0),3),"")</f>
        <v>533</v>
      </c>
      <c r="E591" t="str">
        <f>IFERROR(INDEX(Countries[],MATCH(CountryCleanup[[#This Row],[ISO3]],Countries[ISO3],0),6),"")</f>
        <v>Aruba</v>
      </c>
    </row>
    <row r="592" spans="2:5" x14ac:dyDescent="0.45">
      <c r="B592" t="s">
        <v>2817</v>
      </c>
      <c r="C592" s="3" t="s">
        <v>1389</v>
      </c>
      <c r="D592">
        <f>IFERROR(INDEX(Countries[],MATCH(CountryCleanup[[#This Row],[ISO3]],Countries[ISO3],0),3),"")</f>
        <v>826</v>
      </c>
      <c r="E592" t="str">
        <f>IFERROR(INDEX(Countries[],MATCH(CountryCleanup[[#This Row],[ISO3]],Countries[ISO3],0),6),"")</f>
        <v>United Kingdom of Great Britain and Northern Ireland (the)</v>
      </c>
    </row>
    <row r="593" spans="2:5" x14ac:dyDescent="0.45">
      <c r="B593" t="s">
        <v>1550</v>
      </c>
      <c r="C593" s="3" t="s">
        <v>1389</v>
      </c>
      <c r="D593">
        <f>IFERROR(INDEX(Countries[],MATCH(CountryCleanup[[#This Row],[ISO3]],Countries[ISO3],0),3),"")</f>
        <v>826</v>
      </c>
      <c r="E593" t="str">
        <f>IFERROR(INDEX(Countries[],MATCH(CountryCleanup[[#This Row],[ISO3]],Countries[ISO3],0),6),"")</f>
        <v>United Kingdom of Great Britain and Northern Ireland (the)</v>
      </c>
    </row>
    <row r="594" spans="2:5" x14ac:dyDescent="0.45">
      <c r="B594" t="s">
        <v>1551</v>
      </c>
      <c r="C594" t="s">
        <v>1094</v>
      </c>
      <c r="D594">
        <f>IFERROR(INDEX(Countries[],MATCH(CountryCleanup[[#This Row],[ISO3]],Countries[ISO3],0),3),"")</f>
        <v>99036</v>
      </c>
      <c r="E594" t="str">
        <f>IFERROR(INDEX(Countries[],MATCH(CountryCleanup[[#This Row],[ISO3]],Countries[ISO3],0),6),"")</f>
        <v>Residual/unallocated: Eastern and South-eastern Asia</v>
      </c>
    </row>
    <row r="595" spans="2:5" x14ac:dyDescent="0.45">
      <c r="B595" t="s">
        <v>100</v>
      </c>
      <c r="C595" t="s">
        <v>1094</v>
      </c>
      <c r="D595">
        <f>IFERROR(INDEX(Countries[],MATCH(CountryCleanup[[#This Row],[ISO3]],Countries[ISO3],0),3),"")</f>
        <v>99036</v>
      </c>
      <c r="E595" t="str">
        <f>IFERROR(INDEX(Countries[],MATCH(CountryCleanup[[#This Row],[ISO3]],Countries[ISO3],0),6),"")</f>
        <v>Residual/unallocated: Eastern and South-eastern Asia</v>
      </c>
    </row>
    <row r="596" spans="2:5" x14ac:dyDescent="0.45">
      <c r="B596" t="s">
        <v>2194</v>
      </c>
      <c r="C596" t="s">
        <v>1094</v>
      </c>
      <c r="D596">
        <f>IFERROR(INDEX(Countries[],MATCH(CountryCleanup[[#This Row],[ISO3]],Countries[ISO3],0),3),"")</f>
        <v>99036</v>
      </c>
      <c r="E596" t="str">
        <f>IFERROR(INDEX(Countries[],MATCH(CountryCleanup[[#This Row],[ISO3]],Countries[ISO3],0),6),"")</f>
        <v>Residual/unallocated: Eastern and South-eastern Asia</v>
      </c>
    </row>
    <row r="597" spans="2:5" x14ac:dyDescent="0.45">
      <c r="B597" t="s">
        <v>1552</v>
      </c>
      <c r="C597" t="s">
        <v>1094</v>
      </c>
      <c r="D597">
        <f>IFERROR(INDEX(Countries[],MATCH(CountryCleanup[[#This Row],[ISO3]],Countries[ISO3],0),3),"")</f>
        <v>99036</v>
      </c>
      <c r="E597" t="str">
        <f>IFERROR(INDEX(Countries[],MATCH(CountryCleanup[[#This Row],[ISO3]],Countries[ISO3],0),6),"")</f>
        <v>Residual/unallocated: Eastern and South-eastern Asia</v>
      </c>
    </row>
    <row r="598" spans="2:5" x14ac:dyDescent="0.45">
      <c r="B598" t="s">
        <v>181</v>
      </c>
      <c r="C598" t="s">
        <v>181</v>
      </c>
      <c r="D598">
        <f>IFERROR(INDEX(Countries[],MATCH(CountryCleanup[[#This Row],[ISO3]],Countries[ISO3],0),3),"")</f>
        <v>10</v>
      </c>
      <c r="E598" t="str">
        <f>IFERROR(INDEX(Countries[],MATCH(CountryCleanup[[#This Row],[ISO3]],Countries[ISO3],0),6),"")</f>
        <v>Antarctica</v>
      </c>
    </row>
    <row r="599" spans="2:5" x14ac:dyDescent="0.45">
      <c r="B599" t="s">
        <v>1946</v>
      </c>
      <c r="C599" t="s">
        <v>212</v>
      </c>
      <c r="D599">
        <f>IFERROR(INDEX(Countries[],MATCH(CountryCleanup[[#This Row],[ISO3]],Countries[ISO3],0),3),"")</f>
        <v>36</v>
      </c>
      <c r="E599" t="str">
        <f>IFERROR(INDEX(Countries[],MATCH(CountryCleanup[[#This Row],[ISO3]],Countries[ISO3],0),6),"")</f>
        <v>Australia</v>
      </c>
    </row>
    <row r="600" spans="2:5" x14ac:dyDescent="0.45">
      <c r="B600" t="s">
        <v>213</v>
      </c>
      <c r="C600" t="s">
        <v>212</v>
      </c>
      <c r="D600">
        <f>IFERROR(INDEX(Countries[],MATCH(CountryCleanup[[#This Row],[ISO3]],Countries[ISO3],0),3),"")</f>
        <v>36</v>
      </c>
      <c r="E600" t="str">
        <f>IFERROR(INDEX(Countries[],MATCH(CountryCleanup[[#This Row],[ISO3]],Countries[ISO3],0),6),"")</f>
        <v>Australia</v>
      </c>
    </row>
    <row r="601" spans="2:5" x14ac:dyDescent="0.45">
      <c r="B601" t="s">
        <v>2931</v>
      </c>
      <c r="C601" t="s">
        <v>212</v>
      </c>
      <c r="D601">
        <f>IFERROR(INDEX(Countries[],MATCH(CountryCleanup[[#This Row],[ISO3]],Countries[ISO3],0),3),"")</f>
        <v>36</v>
      </c>
      <c r="E601" t="str">
        <f>IFERROR(INDEX(Countries[],MATCH(CountryCleanup[[#This Row],[ISO3]],Countries[ISO3],0),6),"")</f>
        <v>Australia</v>
      </c>
    </row>
    <row r="602" spans="2:5" x14ac:dyDescent="0.45">
      <c r="B602" t="s">
        <v>2912</v>
      </c>
      <c r="C602" t="s">
        <v>212</v>
      </c>
      <c r="D602">
        <f>IFERROR(INDEX(Countries[],MATCH(CountryCleanup[[#This Row],[ISO3]],Countries[ISO3],0),3),"")</f>
        <v>36</v>
      </c>
      <c r="E602" t="str">
        <f>IFERROR(INDEX(Countries[],MATCH(CountryCleanup[[#This Row],[ISO3]],Countries[ISO3],0),6),"")</f>
        <v>Australia</v>
      </c>
    </row>
    <row r="603" spans="2:5" x14ac:dyDescent="0.45">
      <c r="B603" t="s">
        <v>221</v>
      </c>
      <c r="C603" t="s">
        <v>220</v>
      </c>
      <c r="D603">
        <f>IFERROR(INDEX(Countries[],MATCH(CountryCleanup[[#This Row],[ISO3]],Countries[ISO3],0),3),"")</f>
        <v>40</v>
      </c>
      <c r="E603" t="str">
        <f>IFERROR(INDEX(Countries[],MATCH(CountryCleanup[[#This Row],[ISO3]],Countries[ISO3],0),6),"")</f>
        <v>Austria</v>
      </c>
    </row>
    <row r="604" spans="2:5" x14ac:dyDescent="0.45">
      <c r="B604" t="s">
        <v>1947</v>
      </c>
      <c r="C604" t="s">
        <v>220</v>
      </c>
      <c r="D604">
        <f>IFERROR(INDEX(Countries[],MATCH(CountryCleanup[[#This Row],[ISO3]],Countries[ISO3],0),3),"")</f>
        <v>40</v>
      </c>
      <c r="E604" t="str">
        <f>IFERROR(INDEX(Countries[],MATCH(CountryCleanup[[#This Row],[ISO3]],Countries[ISO3],0),6),"")</f>
        <v>Austria</v>
      </c>
    </row>
    <row r="605" spans="2:5" x14ac:dyDescent="0.45">
      <c r="B605" t="s">
        <v>227</v>
      </c>
      <c r="C605" t="s">
        <v>226</v>
      </c>
      <c r="D605">
        <f>IFERROR(INDEX(Countries[],MATCH(CountryCleanup[[#This Row],[ISO3]],Countries[ISO3],0),3),"")</f>
        <v>31</v>
      </c>
      <c r="E605" t="str">
        <f>IFERROR(INDEX(Countries[],MATCH(CountryCleanup[[#This Row],[ISO3]],Countries[ISO3],0),6),"")</f>
        <v>Azerbaijan</v>
      </c>
    </row>
    <row r="606" spans="2:5" x14ac:dyDescent="0.45">
      <c r="B606" t="s">
        <v>2261</v>
      </c>
      <c r="C606" t="s">
        <v>226</v>
      </c>
      <c r="D606">
        <f>IFERROR(INDEX(Countries[],MATCH(CountryCleanup[[#This Row],[ISO3]],Countries[ISO3],0),3),"")</f>
        <v>31</v>
      </c>
      <c r="E606" t="str">
        <f>IFERROR(INDEX(Countries[],MATCH(CountryCleanup[[#This Row],[ISO3]],Countries[ISO3],0),6),"")</f>
        <v>Azerbaijan</v>
      </c>
    </row>
    <row r="607" spans="2:5" x14ac:dyDescent="0.45">
      <c r="B607" t="s">
        <v>2818</v>
      </c>
      <c r="C607" t="s">
        <v>1067</v>
      </c>
      <c r="D607">
        <f>IFERROR(INDEX(Countries[],MATCH(CountryCleanup[[#This Row],[ISO3]],Countries[ISO3],0),3),"")</f>
        <v>620</v>
      </c>
      <c r="E607" t="str">
        <f>IFERROR(INDEX(Countries[],MATCH(CountryCleanup[[#This Row],[ISO3]],Countries[ISO3],0),6),"")</f>
        <v>Portugal</v>
      </c>
    </row>
    <row r="608" spans="2:5" x14ac:dyDescent="0.45">
      <c r="B608" t="s">
        <v>233</v>
      </c>
      <c r="C608" t="s">
        <v>232</v>
      </c>
      <c r="D608">
        <f>IFERROR(INDEX(Countries[],MATCH(CountryCleanup[[#This Row],[ISO3]],Countries[ISO3],0),3),"")</f>
        <v>44</v>
      </c>
      <c r="E608" t="str">
        <f>IFERROR(INDEX(Countries[],MATCH(CountryCleanup[[#This Row],[ISO3]],Countries[ISO3],0),6),"")</f>
        <v>Bahamas (the)</v>
      </c>
    </row>
    <row r="609" spans="2:5" x14ac:dyDescent="0.45">
      <c r="B609" t="s">
        <v>1553</v>
      </c>
      <c r="C609" t="s">
        <v>232</v>
      </c>
      <c r="D609">
        <f>IFERROR(INDEX(Countries[],MATCH(CountryCleanup[[#This Row],[ISO3]],Countries[ISO3],0),3),"")</f>
        <v>44</v>
      </c>
      <c r="E609" t="str">
        <f>IFERROR(INDEX(Countries[],MATCH(CountryCleanup[[#This Row],[ISO3]],Countries[ISO3],0),6),"")</f>
        <v>Bahamas (the)</v>
      </c>
    </row>
    <row r="610" spans="2:5" x14ac:dyDescent="0.45">
      <c r="B610" t="s">
        <v>237</v>
      </c>
      <c r="C610" t="s">
        <v>236</v>
      </c>
      <c r="D610">
        <f>IFERROR(INDEX(Countries[],MATCH(CountryCleanup[[#This Row],[ISO3]],Countries[ISO3],0),3),"")</f>
        <v>48</v>
      </c>
      <c r="E610" t="str">
        <f>IFERROR(INDEX(Countries[],MATCH(CountryCleanup[[#This Row],[ISO3]],Countries[ISO3],0),6),"")</f>
        <v>Bahrain</v>
      </c>
    </row>
    <row r="611" spans="2:5" x14ac:dyDescent="0.45">
      <c r="B611" t="s">
        <v>2266</v>
      </c>
      <c r="C611" t="s">
        <v>236</v>
      </c>
      <c r="D611">
        <f>IFERROR(INDEX(Countries[],MATCH(CountryCleanup[[#This Row],[ISO3]],Countries[ISO3],0),3),"")</f>
        <v>48</v>
      </c>
      <c r="E611" t="str">
        <f>IFERROR(INDEX(Countries[],MATCH(CountryCleanup[[#This Row],[ISO3]],Countries[ISO3],0),6),"")</f>
        <v>Bahrain</v>
      </c>
    </row>
    <row r="612" spans="2:5" x14ac:dyDescent="0.45">
      <c r="B612" t="s">
        <v>2900</v>
      </c>
      <c r="C612" t="s">
        <v>236</v>
      </c>
      <c r="D612">
        <f>IFERROR(INDEX(Countries[],MATCH(CountryCleanup[[#This Row],[ISO3]],Countries[ISO3],0),3),"")</f>
        <v>48</v>
      </c>
      <c r="E612" t="str">
        <f>IFERROR(INDEX(Countries[],MATCH(CountryCleanup[[#This Row],[ISO3]],Countries[ISO3],0),6),"")</f>
        <v>Bahrain</v>
      </c>
    </row>
    <row r="613" spans="2:5" x14ac:dyDescent="0.45">
      <c r="B613" t="s">
        <v>1554</v>
      </c>
      <c r="C613" s="3" t="s">
        <v>1406</v>
      </c>
      <c r="D613">
        <f>IFERROR(INDEX(Countries[],MATCH(CountryCleanup[[#This Row],[ISO3]],Countries[ISO3],0),3),"")</f>
        <v>840</v>
      </c>
      <c r="E613" t="str">
        <f>IFERROR(INDEX(Countries[],MATCH(CountryCleanup[[#This Row],[ISO3]],Countries[ISO3],0),6),"")</f>
        <v>United States of America (the)</v>
      </c>
    </row>
    <row r="614" spans="2:5" x14ac:dyDescent="0.45">
      <c r="B614" t="s">
        <v>244</v>
      </c>
      <c r="C614" t="s">
        <v>243</v>
      </c>
      <c r="D614">
        <f>IFERROR(INDEX(Countries[],MATCH(CountryCleanup[[#This Row],[ISO3]],Countries[ISO3],0),3),"")</f>
        <v>50</v>
      </c>
      <c r="E614" t="str">
        <f>IFERROR(INDEX(Countries[],MATCH(CountryCleanup[[#This Row],[ISO3]],Countries[ISO3],0),6),"")</f>
        <v>Bangladesh</v>
      </c>
    </row>
    <row r="615" spans="2:5" x14ac:dyDescent="0.45">
      <c r="B615" t="s">
        <v>2219</v>
      </c>
      <c r="C615" t="s">
        <v>243</v>
      </c>
      <c r="D615">
        <f>IFERROR(INDEX(Countries[],MATCH(CountryCleanup[[#This Row],[ISO3]],Countries[ISO3],0),3),"")</f>
        <v>50</v>
      </c>
      <c r="E615" t="str">
        <f>IFERROR(INDEX(Countries[],MATCH(CountryCleanup[[#This Row],[ISO3]],Countries[ISO3],0),6),"")</f>
        <v>Bangladesh</v>
      </c>
    </row>
    <row r="616" spans="2:5" x14ac:dyDescent="0.45">
      <c r="B616" t="s">
        <v>248</v>
      </c>
      <c r="C616" t="s">
        <v>247</v>
      </c>
      <c r="D616">
        <f>IFERROR(INDEX(Countries[],MATCH(CountryCleanup[[#This Row],[ISO3]],Countries[ISO3],0),3),"")</f>
        <v>52</v>
      </c>
      <c r="E616" t="str">
        <f>IFERROR(INDEX(Countries[],MATCH(CountryCleanup[[#This Row],[ISO3]],Countries[ISO3],0),6),"")</f>
        <v>Barbados</v>
      </c>
    </row>
    <row r="617" spans="2:5" x14ac:dyDescent="0.45">
      <c r="B617" t="s">
        <v>2949</v>
      </c>
      <c r="C617" t="s">
        <v>247</v>
      </c>
      <c r="D617">
        <f>IFERROR(INDEX(Countries[],MATCH(CountryCleanup[[#This Row],[ISO3]],Countries[ISO3],0),3),"")</f>
        <v>52</v>
      </c>
      <c r="E617" t="str">
        <f>IFERROR(INDEX(Countries[],MATCH(CountryCleanup[[#This Row],[ISO3]],Countries[ISO3],0),6),"")</f>
        <v>Barbados</v>
      </c>
    </row>
    <row r="618" spans="2:5" x14ac:dyDescent="0.45">
      <c r="B618" t="s">
        <v>2819</v>
      </c>
      <c r="C618" t="s">
        <v>852</v>
      </c>
      <c r="D618">
        <f>IFERROR(INDEX(Countries[],MATCH(CountryCleanup[[#This Row],[ISO3]],Countries[ISO3],0),3),"")</f>
        <v>450</v>
      </c>
      <c r="E618" t="str">
        <f>IFERROR(INDEX(Countries[],MATCH(CountryCleanup[[#This Row],[ISO3]],Countries[ISO3],0),6),"")</f>
        <v>Madagascar</v>
      </c>
    </row>
    <row r="619" spans="2:5" x14ac:dyDescent="0.45">
      <c r="B619" t="s">
        <v>253</v>
      </c>
      <c r="C619" t="s">
        <v>252</v>
      </c>
      <c r="D619">
        <f>IFERROR(INDEX(Countries[],MATCH(CountryCleanup[[#This Row],[ISO3]],Countries[ISO3],0),3),"")</f>
        <v>112</v>
      </c>
      <c r="E619" t="str">
        <f>IFERROR(INDEX(Countries[],MATCH(CountryCleanup[[#This Row],[ISO3]],Countries[ISO3],0),6),"")</f>
        <v>Belarus</v>
      </c>
    </row>
    <row r="620" spans="2:5" x14ac:dyDescent="0.45">
      <c r="B620" t="s">
        <v>2232</v>
      </c>
      <c r="C620" t="s">
        <v>252</v>
      </c>
      <c r="D620">
        <f>IFERROR(INDEX(Countries[],MATCH(CountryCleanup[[#This Row],[ISO3]],Countries[ISO3],0),3),"")</f>
        <v>112</v>
      </c>
      <c r="E620" t="str">
        <f>IFERROR(INDEX(Countries[],MATCH(CountryCleanup[[#This Row],[ISO3]],Countries[ISO3],0),6),"")</f>
        <v>Belarus</v>
      </c>
    </row>
    <row r="621" spans="2:5" x14ac:dyDescent="0.45">
      <c r="B621" t="s">
        <v>260</v>
      </c>
      <c r="C621" t="s">
        <v>259</v>
      </c>
      <c r="D621">
        <f>IFERROR(INDEX(Countries[],MATCH(CountryCleanup[[#This Row],[ISO3]],Countries[ISO3],0),3),"")</f>
        <v>56</v>
      </c>
      <c r="E621" t="str">
        <f>IFERROR(INDEX(Countries[],MATCH(CountryCleanup[[#This Row],[ISO3]],Countries[ISO3],0),6),"")</f>
        <v>Belgium</v>
      </c>
    </row>
    <row r="622" spans="2:5" x14ac:dyDescent="0.45">
      <c r="B622" t="s">
        <v>1948</v>
      </c>
      <c r="C622" t="s">
        <v>259</v>
      </c>
      <c r="D622">
        <f>IFERROR(INDEX(Countries[],MATCH(CountryCleanup[[#This Row],[ISO3]],Countries[ISO3],0),3),"")</f>
        <v>56</v>
      </c>
      <c r="E622" t="str">
        <f>IFERROR(INDEX(Countries[],MATCH(CountryCleanup[[#This Row],[ISO3]],Countries[ISO3],0),6),"")</f>
        <v>Belgium</v>
      </c>
    </row>
    <row r="623" spans="2:5" x14ac:dyDescent="0.45">
      <c r="B623" t="s">
        <v>2924</v>
      </c>
      <c r="C623" t="s">
        <v>259</v>
      </c>
      <c r="D623">
        <f>IFERROR(INDEX(Countries[],MATCH(CountryCleanup[[#This Row],[ISO3]],Countries[ISO3],0),3),"")</f>
        <v>56</v>
      </c>
      <c r="E623" t="str">
        <f>IFERROR(INDEX(Countries[],MATCH(CountryCleanup[[#This Row],[ISO3]],Countries[ISO3],0),6),"")</f>
        <v>Belgium</v>
      </c>
    </row>
    <row r="624" spans="2:5" x14ac:dyDescent="0.45">
      <c r="B624" s="13" t="s">
        <v>1555</v>
      </c>
      <c r="C624" t="s">
        <v>259</v>
      </c>
      <c r="D624">
        <f>IFERROR(INDEX(Countries[],MATCH(CountryCleanup[[#This Row],[ISO3]],Countries[ISO3],0),3),"")</f>
        <v>56</v>
      </c>
      <c r="E624" t="str">
        <f>IFERROR(INDEX(Countries[],MATCH(CountryCleanup[[#This Row],[ISO3]],Countries[ISO3],0),6),"")</f>
        <v>Belgium</v>
      </c>
    </row>
    <row r="625" spans="2:5" x14ac:dyDescent="0.45">
      <c r="B625" t="s">
        <v>2910</v>
      </c>
      <c r="C625" t="s">
        <v>259</v>
      </c>
      <c r="D625">
        <f>IFERROR(INDEX(Countries[],MATCH(CountryCleanup[[#This Row],[ISO3]],Countries[ISO3],0),3),"")</f>
        <v>56</v>
      </c>
      <c r="E625" t="str">
        <f>IFERROR(INDEX(Countries[],MATCH(CountryCleanup[[#This Row],[ISO3]],Countries[ISO3],0),6),"")</f>
        <v>Belgium</v>
      </c>
    </row>
    <row r="626" spans="2:5" x14ac:dyDescent="0.45">
      <c r="B626" t="s">
        <v>2923</v>
      </c>
      <c r="C626" t="s">
        <v>259</v>
      </c>
      <c r="D626">
        <f>IFERROR(INDEX(Countries[],MATCH(CountryCleanup[[#This Row],[ISO3]],Countries[ISO3],0),3),"")</f>
        <v>56</v>
      </c>
      <c r="E626" t="str">
        <f>IFERROR(INDEX(Countries[],MATCH(CountryCleanup[[#This Row],[ISO3]],Countries[ISO3],0),6),"")</f>
        <v>Belgium</v>
      </c>
    </row>
    <row r="627" spans="2:5" x14ac:dyDescent="0.45">
      <c r="B627" t="s">
        <v>2918</v>
      </c>
      <c r="C627" t="s">
        <v>259</v>
      </c>
      <c r="D627">
        <f>IFERROR(INDEX(Countries[],MATCH(CountryCleanup[[#This Row],[ISO3]],Countries[ISO3],0),3),"")</f>
        <v>56</v>
      </c>
      <c r="E627" t="str">
        <f>IFERROR(INDEX(Countries[],MATCH(CountryCleanup[[#This Row],[ISO3]],Countries[ISO3],0),6),"")</f>
        <v>Belgium</v>
      </c>
    </row>
    <row r="628" spans="2:5" x14ac:dyDescent="0.45">
      <c r="B628" t="s">
        <v>265</v>
      </c>
      <c r="C628" t="s">
        <v>264</v>
      </c>
      <c r="D628">
        <f>IFERROR(INDEX(Countries[],MATCH(CountryCleanup[[#This Row],[ISO3]],Countries[ISO3],0),3),"")</f>
        <v>84</v>
      </c>
      <c r="E628" t="str">
        <f>IFERROR(INDEX(Countries[],MATCH(CountryCleanup[[#This Row],[ISO3]],Countries[ISO3],0),6),"")</f>
        <v>Belize</v>
      </c>
    </row>
    <row r="629" spans="2:5" x14ac:dyDescent="0.45">
      <c r="B629" t="s">
        <v>271</v>
      </c>
      <c r="C629" t="s">
        <v>270</v>
      </c>
      <c r="D629">
        <f>IFERROR(INDEX(Countries[],MATCH(CountryCleanup[[#This Row],[ISO3]],Countries[ISO3],0),3),"")</f>
        <v>204</v>
      </c>
      <c r="E629" t="str">
        <f>IFERROR(INDEX(Countries[],MATCH(CountryCleanup[[#This Row],[ISO3]],Countries[ISO3],0),6),"")</f>
        <v>Benin</v>
      </c>
    </row>
    <row r="630" spans="2:5" x14ac:dyDescent="0.45">
      <c r="B630" t="s">
        <v>2259</v>
      </c>
      <c r="C630" t="s">
        <v>270</v>
      </c>
      <c r="D630">
        <f>IFERROR(INDEX(Countries[],MATCH(CountryCleanup[[#This Row],[ISO3]],Countries[ISO3],0),3),"")</f>
        <v>204</v>
      </c>
      <c r="E630" t="str">
        <f>IFERROR(INDEX(Countries[],MATCH(CountryCleanup[[#This Row],[ISO3]],Countries[ISO3],0),6),"")</f>
        <v>Benin</v>
      </c>
    </row>
    <row r="631" spans="2:5" x14ac:dyDescent="0.45">
      <c r="B631" t="s">
        <v>277</v>
      </c>
      <c r="C631" t="s">
        <v>276</v>
      </c>
      <c r="D631">
        <f>IFERROR(INDEX(Countries[],MATCH(CountryCleanup[[#This Row],[ISO3]],Countries[ISO3],0),3),"")</f>
        <v>60</v>
      </c>
      <c r="E631" t="str">
        <f>IFERROR(INDEX(Countries[],MATCH(CountryCleanup[[#This Row],[ISO3]],Countries[ISO3],0),6),"")</f>
        <v>Bermuda</v>
      </c>
    </row>
    <row r="632" spans="2:5" x14ac:dyDescent="0.45">
      <c r="B632" s="5" t="s">
        <v>1556</v>
      </c>
      <c r="C632" s="5" t="s">
        <v>296</v>
      </c>
      <c r="D632">
        <f>IFERROR(INDEX(Countries[],MATCH(CountryCleanup[[#This Row],[ISO3]],Countries[ISO3],0),3),"")</f>
        <v>535</v>
      </c>
      <c r="E632" t="str">
        <f>IFERROR(INDEX(Countries[],MATCH(CountryCleanup[[#This Row],[ISO3]],Countries[ISO3],0),6),"")</f>
        <v>Bonaire, Sint Eustatius and Saba</v>
      </c>
    </row>
    <row r="633" spans="2:5" x14ac:dyDescent="0.45">
      <c r="B633" t="s">
        <v>285</v>
      </c>
      <c r="C633" t="s">
        <v>284</v>
      </c>
      <c r="D633">
        <f>IFERROR(INDEX(Countries[],MATCH(CountryCleanup[[#This Row],[ISO3]],Countries[ISO3],0),3),"")</f>
        <v>64</v>
      </c>
      <c r="E633" t="str">
        <f>IFERROR(INDEX(Countries[],MATCH(CountryCleanup[[#This Row],[ISO3]],Countries[ISO3],0),6),"")</f>
        <v>Bhutan</v>
      </c>
    </row>
    <row r="634" spans="2:5" x14ac:dyDescent="0.45">
      <c r="B634" t="s">
        <v>1557</v>
      </c>
      <c r="C634" t="s">
        <v>1415</v>
      </c>
      <c r="D634">
        <f>IFERROR(INDEX(Countries[],MATCH(CountryCleanup[[#This Row],[ISO3]],Countries[ISO3],0),3),"")</f>
        <v>99049</v>
      </c>
      <c r="E634" t="str">
        <f>IFERROR(INDEX(Countries[],MATCH(CountryCleanup[[#This Row],[ISO3]],Countries[ISO3],0),6),"")</f>
        <v>Unspecified countries</v>
      </c>
    </row>
    <row r="635" spans="2:5" x14ac:dyDescent="0.45">
      <c r="B635" t="s">
        <v>2888</v>
      </c>
      <c r="C635" s="3" t="s">
        <v>1432</v>
      </c>
      <c r="D635">
        <f>IFERROR(INDEX(Countries[],MATCH(CountryCleanup[[#This Row],[ISO3]],Countries[ISO3],0),3),"")</f>
        <v>862</v>
      </c>
      <c r="E635" t="str">
        <f>IFERROR(INDEX(Countries[],MATCH(CountryCleanup[[#This Row],[ISO3]],Countries[ISO3],0),6),"")</f>
        <v>Venezuela (Bolivarian Republic of)</v>
      </c>
    </row>
    <row r="636" spans="2:5" x14ac:dyDescent="0.45">
      <c r="B636" t="s">
        <v>1558</v>
      </c>
      <c r="C636" t="s">
        <v>290</v>
      </c>
      <c r="D636">
        <f>IFERROR(INDEX(Countries[],MATCH(CountryCleanup[[#This Row],[ISO3]],Countries[ISO3],0),3),"")</f>
        <v>68</v>
      </c>
      <c r="E636" t="str">
        <f>IFERROR(INDEX(Countries[],MATCH(CountryCleanup[[#This Row],[ISO3]],Countries[ISO3],0),6),"")</f>
        <v>Bolivia (Plurinational State of)</v>
      </c>
    </row>
    <row r="637" spans="2:5" x14ac:dyDescent="0.45">
      <c r="B637" t="s">
        <v>2255</v>
      </c>
      <c r="C637" t="s">
        <v>290</v>
      </c>
      <c r="D637">
        <f>IFERROR(INDEX(Countries[],MATCH(CountryCleanup[[#This Row],[ISO3]],Countries[ISO3],0),3),"")</f>
        <v>68</v>
      </c>
      <c r="E637" t="str">
        <f>IFERROR(INDEX(Countries[],MATCH(CountryCleanup[[#This Row],[ISO3]],Countries[ISO3],0),6),"")</f>
        <v>Bolivia (Plurinational State of)</v>
      </c>
    </row>
    <row r="638" spans="2:5" x14ac:dyDescent="0.45">
      <c r="B638" t="s">
        <v>291</v>
      </c>
      <c r="C638" t="s">
        <v>290</v>
      </c>
      <c r="D638">
        <f>IFERROR(INDEX(Countries[],MATCH(CountryCleanup[[#This Row],[ISO3]],Countries[ISO3],0),3),"")</f>
        <v>68</v>
      </c>
      <c r="E638" t="str">
        <f>IFERROR(INDEX(Countries[],MATCH(CountryCleanup[[#This Row],[ISO3]],Countries[ISO3],0),6),"")</f>
        <v>Bolivia (Plurinational State of)</v>
      </c>
    </row>
    <row r="639" spans="2:5" x14ac:dyDescent="0.45">
      <c r="B639" s="9" t="s">
        <v>1559</v>
      </c>
      <c r="C639" t="s">
        <v>296</v>
      </c>
      <c r="D639">
        <f>IFERROR(INDEX(Countries[],MATCH(CountryCleanup[[#This Row],[ISO3]],Countries[ISO3],0),3),"")</f>
        <v>535</v>
      </c>
      <c r="E639" t="str">
        <f>IFERROR(INDEX(Countries[],MATCH(CountryCleanup[[#This Row],[ISO3]],Countries[ISO3],0),6),"")</f>
        <v>Bonaire, Sint Eustatius and Saba</v>
      </c>
    </row>
    <row r="640" spans="2:5" ht="15.4" x14ac:dyDescent="0.45">
      <c r="B640" s="11" t="s">
        <v>1560</v>
      </c>
      <c r="C640" t="s">
        <v>296</v>
      </c>
      <c r="D640">
        <f>IFERROR(INDEX(Countries[],MATCH(CountryCleanup[[#This Row],[ISO3]],Countries[ISO3],0),3),"")</f>
        <v>535</v>
      </c>
      <c r="E640" t="str">
        <f>IFERROR(INDEX(Countries[],MATCH(CountryCleanup[[#This Row],[ISO3]],Countries[ISO3],0),6),"")</f>
        <v>Bonaire, Sint Eustatius and Saba</v>
      </c>
    </row>
    <row r="641" spans="2:5" x14ac:dyDescent="0.45">
      <c r="B641" t="s">
        <v>1561</v>
      </c>
      <c r="C641" t="s">
        <v>296</v>
      </c>
      <c r="D641">
        <f>IFERROR(INDEX(Countries[],MATCH(CountryCleanup[[#This Row],[ISO3]],Countries[ISO3],0),3),"")</f>
        <v>535</v>
      </c>
      <c r="E641" t="str">
        <f>IFERROR(INDEX(Countries[],MATCH(CountryCleanup[[#This Row],[ISO3]],Countries[ISO3],0),6),"")</f>
        <v>Bonaire, Sint Eustatius and Saba</v>
      </c>
    </row>
    <row r="642" spans="2:5" x14ac:dyDescent="0.45">
      <c r="B642" t="s">
        <v>297</v>
      </c>
      <c r="C642" t="s">
        <v>296</v>
      </c>
      <c r="D642">
        <f>IFERROR(INDEX(Countries[],MATCH(CountryCleanup[[#This Row],[ISO3]],Countries[ISO3],0),3),"")</f>
        <v>535</v>
      </c>
      <c r="E642" t="str">
        <f>IFERROR(INDEX(Countries[],MATCH(CountryCleanup[[#This Row],[ISO3]],Countries[ISO3],0),6),"")</f>
        <v>Bonaire, Sint Eustatius and Saba</v>
      </c>
    </row>
    <row r="643" spans="2:5" x14ac:dyDescent="0.45">
      <c r="B643" s="9" t="s">
        <v>1562</v>
      </c>
      <c r="C643" t="s">
        <v>301</v>
      </c>
      <c r="D643">
        <f>IFERROR(INDEX(Countries[],MATCH(CountryCleanup[[#This Row],[ISO3]],Countries[ISO3],0),3),"")</f>
        <v>70</v>
      </c>
      <c r="E643" t="str">
        <f>IFERROR(INDEX(Countries[],MATCH(CountryCleanup[[#This Row],[ISO3]],Countries[ISO3],0),6),"")</f>
        <v>Bosnia and Herzegovina</v>
      </c>
    </row>
    <row r="644" spans="2:5" x14ac:dyDescent="0.45">
      <c r="B644" t="s">
        <v>302</v>
      </c>
      <c r="C644" t="s">
        <v>301</v>
      </c>
      <c r="D644">
        <f>IFERROR(INDEX(Countries[],MATCH(CountryCleanup[[#This Row],[ISO3]],Countries[ISO3],0),3),"")</f>
        <v>70</v>
      </c>
      <c r="E644" t="str">
        <f>IFERROR(INDEX(Countries[],MATCH(CountryCleanup[[#This Row],[ISO3]],Countries[ISO3],0),6),"")</f>
        <v>Bosnia and Herzegovina</v>
      </c>
    </row>
    <row r="645" spans="2:5" x14ac:dyDescent="0.45">
      <c r="B645" t="s">
        <v>2360</v>
      </c>
      <c r="C645" t="s">
        <v>301</v>
      </c>
      <c r="D645">
        <f>IFERROR(INDEX(Countries[],MATCH(CountryCleanup[[#This Row],[ISO3]],Countries[ISO3],0),3),"")</f>
        <v>70</v>
      </c>
      <c r="E645" t="str">
        <f>IFERROR(INDEX(Countries[],MATCH(CountryCleanup[[#This Row],[ISO3]],Countries[ISO3],0),6),"")</f>
        <v>Bosnia and Herzegovina</v>
      </c>
    </row>
    <row r="646" spans="2:5" x14ac:dyDescent="0.45">
      <c r="B646" s="5" t="s">
        <v>1563</v>
      </c>
      <c r="C646" s="5" t="s">
        <v>301</v>
      </c>
      <c r="D646">
        <f>IFERROR(INDEX(Countries[],MATCH(CountryCleanup[[#This Row],[ISO3]],Countries[ISO3],0),3),"")</f>
        <v>70</v>
      </c>
      <c r="E646" t="str">
        <f>IFERROR(INDEX(Countries[],MATCH(CountryCleanup[[#This Row],[ISO3]],Countries[ISO3],0),6),"")</f>
        <v>Bosnia and Herzegovina</v>
      </c>
    </row>
    <row r="647" spans="2:5" x14ac:dyDescent="0.45">
      <c r="B647" t="s">
        <v>1992</v>
      </c>
      <c r="C647" s="3" t="s">
        <v>301</v>
      </c>
      <c r="D647">
        <f>IFERROR(INDEX(Countries[],MATCH(CountryCleanup[[#This Row],[ISO3]],Countries[ISO3],0),3),"")</f>
        <v>70</v>
      </c>
      <c r="E647" t="str">
        <f>IFERROR(INDEX(Countries[],MATCH(CountryCleanup[[#This Row],[ISO3]],Countries[ISO3],0),6),"")</f>
        <v>Bosnia and Herzegovina</v>
      </c>
    </row>
    <row r="648" spans="2:5" x14ac:dyDescent="0.45">
      <c r="B648" t="s">
        <v>1564</v>
      </c>
      <c r="C648" s="5" t="s">
        <v>301</v>
      </c>
      <c r="D648">
        <f>IFERROR(INDEX(Countries[],MATCH(CountryCleanup[[#This Row],[ISO3]],Countries[ISO3],0),3),"")</f>
        <v>70</v>
      </c>
      <c r="E648" t="str">
        <f>IFERROR(INDEX(Countries[],MATCH(CountryCleanup[[#This Row],[ISO3]],Countries[ISO3],0),6),"")</f>
        <v>Bosnia and Herzegovina</v>
      </c>
    </row>
    <row r="649" spans="2:5" x14ac:dyDescent="0.45">
      <c r="B649" t="s">
        <v>2864</v>
      </c>
      <c r="C649" s="5" t="s">
        <v>301</v>
      </c>
      <c r="D649">
        <f>IFERROR(INDEX(Countries[],MATCH(CountryCleanup[[#This Row],[ISO3]],Countries[ISO3],0),3),"")</f>
        <v>70</v>
      </c>
      <c r="E649" t="str">
        <f>IFERROR(INDEX(Countries[],MATCH(CountryCleanup[[#This Row],[ISO3]],Countries[ISO3],0),6),"")</f>
        <v>Bosnia and Herzegovina</v>
      </c>
    </row>
    <row r="650" spans="2:5" x14ac:dyDescent="0.45">
      <c r="B650" t="s">
        <v>308</v>
      </c>
      <c r="C650" t="s">
        <v>307</v>
      </c>
      <c r="D650">
        <f>IFERROR(INDEX(Countries[],MATCH(CountryCleanup[[#This Row],[ISO3]],Countries[ISO3],0),3),"")</f>
        <v>72</v>
      </c>
      <c r="E650" t="str">
        <f>IFERROR(INDEX(Countries[],MATCH(CountryCleanup[[#This Row],[ISO3]],Countries[ISO3],0),6),"")</f>
        <v>Botswana</v>
      </c>
    </row>
    <row r="651" spans="2:5" x14ac:dyDescent="0.45">
      <c r="B651" t="s">
        <v>2273</v>
      </c>
      <c r="C651" t="s">
        <v>307</v>
      </c>
      <c r="D651">
        <f>IFERROR(INDEX(Countries[],MATCH(CountryCleanup[[#This Row],[ISO3]],Countries[ISO3],0),3),"")</f>
        <v>72</v>
      </c>
      <c r="E651" t="str">
        <f>IFERROR(INDEX(Countries[],MATCH(CountryCleanup[[#This Row],[ISO3]],Countries[ISO3],0),6),"")</f>
        <v>Botswana</v>
      </c>
    </row>
    <row r="652" spans="2:5" x14ac:dyDescent="0.45">
      <c r="B652" t="s">
        <v>1565</v>
      </c>
      <c r="C652" t="s">
        <v>312</v>
      </c>
      <c r="D652">
        <f>IFERROR(INDEX(Countries[],MATCH(CountryCleanup[[#This Row],[ISO3]],Countries[ISO3],0),3),"")</f>
        <v>74</v>
      </c>
      <c r="E652" t="str">
        <f>IFERROR(INDEX(Countries[],MATCH(CountryCleanup[[#This Row],[ISO3]],Countries[ISO3],0),6),"")</f>
        <v>Bouvet Island</v>
      </c>
    </row>
    <row r="653" spans="2:5" x14ac:dyDescent="0.45">
      <c r="B653" t="s">
        <v>313</v>
      </c>
      <c r="C653" t="s">
        <v>312</v>
      </c>
      <c r="D653">
        <f>IFERROR(INDEX(Countries[],MATCH(CountryCleanup[[#This Row],[ISO3]],Countries[ISO3],0),3),"")</f>
        <v>74</v>
      </c>
      <c r="E653" t="str">
        <f>IFERROR(INDEX(Countries[],MATCH(CountryCleanup[[#This Row],[ISO3]],Countries[ISO3],0),6),"")</f>
        <v>Bouvet Island</v>
      </c>
    </row>
    <row r="654" spans="2:5" x14ac:dyDescent="0.45">
      <c r="B654" s="5" t="s">
        <v>1566</v>
      </c>
      <c r="C654" s="5" t="s">
        <v>324</v>
      </c>
      <c r="D654">
        <f>IFERROR(INDEX(Countries[],MATCH(CountryCleanup[[#This Row],[ISO3]],Countries[ISO3],0),3),"")</f>
        <v>86</v>
      </c>
      <c r="E654" t="str">
        <f>IFERROR(INDEX(Countries[],MATCH(CountryCleanup[[#This Row],[ISO3]],Countries[ISO3],0),6),"")</f>
        <v>British Indian Ocean Territory</v>
      </c>
    </row>
    <row r="655" spans="2:5" x14ac:dyDescent="0.45">
      <c r="B655" s="5" t="s">
        <v>1567</v>
      </c>
      <c r="C655" s="5" t="s">
        <v>330</v>
      </c>
      <c r="D655">
        <f>IFERROR(INDEX(Countries[],MATCH(CountryCleanup[[#This Row],[ISO3]],Countries[ISO3],0),3),"")</f>
        <v>92</v>
      </c>
      <c r="E655" t="str">
        <f>IFERROR(INDEX(Countries[],MATCH(CountryCleanup[[#This Row],[ISO3]],Countries[ISO3],0),6),"")</f>
        <v>British Virgin Islands</v>
      </c>
    </row>
    <row r="656" spans="2:5" x14ac:dyDescent="0.45">
      <c r="B656" t="s">
        <v>2385</v>
      </c>
      <c r="C656" t="s">
        <v>324</v>
      </c>
      <c r="D656">
        <f>IFERROR(INDEX(Countries[],MATCH(CountryCleanup[[#This Row],[ISO3]],Countries[ISO3],0),3),"")</f>
        <v>86</v>
      </c>
      <c r="E656" t="str">
        <f>IFERROR(INDEX(Countries[],MATCH(CountryCleanup[[#This Row],[ISO3]],Countries[ISO3],0),6),"")</f>
        <v>British Indian Ocean Territory</v>
      </c>
    </row>
    <row r="657" spans="2:5" x14ac:dyDescent="0.45">
      <c r="B657" t="s">
        <v>2396</v>
      </c>
      <c r="C657" t="s">
        <v>330</v>
      </c>
      <c r="D657">
        <f>IFERROR(INDEX(Countries[],MATCH(CountryCleanup[[#This Row],[ISO3]],Countries[ISO3],0),3),"")</f>
        <v>92</v>
      </c>
      <c r="E657" t="str">
        <f>IFERROR(INDEX(Countries[],MATCH(CountryCleanup[[#This Row],[ISO3]],Countries[ISO3],0),6),"")</f>
        <v>British Virgin Islands</v>
      </c>
    </row>
    <row r="658" spans="2:5" x14ac:dyDescent="0.45">
      <c r="B658" t="s">
        <v>319</v>
      </c>
      <c r="C658" t="s">
        <v>318</v>
      </c>
      <c r="D658">
        <f>IFERROR(INDEX(Countries[],MATCH(CountryCleanup[[#This Row],[ISO3]],Countries[ISO3],0),3),"")</f>
        <v>76</v>
      </c>
      <c r="E658" t="str">
        <f>IFERROR(INDEX(Countries[],MATCH(CountryCleanup[[#This Row],[ISO3]],Countries[ISO3],0),6),"")</f>
        <v>Brazil</v>
      </c>
    </row>
    <row r="659" spans="2:5" x14ac:dyDescent="0.45">
      <c r="B659" t="s">
        <v>1949</v>
      </c>
      <c r="C659" t="s">
        <v>318</v>
      </c>
      <c r="D659">
        <f>IFERROR(INDEX(Countries[],MATCH(CountryCleanup[[#This Row],[ISO3]],Countries[ISO3],0),3),"")</f>
        <v>76</v>
      </c>
      <c r="E659" t="str">
        <f>IFERROR(INDEX(Countries[],MATCH(CountryCleanup[[#This Row],[ISO3]],Countries[ISO3],0),6),"")</f>
        <v>Brazil</v>
      </c>
    </row>
    <row r="660" spans="2:5" x14ac:dyDescent="0.45">
      <c r="B660" t="s">
        <v>325</v>
      </c>
      <c r="C660" t="s">
        <v>324</v>
      </c>
      <c r="D660">
        <f>IFERROR(INDEX(Countries[],MATCH(CountryCleanup[[#This Row],[ISO3]],Countries[ISO3],0),3),"")</f>
        <v>86</v>
      </c>
      <c r="E660" t="str">
        <f>IFERROR(INDEX(Countries[],MATCH(CountryCleanup[[#This Row],[ISO3]],Countries[ISO3],0),6),"")</f>
        <v>British Indian Ocean Territory</v>
      </c>
    </row>
    <row r="661" spans="2:5" x14ac:dyDescent="0.45">
      <c r="B661" t="s">
        <v>1568</v>
      </c>
      <c r="C661" t="s">
        <v>330</v>
      </c>
      <c r="D661">
        <f>IFERROR(INDEX(Countries[],MATCH(CountryCleanup[[#This Row],[ISO3]],Countries[ISO3],0),3),"")</f>
        <v>92</v>
      </c>
      <c r="E661" t="str">
        <f>IFERROR(INDEX(Countries[],MATCH(CountryCleanup[[#This Row],[ISO3]],Countries[ISO3],0),6),"")</f>
        <v>British Virgin Islands</v>
      </c>
    </row>
    <row r="662" spans="2:5" x14ac:dyDescent="0.45">
      <c r="B662" t="s">
        <v>331</v>
      </c>
      <c r="C662" t="s">
        <v>330</v>
      </c>
      <c r="D662">
        <f>IFERROR(INDEX(Countries[],MATCH(CountryCleanup[[#This Row],[ISO3]],Countries[ISO3],0),3),"")</f>
        <v>92</v>
      </c>
      <c r="E662" t="str">
        <f>IFERROR(INDEX(Countries[],MATCH(CountryCleanup[[#This Row],[ISO3]],Countries[ISO3],0),6),"")</f>
        <v>British Virgin Islands</v>
      </c>
    </row>
    <row r="663" spans="2:5" x14ac:dyDescent="0.45">
      <c r="B663" t="s">
        <v>1569</v>
      </c>
      <c r="C663" s="5" t="s">
        <v>335</v>
      </c>
      <c r="D663">
        <f>IFERROR(INDEX(Countries[],MATCH(CountryCleanup[[#This Row],[ISO3]],Countries[ISO3],0),3),"")</f>
        <v>96</v>
      </c>
      <c r="E663" t="str">
        <f>IFERROR(INDEX(Countries[],MATCH(CountryCleanup[[#This Row],[ISO3]],Countries[ISO3],0),6),"")</f>
        <v>Brunei Darussalam</v>
      </c>
    </row>
    <row r="664" spans="2:5" x14ac:dyDescent="0.45">
      <c r="B664" t="s">
        <v>2286</v>
      </c>
      <c r="C664" t="s">
        <v>335</v>
      </c>
      <c r="D664">
        <f>IFERROR(INDEX(Countries[],MATCH(CountryCleanup[[#This Row],[ISO3]],Countries[ISO3],0),3),"")</f>
        <v>96</v>
      </c>
      <c r="E664" t="str">
        <f>IFERROR(INDEX(Countries[],MATCH(CountryCleanup[[#This Row],[ISO3]],Countries[ISO3],0),6),"")</f>
        <v>Brunei Darussalam</v>
      </c>
    </row>
    <row r="665" spans="2:5" x14ac:dyDescent="0.45">
      <c r="B665" s="5" t="s">
        <v>1570</v>
      </c>
      <c r="C665" s="5" t="s">
        <v>335</v>
      </c>
      <c r="D665">
        <f>IFERROR(INDEX(Countries[],MATCH(CountryCleanup[[#This Row],[ISO3]],Countries[ISO3],0),3),"")</f>
        <v>96</v>
      </c>
      <c r="E665" t="str">
        <f>IFERROR(INDEX(Countries[],MATCH(CountryCleanup[[#This Row],[ISO3]],Countries[ISO3],0),6),"")</f>
        <v>Brunei Darussalam</v>
      </c>
    </row>
    <row r="666" spans="2:5" x14ac:dyDescent="0.45">
      <c r="B666" t="s">
        <v>336</v>
      </c>
      <c r="C666" t="s">
        <v>335</v>
      </c>
      <c r="D666">
        <f>IFERROR(INDEX(Countries[],MATCH(CountryCleanup[[#This Row],[ISO3]],Countries[ISO3],0),3),"")</f>
        <v>96</v>
      </c>
      <c r="E666" t="str">
        <f>IFERROR(INDEX(Countries[],MATCH(CountryCleanup[[#This Row],[ISO3]],Countries[ISO3],0),6),"")</f>
        <v>Brunei Darussalam</v>
      </c>
    </row>
    <row r="667" spans="2:5" x14ac:dyDescent="0.45">
      <c r="B667" t="s">
        <v>342</v>
      </c>
      <c r="C667" t="s">
        <v>341</v>
      </c>
      <c r="D667">
        <f>IFERROR(INDEX(Countries[],MATCH(CountryCleanup[[#This Row],[ISO3]],Countries[ISO3],0),3),"")</f>
        <v>100</v>
      </c>
      <c r="E667" t="str">
        <f>IFERROR(INDEX(Countries[],MATCH(CountryCleanup[[#This Row],[ISO3]],Countries[ISO3],0),6),"")</f>
        <v>Bulgaria</v>
      </c>
    </row>
    <row r="668" spans="2:5" x14ac:dyDescent="0.45">
      <c r="B668" t="s">
        <v>1950</v>
      </c>
      <c r="C668" t="s">
        <v>341</v>
      </c>
      <c r="D668">
        <f>IFERROR(INDEX(Countries[],MATCH(CountryCleanup[[#This Row],[ISO3]],Countries[ISO3],0),3),"")</f>
        <v>100</v>
      </c>
      <c r="E668" t="str">
        <f>IFERROR(INDEX(Countries[],MATCH(CountryCleanup[[#This Row],[ISO3]],Countries[ISO3],0),6),"")</f>
        <v>Bulgaria</v>
      </c>
    </row>
    <row r="669" spans="2:5" x14ac:dyDescent="0.45">
      <c r="B669" t="s">
        <v>2398</v>
      </c>
      <c r="C669" t="s">
        <v>2402</v>
      </c>
      <c r="D669">
        <f>IFERROR(INDEX(Countries[],MATCH(CountryCleanup[[#This Row],[ISO3]],Countries[ISO3],0),3),"")</f>
        <v>99915</v>
      </c>
      <c r="E669" t="str">
        <f>IFERROR(INDEX(Countries[],MATCH(CountryCleanup[[#This Row],[ISO3]],Countries[ISO3],0),6),"")</f>
        <v>Bunkers</v>
      </c>
    </row>
    <row r="670" spans="2:5" x14ac:dyDescent="0.45">
      <c r="B670" t="s">
        <v>347</v>
      </c>
      <c r="C670" t="s">
        <v>346</v>
      </c>
      <c r="D670">
        <f>IFERROR(INDEX(Countries[],MATCH(CountryCleanup[[#This Row],[ISO3]],Countries[ISO3],0),3),"")</f>
        <v>854</v>
      </c>
      <c r="E670" t="str">
        <f>IFERROR(INDEX(Countries[],MATCH(CountryCleanup[[#This Row],[ISO3]],Countries[ISO3],0),6),"")</f>
        <v>Burkina Faso</v>
      </c>
    </row>
    <row r="671" spans="2:5" x14ac:dyDescent="0.45">
      <c r="B671" t="s">
        <v>350</v>
      </c>
      <c r="C671" t="s">
        <v>349</v>
      </c>
      <c r="D671">
        <f>IFERROR(INDEX(Countries[],MATCH(CountryCleanup[[#This Row],[ISO3]],Countries[ISO3],0),3),"")</f>
        <v>108</v>
      </c>
      <c r="E671" t="str">
        <f>IFERROR(INDEX(Countries[],MATCH(CountryCleanup[[#This Row],[ISO3]],Countries[ISO3],0),6),"")</f>
        <v>Burundi</v>
      </c>
    </row>
    <row r="672" spans="2:5" x14ac:dyDescent="0.45">
      <c r="B672" t="s">
        <v>1571</v>
      </c>
      <c r="C672" t="s">
        <v>464</v>
      </c>
      <c r="D672">
        <f>IFERROR(INDEX(Countries[],MATCH(CountryCleanup[[#This Row],[ISO3]],Countries[ISO3],0),3),"")</f>
        <v>384</v>
      </c>
      <c r="E672" t="str">
        <f>IFERROR(INDEX(Countries[],MATCH(CountryCleanup[[#This Row],[ISO3]],Countries[ISO3],0),6),"")</f>
        <v>Côte d'Ivoire</v>
      </c>
    </row>
    <row r="673" spans="2:5" x14ac:dyDescent="0.45">
      <c r="B673" t="s">
        <v>1572</v>
      </c>
      <c r="C673" t="s">
        <v>464</v>
      </c>
      <c r="D673">
        <f>IFERROR(INDEX(Countries[],MATCH(CountryCleanup[[#This Row],[ISO3]],Countries[ISO3],0),3),"")</f>
        <v>384</v>
      </c>
      <c r="E673" t="str">
        <f>IFERROR(INDEX(Countries[],MATCH(CountryCleanup[[#This Row],[ISO3]],Countries[ISO3],0),6),"")</f>
        <v>Côte d'Ivoire</v>
      </c>
    </row>
    <row r="674" spans="2:5" x14ac:dyDescent="0.45">
      <c r="B674" t="s">
        <v>354</v>
      </c>
      <c r="C674" t="s">
        <v>353</v>
      </c>
      <c r="D674">
        <f>IFERROR(INDEX(Countries[],MATCH(CountryCleanup[[#This Row],[ISO3]],Countries[ISO3],0),3),"")</f>
        <v>132</v>
      </c>
      <c r="E674" t="str">
        <f>IFERROR(INDEX(Countries[],MATCH(CountryCleanup[[#This Row],[ISO3]],Countries[ISO3],0),6),"")</f>
        <v>Cabo Verde</v>
      </c>
    </row>
    <row r="675" spans="2:5" x14ac:dyDescent="0.45">
      <c r="B675" s="9" t="s">
        <v>1573</v>
      </c>
      <c r="C675" t="s">
        <v>353</v>
      </c>
      <c r="D675">
        <f>IFERROR(INDEX(Countries[],MATCH(CountryCleanup[[#This Row],[ISO3]],Countries[ISO3],0),3),"")</f>
        <v>132</v>
      </c>
      <c r="E675" t="str">
        <f>IFERROR(INDEX(Countries[],MATCH(CountryCleanup[[#This Row],[ISO3]],Countries[ISO3],0),6),"")</f>
        <v>Cabo Verde</v>
      </c>
    </row>
    <row r="676" spans="2:5" x14ac:dyDescent="0.45">
      <c r="B676" t="s">
        <v>358</v>
      </c>
      <c r="C676" t="s">
        <v>357</v>
      </c>
      <c r="D676">
        <f>IFERROR(INDEX(Countries[],MATCH(CountryCleanup[[#This Row],[ISO3]],Countries[ISO3],0),3),"")</f>
        <v>116</v>
      </c>
      <c r="E676" t="str">
        <f>IFERROR(INDEX(Countries[],MATCH(CountryCleanup[[#This Row],[ISO3]],Countries[ISO3],0),6),"")</f>
        <v>Cambodia</v>
      </c>
    </row>
    <row r="677" spans="2:5" x14ac:dyDescent="0.45">
      <c r="B677" t="s">
        <v>2243</v>
      </c>
      <c r="C677" t="s">
        <v>357</v>
      </c>
      <c r="D677">
        <f>IFERROR(INDEX(Countries[],MATCH(CountryCleanup[[#This Row],[ISO3]],Countries[ISO3],0),3),"")</f>
        <v>116</v>
      </c>
      <c r="E677" t="str">
        <f>IFERROR(INDEX(Countries[],MATCH(CountryCleanup[[#This Row],[ISO3]],Countries[ISO3],0),6),"")</f>
        <v>Cambodia</v>
      </c>
    </row>
    <row r="678" spans="2:5" x14ac:dyDescent="0.45">
      <c r="B678" t="s">
        <v>364</v>
      </c>
      <c r="C678" t="s">
        <v>363</v>
      </c>
      <c r="D678">
        <f>IFERROR(INDEX(Countries[],MATCH(CountryCleanup[[#This Row],[ISO3]],Countries[ISO3],0),3),"")</f>
        <v>120</v>
      </c>
      <c r="E678" t="str">
        <f>IFERROR(INDEX(Countries[],MATCH(CountryCleanup[[#This Row],[ISO3]],Countries[ISO3],0),6),"")</f>
        <v>Cameroon</v>
      </c>
    </row>
    <row r="679" spans="2:5" x14ac:dyDescent="0.45">
      <c r="B679" t="s">
        <v>2236</v>
      </c>
      <c r="C679" t="s">
        <v>363</v>
      </c>
      <c r="D679">
        <f>IFERROR(INDEX(Countries[],MATCH(CountryCleanup[[#This Row],[ISO3]],Countries[ISO3],0),3),"")</f>
        <v>120</v>
      </c>
      <c r="E679" t="str">
        <f>IFERROR(INDEX(Countries[],MATCH(CountryCleanup[[#This Row],[ISO3]],Countries[ISO3],0),6),"")</f>
        <v>Cameroon</v>
      </c>
    </row>
    <row r="680" spans="2:5" x14ac:dyDescent="0.45">
      <c r="B680" t="s">
        <v>370</v>
      </c>
      <c r="C680" t="s">
        <v>369</v>
      </c>
      <c r="D680">
        <f>IFERROR(INDEX(Countries[],MATCH(CountryCleanup[[#This Row],[ISO3]],Countries[ISO3],0),3),"")</f>
        <v>124</v>
      </c>
      <c r="E680" t="str">
        <f>IFERROR(INDEX(Countries[],MATCH(CountryCleanup[[#This Row],[ISO3]],Countries[ISO3],0),6),"")</f>
        <v>Canada</v>
      </c>
    </row>
    <row r="681" spans="2:5" x14ac:dyDescent="0.45">
      <c r="B681" t="s">
        <v>1951</v>
      </c>
      <c r="C681" t="s">
        <v>369</v>
      </c>
      <c r="D681">
        <f>IFERROR(INDEX(Countries[],MATCH(CountryCleanup[[#This Row],[ISO3]],Countries[ISO3],0),3),"")</f>
        <v>124</v>
      </c>
      <c r="E681" t="str">
        <f>IFERROR(INDEX(Countries[],MATCH(CountryCleanup[[#This Row],[ISO3]],Countries[ISO3],0),6),"")</f>
        <v>Canada</v>
      </c>
    </row>
    <row r="682" spans="2:5" x14ac:dyDescent="0.45">
      <c r="B682" t="s">
        <v>2820</v>
      </c>
      <c r="C682" t="s">
        <v>1271</v>
      </c>
      <c r="D682">
        <f>IFERROR(INDEX(Countries[],MATCH(CountryCleanup[[#This Row],[ISO3]],Countries[ISO3],0),3),"")</f>
        <v>724</v>
      </c>
      <c r="E682" t="str">
        <f>IFERROR(INDEX(Countries[],MATCH(CountryCleanup[[#This Row],[ISO3]],Countries[ISO3],0),6),"")</f>
        <v>Spain</v>
      </c>
    </row>
    <row r="683" spans="2:5" x14ac:dyDescent="0.45">
      <c r="B683" t="s">
        <v>1574</v>
      </c>
      <c r="C683" t="s">
        <v>353</v>
      </c>
      <c r="D683">
        <f>IFERROR(INDEX(Countries[],MATCH(CountryCleanup[[#This Row],[ISO3]],Countries[ISO3],0),3),"")</f>
        <v>132</v>
      </c>
      <c r="E683" t="str">
        <f>IFERROR(INDEX(Countries[],MATCH(CountryCleanup[[#This Row],[ISO3]],Countries[ISO3],0),6),"")</f>
        <v>Cabo Verde</v>
      </c>
    </row>
    <row r="684" spans="2:5" x14ac:dyDescent="0.45">
      <c r="B684" t="s">
        <v>1575</v>
      </c>
      <c r="C684" s="3" t="s">
        <v>1917</v>
      </c>
      <c r="D684">
        <f>IFERROR(INDEX(Countries[],MATCH(CountryCleanup[[#This Row],[ISO3]],Countries[ISO3],0),3),"")</f>
        <v>99037</v>
      </c>
      <c r="E684" t="str">
        <f>IFERROR(INDEX(Countries[],MATCH(CountryCleanup[[#This Row],[ISO3]],Countries[ISO3],0),6),"")</f>
        <v>Residual/unallocated: Latin America and the Caribbean</v>
      </c>
    </row>
    <row r="685" spans="2:5" x14ac:dyDescent="0.45">
      <c r="B685" s="10" t="s">
        <v>1576</v>
      </c>
      <c r="C685" s="3" t="s">
        <v>1917</v>
      </c>
      <c r="D685">
        <f>IFERROR(INDEX(Countries[],MATCH(CountryCleanup[[#This Row],[ISO3]],Countries[ISO3],0),3),"")</f>
        <v>99037</v>
      </c>
      <c r="E685" t="str">
        <f>IFERROR(INDEX(Countries[],MATCH(CountryCleanup[[#This Row],[ISO3]],Countries[ISO3],0),6),"")</f>
        <v>Residual/unallocated: Latin America and the Caribbean</v>
      </c>
    </row>
    <row r="686" spans="2:5" x14ac:dyDescent="0.45">
      <c r="B686" t="s">
        <v>2505</v>
      </c>
      <c r="C686" s="3" t="s">
        <v>478</v>
      </c>
      <c r="D686">
        <f>IFERROR(INDEX(Countries[],MATCH(CountryCleanup[[#This Row],[ISO3]],Countries[ISO3],0),3),"")</f>
        <v>531</v>
      </c>
      <c r="E686" t="str">
        <f>IFERROR(INDEX(Countries[],MATCH(CountryCleanup[[#This Row],[ISO3]],Countries[ISO3],0),6),"")</f>
        <v>Curaçao</v>
      </c>
    </row>
    <row r="687" spans="2:5" x14ac:dyDescent="0.45">
      <c r="B687" t="s">
        <v>1577</v>
      </c>
      <c r="C687" s="3" t="s">
        <v>1917</v>
      </c>
      <c r="D687">
        <f>IFERROR(INDEX(Countries[],MATCH(CountryCleanup[[#This Row],[ISO3]],Countries[ISO3],0),3),"")</f>
        <v>99037</v>
      </c>
      <c r="E687" t="str">
        <f>IFERROR(INDEX(Countries[],MATCH(CountryCleanup[[#This Row],[ISO3]],Countries[ISO3],0),6),"")</f>
        <v>Residual/unallocated: Latin America and the Caribbean</v>
      </c>
    </row>
    <row r="688" spans="2:5" x14ac:dyDescent="0.45">
      <c r="B688" s="5" t="s">
        <v>1578</v>
      </c>
      <c r="C688" s="5" t="s">
        <v>375</v>
      </c>
      <c r="D688">
        <f>IFERROR(INDEX(Countries[],MATCH(CountryCleanup[[#This Row],[ISO3]],Countries[ISO3],0),3),"")</f>
        <v>136</v>
      </c>
      <c r="E688" t="str">
        <f>IFERROR(INDEX(Countries[],MATCH(CountryCleanup[[#This Row],[ISO3]],Countries[ISO3],0),6),"")</f>
        <v>Cayman Islands</v>
      </c>
    </row>
    <row r="689" spans="2:5" x14ac:dyDescent="0.45">
      <c r="B689" t="s">
        <v>1579</v>
      </c>
      <c r="C689" s="5" t="s">
        <v>375</v>
      </c>
      <c r="D689">
        <f>IFERROR(INDEX(Countries[],MATCH(CountryCleanup[[#This Row],[ISO3]],Countries[ISO3],0),3),"")</f>
        <v>136</v>
      </c>
      <c r="E689" t="str">
        <f>IFERROR(INDEX(Countries[],MATCH(CountryCleanup[[#This Row],[ISO3]],Countries[ISO3],0),6),"")</f>
        <v>Cayman Islands</v>
      </c>
    </row>
    <row r="690" spans="2:5" x14ac:dyDescent="0.45">
      <c r="B690" t="s">
        <v>2380</v>
      </c>
      <c r="C690" t="s">
        <v>375</v>
      </c>
      <c r="D690">
        <f>IFERROR(INDEX(Countries[],MATCH(CountryCleanup[[#This Row],[ISO3]],Countries[ISO3],0),3),"")</f>
        <v>136</v>
      </c>
      <c r="E690" t="str">
        <f>IFERROR(INDEX(Countries[],MATCH(CountryCleanup[[#This Row],[ISO3]],Countries[ISO3],0),6),"")</f>
        <v>Cayman Islands</v>
      </c>
    </row>
    <row r="691" spans="2:5" x14ac:dyDescent="0.45">
      <c r="B691" t="s">
        <v>376</v>
      </c>
      <c r="C691" s="5" t="s">
        <v>375</v>
      </c>
      <c r="D691">
        <f>IFERROR(INDEX(Countries[],MATCH(CountryCleanup[[#This Row],[ISO3]],Countries[ISO3],0),3),"")</f>
        <v>136</v>
      </c>
      <c r="E691" t="str">
        <f>IFERROR(INDEX(Countries[],MATCH(CountryCleanup[[#This Row],[ISO3]],Countries[ISO3],0),6),"")</f>
        <v>Cayman Islands</v>
      </c>
    </row>
    <row r="692" spans="2:5" x14ac:dyDescent="0.45">
      <c r="B692" s="5" t="s">
        <v>1580</v>
      </c>
      <c r="C692" s="5" t="s">
        <v>381</v>
      </c>
      <c r="D692">
        <f>IFERROR(INDEX(Countries[],MATCH(CountryCleanup[[#This Row],[ISO3]],Countries[ISO3],0),3),"")</f>
        <v>140</v>
      </c>
      <c r="E692" t="str">
        <f>IFERROR(INDEX(Countries[],MATCH(CountryCleanup[[#This Row],[ISO3]],Countries[ISO3],0),6),"")</f>
        <v>Central African Republic (the)</v>
      </c>
    </row>
    <row r="693" spans="2:5" x14ac:dyDescent="0.45">
      <c r="B693" t="s">
        <v>2361</v>
      </c>
      <c r="C693" t="s">
        <v>381</v>
      </c>
      <c r="D693">
        <f>IFERROR(INDEX(Countries[],MATCH(CountryCleanup[[#This Row],[ISO3]],Countries[ISO3],0),3),"")</f>
        <v>140</v>
      </c>
      <c r="E693" t="str">
        <f>IFERROR(INDEX(Countries[],MATCH(CountryCleanup[[#This Row],[ISO3]],Countries[ISO3],0),6),"")</f>
        <v>Central African Republic (the)</v>
      </c>
    </row>
    <row r="694" spans="2:5" x14ac:dyDescent="0.45">
      <c r="B694" t="s">
        <v>382</v>
      </c>
      <c r="C694" t="s">
        <v>381</v>
      </c>
      <c r="D694">
        <f>IFERROR(INDEX(Countries[],MATCH(CountryCleanup[[#This Row],[ISO3]],Countries[ISO3],0),3),"")</f>
        <v>140</v>
      </c>
      <c r="E694" t="str">
        <f>IFERROR(INDEX(Countries[],MATCH(CountryCleanup[[#This Row],[ISO3]],Countries[ISO3],0),6),"")</f>
        <v>Central African Republic (the)</v>
      </c>
    </row>
    <row r="695" spans="2:5" x14ac:dyDescent="0.45">
      <c r="B695" t="s">
        <v>176</v>
      </c>
      <c r="C695" s="3" t="s">
        <v>1917</v>
      </c>
      <c r="D695">
        <f>IFERROR(INDEX(Countries[],MATCH(CountryCleanup[[#This Row],[ISO3]],Countries[ISO3],0),3),"")</f>
        <v>99037</v>
      </c>
      <c r="E695" t="str">
        <f>IFERROR(INDEX(Countries[],MATCH(CountryCleanup[[#This Row],[ISO3]],Countries[ISO3],0),6),"")</f>
        <v>Residual/unallocated: Latin America and the Caribbean</v>
      </c>
    </row>
    <row r="696" spans="2:5" x14ac:dyDescent="0.45">
      <c r="B696" t="s">
        <v>1581</v>
      </c>
      <c r="C696" s="3" t="s">
        <v>1917</v>
      </c>
      <c r="D696">
        <f>IFERROR(INDEX(Countries[],MATCH(CountryCleanup[[#This Row],[ISO3]],Countries[ISO3],0),3),"")</f>
        <v>99037</v>
      </c>
      <c r="E696" t="str">
        <f>IFERROR(INDEX(Countries[],MATCH(CountryCleanup[[#This Row],[ISO3]],Countries[ISO3],0),6),"")</f>
        <v>Residual/unallocated: Latin America and the Caribbean</v>
      </c>
    </row>
    <row r="697" spans="2:5" x14ac:dyDescent="0.45">
      <c r="B697" t="s">
        <v>1582</v>
      </c>
      <c r="C697" s="5" t="s">
        <v>1924</v>
      </c>
      <c r="D697">
        <f>IFERROR(INDEX(Countries[],MATCH(CountryCleanup[[#This Row],[ISO3]],Countries[ISO3],0),3),"")</f>
        <v>99035</v>
      </c>
      <c r="E697" t="str">
        <f>IFERROR(INDEX(Countries[],MATCH(CountryCleanup[[#This Row],[ISO3]],Countries[ISO3],0),6),"")</f>
        <v>Residual/unallocated: Central Asia and Southern Asia</v>
      </c>
    </row>
    <row r="698" spans="2:5" x14ac:dyDescent="0.45">
      <c r="B698" t="s">
        <v>392</v>
      </c>
      <c r="C698" t="s">
        <v>391</v>
      </c>
      <c r="D698">
        <f>IFERROR(INDEX(Countries[],MATCH(CountryCleanup[[#This Row],[ISO3]],Countries[ISO3],0),3),"")</f>
        <v>148</v>
      </c>
      <c r="E698" t="str">
        <f>IFERROR(INDEX(Countries[],MATCH(CountryCleanup[[#This Row],[ISO3]],Countries[ISO3],0),6),"")</f>
        <v>Chad</v>
      </c>
    </row>
    <row r="699" spans="2:5" x14ac:dyDescent="0.45">
      <c r="B699" s="5" t="s">
        <v>395</v>
      </c>
      <c r="C699" s="5" t="s">
        <v>394</v>
      </c>
      <c r="D699">
        <f>IFERROR(INDEX(Countries[],MATCH(CountryCleanup[[#This Row],[ISO3]],Countries[ISO3],0),3),"")</f>
        <v>830</v>
      </c>
      <c r="E699" t="str">
        <f>IFERROR(INDEX(Countries[],MATCH(CountryCleanup[[#This Row],[ISO3]],Countries[ISO3],0),6),"")</f>
        <v>Channel Islands</v>
      </c>
    </row>
    <row r="700" spans="2:5" x14ac:dyDescent="0.45">
      <c r="B700" t="s">
        <v>400</v>
      </c>
      <c r="C700" t="s">
        <v>399</v>
      </c>
      <c r="D700">
        <f>IFERROR(INDEX(Countries[],MATCH(CountryCleanup[[#This Row],[ISO3]],Countries[ISO3],0),3),"")</f>
        <v>152</v>
      </c>
      <c r="E700" t="str">
        <f>IFERROR(INDEX(Countries[],MATCH(CountryCleanup[[#This Row],[ISO3]],Countries[ISO3],0),6),"")</f>
        <v>Chile</v>
      </c>
    </row>
    <row r="701" spans="2:5" x14ac:dyDescent="0.45">
      <c r="B701" t="s">
        <v>1952</v>
      </c>
      <c r="C701" t="s">
        <v>399</v>
      </c>
      <c r="D701">
        <f>IFERROR(INDEX(Countries[],MATCH(CountryCleanup[[#This Row],[ISO3]],Countries[ISO3],0),3),"")</f>
        <v>152</v>
      </c>
      <c r="E701" t="str">
        <f>IFERROR(INDEX(Countries[],MATCH(CountryCleanup[[#This Row],[ISO3]],Countries[ISO3],0),6),"")</f>
        <v>Chile</v>
      </c>
    </row>
    <row r="702" spans="2:5" x14ac:dyDescent="0.45">
      <c r="B702" t="s">
        <v>405</v>
      </c>
      <c r="C702" t="s">
        <v>404</v>
      </c>
      <c r="D702">
        <f>IFERROR(INDEX(Countries[],MATCH(CountryCleanup[[#This Row],[ISO3]],Countries[ISO3],0),3),"")</f>
        <v>156</v>
      </c>
      <c r="E702" t="str">
        <f>IFERROR(INDEX(Countries[],MATCH(CountryCleanup[[#This Row],[ISO3]],Countries[ISO3],0),6),"")</f>
        <v>China</v>
      </c>
    </row>
    <row r="703" spans="2:5" x14ac:dyDescent="0.45">
      <c r="B703" t="s">
        <v>1953</v>
      </c>
      <c r="C703" t="s">
        <v>404</v>
      </c>
      <c r="D703">
        <f>IFERROR(INDEX(Countries[],MATCH(CountryCleanup[[#This Row],[ISO3]],Countries[ISO3],0),3),"")</f>
        <v>156</v>
      </c>
      <c r="E703" t="str">
        <f>IFERROR(INDEX(Countries[],MATCH(CountryCleanup[[#This Row],[ISO3]],Countries[ISO3],0),6),"")</f>
        <v>China</v>
      </c>
    </row>
    <row r="704" spans="2:5" ht="15.4" x14ac:dyDescent="0.45">
      <c r="B704" s="11" t="s">
        <v>1583</v>
      </c>
      <c r="C704" s="5" t="s">
        <v>410</v>
      </c>
      <c r="D704">
        <f>IFERROR(INDEX(Countries[],MATCH(CountryCleanup[[#This Row],[ISO3]],Countries[ISO3],0),3),"")</f>
        <v>344</v>
      </c>
      <c r="E704" t="str">
        <f>IFERROR(INDEX(Countries[],MATCH(CountryCleanup[[#This Row],[ISO3]],Countries[ISO3],0),6),"")</f>
        <v>China, Hong Kong Special Administrative Region</v>
      </c>
    </row>
    <row r="705" spans="2:5" ht="15.4" x14ac:dyDescent="0.45">
      <c r="B705" s="11" t="s">
        <v>1584</v>
      </c>
      <c r="C705" s="5" t="s">
        <v>417</v>
      </c>
      <c r="D705">
        <f>IFERROR(INDEX(Countries[],MATCH(CountryCleanup[[#This Row],[ISO3]],Countries[ISO3],0),3),"")</f>
        <v>446</v>
      </c>
      <c r="E705" t="str">
        <f>IFERROR(INDEX(Countries[],MATCH(CountryCleanup[[#This Row],[ISO3]],Countries[ISO3],0),6),"")</f>
        <v>China, Macao Special Administrative Region</v>
      </c>
    </row>
    <row r="706" spans="2:5" x14ac:dyDescent="0.45">
      <c r="B706" t="s">
        <v>1585</v>
      </c>
      <c r="C706" t="s">
        <v>404</v>
      </c>
      <c r="D706">
        <f>IFERROR(INDEX(Countries[],MATCH(CountryCleanup[[#This Row],[ISO3]],Countries[ISO3],0),3),"")</f>
        <v>156</v>
      </c>
      <c r="E706" t="str">
        <f>IFERROR(INDEX(Countries[],MATCH(CountryCleanup[[#This Row],[ISO3]],Countries[ISO3],0),6),"")</f>
        <v>China</v>
      </c>
    </row>
    <row r="707" spans="2:5" x14ac:dyDescent="0.45">
      <c r="B707" t="s">
        <v>1586</v>
      </c>
      <c r="C707" t="s">
        <v>404</v>
      </c>
      <c r="D707">
        <f>IFERROR(INDEX(Countries[],MATCH(CountryCleanup[[#This Row],[ISO3]],Countries[ISO3],0),3),"")</f>
        <v>156</v>
      </c>
      <c r="E707" t="str">
        <f>IFERROR(INDEX(Countries[],MATCH(CountryCleanup[[#This Row],[ISO3]],Countries[ISO3],0),6),"")</f>
        <v>China</v>
      </c>
    </row>
    <row r="708" spans="2:5" x14ac:dyDescent="0.45">
      <c r="B708" t="s">
        <v>1587</v>
      </c>
      <c r="C708" t="s">
        <v>404</v>
      </c>
      <c r="D708">
        <f>IFERROR(INDEX(Countries[],MATCH(CountryCleanup[[#This Row],[ISO3]],Countries[ISO3],0),3),"")</f>
        <v>156</v>
      </c>
      <c r="E708" t="str">
        <f>IFERROR(INDEX(Countries[],MATCH(CountryCleanup[[#This Row],[ISO3]],Countries[ISO3],0),6),"")</f>
        <v>China</v>
      </c>
    </row>
    <row r="709" spans="2:5" x14ac:dyDescent="0.45">
      <c r="B709" t="s">
        <v>1588</v>
      </c>
      <c r="C709" t="s">
        <v>410</v>
      </c>
      <c r="D709">
        <f>IFERROR(INDEX(Countries[],MATCH(CountryCleanup[[#This Row],[ISO3]],Countries[ISO3],0),3),"")</f>
        <v>344</v>
      </c>
      <c r="E709" t="str">
        <f>IFERROR(INDEX(Countries[],MATCH(CountryCleanup[[#This Row],[ISO3]],Countries[ISO3],0),6),"")</f>
        <v>China, Hong Kong Special Administrative Region</v>
      </c>
    </row>
    <row r="710" spans="2:5" x14ac:dyDescent="0.45">
      <c r="B710" t="s">
        <v>2766</v>
      </c>
      <c r="C710" s="3" t="s">
        <v>410</v>
      </c>
      <c r="D710">
        <f>IFERROR(INDEX(Countries[],MATCH(CountryCleanup[[#This Row],[ISO3]],Countries[ISO3],0),3),"")</f>
        <v>344</v>
      </c>
      <c r="E710" t="str">
        <f>IFERROR(INDEX(Countries[],MATCH(CountryCleanup[[#This Row],[ISO3]],Countries[ISO3],0),6),"")</f>
        <v>China, Hong Kong Special Administrative Region</v>
      </c>
    </row>
    <row r="711" spans="2:5" x14ac:dyDescent="0.45">
      <c r="B711" t="s">
        <v>1589</v>
      </c>
      <c r="C711" s="5" t="s">
        <v>410</v>
      </c>
      <c r="D711">
        <f>IFERROR(INDEX(Countries[],MATCH(CountryCleanup[[#This Row],[ISO3]],Countries[ISO3],0),3),"")</f>
        <v>344</v>
      </c>
      <c r="E711" t="str">
        <f>IFERROR(INDEX(Countries[],MATCH(CountryCleanup[[#This Row],[ISO3]],Countries[ISO3],0),6),"")</f>
        <v>China, Hong Kong Special Administrative Region</v>
      </c>
    </row>
    <row r="712" spans="2:5" x14ac:dyDescent="0.45">
      <c r="B712" t="s">
        <v>1590</v>
      </c>
      <c r="C712" t="s">
        <v>417</v>
      </c>
      <c r="D712">
        <f>IFERROR(INDEX(Countries[],MATCH(CountryCleanup[[#This Row],[ISO3]],Countries[ISO3],0),3),"")</f>
        <v>446</v>
      </c>
      <c r="E712" t="str">
        <f>IFERROR(INDEX(Countries[],MATCH(CountryCleanup[[#This Row],[ISO3]],Countries[ISO3],0),6),"")</f>
        <v>China, Macao Special Administrative Region</v>
      </c>
    </row>
    <row r="713" spans="2:5" x14ac:dyDescent="0.45">
      <c r="B713" t="s">
        <v>2812</v>
      </c>
      <c r="C713" t="s">
        <v>417</v>
      </c>
      <c r="D713">
        <f>IFERROR(INDEX(Countries[],MATCH(CountryCleanup[[#This Row],[ISO3]],Countries[ISO3],0),3),"")</f>
        <v>446</v>
      </c>
      <c r="E713" t="str">
        <f>IFERROR(INDEX(Countries[],MATCH(CountryCleanup[[#This Row],[ISO3]],Countries[ISO3],0),6),"")</f>
        <v>China, Macao Special Administrative Region</v>
      </c>
    </row>
    <row r="714" spans="2:5" x14ac:dyDescent="0.45">
      <c r="B714" t="s">
        <v>1591</v>
      </c>
      <c r="C714" s="5" t="s">
        <v>417</v>
      </c>
      <c r="D714">
        <f>IFERROR(INDEX(Countries[],MATCH(CountryCleanup[[#This Row],[ISO3]],Countries[ISO3],0),3),"")</f>
        <v>446</v>
      </c>
      <c r="E714" t="str">
        <f>IFERROR(INDEX(Countries[],MATCH(CountryCleanup[[#This Row],[ISO3]],Countries[ISO3],0),6),"")</f>
        <v>China, Macao Special Administrative Region</v>
      </c>
    </row>
    <row r="715" spans="2:5" x14ac:dyDescent="0.45">
      <c r="B715" t="s">
        <v>411</v>
      </c>
      <c r="C715" t="s">
        <v>410</v>
      </c>
      <c r="D715">
        <f>IFERROR(INDEX(Countries[],MATCH(CountryCleanup[[#This Row],[ISO3]],Countries[ISO3],0),3),"")</f>
        <v>344</v>
      </c>
      <c r="E715" t="str">
        <f>IFERROR(INDEX(Countries[],MATCH(CountryCleanup[[#This Row],[ISO3]],Countries[ISO3],0),6),"")</f>
        <v>China, Hong Kong Special Administrative Region</v>
      </c>
    </row>
    <row r="716" spans="2:5" x14ac:dyDescent="0.45">
      <c r="B716" t="s">
        <v>412</v>
      </c>
      <c r="C716" t="s">
        <v>410</v>
      </c>
      <c r="D716">
        <f>IFERROR(INDEX(Countries[],MATCH(CountryCleanup[[#This Row],[ISO3]],Countries[ISO3],0),3),"")</f>
        <v>344</v>
      </c>
      <c r="E716" t="str">
        <f>IFERROR(INDEX(Countries[],MATCH(CountryCleanup[[#This Row],[ISO3]],Countries[ISO3],0),6),"")</f>
        <v>China, Hong Kong Special Administrative Region</v>
      </c>
    </row>
    <row r="717" spans="2:5" x14ac:dyDescent="0.45">
      <c r="B717" s="9" t="s">
        <v>418</v>
      </c>
      <c r="C717" s="5" t="s">
        <v>417</v>
      </c>
      <c r="D717">
        <f>IFERROR(INDEX(Countries[],MATCH(CountryCleanup[[#This Row],[ISO3]],Countries[ISO3],0),3),"")</f>
        <v>446</v>
      </c>
      <c r="E717" t="str">
        <f>IFERROR(INDEX(Countries[],MATCH(CountryCleanup[[#This Row],[ISO3]],Countries[ISO3],0),6),"")</f>
        <v>China, Macao Special Administrative Region</v>
      </c>
    </row>
    <row r="718" spans="2:5" x14ac:dyDescent="0.45">
      <c r="B718" t="s">
        <v>419</v>
      </c>
      <c r="C718" t="s">
        <v>417</v>
      </c>
      <c r="D718">
        <f>IFERROR(INDEX(Countries[],MATCH(CountryCleanup[[#This Row],[ISO3]],Countries[ISO3],0),3),"")</f>
        <v>446</v>
      </c>
      <c r="E718" t="str">
        <f>IFERROR(INDEX(Countries[],MATCH(CountryCleanup[[#This Row],[ISO3]],Countries[ISO3],0),6),"")</f>
        <v>China, Macao Special Administrative Region</v>
      </c>
    </row>
    <row r="719" spans="2:5" x14ac:dyDescent="0.45">
      <c r="B719" s="13" t="s">
        <v>1592</v>
      </c>
      <c r="C719" t="s">
        <v>404</v>
      </c>
      <c r="D719">
        <f>IFERROR(INDEX(Countries[],MATCH(CountryCleanup[[#This Row],[ISO3]],Countries[ISO3],0),3),"")</f>
        <v>156</v>
      </c>
      <c r="E719" t="str">
        <f>IFERROR(INDEX(Countries[],MATCH(CountryCleanup[[#This Row],[ISO3]],Countries[ISO3],0),6),"")</f>
        <v>China</v>
      </c>
    </row>
    <row r="720" spans="2:5" x14ac:dyDescent="0.45">
      <c r="B720" t="s">
        <v>1593</v>
      </c>
      <c r="C720" t="s">
        <v>424</v>
      </c>
      <c r="D720">
        <f>IFERROR(INDEX(Countries[],MATCH(CountryCleanup[[#This Row],[ISO3]],Countries[ISO3],0),3),"")</f>
        <v>158</v>
      </c>
      <c r="E720" t="str">
        <f>IFERROR(INDEX(Countries[],MATCH(CountryCleanup[[#This Row],[ISO3]],Countries[ISO3],0),6),"")</f>
        <v>Chinese Taipei</v>
      </c>
    </row>
    <row r="721" spans="2:5" x14ac:dyDescent="0.45">
      <c r="B721" s="13" t="s">
        <v>1594</v>
      </c>
      <c r="C721" t="s">
        <v>424</v>
      </c>
      <c r="D721">
        <f>IFERROR(INDEX(Countries[],MATCH(CountryCleanup[[#This Row],[ISO3]],Countries[ISO3],0),3),"")</f>
        <v>158</v>
      </c>
      <c r="E721" t="str">
        <f>IFERROR(INDEX(Countries[],MATCH(CountryCleanup[[#This Row],[ISO3]],Countries[ISO3],0),6),"")</f>
        <v>Chinese Taipei</v>
      </c>
    </row>
    <row r="722" spans="2:5" x14ac:dyDescent="0.45">
      <c r="B722" t="s">
        <v>1595</v>
      </c>
      <c r="C722" t="s">
        <v>424</v>
      </c>
      <c r="D722">
        <f>IFERROR(INDEX(Countries[],MATCH(CountryCleanup[[#This Row],[ISO3]],Countries[ISO3],0),3),"")</f>
        <v>158</v>
      </c>
      <c r="E722" t="str">
        <f>IFERROR(INDEX(Countries[],MATCH(CountryCleanup[[#This Row],[ISO3]],Countries[ISO3],0),6),"")</f>
        <v>Chinese Taipei</v>
      </c>
    </row>
    <row r="723" spans="2:5" x14ac:dyDescent="0.45">
      <c r="B723" t="s">
        <v>425</v>
      </c>
      <c r="C723" t="s">
        <v>424</v>
      </c>
      <c r="D723">
        <f>IFERROR(INDEX(Countries[],MATCH(CountryCleanup[[#This Row],[ISO3]],Countries[ISO3],0),3),"")</f>
        <v>158</v>
      </c>
      <c r="E723" t="str">
        <f>IFERROR(INDEX(Countries[],MATCH(CountryCleanup[[#This Row],[ISO3]],Countries[ISO3],0),6),"")</f>
        <v>Chinese Taipei</v>
      </c>
    </row>
    <row r="724" spans="2:5" x14ac:dyDescent="0.45">
      <c r="B724" t="s">
        <v>1596</v>
      </c>
      <c r="C724" s="5" t="s">
        <v>430</v>
      </c>
      <c r="D724">
        <f>IFERROR(INDEX(Countries[],MATCH(CountryCleanup[[#This Row],[ISO3]],Countries[ISO3],0),3),"")</f>
        <v>162</v>
      </c>
      <c r="E724" t="str">
        <f>IFERROR(INDEX(Countries[],MATCH(CountryCleanup[[#This Row],[ISO3]],Countries[ISO3],0),6),"")</f>
        <v>Christmas Island</v>
      </c>
    </row>
    <row r="725" spans="2:5" x14ac:dyDescent="0.45">
      <c r="B725" s="5" t="s">
        <v>1597</v>
      </c>
      <c r="C725" s="5" t="s">
        <v>430</v>
      </c>
      <c r="D725">
        <f>IFERROR(INDEX(Countries[],MATCH(CountryCleanup[[#This Row],[ISO3]],Countries[ISO3],0),3),"")</f>
        <v>162</v>
      </c>
      <c r="E725" t="str">
        <f>IFERROR(INDEX(Countries[],MATCH(CountryCleanup[[#This Row],[ISO3]],Countries[ISO3],0),6),"")</f>
        <v>Christmas Island</v>
      </c>
    </row>
    <row r="726" spans="2:5" x14ac:dyDescent="0.45">
      <c r="B726" t="s">
        <v>2379</v>
      </c>
      <c r="C726" t="s">
        <v>430</v>
      </c>
      <c r="D726">
        <f>IFERROR(INDEX(Countries[],MATCH(CountryCleanup[[#This Row],[ISO3]],Countries[ISO3],0),3),"")</f>
        <v>162</v>
      </c>
      <c r="E726" t="str">
        <f>IFERROR(INDEX(Countries[],MATCH(CountryCleanup[[#This Row],[ISO3]],Countries[ISO3],0),6),"")</f>
        <v>Christmas Island</v>
      </c>
    </row>
    <row r="727" spans="2:5" x14ac:dyDescent="0.45">
      <c r="B727" t="s">
        <v>431</v>
      </c>
      <c r="C727" t="s">
        <v>430</v>
      </c>
      <c r="D727">
        <f>IFERROR(INDEX(Countries[],MATCH(CountryCleanup[[#This Row],[ISO3]],Countries[ISO3],0),3),"")</f>
        <v>162</v>
      </c>
      <c r="E727" t="str">
        <f>IFERROR(INDEX(Countries[],MATCH(CountryCleanup[[#This Row],[ISO3]],Countries[ISO3],0),6),"")</f>
        <v>Christmas Island</v>
      </c>
    </row>
    <row r="728" spans="2:5" x14ac:dyDescent="0.45">
      <c r="B728" s="9" t="s">
        <v>1598</v>
      </c>
      <c r="C728" t="s">
        <v>430</v>
      </c>
      <c r="D728">
        <f>IFERROR(INDEX(Countries[],MATCH(CountryCleanup[[#This Row],[ISO3]],Countries[ISO3],0),3),"")</f>
        <v>162</v>
      </c>
      <c r="E728" t="str">
        <f>IFERROR(INDEX(Countries[],MATCH(CountryCleanup[[#This Row],[ISO3]],Countries[ISO3],0),6),"")</f>
        <v>Christmas Island</v>
      </c>
    </row>
    <row r="729" spans="2:5" x14ac:dyDescent="0.45">
      <c r="B729" t="s">
        <v>2821</v>
      </c>
      <c r="C729" t="s">
        <v>596</v>
      </c>
      <c r="D729">
        <f>IFERROR(INDEX(Countries[],MATCH(CountryCleanup[[#This Row],[ISO3]],Countries[ISO3],0),3),"")</f>
        <v>250</v>
      </c>
      <c r="E729" t="str">
        <f>IFERROR(INDEX(Countries[],MATCH(CountryCleanup[[#This Row],[ISO3]],Countries[ISO3],0),6),"")</f>
        <v>France</v>
      </c>
    </row>
    <row r="730" spans="2:5" x14ac:dyDescent="0.45">
      <c r="B730" t="s">
        <v>436</v>
      </c>
      <c r="C730" t="s">
        <v>435</v>
      </c>
      <c r="D730">
        <f>IFERROR(INDEX(Countries[],MATCH(CountryCleanup[[#This Row],[ISO3]],Countries[ISO3],0),3),"")</f>
        <v>166</v>
      </c>
      <c r="E730" t="str">
        <f>IFERROR(INDEX(Countries[],MATCH(CountryCleanup[[#This Row],[ISO3]],Countries[ISO3],0),6),"")</f>
        <v>Cocos (Keeling) Islands</v>
      </c>
    </row>
    <row r="731" spans="2:5" x14ac:dyDescent="0.45">
      <c r="B731" s="5" t="s">
        <v>1599</v>
      </c>
      <c r="C731" s="5" t="s">
        <v>435</v>
      </c>
      <c r="D731">
        <f>IFERROR(INDEX(Countries[],MATCH(CountryCleanup[[#This Row],[ISO3]],Countries[ISO3],0),3),"")</f>
        <v>166</v>
      </c>
      <c r="E731" t="str">
        <f>IFERROR(INDEX(Countries[],MATCH(CountryCleanup[[#This Row],[ISO3]],Countries[ISO3],0),6),"")</f>
        <v>Cocos (Keeling) Islands</v>
      </c>
    </row>
    <row r="732" spans="2:5" x14ac:dyDescent="0.45">
      <c r="B732" t="s">
        <v>1600</v>
      </c>
      <c r="C732" s="5" t="s">
        <v>435</v>
      </c>
      <c r="D732">
        <f>IFERROR(INDEX(Countries[],MATCH(CountryCleanup[[#This Row],[ISO3]],Countries[ISO3],0),3),"")</f>
        <v>166</v>
      </c>
      <c r="E732" t="str">
        <f>IFERROR(INDEX(Countries[],MATCH(CountryCleanup[[#This Row],[ISO3]],Countries[ISO3],0),6),"")</f>
        <v>Cocos (Keeling) Islands</v>
      </c>
    </row>
    <row r="733" spans="2:5" x14ac:dyDescent="0.45">
      <c r="B733" t="s">
        <v>2377</v>
      </c>
      <c r="C733" t="s">
        <v>435</v>
      </c>
      <c r="D733">
        <f>IFERROR(INDEX(Countries[],MATCH(CountryCleanup[[#This Row],[ISO3]],Countries[ISO3],0),3),"")</f>
        <v>166</v>
      </c>
      <c r="E733" t="str">
        <f>IFERROR(INDEX(Countries[],MATCH(CountryCleanup[[#This Row],[ISO3]],Countries[ISO3],0),6),"")</f>
        <v>Cocos (Keeling) Islands</v>
      </c>
    </row>
    <row r="734" spans="2:5" x14ac:dyDescent="0.45">
      <c r="B734" s="9" t="s">
        <v>1601</v>
      </c>
      <c r="C734" s="5" t="s">
        <v>435</v>
      </c>
      <c r="D734">
        <f>IFERROR(INDEX(Countries[],MATCH(CountryCleanup[[#This Row],[ISO3]],Countries[ISO3],0),3),"")</f>
        <v>166</v>
      </c>
      <c r="E734" t="str">
        <f>IFERROR(INDEX(Countries[],MATCH(CountryCleanup[[#This Row],[ISO3]],Countries[ISO3],0),6),"")</f>
        <v>Cocos (Keeling) Islands</v>
      </c>
    </row>
    <row r="735" spans="2:5" x14ac:dyDescent="0.45">
      <c r="B735" t="s">
        <v>441</v>
      </c>
      <c r="C735" t="s">
        <v>440</v>
      </c>
      <c r="D735">
        <f>IFERROR(INDEX(Countries[],MATCH(CountryCleanup[[#This Row],[ISO3]],Countries[ISO3],0),3),"")</f>
        <v>170</v>
      </c>
      <c r="E735" t="str">
        <f>IFERROR(INDEX(Countries[],MATCH(CountryCleanup[[#This Row],[ISO3]],Countries[ISO3],0),6),"")</f>
        <v>Colombia</v>
      </c>
    </row>
    <row r="736" spans="2:5" x14ac:dyDescent="0.45">
      <c r="B736" t="s">
        <v>1954</v>
      </c>
      <c r="C736" t="s">
        <v>440</v>
      </c>
      <c r="D736">
        <f>IFERROR(INDEX(Countries[],MATCH(CountryCleanup[[#This Row],[ISO3]],Countries[ISO3],0),3),"")</f>
        <v>170</v>
      </c>
      <c r="E736" t="str">
        <f>IFERROR(INDEX(Countries[],MATCH(CountryCleanup[[#This Row],[ISO3]],Countries[ISO3],0),6),"")</f>
        <v>Colombia</v>
      </c>
    </row>
    <row r="737" spans="2:5" x14ac:dyDescent="0.45">
      <c r="B737" t="s">
        <v>446</v>
      </c>
      <c r="C737" t="s">
        <v>445</v>
      </c>
      <c r="D737">
        <f>IFERROR(INDEX(Countries[],MATCH(CountryCleanup[[#This Row],[ISO3]],Countries[ISO3],0),3),"")</f>
        <v>174</v>
      </c>
      <c r="E737" t="str">
        <f>IFERROR(INDEX(Countries[],MATCH(CountryCleanup[[#This Row],[ISO3]],Countries[ISO3],0),6),"")</f>
        <v>Comoros (the)</v>
      </c>
    </row>
    <row r="738" spans="2:5" x14ac:dyDescent="0.45">
      <c r="B738" t="s">
        <v>452</v>
      </c>
      <c r="C738" t="s">
        <v>451</v>
      </c>
      <c r="D738">
        <f>IFERROR(INDEX(Countries[],MATCH(CountryCleanup[[#This Row],[ISO3]],Countries[ISO3],0),3),"")</f>
        <v>178</v>
      </c>
      <c r="E738" t="str">
        <f>IFERROR(INDEX(Countries[],MATCH(CountryCleanup[[#This Row],[ISO3]],Countries[ISO3],0),6),"")</f>
        <v>Congo (the)</v>
      </c>
    </row>
    <row r="739" spans="2:5" x14ac:dyDescent="0.45">
      <c r="B739" t="s">
        <v>2272</v>
      </c>
      <c r="C739" t="s">
        <v>451</v>
      </c>
      <c r="D739">
        <f>IFERROR(INDEX(Countries[],MATCH(CountryCleanup[[#This Row],[ISO3]],Countries[ISO3],0),3),"")</f>
        <v>178</v>
      </c>
      <c r="E739" t="str">
        <f>IFERROR(INDEX(Countries[],MATCH(CountryCleanup[[#This Row],[ISO3]],Countries[ISO3],0),6),"")</f>
        <v>Congo (the)</v>
      </c>
    </row>
    <row r="740" spans="2:5" x14ac:dyDescent="0.45">
      <c r="B740" t="s">
        <v>2857</v>
      </c>
      <c r="C740" t="s">
        <v>451</v>
      </c>
      <c r="D740">
        <f>IFERROR(INDEX(Countries[],MATCH(CountryCleanup[[#This Row],[ISO3]],Countries[ISO3],0),3),"")</f>
        <v>178</v>
      </c>
      <c r="E740" t="str">
        <f>IFERROR(INDEX(Countries[],MATCH(CountryCleanup[[#This Row],[ISO3]],Countries[ISO3],0),6),"")</f>
        <v>Congo (the)</v>
      </c>
    </row>
    <row r="741" spans="2:5" x14ac:dyDescent="0.45">
      <c r="B741" t="s">
        <v>1602</v>
      </c>
      <c r="C741" s="5" t="s">
        <v>500</v>
      </c>
      <c r="D741">
        <f>IFERROR(INDEX(Countries[],MATCH(CountryCleanup[[#This Row],[ISO3]],Countries[ISO3],0),3),"")</f>
        <v>180</v>
      </c>
      <c r="E741" t="str">
        <f>IFERROR(INDEX(Countries[],MATCH(CountryCleanup[[#This Row],[ISO3]],Countries[ISO3],0),6),"")</f>
        <v>Democratic Republic of the Congo (the)</v>
      </c>
    </row>
    <row r="742" spans="2:5" x14ac:dyDescent="0.45">
      <c r="B742" t="s">
        <v>2858</v>
      </c>
      <c r="C742" s="5" t="s">
        <v>500</v>
      </c>
      <c r="D742">
        <f>IFERROR(INDEX(Countries[],MATCH(CountryCleanup[[#This Row],[ISO3]],Countries[ISO3],0),3),"")</f>
        <v>180</v>
      </c>
      <c r="E742" t="str">
        <f>IFERROR(INDEX(Countries[],MATCH(CountryCleanup[[#This Row],[ISO3]],Countries[ISO3],0),6),"")</f>
        <v>Democratic Republic of the Congo (the)</v>
      </c>
    </row>
    <row r="743" spans="2:5" x14ac:dyDescent="0.45">
      <c r="B743" s="9" t="s">
        <v>1603</v>
      </c>
      <c r="C743" s="5" t="s">
        <v>500</v>
      </c>
      <c r="D743">
        <f>IFERROR(INDEX(Countries[],MATCH(CountryCleanup[[#This Row],[ISO3]],Countries[ISO3],0),3),"")</f>
        <v>180</v>
      </c>
      <c r="E743" t="str">
        <f>IFERROR(INDEX(Countries[],MATCH(CountryCleanup[[#This Row],[ISO3]],Countries[ISO3],0),6),"")</f>
        <v>Democratic Republic of the Congo (the)</v>
      </c>
    </row>
    <row r="744" spans="2:5" x14ac:dyDescent="0.45">
      <c r="B744" t="s">
        <v>2501</v>
      </c>
      <c r="C744" s="5" t="s">
        <v>500</v>
      </c>
      <c r="D744">
        <f>IFERROR(INDEX(Countries[],MATCH(CountryCleanup[[#This Row],[ISO3]],Countries[ISO3],0),3),"")</f>
        <v>180</v>
      </c>
      <c r="E744" t="str">
        <f>IFERROR(INDEX(Countries[],MATCH(CountryCleanup[[#This Row],[ISO3]],Countries[ISO3],0),6),"")</f>
        <v>Democratic Republic of the Congo (the)</v>
      </c>
    </row>
    <row r="745" spans="2:5" x14ac:dyDescent="0.45">
      <c r="B745" t="s">
        <v>2796</v>
      </c>
      <c r="C745" s="5" t="s">
        <v>451</v>
      </c>
      <c r="D745">
        <f>IFERROR(INDEX(Countries[],MATCH(CountryCleanup[[#This Row],[ISO3]],Countries[ISO3],0),3),"")</f>
        <v>178</v>
      </c>
      <c r="E745" t="str">
        <f>IFERROR(INDEX(Countries[],MATCH(CountryCleanup[[#This Row],[ISO3]],Countries[ISO3],0),6),"")</f>
        <v>Congo (the)</v>
      </c>
    </row>
    <row r="746" spans="2:5" x14ac:dyDescent="0.45">
      <c r="B746" t="s">
        <v>1604</v>
      </c>
      <c r="C746" s="5" t="s">
        <v>500</v>
      </c>
      <c r="D746">
        <f>IFERROR(INDEX(Countries[],MATCH(CountryCleanup[[#This Row],[ISO3]],Countries[ISO3],0),3),"")</f>
        <v>180</v>
      </c>
      <c r="E746" t="str">
        <f>IFERROR(INDEX(Countries[],MATCH(CountryCleanup[[#This Row],[ISO3]],Countries[ISO3],0),6),"")</f>
        <v>Democratic Republic of the Congo (the)</v>
      </c>
    </row>
    <row r="747" spans="2:5" x14ac:dyDescent="0.45">
      <c r="B747" s="5" t="s">
        <v>1605</v>
      </c>
      <c r="C747" s="5" t="s">
        <v>500</v>
      </c>
      <c r="D747">
        <f>IFERROR(INDEX(Countries[],MATCH(CountryCleanup[[#This Row],[ISO3]],Countries[ISO3],0),3),"")</f>
        <v>180</v>
      </c>
      <c r="E747" t="str">
        <f>IFERROR(INDEX(Countries[],MATCH(CountryCleanup[[#This Row],[ISO3]],Countries[ISO3],0),6),"")</f>
        <v>Democratic Republic of the Congo (the)</v>
      </c>
    </row>
    <row r="748" spans="2:5" x14ac:dyDescent="0.45">
      <c r="B748" s="5" t="s">
        <v>1606</v>
      </c>
      <c r="C748" s="5" t="s">
        <v>451</v>
      </c>
      <c r="D748">
        <f>IFERROR(INDEX(Countries[],MATCH(CountryCleanup[[#This Row],[ISO3]],Countries[ISO3],0),3),"")</f>
        <v>178</v>
      </c>
      <c r="E748" t="str">
        <f>IFERROR(INDEX(Countries[],MATCH(CountryCleanup[[#This Row],[ISO3]],Countries[ISO3],0),6),"")</f>
        <v>Congo (the)</v>
      </c>
    </row>
    <row r="749" spans="2:5" x14ac:dyDescent="0.45">
      <c r="B749" t="s">
        <v>1607</v>
      </c>
      <c r="C749" s="5" t="s">
        <v>500</v>
      </c>
      <c r="D749">
        <f>IFERROR(INDEX(Countries[],MATCH(CountryCleanup[[#This Row],[ISO3]],Countries[ISO3],0),3),"")</f>
        <v>180</v>
      </c>
      <c r="E749" t="str">
        <f>IFERROR(INDEX(Countries[],MATCH(CountryCleanup[[#This Row],[ISO3]],Countries[ISO3],0),6),"")</f>
        <v>Democratic Republic of the Congo (the)</v>
      </c>
    </row>
    <row r="750" spans="2:5" x14ac:dyDescent="0.45">
      <c r="B750" t="s">
        <v>2500</v>
      </c>
      <c r="C750" s="5" t="s">
        <v>500</v>
      </c>
      <c r="D750">
        <f>IFERROR(INDEX(Countries[],MATCH(CountryCleanup[[#This Row],[ISO3]],Countries[ISO3],0),3),"")</f>
        <v>180</v>
      </c>
      <c r="E750" t="str">
        <f>IFERROR(INDEX(Countries[],MATCH(CountryCleanup[[#This Row],[ISO3]],Countries[ISO3],0),6),"")</f>
        <v>Democratic Republic of the Congo (the)</v>
      </c>
    </row>
    <row r="751" spans="2:5" x14ac:dyDescent="0.45">
      <c r="B751" t="s">
        <v>2345</v>
      </c>
      <c r="C751" s="5" t="s">
        <v>500</v>
      </c>
      <c r="D751">
        <f>IFERROR(INDEX(Countries[],MATCH(CountryCleanup[[#This Row],[ISO3]],Countries[ISO3],0),3),"")</f>
        <v>180</v>
      </c>
      <c r="E751" t="str">
        <f>IFERROR(INDEX(Countries[],MATCH(CountryCleanup[[#This Row],[ISO3]],Countries[ISO3],0),6),"")</f>
        <v>Democratic Republic of the Congo (the)</v>
      </c>
    </row>
    <row r="752" spans="2:5" x14ac:dyDescent="0.45">
      <c r="B752" t="s">
        <v>1608</v>
      </c>
      <c r="C752" s="5" t="s">
        <v>451</v>
      </c>
      <c r="D752">
        <f>IFERROR(INDEX(Countries[],MATCH(CountryCleanup[[#This Row],[ISO3]],Countries[ISO3],0),3),"")</f>
        <v>178</v>
      </c>
      <c r="E752" t="str">
        <f>IFERROR(INDEX(Countries[],MATCH(CountryCleanup[[#This Row],[ISO3]],Countries[ISO3],0),6),"")</f>
        <v>Congo (the)</v>
      </c>
    </row>
    <row r="753" spans="2:5" x14ac:dyDescent="0.45">
      <c r="B753" t="s">
        <v>2753</v>
      </c>
      <c r="C753" s="5" t="s">
        <v>451</v>
      </c>
      <c r="D753">
        <f>IFERROR(INDEX(Countries[],MATCH(CountryCleanup[[#This Row],[ISO3]],Countries[ISO3],0),3),"")</f>
        <v>178</v>
      </c>
      <c r="E753" t="str">
        <f>IFERROR(INDEX(Countries[],MATCH(CountryCleanup[[#This Row],[ISO3]],Countries[ISO3],0),6),"")</f>
        <v>Congo (the)</v>
      </c>
    </row>
    <row r="754" spans="2:5" x14ac:dyDescent="0.45">
      <c r="B754" t="s">
        <v>2344</v>
      </c>
      <c r="C754" s="5" t="s">
        <v>451</v>
      </c>
      <c r="D754">
        <f>IFERROR(INDEX(Countries[],MATCH(CountryCleanup[[#This Row],[ISO3]],Countries[ISO3],0),3),"")</f>
        <v>178</v>
      </c>
      <c r="E754" t="str">
        <f>IFERROR(INDEX(Countries[],MATCH(CountryCleanup[[#This Row],[ISO3]],Countries[ISO3],0),6),"")</f>
        <v>Congo (the)</v>
      </c>
    </row>
    <row r="755" spans="2:5" x14ac:dyDescent="0.45">
      <c r="B755" t="s">
        <v>2424</v>
      </c>
      <c r="C755" s="5" t="s">
        <v>500</v>
      </c>
      <c r="D755">
        <f>IFERROR(INDEX(Countries[],MATCH(CountryCleanup[[#This Row],[ISO3]],Countries[ISO3],0),3),"")</f>
        <v>180</v>
      </c>
      <c r="E755" t="str">
        <f>IFERROR(INDEX(Countries[],MATCH(CountryCleanup[[#This Row],[ISO3]],Countries[ISO3],0),6),"")</f>
        <v>Democratic Republic of the Congo (the)</v>
      </c>
    </row>
    <row r="756" spans="2:5" x14ac:dyDescent="0.45">
      <c r="B756" t="s">
        <v>2478</v>
      </c>
      <c r="C756" s="5" t="s">
        <v>500</v>
      </c>
      <c r="D756">
        <f>IFERROR(INDEX(Countries[],MATCH(CountryCleanup[[#This Row],[ISO3]],Countries[ISO3],0),3),"")</f>
        <v>180</v>
      </c>
      <c r="E756" t="str">
        <f>IFERROR(INDEX(Countries[],MATCH(CountryCleanup[[#This Row],[ISO3]],Countries[ISO3],0),6),"")</f>
        <v>Democratic Republic of the Congo (the)</v>
      </c>
    </row>
    <row r="757" spans="2:5" x14ac:dyDescent="0.45">
      <c r="B757" t="s">
        <v>2214</v>
      </c>
      <c r="C757" t="s">
        <v>451</v>
      </c>
      <c r="D757">
        <f>IFERROR(INDEX(Countries[],MATCH(CountryCleanup[[#This Row],[ISO3]],Countries[ISO3],0),3),"")</f>
        <v>178</v>
      </c>
      <c r="E757" t="str">
        <f>IFERROR(INDEX(Countries[],MATCH(CountryCleanup[[#This Row],[ISO3]],Countries[ISO3],0),6),"")</f>
        <v>Congo (the)</v>
      </c>
    </row>
    <row r="758" spans="2:5" x14ac:dyDescent="0.45">
      <c r="B758" s="5" t="s">
        <v>1609</v>
      </c>
      <c r="C758" s="5" t="s">
        <v>454</v>
      </c>
      <c r="D758">
        <f>IFERROR(INDEX(Countries[],MATCH(CountryCleanup[[#This Row],[ISO3]],Countries[ISO3],0),3),"")</f>
        <v>184</v>
      </c>
      <c r="E758" t="str">
        <f>IFERROR(INDEX(Countries[],MATCH(CountryCleanup[[#This Row],[ISO3]],Countries[ISO3],0),6),"")</f>
        <v>Cook Islands (the)</v>
      </c>
    </row>
    <row r="759" spans="2:5" x14ac:dyDescent="0.45">
      <c r="B759" t="s">
        <v>1610</v>
      </c>
      <c r="C759" t="s">
        <v>454</v>
      </c>
      <c r="D759">
        <f>IFERROR(INDEX(Countries[],MATCH(CountryCleanup[[#This Row],[ISO3]],Countries[ISO3],0),3),"")</f>
        <v>184</v>
      </c>
      <c r="E759" t="str">
        <f>IFERROR(INDEX(Countries[],MATCH(CountryCleanup[[#This Row],[ISO3]],Countries[ISO3],0),6),"")</f>
        <v>Cook Islands (the)</v>
      </c>
    </row>
    <row r="760" spans="2:5" x14ac:dyDescent="0.45">
      <c r="B760" t="s">
        <v>1611</v>
      </c>
      <c r="C760" t="s">
        <v>454</v>
      </c>
      <c r="D760">
        <f>IFERROR(INDEX(Countries[],MATCH(CountryCleanup[[#This Row],[ISO3]],Countries[ISO3],0),3),"")</f>
        <v>184</v>
      </c>
      <c r="E760" t="str">
        <f>IFERROR(INDEX(Countries[],MATCH(CountryCleanup[[#This Row],[ISO3]],Countries[ISO3],0),6),"")</f>
        <v>Cook Islands (the)</v>
      </c>
    </row>
    <row r="761" spans="2:5" x14ac:dyDescent="0.45">
      <c r="B761" t="s">
        <v>2378</v>
      </c>
      <c r="C761" t="s">
        <v>454</v>
      </c>
      <c r="D761">
        <f>IFERROR(INDEX(Countries[],MATCH(CountryCleanup[[#This Row],[ISO3]],Countries[ISO3],0),3),"")</f>
        <v>184</v>
      </c>
      <c r="E761" t="str">
        <f>IFERROR(INDEX(Countries[],MATCH(CountryCleanup[[#This Row],[ISO3]],Countries[ISO3],0),6),"")</f>
        <v>Cook Islands (the)</v>
      </c>
    </row>
    <row r="762" spans="2:5" x14ac:dyDescent="0.45">
      <c r="B762" t="s">
        <v>455</v>
      </c>
      <c r="C762" t="s">
        <v>454</v>
      </c>
      <c r="D762">
        <f>IFERROR(INDEX(Countries[],MATCH(CountryCleanup[[#This Row],[ISO3]],Countries[ISO3],0),3),"")</f>
        <v>184</v>
      </c>
      <c r="E762" t="str">
        <f>IFERROR(INDEX(Countries[],MATCH(CountryCleanup[[#This Row],[ISO3]],Countries[ISO3],0),6),"")</f>
        <v>Cook Islands (the)</v>
      </c>
    </row>
    <row r="763" spans="2:5" x14ac:dyDescent="0.45">
      <c r="B763" t="s">
        <v>461</v>
      </c>
      <c r="C763" t="s">
        <v>460</v>
      </c>
      <c r="D763">
        <f>IFERROR(INDEX(Countries[],MATCH(CountryCleanup[[#This Row],[ISO3]],Countries[ISO3],0),3),"")</f>
        <v>188</v>
      </c>
      <c r="E763" t="str">
        <f>IFERROR(INDEX(Countries[],MATCH(CountryCleanup[[#This Row],[ISO3]],Countries[ISO3],0),6),"")</f>
        <v>Costa Rica</v>
      </c>
    </row>
    <row r="764" spans="2:5" x14ac:dyDescent="0.45">
      <c r="B764" t="s">
        <v>1955</v>
      </c>
      <c r="C764" t="s">
        <v>460</v>
      </c>
      <c r="D764">
        <f>IFERROR(INDEX(Countries[],MATCH(CountryCleanup[[#This Row],[ISO3]],Countries[ISO3],0),3),"")</f>
        <v>188</v>
      </c>
      <c r="E764" t="str">
        <f>IFERROR(INDEX(Countries[],MATCH(CountryCleanup[[#This Row],[ISO3]],Countries[ISO3],0),6),"")</f>
        <v>Costa Rica</v>
      </c>
    </row>
    <row r="765" spans="2:5" x14ac:dyDescent="0.45">
      <c r="B765" s="5" t="s">
        <v>1612</v>
      </c>
      <c r="C765" s="5" t="s">
        <v>464</v>
      </c>
      <c r="D765">
        <f>IFERROR(INDEX(Countries[],MATCH(CountryCleanup[[#This Row],[ISO3]],Countries[ISO3],0),3),"")</f>
        <v>384</v>
      </c>
      <c r="E765" t="str">
        <f>IFERROR(INDEX(Countries[],MATCH(CountryCleanup[[#This Row],[ISO3]],Countries[ISO3],0),6),"")</f>
        <v>Côte d'Ivoire</v>
      </c>
    </row>
    <row r="766" spans="2:5" x14ac:dyDescent="0.45">
      <c r="B766" t="s">
        <v>1613</v>
      </c>
      <c r="C766" s="5" t="s">
        <v>464</v>
      </c>
      <c r="D766">
        <f>IFERROR(INDEX(Countries[],MATCH(CountryCleanup[[#This Row],[ISO3]],Countries[ISO3],0),3),"")</f>
        <v>384</v>
      </c>
      <c r="E766" t="str">
        <f>IFERROR(INDEX(Countries[],MATCH(CountryCleanup[[#This Row],[ISO3]],Countries[ISO3],0),6),"")</f>
        <v>Côte d'Ivoire</v>
      </c>
    </row>
    <row r="767" spans="2:5" x14ac:dyDescent="0.45">
      <c r="B767" t="s">
        <v>465</v>
      </c>
      <c r="C767" s="5" t="s">
        <v>464</v>
      </c>
      <c r="D767">
        <f>IFERROR(INDEX(Countries[],MATCH(CountryCleanup[[#This Row],[ISO3]],Countries[ISO3],0),3),"")</f>
        <v>384</v>
      </c>
      <c r="E767" t="str">
        <f>IFERROR(INDEX(Countries[],MATCH(CountryCleanup[[#This Row],[ISO3]],Countries[ISO3],0),6),"")</f>
        <v>Côte d'Ivoire</v>
      </c>
    </row>
    <row r="768" spans="2:5" x14ac:dyDescent="0.45">
      <c r="B768" t="s">
        <v>2343</v>
      </c>
      <c r="C768" s="5" t="s">
        <v>464</v>
      </c>
      <c r="D768">
        <f>IFERROR(INDEX(Countries[],MATCH(CountryCleanup[[#This Row],[ISO3]],Countries[ISO3],0),3),"")</f>
        <v>384</v>
      </c>
      <c r="E768" t="str">
        <f>IFERROR(INDEX(Countries[],MATCH(CountryCleanup[[#This Row],[ISO3]],Countries[ISO3],0),6),"")</f>
        <v>Côte d'Ivoire</v>
      </c>
    </row>
    <row r="769" spans="2:5" x14ac:dyDescent="0.45">
      <c r="B769" t="s">
        <v>466</v>
      </c>
      <c r="C769" t="s">
        <v>464</v>
      </c>
      <c r="D769">
        <f>IFERROR(INDEX(Countries[],MATCH(CountryCleanup[[#This Row],[ISO3]],Countries[ISO3],0),3),"")</f>
        <v>384</v>
      </c>
      <c r="E769" t="str">
        <f>IFERROR(INDEX(Countries[],MATCH(CountryCleanup[[#This Row],[ISO3]],Countries[ISO3],0),6),"")</f>
        <v>Côte d'Ivoire</v>
      </c>
    </row>
    <row r="770" spans="2:5" x14ac:dyDescent="0.45">
      <c r="B770" t="s">
        <v>2238</v>
      </c>
      <c r="C770" t="s">
        <v>464</v>
      </c>
      <c r="D770">
        <f>IFERROR(INDEX(Countries[],MATCH(CountryCleanup[[#This Row],[ISO3]],Countries[ISO3],0),3),"")</f>
        <v>384</v>
      </c>
      <c r="E770" t="str">
        <f>IFERROR(INDEX(Countries[],MATCH(CountryCleanup[[#This Row],[ISO3]],Countries[ISO3],0),6),"")</f>
        <v>Côte d'Ivoire</v>
      </c>
    </row>
    <row r="771" spans="2:5" x14ac:dyDescent="0.45">
      <c r="B771" t="s">
        <v>469</v>
      </c>
      <c r="C771" t="s">
        <v>468</v>
      </c>
      <c r="D771">
        <f>IFERROR(INDEX(Countries[],MATCH(CountryCleanup[[#This Row],[ISO3]],Countries[ISO3],0),3),"")</f>
        <v>191</v>
      </c>
      <c r="E771" t="str">
        <f>IFERROR(INDEX(Countries[],MATCH(CountryCleanup[[#This Row],[ISO3]],Countries[ISO3],0),6),"")</f>
        <v>Croatia</v>
      </c>
    </row>
    <row r="772" spans="2:5" x14ac:dyDescent="0.45">
      <c r="B772" t="s">
        <v>1956</v>
      </c>
      <c r="C772" t="s">
        <v>468</v>
      </c>
      <c r="D772">
        <f>IFERROR(INDEX(Countries[],MATCH(CountryCleanup[[#This Row],[ISO3]],Countries[ISO3],0),3),"")</f>
        <v>191</v>
      </c>
      <c r="E772" t="str">
        <f>IFERROR(INDEX(Countries[],MATCH(CountryCleanup[[#This Row],[ISO3]],Countries[ISO3],0),6),"")</f>
        <v>Croatia</v>
      </c>
    </row>
    <row r="773" spans="2:5" x14ac:dyDescent="0.45">
      <c r="B773" t="s">
        <v>2822</v>
      </c>
      <c r="C773" t="s">
        <v>596</v>
      </c>
      <c r="D773">
        <f>IFERROR(INDEX(Countries[],MATCH(CountryCleanup[[#This Row],[ISO3]],Countries[ISO3],0),3),"")</f>
        <v>250</v>
      </c>
      <c r="E773" t="str">
        <f>IFERROR(INDEX(Countries[],MATCH(CountryCleanup[[#This Row],[ISO3]],Countries[ISO3],0),6),"")</f>
        <v>France</v>
      </c>
    </row>
    <row r="774" spans="2:5" x14ac:dyDescent="0.45">
      <c r="B774" t="s">
        <v>475</v>
      </c>
      <c r="C774" t="s">
        <v>474</v>
      </c>
      <c r="D774">
        <f>IFERROR(INDEX(Countries[],MATCH(CountryCleanup[[#This Row],[ISO3]],Countries[ISO3],0),3),"")</f>
        <v>192</v>
      </c>
      <c r="E774" t="str">
        <f>IFERROR(INDEX(Countries[],MATCH(CountryCleanup[[#This Row],[ISO3]],Countries[ISO3],0),6),"")</f>
        <v>Cuba</v>
      </c>
    </row>
    <row r="775" spans="2:5" x14ac:dyDescent="0.45">
      <c r="B775" t="s">
        <v>2248</v>
      </c>
      <c r="C775" t="s">
        <v>474</v>
      </c>
      <c r="D775">
        <f>IFERROR(INDEX(Countries[],MATCH(CountryCleanup[[#This Row],[ISO3]],Countries[ISO3],0),3),"")</f>
        <v>192</v>
      </c>
      <c r="E775" t="str">
        <f>IFERROR(INDEX(Countries[],MATCH(CountryCleanup[[#This Row],[ISO3]],Countries[ISO3],0),6),"")</f>
        <v>Cuba</v>
      </c>
    </row>
    <row r="776" spans="2:5" x14ac:dyDescent="0.45">
      <c r="B776" t="s">
        <v>1614</v>
      </c>
      <c r="C776" s="5" t="s">
        <v>478</v>
      </c>
      <c r="D776">
        <f>IFERROR(INDEX(Countries[],MATCH(CountryCleanup[[#This Row],[ISO3]],Countries[ISO3],0),3),"")</f>
        <v>531</v>
      </c>
      <c r="E776" t="str">
        <f>IFERROR(INDEX(Countries[],MATCH(CountryCleanup[[#This Row],[ISO3]],Countries[ISO3],0),6),"")</f>
        <v>Curaçao</v>
      </c>
    </row>
    <row r="777" spans="2:5" x14ac:dyDescent="0.45">
      <c r="B777" s="5" t="s">
        <v>479</v>
      </c>
      <c r="C777" s="5" t="s">
        <v>478</v>
      </c>
      <c r="D777">
        <f>IFERROR(INDEX(Countries[],MATCH(CountryCleanup[[#This Row],[ISO3]],Countries[ISO3],0),3),"")</f>
        <v>531</v>
      </c>
      <c r="E777" t="str">
        <f>IFERROR(INDEX(Countries[],MATCH(CountryCleanup[[#This Row],[ISO3]],Countries[ISO3],0),6),"")</f>
        <v>Curaçao</v>
      </c>
    </row>
    <row r="778" spans="2:5" x14ac:dyDescent="0.45">
      <c r="B778" t="s">
        <v>2288</v>
      </c>
      <c r="C778" t="s">
        <v>478</v>
      </c>
      <c r="D778">
        <f>IFERROR(INDEX(Countries[],MATCH(CountryCleanup[[#This Row],[ISO3]],Countries[ISO3],0),3),"")</f>
        <v>531</v>
      </c>
      <c r="E778" t="str">
        <f>IFERROR(INDEX(Countries[],MATCH(CountryCleanup[[#This Row],[ISO3]],Countries[ISO3],0),6),"")</f>
        <v>Curaçao</v>
      </c>
    </row>
    <row r="779" spans="2:5" x14ac:dyDescent="0.45">
      <c r="B779" t="s">
        <v>480</v>
      </c>
      <c r="C779" t="s">
        <v>478</v>
      </c>
      <c r="D779">
        <f>IFERROR(INDEX(Countries[],MATCH(CountryCleanup[[#This Row],[ISO3]],Countries[ISO3],0),3),"")</f>
        <v>531</v>
      </c>
      <c r="E779" t="str">
        <f>IFERROR(INDEX(Countries[],MATCH(CountryCleanup[[#This Row],[ISO3]],Countries[ISO3],0),6),"")</f>
        <v>Curaçao</v>
      </c>
    </row>
    <row r="780" spans="2:5" x14ac:dyDescent="0.45">
      <c r="B780" t="s">
        <v>1615</v>
      </c>
      <c r="C780" t="s">
        <v>478</v>
      </c>
      <c r="D780">
        <f>IFERROR(INDEX(Countries[],MATCH(CountryCleanup[[#This Row],[ISO3]],Countries[ISO3],0),3),"")</f>
        <v>531</v>
      </c>
      <c r="E780" t="str">
        <f>IFERROR(INDEX(Countries[],MATCH(CountryCleanup[[#This Row],[ISO3]],Countries[ISO3],0),6),"")</f>
        <v>Curaçao</v>
      </c>
    </row>
    <row r="781" spans="2:5" x14ac:dyDescent="0.45">
      <c r="B781" t="s">
        <v>484</v>
      </c>
      <c r="C781" t="s">
        <v>483</v>
      </c>
      <c r="D781">
        <f>IFERROR(INDEX(Countries[],MATCH(CountryCleanup[[#This Row],[ISO3]],Countries[ISO3],0),3),"")</f>
        <v>196</v>
      </c>
      <c r="E781" t="str">
        <f>IFERROR(INDEX(Countries[],MATCH(CountryCleanup[[#This Row],[ISO3]],Countries[ISO3],0),6),"")</f>
        <v>Cyprus</v>
      </c>
    </row>
    <row r="782" spans="2:5" x14ac:dyDescent="0.45">
      <c r="B782" t="s">
        <v>1957</v>
      </c>
      <c r="C782" t="s">
        <v>483</v>
      </c>
      <c r="D782">
        <f>IFERROR(INDEX(Countries[],MATCH(CountryCleanup[[#This Row],[ISO3]],Countries[ISO3],0),3),"")</f>
        <v>196</v>
      </c>
      <c r="E782" t="str">
        <f>IFERROR(INDEX(Countries[],MATCH(CountryCleanup[[#This Row],[ISO3]],Countries[ISO3],0),6),"")</f>
        <v>Cyprus</v>
      </c>
    </row>
    <row r="783" spans="2:5" x14ac:dyDescent="0.45">
      <c r="B783" t="s">
        <v>1958</v>
      </c>
      <c r="C783" t="s">
        <v>488</v>
      </c>
      <c r="D783">
        <f>IFERROR(INDEX(Countries[],MATCH(CountryCleanup[[#This Row],[ISO3]],Countries[ISO3],0),3),"")</f>
        <v>203</v>
      </c>
      <c r="E783" t="str">
        <f>IFERROR(INDEX(Countries[],MATCH(CountryCleanup[[#This Row],[ISO3]],Countries[ISO3],0),6),"")</f>
        <v>Czechia</v>
      </c>
    </row>
    <row r="784" spans="2:5" x14ac:dyDescent="0.45">
      <c r="B784" t="s">
        <v>1616</v>
      </c>
      <c r="C784" t="s">
        <v>488</v>
      </c>
      <c r="D784">
        <f>IFERROR(INDEX(Countries[],MATCH(CountryCleanup[[#This Row],[ISO3]],Countries[ISO3],0),3),"")</f>
        <v>203</v>
      </c>
      <c r="E784" t="str">
        <f>IFERROR(INDEX(Countries[],MATCH(CountryCleanup[[#This Row],[ISO3]],Countries[ISO3],0),6),"")</f>
        <v>Czechia</v>
      </c>
    </row>
    <row r="785" spans="2:5" x14ac:dyDescent="0.45">
      <c r="B785" t="s">
        <v>2494</v>
      </c>
      <c r="C785" t="s">
        <v>488</v>
      </c>
      <c r="D785">
        <f>IFERROR(INDEX(Countries[],MATCH(CountryCleanup[[#This Row],[ISO3]],Countries[ISO3],0),3),"")</f>
        <v>203</v>
      </c>
      <c r="E785" t="str">
        <f>IFERROR(INDEX(Countries[],MATCH(CountryCleanup[[#This Row],[ISO3]],Countries[ISO3],0),6),"")</f>
        <v>Czechia</v>
      </c>
    </row>
    <row r="786" spans="2:5" x14ac:dyDescent="0.45">
      <c r="B786" t="s">
        <v>489</v>
      </c>
      <c r="C786" t="s">
        <v>488</v>
      </c>
      <c r="D786">
        <f>IFERROR(INDEX(Countries[],MATCH(CountryCleanup[[#This Row],[ISO3]],Countries[ISO3],0),3),"")</f>
        <v>203</v>
      </c>
      <c r="E786" t="str">
        <f>IFERROR(INDEX(Countries[],MATCH(CountryCleanup[[#This Row],[ISO3]],Countries[ISO3],0),6),"")</f>
        <v>Czechia</v>
      </c>
    </row>
    <row r="787" spans="2:5" x14ac:dyDescent="0.45">
      <c r="B787" t="s">
        <v>2800</v>
      </c>
      <c r="C787" t="s">
        <v>488</v>
      </c>
      <c r="D787">
        <f>IFERROR(INDEX(Countries[],MATCH(CountryCleanup[[#This Row],[ISO3]],Countries[ISO3],0),3),"")</f>
        <v>203</v>
      </c>
      <c r="E787" t="str">
        <f>IFERROR(INDEX(Countries[],MATCH(CountryCleanup[[#This Row],[ISO3]],Countries[ISO3],0),6),"")</f>
        <v>Czechia</v>
      </c>
    </row>
    <row r="788" spans="2:5" x14ac:dyDescent="0.45">
      <c r="B788" t="s">
        <v>2909</v>
      </c>
      <c r="C788" t="s">
        <v>494</v>
      </c>
      <c r="D788">
        <f>IFERROR(INDEX(Countries[],MATCH(CountryCleanup[[#This Row],[ISO3]],Countries[ISO3],0),3),"")</f>
        <v>408</v>
      </c>
      <c r="E788" t="str">
        <f>IFERROR(INDEX(Countries[],MATCH(CountryCleanup[[#This Row],[ISO3]],Countries[ISO3],0),6),"")</f>
        <v>Democratic People's Republic of Korea (the)</v>
      </c>
    </row>
    <row r="789" spans="2:5" x14ac:dyDescent="0.45">
      <c r="B789" t="s">
        <v>2849</v>
      </c>
      <c r="C789" t="s">
        <v>270</v>
      </c>
      <c r="D789">
        <f>IFERROR(INDEX(Countries[],MATCH(CountryCleanup[[#This Row],[ISO3]],Countries[ISO3],0),3),"")</f>
        <v>204</v>
      </c>
      <c r="E789" t="str">
        <f>IFERROR(INDEX(Countries[],MATCH(CountryCleanup[[#This Row],[ISO3]],Countries[ISO3],0),6),"")</f>
        <v>Benin</v>
      </c>
    </row>
    <row r="790" spans="2:5" x14ac:dyDescent="0.45">
      <c r="B790" t="s">
        <v>2391</v>
      </c>
      <c r="C790" t="s">
        <v>494</v>
      </c>
      <c r="D790">
        <f>IFERROR(INDEX(Countries[],MATCH(CountryCleanup[[#This Row],[ISO3]],Countries[ISO3],0),3),"")</f>
        <v>408</v>
      </c>
      <c r="E790" t="str">
        <f>IFERROR(INDEX(Countries[],MATCH(CountryCleanup[[#This Row],[ISO3]],Countries[ISO3],0),6),"")</f>
        <v>Democratic People's Republic of Korea (the)</v>
      </c>
    </row>
    <row r="791" spans="2:5" x14ac:dyDescent="0.45">
      <c r="B791" t="s">
        <v>1617</v>
      </c>
      <c r="C791" t="s">
        <v>494</v>
      </c>
      <c r="D791">
        <f>IFERROR(INDEX(Countries[],MATCH(CountryCleanup[[#This Row],[ISO3]],Countries[ISO3],0),3),"")</f>
        <v>408</v>
      </c>
      <c r="E791" t="str">
        <f>IFERROR(INDEX(Countries[],MATCH(CountryCleanup[[#This Row],[ISO3]],Countries[ISO3],0),6),"")</f>
        <v>Democratic People's Republic of Korea (the)</v>
      </c>
    </row>
    <row r="792" spans="2:5" x14ac:dyDescent="0.45">
      <c r="B792" t="s">
        <v>2362</v>
      </c>
      <c r="C792" t="s">
        <v>500</v>
      </c>
      <c r="D792">
        <f>IFERROR(INDEX(Countries[],MATCH(CountryCleanup[[#This Row],[ISO3]],Countries[ISO3],0),3),"")</f>
        <v>180</v>
      </c>
      <c r="E792" t="str">
        <f>IFERROR(INDEX(Countries[],MATCH(CountryCleanup[[#This Row],[ISO3]],Countries[ISO3],0),6),"")</f>
        <v>Democratic Republic of the Congo (the)</v>
      </c>
    </row>
    <row r="793" spans="2:5" x14ac:dyDescent="0.45">
      <c r="B793" t="s">
        <v>495</v>
      </c>
      <c r="C793" t="s">
        <v>494</v>
      </c>
      <c r="D793">
        <f>IFERROR(INDEX(Countries[],MATCH(CountryCleanup[[#This Row],[ISO3]],Countries[ISO3],0),3),"")</f>
        <v>408</v>
      </c>
      <c r="E793" t="str">
        <f>IFERROR(INDEX(Countries[],MATCH(CountryCleanup[[#This Row],[ISO3]],Countries[ISO3],0),6),"")</f>
        <v>Democratic People's Republic of Korea (the)</v>
      </c>
    </row>
    <row r="794" spans="2:5" x14ac:dyDescent="0.45">
      <c r="B794" t="s">
        <v>1618</v>
      </c>
      <c r="C794" t="s">
        <v>500</v>
      </c>
      <c r="D794">
        <f>IFERROR(INDEX(Countries[],MATCH(CountryCleanup[[#This Row],[ISO3]],Countries[ISO3],0),3),"")</f>
        <v>180</v>
      </c>
      <c r="E794" t="str">
        <f>IFERROR(INDEX(Countries[],MATCH(CountryCleanup[[#This Row],[ISO3]],Countries[ISO3],0),6),"")</f>
        <v>Democratic Republic of the Congo (the)</v>
      </c>
    </row>
    <row r="795" spans="2:5" x14ac:dyDescent="0.45">
      <c r="B795" t="s">
        <v>2346</v>
      </c>
      <c r="C795" t="s">
        <v>500</v>
      </c>
      <c r="D795">
        <f>IFERROR(INDEX(Countries[],MATCH(CountryCleanup[[#This Row],[ISO3]],Countries[ISO3],0),3),"")</f>
        <v>180</v>
      </c>
      <c r="E795" t="str">
        <f>IFERROR(INDEX(Countries[],MATCH(CountryCleanup[[#This Row],[ISO3]],Countries[ISO3],0),6),"")</f>
        <v>Democratic Republic of the Congo (the)</v>
      </c>
    </row>
    <row r="796" spans="2:5" x14ac:dyDescent="0.45">
      <c r="B796" t="s">
        <v>501</v>
      </c>
      <c r="C796" t="s">
        <v>500</v>
      </c>
      <c r="D796">
        <f>IFERROR(INDEX(Countries[],MATCH(CountryCleanup[[#This Row],[ISO3]],Countries[ISO3],0),3),"")</f>
        <v>180</v>
      </c>
      <c r="E796" t="str">
        <f>IFERROR(INDEX(Countries[],MATCH(CountryCleanup[[#This Row],[ISO3]],Countries[ISO3],0),6),"")</f>
        <v>Democratic Republic of the Congo (the)</v>
      </c>
    </row>
    <row r="797" spans="2:5" x14ac:dyDescent="0.45">
      <c r="B797" t="s">
        <v>507</v>
      </c>
      <c r="C797" t="s">
        <v>506</v>
      </c>
      <c r="D797">
        <f>IFERROR(INDEX(Countries[],MATCH(CountryCleanup[[#This Row],[ISO3]],Countries[ISO3],0),3),"")</f>
        <v>208</v>
      </c>
      <c r="E797" t="str">
        <f>IFERROR(INDEX(Countries[],MATCH(CountryCleanup[[#This Row],[ISO3]],Countries[ISO3],0),6),"")</f>
        <v>Denmark</v>
      </c>
    </row>
    <row r="798" spans="2:5" x14ac:dyDescent="0.45">
      <c r="B798" t="s">
        <v>1959</v>
      </c>
      <c r="C798" t="s">
        <v>506</v>
      </c>
      <c r="D798">
        <f>IFERROR(INDEX(Countries[],MATCH(CountryCleanup[[#This Row],[ISO3]],Countries[ISO3],0),3),"")</f>
        <v>208</v>
      </c>
      <c r="E798" t="str">
        <f>IFERROR(INDEX(Countries[],MATCH(CountryCleanup[[#This Row],[ISO3]],Countries[ISO3],0),6),"")</f>
        <v>Denmark</v>
      </c>
    </row>
    <row r="799" spans="2:5" x14ac:dyDescent="0.45">
      <c r="B799" t="s">
        <v>1619</v>
      </c>
      <c r="C799" t="s">
        <v>506</v>
      </c>
      <c r="D799">
        <f>IFERROR(INDEX(Countries[],MATCH(CountryCleanup[[#This Row],[ISO3]],Countries[ISO3],0),3),"")</f>
        <v>208</v>
      </c>
      <c r="E799" t="str">
        <f>IFERROR(INDEX(Countries[],MATCH(CountryCleanup[[#This Row],[ISO3]],Countries[ISO3],0),6),"")</f>
        <v>Denmark</v>
      </c>
    </row>
    <row r="800" spans="2:5" x14ac:dyDescent="0.45">
      <c r="B800" t="s">
        <v>2495</v>
      </c>
      <c r="C800" t="s">
        <v>506</v>
      </c>
      <c r="D800">
        <f>IFERROR(INDEX(Countries[],MATCH(CountryCleanup[[#This Row],[ISO3]],Countries[ISO3],0),3),"")</f>
        <v>208</v>
      </c>
      <c r="E800" t="str">
        <f>IFERROR(INDEX(Countries[],MATCH(CountryCleanup[[#This Row],[ISO3]],Countries[ISO3],0),6),"")</f>
        <v>Denmark</v>
      </c>
    </row>
    <row r="801" spans="2:5" x14ac:dyDescent="0.45">
      <c r="B801" t="s">
        <v>2348</v>
      </c>
      <c r="C801" t="s">
        <v>1415</v>
      </c>
      <c r="D801">
        <f>IFERROR(INDEX(Countries[],MATCH(CountryCleanup[[#This Row],[ISO3]],Countries[ISO3],0),3),"")</f>
        <v>99049</v>
      </c>
      <c r="E801" t="str">
        <f>IFERROR(INDEX(Countries[],MATCH(CountryCleanup[[#This Row],[ISO3]],Countries[ISO3],0),6),"")</f>
        <v>Unspecified countries</v>
      </c>
    </row>
    <row r="802" spans="2:5" x14ac:dyDescent="0.45">
      <c r="B802" t="s">
        <v>513</v>
      </c>
      <c r="C802" t="s">
        <v>512</v>
      </c>
      <c r="D802">
        <f>IFERROR(INDEX(Countries[],MATCH(CountryCleanup[[#This Row],[ISO3]],Countries[ISO3],0),3),"")</f>
        <v>262</v>
      </c>
      <c r="E802" t="str">
        <f>IFERROR(INDEX(Countries[],MATCH(CountryCleanup[[#This Row],[ISO3]],Countries[ISO3],0),6),"")</f>
        <v>Djibouti</v>
      </c>
    </row>
    <row r="803" spans="2:5" x14ac:dyDescent="0.45">
      <c r="B803" t="s">
        <v>517</v>
      </c>
      <c r="C803" t="s">
        <v>516</v>
      </c>
      <c r="D803">
        <f>IFERROR(INDEX(Countries[],MATCH(CountryCleanup[[#This Row],[ISO3]],Countries[ISO3],0),3),"")</f>
        <v>212</v>
      </c>
      <c r="E803" t="str">
        <f>IFERROR(INDEX(Countries[],MATCH(CountryCleanup[[#This Row],[ISO3]],Countries[ISO3],0),6),"")</f>
        <v>Dominica</v>
      </c>
    </row>
    <row r="804" spans="2:5" x14ac:dyDescent="0.45">
      <c r="B804" s="5" t="s">
        <v>1620</v>
      </c>
      <c r="C804" s="5" t="s">
        <v>520</v>
      </c>
      <c r="D804">
        <f>IFERROR(INDEX(Countries[],MATCH(CountryCleanup[[#This Row],[ISO3]],Countries[ISO3],0),3),"")</f>
        <v>214</v>
      </c>
      <c r="E804" t="str">
        <f>IFERROR(INDEX(Countries[],MATCH(CountryCleanup[[#This Row],[ISO3]],Countries[ISO3],0),6),"")</f>
        <v>Dominican Republic (the)</v>
      </c>
    </row>
    <row r="805" spans="2:5" x14ac:dyDescent="0.45">
      <c r="B805" t="s">
        <v>2363</v>
      </c>
      <c r="C805" t="s">
        <v>520</v>
      </c>
      <c r="D805">
        <f>IFERROR(INDEX(Countries[],MATCH(CountryCleanup[[#This Row],[ISO3]],Countries[ISO3],0),3),"")</f>
        <v>214</v>
      </c>
      <c r="E805" t="str">
        <f>IFERROR(INDEX(Countries[],MATCH(CountryCleanup[[#This Row],[ISO3]],Countries[ISO3],0),6),"")</f>
        <v>Dominican Republic (the)</v>
      </c>
    </row>
    <row r="806" spans="2:5" x14ac:dyDescent="0.45">
      <c r="B806" t="s">
        <v>521</v>
      </c>
      <c r="C806" t="s">
        <v>520</v>
      </c>
      <c r="D806">
        <f>IFERROR(INDEX(Countries[],MATCH(CountryCleanup[[#This Row],[ISO3]],Countries[ISO3],0),3),"")</f>
        <v>214</v>
      </c>
      <c r="E806" t="str">
        <f>IFERROR(INDEX(Countries[],MATCH(CountryCleanup[[#This Row],[ISO3]],Countries[ISO3],0),6),"")</f>
        <v>Dominican Republic (the)</v>
      </c>
    </row>
    <row r="807" spans="2:5" x14ac:dyDescent="0.45">
      <c r="B807" s="9" t="s">
        <v>1621</v>
      </c>
      <c r="C807" t="s">
        <v>520</v>
      </c>
      <c r="D807">
        <f>IFERROR(INDEX(Countries[],MATCH(CountryCleanup[[#This Row],[ISO3]],Countries[ISO3],0),3),"")</f>
        <v>214</v>
      </c>
      <c r="E807" t="str">
        <f>IFERROR(INDEX(Countries[],MATCH(CountryCleanup[[#This Row],[ISO3]],Countries[ISO3],0),6),"")</f>
        <v>Dominican Republic (the)</v>
      </c>
    </row>
    <row r="808" spans="2:5" x14ac:dyDescent="0.45">
      <c r="B808" t="s">
        <v>2251</v>
      </c>
      <c r="C808" t="s">
        <v>520</v>
      </c>
      <c r="D808">
        <f>IFERROR(INDEX(Countries[],MATCH(CountryCleanup[[#This Row],[ISO3]],Countries[ISO3],0),3),"")</f>
        <v>214</v>
      </c>
      <c r="E808" t="str">
        <f>IFERROR(INDEX(Countries[],MATCH(CountryCleanup[[#This Row],[ISO3]],Countries[ISO3],0),6),"")</f>
        <v>Dominican Republic (the)</v>
      </c>
    </row>
    <row r="809" spans="2:5" x14ac:dyDescent="0.45">
      <c r="B809" t="s">
        <v>2868</v>
      </c>
      <c r="C809" t="s">
        <v>500</v>
      </c>
      <c r="D809">
        <f>IFERROR(INDEX(Countries[],MATCH(CountryCleanup[[#This Row],[ISO3]],Countries[ISO3],0),3),"")</f>
        <v>180</v>
      </c>
      <c r="E809" t="str">
        <f>IFERROR(INDEX(Countries[],MATCH(CountryCleanup[[#This Row],[ISO3]],Countries[ISO3],0),6),"")</f>
        <v>Democratic Republic of the Congo (the)</v>
      </c>
    </row>
    <row r="810" spans="2:5" x14ac:dyDescent="0.45">
      <c r="B810" t="s">
        <v>2347</v>
      </c>
      <c r="C810" t="s">
        <v>500</v>
      </c>
      <c r="D810">
        <f>IFERROR(INDEX(Countries[],MATCH(CountryCleanup[[#This Row],[ISO3]],Countries[ISO3],0),3),"")</f>
        <v>180</v>
      </c>
      <c r="E810" t="str">
        <f>IFERROR(INDEX(Countries[],MATCH(CountryCleanup[[#This Row],[ISO3]],Countries[ISO3],0),6),"")</f>
        <v>Democratic Republic of the Congo (the)</v>
      </c>
    </row>
    <row r="811" spans="2:5" x14ac:dyDescent="0.45">
      <c r="B811" t="s">
        <v>1622</v>
      </c>
      <c r="C811" s="3" t="s">
        <v>478</v>
      </c>
      <c r="D811">
        <f>IFERROR(INDEX(Countries[],MATCH(CountryCleanup[[#This Row],[ISO3]],Countries[ISO3],0),3),"")</f>
        <v>531</v>
      </c>
      <c r="E811" t="str">
        <f>IFERROR(INDEX(Countries[],MATCH(CountryCleanup[[#This Row],[ISO3]],Countries[ISO3],0),6),"")</f>
        <v>Curaçao</v>
      </c>
    </row>
    <row r="812" spans="2:5" x14ac:dyDescent="0.45">
      <c r="B812" t="s">
        <v>2960</v>
      </c>
      <c r="C812" t="s">
        <v>1023</v>
      </c>
      <c r="D812">
        <f>IFERROR(INDEX(Countries[],MATCH(CountryCleanup[[#This Row],[ISO3]],Countries[ISO3],0),3),"")</f>
        <v>586</v>
      </c>
      <c r="E812" t="str">
        <f>IFERROR(INDEX(Countries[],MATCH(CountryCleanup[[#This Row],[ISO3]],Countries[ISO3],0),6),"")</f>
        <v>Pakistan</v>
      </c>
    </row>
    <row r="813" spans="2:5" x14ac:dyDescent="0.45">
      <c r="B813" t="s">
        <v>2425</v>
      </c>
      <c r="C813" s="5" t="s">
        <v>1329</v>
      </c>
      <c r="D813">
        <f>IFERROR(INDEX(Countries[],MATCH(CountryCleanup[[#This Row],[ISO3]],Countries[ISO3],0),3),"")</f>
        <v>626</v>
      </c>
      <c r="E813" t="str">
        <f>IFERROR(INDEX(Countries[],MATCH(CountryCleanup[[#This Row],[ISO3]],Countries[ISO3],0),6),"")</f>
        <v>Timor-Leste</v>
      </c>
    </row>
    <row r="814" spans="2:5" x14ac:dyDescent="0.45">
      <c r="B814" t="s">
        <v>2823</v>
      </c>
      <c r="C814" t="s">
        <v>399</v>
      </c>
      <c r="D814">
        <f>IFERROR(INDEX(Countries[],MATCH(CountryCleanup[[#This Row],[ISO3]],Countries[ISO3],0),3),"")</f>
        <v>152</v>
      </c>
      <c r="E814" t="str">
        <f>IFERROR(INDEX(Countries[],MATCH(CountryCleanup[[#This Row],[ISO3]],Countries[ISO3],0),6),"")</f>
        <v>Chile</v>
      </c>
    </row>
    <row r="815" spans="2:5" x14ac:dyDescent="0.45">
      <c r="B815" t="s">
        <v>1623</v>
      </c>
      <c r="C815" t="s">
        <v>367</v>
      </c>
      <c r="D815">
        <f>IFERROR(INDEX(Countries[],MATCH(CountryCleanup[[#This Row],[ISO3]],Countries[ISO3],0),3),"")</f>
        <v>99039</v>
      </c>
      <c r="E815" t="str">
        <f>IFERROR(INDEX(Countries[],MATCH(CountryCleanup[[#This Row],[ISO3]],Countries[ISO3],0),6),"")</f>
        <v>Residual/unallocated: Sub-Saharan Africa</v>
      </c>
    </row>
    <row r="816" spans="2:5" x14ac:dyDescent="0.45">
      <c r="B816" t="s">
        <v>528</v>
      </c>
      <c r="C816" t="s">
        <v>527</v>
      </c>
      <c r="D816">
        <f>IFERROR(INDEX(Countries[],MATCH(CountryCleanup[[#This Row],[ISO3]],Countries[ISO3],0),3),"")</f>
        <v>218</v>
      </c>
      <c r="E816" t="str">
        <f>IFERROR(INDEX(Countries[],MATCH(CountryCleanup[[#This Row],[ISO3]],Countries[ISO3],0),6),"")</f>
        <v>Ecuador</v>
      </c>
    </row>
    <row r="817" spans="2:5" x14ac:dyDescent="0.45">
      <c r="B817" t="s">
        <v>2237</v>
      </c>
      <c r="C817" t="s">
        <v>527</v>
      </c>
      <c r="D817">
        <f>IFERROR(INDEX(Countries[],MATCH(CountryCleanup[[#This Row],[ISO3]],Countries[ISO3],0),3),"")</f>
        <v>218</v>
      </c>
      <c r="E817" t="str">
        <f>IFERROR(INDEX(Countries[],MATCH(CountryCleanup[[#This Row],[ISO3]],Countries[ISO3],0),6),"")</f>
        <v>Ecuador</v>
      </c>
    </row>
    <row r="818" spans="2:5" x14ac:dyDescent="0.45">
      <c r="B818" t="s">
        <v>532</v>
      </c>
      <c r="C818" t="s">
        <v>531</v>
      </c>
      <c r="D818">
        <f>IFERROR(INDEX(Countries[],MATCH(CountryCleanup[[#This Row],[ISO3]],Countries[ISO3],0),3),"")</f>
        <v>818</v>
      </c>
      <c r="E818" t="str">
        <f>IFERROR(INDEX(Countries[],MATCH(CountryCleanup[[#This Row],[ISO3]],Countries[ISO3],0),6),"")</f>
        <v>Egypt</v>
      </c>
    </row>
    <row r="819" spans="2:5" x14ac:dyDescent="0.45">
      <c r="B819" t="s">
        <v>2213</v>
      </c>
      <c r="C819" t="s">
        <v>531</v>
      </c>
      <c r="D819">
        <f>IFERROR(INDEX(Countries[],MATCH(CountryCleanup[[#This Row],[ISO3]],Countries[ISO3],0),3),"")</f>
        <v>818</v>
      </c>
      <c r="E819" t="str">
        <f>IFERROR(INDEX(Countries[],MATCH(CountryCleanup[[#This Row],[ISO3]],Countries[ISO3],0),6),"")</f>
        <v>Egypt</v>
      </c>
    </row>
    <row r="820" spans="2:5" x14ac:dyDescent="0.45">
      <c r="B820" t="s">
        <v>2859</v>
      </c>
      <c r="C820" t="s">
        <v>531</v>
      </c>
      <c r="D820">
        <f>IFERROR(INDEX(Countries[],MATCH(CountryCleanup[[#This Row],[ISO3]],Countries[ISO3],0),3),"")</f>
        <v>818</v>
      </c>
      <c r="E820" t="str">
        <f>IFERROR(INDEX(Countries[],MATCH(CountryCleanup[[#This Row],[ISO3]],Countries[ISO3],0),6),"")</f>
        <v>Egypt</v>
      </c>
    </row>
    <row r="821" spans="2:5" x14ac:dyDescent="0.45">
      <c r="B821" t="s">
        <v>1624</v>
      </c>
      <c r="C821" t="s">
        <v>531</v>
      </c>
      <c r="D821">
        <f>IFERROR(INDEX(Countries[],MATCH(CountryCleanup[[#This Row],[ISO3]],Countries[ISO3],0),3),"")</f>
        <v>818</v>
      </c>
      <c r="E821" t="str">
        <f>IFERROR(INDEX(Countries[],MATCH(CountryCleanup[[#This Row],[ISO3]],Countries[ISO3],0),6),"")</f>
        <v>Egypt</v>
      </c>
    </row>
    <row r="822" spans="2:5" x14ac:dyDescent="0.45">
      <c r="B822" t="s">
        <v>538</v>
      </c>
      <c r="C822" t="s">
        <v>537</v>
      </c>
      <c r="D822">
        <f>IFERROR(INDEX(Countries[],MATCH(CountryCleanup[[#This Row],[ISO3]],Countries[ISO3],0),3),"")</f>
        <v>222</v>
      </c>
      <c r="E822" t="str">
        <f>IFERROR(INDEX(Countries[],MATCH(CountryCleanup[[#This Row],[ISO3]],Countries[ISO3],0),6),"")</f>
        <v>El Salvador</v>
      </c>
    </row>
    <row r="823" spans="2:5" x14ac:dyDescent="0.45">
      <c r="B823" s="9" t="s">
        <v>1625</v>
      </c>
      <c r="C823" t="s">
        <v>537</v>
      </c>
      <c r="D823">
        <f>IFERROR(INDEX(Countries[],MATCH(CountryCleanup[[#This Row],[ISO3]],Countries[ISO3],0),3),"")</f>
        <v>222</v>
      </c>
      <c r="E823" t="str">
        <f>IFERROR(INDEX(Countries[],MATCH(CountryCleanup[[#This Row],[ISO3]],Countries[ISO3],0),6),"")</f>
        <v>El Salvador</v>
      </c>
    </row>
    <row r="824" spans="2:5" x14ac:dyDescent="0.45">
      <c r="B824" t="s">
        <v>1626</v>
      </c>
      <c r="C824" t="s">
        <v>537</v>
      </c>
      <c r="D824">
        <f>IFERROR(INDEX(Countries[],MATCH(CountryCleanup[[#This Row],[ISO3]],Countries[ISO3],0),3),"")</f>
        <v>222</v>
      </c>
      <c r="E824" t="str">
        <f>IFERROR(INDEX(Countries[],MATCH(CountryCleanup[[#This Row],[ISO3]],Countries[ISO3],0),6),"")</f>
        <v>El Salvador</v>
      </c>
    </row>
    <row r="825" spans="2:5" x14ac:dyDescent="0.45">
      <c r="B825" t="s">
        <v>2271</v>
      </c>
      <c r="C825" t="s">
        <v>537</v>
      </c>
      <c r="D825">
        <f>IFERROR(INDEX(Countries[],MATCH(CountryCleanup[[#This Row],[ISO3]],Countries[ISO3],0),3),"")</f>
        <v>222</v>
      </c>
      <c r="E825" t="str">
        <f>IFERROR(INDEX(Countries[],MATCH(CountryCleanup[[#This Row],[ISO3]],Countries[ISO3],0),6),"")</f>
        <v>El Salvador</v>
      </c>
    </row>
    <row r="826" spans="2:5" x14ac:dyDescent="0.45">
      <c r="B826" t="s">
        <v>2850</v>
      </c>
      <c r="C826" s="3" t="s">
        <v>1389</v>
      </c>
      <c r="D826">
        <f>IFERROR(INDEX(Countries[],MATCH(CountryCleanup[[#This Row],[ISO3]],Countries[ISO3],0),3),"")</f>
        <v>826</v>
      </c>
      <c r="E826" t="str">
        <f>IFERROR(INDEX(Countries[],MATCH(CountryCleanup[[#This Row],[ISO3]],Countries[ISO3],0),6),"")</f>
        <v>United Kingdom of Great Britain and Northern Ireland (the)</v>
      </c>
    </row>
    <row r="827" spans="2:5" x14ac:dyDescent="0.45">
      <c r="B827" t="s">
        <v>1627</v>
      </c>
      <c r="C827" s="3" t="s">
        <v>1389</v>
      </c>
      <c r="D827">
        <f>IFERROR(INDEX(Countries[],MATCH(CountryCleanup[[#This Row],[ISO3]],Countries[ISO3],0),3),"")</f>
        <v>826</v>
      </c>
      <c r="E827" t="str">
        <f>IFERROR(INDEX(Countries[],MATCH(CountryCleanup[[#This Row],[ISO3]],Countries[ISO3],0),6),"")</f>
        <v>United Kingdom of Great Britain and Northern Ireland (the)</v>
      </c>
    </row>
    <row r="828" spans="2:5" x14ac:dyDescent="0.45">
      <c r="B828" s="5" t="s">
        <v>1628</v>
      </c>
      <c r="C828" s="5" t="s">
        <v>541</v>
      </c>
      <c r="D828">
        <f>IFERROR(INDEX(Countries[],MATCH(CountryCleanup[[#This Row],[ISO3]],Countries[ISO3],0),3),"")</f>
        <v>226</v>
      </c>
      <c r="E828" t="str">
        <f>IFERROR(INDEX(Countries[],MATCH(CountryCleanup[[#This Row],[ISO3]],Countries[ISO3],0),6),"")</f>
        <v>Equatorial Guinea</v>
      </c>
    </row>
    <row r="829" spans="2:5" x14ac:dyDescent="0.45">
      <c r="B829" t="s">
        <v>2290</v>
      </c>
      <c r="C829" t="s">
        <v>541</v>
      </c>
      <c r="D829">
        <f>IFERROR(INDEX(Countries[],MATCH(CountryCleanup[[#This Row],[ISO3]],Countries[ISO3],0),3),"")</f>
        <v>226</v>
      </c>
      <c r="E829" t="str">
        <f>IFERROR(INDEX(Countries[],MATCH(CountryCleanup[[#This Row],[ISO3]],Countries[ISO3],0),6),"")</f>
        <v>Equatorial Guinea</v>
      </c>
    </row>
    <row r="830" spans="2:5" x14ac:dyDescent="0.45">
      <c r="B830" t="s">
        <v>542</v>
      </c>
      <c r="C830" t="s">
        <v>541</v>
      </c>
      <c r="D830">
        <f>IFERROR(INDEX(Countries[],MATCH(CountryCleanup[[#This Row],[ISO3]],Countries[ISO3],0),3),"")</f>
        <v>226</v>
      </c>
      <c r="E830" t="str">
        <f>IFERROR(INDEX(Countries[],MATCH(CountryCleanup[[#This Row],[ISO3]],Countries[ISO3],0),6),"")</f>
        <v>Equatorial Guinea</v>
      </c>
    </row>
    <row r="831" spans="2:5" x14ac:dyDescent="0.45">
      <c r="B831" t="s">
        <v>547</v>
      </c>
      <c r="C831" t="s">
        <v>546</v>
      </c>
      <c r="D831">
        <f>IFERROR(INDEX(Countries[],MATCH(CountryCleanup[[#This Row],[ISO3]],Countries[ISO3],0),3),"")</f>
        <v>232</v>
      </c>
      <c r="E831" t="str">
        <f>IFERROR(INDEX(Countries[],MATCH(CountryCleanup[[#This Row],[ISO3]],Countries[ISO3],0),6),"")</f>
        <v>Eritrea</v>
      </c>
    </row>
    <row r="832" spans="2:5" x14ac:dyDescent="0.45">
      <c r="B832" t="s">
        <v>2284</v>
      </c>
      <c r="C832" t="s">
        <v>546</v>
      </c>
      <c r="D832">
        <f>IFERROR(INDEX(Countries[],MATCH(CountryCleanup[[#This Row],[ISO3]],Countries[ISO3],0),3),"")</f>
        <v>232</v>
      </c>
      <c r="E832" t="str">
        <f>IFERROR(INDEX(Countries[],MATCH(CountryCleanup[[#This Row],[ISO3]],Countries[ISO3],0),6),"")</f>
        <v>Eritrea</v>
      </c>
    </row>
    <row r="833" spans="2:5" x14ac:dyDescent="0.45">
      <c r="B833" t="s">
        <v>2903</v>
      </c>
      <c r="C833" t="s">
        <v>546</v>
      </c>
      <c r="D833">
        <f>IFERROR(INDEX(Countries[],MATCH(CountryCleanup[[#This Row],[ISO3]],Countries[ISO3],0),3),"")</f>
        <v>232</v>
      </c>
      <c r="E833" t="str">
        <f>IFERROR(INDEX(Countries[],MATCH(CountryCleanup[[#This Row],[ISO3]],Countries[ISO3],0),6),"")</f>
        <v>Eritrea</v>
      </c>
    </row>
    <row r="834" spans="2:5" x14ac:dyDescent="0.45">
      <c r="B834" t="s">
        <v>552</v>
      </c>
      <c r="C834" t="s">
        <v>551</v>
      </c>
      <c r="D834">
        <f>IFERROR(INDEX(Countries[],MATCH(CountryCleanup[[#This Row],[ISO3]],Countries[ISO3],0),3),"")</f>
        <v>233</v>
      </c>
      <c r="E834" t="str">
        <f>IFERROR(INDEX(Countries[],MATCH(CountryCleanup[[#This Row],[ISO3]],Countries[ISO3],0),6),"")</f>
        <v>Estonia</v>
      </c>
    </row>
    <row r="835" spans="2:5" x14ac:dyDescent="0.45">
      <c r="B835" t="s">
        <v>1960</v>
      </c>
      <c r="C835" t="s">
        <v>551</v>
      </c>
      <c r="D835">
        <f>IFERROR(INDEX(Countries[],MATCH(CountryCleanup[[#This Row],[ISO3]],Countries[ISO3],0),3),"")</f>
        <v>233</v>
      </c>
      <c r="E835" t="str">
        <f>IFERROR(INDEX(Countries[],MATCH(CountryCleanup[[#This Row],[ISO3]],Countries[ISO3],0),6),"")</f>
        <v>Estonia</v>
      </c>
    </row>
    <row r="836" spans="2:5" x14ac:dyDescent="0.45">
      <c r="B836" t="s">
        <v>556</v>
      </c>
      <c r="C836" t="s">
        <v>555</v>
      </c>
      <c r="D836">
        <f>IFERROR(INDEX(Countries[],MATCH(CountryCleanup[[#This Row],[ISO3]],Countries[ISO3],0),3),"")</f>
        <v>748</v>
      </c>
      <c r="E836" t="str">
        <f>IFERROR(INDEX(Countries[],MATCH(CountryCleanup[[#This Row],[ISO3]],Countries[ISO3],0),6),"")</f>
        <v>Eswatini</v>
      </c>
    </row>
    <row r="837" spans="2:5" x14ac:dyDescent="0.45">
      <c r="B837" t="s">
        <v>2280</v>
      </c>
      <c r="C837" t="s">
        <v>555</v>
      </c>
      <c r="D837">
        <f>IFERROR(INDEX(Countries[],MATCH(CountryCleanup[[#This Row],[ISO3]],Countries[ISO3],0),3),"")</f>
        <v>748</v>
      </c>
      <c r="E837" t="str">
        <f>IFERROR(INDEX(Countries[],MATCH(CountryCleanup[[#This Row],[ISO3]],Countries[ISO3],0),6),"")</f>
        <v>Eswatini</v>
      </c>
    </row>
    <row r="838" spans="2:5" x14ac:dyDescent="0.45">
      <c r="B838" s="9" t="s">
        <v>1629</v>
      </c>
      <c r="C838" t="s">
        <v>555</v>
      </c>
      <c r="D838">
        <f>IFERROR(INDEX(Countries[],MATCH(CountryCleanup[[#This Row],[ISO3]],Countries[ISO3],0),3),"")</f>
        <v>748</v>
      </c>
      <c r="E838" t="str">
        <f>IFERROR(INDEX(Countries[],MATCH(CountryCleanup[[#This Row],[ISO3]],Countries[ISO3],0),6),"")</f>
        <v>Eswatini</v>
      </c>
    </row>
    <row r="839" spans="2:5" x14ac:dyDescent="0.45">
      <c r="B839" t="s">
        <v>560</v>
      </c>
      <c r="C839" t="s">
        <v>559</v>
      </c>
      <c r="D839">
        <f>IFERROR(INDEX(Countries[],MATCH(CountryCleanup[[#This Row],[ISO3]],Countries[ISO3],0),3),"")</f>
        <v>231</v>
      </c>
      <c r="E839" t="str">
        <f>IFERROR(INDEX(Countries[],MATCH(CountryCleanup[[#This Row],[ISO3]],Countries[ISO3],0),6),"")</f>
        <v>Ethiopia</v>
      </c>
    </row>
    <row r="840" spans="2:5" x14ac:dyDescent="0.45">
      <c r="B840" t="s">
        <v>2207</v>
      </c>
      <c r="C840" t="s">
        <v>559</v>
      </c>
      <c r="D840">
        <f>IFERROR(INDEX(Countries[],MATCH(CountryCleanup[[#This Row],[ISO3]],Countries[ISO3],0),3),"")</f>
        <v>231</v>
      </c>
      <c r="E840" t="str">
        <f>IFERROR(INDEX(Countries[],MATCH(CountryCleanup[[#This Row],[ISO3]],Countries[ISO3],0),6),"")</f>
        <v>Ethiopia</v>
      </c>
    </row>
    <row r="841" spans="2:5" x14ac:dyDescent="0.45">
      <c r="B841" t="s">
        <v>2801</v>
      </c>
      <c r="C841" t="s">
        <v>559</v>
      </c>
      <c r="D841">
        <f>IFERROR(INDEX(Countries[],MATCH(CountryCleanup[[#This Row],[ISO3]],Countries[ISO3],0),3),"")</f>
        <v>231</v>
      </c>
      <c r="E841" t="str">
        <f>IFERROR(INDEX(Countries[],MATCH(CountryCleanup[[#This Row],[ISO3]],Countries[ISO3],0),6),"")</f>
        <v>Ethiopia</v>
      </c>
    </row>
    <row r="842" spans="2:5" x14ac:dyDescent="0.45">
      <c r="B842" s="13" t="s">
        <v>1630</v>
      </c>
      <c r="C842" t="s">
        <v>559</v>
      </c>
      <c r="D842">
        <f>IFERROR(INDEX(Countries[],MATCH(CountryCleanup[[#This Row],[ISO3]],Countries[ISO3],0),3),"")</f>
        <v>231</v>
      </c>
      <c r="E842" t="str">
        <f>IFERROR(INDEX(Countries[],MATCH(CountryCleanup[[#This Row],[ISO3]],Countries[ISO3],0),6),"")</f>
        <v>Ethiopia</v>
      </c>
    </row>
    <row r="843" spans="2:5" x14ac:dyDescent="0.45">
      <c r="B843" t="s">
        <v>1631</v>
      </c>
      <c r="C843" s="5" t="s">
        <v>569</v>
      </c>
      <c r="D843">
        <f>IFERROR(INDEX(Countries[],MATCH(CountryCleanup[[#This Row],[ISO3]],Countries[ISO3],0),3),"")</f>
        <v>99906</v>
      </c>
      <c r="E843" t="str">
        <f>IFERROR(INDEX(Countries[],MATCH(CountryCleanup[[#This Row],[ISO3]],Countries[ISO3],0),6),"")</f>
        <v>European Union (27)</v>
      </c>
    </row>
    <row r="844" spans="2:5" x14ac:dyDescent="0.45">
      <c r="B844" s="5" t="s">
        <v>1632</v>
      </c>
      <c r="C844" s="3" t="s">
        <v>2001</v>
      </c>
      <c r="D844">
        <f>IFERROR(INDEX(Countries[],MATCH(CountryCleanup[[#This Row],[ISO3]],Countries[ISO3],0),3),"")</f>
        <v>99905</v>
      </c>
      <c r="E844" t="str">
        <f>IFERROR(INDEX(Countries[],MATCH(CountryCleanup[[#This Row],[ISO3]],Countries[ISO3],0),6),"")</f>
        <v>European Union (28)</v>
      </c>
    </row>
    <row r="845" spans="2:5" x14ac:dyDescent="0.45">
      <c r="B845" t="s">
        <v>1633</v>
      </c>
      <c r="C845" t="s">
        <v>569</v>
      </c>
      <c r="D845">
        <f>IFERROR(INDEX(Countries[],MATCH(CountryCleanup[[#This Row],[ISO3]],Countries[ISO3],0),3),"")</f>
        <v>99906</v>
      </c>
      <c r="E845" t="str">
        <f>IFERROR(INDEX(Countries[],MATCH(CountryCleanup[[#This Row],[ISO3]],Countries[ISO3],0),6),"")</f>
        <v>European Union (27)</v>
      </c>
    </row>
    <row r="846" spans="2:5" x14ac:dyDescent="0.45">
      <c r="B846" t="s">
        <v>1993</v>
      </c>
      <c r="C846" s="3" t="s">
        <v>569</v>
      </c>
      <c r="D846">
        <f>IFERROR(INDEX(Countries[],MATCH(CountryCleanup[[#This Row],[ISO3]],Countries[ISO3],0),3),"")</f>
        <v>99906</v>
      </c>
      <c r="E846" t="str">
        <f>IFERROR(INDEX(Countries[],MATCH(CountryCleanup[[#This Row],[ISO3]],Countries[ISO3],0),6),"")</f>
        <v>European Union (27)</v>
      </c>
    </row>
    <row r="847" spans="2:5" x14ac:dyDescent="0.45">
      <c r="B847" t="s">
        <v>1994</v>
      </c>
      <c r="C847" s="3" t="s">
        <v>2001</v>
      </c>
      <c r="D847">
        <f>IFERROR(INDEX(Countries[],MATCH(CountryCleanup[[#This Row],[ISO3]],Countries[ISO3],0),3),"")</f>
        <v>99905</v>
      </c>
      <c r="E847" t="str">
        <f>IFERROR(INDEX(Countries[],MATCH(CountryCleanup[[#This Row],[ISO3]],Countries[ISO3],0),6),"")</f>
        <v>European Union (28)</v>
      </c>
    </row>
    <row r="848" spans="2:5" x14ac:dyDescent="0.45">
      <c r="B848" s="5" t="s">
        <v>203</v>
      </c>
      <c r="C848" s="5" t="s">
        <v>564</v>
      </c>
      <c r="D848">
        <f>IFERROR(INDEX(Countries[],MATCH(CountryCleanup[[#This Row],[ISO3]],Countries[ISO3],0),3),"")</f>
        <v>99903</v>
      </c>
      <c r="E848" t="str">
        <f>IFERROR(INDEX(Countries[],MATCH(CountryCleanup[[#This Row],[ISO3]],Countries[ISO3],0),6),"")</f>
        <v>Eurasia</v>
      </c>
    </row>
    <row r="849" spans="2:5" x14ac:dyDescent="0.45">
      <c r="B849" t="s">
        <v>2197</v>
      </c>
      <c r="C849" t="s">
        <v>564</v>
      </c>
      <c r="D849">
        <f>IFERROR(INDEX(Countries[],MATCH(CountryCleanup[[#This Row],[ISO3]],Countries[ISO3],0),3),"")</f>
        <v>99903</v>
      </c>
      <c r="E849" t="str">
        <f>IFERROR(INDEX(Countries[],MATCH(CountryCleanup[[#This Row],[ISO3]],Countries[ISO3],0),6),"")</f>
        <v>Eurasia</v>
      </c>
    </row>
    <row r="850" spans="2:5" x14ac:dyDescent="0.45">
      <c r="B850" t="s">
        <v>1634</v>
      </c>
      <c r="C850" s="5" t="s">
        <v>1943</v>
      </c>
      <c r="D850">
        <f>IFERROR(INDEX(Countries[],MATCH(CountryCleanup[[#This Row],[ISO3]],Countries[ISO3],0),3),"")</f>
        <v>99050</v>
      </c>
      <c r="E850" t="str">
        <f>IFERROR(INDEX(Countries[],MATCH(CountryCleanup[[#This Row],[ISO3]],Countries[ISO3],0),6),"")</f>
        <v>Residual/unallocated: Northern America and Europe</v>
      </c>
    </row>
    <row r="851" spans="2:5" x14ac:dyDescent="0.45">
      <c r="B851" t="s">
        <v>127</v>
      </c>
      <c r="C851" s="5" t="s">
        <v>569</v>
      </c>
      <c r="D851">
        <f>IFERROR(INDEX(Countries[],MATCH(CountryCleanup[[#This Row],[ISO3]],Countries[ISO3],0),3),"")</f>
        <v>99906</v>
      </c>
      <c r="E851" t="str">
        <f>IFERROR(INDEX(Countries[],MATCH(CountryCleanup[[#This Row],[ISO3]],Countries[ISO3],0),6),"")</f>
        <v>European Union (27)</v>
      </c>
    </row>
    <row r="852" spans="2:5" x14ac:dyDescent="0.45">
      <c r="B852" t="s">
        <v>1635</v>
      </c>
      <c r="C852" s="5" t="s">
        <v>1943</v>
      </c>
      <c r="D852">
        <f>IFERROR(INDEX(Countries[],MATCH(CountryCleanup[[#This Row],[ISO3]],Countries[ISO3],0),3),"")</f>
        <v>99050</v>
      </c>
      <c r="E852" t="str">
        <f>IFERROR(INDEX(Countries[],MATCH(CountryCleanup[[#This Row],[ISO3]],Countries[ISO3],0),6),"")</f>
        <v>Residual/unallocated: Northern America and Europe</v>
      </c>
    </row>
    <row r="853" spans="2:5" x14ac:dyDescent="0.45">
      <c r="B853" t="s">
        <v>1636</v>
      </c>
      <c r="C853" s="5" t="s">
        <v>1943</v>
      </c>
      <c r="D853">
        <f>IFERROR(INDEX(Countries[],MATCH(CountryCleanup[[#This Row],[ISO3]],Countries[ISO3],0),3),"")</f>
        <v>99050</v>
      </c>
      <c r="E853" t="str">
        <f>IFERROR(INDEX(Countries[],MATCH(CountryCleanup[[#This Row],[ISO3]],Countries[ISO3],0),6),"")</f>
        <v>Residual/unallocated: Northern America and Europe</v>
      </c>
    </row>
    <row r="854" spans="2:5" x14ac:dyDescent="0.45">
      <c r="B854" t="s">
        <v>1637</v>
      </c>
      <c r="C854" t="s">
        <v>569</v>
      </c>
      <c r="D854">
        <f>IFERROR(INDEX(Countries[],MATCH(CountryCleanup[[#This Row],[ISO3]],Countries[ISO3],0),3),"")</f>
        <v>99906</v>
      </c>
      <c r="E854" t="str">
        <f>IFERROR(INDEX(Countries[],MATCH(CountryCleanup[[#This Row],[ISO3]],Countries[ISO3],0),6),"")</f>
        <v>European Union (27)</v>
      </c>
    </row>
    <row r="855" spans="2:5" x14ac:dyDescent="0.45">
      <c r="B855" t="s">
        <v>571</v>
      </c>
      <c r="C855" s="3" t="s">
        <v>569</v>
      </c>
      <c r="D855">
        <f>IFERROR(INDEX(Countries[],MATCH(CountryCleanup[[#This Row],[ISO3]],Countries[ISO3],0),3),"")</f>
        <v>99906</v>
      </c>
      <c r="E855" t="str">
        <f>IFERROR(INDEX(Countries[],MATCH(CountryCleanup[[#This Row],[ISO3]],Countries[ISO3],0),6),"")</f>
        <v>European Union (27)</v>
      </c>
    </row>
    <row r="856" spans="2:5" x14ac:dyDescent="0.45">
      <c r="B856" s="2" t="s">
        <v>570</v>
      </c>
      <c r="C856" s="3" t="s">
        <v>2001</v>
      </c>
      <c r="D856">
        <f>IFERROR(INDEX(Countries[],MATCH(CountryCleanup[[#This Row],[ISO3]],Countries[ISO3],0),3),"")</f>
        <v>99905</v>
      </c>
      <c r="E856" t="str">
        <f>IFERROR(INDEX(Countries[],MATCH(CountryCleanup[[#This Row],[ISO3]],Countries[ISO3],0),6),"")</f>
        <v>European Union (28)</v>
      </c>
    </row>
    <row r="857" spans="2:5" x14ac:dyDescent="0.45">
      <c r="B857" t="s">
        <v>2364</v>
      </c>
      <c r="C857" t="s">
        <v>580</v>
      </c>
      <c r="D857">
        <f>IFERROR(INDEX(Countries[],MATCH(CountryCleanup[[#This Row],[ISO3]],Countries[ISO3],0),3),"")</f>
        <v>234</v>
      </c>
      <c r="E857" t="str">
        <f>IFERROR(INDEX(Countries[],MATCH(CountryCleanup[[#This Row],[ISO3]],Countries[ISO3],0),6),"")</f>
        <v>Faroe Islands</v>
      </c>
    </row>
    <row r="858" spans="2:5" x14ac:dyDescent="0.45">
      <c r="B858" t="s">
        <v>2824</v>
      </c>
      <c r="C858" t="s">
        <v>580</v>
      </c>
      <c r="D858">
        <f>IFERROR(INDEX(Countries[],MATCH(CountryCleanup[[#This Row],[ISO3]],Countries[ISO3],0),3),"")</f>
        <v>234</v>
      </c>
      <c r="E858" t="str">
        <f>IFERROR(INDEX(Countries[],MATCH(CountryCleanup[[#This Row],[ISO3]],Countries[ISO3],0),6),"")</f>
        <v>Faroe Islands</v>
      </c>
    </row>
    <row r="859" spans="2:5" x14ac:dyDescent="0.45">
      <c r="B859" t="s">
        <v>1638</v>
      </c>
      <c r="C859" t="s">
        <v>574</v>
      </c>
      <c r="D859">
        <f>IFERROR(INDEX(Countries[],MATCH(CountryCleanup[[#This Row],[ISO3]],Countries[ISO3],0),3),"")</f>
        <v>238</v>
      </c>
      <c r="E859" t="str">
        <f>IFERROR(INDEX(Countries[],MATCH(CountryCleanup[[#This Row],[ISO3]],Countries[ISO3],0),6),"")</f>
        <v>Falkland Islands (Malvinas)</v>
      </c>
    </row>
    <row r="860" spans="2:5" x14ac:dyDescent="0.45">
      <c r="B860" t="s">
        <v>2383</v>
      </c>
      <c r="C860" t="s">
        <v>574</v>
      </c>
      <c r="D860">
        <f>IFERROR(INDEX(Countries[],MATCH(CountryCleanup[[#This Row],[ISO3]],Countries[ISO3],0),3),"")</f>
        <v>238</v>
      </c>
      <c r="E860" t="str">
        <f>IFERROR(INDEX(Countries[],MATCH(CountryCleanup[[#This Row],[ISO3]],Countries[ISO3],0),6),"")</f>
        <v>Falkland Islands (Malvinas)</v>
      </c>
    </row>
    <row r="861" spans="2:5" x14ac:dyDescent="0.45">
      <c r="B861" s="9" t="s">
        <v>1639</v>
      </c>
      <c r="C861" t="s">
        <v>574</v>
      </c>
      <c r="D861">
        <f>IFERROR(INDEX(Countries[],MATCH(CountryCleanup[[#This Row],[ISO3]],Countries[ISO3],0),3),"")</f>
        <v>238</v>
      </c>
      <c r="E861" t="str">
        <f>IFERROR(INDEX(Countries[],MATCH(CountryCleanup[[#This Row],[ISO3]],Countries[ISO3],0),6),"")</f>
        <v>Falkland Islands (Malvinas)</v>
      </c>
    </row>
    <row r="862" spans="2:5" x14ac:dyDescent="0.45">
      <c r="B862" t="s">
        <v>575</v>
      </c>
      <c r="C862" t="s">
        <v>574</v>
      </c>
      <c r="D862">
        <f>IFERROR(INDEX(Countries[],MATCH(CountryCleanup[[#This Row],[ISO3]],Countries[ISO3],0),3),"")</f>
        <v>238</v>
      </c>
      <c r="E862" t="str">
        <f>IFERROR(INDEX(Countries[],MATCH(CountryCleanup[[#This Row],[ISO3]],Countries[ISO3],0),6),"")</f>
        <v>Falkland Islands (Malvinas)</v>
      </c>
    </row>
    <row r="863" spans="2:5" x14ac:dyDescent="0.45">
      <c r="B863" t="s">
        <v>2426</v>
      </c>
      <c r="C863" t="s">
        <v>574</v>
      </c>
      <c r="D863">
        <f>IFERROR(INDEX(Countries[],MATCH(CountryCleanup[[#This Row],[ISO3]],Countries[ISO3],0),3),"")</f>
        <v>238</v>
      </c>
      <c r="E863" t="str">
        <f>IFERROR(INDEX(Countries[],MATCH(CountryCleanup[[#This Row],[ISO3]],Countries[ISO3],0),6),"")</f>
        <v>Falkland Islands (Malvinas)</v>
      </c>
    </row>
    <row r="864" spans="2:5" x14ac:dyDescent="0.45">
      <c r="B864" s="5" t="s">
        <v>1640</v>
      </c>
      <c r="C864" s="5" t="s">
        <v>574</v>
      </c>
      <c r="D864">
        <f>IFERROR(INDEX(Countries[],MATCH(CountryCleanup[[#This Row],[ISO3]],Countries[ISO3],0),3),"")</f>
        <v>238</v>
      </c>
      <c r="E864" t="str">
        <f>IFERROR(INDEX(Countries[],MATCH(CountryCleanup[[#This Row],[ISO3]],Countries[ISO3],0),6),"")</f>
        <v>Falkland Islands (Malvinas)</v>
      </c>
    </row>
    <row r="865" spans="2:5" x14ac:dyDescent="0.45">
      <c r="B865" t="s">
        <v>1641</v>
      </c>
      <c r="C865" s="5" t="s">
        <v>1094</v>
      </c>
      <c r="D865">
        <f>IFERROR(INDEX(Countries[],MATCH(CountryCleanup[[#This Row],[ISO3]],Countries[ISO3],0),3),"")</f>
        <v>99036</v>
      </c>
      <c r="E865" t="str">
        <f>IFERROR(INDEX(Countries[],MATCH(CountryCleanup[[#This Row],[ISO3]],Countries[ISO3],0),6),"")</f>
        <v>Residual/unallocated: Eastern and South-eastern Asia</v>
      </c>
    </row>
    <row r="866" spans="2:5" x14ac:dyDescent="0.45">
      <c r="B866" t="s">
        <v>1642</v>
      </c>
      <c r="C866" t="s">
        <v>580</v>
      </c>
      <c r="D866">
        <f>IFERROR(INDEX(Countries[],MATCH(CountryCleanup[[#This Row],[ISO3]],Countries[ISO3],0),3),"")</f>
        <v>234</v>
      </c>
      <c r="E866" t="str">
        <f>IFERROR(INDEX(Countries[],MATCH(CountryCleanup[[#This Row],[ISO3]],Countries[ISO3],0),6),"")</f>
        <v>Faroe Islands</v>
      </c>
    </row>
    <row r="867" spans="2:5" x14ac:dyDescent="0.45">
      <c r="B867" t="s">
        <v>581</v>
      </c>
      <c r="C867" t="s">
        <v>580</v>
      </c>
      <c r="D867">
        <f>IFERROR(INDEX(Countries[],MATCH(CountryCleanup[[#This Row],[ISO3]],Countries[ISO3],0),3),"")</f>
        <v>234</v>
      </c>
      <c r="E867" t="str">
        <f>IFERROR(INDEX(Countries[],MATCH(CountryCleanup[[#This Row],[ISO3]],Countries[ISO3],0),6),"")</f>
        <v>Faroe Islands</v>
      </c>
    </row>
    <row r="868" spans="2:5" x14ac:dyDescent="0.45">
      <c r="B868" s="9" t="s">
        <v>1643</v>
      </c>
      <c r="C868" t="s">
        <v>580</v>
      </c>
      <c r="D868">
        <f>IFERROR(INDEX(Countries[],MATCH(CountryCleanup[[#This Row],[ISO3]],Countries[ISO3],0),3),"")</f>
        <v>234</v>
      </c>
      <c r="E868" t="str">
        <f>IFERROR(INDEX(Countries[],MATCH(CountryCleanup[[#This Row],[ISO3]],Countries[ISO3],0),6),"")</f>
        <v>Faroe Islands</v>
      </c>
    </row>
    <row r="869" spans="2:5" x14ac:dyDescent="0.45">
      <c r="B869" s="9" t="s">
        <v>1644</v>
      </c>
      <c r="C869" t="s">
        <v>908</v>
      </c>
      <c r="D869">
        <f>IFERROR(INDEX(Countries[],MATCH(CountryCleanup[[#This Row],[ISO3]],Countries[ISO3],0),3),"")</f>
        <v>583</v>
      </c>
      <c r="E869" t="str">
        <f>IFERROR(INDEX(Countries[],MATCH(CountryCleanup[[#This Row],[ISO3]],Countries[ISO3],0),6),"")</f>
        <v>Micronesia (Federated States of)</v>
      </c>
    </row>
    <row r="870" spans="2:5" x14ac:dyDescent="0.45">
      <c r="B870" t="s">
        <v>586</v>
      </c>
      <c r="C870" t="s">
        <v>585</v>
      </c>
      <c r="D870">
        <f>IFERROR(INDEX(Countries[],MATCH(CountryCleanup[[#This Row],[ISO3]],Countries[ISO3],0),3),"")</f>
        <v>242</v>
      </c>
      <c r="E870" t="str">
        <f>IFERROR(INDEX(Countries[],MATCH(CountryCleanup[[#This Row],[ISO3]],Countries[ISO3],0),6),"")</f>
        <v>Fiji</v>
      </c>
    </row>
    <row r="871" spans="2:5" x14ac:dyDescent="0.45">
      <c r="B871" t="s">
        <v>592</v>
      </c>
      <c r="C871" t="s">
        <v>591</v>
      </c>
      <c r="D871">
        <f>IFERROR(INDEX(Countries[],MATCH(CountryCleanup[[#This Row],[ISO3]],Countries[ISO3],0),3),"")</f>
        <v>246</v>
      </c>
      <c r="E871" t="str">
        <f>IFERROR(INDEX(Countries[],MATCH(CountryCleanup[[#This Row],[ISO3]],Countries[ISO3],0),6),"")</f>
        <v>Finland</v>
      </c>
    </row>
    <row r="872" spans="2:5" x14ac:dyDescent="0.45">
      <c r="B872" t="s">
        <v>1961</v>
      </c>
      <c r="C872" t="s">
        <v>591</v>
      </c>
      <c r="D872">
        <f>IFERROR(INDEX(Countries[],MATCH(CountryCleanup[[#This Row],[ISO3]],Countries[ISO3],0),3),"")</f>
        <v>246</v>
      </c>
      <c r="E872" t="str">
        <f>IFERROR(INDEX(Countries[],MATCH(CountryCleanup[[#This Row],[ISO3]],Countries[ISO3],0),6),"")</f>
        <v>Finland</v>
      </c>
    </row>
    <row r="873" spans="2:5" x14ac:dyDescent="0.45">
      <c r="B873" t="s">
        <v>2889</v>
      </c>
      <c r="C873" s="3" t="s">
        <v>1129</v>
      </c>
      <c r="D873">
        <f>IFERROR(INDEX(Countries[],MATCH(CountryCleanup[[#This Row],[ISO3]],Countries[ISO3],0),3),"")</f>
        <v>643</v>
      </c>
      <c r="E873" t="str">
        <f>IFERROR(INDEX(Countries[],MATCH(CountryCleanup[[#This Row],[ISO3]],Countries[ISO3],0),6),"")</f>
        <v>Russian Federation (the)</v>
      </c>
    </row>
    <row r="874" spans="2:5" x14ac:dyDescent="0.45">
      <c r="B874" t="s">
        <v>1645</v>
      </c>
      <c r="C874" t="s">
        <v>1090</v>
      </c>
      <c r="D874">
        <f>IFERROR(INDEX(Countries[],MATCH(CountryCleanup[[#This Row],[ISO3]],Countries[ISO3],0),3),"")</f>
        <v>807</v>
      </c>
      <c r="E874" t="str">
        <f>IFERROR(INDEX(Countries[],MATCH(CountryCleanup[[#This Row],[ISO3]],Countries[ISO3],0),6),"")</f>
        <v>North Macedonia</v>
      </c>
    </row>
    <row r="875" spans="2:5" x14ac:dyDescent="0.45">
      <c r="B875" s="9" t="s">
        <v>1646</v>
      </c>
      <c r="C875" t="s">
        <v>1090</v>
      </c>
      <c r="D875">
        <f>IFERROR(INDEX(Countries[],MATCH(CountryCleanup[[#This Row],[ISO3]],Countries[ISO3],0),3),"")</f>
        <v>807</v>
      </c>
      <c r="E875" t="str">
        <f>IFERROR(INDEX(Countries[],MATCH(CountryCleanup[[#This Row],[ISO3]],Countries[ISO3],0),6),"")</f>
        <v>North Macedonia</v>
      </c>
    </row>
    <row r="876" spans="2:5" x14ac:dyDescent="0.45">
      <c r="B876" t="s">
        <v>2907</v>
      </c>
      <c r="C876" t="s">
        <v>1090</v>
      </c>
      <c r="D876">
        <f>IFERROR(INDEX(Countries[],MATCH(CountryCleanup[[#This Row],[ISO3]],Countries[ISO3],0),3),"")</f>
        <v>807</v>
      </c>
      <c r="E876" t="str">
        <f>IFERROR(INDEX(Countries[],MATCH(CountryCleanup[[#This Row],[ISO3]],Countries[ISO3],0),6),"")</f>
        <v>North Macedonia</v>
      </c>
    </row>
    <row r="877" spans="2:5" x14ac:dyDescent="0.45">
      <c r="B877" t="s">
        <v>1647</v>
      </c>
      <c r="C877" t="s">
        <v>1090</v>
      </c>
      <c r="D877">
        <f>IFERROR(INDEX(Countries[],MATCH(CountryCleanup[[#This Row],[ISO3]],Countries[ISO3],0),3),"")</f>
        <v>807</v>
      </c>
      <c r="E877" t="str">
        <f>IFERROR(INDEX(Countries[],MATCH(CountryCleanup[[#This Row],[ISO3]],Countries[ISO3],0),6),"")</f>
        <v>North Macedonia</v>
      </c>
    </row>
    <row r="878" spans="2:5" x14ac:dyDescent="0.45">
      <c r="B878" s="5" t="s">
        <v>1648</v>
      </c>
      <c r="C878" s="5" t="s">
        <v>600</v>
      </c>
      <c r="D878">
        <f>IFERROR(INDEX(Countries[],MATCH(CountryCleanup[[#This Row],[ISO3]],Countries[ISO3],0),3),"")</f>
        <v>254</v>
      </c>
      <c r="E878" t="str">
        <f>IFERROR(INDEX(Countries[],MATCH(CountryCleanup[[#This Row],[ISO3]],Countries[ISO3],0),6),"")</f>
        <v>French Guiana</v>
      </c>
    </row>
    <row r="879" spans="2:5" x14ac:dyDescent="0.45">
      <c r="B879" s="5" t="s">
        <v>1649</v>
      </c>
      <c r="C879" s="5" t="s">
        <v>605</v>
      </c>
      <c r="D879">
        <f>IFERROR(INDEX(Countries[],MATCH(CountryCleanup[[#This Row],[ISO3]],Countries[ISO3],0),3),"")</f>
        <v>258</v>
      </c>
      <c r="E879" t="str">
        <f>IFERROR(INDEX(Countries[],MATCH(CountryCleanup[[#This Row],[ISO3]],Countries[ISO3],0),6),"")</f>
        <v>French Polynesia</v>
      </c>
    </row>
    <row r="880" spans="2:5" x14ac:dyDescent="0.45">
      <c r="B880" s="5" t="s">
        <v>1650</v>
      </c>
      <c r="C880" s="5" t="s">
        <v>611</v>
      </c>
      <c r="D880">
        <f>IFERROR(INDEX(Countries[],MATCH(CountryCleanup[[#This Row],[ISO3]],Countries[ISO3],0),3),"")</f>
        <v>260</v>
      </c>
      <c r="E880" t="str">
        <f>IFERROR(INDEX(Countries[],MATCH(CountryCleanup[[#This Row],[ISO3]],Countries[ISO3],0),6),"")</f>
        <v>French Southern and Antarctic Territories</v>
      </c>
    </row>
    <row r="881" spans="2:5" x14ac:dyDescent="0.45">
      <c r="B881" t="s">
        <v>2376</v>
      </c>
      <c r="C881" t="s">
        <v>611</v>
      </c>
      <c r="D881">
        <f>IFERROR(INDEX(Countries[],MATCH(CountryCleanup[[#This Row],[ISO3]],Countries[ISO3],0),3),"")</f>
        <v>260</v>
      </c>
      <c r="E881" t="str">
        <f>IFERROR(INDEX(Countries[],MATCH(CountryCleanup[[#This Row],[ISO3]],Countries[ISO3],0),6),"")</f>
        <v>French Southern and Antarctic Territories</v>
      </c>
    </row>
    <row r="882" spans="2:5" x14ac:dyDescent="0.45">
      <c r="B882" t="s">
        <v>597</v>
      </c>
      <c r="C882" t="s">
        <v>596</v>
      </c>
      <c r="D882">
        <f>IFERROR(INDEX(Countries[],MATCH(CountryCleanup[[#This Row],[ISO3]],Countries[ISO3],0),3),"")</f>
        <v>250</v>
      </c>
      <c r="E882" t="str">
        <f>IFERROR(INDEX(Countries[],MATCH(CountryCleanup[[#This Row],[ISO3]],Countries[ISO3],0),6),"")</f>
        <v>France</v>
      </c>
    </row>
    <row r="883" spans="2:5" x14ac:dyDescent="0.45">
      <c r="B883" t="s">
        <v>1651</v>
      </c>
      <c r="C883" t="s">
        <v>596</v>
      </c>
      <c r="D883">
        <f>IFERROR(INDEX(Countries[],MATCH(CountryCleanup[[#This Row],[ISO3]],Countries[ISO3],0),3),"")</f>
        <v>250</v>
      </c>
      <c r="E883" t="str">
        <f>IFERROR(INDEX(Countries[],MATCH(CountryCleanup[[#This Row],[ISO3]],Countries[ISO3],0),6),"")</f>
        <v>France</v>
      </c>
    </row>
    <row r="884" spans="2:5" x14ac:dyDescent="0.45">
      <c r="B884" t="s">
        <v>1962</v>
      </c>
      <c r="C884" t="s">
        <v>596</v>
      </c>
      <c r="D884">
        <f>IFERROR(INDEX(Countries[],MATCH(CountryCleanup[[#This Row],[ISO3]],Countries[ISO3],0),3),"")</f>
        <v>250</v>
      </c>
      <c r="E884" t="str">
        <f>IFERROR(INDEX(Countries[],MATCH(CountryCleanup[[#This Row],[ISO3]],Countries[ISO3],0),6),"")</f>
        <v>France</v>
      </c>
    </row>
    <row r="885" spans="2:5" x14ac:dyDescent="0.45">
      <c r="B885" t="s">
        <v>1652</v>
      </c>
      <c r="C885" t="s">
        <v>596</v>
      </c>
      <c r="D885">
        <f>IFERROR(INDEX(Countries[],MATCH(CountryCleanup[[#This Row],[ISO3]],Countries[ISO3],0),3),"")</f>
        <v>250</v>
      </c>
      <c r="E885" t="str">
        <f>IFERROR(INDEX(Countries[],MATCH(CountryCleanup[[#This Row],[ISO3]],Countries[ISO3],0),6),"")</f>
        <v>France</v>
      </c>
    </row>
    <row r="886" spans="2:5" x14ac:dyDescent="0.45">
      <c r="B886" s="9" t="s">
        <v>1653</v>
      </c>
      <c r="C886" t="s">
        <v>596</v>
      </c>
      <c r="D886">
        <f>IFERROR(INDEX(Countries[],MATCH(CountryCleanup[[#This Row],[ISO3]],Countries[ISO3],0),3),"")</f>
        <v>250</v>
      </c>
      <c r="E886" t="str">
        <f>IFERROR(INDEX(Countries[],MATCH(CountryCleanup[[#This Row],[ISO3]],Countries[ISO3],0),6),"")</f>
        <v>France</v>
      </c>
    </row>
    <row r="887" spans="2:5" x14ac:dyDescent="0.45">
      <c r="B887" t="s">
        <v>2802</v>
      </c>
      <c r="C887" t="s">
        <v>596</v>
      </c>
      <c r="D887">
        <f>IFERROR(INDEX(Countries[],MATCH(CountryCleanup[[#This Row],[ISO3]],Countries[ISO3],0),3),"")</f>
        <v>250</v>
      </c>
      <c r="E887" t="str">
        <f>IFERROR(INDEX(Countries[],MATCH(CountryCleanup[[#This Row],[ISO3]],Countries[ISO3],0),6),"")</f>
        <v>France</v>
      </c>
    </row>
    <row r="888" spans="2:5" x14ac:dyDescent="0.45">
      <c r="B888" t="s">
        <v>2933</v>
      </c>
      <c r="C888" t="s">
        <v>596</v>
      </c>
      <c r="D888">
        <f>IFERROR(INDEX(Countries[],MATCH(CountryCleanup[[#This Row],[ISO3]],Countries[ISO3],0),3),"")</f>
        <v>250</v>
      </c>
      <c r="E888" t="str">
        <f>IFERROR(INDEX(Countries[],MATCH(CountryCleanup[[#This Row],[ISO3]],Countries[ISO3],0),6),"")</f>
        <v>France</v>
      </c>
    </row>
    <row r="889" spans="2:5" x14ac:dyDescent="0.45">
      <c r="B889" t="s">
        <v>2922</v>
      </c>
      <c r="C889" t="s">
        <v>596</v>
      </c>
      <c r="D889">
        <f>IFERROR(INDEX(Countries[],MATCH(CountryCleanup[[#This Row],[ISO3]],Countries[ISO3],0),3),"")</f>
        <v>250</v>
      </c>
      <c r="E889" t="str">
        <f>IFERROR(INDEX(Countries[],MATCH(CountryCleanup[[#This Row],[ISO3]],Countries[ISO3],0),6),"")</f>
        <v>France</v>
      </c>
    </row>
    <row r="890" spans="2:5" x14ac:dyDescent="0.45">
      <c r="B890" t="s">
        <v>2927</v>
      </c>
      <c r="C890" t="s">
        <v>596</v>
      </c>
      <c r="D890">
        <f>IFERROR(INDEX(Countries[],MATCH(CountryCleanup[[#This Row],[ISO3]],Countries[ISO3],0),3),"")</f>
        <v>250</v>
      </c>
      <c r="E890" t="str">
        <f>IFERROR(INDEX(Countries[],MATCH(CountryCleanup[[#This Row],[ISO3]],Countries[ISO3],0),6),"")</f>
        <v>France</v>
      </c>
    </row>
    <row r="891" spans="2:5" x14ac:dyDescent="0.45">
      <c r="B891" t="s">
        <v>2399</v>
      </c>
      <c r="C891" t="s">
        <v>2403</v>
      </c>
      <c r="D891">
        <f>IFERROR(INDEX(Countries[],MATCH(CountryCleanup[[#This Row],[ISO3]],Countries[ISO3],0),3),"")</f>
        <v>99916</v>
      </c>
      <c r="E891" t="str">
        <f>IFERROR(INDEX(Countries[],MATCH(CountryCleanup[[#This Row],[ISO3]],Countries[ISO3],0),6),"")</f>
        <v>Free Zones</v>
      </c>
    </row>
    <row r="892" spans="2:5" x14ac:dyDescent="0.45">
      <c r="B892" t="s">
        <v>601</v>
      </c>
      <c r="C892" t="s">
        <v>600</v>
      </c>
      <c r="D892">
        <f>IFERROR(INDEX(Countries[],MATCH(CountryCleanup[[#This Row],[ISO3]],Countries[ISO3],0),3),"")</f>
        <v>254</v>
      </c>
      <c r="E892" t="str">
        <f>IFERROR(INDEX(Countries[],MATCH(CountryCleanup[[#This Row],[ISO3]],Countries[ISO3],0),6),"")</f>
        <v>French Guiana</v>
      </c>
    </row>
    <row r="893" spans="2:5" x14ac:dyDescent="0.45">
      <c r="B893" s="13" t="s">
        <v>1654</v>
      </c>
      <c r="C893" t="s">
        <v>600</v>
      </c>
      <c r="D893">
        <f>IFERROR(INDEX(Countries[],MATCH(CountryCleanup[[#This Row],[ISO3]],Countries[ISO3],0),3),"")</f>
        <v>254</v>
      </c>
      <c r="E893" t="str">
        <f>IFERROR(INDEX(Countries[],MATCH(CountryCleanup[[#This Row],[ISO3]],Countries[ISO3],0),6),"")</f>
        <v>French Guiana</v>
      </c>
    </row>
    <row r="894" spans="2:5" x14ac:dyDescent="0.45">
      <c r="B894" t="s">
        <v>606</v>
      </c>
      <c r="C894" t="s">
        <v>605</v>
      </c>
      <c r="D894">
        <f>IFERROR(INDEX(Countries[],MATCH(CountryCleanup[[#This Row],[ISO3]],Countries[ISO3],0),3),"")</f>
        <v>258</v>
      </c>
      <c r="E894" t="str">
        <f>IFERROR(INDEX(Countries[],MATCH(CountryCleanup[[#This Row],[ISO3]],Countries[ISO3],0),6),"")</f>
        <v>French Polynesia</v>
      </c>
    </row>
    <row r="895" spans="2:5" x14ac:dyDescent="0.45">
      <c r="B895" t="s">
        <v>1655</v>
      </c>
      <c r="C895" t="s">
        <v>181</v>
      </c>
      <c r="D895">
        <f>IFERROR(INDEX(Countries[],MATCH(CountryCleanup[[#This Row],[ISO3]],Countries[ISO3],0),3),"")</f>
        <v>10</v>
      </c>
      <c r="E895" t="str">
        <f>IFERROR(INDEX(Countries[],MATCH(CountryCleanup[[#This Row],[ISO3]],Countries[ISO3],0),6),"")</f>
        <v>Antarctica</v>
      </c>
    </row>
    <row r="896" spans="2:5" x14ac:dyDescent="0.45">
      <c r="B896" t="s">
        <v>2846</v>
      </c>
      <c r="C896" t="s">
        <v>181</v>
      </c>
      <c r="D896">
        <f>IFERROR(INDEX(Countries[],MATCH(CountryCleanup[[#This Row],[ISO3]],Countries[ISO3],0),3),"")</f>
        <v>10</v>
      </c>
      <c r="E896" t="str">
        <f>IFERROR(INDEX(Countries[],MATCH(CountryCleanup[[#This Row],[ISO3]],Countries[ISO3],0),6),"")</f>
        <v>Antarctica</v>
      </c>
    </row>
    <row r="897" spans="2:5" x14ac:dyDescent="0.45">
      <c r="B897" s="9" t="s">
        <v>613</v>
      </c>
      <c r="C897" t="s">
        <v>181</v>
      </c>
      <c r="D897">
        <f>IFERROR(INDEX(Countries[],MATCH(CountryCleanup[[#This Row],[ISO3]],Countries[ISO3],0),3),"")</f>
        <v>10</v>
      </c>
      <c r="E897" t="str">
        <f>IFERROR(INDEX(Countries[],MATCH(CountryCleanup[[#This Row],[ISO3]],Countries[ISO3],0),6),"")</f>
        <v>Antarctica</v>
      </c>
    </row>
    <row r="898" spans="2:5" x14ac:dyDescent="0.45">
      <c r="B898" t="s">
        <v>612</v>
      </c>
      <c r="C898" t="s">
        <v>611</v>
      </c>
      <c r="D898">
        <f>IFERROR(INDEX(Countries[],MATCH(CountryCleanup[[#This Row],[ISO3]],Countries[ISO3],0),3),"")</f>
        <v>260</v>
      </c>
      <c r="E898" t="str">
        <f>IFERROR(INDEX(Countries[],MATCH(CountryCleanup[[#This Row],[ISO3]],Countries[ISO3],0),6),"")</f>
        <v>French Southern and Antarctic Territories</v>
      </c>
    </row>
    <row r="899" spans="2:5" x14ac:dyDescent="0.45">
      <c r="B899" t="s">
        <v>2384</v>
      </c>
      <c r="C899" t="s">
        <v>908</v>
      </c>
      <c r="D899">
        <f>IFERROR(INDEX(Countries[],MATCH(CountryCleanup[[#This Row],[ISO3]],Countries[ISO3],0),3),"")</f>
        <v>583</v>
      </c>
      <c r="E899" t="str">
        <f>IFERROR(INDEX(Countries[],MATCH(CountryCleanup[[#This Row],[ISO3]],Countries[ISO3],0),6),"")</f>
        <v>Micronesia (Federated States of)</v>
      </c>
    </row>
    <row r="900" spans="2:5" x14ac:dyDescent="0.45">
      <c r="B900" s="5" t="s">
        <v>1656</v>
      </c>
      <c r="C900" s="5" t="s">
        <v>1090</v>
      </c>
      <c r="D900">
        <f>IFERROR(INDEX(Countries[],MATCH(CountryCleanup[[#This Row],[ISO3]],Countries[ISO3],0),3),"")</f>
        <v>807</v>
      </c>
      <c r="E900" t="str">
        <f>IFERROR(INDEX(Countries[],MATCH(CountryCleanup[[#This Row],[ISO3]],Countries[ISO3],0),6),"")</f>
        <v>North Macedonia</v>
      </c>
    </row>
    <row r="901" spans="2:5" x14ac:dyDescent="0.45">
      <c r="B901" t="s">
        <v>618</v>
      </c>
      <c r="C901" t="s">
        <v>617</v>
      </c>
      <c r="D901">
        <f>IFERROR(INDEX(Countries[],MATCH(CountryCleanup[[#This Row],[ISO3]],Countries[ISO3],0),3),"")</f>
        <v>266</v>
      </c>
      <c r="E901" t="str">
        <f>IFERROR(INDEX(Countries[],MATCH(CountryCleanup[[#This Row],[ISO3]],Countries[ISO3],0),6),"")</f>
        <v>Gabon</v>
      </c>
    </row>
    <row r="902" spans="2:5" x14ac:dyDescent="0.45">
      <c r="B902" t="s">
        <v>2245</v>
      </c>
      <c r="C902" t="s">
        <v>617</v>
      </c>
      <c r="D902">
        <f>IFERROR(INDEX(Countries[],MATCH(CountryCleanup[[#This Row],[ISO3]],Countries[ISO3],0),3),"")</f>
        <v>266</v>
      </c>
      <c r="E902" t="str">
        <f>IFERROR(INDEX(Countries[],MATCH(CountryCleanup[[#This Row],[ISO3]],Countries[ISO3],0),6),"")</f>
        <v>Gabon</v>
      </c>
    </row>
    <row r="903" spans="2:5" x14ac:dyDescent="0.45">
      <c r="B903" t="s">
        <v>2825</v>
      </c>
      <c r="C903" t="s">
        <v>527</v>
      </c>
      <c r="D903">
        <f>IFERROR(INDEX(Countries[],MATCH(CountryCleanup[[#This Row],[ISO3]],Countries[ISO3],0),3),"")</f>
        <v>218</v>
      </c>
      <c r="E903" t="str">
        <f>IFERROR(INDEX(Countries[],MATCH(CountryCleanup[[#This Row],[ISO3]],Countries[ISO3],0),6),"")</f>
        <v>Ecuador</v>
      </c>
    </row>
    <row r="904" spans="2:5" x14ac:dyDescent="0.45">
      <c r="B904" t="s">
        <v>622</v>
      </c>
      <c r="C904" t="s">
        <v>621</v>
      </c>
      <c r="D904">
        <f>IFERROR(INDEX(Countries[],MATCH(CountryCleanup[[#This Row],[ISO3]],Countries[ISO3],0),3),"")</f>
        <v>270</v>
      </c>
      <c r="E904" t="str">
        <f>IFERROR(INDEX(Countries[],MATCH(CountryCleanup[[#This Row],[ISO3]],Countries[ISO3],0),6),"")</f>
        <v>Gambia (the)</v>
      </c>
    </row>
    <row r="905" spans="2:5" x14ac:dyDescent="0.45">
      <c r="B905" t="s">
        <v>1657</v>
      </c>
      <c r="C905" t="s">
        <v>621</v>
      </c>
      <c r="D905">
        <f>IFERROR(INDEX(Countries[],MATCH(CountryCleanup[[#This Row],[ISO3]],Countries[ISO3],0),3),"")</f>
        <v>270</v>
      </c>
      <c r="E905" t="str">
        <f>IFERROR(INDEX(Countries[],MATCH(CountryCleanup[[#This Row],[ISO3]],Countries[ISO3],0),6),"")</f>
        <v>Gambia (the)</v>
      </c>
    </row>
    <row r="906" spans="2:5" x14ac:dyDescent="0.45">
      <c r="B906" t="s">
        <v>1658</v>
      </c>
      <c r="C906" t="s">
        <v>750</v>
      </c>
      <c r="D906">
        <f>IFERROR(INDEX(Countries[],MATCH(CountryCleanup[[#This Row],[ISO3]],Countries[ISO3],0),3),"")</f>
        <v>376</v>
      </c>
      <c r="E906" t="str">
        <f>IFERROR(INDEX(Countries[],MATCH(CountryCleanup[[#This Row],[ISO3]],Countries[ISO3],0),6),"")</f>
        <v>Israel</v>
      </c>
    </row>
    <row r="907" spans="2:5" x14ac:dyDescent="0.45">
      <c r="B907" t="s">
        <v>627</v>
      </c>
      <c r="C907" t="s">
        <v>626</v>
      </c>
      <c r="D907">
        <f>IFERROR(INDEX(Countries[],MATCH(CountryCleanup[[#This Row],[ISO3]],Countries[ISO3],0),3),"")</f>
        <v>268</v>
      </c>
      <c r="E907" t="str">
        <f>IFERROR(INDEX(Countries[],MATCH(CountryCleanup[[#This Row],[ISO3]],Countries[ISO3],0),6),"")</f>
        <v>Georgia</v>
      </c>
    </row>
    <row r="908" spans="2:5" x14ac:dyDescent="0.45">
      <c r="B908" t="s">
        <v>1995</v>
      </c>
      <c r="C908" s="3" t="s">
        <v>626</v>
      </c>
      <c r="D908">
        <f>IFERROR(INDEX(Countries[],MATCH(CountryCleanup[[#This Row],[ISO3]],Countries[ISO3],0),3),"")</f>
        <v>268</v>
      </c>
      <c r="E908" t="str">
        <f>IFERROR(INDEX(Countries[],MATCH(CountryCleanup[[#This Row],[ISO3]],Countries[ISO3],0),6),"")</f>
        <v>Georgia</v>
      </c>
    </row>
    <row r="909" spans="2:5" x14ac:dyDescent="0.45">
      <c r="B909" t="s">
        <v>2803</v>
      </c>
      <c r="C909" t="s">
        <v>631</v>
      </c>
      <c r="D909">
        <f>IFERROR(INDEX(Countries[],MATCH(CountryCleanup[[#This Row],[ISO3]],Countries[ISO3],0),3),"")</f>
        <v>276</v>
      </c>
      <c r="E909" t="str">
        <f>IFERROR(INDEX(Countries[],MATCH(CountryCleanup[[#This Row],[ISO3]],Countries[ISO3],0),6),"")</f>
        <v>Germany</v>
      </c>
    </row>
    <row r="910" spans="2:5" x14ac:dyDescent="0.45">
      <c r="B910" t="s">
        <v>632</v>
      </c>
      <c r="C910" t="s">
        <v>631</v>
      </c>
      <c r="D910">
        <f>IFERROR(INDEX(Countries[],MATCH(CountryCleanup[[#This Row],[ISO3]],Countries[ISO3],0),3),"")</f>
        <v>276</v>
      </c>
      <c r="E910" t="str">
        <f>IFERROR(INDEX(Countries[],MATCH(CountryCleanup[[#This Row],[ISO3]],Countries[ISO3],0),6),"")</f>
        <v>Germany</v>
      </c>
    </row>
    <row r="911" spans="2:5" x14ac:dyDescent="0.45">
      <c r="B911" t="s">
        <v>1659</v>
      </c>
      <c r="C911" t="s">
        <v>631</v>
      </c>
      <c r="D911">
        <f>IFERROR(INDEX(Countries[],MATCH(CountryCleanup[[#This Row],[ISO3]],Countries[ISO3],0),3),"")</f>
        <v>276</v>
      </c>
      <c r="E911" t="str">
        <f>IFERROR(INDEX(Countries[],MATCH(CountryCleanup[[#This Row],[ISO3]],Countries[ISO3],0),6),"")</f>
        <v>Germany</v>
      </c>
    </row>
    <row r="912" spans="2:5" x14ac:dyDescent="0.45">
      <c r="B912" t="s">
        <v>1963</v>
      </c>
      <c r="C912" t="s">
        <v>631</v>
      </c>
      <c r="D912">
        <f>IFERROR(INDEX(Countries[],MATCH(CountryCleanup[[#This Row],[ISO3]],Countries[ISO3],0),3),"")</f>
        <v>276</v>
      </c>
      <c r="E912" t="str">
        <f>IFERROR(INDEX(Countries[],MATCH(CountryCleanup[[#This Row],[ISO3]],Countries[ISO3],0),6),"")</f>
        <v>Germany</v>
      </c>
    </row>
    <row r="913" spans="2:5" x14ac:dyDescent="0.45">
      <c r="B913" t="s">
        <v>2804</v>
      </c>
      <c r="C913" t="s">
        <v>631</v>
      </c>
      <c r="D913">
        <f>IFERROR(INDEX(Countries[],MATCH(CountryCleanup[[#This Row],[ISO3]],Countries[ISO3],0),3),"")</f>
        <v>276</v>
      </c>
      <c r="E913" t="str">
        <f>IFERROR(INDEX(Countries[],MATCH(CountryCleanup[[#This Row],[ISO3]],Countries[ISO3],0),6),"")</f>
        <v>Germany</v>
      </c>
    </row>
    <row r="914" spans="2:5" x14ac:dyDescent="0.45">
      <c r="B914" t="s">
        <v>2914</v>
      </c>
      <c r="C914" t="s">
        <v>631</v>
      </c>
      <c r="D914">
        <f>IFERROR(INDEX(Countries[],MATCH(CountryCleanup[[#This Row],[ISO3]],Countries[ISO3],0),3),"")</f>
        <v>276</v>
      </c>
      <c r="E914" t="str">
        <f>IFERROR(INDEX(Countries[],MATCH(CountryCleanup[[#This Row],[ISO3]],Countries[ISO3],0),6),"")</f>
        <v>Germany</v>
      </c>
    </row>
    <row r="915" spans="2:5" x14ac:dyDescent="0.45">
      <c r="B915" t="s">
        <v>637</v>
      </c>
      <c r="C915" t="s">
        <v>636</v>
      </c>
      <c r="D915">
        <f>IFERROR(INDEX(Countries[],MATCH(CountryCleanup[[#This Row],[ISO3]],Countries[ISO3],0),3),"")</f>
        <v>288</v>
      </c>
      <c r="E915" t="str">
        <f>IFERROR(INDEX(Countries[],MATCH(CountryCleanup[[#This Row],[ISO3]],Countries[ISO3],0),6),"")</f>
        <v>Ghana</v>
      </c>
    </row>
    <row r="916" spans="2:5" x14ac:dyDescent="0.45">
      <c r="B916" t="s">
        <v>1660</v>
      </c>
      <c r="C916" t="s">
        <v>636</v>
      </c>
      <c r="D916">
        <f>IFERROR(INDEX(Countries[],MATCH(CountryCleanup[[#This Row],[ISO3]],Countries[ISO3],0),3),"")</f>
        <v>288</v>
      </c>
      <c r="E916" t="str">
        <f>IFERROR(INDEX(Countries[],MATCH(CountryCleanup[[#This Row],[ISO3]],Countries[ISO3],0),6),"")</f>
        <v>Ghana</v>
      </c>
    </row>
    <row r="917" spans="2:5" x14ac:dyDescent="0.45">
      <c r="B917" t="s">
        <v>641</v>
      </c>
      <c r="C917" t="s">
        <v>640</v>
      </c>
      <c r="D917">
        <f>IFERROR(INDEX(Countries[],MATCH(CountryCleanup[[#This Row],[ISO3]],Countries[ISO3],0),3),"")</f>
        <v>292</v>
      </c>
      <c r="E917" t="str">
        <f>IFERROR(INDEX(Countries[],MATCH(CountryCleanup[[#This Row],[ISO3]],Countries[ISO3],0),6),"")</f>
        <v>Gibraltar</v>
      </c>
    </row>
    <row r="918" spans="2:5" x14ac:dyDescent="0.45">
      <c r="B918" t="s">
        <v>2292</v>
      </c>
      <c r="C918" t="s">
        <v>640</v>
      </c>
      <c r="D918">
        <f>IFERROR(INDEX(Countries[],MATCH(CountryCleanup[[#This Row],[ISO3]],Countries[ISO3],0),3),"")</f>
        <v>292</v>
      </c>
      <c r="E918" t="str">
        <f>IFERROR(INDEX(Countries[],MATCH(CountryCleanup[[#This Row],[ISO3]],Countries[ISO3],0),6),"")</f>
        <v>Gibraltar</v>
      </c>
    </row>
    <row r="919" spans="2:5" x14ac:dyDescent="0.45">
      <c r="B919" t="s">
        <v>1661</v>
      </c>
      <c r="C919" t="s">
        <v>940</v>
      </c>
      <c r="D919">
        <f>IFERROR(INDEX(Countries[],MATCH(CountryCleanup[[#This Row],[ISO3]],Countries[ISO3],0),3),"")</f>
        <v>99909</v>
      </c>
      <c r="E919" t="str">
        <f>IFERROR(INDEX(Countries[],MATCH(CountryCleanup[[#This Row],[ISO3]],Countries[ISO3],0),6),"")</f>
        <v>Multilateral</v>
      </c>
    </row>
    <row r="920" spans="2:5" x14ac:dyDescent="0.45">
      <c r="B920" t="s">
        <v>1662</v>
      </c>
      <c r="C920" s="3" t="s">
        <v>596</v>
      </c>
      <c r="D920">
        <f>IFERROR(INDEX(Countries[],MATCH(CountryCleanup[[#This Row],[ISO3]],Countries[ISO3],0),3),"")</f>
        <v>250</v>
      </c>
      <c r="E920" t="str">
        <f>IFERROR(INDEX(Countries[],MATCH(CountryCleanup[[#This Row],[ISO3]],Countries[ISO3],0),6),"")</f>
        <v>France</v>
      </c>
    </row>
    <row r="921" spans="2:5" x14ac:dyDescent="0.45">
      <c r="B921" t="s">
        <v>2826</v>
      </c>
      <c r="C921" s="3" t="s">
        <v>596</v>
      </c>
      <c r="D921">
        <f>IFERROR(INDEX(Countries[],MATCH(CountryCleanup[[#This Row],[ISO3]],Countries[ISO3],0),3),"")</f>
        <v>250</v>
      </c>
      <c r="E921" t="str">
        <f>IFERROR(INDEX(Countries[],MATCH(CountryCleanup[[#This Row],[ISO3]],Countries[ISO3],0),6),"")</f>
        <v>France</v>
      </c>
    </row>
    <row r="922" spans="2:5" x14ac:dyDescent="0.45">
      <c r="B922" t="s">
        <v>645</v>
      </c>
      <c r="C922" t="s">
        <v>644</v>
      </c>
      <c r="D922">
        <f>IFERROR(INDEX(Countries[],MATCH(CountryCleanup[[#This Row],[ISO3]],Countries[ISO3],0),3),"")</f>
        <v>300</v>
      </c>
      <c r="E922" t="str">
        <f>IFERROR(INDEX(Countries[],MATCH(CountryCleanup[[#This Row],[ISO3]],Countries[ISO3],0),6),"")</f>
        <v>Greece</v>
      </c>
    </row>
    <row r="923" spans="2:5" x14ac:dyDescent="0.45">
      <c r="B923" t="s">
        <v>1964</v>
      </c>
      <c r="C923" t="s">
        <v>644</v>
      </c>
      <c r="D923">
        <f>IFERROR(INDEX(Countries[],MATCH(CountryCleanup[[#This Row],[ISO3]],Countries[ISO3],0),3),"")</f>
        <v>300</v>
      </c>
      <c r="E923" t="str">
        <f>IFERROR(INDEX(Countries[],MATCH(CountryCleanup[[#This Row],[ISO3]],Countries[ISO3],0),6),"")</f>
        <v>Greece</v>
      </c>
    </row>
    <row r="924" spans="2:5" x14ac:dyDescent="0.45">
      <c r="B924" t="s">
        <v>650</v>
      </c>
      <c r="C924" t="s">
        <v>649</v>
      </c>
      <c r="D924">
        <f>IFERROR(INDEX(Countries[],MATCH(CountryCleanup[[#This Row],[ISO3]],Countries[ISO3],0),3),"")</f>
        <v>304</v>
      </c>
      <c r="E924" t="str">
        <f>IFERROR(INDEX(Countries[],MATCH(CountryCleanup[[#This Row],[ISO3]],Countries[ISO3],0),6),"")</f>
        <v>Greenland</v>
      </c>
    </row>
    <row r="925" spans="2:5" x14ac:dyDescent="0.45">
      <c r="B925" t="s">
        <v>655</v>
      </c>
      <c r="C925" t="s">
        <v>654</v>
      </c>
      <c r="D925">
        <f>IFERROR(INDEX(Countries[],MATCH(CountryCleanup[[#This Row],[ISO3]],Countries[ISO3],0),3),"")</f>
        <v>308</v>
      </c>
      <c r="E925" t="str">
        <f>IFERROR(INDEX(Countries[],MATCH(CountryCleanup[[#This Row],[ISO3]],Countries[ISO3],0),6),"")</f>
        <v>Grenada</v>
      </c>
    </row>
    <row r="926" spans="2:5" x14ac:dyDescent="0.45">
      <c r="B926" t="s">
        <v>660</v>
      </c>
      <c r="C926" t="s">
        <v>659</v>
      </c>
      <c r="D926">
        <f>IFERROR(INDEX(Countries[],MATCH(CountryCleanup[[#This Row],[ISO3]],Countries[ISO3],0),3),"")</f>
        <v>312</v>
      </c>
      <c r="E926" t="str">
        <f>IFERROR(INDEX(Countries[],MATCH(CountryCleanup[[#This Row],[ISO3]],Countries[ISO3],0),6),"")</f>
        <v>Guadeloupe</v>
      </c>
    </row>
    <row r="927" spans="2:5" x14ac:dyDescent="0.45">
      <c r="B927" t="s">
        <v>664</v>
      </c>
      <c r="C927" t="s">
        <v>663</v>
      </c>
      <c r="D927">
        <f>IFERROR(INDEX(Countries[],MATCH(CountryCleanup[[#This Row],[ISO3]],Countries[ISO3],0),3),"")</f>
        <v>316</v>
      </c>
      <c r="E927" t="str">
        <f>IFERROR(INDEX(Countries[],MATCH(CountryCleanup[[#This Row],[ISO3]],Countries[ISO3],0),6),"")</f>
        <v>Guam</v>
      </c>
    </row>
    <row r="928" spans="2:5" x14ac:dyDescent="0.45">
      <c r="B928" t="s">
        <v>668</v>
      </c>
      <c r="C928" t="s">
        <v>667</v>
      </c>
      <c r="D928">
        <f>IFERROR(INDEX(Countries[],MATCH(CountryCleanup[[#This Row],[ISO3]],Countries[ISO3],0),3),"")</f>
        <v>320</v>
      </c>
      <c r="E928" t="str">
        <f>IFERROR(INDEX(Countries[],MATCH(CountryCleanup[[#This Row],[ISO3]],Countries[ISO3],0),6),"")</f>
        <v>Guatemala</v>
      </c>
    </row>
    <row r="929" spans="2:5" x14ac:dyDescent="0.45">
      <c r="B929" t="s">
        <v>2228</v>
      </c>
      <c r="C929" t="s">
        <v>667</v>
      </c>
      <c r="D929">
        <f>IFERROR(INDEX(Countries[],MATCH(CountryCleanup[[#This Row],[ISO3]],Countries[ISO3],0),3),"")</f>
        <v>320</v>
      </c>
      <c r="E929" t="str">
        <f>IFERROR(INDEX(Countries[],MATCH(CountryCleanup[[#This Row],[ISO3]],Countries[ISO3],0),6),"")</f>
        <v>Guatemala</v>
      </c>
    </row>
    <row r="930" spans="2:5" x14ac:dyDescent="0.45">
      <c r="B930" t="s">
        <v>672</v>
      </c>
      <c r="C930" t="s">
        <v>671</v>
      </c>
      <c r="D930">
        <f>IFERROR(INDEX(Countries[],MATCH(CountryCleanup[[#This Row],[ISO3]],Countries[ISO3],0),3),"")</f>
        <v>831</v>
      </c>
      <c r="E930" t="str">
        <f>IFERROR(INDEX(Countries[],MATCH(CountryCleanup[[#This Row],[ISO3]],Countries[ISO3],0),6),"")</f>
        <v>Guernsey</v>
      </c>
    </row>
    <row r="931" spans="2:5" x14ac:dyDescent="0.45">
      <c r="B931" t="s">
        <v>2791</v>
      </c>
      <c r="C931" t="s">
        <v>671</v>
      </c>
      <c r="D931">
        <f>IFERROR(INDEX(Countries[],MATCH(CountryCleanup[[#This Row],[ISO3]],Countries[ISO3],0),3),"")</f>
        <v>831</v>
      </c>
      <c r="E931" t="str">
        <f>IFERROR(INDEX(Countries[],MATCH(CountryCleanup[[#This Row],[ISO3]],Countries[ISO3],0),6),"")</f>
        <v>Guernsey</v>
      </c>
    </row>
    <row r="932" spans="2:5" x14ac:dyDescent="0.45">
      <c r="B932" t="s">
        <v>677</v>
      </c>
      <c r="C932" t="s">
        <v>676</v>
      </c>
      <c r="D932">
        <f>IFERROR(INDEX(Countries[],MATCH(CountryCleanup[[#This Row],[ISO3]],Countries[ISO3],0),3),"")</f>
        <v>324</v>
      </c>
      <c r="E932" t="str">
        <f>IFERROR(INDEX(Countries[],MATCH(CountryCleanup[[#This Row],[ISO3]],Countries[ISO3],0),6),"")</f>
        <v>Guinea</v>
      </c>
    </row>
    <row r="933" spans="2:5" x14ac:dyDescent="0.45">
      <c r="B933" s="5" t="s">
        <v>1663</v>
      </c>
      <c r="C933" s="5" t="s">
        <v>681</v>
      </c>
      <c r="D933">
        <f>IFERROR(INDEX(Countries[],MATCH(CountryCleanup[[#This Row],[ISO3]],Countries[ISO3],0),3),"")</f>
        <v>624</v>
      </c>
      <c r="E933" t="str">
        <f>IFERROR(INDEX(Countries[],MATCH(CountryCleanup[[#This Row],[ISO3]],Countries[ISO3],0),6),"")</f>
        <v>Guinea-Bissau</v>
      </c>
    </row>
    <row r="934" spans="2:5" x14ac:dyDescent="0.45">
      <c r="B934" t="s">
        <v>682</v>
      </c>
      <c r="C934" t="s">
        <v>681</v>
      </c>
      <c r="D934">
        <f>IFERROR(INDEX(Countries[],MATCH(CountryCleanup[[#This Row],[ISO3]],Countries[ISO3],0),3),"")</f>
        <v>624</v>
      </c>
      <c r="E934" t="str">
        <f>IFERROR(INDEX(Countries[],MATCH(CountryCleanup[[#This Row],[ISO3]],Countries[ISO3],0),6),"")</f>
        <v>Guinea-Bissau</v>
      </c>
    </row>
    <row r="935" spans="2:5" x14ac:dyDescent="0.45">
      <c r="B935" t="s">
        <v>686</v>
      </c>
      <c r="C935" t="s">
        <v>685</v>
      </c>
      <c r="D935">
        <f>IFERROR(INDEX(Countries[],MATCH(CountryCleanup[[#This Row],[ISO3]],Countries[ISO3],0),3),"")</f>
        <v>328</v>
      </c>
      <c r="E935" t="str">
        <f>IFERROR(INDEX(Countries[],MATCH(CountryCleanup[[#This Row],[ISO3]],Countries[ISO3],0),6),"")</f>
        <v>Guyana</v>
      </c>
    </row>
    <row r="936" spans="2:5" x14ac:dyDescent="0.45">
      <c r="B936" t="s">
        <v>2283</v>
      </c>
      <c r="C936" t="s">
        <v>685</v>
      </c>
      <c r="D936">
        <f>IFERROR(INDEX(Countries[],MATCH(CountryCleanup[[#This Row],[ISO3]],Countries[ISO3],0),3),"")</f>
        <v>328</v>
      </c>
      <c r="E936" t="str">
        <f>IFERROR(INDEX(Countries[],MATCH(CountryCleanup[[#This Row],[ISO3]],Countries[ISO3],0),6),"")</f>
        <v>Guyana</v>
      </c>
    </row>
    <row r="937" spans="2:5" x14ac:dyDescent="0.45">
      <c r="B937" t="s">
        <v>690</v>
      </c>
      <c r="C937" t="s">
        <v>689</v>
      </c>
      <c r="D937">
        <f>IFERROR(INDEX(Countries[],MATCH(CountryCleanup[[#This Row],[ISO3]],Countries[ISO3],0),3),"")</f>
        <v>332</v>
      </c>
      <c r="E937" t="str">
        <f>IFERROR(INDEX(Countries[],MATCH(CountryCleanup[[#This Row],[ISO3]],Countries[ISO3],0),6),"")</f>
        <v>Haiti</v>
      </c>
    </row>
    <row r="938" spans="2:5" x14ac:dyDescent="0.45">
      <c r="B938" t="s">
        <v>1664</v>
      </c>
      <c r="C938" t="s">
        <v>689</v>
      </c>
      <c r="D938">
        <f>IFERROR(INDEX(Countries[],MATCH(CountryCleanup[[#This Row],[ISO3]],Countries[ISO3],0),3),"")</f>
        <v>332</v>
      </c>
      <c r="E938" t="str">
        <f>IFERROR(INDEX(Countries[],MATCH(CountryCleanup[[#This Row],[ISO3]],Countries[ISO3],0),6),"")</f>
        <v>Haiti</v>
      </c>
    </row>
    <row r="939" spans="2:5" x14ac:dyDescent="0.45">
      <c r="B939" t="s">
        <v>2827</v>
      </c>
      <c r="C939" t="s">
        <v>1406</v>
      </c>
      <c r="D939">
        <f>IFERROR(INDEX(Countries[],MATCH(CountryCleanup[[#This Row],[ISO3]],Countries[ISO3],0),3),"")</f>
        <v>840</v>
      </c>
      <c r="E939" t="str">
        <f>IFERROR(INDEX(Countries[],MATCH(CountryCleanup[[#This Row],[ISO3]],Countries[ISO3],0),6),"")</f>
        <v>United States of America (the)</v>
      </c>
    </row>
    <row r="940" spans="2:5" x14ac:dyDescent="0.45">
      <c r="B940" t="s">
        <v>2828</v>
      </c>
      <c r="C940" t="s">
        <v>695</v>
      </c>
      <c r="D940">
        <f>IFERROR(INDEX(Countries[],MATCH(CountryCleanup[[#This Row],[ISO3]],Countries[ISO3],0),3),"")</f>
        <v>334</v>
      </c>
      <c r="E940" t="str">
        <f>IFERROR(INDEX(Countries[],MATCH(CountryCleanup[[#This Row],[ISO3]],Countries[ISO3],0),6),"")</f>
        <v>Heard Island and McDonald Islands</v>
      </c>
    </row>
    <row r="941" spans="2:5" x14ac:dyDescent="0.45">
      <c r="B941" t="s">
        <v>1665</v>
      </c>
      <c r="C941" t="s">
        <v>695</v>
      </c>
      <c r="D941">
        <f>IFERROR(INDEX(Countries[],MATCH(CountryCleanup[[#This Row],[ISO3]],Countries[ISO3],0),3),"")</f>
        <v>334</v>
      </c>
      <c r="E941" t="str">
        <f>IFERROR(INDEX(Countries[],MATCH(CountryCleanup[[#This Row],[ISO3]],Countries[ISO3],0),6),"")</f>
        <v>Heard Island and McDonald Islands</v>
      </c>
    </row>
    <row r="942" spans="2:5" x14ac:dyDescent="0.45">
      <c r="B942" t="s">
        <v>696</v>
      </c>
      <c r="C942" t="s">
        <v>695</v>
      </c>
      <c r="D942">
        <f>IFERROR(INDEX(Countries[],MATCH(CountryCleanup[[#This Row],[ISO3]],Countries[ISO3],0),3),"")</f>
        <v>334</v>
      </c>
      <c r="E942" t="str">
        <f>IFERROR(INDEX(Countries[],MATCH(CountryCleanup[[#This Row],[ISO3]],Countries[ISO3],0),6),"")</f>
        <v>Heard Island and McDonald Islands</v>
      </c>
    </row>
    <row r="943" spans="2:5" x14ac:dyDescent="0.45">
      <c r="B943" s="5" t="s">
        <v>1666</v>
      </c>
      <c r="C943" s="5" t="s">
        <v>695</v>
      </c>
      <c r="D943">
        <f>IFERROR(INDEX(Countries[],MATCH(CountryCleanup[[#This Row],[ISO3]],Countries[ISO3],0),3),"")</f>
        <v>334</v>
      </c>
      <c r="E943" t="str">
        <f>IFERROR(INDEX(Countries[],MATCH(CountryCleanup[[#This Row],[ISO3]],Countries[ISO3],0),6),"")</f>
        <v>Heard Island and McDonald Islands</v>
      </c>
    </row>
    <row r="944" spans="2:5" x14ac:dyDescent="0.45">
      <c r="B944" t="s">
        <v>701</v>
      </c>
      <c r="C944" t="s">
        <v>700</v>
      </c>
      <c r="D944">
        <f>IFERROR(INDEX(Countries[],MATCH(CountryCleanup[[#This Row],[ISO3]],Countries[ISO3],0),3),"")</f>
        <v>336</v>
      </c>
      <c r="E944" t="str">
        <f>IFERROR(INDEX(Countries[],MATCH(CountryCleanup[[#This Row],[ISO3]],Countries[ISO3],0),6),"")</f>
        <v>Holy See (the)</v>
      </c>
    </row>
    <row r="945" spans="2:5" x14ac:dyDescent="0.45">
      <c r="B945" t="s">
        <v>2395</v>
      </c>
      <c r="C945" t="s">
        <v>700</v>
      </c>
      <c r="D945">
        <f>IFERROR(INDEX(Countries[],MATCH(CountryCleanup[[#This Row],[ISO3]],Countries[ISO3],0),3),"")</f>
        <v>336</v>
      </c>
      <c r="E945" t="str">
        <f>IFERROR(INDEX(Countries[],MATCH(CountryCleanup[[#This Row],[ISO3]],Countries[ISO3],0),6),"")</f>
        <v>Holy See (the)</v>
      </c>
    </row>
    <row r="946" spans="2:5" x14ac:dyDescent="0.45">
      <c r="B946" t="s">
        <v>706</v>
      </c>
      <c r="C946" t="s">
        <v>705</v>
      </c>
      <c r="D946">
        <f>IFERROR(INDEX(Countries[],MATCH(CountryCleanup[[#This Row],[ISO3]],Countries[ISO3],0),3),"")</f>
        <v>340</v>
      </c>
      <c r="E946" t="str">
        <f>IFERROR(INDEX(Countries[],MATCH(CountryCleanup[[#This Row],[ISO3]],Countries[ISO3],0),6),"")</f>
        <v>Honduras</v>
      </c>
    </row>
    <row r="947" spans="2:5" x14ac:dyDescent="0.45">
      <c r="B947" t="s">
        <v>2252</v>
      </c>
      <c r="C947" t="s">
        <v>705</v>
      </c>
      <c r="D947">
        <f>IFERROR(INDEX(Countries[],MATCH(CountryCleanup[[#This Row],[ISO3]],Countries[ISO3],0),3),"")</f>
        <v>340</v>
      </c>
      <c r="E947" t="str">
        <f>IFERROR(INDEX(Countries[],MATCH(CountryCleanup[[#This Row],[ISO3]],Countries[ISO3],0),6),"")</f>
        <v>Honduras</v>
      </c>
    </row>
    <row r="948" spans="2:5" x14ac:dyDescent="0.45">
      <c r="B948" s="9" t="s">
        <v>1667</v>
      </c>
      <c r="C948" t="s">
        <v>410</v>
      </c>
      <c r="D948">
        <f>IFERROR(INDEX(Countries[],MATCH(CountryCleanup[[#This Row],[ISO3]],Countries[ISO3],0),3),"")</f>
        <v>344</v>
      </c>
      <c r="E948" t="str">
        <f>IFERROR(INDEX(Countries[],MATCH(CountryCleanup[[#This Row],[ISO3]],Countries[ISO3],0),6),"")</f>
        <v>China, Hong Kong Special Administrative Region</v>
      </c>
    </row>
    <row r="949" spans="2:5" x14ac:dyDescent="0.45">
      <c r="B949" t="s">
        <v>1668</v>
      </c>
      <c r="C949" t="s">
        <v>410</v>
      </c>
      <c r="D949">
        <f>IFERROR(INDEX(Countries[],MATCH(CountryCleanup[[#This Row],[ISO3]],Countries[ISO3],0),3),"")</f>
        <v>344</v>
      </c>
      <c r="E949" t="str">
        <f>IFERROR(INDEX(Countries[],MATCH(CountryCleanup[[#This Row],[ISO3]],Countries[ISO3],0),6),"")</f>
        <v>China, Hong Kong Special Administrative Region</v>
      </c>
    </row>
    <row r="950" spans="2:5" x14ac:dyDescent="0.45">
      <c r="B950" t="s">
        <v>2750</v>
      </c>
      <c r="C950" t="s">
        <v>410</v>
      </c>
      <c r="D950">
        <f>IFERROR(INDEX(Countries[],MATCH(CountryCleanup[[#This Row],[ISO3]],Countries[ISO3],0),3),"")</f>
        <v>344</v>
      </c>
      <c r="E950" t="str">
        <f>IFERROR(INDEX(Countries[],MATCH(CountryCleanup[[#This Row],[ISO3]],Countries[ISO3],0),6),"")</f>
        <v>China, Hong Kong Special Administrative Region</v>
      </c>
    </row>
    <row r="951" spans="2:5" x14ac:dyDescent="0.45">
      <c r="B951" t="s">
        <v>1669</v>
      </c>
      <c r="C951" t="s">
        <v>410</v>
      </c>
      <c r="D951">
        <f>IFERROR(INDEX(Countries[],MATCH(CountryCleanup[[#This Row],[ISO3]],Countries[ISO3],0),3),"")</f>
        <v>344</v>
      </c>
      <c r="E951" t="str">
        <f>IFERROR(INDEX(Countries[],MATCH(CountryCleanup[[#This Row],[ISO3]],Countries[ISO3],0),6),"")</f>
        <v>China, Hong Kong Special Administrative Region</v>
      </c>
    </row>
    <row r="952" spans="2:5" x14ac:dyDescent="0.45">
      <c r="B952" s="9" t="s">
        <v>1670</v>
      </c>
      <c r="C952" t="s">
        <v>410</v>
      </c>
      <c r="D952">
        <f>IFERROR(INDEX(Countries[],MATCH(CountryCleanup[[#This Row],[ISO3]],Countries[ISO3],0),3),"")</f>
        <v>344</v>
      </c>
      <c r="E952" t="str">
        <f>IFERROR(INDEX(Countries[],MATCH(CountryCleanup[[#This Row],[ISO3]],Countries[ISO3],0),6),"")</f>
        <v>China, Hong Kong Special Administrative Region</v>
      </c>
    </row>
    <row r="953" spans="2:5" x14ac:dyDescent="0.45">
      <c r="B953" t="s">
        <v>1671</v>
      </c>
      <c r="C953" t="s">
        <v>410</v>
      </c>
      <c r="D953">
        <f>IFERROR(INDEX(Countries[],MATCH(CountryCleanup[[#This Row],[ISO3]],Countries[ISO3],0),3),"")</f>
        <v>344</v>
      </c>
      <c r="E953" t="str">
        <f>IFERROR(INDEX(Countries[],MATCH(CountryCleanup[[#This Row],[ISO3]],Countries[ISO3],0),6),"")</f>
        <v>China, Hong Kong Special Administrative Region</v>
      </c>
    </row>
    <row r="954" spans="2:5" x14ac:dyDescent="0.45">
      <c r="B954" t="s">
        <v>2246</v>
      </c>
      <c r="C954" t="s">
        <v>410</v>
      </c>
      <c r="D954">
        <f>IFERROR(INDEX(Countries[],MATCH(CountryCleanup[[#This Row],[ISO3]],Countries[ISO3],0),3),"")</f>
        <v>344</v>
      </c>
      <c r="E954" t="str">
        <f>IFERROR(INDEX(Countries[],MATCH(CountryCleanup[[#This Row],[ISO3]],Countries[ISO3],0),6),"")</f>
        <v>China, Hong Kong Special Administrative Region</v>
      </c>
    </row>
    <row r="955" spans="2:5" x14ac:dyDescent="0.45">
      <c r="B955" t="s">
        <v>1672</v>
      </c>
      <c r="C955" t="s">
        <v>1401</v>
      </c>
      <c r="D955">
        <f>IFERROR(INDEX(Countries[],MATCH(CountryCleanup[[#This Row],[ISO3]],Countries[ISO3],0),3),"")</f>
        <v>581</v>
      </c>
      <c r="E955" t="str">
        <f>IFERROR(INDEX(Countries[],MATCH(CountryCleanup[[#This Row],[ISO3]],Countries[ISO3],0),6),"")</f>
        <v>United States minor outlying islands</v>
      </c>
    </row>
    <row r="956" spans="2:5" x14ac:dyDescent="0.45">
      <c r="B956" t="s">
        <v>710</v>
      </c>
      <c r="C956" t="s">
        <v>709</v>
      </c>
      <c r="D956">
        <f>IFERROR(INDEX(Countries[],MATCH(CountryCleanup[[#This Row],[ISO3]],Countries[ISO3],0),3),"")</f>
        <v>348</v>
      </c>
      <c r="E956" t="str">
        <f>IFERROR(INDEX(Countries[],MATCH(CountryCleanup[[#This Row],[ISO3]],Countries[ISO3],0),6),"")</f>
        <v>Hungary</v>
      </c>
    </row>
    <row r="957" spans="2:5" x14ac:dyDescent="0.45">
      <c r="B957" t="s">
        <v>1965</v>
      </c>
      <c r="C957" t="s">
        <v>709</v>
      </c>
      <c r="D957">
        <f>IFERROR(INDEX(Countries[],MATCH(CountryCleanup[[#This Row],[ISO3]],Countries[ISO3],0),3),"")</f>
        <v>348</v>
      </c>
      <c r="E957" t="str">
        <f>IFERROR(INDEX(Countries[],MATCH(CountryCleanup[[#This Row],[ISO3]],Countries[ISO3],0),6),"")</f>
        <v>Hungary</v>
      </c>
    </row>
    <row r="958" spans="2:5" x14ac:dyDescent="0.45">
      <c r="B958" t="s">
        <v>716</v>
      </c>
      <c r="C958" t="s">
        <v>715</v>
      </c>
      <c r="D958">
        <f>IFERROR(INDEX(Countries[],MATCH(CountryCleanup[[#This Row],[ISO3]],Countries[ISO3],0),3),"")</f>
        <v>352</v>
      </c>
      <c r="E958" t="str">
        <f>IFERROR(INDEX(Countries[],MATCH(CountryCleanup[[#This Row],[ISO3]],Countries[ISO3],0),6),"")</f>
        <v>Iceland</v>
      </c>
    </row>
    <row r="959" spans="2:5" x14ac:dyDescent="0.45">
      <c r="B959" t="s">
        <v>1966</v>
      </c>
      <c r="C959" t="s">
        <v>715</v>
      </c>
      <c r="D959">
        <f>IFERROR(INDEX(Countries[],MATCH(CountryCleanup[[#This Row],[ISO3]],Countries[ISO3],0),3),"")</f>
        <v>352</v>
      </c>
      <c r="E959" t="str">
        <f>IFERROR(INDEX(Countries[],MATCH(CountryCleanup[[#This Row],[ISO3]],Countries[ISO3],0),6),"")</f>
        <v>Iceland</v>
      </c>
    </row>
    <row r="960" spans="2:5" x14ac:dyDescent="0.45">
      <c r="B960" t="s">
        <v>2190</v>
      </c>
      <c r="C960" t="s">
        <v>2294</v>
      </c>
      <c r="D960">
        <f>IFERROR(INDEX(Countries[],MATCH(CountryCleanup[[#This Row],[ISO3]],Countries[ISO3],0),3),"")</f>
        <v>99911</v>
      </c>
      <c r="E960" t="str">
        <f>IFERROR(INDEX(Countries[],MATCH(CountryCleanup[[#This Row],[ISO3]],Countries[ISO3],0),6),"")</f>
        <v>IEA and Accession/Association countries</v>
      </c>
    </row>
    <row r="961" spans="2:5" x14ac:dyDescent="0.45">
      <c r="B961" t="s">
        <v>1967</v>
      </c>
      <c r="C961" s="3" t="s">
        <v>20</v>
      </c>
      <c r="D961">
        <f>IFERROR(INDEX(Countries[],MATCH(CountryCleanup[[#This Row],[ISO3]],Countries[ISO3],0),3),"")</f>
        <v>99901</v>
      </c>
      <c r="E961" t="str">
        <f>IFERROR(INDEX(Countries[],MATCH(CountryCleanup[[#This Row],[ISO3]],Countries[ISO3],0),6),"")</f>
        <v>IEA Countries</v>
      </c>
    </row>
    <row r="962" spans="2:5" x14ac:dyDescent="0.45">
      <c r="B962" t="s">
        <v>722</v>
      </c>
      <c r="C962" t="s">
        <v>721</v>
      </c>
      <c r="D962">
        <f>IFERROR(INDEX(Countries[],MATCH(CountryCleanup[[#This Row],[ISO3]],Countries[ISO3],0),3),"")</f>
        <v>356</v>
      </c>
      <c r="E962" t="str">
        <f>IFERROR(INDEX(Countries[],MATCH(CountryCleanup[[#This Row],[ISO3]],Countries[ISO3],0),6),"")</f>
        <v>India</v>
      </c>
    </row>
    <row r="963" spans="2:5" x14ac:dyDescent="0.45">
      <c r="B963" t="s">
        <v>1968</v>
      </c>
      <c r="C963" t="s">
        <v>721</v>
      </c>
      <c r="D963">
        <f>IFERROR(INDEX(Countries[],MATCH(CountryCleanup[[#This Row],[ISO3]],Countries[ISO3],0),3),"")</f>
        <v>356</v>
      </c>
      <c r="E963" t="str">
        <f>IFERROR(INDEX(Countries[],MATCH(CountryCleanup[[#This Row],[ISO3]],Countries[ISO3],0),6),"")</f>
        <v>India</v>
      </c>
    </row>
    <row r="964" spans="2:5" x14ac:dyDescent="0.45">
      <c r="B964" t="s">
        <v>726</v>
      </c>
      <c r="C964" t="s">
        <v>725</v>
      </c>
      <c r="D964">
        <f>IFERROR(INDEX(Countries[],MATCH(CountryCleanup[[#This Row],[ISO3]],Countries[ISO3],0),3),"")</f>
        <v>360</v>
      </c>
      <c r="E964" t="str">
        <f>IFERROR(INDEX(Countries[],MATCH(CountryCleanup[[#This Row],[ISO3]],Countries[ISO3],0),6),"")</f>
        <v>Indonesia</v>
      </c>
    </row>
    <row r="965" spans="2:5" x14ac:dyDescent="0.45">
      <c r="B965" t="s">
        <v>1673</v>
      </c>
      <c r="C965" t="s">
        <v>725</v>
      </c>
      <c r="D965">
        <f>IFERROR(INDEX(Countries[],MATCH(CountryCleanup[[#This Row],[ISO3]],Countries[ISO3],0),3),"")</f>
        <v>360</v>
      </c>
      <c r="E965" t="str">
        <f>IFERROR(INDEX(Countries[],MATCH(CountryCleanup[[#This Row],[ISO3]],Countries[ISO3],0),6),"")</f>
        <v>Indonesia</v>
      </c>
    </row>
    <row r="966" spans="2:5" x14ac:dyDescent="0.45">
      <c r="B966" t="s">
        <v>2201</v>
      </c>
      <c r="C966" t="s">
        <v>725</v>
      </c>
      <c r="D966">
        <f>IFERROR(INDEX(Countries[],MATCH(CountryCleanup[[#This Row],[ISO3]],Countries[ISO3],0),3),"")</f>
        <v>360</v>
      </c>
      <c r="E966" t="str">
        <f>IFERROR(INDEX(Countries[],MATCH(CountryCleanup[[#This Row],[ISO3]],Countries[ISO3],0),6),"")</f>
        <v>Indonesia</v>
      </c>
    </row>
    <row r="967" spans="2:5" x14ac:dyDescent="0.45">
      <c r="B967" t="s">
        <v>2477</v>
      </c>
      <c r="C967" s="3" t="s">
        <v>2497</v>
      </c>
      <c r="D967">
        <f>IFERROR(INDEX(Countries[],MATCH(CountryCleanup[[#This Row],[ISO3]],Countries[ISO3],0),3),"")</f>
        <v>99950</v>
      </c>
      <c r="E967" t="str">
        <f>IFERROR(INDEX(Countries[],MATCH(CountryCleanup[[#This Row],[ISO3]],Countries[ISO3],0),6),"")</f>
        <v>International Aviation</v>
      </c>
    </row>
    <row r="968" spans="2:5" x14ac:dyDescent="0.45">
      <c r="B968" t="s">
        <v>2481</v>
      </c>
      <c r="C968" s="3" t="s">
        <v>2499</v>
      </c>
      <c r="D968">
        <f>IFERROR(INDEX(Countries[],MATCH(CountryCleanup[[#This Row],[ISO3]],Countries[ISO3],0),3),"")</f>
        <v>99940</v>
      </c>
      <c r="E968" t="str">
        <f>IFERROR(INDEX(Countries[],MATCH(CountryCleanup[[#This Row],[ISO3]],Countries[ISO3],0),6),"")</f>
        <v>International Shipping</v>
      </c>
    </row>
    <row r="969" spans="2:5" x14ac:dyDescent="0.45">
      <c r="B969" s="4" t="s">
        <v>2496</v>
      </c>
      <c r="C969" t="s">
        <v>2497</v>
      </c>
      <c r="D969">
        <f>IFERROR(INDEX(Countries[],MATCH(CountryCleanup[[#This Row],[ISO3]],Countries[ISO3],0),3),"")</f>
        <v>99950</v>
      </c>
      <c r="E969" t="str">
        <f>IFERROR(INDEX(Countries[],MATCH(CountryCleanup[[#This Row],[ISO3]],Countries[ISO3],0),6),"")</f>
        <v>International Aviation</v>
      </c>
    </row>
    <row r="970" spans="2:5" x14ac:dyDescent="0.45">
      <c r="B970" s="4" t="s">
        <v>2498</v>
      </c>
      <c r="C970" t="s">
        <v>2499</v>
      </c>
      <c r="D970">
        <f>IFERROR(INDEX(Countries[],MATCH(CountryCleanup[[#This Row],[ISO3]],Countries[ISO3],0),3),"")</f>
        <v>99940</v>
      </c>
      <c r="E970" t="str">
        <f>IFERROR(INDEX(Countries[],MATCH(CountryCleanup[[#This Row],[ISO3]],Countries[ISO3],0),6),"")</f>
        <v>International Shipping</v>
      </c>
    </row>
    <row r="971" spans="2:5" x14ac:dyDescent="0.45">
      <c r="B971" t="s">
        <v>1674</v>
      </c>
      <c r="C971" t="s">
        <v>730</v>
      </c>
      <c r="D971">
        <f>IFERROR(INDEX(Countries[],MATCH(CountryCleanup[[#This Row],[ISO3]],Countries[ISO3],0),3),"")</f>
        <v>364</v>
      </c>
      <c r="E971" t="str">
        <f>IFERROR(INDEX(Countries[],MATCH(CountryCleanup[[#This Row],[ISO3]],Countries[ISO3],0),6),"")</f>
        <v>Iran (Islamic Republic of)</v>
      </c>
    </row>
    <row r="972" spans="2:5" x14ac:dyDescent="0.45">
      <c r="B972" t="s">
        <v>2204</v>
      </c>
      <c r="C972" t="s">
        <v>730</v>
      </c>
      <c r="D972">
        <f>IFERROR(INDEX(Countries[],MATCH(CountryCleanup[[#This Row],[ISO3]],Countries[ISO3],0),3),"")</f>
        <v>364</v>
      </c>
      <c r="E972" t="str">
        <f>IFERROR(INDEX(Countries[],MATCH(CountryCleanup[[#This Row],[ISO3]],Countries[ISO3],0),6),"")</f>
        <v>Iran (Islamic Republic of)</v>
      </c>
    </row>
    <row r="973" spans="2:5" x14ac:dyDescent="0.45">
      <c r="B973" t="s">
        <v>2865</v>
      </c>
      <c r="C973" t="s">
        <v>730</v>
      </c>
      <c r="D973">
        <f>IFERROR(INDEX(Countries[],MATCH(CountryCleanup[[#This Row],[ISO3]],Countries[ISO3],0),3),"")</f>
        <v>364</v>
      </c>
      <c r="E973" t="str">
        <f>IFERROR(INDEX(Countries[],MATCH(CountryCleanup[[#This Row],[ISO3]],Countries[ISO3],0),6),"")</f>
        <v>Iran (Islamic Republic of)</v>
      </c>
    </row>
    <row r="974" spans="2:5" x14ac:dyDescent="0.45">
      <c r="B974" t="s">
        <v>731</v>
      </c>
      <c r="C974" t="s">
        <v>730</v>
      </c>
      <c r="D974">
        <f>IFERROR(INDEX(Countries[],MATCH(CountryCleanup[[#This Row],[ISO3]],Countries[ISO3],0),3),"")</f>
        <v>364</v>
      </c>
      <c r="E974" t="str">
        <f>IFERROR(INDEX(Countries[],MATCH(CountryCleanup[[#This Row],[ISO3]],Countries[ISO3],0),6),"")</f>
        <v>Iran (Islamic Republic of)</v>
      </c>
    </row>
    <row r="975" spans="2:5" x14ac:dyDescent="0.45">
      <c r="B975" s="5" t="s">
        <v>1675</v>
      </c>
      <c r="C975" s="5" t="s">
        <v>730</v>
      </c>
      <c r="D975">
        <f>IFERROR(INDEX(Countries[],MATCH(CountryCleanup[[#This Row],[ISO3]],Countries[ISO3],0),3),"")</f>
        <v>364</v>
      </c>
      <c r="E975" t="str">
        <f>IFERROR(INDEX(Countries[],MATCH(CountryCleanup[[#This Row],[ISO3]],Countries[ISO3],0),6),"")</f>
        <v>Iran (Islamic Republic of)</v>
      </c>
    </row>
    <row r="976" spans="2:5" x14ac:dyDescent="0.45">
      <c r="B976" t="s">
        <v>1676</v>
      </c>
      <c r="C976" s="5" t="s">
        <v>730</v>
      </c>
      <c r="D976">
        <f>IFERROR(INDEX(Countries[],MATCH(CountryCleanup[[#This Row],[ISO3]],Countries[ISO3],0),3),"")</f>
        <v>364</v>
      </c>
      <c r="E976" t="str">
        <f>IFERROR(INDEX(Countries[],MATCH(CountryCleanup[[#This Row],[ISO3]],Countries[ISO3],0),6),"")</f>
        <v>Iran (Islamic Republic of)</v>
      </c>
    </row>
    <row r="977" spans="2:5" x14ac:dyDescent="0.45">
      <c r="B977" t="s">
        <v>2479</v>
      </c>
      <c r="C977" s="5" t="s">
        <v>730</v>
      </c>
      <c r="D977">
        <f>IFERROR(INDEX(Countries[],MATCH(CountryCleanup[[#This Row],[ISO3]],Countries[ISO3],0),3),"")</f>
        <v>364</v>
      </c>
      <c r="E977" t="str">
        <f>IFERROR(INDEX(Countries[],MATCH(CountryCleanup[[#This Row],[ISO3]],Countries[ISO3],0),6),"")</f>
        <v>Iran (Islamic Republic of)</v>
      </c>
    </row>
    <row r="978" spans="2:5" x14ac:dyDescent="0.45">
      <c r="B978" t="s">
        <v>737</v>
      </c>
      <c r="C978" t="s">
        <v>736</v>
      </c>
      <c r="D978">
        <f>IFERROR(INDEX(Countries[],MATCH(CountryCleanup[[#This Row],[ISO3]],Countries[ISO3],0),3),"")</f>
        <v>368</v>
      </c>
      <c r="E978" t="str">
        <f>IFERROR(INDEX(Countries[],MATCH(CountryCleanup[[#This Row],[ISO3]],Countries[ISO3],0),6),"")</f>
        <v>Iraq</v>
      </c>
    </row>
    <row r="979" spans="2:5" x14ac:dyDescent="0.45">
      <c r="B979" t="s">
        <v>2223</v>
      </c>
      <c r="C979" t="s">
        <v>736</v>
      </c>
      <c r="D979">
        <f>IFERROR(INDEX(Countries[],MATCH(CountryCleanup[[#This Row],[ISO3]],Countries[ISO3],0),3),"")</f>
        <v>368</v>
      </c>
      <c r="E979" t="str">
        <f>IFERROR(INDEX(Countries[],MATCH(CountryCleanup[[#This Row],[ISO3]],Countries[ISO3],0),6),"")</f>
        <v>Iraq</v>
      </c>
    </row>
    <row r="980" spans="2:5" x14ac:dyDescent="0.45">
      <c r="B980" t="s">
        <v>741</v>
      </c>
      <c r="C980" t="s">
        <v>740</v>
      </c>
      <c r="D980">
        <f>IFERROR(INDEX(Countries[],MATCH(CountryCleanup[[#This Row],[ISO3]],Countries[ISO3],0),3),"")</f>
        <v>372</v>
      </c>
      <c r="E980" t="str">
        <f>IFERROR(INDEX(Countries[],MATCH(CountryCleanup[[#This Row],[ISO3]],Countries[ISO3],0),6),"")</f>
        <v>Ireland</v>
      </c>
    </row>
    <row r="981" spans="2:5" x14ac:dyDescent="0.45">
      <c r="B981" t="s">
        <v>1969</v>
      </c>
      <c r="C981" t="s">
        <v>740</v>
      </c>
      <c r="D981">
        <f>IFERROR(INDEX(Countries[],MATCH(CountryCleanup[[#This Row],[ISO3]],Countries[ISO3],0),3),"")</f>
        <v>372</v>
      </c>
      <c r="E981" t="str">
        <f>IFERROR(INDEX(Countries[],MATCH(CountryCleanup[[#This Row],[ISO3]],Countries[ISO3],0),6),"")</f>
        <v>Ireland</v>
      </c>
    </row>
    <row r="982" spans="2:5" x14ac:dyDescent="0.45">
      <c r="B982" t="s">
        <v>1677</v>
      </c>
      <c r="C982" s="5" t="s">
        <v>730</v>
      </c>
      <c r="D982">
        <f>IFERROR(INDEX(Countries[],MATCH(CountryCleanup[[#This Row],[ISO3]],Countries[ISO3],0),3),"")</f>
        <v>364</v>
      </c>
      <c r="E982" t="str">
        <f>IFERROR(INDEX(Countries[],MATCH(CountryCleanup[[#This Row],[ISO3]],Countries[ISO3],0),6),"")</f>
        <v>Iran (Islamic Republic of)</v>
      </c>
    </row>
    <row r="983" spans="2:5" x14ac:dyDescent="0.45">
      <c r="B983" t="s">
        <v>2913</v>
      </c>
      <c r="C983" t="s">
        <v>715</v>
      </c>
      <c r="D983">
        <f>IFERROR(INDEX(Countries[],MATCH(CountryCleanup[[#This Row],[ISO3]],Countries[ISO3],0),3),"")</f>
        <v>352</v>
      </c>
      <c r="E983" t="str">
        <f>IFERROR(INDEX(Countries[],MATCH(CountryCleanup[[#This Row],[ISO3]],Countries[ISO3],0),6),"")</f>
        <v>Iceland</v>
      </c>
    </row>
    <row r="984" spans="2:5" x14ac:dyDescent="0.45">
      <c r="B984" t="s">
        <v>746</v>
      </c>
      <c r="C984" t="s">
        <v>745</v>
      </c>
      <c r="D984">
        <f>IFERROR(INDEX(Countries[],MATCH(CountryCleanup[[#This Row],[ISO3]],Countries[ISO3],0),3),"")</f>
        <v>833</v>
      </c>
      <c r="E984" t="str">
        <f>IFERROR(INDEX(Countries[],MATCH(CountryCleanup[[#This Row],[ISO3]],Countries[ISO3],0),6),"")</f>
        <v>Isle of Man</v>
      </c>
    </row>
    <row r="985" spans="2:5" x14ac:dyDescent="0.45">
      <c r="B985" t="s">
        <v>751</v>
      </c>
      <c r="C985" t="s">
        <v>750</v>
      </c>
      <c r="D985">
        <f>IFERROR(INDEX(Countries[],MATCH(CountryCleanup[[#This Row],[ISO3]],Countries[ISO3],0),3),"")</f>
        <v>376</v>
      </c>
      <c r="E985" t="str">
        <f>IFERROR(INDEX(Countries[],MATCH(CountryCleanup[[#This Row],[ISO3]],Countries[ISO3],0),6),"")</f>
        <v>Israel</v>
      </c>
    </row>
    <row r="986" spans="2:5" x14ac:dyDescent="0.45">
      <c r="B986" t="s">
        <v>1996</v>
      </c>
      <c r="C986" s="3" t="s">
        <v>750</v>
      </c>
      <c r="D986">
        <f>IFERROR(INDEX(Countries[],MATCH(CountryCleanup[[#This Row],[ISO3]],Countries[ISO3],0),3),"")</f>
        <v>376</v>
      </c>
      <c r="E986" t="str">
        <f>IFERROR(INDEX(Countries[],MATCH(CountryCleanup[[#This Row],[ISO3]],Countries[ISO3],0),6),"")</f>
        <v>Israel</v>
      </c>
    </row>
    <row r="987" spans="2:5" x14ac:dyDescent="0.45">
      <c r="B987" s="9" t="s">
        <v>1678</v>
      </c>
      <c r="C987" t="s">
        <v>750</v>
      </c>
      <c r="D987">
        <f>IFERROR(INDEX(Countries[],MATCH(CountryCleanup[[#This Row],[ISO3]],Countries[ISO3],0),3),"")</f>
        <v>376</v>
      </c>
      <c r="E987" t="str">
        <f>IFERROR(INDEX(Countries[],MATCH(CountryCleanup[[#This Row],[ISO3]],Countries[ISO3],0),6),"")</f>
        <v>Israel</v>
      </c>
    </row>
    <row r="988" spans="2:5" x14ac:dyDescent="0.45">
      <c r="B988" t="s">
        <v>756</v>
      </c>
      <c r="C988" t="s">
        <v>755</v>
      </c>
      <c r="D988">
        <f>IFERROR(INDEX(Countries[],MATCH(CountryCleanup[[#This Row],[ISO3]],Countries[ISO3],0),3),"")</f>
        <v>380</v>
      </c>
      <c r="E988" t="str">
        <f>IFERROR(INDEX(Countries[],MATCH(CountryCleanup[[#This Row],[ISO3]],Countries[ISO3],0),6),"")</f>
        <v>Italy</v>
      </c>
    </row>
    <row r="989" spans="2:5" x14ac:dyDescent="0.45">
      <c r="B989" t="s">
        <v>1970</v>
      </c>
      <c r="C989" t="s">
        <v>755</v>
      </c>
      <c r="D989">
        <f>IFERROR(INDEX(Countries[],MATCH(CountryCleanup[[#This Row],[ISO3]],Countries[ISO3],0),3),"")</f>
        <v>380</v>
      </c>
      <c r="E989" t="str">
        <f>IFERROR(INDEX(Countries[],MATCH(CountryCleanup[[#This Row],[ISO3]],Countries[ISO3],0),6),"")</f>
        <v>Italy</v>
      </c>
    </row>
    <row r="990" spans="2:5" x14ac:dyDescent="0.45">
      <c r="B990" t="s">
        <v>2805</v>
      </c>
      <c r="C990" t="s">
        <v>755</v>
      </c>
      <c r="D990">
        <f>IFERROR(INDEX(Countries[],MATCH(CountryCleanup[[#This Row],[ISO3]],Countries[ISO3],0),3),"")</f>
        <v>380</v>
      </c>
      <c r="E990" t="str">
        <f>IFERROR(INDEX(Countries[],MATCH(CountryCleanup[[#This Row],[ISO3]],Countries[ISO3],0),6),"")</f>
        <v>Italy</v>
      </c>
    </row>
    <row r="991" spans="2:5" x14ac:dyDescent="0.45">
      <c r="B991" s="9" t="s">
        <v>1679</v>
      </c>
      <c r="C991" t="s">
        <v>755</v>
      </c>
      <c r="D991">
        <f>IFERROR(INDEX(Countries[],MATCH(CountryCleanup[[#This Row],[ISO3]],Countries[ISO3],0),3),"")</f>
        <v>380</v>
      </c>
      <c r="E991" t="str">
        <f>IFERROR(INDEX(Countries[],MATCH(CountryCleanup[[#This Row],[ISO3]],Countries[ISO3],0),6),"")</f>
        <v>Italy</v>
      </c>
    </row>
    <row r="992" spans="2:5" x14ac:dyDescent="0.45">
      <c r="B992" t="s">
        <v>2928</v>
      </c>
      <c r="C992" t="s">
        <v>755</v>
      </c>
      <c r="D992">
        <f>IFERROR(INDEX(Countries[],MATCH(CountryCleanup[[#This Row],[ISO3]],Countries[ISO3],0),3),"")</f>
        <v>380</v>
      </c>
      <c r="E992" t="str">
        <f>IFERROR(INDEX(Countries[],MATCH(CountryCleanup[[#This Row],[ISO3]],Countries[ISO3],0),6),"")</f>
        <v>Italy</v>
      </c>
    </row>
    <row r="993" spans="2:5" x14ac:dyDescent="0.45">
      <c r="B993" t="s">
        <v>1680</v>
      </c>
      <c r="C993" t="s">
        <v>755</v>
      </c>
      <c r="D993">
        <f>IFERROR(INDEX(Countries[],MATCH(CountryCleanup[[#This Row],[ISO3]],Countries[ISO3],0),3),"")</f>
        <v>380</v>
      </c>
      <c r="E993" t="str">
        <f>IFERROR(INDEX(Countries[],MATCH(CountryCleanup[[#This Row],[ISO3]],Countries[ISO3],0),6),"")</f>
        <v>Italy</v>
      </c>
    </row>
    <row r="994" spans="2:5" x14ac:dyDescent="0.45">
      <c r="B994" t="s">
        <v>2851</v>
      </c>
      <c r="C994" t="s">
        <v>464</v>
      </c>
      <c r="D994">
        <f>IFERROR(INDEX(Countries[],MATCH(CountryCleanup[[#This Row],[ISO3]],Countries[ISO3],0),3),"")</f>
        <v>384</v>
      </c>
      <c r="E994" t="str">
        <f>IFERROR(INDEX(Countries[],MATCH(CountryCleanup[[#This Row],[ISO3]],Countries[ISO3],0),6),"")</f>
        <v>Côte d'Ivoire</v>
      </c>
    </row>
    <row r="995" spans="2:5" x14ac:dyDescent="0.45">
      <c r="B995" t="s">
        <v>761</v>
      </c>
      <c r="C995" t="s">
        <v>760</v>
      </c>
      <c r="D995">
        <f>IFERROR(INDEX(Countries[],MATCH(CountryCleanup[[#This Row],[ISO3]],Countries[ISO3],0),3),"")</f>
        <v>388</v>
      </c>
      <c r="E995" t="str">
        <f>IFERROR(INDEX(Countries[],MATCH(CountryCleanup[[#This Row],[ISO3]],Countries[ISO3],0),6),"")</f>
        <v>Jamaica</v>
      </c>
    </row>
    <row r="996" spans="2:5" x14ac:dyDescent="0.45">
      <c r="B996" t="s">
        <v>2278</v>
      </c>
      <c r="C996" t="s">
        <v>760</v>
      </c>
      <c r="D996">
        <f>IFERROR(INDEX(Countries[],MATCH(CountryCleanup[[#This Row],[ISO3]],Countries[ISO3],0),3),"")</f>
        <v>388</v>
      </c>
      <c r="E996" t="str">
        <f>IFERROR(INDEX(Countries[],MATCH(CountryCleanup[[#This Row],[ISO3]],Countries[ISO3],0),6),"")</f>
        <v>Jamaica</v>
      </c>
    </row>
    <row r="997" spans="2:5" x14ac:dyDescent="0.45">
      <c r="B997" t="s">
        <v>1681</v>
      </c>
      <c r="C997" s="3" t="s">
        <v>1007</v>
      </c>
      <c r="D997">
        <f>IFERROR(INDEX(Countries[],MATCH(CountryCleanup[[#This Row],[ISO3]],Countries[ISO3],0),3),"")</f>
        <v>578</v>
      </c>
      <c r="E997" t="str">
        <f>IFERROR(INDEX(Countries[],MATCH(CountryCleanup[[#This Row],[ISO3]],Countries[ISO3],0),6),"")</f>
        <v>Norway</v>
      </c>
    </row>
    <row r="998" spans="2:5" x14ac:dyDescent="0.45">
      <c r="B998" t="s">
        <v>766</v>
      </c>
      <c r="C998" t="s">
        <v>765</v>
      </c>
      <c r="D998">
        <f>IFERROR(INDEX(Countries[],MATCH(CountryCleanup[[#This Row],[ISO3]],Countries[ISO3],0),3),"")</f>
        <v>392</v>
      </c>
      <c r="E998" t="str">
        <f>IFERROR(INDEX(Countries[],MATCH(CountryCleanup[[#This Row],[ISO3]],Countries[ISO3],0),6),"")</f>
        <v>Japan</v>
      </c>
    </row>
    <row r="999" spans="2:5" x14ac:dyDescent="0.45">
      <c r="B999" t="s">
        <v>1971</v>
      </c>
      <c r="C999" t="s">
        <v>765</v>
      </c>
      <c r="D999">
        <f>IFERROR(INDEX(Countries[],MATCH(CountryCleanup[[#This Row],[ISO3]],Countries[ISO3],0),3),"")</f>
        <v>392</v>
      </c>
      <c r="E999" t="str">
        <f>IFERROR(INDEX(Countries[],MATCH(CountryCleanup[[#This Row],[ISO3]],Countries[ISO3],0),6),"")</f>
        <v>Japan</v>
      </c>
    </row>
    <row r="1000" spans="2:5" x14ac:dyDescent="0.45">
      <c r="B1000" t="s">
        <v>2959</v>
      </c>
      <c r="C1000" t="s">
        <v>765</v>
      </c>
      <c r="D1000">
        <f>IFERROR(INDEX(Countries[],MATCH(CountryCleanup[[#This Row],[ISO3]],Countries[ISO3],0),3),"")</f>
        <v>392</v>
      </c>
      <c r="E1000" t="str">
        <f>IFERROR(INDEX(Countries[],MATCH(CountryCleanup[[#This Row],[ISO3]],Countries[ISO3],0),6),"")</f>
        <v>Japan</v>
      </c>
    </row>
    <row r="1001" spans="2:5" x14ac:dyDescent="0.45">
      <c r="B1001" t="s">
        <v>2917</v>
      </c>
      <c r="C1001" t="s">
        <v>765</v>
      </c>
      <c r="D1001">
        <f>IFERROR(INDEX(Countries[],MATCH(CountryCleanup[[#This Row],[ISO3]],Countries[ISO3],0),3),"")</f>
        <v>392</v>
      </c>
      <c r="E1001" t="str">
        <f>IFERROR(INDEX(Countries[],MATCH(CountryCleanup[[#This Row],[ISO3]],Countries[ISO3],0),6),"")</f>
        <v>Japan</v>
      </c>
    </row>
    <row r="1002" spans="2:5" x14ac:dyDescent="0.45">
      <c r="B1002" t="s">
        <v>2930</v>
      </c>
      <c r="C1002" t="s">
        <v>765</v>
      </c>
      <c r="D1002">
        <f>IFERROR(INDEX(Countries[],MATCH(CountryCleanup[[#This Row],[ISO3]],Countries[ISO3],0),3),"")</f>
        <v>392</v>
      </c>
      <c r="E1002" t="str">
        <f>IFERROR(INDEX(Countries[],MATCH(CountryCleanup[[#This Row],[ISO3]],Countries[ISO3],0),6),"")</f>
        <v>Japan</v>
      </c>
    </row>
    <row r="1003" spans="2:5" x14ac:dyDescent="0.45">
      <c r="B1003" t="s">
        <v>2929</v>
      </c>
      <c r="C1003" t="s">
        <v>765</v>
      </c>
      <c r="D1003">
        <f>IFERROR(INDEX(Countries[],MATCH(CountryCleanup[[#This Row],[ISO3]],Countries[ISO3],0),3),"")</f>
        <v>392</v>
      </c>
      <c r="E1003" t="str">
        <f>IFERROR(INDEX(Countries[],MATCH(CountryCleanup[[#This Row],[ISO3]],Countries[ISO3],0),6),"")</f>
        <v>Japan</v>
      </c>
    </row>
    <row r="1004" spans="2:5" x14ac:dyDescent="0.45">
      <c r="B1004" t="s">
        <v>2934</v>
      </c>
      <c r="C1004" t="s">
        <v>765</v>
      </c>
      <c r="D1004">
        <f>IFERROR(INDEX(Countries[],MATCH(CountryCleanup[[#This Row],[ISO3]],Countries[ISO3],0),3),"")</f>
        <v>392</v>
      </c>
      <c r="E1004" t="str">
        <f>IFERROR(INDEX(Countries[],MATCH(CountryCleanup[[#This Row],[ISO3]],Countries[ISO3],0),6),"")</f>
        <v>Japan</v>
      </c>
    </row>
    <row r="1005" spans="2:5" x14ac:dyDescent="0.45">
      <c r="B1005" t="s">
        <v>1682</v>
      </c>
      <c r="C1005" t="s">
        <v>1401</v>
      </c>
      <c r="D1005">
        <f>IFERROR(INDEX(Countries[],MATCH(CountryCleanup[[#This Row],[ISO3]],Countries[ISO3],0),3),"")</f>
        <v>581</v>
      </c>
      <c r="E1005" t="str">
        <f>IFERROR(INDEX(Countries[],MATCH(CountryCleanup[[#This Row],[ISO3]],Countries[ISO3],0),6),"")</f>
        <v>United States minor outlying islands</v>
      </c>
    </row>
    <row r="1006" spans="2:5" x14ac:dyDescent="0.45">
      <c r="B1006" t="s">
        <v>2829</v>
      </c>
      <c r="C1006" t="s">
        <v>1401</v>
      </c>
      <c r="D1006">
        <f>IFERROR(INDEX(Countries[],MATCH(CountryCleanup[[#This Row],[ISO3]],Countries[ISO3],0),3),"")</f>
        <v>581</v>
      </c>
      <c r="E1006" t="str">
        <f>IFERROR(INDEX(Countries[],MATCH(CountryCleanup[[#This Row],[ISO3]],Countries[ISO3],0),6),"")</f>
        <v>United States minor outlying islands</v>
      </c>
    </row>
    <row r="1007" spans="2:5" x14ac:dyDescent="0.45">
      <c r="B1007" t="s">
        <v>772</v>
      </c>
      <c r="C1007" t="s">
        <v>771</v>
      </c>
      <c r="D1007">
        <f>IFERROR(INDEX(Countries[],MATCH(CountryCleanup[[#This Row],[ISO3]],Countries[ISO3],0),3),"")</f>
        <v>832</v>
      </c>
      <c r="E1007" t="str">
        <f>IFERROR(INDEX(Countries[],MATCH(CountryCleanup[[#This Row],[ISO3]],Countries[ISO3],0),6),"")</f>
        <v>Jersey</v>
      </c>
    </row>
    <row r="1008" spans="2:5" x14ac:dyDescent="0.45">
      <c r="B1008" t="s">
        <v>2792</v>
      </c>
      <c r="C1008" t="s">
        <v>771</v>
      </c>
      <c r="D1008">
        <f>IFERROR(INDEX(Countries[],MATCH(CountryCleanup[[#This Row],[ISO3]],Countries[ISO3],0),3),"")</f>
        <v>832</v>
      </c>
      <c r="E1008" t="str">
        <f>IFERROR(INDEX(Countries[],MATCH(CountryCleanup[[#This Row],[ISO3]],Countries[ISO3],0),6),"")</f>
        <v>Jersey</v>
      </c>
    </row>
    <row r="1009" spans="2:5" x14ac:dyDescent="0.45">
      <c r="B1009" s="9" t="s">
        <v>2508</v>
      </c>
      <c r="C1009" t="s">
        <v>771</v>
      </c>
      <c r="D1009">
        <f>IFERROR(INDEX(Countries[],MATCH(CountryCleanup[[#This Row],[ISO3]],Countries[ISO3],0),3),"")</f>
        <v>832</v>
      </c>
      <c r="E1009" t="str">
        <f>IFERROR(INDEX(Countries[],MATCH(CountryCleanup[[#This Row],[ISO3]],Countries[ISO3],0),6),"")</f>
        <v>Jersey</v>
      </c>
    </row>
    <row r="1010" spans="2:5" x14ac:dyDescent="0.45">
      <c r="B1010" t="s">
        <v>1683</v>
      </c>
      <c r="C1010" t="s">
        <v>1401</v>
      </c>
      <c r="D1010">
        <f>IFERROR(INDEX(Countries[],MATCH(CountryCleanup[[#This Row],[ISO3]],Countries[ISO3],0),3),"")</f>
        <v>581</v>
      </c>
      <c r="E1010" t="str">
        <f>IFERROR(INDEX(Countries[],MATCH(CountryCleanup[[#This Row],[ISO3]],Countries[ISO3],0),6),"")</f>
        <v>United States minor outlying islands</v>
      </c>
    </row>
    <row r="1011" spans="2:5" x14ac:dyDescent="0.45">
      <c r="B1011" t="s">
        <v>775</v>
      </c>
      <c r="C1011" t="s">
        <v>774</v>
      </c>
      <c r="D1011">
        <f>IFERROR(INDEX(Countries[],MATCH(CountryCleanup[[#This Row],[ISO3]],Countries[ISO3],0),3),"")</f>
        <v>400</v>
      </c>
      <c r="E1011" t="str">
        <f>IFERROR(INDEX(Countries[],MATCH(CountryCleanup[[#This Row],[ISO3]],Countries[ISO3],0),6),"")</f>
        <v>Jordan</v>
      </c>
    </row>
    <row r="1012" spans="2:5" x14ac:dyDescent="0.45">
      <c r="B1012" t="s">
        <v>2260</v>
      </c>
      <c r="C1012" t="s">
        <v>774</v>
      </c>
      <c r="D1012">
        <f>IFERROR(INDEX(Countries[],MATCH(CountryCleanup[[#This Row],[ISO3]],Countries[ISO3],0),3),"")</f>
        <v>400</v>
      </c>
      <c r="E1012" t="str">
        <f>IFERROR(INDEX(Countries[],MATCH(CountryCleanup[[#This Row],[ISO3]],Countries[ISO3],0),6),"")</f>
        <v>Jordan</v>
      </c>
    </row>
    <row r="1013" spans="2:5" x14ac:dyDescent="0.45">
      <c r="B1013" t="s">
        <v>1684</v>
      </c>
      <c r="C1013" t="s">
        <v>1401</v>
      </c>
      <c r="D1013">
        <f>IFERROR(INDEX(Countries[],MATCH(CountryCleanup[[#This Row],[ISO3]],Countries[ISO3],0),3),"")</f>
        <v>581</v>
      </c>
      <c r="E1013" t="str">
        <f>IFERROR(INDEX(Countries[],MATCH(CountryCleanup[[#This Row],[ISO3]],Countries[ISO3],0),6),"")</f>
        <v>United States minor outlying islands</v>
      </c>
    </row>
    <row r="1014" spans="2:5" x14ac:dyDescent="0.45">
      <c r="B1014" t="s">
        <v>2830</v>
      </c>
      <c r="C1014" t="s">
        <v>1401</v>
      </c>
      <c r="D1014">
        <f>IFERROR(INDEX(Countries[],MATCH(CountryCleanup[[#This Row],[ISO3]],Countries[ISO3],0),3),"")</f>
        <v>581</v>
      </c>
      <c r="E1014" t="str">
        <f>IFERROR(INDEX(Countries[],MATCH(CountryCleanup[[#This Row],[ISO3]],Countries[ISO3],0),6),"")</f>
        <v>United States minor outlying islands</v>
      </c>
    </row>
    <row r="1015" spans="2:5" x14ac:dyDescent="0.45">
      <c r="B1015" t="s">
        <v>781</v>
      </c>
      <c r="C1015" t="s">
        <v>780</v>
      </c>
      <c r="D1015">
        <f>IFERROR(INDEX(Countries[],MATCH(CountryCleanup[[#This Row],[ISO3]],Countries[ISO3],0),3),"")</f>
        <v>398</v>
      </c>
      <c r="E1015" t="str">
        <f>IFERROR(INDEX(Countries[],MATCH(CountryCleanup[[#This Row],[ISO3]],Countries[ISO3],0),6),"")</f>
        <v>Kazakhstan</v>
      </c>
    </row>
    <row r="1016" spans="2:5" x14ac:dyDescent="0.45">
      <c r="B1016" t="s">
        <v>2226</v>
      </c>
      <c r="C1016" t="s">
        <v>780</v>
      </c>
      <c r="D1016">
        <f>IFERROR(INDEX(Countries[],MATCH(CountryCleanup[[#This Row],[ISO3]],Countries[ISO3],0),3),"")</f>
        <v>398</v>
      </c>
      <c r="E1016" t="str">
        <f>IFERROR(INDEX(Countries[],MATCH(CountryCleanup[[#This Row],[ISO3]],Countries[ISO3],0),6),"")</f>
        <v>Kazakhstan</v>
      </c>
    </row>
    <row r="1017" spans="2:5" x14ac:dyDescent="0.45">
      <c r="B1017" t="s">
        <v>2427</v>
      </c>
      <c r="C1017" t="s">
        <v>780</v>
      </c>
      <c r="D1017">
        <f>IFERROR(INDEX(Countries[],MATCH(CountryCleanup[[#This Row],[ISO3]],Countries[ISO3],0),3),"")</f>
        <v>398</v>
      </c>
      <c r="E1017" t="str">
        <f>IFERROR(INDEX(Countries[],MATCH(CountryCleanup[[#This Row],[ISO3]],Countries[ISO3],0),6),"")</f>
        <v>Kazakhstan</v>
      </c>
    </row>
    <row r="1018" spans="2:5" x14ac:dyDescent="0.45">
      <c r="B1018" t="s">
        <v>786</v>
      </c>
      <c r="C1018" t="s">
        <v>785</v>
      </c>
      <c r="D1018">
        <f>IFERROR(INDEX(Countries[],MATCH(CountryCleanup[[#This Row],[ISO3]],Countries[ISO3],0),3),"")</f>
        <v>404</v>
      </c>
      <c r="E1018" t="str">
        <f>IFERROR(INDEX(Countries[],MATCH(CountryCleanup[[#This Row],[ISO3]],Countries[ISO3],0),6),"")</f>
        <v>Kenya</v>
      </c>
    </row>
    <row r="1019" spans="2:5" x14ac:dyDescent="0.45">
      <c r="B1019" t="s">
        <v>1685</v>
      </c>
      <c r="C1019" t="s">
        <v>785</v>
      </c>
      <c r="D1019">
        <f>IFERROR(INDEX(Countries[],MATCH(CountryCleanup[[#This Row],[ISO3]],Countries[ISO3],0),3),"")</f>
        <v>404</v>
      </c>
      <c r="E1019" t="str">
        <f>IFERROR(INDEX(Countries[],MATCH(CountryCleanup[[#This Row],[ISO3]],Countries[ISO3],0),6),"")</f>
        <v>Kenya</v>
      </c>
    </row>
    <row r="1020" spans="2:5" x14ac:dyDescent="0.45">
      <c r="B1020" t="s">
        <v>2831</v>
      </c>
      <c r="C1020" t="s">
        <v>596</v>
      </c>
      <c r="D1020">
        <f>IFERROR(INDEX(Countries[],MATCH(CountryCleanup[[#This Row],[ISO3]],Countries[ISO3],0),3),"")</f>
        <v>250</v>
      </c>
      <c r="E1020" t="str">
        <f>IFERROR(INDEX(Countries[],MATCH(CountryCleanup[[#This Row],[ISO3]],Countries[ISO3],0),6),"")</f>
        <v>France</v>
      </c>
    </row>
    <row r="1021" spans="2:5" x14ac:dyDescent="0.45">
      <c r="B1021" t="s">
        <v>2886</v>
      </c>
      <c r="C1021" t="s">
        <v>555</v>
      </c>
      <c r="D1021">
        <f>IFERROR(INDEX(Countries[],MATCH(CountryCleanup[[#This Row],[ISO3]],Countries[ISO3],0),3),"")</f>
        <v>748</v>
      </c>
      <c r="E1021" t="str">
        <f>IFERROR(INDEX(Countries[],MATCH(CountryCleanup[[#This Row],[ISO3]],Countries[ISO3],0),6),"")</f>
        <v>Eswatini</v>
      </c>
    </row>
    <row r="1022" spans="2:5" x14ac:dyDescent="0.45">
      <c r="B1022" t="s">
        <v>790</v>
      </c>
      <c r="C1022" t="s">
        <v>789</v>
      </c>
      <c r="D1022">
        <f>IFERROR(INDEX(Countries[],MATCH(CountryCleanup[[#This Row],[ISO3]],Countries[ISO3],0),3),"")</f>
        <v>296</v>
      </c>
      <c r="E1022" t="str">
        <f>IFERROR(INDEX(Countries[],MATCH(CountryCleanup[[#This Row],[ISO3]],Countries[ISO3],0),6),"")</f>
        <v>Kiribati</v>
      </c>
    </row>
    <row r="1023" spans="2:5" x14ac:dyDescent="0.45">
      <c r="B1023" t="s">
        <v>1686</v>
      </c>
      <c r="C1023" t="s">
        <v>1078</v>
      </c>
      <c r="D1023">
        <f>IFERROR(INDEX(Countries[],MATCH(CountryCleanup[[#This Row],[ISO3]],Countries[ISO3],0),3),"")</f>
        <v>410</v>
      </c>
      <c r="E1023" t="str">
        <f>IFERROR(INDEX(Countries[],MATCH(CountryCleanup[[#This Row],[ISO3]],Countries[ISO3],0),6),"")</f>
        <v>Republic of Korea (the)</v>
      </c>
    </row>
    <row r="1024" spans="2:5" x14ac:dyDescent="0.45">
      <c r="B1024" s="3" t="s">
        <v>1972</v>
      </c>
      <c r="C1024" s="3" t="s">
        <v>1078</v>
      </c>
      <c r="D1024">
        <f>IFERROR(INDEX(Countries[],MATCH(CountryCleanup[[#This Row],[ISO3]],Countries[ISO3],0),3),"")</f>
        <v>410</v>
      </c>
      <c r="E1024" t="str">
        <f>IFERROR(INDEX(Countries[],MATCH(CountryCleanup[[#This Row],[ISO3]],Countries[ISO3],0),6),"")</f>
        <v>Republic of Korea (the)</v>
      </c>
    </row>
    <row r="1025" spans="2:5" x14ac:dyDescent="0.45">
      <c r="B1025" s="9" t="s">
        <v>1687</v>
      </c>
      <c r="C1025" s="5" t="s">
        <v>1078</v>
      </c>
      <c r="D1025">
        <f>IFERROR(INDEX(Countries[],MATCH(CountryCleanup[[#This Row],[ISO3]],Countries[ISO3],0),3),"")</f>
        <v>410</v>
      </c>
      <c r="E1025" t="str">
        <f>IFERROR(INDEX(Countries[],MATCH(CountryCleanup[[#This Row],[ISO3]],Countries[ISO3],0),6),"")</f>
        <v>Republic of Korea (the)</v>
      </c>
    </row>
    <row r="1026" spans="2:5" x14ac:dyDescent="0.45">
      <c r="B1026" t="s">
        <v>1688</v>
      </c>
      <c r="C1026" s="5" t="s">
        <v>1078</v>
      </c>
      <c r="D1026">
        <f>IFERROR(INDEX(Countries[],MATCH(CountryCleanup[[#This Row],[ISO3]],Countries[ISO3],0),3),"")</f>
        <v>410</v>
      </c>
      <c r="E1026" t="str">
        <f>IFERROR(INDEX(Countries[],MATCH(CountryCleanup[[#This Row],[ISO3]],Countries[ISO3],0),6),"")</f>
        <v>Republic of Korea (the)</v>
      </c>
    </row>
    <row r="1027" spans="2:5" x14ac:dyDescent="0.45">
      <c r="B1027" s="5" t="s">
        <v>1689</v>
      </c>
      <c r="C1027" s="5" t="s">
        <v>494</v>
      </c>
      <c r="D1027">
        <f>IFERROR(INDEX(Countries[],MATCH(CountryCleanup[[#This Row],[ISO3]],Countries[ISO3],0),3),"")</f>
        <v>408</v>
      </c>
      <c r="E1027" t="str">
        <f>IFERROR(INDEX(Countries[],MATCH(CountryCleanup[[#This Row],[ISO3]],Countries[ISO3],0),6),"")</f>
        <v>Democratic People's Republic of Korea (the)</v>
      </c>
    </row>
    <row r="1028" spans="2:5" x14ac:dyDescent="0.45">
      <c r="B1028" s="5" t="s">
        <v>1690</v>
      </c>
      <c r="C1028" s="5" t="s">
        <v>1078</v>
      </c>
      <c r="D1028">
        <f>IFERROR(INDEX(Countries[],MATCH(CountryCleanup[[#This Row],[ISO3]],Countries[ISO3],0),3),"")</f>
        <v>410</v>
      </c>
      <c r="E1028" t="str">
        <f>IFERROR(INDEX(Countries[],MATCH(CountryCleanup[[#This Row],[ISO3]],Countries[ISO3],0),6),"")</f>
        <v>Republic of Korea (the)</v>
      </c>
    </row>
    <row r="1029" spans="2:5" x14ac:dyDescent="0.45">
      <c r="B1029" t="s">
        <v>1691</v>
      </c>
      <c r="C1029" s="5" t="s">
        <v>1078</v>
      </c>
      <c r="D1029">
        <f>IFERROR(INDEX(Countries[],MATCH(CountryCleanup[[#This Row],[ISO3]],Countries[ISO3],0),3),"")</f>
        <v>410</v>
      </c>
      <c r="E1029" t="str">
        <f>IFERROR(INDEX(Countries[],MATCH(CountryCleanup[[#This Row],[ISO3]],Countries[ISO3],0),6),"")</f>
        <v>Republic of Korea (the)</v>
      </c>
    </row>
    <row r="1030" spans="2:5" x14ac:dyDescent="0.45">
      <c r="B1030" t="s">
        <v>2798</v>
      </c>
      <c r="C1030" s="5" t="s">
        <v>494</v>
      </c>
      <c r="D1030">
        <f>IFERROR(INDEX(Countries[],MATCH(CountryCleanup[[#This Row],[ISO3]],Countries[ISO3],0),3),"")</f>
        <v>408</v>
      </c>
      <c r="E1030" t="str">
        <f>IFERROR(INDEX(Countries[],MATCH(CountryCleanup[[#This Row],[ISO3]],Countries[ISO3],0),6),"")</f>
        <v>Democratic People's Republic of Korea (the)</v>
      </c>
    </row>
    <row r="1031" spans="2:5" x14ac:dyDescent="0.45">
      <c r="B1031" t="s">
        <v>1692</v>
      </c>
      <c r="C1031" s="5" t="s">
        <v>494</v>
      </c>
      <c r="D1031">
        <f>IFERROR(INDEX(Countries[],MATCH(CountryCleanup[[#This Row],[ISO3]],Countries[ISO3],0),3),"")</f>
        <v>408</v>
      </c>
      <c r="E1031" t="str">
        <f>IFERROR(INDEX(Countries[],MATCH(CountryCleanup[[#This Row],[ISO3]],Countries[ISO3],0),6),"")</f>
        <v>Democratic People's Republic of Korea (the)</v>
      </c>
    </row>
    <row r="1032" spans="2:5" x14ac:dyDescent="0.45">
      <c r="B1032" t="s">
        <v>1693</v>
      </c>
      <c r="C1032" s="5" t="s">
        <v>494</v>
      </c>
      <c r="D1032">
        <f>IFERROR(INDEX(Countries[],MATCH(CountryCleanup[[#This Row],[ISO3]],Countries[ISO3],0),3),"")</f>
        <v>408</v>
      </c>
      <c r="E1032" t="str">
        <f>IFERROR(INDEX(Countries[],MATCH(CountryCleanup[[#This Row],[ISO3]],Countries[ISO3],0),6),"")</f>
        <v>Democratic People's Republic of Korea (the)</v>
      </c>
    </row>
    <row r="1033" spans="2:5" x14ac:dyDescent="0.45">
      <c r="B1033" s="27" t="s">
        <v>2509</v>
      </c>
      <c r="C1033" s="5" t="s">
        <v>494</v>
      </c>
      <c r="D1033">
        <f>IFERROR(INDEX(Countries[],MATCH(CountryCleanup[[#This Row],[ISO3]],Countries[ISO3],0),3),"")</f>
        <v>408</v>
      </c>
      <c r="E1033" t="str">
        <f>IFERROR(INDEX(Countries[],MATCH(CountryCleanup[[#This Row],[ISO3]],Countries[ISO3],0),6),"")</f>
        <v>Democratic People's Republic of Korea (the)</v>
      </c>
    </row>
    <row r="1034" spans="2:5" x14ac:dyDescent="0.45">
      <c r="B1034" t="s">
        <v>2428</v>
      </c>
      <c r="C1034" s="5" t="s">
        <v>494</v>
      </c>
      <c r="D1034">
        <f>IFERROR(INDEX(Countries[],MATCH(CountryCleanup[[#This Row],[ISO3]],Countries[ISO3],0),3),"")</f>
        <v>408</v>
      </c>
      <c r="E1034" t="str">
        <f>IFERROR(INDEX(Countries[],MATCH(CountryCleanup[[#This Row],[ISO3]],Countries[ISO3],0),6),"")</f>
        <v>Democratic People's Republic of Korea (the)</v>
      </c>
    </row>
    <row r="1035" spans="2:5" x14ac:dyDescent="0.45">
      <c r="B1035" t="s">
        <v>1694</v>
      </c>
      <c r="C1035" s="5" t="s">
        <v>494</v>
      </c>
      <c r="D1035">
        <f>IFERROR(INDEX(Countries[],MATCH(CountryCleanup[[#This Row],[ISO3]],Countries[ISO3],0),3),"")</f>
        <v>408</v>
      </c>
      <c r="E1035" t="str">
        <f>IFERROR(INDEX(Countries[],MATCH(CountryCleanup[[#This Row],[ISO3]],Countries[ISO3],0),6),"")</f>
        <v>Democratic People's Republic of Korea (the)</v>
      </c>
    </row>
    <row r="1036" spans="2:5" x14ac:dyDescent="0.45">
      <c r="B1036" t="s">
        <v>1695</v>
      </c>
      <c r="C1036" s="5" t="s">
        <v>1078</v>
      </c>
      <c r="D1036">
        <f>IFERROR(INDEX(Countries[],MATCH(CountryCleanup[[#This Row],[ISO3]],Countries[ISO3],0),3),"")</f>
        <v>410</v>
      </c>
      <c r="E1036" t="str">
        <f>IFERROR(INDEX(Countries[],MATCH(CountryCleanup[[#This Row],[ISO3]],Countries[ISO3],0),6),"")</f>
        <v>Republic of Korea (the)</v>
      </c>
    </row>
    <row r="1037" spans="2:5" x14ac:dyDescent="0.45">
      <c r="B1037" s="9" t="s">
        <v>1696</v>
      </c>
      <c r="C1037" s="5" t="s">
        <v>1078</v>
      </c>
      <c r="D1037">
        <f>IFERROR(INDEX(Countries[],MATCH(CountryCleanup[[#This Row],[ISO3]],Countries[ISO3],0),3),"")</f>
        <v>410</v>
      </c>
      <c r="E1037" t="str">
        <f>IFERROR(INDEX(Countries[],MATCH(CountryCleanup[[#This Row],[ISO3]],Countries[ISO3],0),6),"")</f>
        <v>Republic of Korea (the)</v>
      </c>
    </row>
    <row r="1038" spans="2:5" x14ac:dyDescent="0.45">
      <c r="B1038" t="s">
        <v>2953</v>
      </c>
      <c r="C1038" s="5" t="s">
        <v>1078</v>
      </c>
      <c r="D1038">
        <f>IFERROR(INDEX(Countries[],MATCH(CountryCleanup[[#This Row],[ISO3]],Countries[ISO3],0),3),"")</f>
        <v>410</v>
      </c>
      <c r="E1038" t="str">
        <f>IFERROR(INDEX(Countries[],MATCH(CountryCleanup[[#This Row],[ISO3]],Countries[ISO3],0),6),"")</f>
        <v>Republic of Korea (the)</v>
      </c>
    </row>
    <row r="1039" spans="2:5" x14ac:dyDescent="0.45">
      <c r="B1039" t="s">
        <v>2265</v>
      </c>
      <c r="C1039" s="5" t="s">
        <v>494</v>
      </c>
      <c r="D1039">
        <f>IFERROR(INDEX(Countries[],MATCH(CountryCleanup[[#This Row],[ISO3]],Countries[ISO3],0),3),"")</f>
        <v>408</v>
      </c>
      <c r="E1039" t="str">
        <f>IFERROR(INDEX(Countries[],MATCH(CountryCleanup[[#This Row],[ISO3]],Countries[ISO3],0),6),"")</f>
        <v>Democratic People's Republic of Korea (the)</v>
      </c>
    </row>
    <row r="1040" spans="2:5" x14ac:dyDescent="0.45">
      <c r="B1040" t="s">
        <v>1697</v>
      </c>
      <c r="C1040" t="s">
        <v>791</v>
      </c>
      <c r="D1040">
        <f>IFERROR(INDEX(Countries[],MATCH(CountryCleanup[[#This Row],[ISO3]],Countries[ISO3],0),3),"")</f>
        <v>412</v>
      </c>
      <c r="E1040" t="str">
        <f>IFERROR(INDEX(Countries[],MATCH(CountryCleanup[[#This Row],[ISO3]],Countries[ISO3],0),6),"")</f>
        <v>Kosovo</v>
      </c>
    </row>
    <row r="1041" spans="2:5" x14ac:dyDescent="0.45">
      <c r="B1041" t="s">
        <v>1997</v>
      </c>
      <c r="C1041" s="3" t="s">
        <v>791</v>
      </c>
      <c r="D1041">
        <f>IFERROR(INDEX(Countries[],MATCH(CountryCleanup[[#This Row],[ISO3]],Countries[ISO3],0),3),"")</f>
        <v>412</v>
      </c>
      <c r="E1041" t="str">
        <f>IFERROR(INDEX(Countries[],MATCH(CountryCleanup[[#This Row],[ISO3]],Countries[ISO3],0),6),"")</f>
        <v>Kosovo</v>
      </c>
    </row>
    <row r="1042" spans="2:5" x14ac:dyDescent="0.45">
      <c r="B1042" s="9" t="s">
        <v>792</v>
      </c>
      <c r="C1042" t="s">
        <v>791</v>
      </c>
      <c r="D1042">
        <f>IFERROR(INDEX(Countries[],MATCH(CountryCleanup[[#This Row],[ISO3]],Countries[ISO3],0),3),"")</f>
        <v>412</v>
      </c>
      <c r="E1042" t="str">
        <f>IFERROR(INDEX(Countries[],MATCH(CountryCleanup[[#This Row],[ISO3]],Countries[ISO3],0),6),"")</f>
        <v>Kosovo</v>
      </c>
    </row>
    <row r="1043" spans="2:5" x14ac:dyDescent="0.45">
      <c r="B1043" t="s">
        <v>2788</v>
      </c>
      <c r="C1043" t="s">
        <v>791</v>
      </c>
      <c r="D1043">
        <f>IFERROR(INDEX(Countries[],MATCH(CountryCleanup[[#This Row],[ISO3]],Countries[ISO3],0),3),"")</f>
        <v>412</v>
      </c>
      <c r="E1043" t="str">
        <f>IFERROR(INDEX(Countries[],MATCH(CountryCleanup[[#This Row],[ISO3]],Countries[ISO3],0),6),"")</f>
        <v>Kosovo</v>
      </c>
    </row>
    <row r="1044" spans="2:5" x14ac:dyDescent="0.45">
      <c r="B1044" t="s">
        <v>795</v>
      </c>
      <c r="C1044" t="s">
        <v>794</v>
      </c>
      <c r="D1044">
        <f>IFERROR(INDEX(Countries[],MATCH(CountryCleanup[[#This Row],[ISO3]],Countries[ISO3],0),3),"")</f>
        <v>414</v>
      </c>
      <c r="E1044" t="str">
        <f>IFERROR(INDEX(Countries[],MATCH(CountryCleanup[[#This Row],[ISO3]],Countries[ISO3],0),6),"")</f>
        <v>Kuwait</v>
      </c>
    </row>
    <row r="1045" spans="2:5" x14ac:dyDescent="0.45">
      <c r="B1045" t="s">
        <v>2235</v>
      </c>
      <c r="C1045" t="s">
        <v>794</v>
      </c>
      <c r="D1045">
        <f>IFERROR(INDEX(Countries[],MATCH(CountryCleanup[[#This Row],[ISO3]],Countries[ISO3],0),3),"")</f>
        <v>414</v>
      </c>
      <c r="E1045" t="str">
        <f>IFERROR(INDEX(Countries[],MATCH(CountryCleanup[[#This Row],[ISO3]],Countries[ISO3],0),6),"")</f>
        <v>Kuwait</v>
      </c>
    </row>
    <row r="1046" spans="2:5" x14ac:dyDescent="0.45">
      <c r="B1046" t="s">
        <v>1698</v>
      </c>
      <c r="C1046" t="s">
        <v>799</v>
      </c>
      <c r="D1046">
        <f>IFERROR(INDEX(Countries[],MATCH(CountryCleanup[[#This Row],[ISO3]],Countries[ISO3],0),3),"")</f>
        <v>417</v>
      </c>
      <c r="E1046" t="str">
        <f>IFERROR(INDEX(Countries[],MATCH(CountryCleanup[[#This Row],[ISO3]],Countries[ISO3],0),6),"")</f>
        <v>Kyrgyzstan</v>
      </c>
    </row>
    <row r="1047" spans="2:5" x14ac:dyDescent="0.45">
      <c r="B1047" t="s">
        <v>800</v>
      </c>
      <c r="C1047" t="s">
        <v>799</v>
      </c>
      <c r="D1047">
        <f>IFERROR(INDEX(Countries[],MATCH(CountryCleanup[[#This Row],[ISO3]],Countries[ISO3],0),3),"")</f>
        <v>417</v>
      </c>
      <c r="E1047" t="str">
        <f>IFERROR(INDEX(Countries[],MATCH(CountryCleanup[[#This Row],[ISO3]],Countries[ISO3],0),6),"")</f>
        <v>Kyrgyzstan</v>
      </c>
    </row>
    <row r="1048" spans="2:5" x14ac:dyDescent="0.45">
      <c r="B1048" t="s">
        <v>2274</v>
      </c>
      <c r="C1048" t="s">
        <v>799</v>
      </c>
      <c r="D1048">
        <f>IFERROR(INDEX(Countries[],MATCH(CountryCleanup[[#This Row],[ISO3]],Countries[ISO3],0),3),"")</f>
        <v>417</v>
      </c>
      <c r="E1048" t="str">
        <f>IFERROR(INDEX(Countries[],MATCH(CountryCleanup[[#This Row],[ISO3]],Countries[ISO3],0),6),"")</f>
        <v>Kyrgyzstan</v>
      </c>
    </row>
    <row r="1049" spans="2:5" x14ac:dyDescent="0.45">
      <c r="B1049" t="s">
        <v>2373</v>
      </c>
      <c r="C1049" t="s">
        <v>1917</v>
      </c>
      <c r="D1049">
        <f>IFERROR(INDEX(Countries[],MATCH(CountryCleanup[[#This Row],[ISO3]],Countries[ISO3],0),3),"")</f>
        <v>99037</v>
      </c>
      <c r="E1049" t="str">
        <f>IFERROR(INDEX(Countries[],MATCH(CountryCleanup[[#This Row],[ISO3]],Countries[ISO3],0),6),"")</f>
        <v>Residual/unallocated: Latin America and the Caribbean</v>
      </c>
    </row>
    <row r="1050" spans="2:5" x14ac:dyDescent="0.45">
      <c r="B1050" t="s">
        <v>806</v>
      </c>
      <c r="C1050" t="s">
        <v>806</v>
      </c>
      <c r="D1050">
        <f>IFERROR(INDEX(Countries[],MATCH(CountryCleanup[[#This Row],[ISO3]],Countries[ISO3],0),3),"")</f>
        <v>418</v>
      </c>
      <c r="E1050" t="str">
        <f>IFERROR(INDEX(Countries[],MATCH(CountryCleanup[[#This Row],[ISO3]],Countries[ISO3],0),6),"")</f>
        <v>Lao People's Democratic Republic (the)</v>
      </c>
    </row>
    <row r="1051" spans="2:5" x14ac:dyDescent="0.45">
      <c r="B1051" t="s">
        <v>2751</v>
      </c>
      <c r="C1051" t="s">
        <v>806</v>
      </c>
      <c r="D1051">
        <f>IFERROR(INDEX(Countries[],MATCH(CountryCleanup[[#This Row],[ISO3]],Countries[ISO3],0),3),"")</f>
        <v>418</v>
      </c>
      <c r="E1051" t="str">
        <f>IFERROR(INDEX(Countries[],MATCH(CountryCleanup[[#This Row],[ISO3]],Countries[ISO3],0),6),"")</f>
        <v>Lao People's Democratic Republic (the)</v>
      </c>
    </row>
    <row r="1052" spans="2:5" x14ac:dyDescent="0.45">
      <c r="B1052" s="5" t="s">
        <v>1699</v>
      </c>
      <c r="C1052" s="5" t="s">
        <v>806</v>
      </c>
      <c r="D1052">
        <f>IFERROR(INDEX(Countries[],MATCH(CountryCleanup[[#This Row],[ISO3]],Countries[ISO3],0),3),"")</f>
        <v>418</v>
      </c>
      <c r="E1052" t="str">
        <f>IFERROR(INDEX(Countries[],MATCH(CountryCleanup[[#This Row],[ISO3]],Countries[ISO3],0),6),"")</f>
        <v>Lao People's Democratic Republic (the)</v>
      </c>
    </row>
    <row r="1053" spans="2:5" x14ac:dyDescent="0.45">
      <c r="B1053" t="s">
        <v>1700</v>
      </c>
      <c r="C1053" s="5" t="s">
        <v>806</v>
      </c>
      <c r="D1053">
        <f>IFERROR(INDEX(Countries[],MATCH(CountryCleanup[[#This Row],[ISO3]],Countries[ISO3],0),3),"")</f>
        <v>418</v>
      </c>
      <c r="E1053" t="str">
        <f>IFERROR(INDEX(Countries[],MATCH(CountryCleanup[[#This Row],[ISO3]],Countries[ISO3],0),6),"")</f>
        <v>Lao People's Democratic Republic (the)</v>
      </c>
    </row>
    <row r="1054" spans="2:5" x14ac:dyDescent="0.45">
      <c r="B1054" t="s">
        <v>2366</v>
      </c>
      <c r="C1054" t="s">
        <v>806</v>
      </c>
      <c r="D1054">
        <f>IFERROR(INDEX(Countries[],MATCH(CountryCleanup[[#This Row],[ISO3]],Countries[ISO3],0),3),"")</f>
        <v>418</v>
      </c>
      <c r="E1054" t="str">
        <f>IFERROR(INDEX(Countries[],MATCH(CountryCleanup[[#This Row],[ISO3]],Countries[ISO3],0),6),"")</f>
        <v>Lao People's Democratic Republic (the)</v>
      </c>
    </row>
    <row r="1055" spans="2:5" x14ac:dyDescent="0.45">
      <c r="B1055" t="s">
        <v>807</v>
      </c>
      <c r="C1055" t="s">
        <v>806</v>
      </c>
      <c r="D1055">
        <f>IFERROR(INDEX(Countries[],MATCH(CountryCleanup[[#This Row],[ISO3]],Countries[ISO3],0),3),"")</f>
        <v>418</v>
      </c>
      <c r="E1055" t="str">
        <f>IFERROR(INDEX(Countries[],MATCH(CountryCleanup[[#This Row],[ISO3]],Countries[ISO3],0),6),"")</f>
        <v>Lao People's Democratic Republic (the)</v>
      </c>
    </row>
    <row r="1056" spans="2:5" x14ac:dyDescent="0.45">
      <c r="B1056" t="s">
        <v>1701</v>
      </c>
      <c r="C1056" t="s">
        <v>806</v>
      </c>
      <c r="D1056">
        <f>IFERROR(INDEX(Countries[],MATCH(CountryCleanup[[#This Row],[ISO3]],Countries[ISO3],0),3),"")</f>
        <v>418</v>
      </c>
      <c r="E1056" t="str">
        <f>IFERROR(INDEX(Countries[],MATCH(CountryCleanup[[#This Row],[ISO3]],Countries[ISO3],0),6),"")</f>
        <v>Lao People's Democratic Republic (the)</v>
      </c>
    </row>
    <row r="1057" spans="2:5" x14ac:dyDescent="0.45">
      <c r="B1057" t="s">
        <v>2196</v>
      </c>
      <c r="C1057" t="s">
        <v>2297</v>
      </c>
      <c r="D1057">
        <f>IFERROR(INDEX(Countries[],MATCH(CountryCleanup[[#This Row],[ISO3]],Countries[ISO3],0),3),"")</f>
        <v>99910</v>
      </c>
      <c r="E1057" t="str">
        <f>IFERROR(INDEX(Countries[],MATCH(CountryCleanup[[#This Row],[ISO3]],Countries[ISO3],0),6),"")</f>
        <v>Non-OECD Americas</v>
      </c>
    </row>
    <row r="1058" spans="2:5" x14ac:dyDescent="0.45">
      <c r="B1058" t="s">
        <v>2342</v>
      </c>
      <c r="C1058" t="s">
        <v>1917</v>
      </c>
      <c r="D1058">
        <f>IFERROR(INDEX(Countries[],MATCH(CountryCleanup[[#This Row],[ISO3]],Countries[ISO3],0),3),"")</f>
        <v>99037</v>
      </c>
      <c r="E1058" t="str">
        <f>IFERROR(INDEX(Countries[],MATCH(CountryCleanup[[#This Row],[ISO3]],Countries[ISO3],0),6),"")</f>
        <v>Residual/unallocated: Latin America and the Caribbean</v>
      </c>
    </row>
    <row r="1059" spans="2:5" x14ac:dyDescent="0.45">
      <c r="B1059" t="s">
        <v>813</v>
      </c>
      <c r="C1059" t="s">
        <v>812</v>
      </c>
      <c r="D1059">
        <f>IFERROR(INDEX(Countries[],MATCH(CountryCleanup[[#This Row],[ISO3]],Countries[ISO3],0),3),"")</f>
        <v>428</v>
      </c>
      <c r="E1059" t="str">
        <f>IFERROR(INDEX(Countries[],MATCH(CountryCleanup[[#This Row],[ISO3]],Countries[ISO3],0),6),"")</f>
        <v>Latvia</v>
      </c>
    </row>
    <row r="1060" spans="2:5" x14ac:dyDescent="0.45">
      <c r="B1060" t="s">
        <v>1973</v>
      </c>
      <c r="C1060" t="s">
        <v>812</v>
      </c>
      <c r="D1060">
        <f>IFERROR(INDEX(Countries[],MATCH(CountryCleanup[[#This Row],[ISO3]],Countries[ISO3],0),3),"")</f>
        <v>428</v>
      </c>
      <c r="E1060" t="str">
        <f>IFERROR(INDEX(Countries[],MATCH(CountryCleanup[[#This Row],[ISO3]],Countries[ISO3],0),6),"")</f>
        <v>Latvia</v>
      </c>
    </row>
    <row r="1061" spans="2:5" x14ac:dyDescent="0.45">
      <c r="B1061" t="s">
        <v>819</v>
      </c>
      <c r="C1061" t="s">
        <v>818</v>
      </c>
      <c r="D1061">
        <f>IFERROR(INDEX(Countries[],MATCH(CountryCleanup[[#This Row],[ISO3]],Countries[ISO3],0),3),"")</f>
        <v>422</v>
      </c>
      <c r="E1061" t="str">
        <f>IFERROR(INDEX(Countries[],MATCH(CountryCleanup[[#This Row],[ISO3]],Countries[ISO3],0),6),"")</f>
        <v>Lebanon</v>
      </c>
    </row>
    <row r="1062" spans="2:5" x14ac:dyDescent="0.45">
      <c r="B1062" t="s">
        <v>2264</v>
      </c>
      <c r="C1062" t="s">
        <v>818</v>
      </c>
      <c r="D1062">
        <f>IFERROR(INDEX(Countries[],MATCH(CountryCleanup[[#This Row],[ISO3]],Countries[ISO3],0),3),"")</f>
        <v>422</v>
      </c>
      <c r="E1062" t="str">
        <f>IFERROR(INDEX(Countries[],MATCH(CountryCleanup[[#This Row],[ISO3]],Countries[ISO3],0),6),"")</f>
        <v>Lebanon</v>
      </c>
    </row>
    <row r="1063" spans="2:5" x14ac:dyDescent="0.45">
      <c r="B1063" t="s">
        <v>825</v>
      </c>
      <c r="C1063" t="s">
        <v>824</v>
      </c>
      <c r="D1063">
        <f>IFERROR(INDEX(Countries[],MATCH(CountryCleanup[[#This Row],[ISO3]],Countries[ISO3],0),3),"")</f>
        <v>426</v>
      </c>
      <c r="E1063" t="str">
        <f>IFERROR(INDEX(Countries[],MATCH(CountryCleanup[[#This Row],[ISO3]],Countries[ISO3],0),6),"")</f>
        <v>Lesotho</v>
      </c>
    </row>
    <row r="1064" spans="2:5" x14ac:dyDescent="0.45">
      <c r="B1064" t="s">
        <v>829</v>
      </c>
      <c r="C1064" t="s">
        <v>828</v>
      </c>
      <c r="D1064">
        <f>IFERROR(INDEX(Countries[],MATCH(CountryCleanup[[#This Row],[ISO3]],Countries[ISO3],0),3),"")</f>
        <v>430</v>
      </c>
      <c r="E1064" t="str">
        <f>IFERROR(INDEX(Countries[],MATCH(CountryCleanup[[#This Row],[ISO3]],Countries[ISO3],0),6),"")</f>
        <v>Liberia</v>
      </c>
    </row>
    <row r="1065" spans="2:5" x14ac:dyDescent="0.45">
      <c r="B1065" t="s">
        <v>834</v>
      </c>
      <c r="C1065" t="s">
        <v>833</v>
      </c>
      <c r="D1065">
        <f>IFERROR(INDEX(Countries[],MATCH(CountryCleanup[[#This Row],[ISO3]],Countries[ISO3],0),3),"")</f>
        <v>434</v>
      </c>
      <c r="E1065" t="str">
        <f>IFERROR(INDEX(Countries[],MATCH(CountryCleanup[[#This Row],[ISO3]],Countries[ISO3],0),6),"")</f>
        <v>Libya</v>
      </c>
    </row>
    <row r="1066" spans="2:5" x14ac:dyDescent="0.45">
      <c r="B1066" t="s">
        <v>2240</v>
      </c>
      <c r="C1066" t="s">
        <v>833</v>
      </c>
      <c r="D1066">
        <f>IFERROR(INDEX(Countries[],MATCH(CountryCleanup[[#This Row],[ISO3]],Countries[ISO3],0),3),"")</f>
        <v>434</v>
      </c>
      <c r="E1066" t="str">
        <f>IFERROR(INDEX(Countries[],MATCH(CountryCleanup[[#This Row],[ISO3]],Countries[ISO3],0),6),"")</f>
        <v>Libya</v>
      </c>
    </row>
    <row r="1067" spans="2:5" x14ac:dyDescent="0.45">
      <c r="B1067" t="s">
        <v>2429</v>
      </c>
      <c r="C1067" t="s">
        <v>833</v>
      </c>
      <c r="D1067">
        <f>IFERROR(INDEX(Countries[],MATCH(CountryCleanup[[#This Row],[ISO3]],Countries[ISO3],0),3),"")</f>
        <v>434</v>
      </c>
      <c r="E1067" t="str">
        <f>IFERROR(INDEX(Countries[],MATCH(CountryCleanup[[#This Row],[ISO3]],Countries[ISO3],0),6),"")</f>
        <v>Libya</v>
      </c>
    </row>
    <row r="1068" spans="2:5" x14ac:dyDescent="0.45">
      <c r="B1068" t="s">
        <v>840</v>
      </c>
      <c r="C1068" t="s">
        <v>839</v>
      </c>
      <c r="D1068">
        <f>IFERROR(INDEX(Countries[],MATCH(CountryCleanup[[#This Row],[ISO3]],Countries[ISO3],0),3),"")</f>
        <v>438</v>
      </c>
      <c r="E1068" t="str">
        <f>IFERROR(INDEX(Countries[],MATCH(CountryCleanup[[#This Row],[ISO3]],Countries[ISO3],0),6),"")</f>
        <v>Liechtenstein</v>
      </c>
    </row>
    <row r="1069" spans="2:5" x14ac:dyDescent="0.45">
      <c r="B1069" t="s">
        <v>2895</v>
      </c>
      <c r="C1069" t="s">
        <v>839</v>
      </c>
      <c r="D1069">
        <f>IFERROR(INDEX(Countries[],MATCH(CountryCleanup[[#This Row],[ISO3]],Countries[ISO3],0),3),"")</f>
        <v>438</v>
      </c>
      <c r="E1069" t="str">
        <f>IFERROR(INDEX(Countries[],MATCH(CountryCleanup[[#This Row],[ISO3]],Countries[ISO3],0),6),"")</f>
        <v>Liechtenstein</v>
      </c>
    </row>
    <row r="1070" spans="2:5" x14ac:dyDescent="0.45">
      <c r="B1070" t="s">
        <v>2832</v>
      </c>
      <c r="C1070" s="3" t="s">
        <v>789</v>
      </c>
      <c r="D1070">
        <f>IFERROR(INDEX(Countries[],MATCH(CountryCleanup[[#This Row],[ISO3]],Countries[ISO3],0),3),"")</f>
        <v>296</v>
      </c>
      <c r="E1070" t="str">
        <f>IFERROR(INDEX(Countries[],MATCH(CountryCleanup[[#This Row],[ISO3]],Countries[ISO3],0),6),"")</f>
        <v>Kiribati</v>
      </c>
    </row>
    <row r="1071" spans="2:5" x14ac:dyDescent="0.45">
      <c r="B1071" t="s">
        <v>1702</v>
      </c>
      <c r="C1071" s="3" t="s">
        <v>789</v>
      </c>
      <c r="D1071">
        <f>IFERROR(INDEX(Countries[],MATCH(CountryCleanup[[#This Row],[ISO3]],Countries[ISO3],0),3),"")</f>
        <v>296</v>
      </c>
      <c r="E1071" t="str">
        <f>IFERROR(INDEX(Countries[],MATCH(CountryCleanup[[#This Row],[ISO3]],Countries[ISO3],0),6),"")</f>
        <v>Kiribati</v>
      </c>
    </row>
    <row r="1072" spans="2:5" x14ac:dyDescent="0.45">
      <c r="B1072" t="s">
        <v>844</v>
      </c>
      <c r="C1072" t="s">
        <v>843</v>
      </c>
      <c r="D1072">
        <f>IFERROR(INDEX(Countries[],MATCH(CountryCleanup[[#This Row],[ISO3]],Countries[ISO3],0),3),"")</f>
        <v>440</v>
      </c>
      <c r="E1072" t="str">
        <f>IFERROR(INDEX(Countries[],MATCH(CountryCleanup[[#This Row],[ISO3]],Countries[ISO3],0),6),"")</f>
        <v>Lithuania</v>
      </c>
    </row>
    <row r="1073" spans="2:5" x14ac:dyDescent="0.45">
      <c r="B1073" t="s">
        <v>1703</v>
      </c>
      <c r="C1073" t="s">
        <v>843</v>
      </c>
      <c r="D1073">
        <f>IFERROR(INDEX(Countries[],MATCH(CountryCleanup[[#This Row],[ISO3]],Countries[ISO3],0),3),"")</f>
        <v>440</v>
      </c>
      <c r="E1073" t="str">
        <f>IFERROR(INDEX(Countries[],MATCH(CountryCleanup[[#This Row],[ISO3]],Countries[ISO3],0),6),"")</f>
        <v>Lithuania</v>
      </c>
    </row>
    <row r="1074" spans="2:5" x14ac:dyDescent="0.45">
      <c r="B1074" t="s">
        <v>1974</v>
      </c>
      <c r="C1074" t="s">
        <v>843</v>
      </c>
      <c r="D1074">
        <f>IFERROR(INDEX(Countries[],MATCH(CountryCleanup[[#This Row],[ISO3]],Countries[ISO3],0),3),"")</f>
        <v>440</v>
      </c>
      <c r="E1074" t="str">
        <f>IFERROR(INDEX(Countries[],MATCH(CountryCleanup[[#This Row],[ISO3]],Countries[ISO3],0),6),"")</f>
        <v>Lithuania</v>
      </c>
    </row>
    <row r="1075" spans="2:5" x14ac:dyDescent="0.45">
      <c r="B1075" t="s">
        <v>2926</v>
      </c>
      <c r="C1075" t="s">
        <v>843</v>
      </c>
      <c r="D1075">
        <f>IFERROR(INDEX(Countries[],MATCH(CountryCleanup[[#This Row],[ISO3]],Countries[ISO3],0),3),"")</f>
        <v>440</v>
      </c>
      <c r="E1075" t="str">
        <f>IFERROR(INDEX(Countries[],MATCH(CountryCleanup[[#This Row],[ISO3]],Countries[ISO3],0),6),"")</f>
        <v>Lithuania</v>
      </c>
    </row>
    <row r="1076" spans="2:5" x14ac:dyDescent="0.45">
      <c r="B1076" t="s">
        <v>1975</v>
      </c>
      <c r="C1076" t="s">
        <v>848</v>
      </c>
      <c r="D1076">
        <f>IFERROR(INDEX(Countries[],MATCH(CountryCleanup[[#This Row],[ISO3]],Countries[ISO3],0),3),"")</f>
        <v>442</v>
      </c>
      <c r="E1076" t="str">
        <f>IFERROR(INDEX(Countries[],MATCH(CountryCleanup[[#This Row],[ISO3]],Countries[ISO3],0),6),"")</f>
        <v>Luxembourg</v>
      </c>
    </row>
    <row r="1077" spans="2:5" x14ac:dyDescent="0.45">
      <c r="B1077" t="s">
        <v>849</v>
      </c>
      <c r="C1077" t="s">
        <v>848</v>
      </c>
      <c r="D1077">
        <f>IFERROR(INDEX(Countries[],MATCH(CountryCleanup[[#This Row],[ISO3]],Countries[ISO3],0),3),"")</f>
        <v>442</v>
      </c>
      <c r="E1077" t="str">
        <f>IFERROR(INDEX(Countries[],MATCH(CountryCleanup[[#This Row],[ISO3]],Countries[ISO3],0),6),"")</f>
        <v>Luxembourg</v>
      </c>
    </row>
    <row r="1078" spans="2:5" x14ac:dyDescent="0.45">
      <c r="B1078" t="s">
        <v>2921</v>
      </c>
      <c r="C1078" t="s">
        <v>833</v>
      </c>
      <c r="D1078">
        <f>IFERROR(INDEX(Countries[],MATCH(CountryCleanup[[#This Row],[ISO3]],Countries[ISO3],0),3),"")</f>
        <v>434</v>
      </c>
      <c r="E1078" t="str">
        <f>IFERROR(INDEX(Countries[],MATCH(CountryCleanup[[#This Row],[ISO3]],Countries[ISO3],0),6),"")</f>
        <v>Libya</v>
      </c>
    </row>
    <row r="1079" spans="2:5" x14ac:dyDescent="0.45">
      <c r="B1079" t="s">
        <v>1704</v>
      </c>
      <c r="C1079" t="s">
        <v>417</v>
      </c>
      <c r="D1079">
        <f>IFERROR(INDEX(Countries[],MATCH(CountryCleanup[[#This Row],[ISO3]],Countries[ISO3],0),3),"")</f>
        <v>446</v>
      </c>
      <c r="E1079" t="str">
        <f>IFERROR(INDEX(Countries[],MATCH(CountryCleanup[[#This Row],[ISO3]],Countries[ISO3],0),6),"")</f>
        <v>China, Macao Special Administrative Region</v>
      </c>
    </row>
    <row r="1080" spans="2:5" x14ac:dyDescent="0.45">
      <c r="B1080" t="s">
        <v>2752</v>
      </c>
      <c r="C1080" t="s">
        <v>417</v>
      </c>
      <c r="D1080">
        <f>IFERROR(INDEX(Countries[],MATCH(CountryCleanup[[#This Row],[ISO3]],Countries[ISO3],0),3),"")</f>
        <v>446</v>
      </c>
      <c r="E1080" t="str">
        <f>IFERROR(INDEX(Countries[],MATCH(CountryCleanup[[#This Row],[ISO3]],Countries[ISO3],0),6),"")</f>
        <v>China, Macao Special Administrative Region</v>
      </c>
    </row>
    <row r="1081" spans="2:5" x14ac:dyDescent="0.45">
      <c r="B1081" t="s">
        <v>1705</v>
      </c>
      <c r="C1081" t="s">
        <v>417</v>
      </c>
      <c r="D1081">
        <f>IFERROR(INDEX(Countries[],MATCH(CountryCleanup[[#This Row],[ISO3]],Countries[ISO3],0),3),"")</f>
        <v>446</v>
      </c>
      <c r="E1081" t="str">
        <f>IFERROR(INDEX(Countries[],MATCH(CountryCleanup[[#This Row],[ISO3]],Countries[ISO3],0),6),"")</f>
        <v>China, Macao Special Administrative Region</v>
      </c>
    </row>
    <row r="1082" spans="2:5" x14ac:dyDescent="0.45">
      <c r="B1082" t="s">
        <v>2901</v>
      </c>
      <c r="C1082" t="s">
        <v>417</v>
      </c>
      <c r="D1082">
        <f>IFERROR(INDEX(Countries[],MATCH(CountryCleanup[[#This Row],[ISO3]],Countries[ISO3],0),3),"")</f>
        <v>446</v>
      </c>
      <c r="E1082" t="str">
        <f>IFERROR(INDEX(Countries[],MATCH(CountryCleanup[[#This Row],[ISO3]],Countries[ISO3],0),6),"")</f>
        <v>China, Macao Special Administrative Region</v>
      </c>
    </row>
    <row r="1083" spans="2:5" x14ac:dyDescent="0.45">
      <c r="B1083" t="s">
        <v>2430</v>
      </c>
      <c r="C1083" t="s">
        <v>417</v>
      </c>
      <c r="D1083">
        <f>IFERROR(INDEX(Countries[],MATCH(CountryCleanup[[#This Row],[ISO3]],Countries[ISO3],0),3),"")</f>
        <v>446</v>
      </c>
      <c r="E1083" t="str">
        <f>IFERROR(INDEX(Countries[],MATCH(CountryCleanup[[#This Row],[ISO3]],Countries[ISO3],0),6),"")</f>
        <v>China, Macao Special Administrative Region</v>
      </c>
    </row>
    <row r="1084" spans="2:5" x14ac:dyDescent="0.45">
      <c r="B1084" t="s">
        <v>1706</v>
      </c>
      <c r="C1084" t="s">
        <v>1090</v>
      </c>
      <c r="D1084">
        <f>IFERROR(INDEX(Countries[],MATCH(CountryCleanup[[#This Row],[ISO3]],Countries[ISO3],0),3),"")</f>
        <v>807</v>
      </c>
      <c r="E1084" t="str">
        <f>IFERROR(INDEX(Countries[],MATCH(CountryCleanup[[#This Row],[ISO3]],Countries[ISO3],0),6),"")</f>
        <v>North Macedonia</v>
      </c>
    </row>
    <row r="1085" spans="2:5" x14ac:dyDescent="0.45">
      <c r="B1085" t="s">
        <v>1707</v>
      </c>
      <c r="C1085" t="s">
        <v>1090</v>
      </c>
      <c r="D1085">
        <f>IFERROR(INDEX(Countries[],MATCH(CountryCleanup[[#This Row],[ISO3]],Countries[ISO3],0),3),"")</f>
        <v>807</v>
      </c>
      <c r="E1085" t="str">
        <f>IFERROR(INDEX(Countries[],MATCH(CountryCleanup[[#This Row],[ISO3]],Countries[ISO3],0),6),"")</f>
        <v>North Macedonia</v>
      </c>
    </row>
    <row r="1086" spans="2:5" x14ac:dyDescent="0.45">
      <c r="B1086" t="s">
        <v>1708</v>
      </c>
      <c r="C1086" t="s">
        <v>1090</v>
      </c>
      <c r="D1086">
        <f>IFERROR(INDEX(Countries[],MATCH(CountryCleanup[[#This Row],[ISO3]],Countries[ISO3],0),3),"")</f>
        <v>807</v>
      </c>
      <c r="E1086" t="str">
        <f>IFERROR(INDEX(Countries[],MATCH(CountryCleanup[[#This Row],[ISO3]],Countries[ISO3],0),6),"")</f>
        <v>North Macedonia</v>
      </c>
    </row>
    <row r="1087" spans="2:5" x14ac:dyDescent="0.45">
      <c r="B1087" t="s">
        <v>2431</v>
      </c>
      <c r="C1087" t="s">
        <v>1090</v>
      </c>
      <c r="D1087">
        <f>IFERROR(INDEX(Countries[],MATCH(CountryCleanup[[#This Row],[ISO3]],Countries[ISO3],0),3),"")</f>
        <v>807</v>
      </c>
      <c r="E1087" t="str">
        <f>IFERROR(INDEX(Countries[],MATCH(CountryCleanup[[#This Row],[ISO3]],Countries[ISO3],0),6),"")</f>
        <v>North Macedonia</v>
      </c>
    </row>
    <row r="1088" spans="2:5" x14ac:dyDescent="0.45">
      <c r="B1088" t="s">
        <v>2480</v>
      </c>
      <c r="C1088" t="s">
        <v>1090</v>
      </c>
      <c r="D1088">
        <f>IFERROR(INDEX(Countries[],MATCH(CountryCleanup[[#This Row],[ISO3]],Countries[ISO3],0),3),"")</f>
        <v>807</v>
      </c>
      <c r="E1088" t="str">
        <f>IFERROR(INDEX(Countries[],MATCH(CountryCleanup[[#This Row],[ISO3]],Countries[ISO3],0),6),"")</f>
        <v>North Macedonia</v>
      </c>
    </row>
    <row r="1089" spans="2:5" x14ac:dyDescent="0.45">
      <c r="B1089" t="s">
        <v>2833</v>
      </c>
      <c r="C1089" t="s">
        <v>212</v>
      </c>
      <c r="D1089">
        <f>IFERROR(INDEX(Countries[],MATCH(CountryCleanup[[#This Row],[ISO3]],Countries[ISO3],0),3),"")</f>
        <v>36</v>
      </c>
      <c r="E1089" t="str">
        <f>IFERROR(INDEX(Countries[],MATCH(CountryCleanup[[#This Row],[ISO3]],Countries[ISO3],0),6),"")</f>
        <v>Australia</v>
      </c>
    </row>
    <row r="1090" spans="2:5" x14ac:dyDescent="0.45">
      <c r="B1090" t="s">
        <v>853</v>
      </c>
      <c r="C1090" t="s">
        <v>852</v>
      </c>
      <c r="D1090">
        <f>IFERROR(INDEX(Countries[],MATCH(CountryCleanup[[#This Row],[ISO3]],Countries[ISO3],0),3),"")</f>
        <v>450</v>
      </c>
      <c r="E1090" t="str">
        <f>IFERROR(INDEX(Countries[],MATCH(CountryCleanup[[#This Row],[ISO3]],Countries[ISO3],0),6),"")</f>
        <v>Madagascar</v>
      </c>
    </row>
    <row r="1091" spans="2:5" x14ac:dyDescent="0.45">
      <c r="B1091" t="s">
        <v>1709</v>
      </c>
      <c r="C1091" t="s">
        <v>852</v>
      </c>
      <c r="D1091">
        <f>IFERROR(INDEX(Countries[],MATCH(CountryCleanup[[#This Row],[ISO3]],Countries[ISO3],0),3),"")</f>
        <v>450</v>
      </c>
      <c r="E1091" t="str">
        <f>IFERROR(INDEX(Countries[],MATCH(CountryCleanup[[#This Row],[ISO3]],Countries[ISO3],0),6),"")</f>
        <v>Madagascar</v>
      </c>
    </row>
    <row r="1092" spans="2:5" x14ac:dyDescent="0.45">
      <c r="B1092" t="s">
        <v>2834</v>
      </c>
      <c r="C1092" t="s">
        <v>1067</v>
      </c>
      <c r="D1092">
        <f>IFERROR(INDEX(Countries[],MATCH(CountryCleanup[[#This Row],[ISO3]],Countries[ISO3],0),3),"")</f>
        <v>620</v>
      </c>
      <c r="E1092" t="str">
        <f>IFERROR(INDEX(Countries[],MATCH(CountryCleanup[[#This Row],[ISO3]],Countries[ISO3],0),6),"")</f>
        <v>Portugal</v>
      </c>
    </row>
    <row r="1093" spans="2:5" x14ac:dyDescent="0.45">
      <c r="B1093" t="s">
        <v>2852</v>
      </c>
      <c r="C1093" t="s">
        <v>852</v>
      </c>
      <c r="D1093">
        <f>IFERROR(INDEX(Countries[],MATCH(CountryCleanup[[#This Row],[ISO3]],Countries[ISO3],0),3),"")</f>
        <v>450</v>
      </c>
      <c r="E1093" t="str">
        <f>IFERROR(INDEX(Countries[],MATCH(CountryCleanup[[#This Row],[ISO3]],Countries[ISO3],0),6),"")</f>
        <v>Madagascar</v>
      </c>
    </row>
    <row r="1094" spans="2:5" x14ac:dyDescent="0.45">
      <c r="B1094" t="s">
        <v>857</v>
      </c>
      <c r="C1094" t="s">
        <v>856</v>
      </c>
      <c r="D1094">
        <f>IFERROR(INDEX(Countries[],MATCH(CountryCleanup[[#This Row],[ISO3]],Countries[ISO3],0),3),"")</f>
        <v>454</v>
      </c>
      <c r="E1094" t="str">
        <f>IFERROR(INDEX(Countries[],MATCH(CountryCleanup[[#This Row],[ISO3]],Countries[ISO3],0),6),"")</f>
        <v>Malawi</v>
      </c>
    </row>
    <row r="1095" spans="2:5" x14ac:dyDescent="0.45">
      <c r="B1095" t="s">
        <v>861</v>
      </c>
      <c r="C1095" t="s">
        <v>860</v>
      </c>
      <c r="D1095">
        <f>IFERROR(INDEX(Countries[],MATCH(CountryCleanup[[#This Row],[ISO3]],Countries[ISO3],0),3),"")</f>
        <v>458</v>
      </c>
      <c r="E1095" t="str">
        <f>IFERROR(INDEX(Countries[],MATCH(CountryCleanup[[#This Row],[ISO3]],Countries[ISO3],0),6),"")</f>
        <v>Malaysia</v>
      </c>
    </row>
    <row r="1096" spans="2:5" x14ac:dyDescent="0.45">
      <c r="B1096" t="s">
        <v>2212</v>
      </c>
      <c r="C1096" t="s">
        <v>860</v>
      </c>
      <c r="D1096">
        <f>IFERROR(INDEX(Countries[],MATCH(CountryCleanup[[#This Row],[ISO3]],Countries[ISO3],0),3),"")</f>
        <v>458</v>
      </c>
      <c r="E1096" t="str">
        <f>IFERROR(INDEX(Countries[],MATCH(CountryCleanup[[#This Row],[ISO3]],Countries[ISO3],0),6),"")</f>
        <v>Malaysia</v>
      </c>
    </row>
    <row r="1097" spans="2:5" x14ac:dyDescent="0.45">
      <c r="B1097" t="s">
        <v>867</v>
      </c>
      <c r="C1097" t="s">
        <v>866</v>
      </c>
      <c r="D1097">
        <f>IFERROR(INDEX(Countries[],MATCH(CountryCleanup[[#This Row],[ISO3]],Countries[ISO3],0),3),"")</f>
        <v>462</v>
      </c>
      <c r="E1097" t="str">
        <f>IFERROR(INDEX(Countries[],MATCH(CountryCleanup[[#This Row],[ISO3]],Countries[ISO3],0),6),"")</f>
        <v>Maldives</v>
      </c>
    </row>
    <row r="1098" spans="2:5" x14ac:dyDescent="0.45">
      <c r="B1098" t="s">
        <v>872</v>
      </c>
      <c r="C1098" t="s">
        <v>871</v>
      </c>
      <c r="D1098">
        <f>IFERROR(INDEX(Countries[],MATCH(CountryCleanup[[#This Row],[ISO3]],Countries[ISO3],0),3),"")</f>
        <v>466</v>
      </c>
      <c r="E1098" t="str">
        <f>IFERROR(INDEX(Countries[],MATCH(CountryCleanup[[#This Row],[ISO3]],Countries[ISO3],0),6),"")</f>
        <v>Mali</v>
      </c>
    </row>
    <row r="1099" spans="2:5" x14ac:dyDescent="0.45">
      <c r="B1099" t="s">
        <v>876</v>
      </c>
      <c r="C1099" t="s">
        <v>875</v>
      </c>
      <c r="D1099">
        <f>IFERROR(INDEX(Countries[],MATCH(CountryCleanup[[#This Row],[ISO3]],Countries[ISO3],0),3),"")</f>
        <v>470</v>
      </c>
      <c r="E1099" t="str">
        <f>IFERROR(INDEX(Countries[],MATCH(CountryCleanup[[#This Row],[ISO3]],Countries[ISO3],0),6),"")</f>
        <v>Malta</v>
      </c>
    </row>
    <row r="1100" spans="2:5" x14ac:dyDescent="0.45">
      <c r="B1100" t="s">
        <v>1976</v>
      </c>
      <c r="C1100" t="s">
        <v>875</v>
      </c>
      <c r="D1100">
        <f>IFERROR(INDEX(Countries[],MATCH(CountryCleanup[[#This Row],[ISO3]],Countries[ISO3],0),3),"")</f>
        <v>470</v>
      </c>
      <c r="E1100" t="str">
        <f>IFERROR(INDEX(Countries[],MATCH(CountryCleanup[[#This Row],[ISO3]],Countries[ISO3],0),6),"")</f>
        <v>Malta</v>
      </c>
    </row>
    <row r="1101" spans="2:5" x14ac:dyDescent="0.45">
      <c r="B1101" s="5" t="s">
        <v>1710</v>
      </c>
      <c r="C1101" s="5" t="s">
        <v>879</v>
      </c>
      <c r="D1101">
        <f>IFERROR(INDEX(Countries[],MATCH(CountryCleanup[[#This Row],[ISO3]],Countries[ISO3],0),3),"")</f>
        <v>584</v>
      </c>
      <c r="E1101" t="str">
        <f>IFERROR(INDEX(Countries[],MATCH(CountryCleanup[[#This Row],[ISO3]],Countries[ISO3],0),6),"")</f>
        <v>Marshall Islands (the)</v>
      </c>
    </row>
    <row r="1102" spans="2:5" x14ac:dyDescent="0.45">
      <c r="B1102" t="s">
        <v>1711</v>
      </c>
      <c r="C1102" s="5" t="s">
        <v>879</v>
      </c>
      <c r="D1102">
        <f>IFERROR(INDEX(Countries[],MATCH(CountryCleanup[[#This Row],[ISO3]],Countries[ISO3],0),3),"")</f>
        <v>584</v>
      </c>
      <c r="E1102" t="str">
        <f>IFERROR(INDEX(Countries[],MATCH(CountryCleanup[[#This Row],[ISO3]],Countries[ISO3],0),6),"")</f>
        <v>Marshall Islands (the)</v>
      </c>
    </row>
    <row r="1103" spans="2:5" x14ac:dyDescent="0.45">
      <c r="B1103" t="s">
        <v>2386</v>
      </c>
      <c r="C1103" t="s">
        <v>879</v>
      </c>
      <c r="D1103">
        <f>IFERROR(INDEX(Countries[],MATCH(CountryCleanup[[#This Row],[ISO3]],Countries[ISO3],0),3),"")</f>
        <v>584</v>
      </c>
      <c r="E1103" t="str">
        <f>IFERROR(INDEX(Countries[],MATCH(CountryCleanup[[#This Row],[ISO3]],Countries[ISO3],0),6),"")</f>
        <v>Marshall Islands (the)</v>
      </c>
    </row>
    <row r="1104" spans="2:5" x14ac:dyDescent="0.45">
      <c r="B1104" t="s">
        <v>880</v>
      </c>
      <c r="C1104" t="s">
        <v>879</v>
      </c>
      <c r="D1104">
        <f>IFERROR(INDEX(Countries[],MATCH(CountryCleanup[[#This Row],[ISO3]],Countries[ISO3],0),3),"")</f>
        <v>584</v>
      </c>
      <c r="E1104" t="str">
        <f>IFERROR(INDEX(Countries[],MATCH(CountryCleanup[[#This Row],[ISO3]],Countries[ISO3],0),6),"")</f>
        <v>Marshall Islands (the)</v>
      </c>
    </row>
    <row r="1105" spans="2:5" x14ac:dyDescent="0.45">
      <c r="B1105" t="s">
        <v>885</v>
      </c>
      <c r="C1105" t="s">
        <v>884</v>
      </c>
      <c r="D1105">
        <f>IFERROR(INDEX(Countries[],MATCH(CountryCleanup[[#This Row],[ISO3]],Countries[ISO3],0),3),"")</f>
        <v>474</v>
      </c>
      <c r="E1105" t="str">
        <f>IFERROR(INDEX(Countries[],MATCH(CountryCleanup[[#This Row],[ISO3]],Countries[ISO3],0),6),"")</f>
        <v>Martinique</v>
      </c>
    </row>
    <row r="1106" spans="2:5" x14ac:dyDescent="0.45">
      <c r="B1106" t="s">
        <v>889</v>
      </c>
      <c r="C1106" t="s">
        <v>888</v>
      </c>
      <c r="D1106">
        <f>IFERROR(INDEX(Countries[],MATCH(CountryCleanup[[#This Row],[ISO3]],Countries[ISO3],0),3),"")</f>
        <v>478</v>
      </c>
      <c r="E1106" t="str">
        <f>IFERROR(INDEX(Countries[],MATCH(CountryCleanup[[#This Row],[ISO3]],Countries[ISO3],0),6),"")</f>
        <v>Mauritania</v>
      </c>
    </row>
    <row r="1107" spans="2:5" x14ac:dyDescent="0.45">
      <c r="B1107" t="s">
        <v>894</v>
      </c>
      <c r="C1107" t="s">
        <v>893</v>
      </c>
      <c r="D1107">
        <f>IFERROR(INDEX(Countries[],MATCH(CountryCleanup[[#This Row],[ISO3]],Countries[ISO3],0),3),"")</f>
        <v>480</v>
      </c>
      <c r="E1107" t="str">
        <f>IFERROR(INDEX(Countries[],MATCH(CountryCleanup[[#This Row],[ISO3]],Countries[ISO3],0),6),"")</f>
        <v>Mauritius</v>
      </c>
    </row>
    <row r="1108" spans="2:5" x14ac:dyDescent="0.45">
      <c r="B1108" t="s">
        <v>2287</v>
      </c>
      <c r="C1108" t="s">
        <v>893</v>
      </c>
      <c r="D1108">
        <f>IFERROR(INDEX(Countries[],MATCH(CountryCleanup[[#This Row],[ISO3]],Countries[ISO3],0),3),"")</f>
        <v>480</v>
      </c>
      <c r="E1108" t="str">
        <f>IFERROR(INDEX(Countries[],MATCH(CountryCleanup[[#This Row],[ISO3]],Countries[ISO3],0),6),"")</f>
        <v>Mauritius</v>
      </c>
    </row>
    <row r="1109" spans="2:5" x14ac:dyDescent="0.45">
      <c r="B1109" t="s">
        <v>900</v>
      </c>
      <c r="C1109" t="s">
        <v>899</v>
      </c>
      <c r="D1109">
        <f>IFERROR(INDEX(Countries[],MATCH(CountryCleanup[[#This Row],[ISO3]],Countries[ISO3],0),3),"")</f>
        <v>175</v>
      </c>
      <c r="E1109" t="str">
        <f>IFERROR(INDEX(Countries[],MATCH(CountryCleanup[[#This Row],[ISO3]],Countries[ISO3],0),6),"")</f>
        <v>Mayotte</v>
      </c>
    </row>
    <row r="1110" spans="2:5" x14ac:dyDescent="0.45">
      <c r="B1110" t="s">
        <v>2388</v>
      </c>
      <c r="C1110" t="s">
        <v>899</v>
      </c>
      <c r="D1110">
        <f>IFERROR(INDEX(Countries[],MATCH(CountryCleanup[[#This Row],[ISO3]],Countries[ISO3],0),3),"")</f>
        <v>175</v>
      </c>
      <c r="E1110" t="str">
        <f>IFERROR(INDEX(Countries[],MATCH(CountryCleanup[[#This Row],[ISO3]],Countries[ISO3],0),6),"")</f>
        <v>Mayotte</v>
      </c>
    </row>
    <row r="1111" spans="2:5" x14ac:dyDescent="0.45">
      <c r="B1111" t="s">
        <v>2253</v>
      </c>
      <c r="C1111" t="s">
        <v>346</v>
      </c>
      <c r="D1111">
        <f>IFERROR(INDEX(Countries[],MATCH(CountryCleanup[[#This Row],[ISO3]],Countries[ISO3],0),3),"")</f>
        <v>854</v>
      </c>
      <c r="E1111" t="str">
        <f>IFERROR(INDEX(Countries[],MATCH(CountryCleanup[[#This Row],[ISO3]],Countries[ISO3],0),6),"")</f>
        <v>Burkina Faso</v>
      </c>
    </row>
    <row r="1112" spans="2:5" x14ac:dyDescent="0.45">
      <c r="B1112" t="s">
        <v>2262</v>
      </c>
      <c r="C1112" t="s">
        <v>391</v>
      </c>
      <c r="D1112">
        <f>IFERROR(INDEX(Countries[],MATCH(CountryCleanup[[#This Row],[ISO3]],Countries[ISO3],0),3),"")</f>
        <v>148</v>
      </c>
      <c r="E1112" t="str">
        <f>IFERROR(INDEX(Countries[],MATCH(CountryCleanup[[#This Row],[ISO3]],Countries[ISO3],0),6),"")</f>
        <v>Chad</v>
      </c>
    </row>
    <row r="1113" spans="2:5" x14ac:dyDescent="0.45">
      <c r="B1113" t="s">
        <v>1712</v>
      </c>
      <c r="C1113" s="3" t="s">
        <v>1108</v>
      </c>
      <c r="D1113">
        <f>IFERROR(INDEX(Countries[],MATCH(CountryCleanup[[#This Row],[ISO3]],Countries[ISO3],0),3),"")</f>
        <v>99038</v>
      </c>
      <c r="E1113" t="str">
        <f>IFERROR(INDEX(Countries[],MATCH(CountryCleanup[[#This Row],[ISO3]],Countries[ISO3],0),6),"")</f>
        <v>Residual/unallocated: Oceania excl. Aus. and N. Zealand</v>
      </c>
    </row>
    <row r="1114" spans="2:5" x14ac:dyDescent="0.45">
      <c r="B1114" t="s">
        <v>2890</v>
      </c>
      <c r="C1114" t="s">
        <v>346</v>
      </c>
      <c r="D1114">
        <f>IFERROR(INDEX(Countries[],MATCH(CountryCleanup[[#This Row],[ISO3]],Countries[ISO3],0),3),"")</f>
        <v>854</v>
      </c>
      <c r="E1114" t="str">
        <f>IFERROR(INDEX(Countries[],MATCH(CountryCleanup[[#This Row],[ISO3]],Countries[ISO3],0),6),"")</f>
        <v>Burkina Faso</v>
      </c>
    </row>
    <row r="1115" spans="2:5" x14ac:dyDescent="0.45">
      <c r="B1115" t="s">
        <v>2891</v>
      </c>
      <c r="C1115" s="3" t="s">
        <v>391</v>
      </c>
      <c r="D1115">
        <f>IFERROR(INDEX(Countries[],MATCH(CountryCleanup[[#This Row],[ISO3]],Countries[ISO3],0),3),"")</f>
        <v>148</v>
      </c>
      <c r="E1115" t="str">
        <f>IFERROR(INDEX(Countries[],MATCH(CountryCleanup[[#This Row],[ISO3]],Countries[ISO3],0),6),"")</f>
        <v>Chad</v>
      </c>
    </row>
    <row r="1116" spans="2:5" x14ac:dyDescent="0.45">
      <c r="B1116" t="s">
        <v>1713</v>
      </c>
      <c r="C1116" t="s">
        <v>649</v>
      </c>
      <c r="D1116">
        <f>IFERROR(INDEX(Countries[],MATCH(CountryCleanup[[#This Row],[ISO3]],Countries[ISO3],0),3),"")</f>
        <v>304</v>
      </c>
      <c r="E1116" t="str">
        <f>IFERROR(INDEX(Countries[],MATCH(CountryCleanup[[#This Row],[ISO3]],Countries[ISO3],0),6),"")</f>
        <v>Greenland</v>
      </c>
    </row>
    <row r="1117" spans="2:5" x14ac:dyDescent="0.45">
      <c r="B1117" t="s">
        <v>2893</v>
      </c>
      <c r="C1117" s="3" t="s">
        <v>871</v>
      </c>
      <c r="D1117">
        <f>IFERROR(INDEX(Countries[],MATCH(CountryCleanup[[#This Row],[ISO3]],Countries[ISO3],0),3),"")</f>
        <v>466</v>
      </c>
      <c r="E1117" t="str">
        <f>IFERROR(INDEX(Countries[],MATCH(CountryCleanup[[#This Row],[ISO3]],Countries[ISO3],0),6),"")</f>
        <v>Mali</v>
      </c>
    </row>
    <row r="1118" spans="2:5" x14ac:dyDescent="0.45">
      <c r="B1118" t="s">
        <v>2892</v>
      </c>
      <c r="C1118" s="3" t="s">
        <v>888</v>
      </c>
      <c r="D1118">
        <f>IFERROR(INDEX(Countries[],MATCH(CountryCleanup[[#This Row],[ISO3]],Countries[ISO3],0),3),"")</f>
        <v>478</v>
      </c>
      <c r="E1118" t="str">
        <f>IFERROR(INDEX(Countries[],MATCH(CountryCleanup[[#This Row],[ISO3]],Countries[ISO3],0),6),"")</f>
        <v>Mauritania</v>
      </c>
    </row>
    <row r="1119" spans="2:5" x14ac:dyDescent="0.45">
      <c r="B1119" t="s">
        <v>2894</v>
      </c>
      <c r="C1119" s="3" t="s">
        <v>1280</v>
      </c>
      <c r="D1119">
        <f>IFERROR(INDEX(Countries[],MATCH(CountryCleanup[[#This Row],[ISO3]],Countries[ISO3],0),3),"")</f>
        <v>275</v>
      </c>
      <c r="E1119" t="str">
        <f>IFERROR(INDEX(Countries[],MATCH(CountryCleanup[[#This Row],[ISO3]],Countries[ISO3],0),6),"")</f>
        <v>State of Palestine (the)</v>
      </c>
    </row>
    <row r="1120" spans="2:5" x14ac:dyDescent="0.45">
      <c r="B1120" t="s">
        <v>903</v>
      </c>
      <c r="C1120" t="s">
        <v>902</v>
      </c>
      <c r="D1120">
        <f>IFERROR(INDEX(Countries[],MATCH(CountryCleanup[[#This Row],[ISO3]],Countries[ISO3],0),3),"")</f>
        <v>484</v>
      </c>
      <c r="E1120" t="str">
        <f>IFERROR(INDEX(Countries[],MATCH(CountryCleanup[[#This Row],[ISO3]],Countries[ISO3],0),6),"")</f>
        <v>Mexico</v>
      </c>
    </row>
    <row r="1121" spans="2:5" x14ac:dyDescent="0.45">
      <c r="B1121" t="s">
        <v>1977</v>
      </c>
      <c r="C1121" t="s">
        <v>902</v>
      </c>
      <c r="D1121">
        <f>IFERROR(INDEX(Countries[],MATCH(CountryCleanup[[#This Row],[ISO3]],Countries[ISO3],0),3),"")</f>
        <v>484</v>
      </c>
      <c r="E1121" t="str">
        <f>IFERROR(INDEX(Countries[],MATCH(CountryCleanup[[#This Row],[ISO3]],Countries[ISO3],0),6),"")</f>
        <v>Mexico</v>
      </c>
    </row>
    <row r="1122" spans="2:5" x14ac:dyDescent="0.45">
      <c r="B1122" t="s">
        <v>2191</v>
      </c>
      <c r="C1122" t="s">
        <v>2300</v>
      </c>
      <c r="D1122">
        <f>IFERROR(INDEX(Countries[],MATCH(CountryCleanup[[#This Row],[ISO3]],Countries[ISO3],0),3),"")</f>
        <v>99912</v>
      </c>
      <c r="E1122" t="str">
        <f>IFERROR(INDEX(Countries[],MATCH(CountryCleanup[[#This Row],[ISO3]],Countries[ISO3],0),6),"")</f>
        <v>G20 Countries</v>
      </c>
    </row>
    <row r="1123" spans="2:5" x14ac:dyDescent="0.45">
      <c r="B1123" t="s">
        <v>2193</v>
      </c>
      <c r="C1123" t="s">
        <v>2305</v>
      </c>
      <c r="D1123">
        <f>IFERROR(INDEX(Countries[],MATCH(CountryCleanup[[#This Row],[ISO3]],Countries[ISO3],0),3),"")</f>
        <v>99914</v>
      </c>
      <c r="E1123" t="str">
        <f>IFERROR(INDEX(Countries[],MATCH(CountryCleanup[[#This Row],[ISO3]],Countries[ISO3],0),6),"")</f>
        <v>G7 Countries</v>
      </c>
    </row>
    <row r="1124" spans="2:5" x14ac:dyDescent="0.45">
      <c r="B1124" t="s">
        <v>2192</v>
      </c>
      <c r="C1124" t="s">
        <v>2304</v>
      </c>
      <c r="D1124">
        <f>IFERROR(INDEX(Countries[],MATCH(CountryCleanup[[#This Row],[ISO3]],Countries[ISO3],0),3),"")</f>
        <v>99913</v>
      </c>
      <c r="E1124" t="str">
        <f>IFERROR(INDEX(Countries[],MATCH(CountryCleanup[[#This Row],[ISO3]],Countries[ISO3],0),6),"")</f>
        <v>G8 Countries</v>
      </c>
    </row>
    <row r="1125" spans="2:5" x14ac:dyDescent="0.45">
      <c r="B1125" t="s">
        <v>2293</v>
      </c>
      <c r="C1125" t="s">
        <v>649</v>
      </c>
      <c r="D1125">
        <f>IFERROR(INDEX(Countries[],MATCH(CountryCleanup[[#This Row],[ISO3]],Countries[ISO3],0),3),"")</f>
        <v>304</v>
      </c>
      <c r="E1125" t="str">
        <f>IFERROR(INDEX(Countries[],MATCH(CountryCleanup[[#This Row],[ISO3]],Countries[ISO3],0),6),"")</f>
        <v>Greenland</v>
      </c>
    </row>
    <row r="1126" spans="2:5" x14ac:dyDescent="0.45">
      <c r="B1126" t="s">
        <v>665</v>
      </c>
      <c r="C1126" t="s">
        <v>908</v>
      </c>
      <c r="D1126">
        <f>IFERROR(INDEX(Countries[],MATCH(CountryCleanup[[#This Row],[ISO3]],Countries[ISO3],0),3),"")</f>
        <v>583</v>
      </c>
      <c r="E1126" t="str">
        <f>IFERROR(INDEX(Countries[],MATCH(CountryCleanup[[#This Row],[ISO3]],Countries[ISO3],0),6),"")</f>
        <v>Micronesia (Federated States of)</v>
      </c>
    </row>
    <row r="1127" spans="2:5" x14ac:dyDescent="0.45">
      <c r="B1127" t="s">
        <v>1714</v>
      </c>
      <c r="C1127" t="s">
        <v>908</v>
      </c>
      <c r="D1127">
        <f>IFERROR(INDEX(Countries[],MATCH(CountryCleanup[[#This Row],[ISO3]],Countries[ISO3],0),3),"")</f>
        <v>583</v>
      </c>
      <c r="E1127" t="str">
        <f>IFERROR(INDEX(Countries[],MATCH(CountryCleanup[[#This Row],[ISO3]],Countries[ISO3],0),6),"")</f>
        <v>Micronesia (Federated States of)</v>
      </c>
    </row>
    <row r="1128" spans="2:5" x14ac:dyDescent="0.45">
      <c r="B1128" t="s">
        <v>909</v>
      </c>
      <c r="C1128" t="s">
        <v>908</v>
      </c>
      <c r="D1128">
        <f>IFERROR(INDEX(Countries[],MATCH(CountryCleanup[[#This Row],[ISO3]],Countries[ISO3],0),3),"")</f>
        <v>583</v>
      </c>
      <c r="E1128" t="str">
        <f>IFERROR(INDEX(Countries[],MATCH(CountryCleanup[[#This Row],[ISO3]],Countries[ISO3],0),6),"")</f>
        <v>Micronesia (Federated States of)</v>
      </c>
    </row>
    <row r="1129" spans="2:5" x14ac:dyDescent="0.45">
      <c r="B1129" t="s">
        <v>1715</v>
      </c>
      <c r="C1129" t="s">
        <v>908</v>
      </c>
      <c r="D1129">
        <f>IFERROR(INDEX(Countries[],MATCH(CountryCleanup[[#This Row],[ISO3]],Countries[ISO3],0),3),"")</f>
        <v>583</v>
      </c>
      <c r="E1129" t="str">
        <f>IFERROR(INDEX(Countries[],MATCH(CountryCleanup[[#This Row],[ISO3]],Countries[ISO3],0),6),"")</f>
        <v>Micronesia (Federated States of)</v>
      </c>
    </row>
    <row r="1130" spans="2:5" x14ac:dyDescent="0.45">
      <c r="B1130" t="s">
        <v>2432</v>
      </c>
      <c r="C1130" t="s">
        <v>908</v>
      </c>
      <c r="D1130">
        <f>IFERROR(INDEX(Countries[],MATCH(CountryCleanup[[#This Row],[ISO3]],Countries[ISO3],0),3),"")</f>
        <v>583</v>
      </c>
      <c r="E1130" t="str">
        <f>IFERROR(INDEX(Countries[],MATCH(CountryCleanup[[#This Row],[ISO3]],Countries[ISO3],0),6),"")</f>
        <v>Micronesia (Federated States of)</v>
      </c>
    </row>
    <row r="1131" spans="2:5" x14ac:dyDescent="0.45">
      <c r="B1131" t="s">
        <v>1716</v>
      </c>
      <c r="C1131" t="s">
        <v>1108</v>
      </c>
      <c r="D1131">
        <f>IFERROR(INDEX(Countries[],MATCH(CountryCleanup[[#This Row],[ISO3]],Countries[ISO3],0),3),"")</f>
        <v>99038</v>
      </c>
      <c r="E1131" t="str">
        <f>IFERROR(INDEX(Countries[],MATCH(CountryCleanup[[#This Row],[ISO3]],Countries[ISO3],0),6),"")</f>
        <v>Residual/unallocated: Oceania excl. Aus. and N. Zealand</v>
      </c>
    </row>
    <row r="1132" spans="2:5" x14ac:dyDescent="0.45">
      <c r="B1132" t="s">
        <v>240</v>
      </c>
      <c r="C1132" t="s">
        <v>1115</v>
      </c>
      <c r="D1132">
        <f>IFERROR(INDEX(Countries[],MATCH(CountryCleanup[[#This Row],[ISO3]],Countries[ISO3],0),3),"")</f>
        <v>99040</v>
      </c>
      <c r="E1132" t="str">
        <f>IFERROR(INDEX(Countries[],MATCH(CountryCleanup[[#This Row],[ISO3]],Countries[ISO3],0),6),"")</f>
        <v>Residual/unallocated: Western Asia and Northern Africa</v>
      </c>
    </row>
    <row r="1133" spans="2:5" x14ac:dyDescent="0.45">
      <c r="B1133" t="s">
        <v>1717</v>
      </c>
      <c r="C1133" t="s">
        <v>1115</v>
      </c>
      <c r="D1133">
        <f>IFERROR(INDEX(Countries[],MATCH(CountryCleanup[[#This Row],[ISO3]],Countries[ISO3],0),3),"")</f>
        <v>99040</v>
      </c>
      <c r="E1133" t="str">
        <f>IFERROR(INDEX(Countries[],MATCH(CountryCleanup[[#This Row],[ISO3]],Countries[ISO3],0),6),"")</f>
        <v>Residual/unallocated: Western Asia and Northern Africa</v>
      </c>
    </row>
    <row r="1134" spans="2:5" x14ac:dyDescent="0.45">
      <c r="B1134" t="s">
        <v>2198</v>
      </c>
      <c r="C1134" t="s">
        <v>1115</v>
      </c>
      <c r="D1134">
        <f>IFERROR(INDEX(Countries[],MATCH(CountryCleanup[[#This Row],[ISO3]],Countries[ISO3],0),3),"")</f>
        <v>99040</v>
      </c>
      <c r="E1134" t="str">
        <f>IFERROR(INDEX(Countries[],MATCH(CountryCleanup[[#This Row],[ISO3]],Countries[ISO3],0),6),"")</f>
        <v>Residual/unallocated: Western Asia and Northern Africa</v>
      </c>
    </row>
    <row r="1135" spans="2:5" x14ac:dyDescent="0.45">
      <c r="B1135" t="s">
        <v>1718</v>
      </c>
      <c r="C1135" s="3" t="s">
        <v>1401</v>
      </c>
      <c r="D1135">
        <f>IFERROR(INDEX(Countries[],MATCH(CountryCleanup[[#This Row],[ISO3]],Countries[ISO3],0),3),"")</f>
        <v>581</v>
      </c>
      <c r="E1135" t="str">
        <f>IFERROR(INDEX(Countries[],MATCH(CountryCleanup[[#This Row],[ISO3]],Countries[ISO3],0),6),"")</f>
        <v>United States minor outlying islands</v>
      </c>
    </row>
    <row r="1136" spans="2:5" x14ac:dyDescent="0.45">
      <c r="B1136" t="s">
        <v>2257</v>
      </c>
      <c r="C1136" t="s">
        <v>871</v>
      </c>
      <c r="D1136">
        <f>IFERROR(INDEX(Countries[],MATCH(CountryCleanup[[#This Row],[ISO3]],Countries[ISO3],0),3),"")</f>
        <v>466</v>
      </c>
      <c r="E1136" t="str">
        <f>IFERROR(INDEX(Countries[],MATCH(CountryCleanup[[#This Row],[ISO3]],Countries[ISO3],0),6),"")</f>
        <v>Mali</v>
      </c>
    </row>
    <row r="1137" spans="2:5" x14ac:dyDescent="0.45">
      <c r="B1137" t="s">
        <v>2282</v>
      </c>
      <c r="C1137" t="s">
        <v>888</v>
      </c>
      <c r="D1137">
        <f>IFERROR(INDEX(Countries[],MATCH(CountryCleanup[[#This Row],[ISO3]],Countries[ISO3],0),3),"")</f>
        <v>478</v>
      </c>
      <c r="E1137" t="str">
        <f>IFERROR(INDEX(Countries[],MATCH(CountryCleanup[[#This Row],[ISO3]],Countries[ISO3],0),6),"")</f>
        <v>Mauritania</v>
      </c>
    </row>
    <row r="1138" spans="2:5" x14ac:dyDescent="0.45">
      <c r="B1138" t="s">
        <v>1719</v>
      </c>
      <c r="C1138" t="s">
        <v>1084</v>
      </c>
      <c r="D1138">
        <f>IFERROR(INDEX(Countries[],MATCH(CountryCleanup[[#This Row],[ISO3]],Countries[ISO3],0),3),"")</f>
        <v>498</v>
      </c>
      <c r="E1138" t="str">
        <f>IFERROR(INDEX(Countries[],MATCH(CountryCleanup[[#This Row],[ISO3]],Countries[ISO3],0),6),"")</f>
        <v>Republic of Moldova (the)</v>
      </c>
    </row>
    <row r="1139" spans="2:5" x14ac:dyDescent="0.45">
      <c r="B1139" t="s">
        <v>1998</v>
      </c>
      <c r="C1139" s="3" t="s">
        <v>1084</v>
      </c>
      <c r="D1139">
        <f>IFERROR(INDEX(Countries[],MATCH(CountryCleanup[[#This Row],[ISO3]],Countries[ISO3],0),3),"")</f>
        <v>498</v>
      </c>
      <c r="E1139" t="str">
        <f>IFERROR(INDEX(Countries[],MATCH(CountryCleanup[[#This Row],[ISO3]],Countries[ISO3],0),6),"")</f>
        <v>Republic of Moldova (the)</v>
      </c>
    </row>
    <row r="1140" spans="2:5" x14ac:dyDescent="0.45">
      <c r="B1140" s="9" t="s">
        <v>1720</v>
      </c>
      <c r="C1140" t="s">
        <v>1084</v>
      </c>
      <c r="D1140">
        <f>IFERROR(INDEX(Countries[],MATCH(CountryCleanup[[#This Row],[ISO3]],Countries[ISO3],0),3),"")</f>
        <v>498</v>
      </c>
      <c r="E1140" t="str">
        <f>IFERROR(INDEX(Countries[],MATCH(CountryCleanup[[#This Row],[ISO3]],Countries[ISO3],0),6),"")</f>
        <v>Republic of Moldova (the)</v>
      </c>
    </row>
    <row r="1141" spans="2:5" x14ac:dyDescent="0.45">
      <c r="B1141" s="5" t="s">
        <v>1721</v>
      </c>
      <c r="C1141" s="5" t="s">
        <v>1084</v>
      </c>
      <c r="D1141">
        <f>IFERROR(INDEX(Countries[],MATCH(CountryCleanup[[#This Row],[ISO3]],Countries[ISO3],0),3),"")</f>
        <v>498</v>
      </c>
      <c r="E1141" t="str">
        <f>IFERROR(INDEX(Countries[],MATCH(CountryCleanup[[#This Row],[ISO3]],Countries[ISO3],0),6),"")</f>
        <v>Republic of Moldova (the)</v>
      </c>
    </row>
    <row r="1142" spans="2:5" x14ac:dyDescent="0.45">
      <c r="B1142" t="s">
        <v>2433</v>
      </c>
      <c r="C1142" s="5" t="s">
        <v>1084</v>
      </c>
      <c r="D1142">
        <f>IFERROR(INDEX(Countries[],MATCH(CountryCleanup[[#This Row],[ISO3]],Countries[ISO3],0),3),"")</f>
        <v>498</v>
      </c>
      <c r="E1142" t="str">
        <f>IFERROR(INDEX(Countries[],MATCH(CountryCleanup[[#This Row],[ISO3]],Countries[ISO3],0),6),"")</f>
        <v>Republic of Moldova (the)</v>
      </c>
    </row>
    <row r="1143" spans="2:5" x14ac:dyDescent="0.45">
      <c r="B1143" t="s">
        <v>916</v>
      </c>
      <c r="C1143" t="s">
        <v>915</v>
      </c>
      <c r="D1143">
        <f>IFERROR(INDEX(Countries[],MATCH(CountryCleanup[[#This Row],[ISO3]],Countries[ISO3],0),3),"")</f>
        <v>492</v>
      </c>
      <c r="E1143" t="str">
        <f>IFERROR(INDEX(Countries[],MATCH(CountryCleanup[[#This Row],[ISO3]],Countries[ISO3],0),6),"")</f>
        <v>Monaco</v>
      </c>
    </row>
    <row r="1144" spans="2:5" x14ac:dyDescent="0.45">
      <c r="B1144" t="s">
        <v>920</v>
      </c>
      <c r="C1144" t="s">
        <v>919</v>
      </c>
      <c r="D1144">
        <f>IFERROR(INDEX(Countries[],MATCH(CountryCleanup[[#This Row],[ISO3]],Countries[ISO3],0),3),"")</f>
        <v>496</v>
      </c>
      <c r="E1144" t="str">
        <f>IFERROR(INDEX(Countries[],MATCH(CountryCleanup[[#This Row],[ISO3]],Countries[ISO3],0),6),"")</f>
        <v>Mongolia</v>
      </c>
    </row>
    <row r="1145" spans="2:5" x14ac:dyDescent="0.45">
      <c r="B1145" t="s">
        <v>2279</v>
      </c>
      <c r="C1145" t="s">
        <v>919</v>
      </c>
      <c r="D1145">
        <f>IFERROR(INDEX(Countries[],MATCH(CountryCleanup[[#This Row],[ISO3]],Countries[ISO3],0),3),"")</f>
        <v>496</v>
      </c>
      <c r="E1145" t="str">
        <f>IFERROR(INDEX(Countries[],MATCH(CountryCleanup[[#This Row],[ISO3]],Countries[ISO3],0),6),"")</f>
        <v>Mongolia</v>
      </c>
    </row>
    <row r="1146" spans="2:5" x14ac:dyDescent="0.45">
      <c r="B1146" t="s">
        <v>925</v>
      </c>
      <c r="C1146" t="s">
        <v>924</v>
      </c>
      <c r="D1146">
        <f>IFERROR(INDEX(Countries[],MATCH(CountryCleanup[[#This Row],[ISO3]],Countries[ISO3],0),3),"")</f>
        <v>499</v>
      </c>
      <c r="E1146" t="str">
        <f>IFERROR(INDEX(Countries[],MATCH(CountryCleanup[[#This Row],[ISO3]],Countries[ISO3],0),6),"")</f>
        <v>Montenegro</v>
      </c>
    </row>
    <row r="1147" spans="2:5" x14ac:dyDescent="0.45">
      <c r="B1147" t="s">
        <v>1999</v>
      </c>
      <c r="C1147" s="3" t="s">
        <v>924</v>
      </c>
      <c r="D1147">
        <f>IFERROR(INDEX(Countries[],MATCH(CountryCleanup[[#This Row],[ISO3]],Countries[ISO3],0),3),"")</f>
        <v>499</v>
      </c>
      <c r="E1147" t="str">
        <f>IFERROR(INDEX(Countries[],MATCH(CountryCleanup[[#This Row],[ISO3]],Countries[ISO3],0),6),"")</f>
        <v>Montenegro</v>
      </c>
    </row>
    <row r="1148" spans="2:5" x14ac:dyDescent="0.45">
      <c r="B1148" t="s">
        <v>2754</v>
      </c>
      <c r="C1148" s="3" t="s">
        <v>924</v>
      </c>
      <c r="D1148">
        <f>IFERROR(INDEX(Countries[],MATCH(CountryCleanup[[#This Row],[ISO3]],Countries[ISO3],0),3),"")</f>
        <v>499</v>
      </c>
      <c r="E1148" t="str">
        <f>IFERROR(INDEX(Countries[],MATCH(CountryCleanup[[#This Row],[ISO3]],Countries[ISO3],0),6),"")</f>
        <v>Montenegro</v>
      </c>
    </row>
    <row r="1149" spans="2:5" x14ac:dyDescent="0.45">
      <c r="B1149" t="s">
        <v>929</v>
      </c>
      <c r="C1149" t="s">
        <v>928</v>
      </c>
      <c r="D1149">
        <f>IFERROR(INDEX(Countries[],MATCH(CountryCleanup[[#This Row],[ISO3]],Countries[ISO3],0),3),"")</f>
        <v>500</v>
      </c>
      <c r="E1149" t="str">
        <f>IFERROR(INDEX(Countries[],MATCH(CountryCleanup[[#This Row],[ISO3]],Countries[ISO3],0),6),"")</f>
        <v>Montserrat</v>
      </c>
    </row>
    <row r="1150" spans="2:5" x14ac:dyDescent="0.45">
      <c r="B1150" t="s">
        <v>932</v>
      </c>
      <c r="C1150" t="s">
        <v>931</v>
      </c>
      <c r="D1150">
        <f>IFERROR(INDEX(Countries[],MATCH(CountryCleanup[[#This Row],[ISO3]],Countries[ISO3],0),3),"")</f>
        <v>504</v>
      </c>
      <c r="E1150" t="str">
        <f>IFERROR(INDEX(Countries[],MATCH(CountryCleanup[[#This Row],[ISO3]],Countries[ISO3],0),6),"")</f>
        <v>Morocco</v>
      </c>
    </row>
    <row r="1151" spans="2:5" x14ac:dyDescent="0.45">
      <c r="B1151" t="s">
        <v>2233</v>
      </c>
      <c r="C1151" t="s">
        <v>931</v>
      </c>
      <c r="D1151">
        <f>IFERROR(INDEX(Countries[],MATCH(CountryCleanup[[#This Row],[ISO3]],Countries[ISO3],0),3),"")</f>
        <v>504</v>
      </c>
      <c r="E1151" t="str">
        <f>IFERROR(INDEX(Countries[],MATCH(CountryCleanup[[#This Row],[ISO3]],Countries[ISO3],0),6),"")</f>
        <v>Morocco</v>
      </c>
    </row>
    <row r="1152" spans="2:5" x14ac:dyDescent="0.45">
      <c r="B1152" t="s">
        <v>938</v>
      </c>
      <c r="C1152" t="s">
        <v>937</v>
      </c>
      <c r="D1152">
        <f>IFERROR(INDEX(Countries[],MATCH(CountryCleanup[[#This Row],[ISO3]],Countries[ISO3],0),3),"")</f>
        <v>508</v>
      </c>
      <c r="E1152" t="str">
        <f>IFERROR(INDEX(Countries[],MATCH(CountryCleanup[[#This Row],[ISO3]],Countries[ISO3],0),6),"")</f>
        <v>Mozambique</v>
      </c>
    </row>
    <row r="1153" spans="2:5" x14ac:dyDescent="0.45">
      <c r="B1153" t="s">
        <v>1722</v>
      </c>
      <c r="C1153" t="s">
        <v>937</v>
      </c>
      <c r="D1153">
        <f>IFERROR(INDEX(Countries[],MATCH(CountryCleanup[[#This Row],[ISO3]],Countries[ISO3],0),3),"")</f>
        <v>508</v>
      </c>
      <c r="E1153" t="str">
        <f>IFERROR(INDEX(Countries[],MATCH(CountryCleanup[[#This Row],[ISO3]],Countries[ISO3],0),6),"")</f>
        <v>Mozambique</v>
      </c>
    </row>
    <row r="1154" spans="2:5" x14ac:dyDescent="0.45">
      <c r="B1154" t="s">
        <v>2281</v>
      </c>
      <c r="C1154" t="s">
        <v>1280</v>
      </c>
      <c r="D1154">
        <f>IFERROR(INDEX(Countries[],MATCH(CountryCleanup[[#This Row],[ISO3]],Countries[ISO3],0),3),"")</f>
        <v>275</v>
      </c>
      <c r="E1154" t="str">
        <f>IFERROR(INDEX(Countries[],MATCH(CountryCleanup[[#This Row],[ISO3]],Countries[ISO3],0),6),"")</f>
        <v>State of Palestine (the)</v>
      </c>
    </row>
    <row r="1155" spans="2:5" x14ac:dyDescent="0.45">
      <c r="B1155" s="5" t="s">
        <v>185</v>
      </c>
      <c r="C1155" s="5" t="s">
        <v>940</v>
      </c>
      <c r="D1155">
        <f>IFERROR(INDEX(Countries[],MATCH(CountryCleanup[[#This Row],[ISO3]],Countries[ISO3],0),3),"")</f>
        <v>99909</v>
      </c>
      <c r="E1155" t="str">
        <f>IFERROR(INDEX(Countries[],MATCH(CountryCleanup[[#This Row],[ISO3]],Countries[ISO3],0),6),"")</f>
        <v>Multilateral</v>
      </c>
    </row>
    <row r="1156" spans="2:5" x14ac:dyDescent="0.45">
      <c r="B1156" t="s">
        <v>2925</v>
      </c>
      <c r="C1156" t="s">
        <v>1892</v>
      </c>
      <c r="D1156">
        <f>IFERROR(INDEX(Countries[],MATCH(CountryCleanup[[#This Row],[ISO3]],Countries[ISO3],0),3),"")</f>
        <v>99051</v>
      </c>
      <c r="E1156" t="str">
        <f>IFERROR(INDEX(Countries[],MATCH(CountryCleanup[[#This Row],[ISO3]],Countries[ISO3],0),6),"")</f>
        <v>Residual/unallocated: Europe</v>
      </c>
    </row>
    <row r="1157" spans="2:5" x14ac:dyDescent="0.45">
      <c r="B1157" t="s">
        <v>945</v>
      </c>
      <c r="C1157" t="s">
        <v>944</v>
      </c>
      <c r="D1157">
        <f>IFERROR(INDEX(Countries[],MATCH(CountryCleanup[[#This Row],[ISO3]],Countries[ISO3],0),3),"")</f>
        <v>104</v>
      </c>
      <c r="E1157" t="str">
        <f>IFERROR(INDEX(Countries[],MATCH(CountryCleanup[[#This Row],[ISO3]],Countries[ISO3],0),6),"")</f>
        <v>Myanmar</v>
      </c>
    </row>
    <row r="1158" spans="2:5" x14ac:dyDescent="0.45">
      <c r="B1158" t="s">
        <v>2218</v>
      </c>
      <c r="C1158" t="s">
        <v>944</v>
      </c>
      <c r="D1158">
        <f>IFERROR(INDEX(Countries[],MATCH(CountryCleanup[[#This Row],[ISO3]],Countries[ISO3],0),3),"")</f>
        <v>104</v>
      </c>
      <c r="E1158" t="str">
        <f>IFERROR(INDEX(Countries[],MATCH(CountryCleanup[[#This Row],[ISO3]],Countries[ISO3],0),6),"")</f>
        <v>Myanmar</v>
      </c>
    </row>
    <row r="1159" spans="2:5" x14ac:dyDescent="0.45">
      <c r="B1159" t="s">
        <v>2862</v>
      </c>
      <c r="C1159" t="s">
        <v>944</v>
      </c>
      <c r="D1159">
        <f>IFERROR(INDEX(Countries[],MATCH(CountryCleanup[[#This Row],[ISO3]],Countries[ISO3],0),3),"")</f>
        <v>104</v>
      </c>
      <c r="E1159" t="str">
        <f>IFERROR(INDEX(Countries[],MATCH(CountryCleanup[[#This Row],[ISO3]],Countries[ISO3],0),6),"")</f>
        <v>Myanmar</v>
      </c>
    </row>
    <row r="1160" spans="2:5" x14ac:dyDescent="0.45">
      <c r="B1160" s="9" t="s">
        <v>1723</v>
      </c>
      <c r="C1160" t="s">
        <v>944</v>
      </c>
      <c r="D1160">
        <f>IFERROR(INDEX(Countries[],MATCH(CountryCleanup[[#This Row],[ISO3]],Countries[ISO3],0),3),"")</f>
        <v>104</v>
      </c>
      <c r="E1160" t="str">
        <f>IFERROR(INDEX(Countries[],MATCH(CountryCleanup[[#This Row],[ISO3]],Countries[ISO3],0),6),"")</f>
        <v>Myanmar</v>
      </c>
    </row>
    <row r="1161" spans="2:5" x14ac:dyDescent="0.45">
      <c r="B1161" t="s">
        <v>2387</v>
      </c>
      <c r="C1161" t="s">
        <v>1002</v>
      </c>
      <c r="D1161">
        <f>IFERROR(INDEX(Countries[],MATCH(CountryCleanup[[#This Row],[ISO3]],Countries[ISO3],0),3),"")</f>
        <v>580</v>
      </c>
      <c r="E1161" t="str">
        <f>IFERROR(INDEX(Countries[],MATCH(CountryCleanup[[#This Row],[ISO3]],Countries[ISO3],0),6),"")</f>
        <v>Northern Mariana Islands</v>
      </c>
    </row>
    <row r="1162" spans="2:5" x14ac:dyDescent="0.45">
      <c r="B1162" t="s">
        <v>949</v>
      </c>
      <c r="C1162" t="s">
        <v>948</v>
      </c>
      <c r="D1162">
        <f>IFERROR(INDEX(Countries[],MATCH(CountryCleanup[[#This Row],[ISO3]],Countries[ISO3],0),3),"")</f>
        <v>516</v>
      </c>
      <c r="E1162" t="str">
        <f>IFERROR(INDEX(Countries[],MATCH(CountryCleanup[[#This Row],[ISO3]],Countries[ISO3],0),6),"")</f>
        <v>Namibia</v>
      </c>
    </row>
    <row r="1163" spans="2:5" x14ac:dyDescent="0.45">
      <c r="B1163" t="s">
        <v>2277</v>
      </c>
      <c r="C1163" t="s">
        <v>948</v>
      </c>
      <c r="D1163">
        <f>IFERROR(INDEX(Countries[],MATCH(CountryCleanup[[#This Row],[ISO3]],Countries[ISO3],0),3),"")</f>
        <v>516</v>
      </c>
      <c r="E1163" t="str">
        <f>IFERROR(INDEX(Countries[],MATCH(CountryCleanup[[#This Row],[ISO3]],Countries[ISO3],0),6),"")</f>
        <v>Namibia</v>
      </c>
    </row>
    <row r="1164" spans="2:5" x14ac:dyDescent="0.45">
      <c r="B1164" t="s">
        <v>954</v>
      </c>
      <c r="C1164" t="s">
        <v>953</v>
      </c>
      <c r="D1164">
        <f>IFERROR(INDEX(Countries[],MATCH(CountryCleanup[[#This Row],[ISO3]],Countries[ISO3],0),3),"")</f>
        <v>520</v>
      </c>
      <c r="E1164" t="str">
        <f>IFERROR(INDEX(Countries[],MATCH(CountryCleanup[[#This Row],[ISO3]],Countries[ISO3],0),6),"")</f>
        <v>Nauru</v>
      </c>
    </row>
    <row r="1165" spans="2:5" x14ac:dyDescent="0.45">
      <c r="B1165" t="s">
        <v>957</v>
      </c>
      <c r="C1165" t="s">
        <v>956</v>
      </c>
      <c r="D1165">
        <f>IFERROR(INDEX(Countries[],MATCH(CountryCleanup[[#This Row],[ISO3]],Countries[ISO3],0),3),"")</f>
        <v>524</v>
      </c>
      <c r="E1165" t="str">
        <f>IFERROR(INDEX(Countries[],MATCH(CountryCleanup[[#This Row],[ISO3]],Countries[ISO3],0),6),"")</f>
        <v>Nepal</v>
      </c>
    </row>
    <row r="1166" spans="2:5" x14ac:dyDescent="0.45">
      <c r="B1166" t="s">
        <v>2221</v>
      </c>
      <c r="C1166" t="s">
        <v>956</v>
      </c>
      <c r="D1166">
        <f>IFERROR(INDEX(Countries[],MATCH(CountryCleanup[[#This Row],[ISO3]],Countries[ISO3],0),3),"")</f>
        <v>524</v>
      </c>
      <c r="E1166" t="str">
        <f>IFERROR(INDEX(Countries[],MATCH(CountryCleanup[[#This Row],[ISO3]],Countries[ISO3],0),6),"")</f>
        <v>Nepal</v>
      </c>
    </row>
    <row r="1167" spans="2:5" x14ac:dyDescent="0.45">
      <c r="B1167" t="s">
        <v>962</v>
      </c>
      <c r="C1167" t="s">
        <v>961</v>
      </c>
      <c r="D1167">
        <f>IFERROR(INDEX(Countries[],MATCH(CountryCleanup[[#This Row],[ISO3]],Countries[ISO3],0),3),"")</f>
        <v>528</v>
      </c>
      <c r="E1167" t="str">
        <f>IFERROR(INDEX(Countries[],MATCH(CountryCleanup[[#This Row],[ISO3]],Countries[ISO3],0),6),"")</f>
        <v>Netherlands (Kingdom of the)</v>
      </c>
    </row>
    <row r="1168" spans="2:5" x14ac:dyDescent="0.45">
      <c r="B1168" t="s">
        <v>1724</v>
      </c>
      <c r="C1168" t="s">
        <v>961</v>
      </c>
      <c r="D1168">
        <f>IFERROR(INDEX(Countries[],MATCH(CountryCleanup[[#This Row],[ISO3]],Countries[ISO3],0),3),"")</f>
        <v>528</v>
      </c>
      <c r="E1168" t="str">
        <f>IFERROR(INDEX(Countries[],MATCH(CountryCleanup[[#This Row],[ISO3]],Countries[ISO3],0),6),"")</f>
        <v>Netherlands (Kingdom of the)</v>
      </c>
    </row>
    <row r="1169" spans="2:5" x14ac:dyDescent="0.45">
      <c r="B1169" t="s">
        <v>1944</v>
      </c>
      <c r="C1169" t="s">
        <v>961</v>
      </c>
      <c r="D1169">
        <f>IFERROR(INDEX(Countries[],MATCH(CountryCleanup[[#This Row],[ISO3]],Countries[ISO3],0),3),"")</f>
        <v>528</v>
      </c>
      <c r="E1169" t="str">
        <f>IFERROR(INDEX(Countries[],MATCH(CountryCleanup[[#This Row],[ISO3]],Countries[ISO3],0),6),"")</f>
        <v>Netherlands (Kingdom of the)</v>
      </c>
    </row>
    <row r="1170" spans="2:5" x14ac:dyDescent="0.45">
      <c r="B1170" t="s">
        <v>1725</v>
      </c>
      <c r="C1170" s="3" t="s">
        <v>478</v>
      </c>
      <c r="D1170">
        <f>IFERROR(INDEX(Countries[],MATCH(CountryCleanup[[#This Row],[ISO3]],Countries[ISO3],0),3),"")</f>
        <v>531</v>
      </c>
      <c r="E1170" t="str">
        <f>IFERROR(INDEX(Countries[],MATCH(CountryCleanup[[#This Row],[ISO3]],Countries[ISO3],0),6),"")</f>
        <v>Curaçao</v>
      </c>
    </row>
    <row r="1171" spans="2:5" x14ac:dyDescent="0.45">
      <c r="B1171" t="s">
        <v>2375</v>
      </c>
      <c r="C1171" t="s">
        <v>478</v>
      </c>
      <c r="D1171">
        <f>IFERROR(INDEX(Countries[],MATCH(CountryCleanup[[#This Row],[ISO3]],Countries[ISO3],0),3),"")</f>
        <v>531</v>
      </c>
      <c r="E1171" t="str">
        <f>IFERROR(INDEX(Countries[],MATCH(CountryCleanup[[#This Row],[ISO3]],Countries[ISO3],0),6),"")</f>
        <v>Curaçao</v>
      </c>
    </row>
    <row r="1172" spans="2:5" x14ac:dyDescent="0.45">
      <c r="B1172" t="s">
        <v>1726</v>
      </c>
      <c r="C1172" s="3" t="s">
        <v>478</v>
      </c>
      <c r="D1172">
        <f>IFERROR(INDEX(Countries[],MATCH(CountryCleanup[[#This Row],[ISO3]],Countries[ISO3],0),3),"")</f>
        <v>531</v>
      </c>
      <c r="E1172" t="str">
        <f>IFERROR(INDEX(Countries[],MATCH(CountryCleanup[[#This Row],[ISO3]],Countries[ISO3],0),6),"")</f>
        <v>Curaçao</v>
      </c>
    </row>
    <row r="1173" spans="2:5" x14ac:dyDescent="0.45">
      <c r="B1173" t="s">
        <v>2952</v>
      </c>
      <c r="C1173" t="s">
        <v>961</v>
      </c>
      <c r="D1173">
        <f>IFERROR(INDEX(Countries[],MATCH(CountryCleanup[[#This Row],[ISO3]],Countries[ISO3],0),3),"")</f>
        <v>528</v>
      </c>
      <c r="E1173" t="str">
        <f>IFERROR(INDEX(Countries[],MATCH(CountryCleanup[[#This Row],[ISO3]],Countries[ISO3],0),6),"")</f>
        <v>Netherlands (Kingdom of the)</v>
      </c>
    </row>
    <row r="1174" spans="2:5" x14ac:dyDescent="0.45">
      <c r="B1174" t="s">
        <v>2954</v>
      </c>
      <c r="C1174" t="s">
        <v>961</v>
      </c>
      <c r="D1174">
        <f>IFERROR(INDEX(Countries[],MATCH(CountryCleanup[[#This Row],[ISO3]],Countries[ISO3],0),3),"")</f>
        <v>528</v>
      </c>
      <c r="E1174" t="str">
        <f>IFERROR(INDEX(Countries[],MATCH(CountryCleanup[[#This Row],[ISO3]],Countries[ISO3],0),6),"")</f>
        <v>Netherlands (Kingdom of the)</v>
      </c>
    </row>
    <row r="1175" spans="2:5" x14ac:dyDescent="0.45">
      <c r="B1175" t="s">
        <v>2898</v>
      </c>
      <c r="C1175" t="s">
        <v>961</v>
      </c>
      <c r="D1175">
        <f>IFERROR(INDEX(Countries[],MATCH(CountryCleanup[[#This Row],[ISO3]],Countries[ISO3],0),3),"")</f>
        <v>528</v>
      </c>
      <c r="E1175" t="str">
        <f>IFERROR(INDEX(Countries[],MATCH(CountryCleanup[[#This Row],[ISO3]],Countries[ISO3],0),6),"")</f>
        <v>Netherlands (Kingdom of the)</v>
      </c>
    </row>
    <row r="1176" spans="2:5" x14ac:dyDescent="0.45">
      <c r="B1176" t="s">
        <v>2935</v>
      </c>
      <c r="C1176" t="s">
        <v>961</v>
      </c>
      <c r="D1176">
        <f>IFERROR(INDEX(Countries[],MATCH(CountryCleanup[[#This Row],[ISO3]],Countries[ISO3],0),3),"")</f>
        <v>528</v>
      </c>
      <c r="E1176" t="str">
        <f>IFERROR(INDEX(Countries[],MATCH(CountryCleanup[[#This Row],[ISO3]],Countries[ISO3],0),6),"")</f>
        <v>Netherlands (Kingdom of the)</v>
      </c>
    </row>
    <row r="1177" spans="2:5" x14ac:dyDescent="0.45">
      <c r="B1177" t="s">
        <v>2919</v>
      </c>
      <c r="C1177" t="s">
        <v>961</v>
      </c>
      <c r="D1177">
        <f>IFERROR(INDEX(Countries[],MATCH(CountryCleanup[[#This Row],[ISO3]],Countries[ISO3],0),3),"")</f>
        <v>528</v>
      </c>
      <c r="E1177" t="str">
        <f>IFERROR(INDEX(Countries[],MATCH(CountryCleanup[[#This Row],[ISO3]],Countries[ISO3],0),6),"")</f>
        <v>Netherlands (Kingdom of the)</v>
      </c>
    </row>
    <row r="1178" spans="2:5" x14ac:dyDescent="0.45">
      <c r="B1178" t="s">
        <v>1978</v>
      </c>
      <c r="C1178" t="s">
        <v>961</v>
      </c>
      <c r="D1178">
        <f>IFERROR(INDEX(Countries[],MATCH(CountryCleanup[[#This Row],[ISO3]],Countries[ISO3],0),3),"")</f>
        <v>528</v>
      </c>
      <c r="E1178" t="str">
        <f>IFERROR(INDEX(Countries[],MATCH(CountryCleanup[[#This Row],[ISO3]],Countries[ISO3],0),6),"")</f>
        <v>Netherlands (Kingdom of the)</v>
      </c>
    </row>
    <row r="1179" spans="2:5" x14ac:dyDescent="0.45">
      <c r="B1179" s="5" t="s">
        <v>1727</v>
      </c>
      <c r="C1179" s="5" t="s">
        <v>966</v>
      </c>
      <c r="D1179">
        <f>IFERROR(INDEX(Countries[],MATCH(CountryCleanup[[#This Row],[ISO3]],Countries[ISO3],0),3),"")</f>
        <v>540</v>
      </c>
      <c r="E1179" t="str">
        <f>IFERROR(INDEX(Countries[],MATCH(CountryCleanup[[#This Row],[ISO3]],Countries[ISO3],0),6),"")</f>
        <v>New Caledonia</v>
      </c>
    </row>
    <row r="1180" spans="2:5" x14ac:dyDescent="0.45">
      <c r="B1180" t="s">
        <v>967</v>
      </c>
      <c r="C1180" t="s">
        <v>966</v>
      </c>
      <c r="D1180">
        <f>IFERROR(INDEX(Countries[],MATCH(CountryCleanup[[#This Row],[ISO3]],Countries[ISO3],0),3),"")</f>
        <v>540</v>
      </c>
      <c r="E1180" t="str">
        <f>IFERROR(INDEX(Countries[],MATCH(CountryCleanup[[#This Row],[ISO3]],Countries[ISO3],0),6),"")</f>
        <v>New Caledonia</v>
      </c>
    </row>
    <row r="1181" spans="2:5" x14ac:dyDescent="0.45">
      <c r="B1181" t="s">
        <v>2853</v>
      </c>
      <c r="C1181" s="5" t="s">
        <v>1037</v>
      </c>
      <c r="D1181">
        <f>IFERROR(INDEX(Countries[],MATCH(CountryCleanup[[#This Row],[ISO3]],Countries[ISO3],0),3),"")</f>
        <v>598</v>
      </c>
      <c r="E1181" t="str">
        <f>IFERROR(INDEX(Countries[],MATCH(CountryCleanup[[#This Row],[ISO3]],Countries[ISO3],0),6),"")</f>
        <v>Papua New Guinea</v>
      </c>
    </row>
    <row r="1182" spans="2:5" x14ac:dyDescent="0.45">
      <c r="B1182" t="s">
        <v>2854</v>
      </c>
      <c r="C1182" t="s">
        <v>1428</v>
      </c>
      <c r="D1182">
        <f>IFERROR(INDEX(Countries[],MATCH(CountryCleanup[[#This Row],[ISO3]],Countries[ISO3],0),3),"")</f>
        <v>548</v>
      </c>
      <c r="E1182" t="str">
        <f>IFERROR(INDEX(Countries[],MATCH(CountryCleanup[[#This Row],[ISO3]],Countries[ISO3],0),6),"")</f>
        <v>Vanuatu</v>
      </c>
    </row>
    <row r="1183" spans="2:5" x14ac:dyDescent="0.45">
      <c r="B1183" t="s">
        <v>972</v>
      </c>
      <c r="C1183" t="s">
        <v>971</v>
      </c>
      <c r="D1183">
        <f>IFERROR(INDEX(Countries[],MATCH(CountryCleanup[[#This Row],[ISO3]],Countries[ISO3],0),3),"")</f>
        <v>554</v>
      </c>
      <c r="E1183" t="str">
        <f>IFERROR(INDEX(Countries[],MATCH(CountryCleanup[[#This Row],[ISO3]],Countries[ISO3],0),6),"")</f>
        <v>New Zealand</v>
      </c>
    </row>
    <row r="1184" spans="2:5" x14ac:dyDescent="0.45">
      <c r="B1184" s="3" t="s">
        <v>1728</v>
      </c>
      <c r="C1184" t="s">
        <v>971</v>
      </c>
      <c r="D1184">
        <f>IFERROR(INDEX(Countries[],MATCH(CountryCleanup[[#This Row],[ISO3]],Countries[ISO3],0),3),"")</f>
        <v>554</v>
      </c>
      <c r="E1184" t="str">
        <f>IFERROR(INDEX(Countries[],MATCH(CountryCleanup[[#This Row],[ISO3]],Countries[ISO3],0),6),"")</f>
        <v>New Zealand</v>
      </c>
    </row>
    <row r="1185" spans="2:5" x14ac:dyDescent="0.45">
      <c r="B1185" t="s">
        <v>2950</v>
      </c>
      <c r="C1185" t="s">
        <v>966</v>
      </c>
      <c r="D1185">
        <f>IFERROR(INDEX(Countries[],MATCH(CountryCleanup[[#This Row],[ISO3]],Countries[ISO3],0),3),"")</f>
        <v>540</v>
      </c>
      <c r="E1185" t="str">
        <f>IFERROR(INDEX(Countries[],MATCH(CountryCleanup[[#This Row],[ISO3]],Countries[ISO3],0),6),"")</f>
        <v>New Caledonia</v>
      </c>
    </row>
    <row r="1186" spans="2:5" x14ac:dyDescent="0.45">
      <c r="B1186" t="s">
        <v>977</v>
      </c>
      <c r="C1186" t="s">
        <v>976</v>
      </c>
      <c r="D1186">
        <f>IFERROR(INDEX(Countries[],MATCH(CountryCleanup[[#This Row],[ISO3]],Countries[ISO3],0),3),"")</f>
        <v>558</v>
      </c>
      <c r="E1186" t="str">
        <f>IFERROR(INDEX(Countries[],MATCH(CountryCleanup[[#This Row],[ISO3]],Countries[ISO3],0),6),"")</f>
        <v>Nicaragua</v>
      </c>
    </row>
    <row r="1187" spans="2:5" x14ac:dyDescent="0.45">
      <c r="B1187" t="s">
        <v>2268</v>
      </c>
      <c r="C1187" t="s">
        <v>976</v>
      </c>
      <c r="D1187">
        <f>IFERROR(INDEX(Countries[],MATCH(CountryCleanup[[#This Row],[ISO3]],Countries[ISO3],0),3),"")</f>
        <v>558</v>
      </c>
      <c r="E1187" t="str">
        <f>IFERROR(INDEX(Countries[],MATCH(CountryCleanup[[#This Row],[ISO3]],Countries[ISO3],0),6),"")</f>
        <v>Nicaragua</v>
      </c>
    </row>
    <row r="1188" spans="2:5" x14ac:dyDescent="0.45">
      <c r="B1188" t="s">
        <v>981</v>
      </c>
      <c r="C1188" t="s">
        <v>980</v>
      </c>
      <c r="D1188">
        <f>IFERROR(INDEX(Countries[],MATCH(CountryCleanup[[#This Row],[ISO3]],Countries[ISO3],0),3),"")</f>
        <v>562</v>
      </c>
      <c r="E1188" t="str">
        <f>IFERROR(INDEX(Countries[],MATCH(CountryCleanup[[#This Row],[ISO3]],Countries[ISO3],0),6),"")</f>
        <v>Niger (the)</v>
      </c>
    </row>
    <row r="1189" spans="2:5" x14ac:dyDescent="0.45">
      <c r="B1189" t="s">
        <v>1729</v>
      </c>
      <c r="C1189" t="s">
        <v>980</v>
      </c>
      <c r="D1189">
        <f>IFERROR(INDEX(Countries[],MATCH(CountryCleanup[[#This Row],[ISO3]],Countries[ISO3],0),3),"")</f>
        <v>562</v>
      </c>
      <c r="E1189" t="str">
        <f>IFERROR(INDEX(Countries[],MATCH(CountryCleanup[[#This Row],[ISO3]],Countries[ISO3],0),6),"")</f>
        <v>Niger (the)</v>
      </c>
    </row>
    <row r="1190" spans="2:5" x14ac:dyDescent="0.45">
      <c r="B1190" t="s">
        <v>985</v>
      </c>
      <c r="C1190" t="s">
        <v>984</v>
      </c>
      <c r="D1190">
        <f>IFERROR(INDEX(Countries[],MATCH(CountryCleanup[[#This Row],[ISO3]],Countries[ISO3],0),3),"")</f>
        <v>566</v>
      </c>
      <c r="E1190" t="str">
        <f>IFERROR(INDEX(Countries[],MATCH(CountryCleanup[[#This Row],[ISO3]],Countries[ISO3],0),6),"")</f>
        <v>Nigeria</v>
      </c>
    </row>
    <row r="1191" spans="2:5" x14ac:dyDescent="0.45">
      <c r="B1191" t="s">
        <v>1730</v>
      </c>
      <c r="C1191" t="s">
        <v>984</v>
      </c>
      <c r="D1191">
        <f>IFERROR(INDEX(Countries[],MATCH(CountryCleanup[[#This Row],[ISO3]],Countries[ISO3],0),3),"")</f>
        <v>566</v>
      </c>
      <c r="E1191" t="str">
        <f>IFERROR(INDEX(Countries[],MATCH(CountryCleanup[[#This Row],[ISO3]],Countries[ISO3],0),6),"")</f>
        <v>Nigeria</v>
      </c>
    </row>
    <row r="1192" spans="2:5" x14ac:dyDescent="0.45">
      <c r="B1192" t="s">
        <v>990</v>
      </c>
      <c r="C1192" t="s">
        <v>989</v>
      </c>
      <c r="D1192">
        <f>IFERROR(INDEX(Countries[],MATCH(CountryCleanup[[#This Row],[ISO3]],Countries[ISO3],0),3),"")</f>
        <v>570</v>
      </c>
      <c r="E1192" t="str">
        <f>IFERROR(INDEX(Countries[],MATCH(CountryCleanup[[#This Row],[ISO3]],Countries[ISO3],0),6),"")</f>
        <v>Niue</v>
      </c>
    </row>
    <row r="1193" spans="2:5" x14ac:dyDescent="0.45">
      <c r="B1193" t="s">
        <v>178</v>
      </c>
      <c r="C1193" t="s">
        <v>2297</v>
      </c>
      <c r="D1193">
        <f>IFERROR(INDEX(Countries[],MATCH(CountryCleanup[[#This Row],[ISO3]],Countries[ISO3],0),3),"")</f>
        <v>99910</v>
      </c>
      <c r="E1193" t="str">
        <f>IFERROR(INDEX(Countries[],MATCH(CountryCleanup[[#This Row],[ISO3]],Countries[ISO3],0),6),"")</f>
        <v>Non-OECD Americas</v>
      </c>
    </row>
    <row r="1194" spans="2:5" x14ac:dyDescent="0.45">
      <c r="B1194" t="s">
        <v>1731</v>
      </c>
      <c r="C1194" s="5" t="s">
        <v>994</v>
      </c>
      <c r="D1194">
        <f>IFERROR(INDEX(Countries[],MATCH(CountryCleanup[[#This Row],[ISO3]],Countries[ISO3],0),3),"")</f>
        <v>574</v>
      </c>
      <c r="E1194" t="str">
        <f>IFERROR(INDEX(Countries[],MATCH(CountryCleanup[[#This Row],[ISO3]],Countries[ISO3],0),6),"")</f>
        <v>Norfolk Island</v>
      </c>
    </row>
    <row r="1195" spans="2:5" x14ac:dyDescent="0.45">
      <c r="B1195" s="5" t="s">
        <v>1732</v>
      </c>
      <c r="C1195" s="5" t="s">
        <v>994</v>
      </c>
      <c r="D1195">
        <f>IFERROR(INDEX(Countries[],MATCH(CountryCleanup[[#This Row],[ISO3]],Countries[ISO3],0),3),"")</f>
        <v>574</v>
      </c>
      <c r="E1195" t="str">
        <f>IFERROR(INDEX(Countries[],MATCH(CountryCleanup[[#This Row],[ISO3]],Countries[ISO3],0),6),"")</f>
        <v>Norfolk Island</v>
      </c>
    </row>
    <row r="1196" spans="2:5" x14ac:dyDescent="0.45">
      <c r="B1196" t="s">
        <v>2389</v>
      </c>
      <c r="C1196" t="s">
        <v>994</v>
      </c>
      <c r="D1196">
        <f>IFERROR(INDEX(Countries[],MATCH(CountryCleanup[[#This Row],[ISO3]],Countries[ISO3],0),3),"")</f>
        <v>574</v>
      </c>
      <c r="E1196" t="str">
        <f>IFERROR(INDEX(Countries[],MATCH(CountryCleanup[[#This Row],[ISO3]],Countries[ISO3],0),6),"")</f>
        <v>Norfolk Island</v>
      </c>
    </row>
    <row r="1197" spans="2:5" x14ac:dyDescent="0.45">
      <c r="B1197" t="s">
        <v>995</v>
      </c>
      <c r="C1197" t="s">
        <v>994</v>
      </c>
      <c r="D1197">
        <f>IFERROR(INDEX(Countries[],MATCH(CountryCleanup[[#This Row],[ISO3]],Countries[ISO3],0),3),"")</f>
        <v>574</v>
      </c>
      <c r="E1197" t="str">
        <f>IFERROR(INDEX(Countries[],MATCH(CountryCleanup[[#This Row],[ISO3]],Countries[ISO3],0),6),"")</f>
        <v>Norfolk Island</v>
      </c>
    </row>
    <row r="1198" spans="2:5" x14ac:dyDescent="0.45">
      <c r="B1198" t="s">
        <v>1733</v>
      </c>
      <c r="C1198" s="3" t="s">
        <v>1917</v>
      </c>
      <c r="D1198">
        <f>IFERROR(INDEX(Countries[],MATCH(CountryCleanup[[#This Row],[ISO3]],Countries[ISO3],0),3),"")</f>
        <v>99037</v>
      </c>
      <c r="E1198" t="str">
        <f>IFERROR(INDEX(Countries[],MATCH(CountryCleanup[[#This Row],[ISO3]],Countries[ISO3],0),6),"")</f>
        <v>Residual/unallocated: Latin America and the Caribbean</v>
      </c>
    </row>
    <row r="1199" spans="2:5" x14ac:dyDescent="0.45">
      <c r="B1199" s="5" t="s">
        <v>280</v>
      </c>
      <c r="C1199" s="5" t="s">
        <v>1943</v>
      </c>
      <c r="D1199">
        <f>IFERROR(INDEX(Countries[],MATCH(CountryCleanup[[#This Row],[ISO3]],Countries[ISO3],0),3),"")</f>
        <v>99050</v>
      </c>
      <c r="E1199" t="str">
        <f>IFERROR(INDEX(Countries[],MATCH(CountryCleanup[[#This Row],[ISO3]],Countries[ISO3],0),6),"")</f>
        <v>Residual/unallocated: Northern America and Europe</v>
      </c>
    </row>
    <row r="1200" spans="2:5" x14ac:dyDescent="0.45">
      <c r="B1200" t="s">
        <v>2372</v>
      </c>
      <c r="C1200" t="s">
        <v>1106</v>
      </c>
      <c r="D1200">
        <f>IFERROR(INDEX(Countries[],MATCH(CountryCleanup[[#This Row],[ISO3]],Countries[ISO3],0),3),"")</f>
        <v>99052</v>
      </c>
      <c r="E1200" t="str">
        <f>IFERROR(INDEX(Countries[],MATCH(CountryCleanup[[#This Row],[ISO3]],Countries[ISO3],0),6),"")</f>
        <v>Residual/unallocated: Northern America</v>
      </c>
    </row>
    <row r="1201" spans="2:5" x14ac:dyDescent="0.45">
      <c r="B1201" t="s">
        <v>1734</v>
      </c>
      <c r="C1201" t="s">
        <v>494</v>
      </c>
      <c r="D1201">
        <f>IFERROR(INDEX(Countries[],MATCH(CountryCleanup[[#This Row],[ISO3]],Countries[ISO3],0),3),"")</f>
        <v>408</v>
      </c>
      <c r="E1201" t="str">
        <f>IFERROR(INDEX(Countries[],MATCH(CountryCleanup[[#This Row],[ISO3]],Countries[ISO3],0),6),"")</f>
        <v>Democratic People's Republic of Korea (the)</v>
      </c>
    </row>
    <row r="1202" spans="2:5" x14ac:dyDescent="0.45">
      <c r="B1202" t="s">
        <v>1091</v>
      </c>
      <c r="C1202" t="s">
        <v>1090</v>
      </c>
      <c r="D1202">
        <f>IFERROR(INDEX(Countries[],MATCH(CountryCleanup[[#This Row],[ISO3]],Countries[ISO3],0),3),"")</f>
        <v>807</v>
      </c>
      <c r="E1202" t="str">
        <f>IFERROR(INDEX(Countries[],MATCH(CountryCleanup[[#This Row],[ISO3]],Countries[ISO3],0),6),"")</f>
        <v>North Macedonia</v>
      </c>
    </row>
    <row r="1203" spans="2:5" x14ac:dyDescent="0.45">
      <c r="B1203" t="s">
        <v>1735</v>
      </c>
      <c r="C1203" s="3" t="s">
        <v>1115</v>
      </c>
      <c r="D1203">
        <f>IFERROR(INDEX(Countries[],MATCH(CountryCleanup[[#This Row],[ISO3]],Countries[ISO3],0),3),"")</f>
        <v>99040</v>
      </c>
      <c r="E1203" t="str">
        <f>IFERROR(INDEX(Countries[],MATCH(CountryCleanup[[#This Row],[ISO3]],Countries[ISO3],0),6),"")</f>
        <v>Residual/unallocated: Western Asia and Northern Africa</v>
      </c>
    </row>
    <row r="1204" spans="2:5" x14ac:dyDescent="0.45">
      <c r="B1204" t="s">
        <v>145</v>
      </c>
      <c r="C1204" s="3" t="s">
        <v>1115</v>
      </c>
      <c r="D1204">
        <f>IFERROR(INDEX(Countries[],MATCH(CountryCleanup[[#This Row],[ISO3]],Countries[ISO3],0),3),"")</f>
        <v>99040</v>
      </c>
      <c r="E1204" t="str">
        <f>IFERROR(INDEX(Countries[],MATCH(CountryCleanup[[#This Row],[ISO3]],Countries[ISO3],0),6),"")</f>
        <v>Residual/unallocated: Western Asia and Northern Africa</v>
      </c>
    </row>
    <row r="1205" spans="2:5" x14ac:dyDescent="0.45">
      <c r="B1205" t="s">
        <v>1736</v>
      </c>
      <c r="C1205" s="3" t="s">
        <v>740</v>
      </c>
      <c r="D1205">
        <f>IFERROR(INDEX(Countries[],MATCH(CountryCleanup[[#This Row],[ISO3]],Countries[ISO3],0),3),"")</f>
        <v>372</v>
      </c>
      <c r="E1205" t="str">
        <f>IFERROR(INDEX(Countries[],MATCH(CountryCleanup[[#This Row],[ISO3]],Countries[ISO3],0),6),"")</f>
        <v>Ireland</v>
      </c>
    </row>
    <row r="1206" spans="2:5" x14ac:dyDescent="0.45">
      <c r="B1206" t="s">
        <v>1737</v>
      </c>
      <c r="C1206" t="s">
        <v>1002</v>
      </c>
      <c r="D1206">
        <f>IFERROR(INDEX(Countries[],MATCH(CountryCleanup[[#This Row],[ISO3]],Countries[ISO3],0),3),"")</f>
        <v>580</v>
      </c>
      <c r="E1206" t="str">
        <f>IFERROR(INDEX(Countries[],MATCH(CountryCleanup[[#This Row],[ISO3]],Countries[ISO3],0),6),"")</f>
        <v>Northern Mariana Islands</v>
      </c>
    </row>
    <row r="1207" spans="2:5" x14ac:dyDescent="0.45">
      <c r="B1207" t="s">
        <v>1003</v>
      </c>
      <c r="C1207" t="s">
        <v>1002</v>
      </c>
      <c r="D1207">
        <f>IFERROR(INDEX(Countries[],MATCH(CountryCleanup[[#This Row],[ISO3]],Countries[ISO3],0),3),"")</f>
        <v>580</v>
      </c>
      <c r="E1207" t="str">
        <f>IFERROR(INDEX(Countries[],MATCH(CountryCleanup[[#This Row],[ISO3]],Countries[ISO3],0),6),"")</f>
        <v>Northern Mariana Islands</v>
      </c>
    </row>
    <row r="1208" spans="2:5" x14ac:dyDescent="0.45">
      <c r="B1208" t="s">
        <v>1738</v>
      </c>
      <c r="C1208" t="s">
        <v>1002</v>
      </c>
      <c r="D1208">
        <f>IFERROR(INDEX(Countries[],MATCH(CountryCleanup[[#This Row],[ISO3]],Countries[ISO3],0),3),"")</f>
        <v>580</v>
      </c>
      <c r="E1208" t="str">
        <f>IFERROR(INDEX(Countries[],MATCH(CountryCleanup[[#This Row],[ISO3]],Countries[ISO3],0),6),"")</f>
        <v>Northern Mariana Islands</v>
      </c>
    </row>
    <row r="1209" spans="2:5" x14ac:dyDescent="0.45">
      <c r="B1209" t="s">
        <v>2835</v>
      </c>
      <c r="C1209" t="s">
        <v>1161</v>
      </c>
      <c r="D1209">
        <f>IFERROR(INDEX(Countries[],MATCH(CountryCleanup[[#This Row],[ISO3]],Countries[ISO3],0),3),"")</f>
        <v>663</v>
      </c>
      <c r="E1209" t="str">
        <f>IFERROR(INDEX(Countries[],MATCH(CountryCleanup[[#This Row],[ISO3]],Countries[ISO3],0),6),"")</f>
        <v>Saint Martin (French Part)</v>
      </c>
    </row>
    <row r="1210" spans="2:5" x14ac:dyDescent="0.45">
      <c r="B1210" t="s">
        <v>1979</v>
      </c>
      <c r="C1210" t="s">
        <v>1090</v>
      </c>
      <c r="D1210">
        <f>IFERROR(INDEX(Countries[],MATCH(CountryCleanup[[#This Row],[ISO3]],Countries[ISO3],0),3),"")</f>
        <v>807</v>
      </c>
      <c r="E1210" t="str">
        <f>IFERROR(INDEX(Countries[],MATCH(CountryCleanup[[#This Row],[ISO3]],Countries[ISO3],0),6),"")</f>
        <v>North Macedonia</v>
      </c>
    </row>
    <row r="1211" spans="2:5" x14ac:dyDescent="0.45">
      <c r="B1211" t="s">
        <v>1008</v>
      </c>
      <c r="C1211" t="s">
        <v>1007</v>
      </c>
      <c r="D1211">
        <f>IFERROR(INDEX(Countries[],MATCH(CountryCleanup[[#This Row],[ISO3]],Countries[ISO3],0),3),"")</f>
        <v>578</v>
      </c>
      <c r="E1211" t="str">
        <f>IFERROR(INDEX(Countries[],MATCH(CountryCleanup[[#This Row],[ISO3]],Countries[ISO3],0),6),"")</f>
        <v>Norway</v>
      </c>
    </row>
    <row r="1212" spans="2:5" x14ac:dyDescent="0.45">
      <c r="B1212" t="s">
        <v>1980</v>
      </c>
      <c r="C1212" t="s">
        <v>1007</v>
      </c>
      <c r="D1212">
        <f>IFERROR(INDEX(Countries[],MATCH(CountryCleanup[[#This Row],[ISO3]],Countries[ISO3],0),3),"")</f>
        <v>578</v>
      </c>
      <c r="E1212" t="str">
        <f>IFERROR(INDEX(Countries[],MATCH(CountryCleanup[[#This Row],[ISO3]],Countries[ISO3],0),6),"")</f>
        <v>Norway</v>
      </c>
    </row>
    <row r="1213" spans="2:5" x14ac:dyDescent="0.45">
      <c r="B1213" t="s">
        <v>2806</v>
      </c>
      <c r="C1213" t="s">
        <v>1007</v>
      </c>
      <c r="D1213">
        <f>IFERROR(INDEX(Countries[],MATCH(CountryCleanup[[#This Row],[ISO3]],Countries[ISO3],0),3),"")</f>
        <v>578</v>
      </c>
      <c r="E1213" t="str">
        <f>IFERROR(INDEX(Countries[],MATCH(CountryCleanup[[#This Row],[ISO3]],Countries[ISO3],0),6),"")</f>
        <v>Norway</v>
      </c>
    </row>
    <row r="1214" spans="2:5" x14ac:dyDescent="0.45">
      <c r="B1214" t="s">
        <v>1739</v>
      </c>
      <c r="C1214" t="s">
        <v>1007</v>
      </c>
      <c r="D1214">
        <f>IFERROR(INDEX(Countries[],MATCH(CountryCleanup[[#This Row],[ISO3]],Countries[ISO3],0),3),"")</f>
        <v>578</v>
      </c>
      <c r="E1214" t="str">
        <f>IFERROR(INDEX(Countries[],MATCH(CountryCleanup[[#This Row],[ISO3]],Countries[ISO3],0),6),"")</f>
        <v>Norway</v>
      </c>
    </row>
    <row r="1215" spans="2:5" x14ac:dyDescent="0.45">
      <c r="B1215" s="5" t="s">
        <v>1740</v>
      </c>
      <c r="C1215" s="5" t="s">
        <v>1002</v>
      </c>
      <c r="D1215">
        <f>IFERROR(INDEX(Countries[],MATCH(CountryCleanup[[#This Row],[ISO3]],Countries[ISO3],0),3),"")</f>
        <v>580</v>
      </c>
      <c r="E1215" t="str">
        <f>IFERROR(INDEX(Countries[],MATCH(CountryCleanup[[#This Row],[ISO3]],Countries[ISO3],0),6),"")</f>
        <v>Northern Mariana Islands</v>
      </c>
    </row>
    <row r="1216" spans="2:5" x14ac:dyDescent="0.45">
      <c r="B1216" t="s">
        <v>970</v>
      </c>
      <c r="C1216" t="s">
        <v>971</v>
      </c>
      <c r="D1216">
        <f>IFERROR(INDEX(Countries[],MATCH(CountryCleanup[[#This Row],[ISO3]],Countries[ISO3],0),3),"")</f>
        <v>554</v>
      </c>
      <c r="E1216" t="str">
        <f>IFERROR(INDEX(Countries[],MATCH(CountryCleanup[[#This Row],[ISO3]],Countries[ISO3],0),6),"")</f>
        <v>New Zealand</v>
      </c>
    </row>
    <row r="1217" spans="2:5" x14ac:dyDescent="0.45">
      <c r="B1217" t="s">
        <v>2813</v>
      </c>
      <c r="C1217" t="s">
        <v>1280</v>
      </c>
      <c r="D1217">
        <f>IFERROR(INDEX(Countries[],MATCH(CountryCleanup[[#This Row],[ISO3]],Countries[ISO3],0),3),"")</f>
        <v>275</v>
      </c>
      <c r="E1217" t="str">
        <f>IFERROR(INDEX(Countries[],MATCH(CountryCleanup[[#This Row],[ISO3]],Countries[ISO3],0),6),"")</f>
        <v>State of Palestine (the)</v>
      </c>
    </row>
    <row r="1218" spans="2:5" x14ac:dyDescent="0.45">
      <c r="B1218" t="s">
        <v>153</v>
      </c>
      <c r="C1218" t="s">
        <v>1108</v>
      </c>
      <c r="D1218">
        <f>IFERROR(INDEX(Countries[],MATCH(CountryCleanup[[#This Row],[ISO3]],Countries[ISO3],0),3),"")</f>
        <v>99038</v>
      </c>
      <c r="E1218" t="str">
        <f>IFERROR(INDEX(Countries[],MATCH(CountryCleanup[[#This Row],[ISO3]],Countries[ISO3],0),6),"")</f>
        <v>Residual/unallocated: Oceania excl. Aus. and N. Zealand</v>
      </c>
    </row>
    <row r="1219" spans="2:5" x14ac:dyDescent="0.45">
      <c r="B1219" t="s">
        <v>2390</v>
      </c>
      <c r="C1219" t="s">
        <v>1108</v>
      </c>
      <c r="D1219">
        <f>IFERROR(INDEX(Countries[],MATCH(CountryCleanup[[#This Row],[ISO3]],Countries[ISO3],0),3),"")</f>
        <v>99038</v>
      </c>
      <c r="E1219" t="str">
        <f>IFERROR(INDEX(Countries[],MATCH(CountryCleanup[[#This Row],[ISO3]],Countries[ISO3],0),6),"")</f>
        <v>Residual/unallocated: Oceania excl. Aus. and N. Zealand</v>
      </c>
    </row>
    <row r="1220" spans="2:5" x14ac:dyDescent="0.45">
      <c r="B1220" t="s">
        <v>1741</v>
      </c>
      <c r="C1220" t="s">
        <v>1108</v>
      </c>
      <c r="D1220">
        <f>IFERROR(INDEX(Countries[],MATCH(CountryCleanup[[#This Row],[ISO3]],Countries[ISO3],0),3),"")</f>
        <v>99038</v>
      </c>
      <c r="E1220" t="str">
        <f>IFERROR(INDEX(Countries[],MATCH(CountryCleanup[[#This Row],[ISO3]],Countries[ISO3],0),6),"")</f>
        <v>Residual/unallocated: Oceania excl. Aus. and N. Zealand</v>
      </c>
    </row>
    <row r="1221" spans="2:5" x14ac:dyDescent="0.45">
      <c r="B1221" t="s">
        <v>1015</v>
      </c>
      <c r="C1221" t="s">
        <v>1014</v>
      </c>
      <c r="D1221">
        <f>IFERROR(INDEX(Countries[],MATCH(CountryCleanup[[#This Row],[ISO3]],Countries[ISO3],0),3),"")</f>
        <v>512</v>
      </c>
      <c r="E1221" t="str">
        <f>IFERROR(INDEX(Countries[],MATCH(CountryCleanup[[#This Row],[ISO3]],Countries[ISO3],0),6),"")</f>
        <v>Oman</v>
      </c>
    </row>
    <row r="1222" spans="2:5" x14ac:dyDescent="0.45">
      <c r="B1222" t="s">
        <v>2250</v>
      </c>
      <c r="C1222" t="s">
        <v>1014</v>
      </c>
      <c r="D1222">
        <f>IFERROR(INDEX(Countries[],MATCH(CountryCleanup[[#This Row],[ISO3]],Countries[ISO3],0),3),"")</f>
        <v>512</v>
      </c>
      <c r="E1222" t="str">
        <f>IFERROR(INDEX(Countries[],MATCH(CountryCleanup[[#This Row],[ISO3]],Countries[ISO3],0),6),"")</f>
        <v>Oman</v>
      </c>
    </row>
    <row r="1223" spans="2:5" x14ac:dyDescent="0.45">
      <c r="B1223" s="5" t="s">
        <v>1112</v>
      </c>
      <c r="C1223" s="5" t="s">
        <v>367</v>
      </c>
      <c r="D1223">
        <f>IFERROR(INDEX(Countries[],MATCH(CountryCleanup[[#This Row],[ISO3]],Countries[ISO3],0),3),"")</f>
        <v>99039</v>
      </c>
      <c r="E1223" t="str">
        <f>IFERROR(INDEX(Countries[],MATCH(CountryCleanup[[#This Row],[ISO3]],Countries[ISO3],0),6),"")</f>
        <v>Residual/unallocated: Sub-Saharan Africa</v>
      </c>
    </row>
    <row r="1224" spans="2:5" x14ac:dyDescent="0.45">
      <c r="B1224" t="s">
        <v>2382</v>
      </c>
      <c r="C1224" t="s">
        <v>367</v>
      </c>
      <c r="D1224">
        <f>IFERROR(INDEX(Countries[],MATCH(CountryCleanup[[#This Row],[ISO3]],Countries[ISO3],0),3),"")</f>
        <v>99039</v>
      </c>
      <c r="E1224" t="str">
        <f>IFERROR(INDEX(Countries[],MATCH(CountryCleanup[[#This Row],[ISO3]],Countries[ISO3],0),6),"")</f>
        <v>Residual/unallocated: Sub-Saharan Africa</v>
      </c>
    </row>
    <row r="1225" spans="2:5" x14ac:dyDescent="0.45">
      <c r="B1225" s="5" t="s">
        <v>1095</v>
      </c>
      <c r="C1225" s="5" t="s">
        <v>1094</v>
      </c>
      <c r="D1225">
        <f>IFERROR(INDEX(Countries[],MATCH(CountryCleanup[[#This Row],[ISO3]],Countries[ISO3],0),3),"")</f>
        <v>99036</v>
      </c>
      <c r="E1225" t="str">
        <f>IFERROR(INDEX(Countries[],MATCH(CountryCleanup[[#This Row],[ISO3]],Countries[ISO3],0),6),"")</f>
        <v>Residual/unallocated: Eastern and South-eastern Asia</v>
      </c>
    </row>
    <row r="1226" spans="2:5" x14ac:dyDescent="0.45">
      <c r="B1226" t="s">
        <v>1742</v>
      </c>
      <c r="C1226" s="5" t="s">
        <v>1094</v>
      </c>
      <c r="D1226">
        <f>IFERROR(INDEX(Countries[],MATCH(CountryCleanup[[#This Row],[ISO3]],Countries[ISO3],0),3),"")</f>
        <v>99036</v>
      </c>
      <c r="E1226" t="str">
        <f>IFERROR(INDEX(Countries[],MATCH(CountryCleanup[[#This Row],[ISO3]],Countries[ISO3],0),6),"")</f>
        <v>Residual/unallocated: Eastern and South-eastern Asia</v>
      </c>
    </row>
    <row r="1227" spans="2:5" x14ac:dyDescent="0.45">
      <c r="B1227" t="s">
        <v>2491</v>
      </c>
      <c r="C1227" s="5" t="s">
        <v>1094</v>
      </c>
      <c r="D1227">
        <f>IFERROR(INDEX(Countries[],MATCH(CountryCleanup[[#This Row],[ISO3]],Countries[ISO3],0),3),"")</f>
        <v>99036</v>
      </c>
      <c r="E1227" t="str">
        <f>IFERROR(INDEX(Countries[],MATCH(CountryCleanup[[#This Row],[ISO3]],Countries[ISO3],0),6),"")</f>
        <v>Residual/unallocated: Eastern and South-eastern Asia</v>
      </c>
    </row>
    <row r="1228" spans="2:5" x14ac:dyDescent="0.45">
      <c r="B1228" t="s">
        <v>2392</v>
      </c>
      <c r="C1228" t="s">
        <v>1094</v>
      </c>
      <c r="D1228">
        <f>IFERROR(INDEX(Countries[],MATCH(CountryCleanup[[#This Row],[ISO3]],Countries[ISO3],0),3),"")</f>
        <v>99036</v>
      </c>
      <c r="E1228" t="str">
        <f>IFERROR(INDEX(Countries[],MATCH(CountryCleanup[[#This Row],[ISO3]],Countries[ISO3],0),6),"")</f>
        <v>Residual/unallocated: Eastern and South-eastern Asia</v>
      </c>
    </row>
    <row r="1229" spans="2:5" x14ac:dyDescent="0.45">
      <c r="B1229" t="s">
        <v>2767</v>
      </c>
      <c r="C1229" s="3" t="s">
        <v>1917</v>
      </c>
      <c r="D1229">
        <f>IFERROR(INDEX(Countries[],MATCH(CountryCleanup[[#This Row],[ISO3]],Countries[ISO3],0),3),"")</f>
        <v>99037</v>
      </c>
      <c r="E1229" t="str">
        <f>IFERROR(INDEX(Countries[],MATCH(CountryCleanup[[#This Row],[ISO3]],Countries[ISO3],0),6),"")</f>
        <v>Residual/unallocated: Latin America and the Caribbean</v>
      </c>
    </row>
    <row r="1230" spans="2:5" x14ac:dyDescent="0.45">
      <c r="B1230" s="5" t="s">
        <v>1743</v>
      </c>
      <c r="C1230" s="3" t="s">
        <v>1917</v>
      </c>
      <c r="D1230">
        <f>IFERROR(INDEX(Countries[],MATCH(CountryCleanup[[#This Row],[ISO3]],Countries[ISO3],0),3),"")</f>
        <v>99037</v>
      </c>
      <c r="E1230" t="str">
        <f>IFERROR(INDEX(Countries[],MATCH(CountryCleanup[[#This Row],[ISO3]],Countries[ISO3],0),6),"")</f>
        <v>Residual/unallocated: Latin America and the Caribbean</v>
      </c>
    </row>
    <row r="1231" spans="2:5" x14ac:dyDescent="0.45">
      <c r="B1231" t="s">
        <v>2488</v>
      </c>
      <c r="C1231" s="5" t="s">
        <v>1924</v>
      </c>
      <c r="D1231">
        <f>IFERROR(INDEX(Countries[],MATCH(CountryCleanup[[#This Row],[ISO3]],Countries[ISO3],0),3),"")</f>
        <v>99035</v>
      </c>
      <c r="E1231" t="str">
        <f>IFERROR(INDEX(Countries[],MATCH(CountryCleanup[[#This Row],[ISO3]],Countries[ISO3],0),6),"")</f>
        <v>Residual/unallocated: Central Asia and Southern Asia</v>
      </c>
    </row>
    <row r="1232" spans="2:5" x14ac:dyDescent="0.45">
      <c r="B1232" t="s">
        <v>2768</v>
      </c>
      <c r="C1232" t="s">
        <v>367</v>
      </c>
      <c r="D1232">
        <f>IFERROR(INDEX(Countries[],MATCH(CountryCleanup[[#This Row],[ISO3]],Countries[ISO3],0),3),"")</f>
        <v>99039</v>
      </c>
      <c r="E1232" t="str">
        <f>IFERROR(INDEX(Countries[],MATCH(CountryCleanup[[#This Row],[ISO3]],Countries[ISO3],0),6),"")</f>
        <v>Residual/unallocated: Sub-Saharan Africa</v>
      </c>
    </row>
    <row r="1233" spans="2:5" x14ac:dyDescent="0.45">
      <c r="B1233" s="5" t="s">
        <v>1019</v>
      </c>
      <c r="C1233" s="5" t="s">
        <v>1924</v>
      </c>
      <c r="D1233">
        <f>IFERROR(INDEX(Countries[],MATCH(CountryCleanup[[#This Row],[ISO3]],Countries[ISO3],0),3),"")</f>
        <v>99035</v>
      </c>
      <c r="E1233" t="str">
        <f>IFERROR(INDEX(Countries[],MATCH(CountryCleanup[[#This Row],[ISO3]],Countries[ISO3],0),6),"")</f>
        <v>Residual/unallocated: Central Asia and Southern Asia</v>
      </c>
    </row>
    <row r="1234" spans="2:5" x14ac:dyDescent="0.45">
      <c r="B1234" s="5" t="s">
        <v>1103</v>
      </c>
      <c r="C1234" s="5" t="s">
        <v>569</v>
      </c>
      <c r="D1234">
        <f>IFERROR(INDEX(Countries[],MATCH(CountryCleanup[[#This Row],[ISO3]],Countries[ISO3],0),3),"")</f>
        <v>99906</v>
      </c>
      <c r="E1234" t="str">
        <f>IFERROR(INDEX(Countries[],MATCH(CountryCleanup[[#This Row],[ISO3]],Countries[ISO3],0),6),"")</f>
        <v>European Union (27)</v>
      </c>
    </row>
    <row r="1235" spans="2:5" x14ac:dyDescent="0.45">
      <c r="B1235" t="s">
        <v>2381</v>
      </c>
      <c r="C1235" t="s">
        <v>1892</v>
      </c>
      <c r="D1235">
        <f>IFERROR(INDEX(Countries[],MATCH(CountryCleanup[[#This Row],[ISO3]],Countries[ISO3],0),3),"")</f>
        <v>99051</v>
      </c>
      <c r="E1235" t="str">
        <f>IFERROR(INDEX(Countries[],MATCH(CountryCleanup[[#This Row],[ISO3]],Countries[ISO3],0),6),"")</f>
        <v>Residual/unallocated: Europe</v>
      </c>
    </row>
    <row r="1236" spans="2:5" x14ac:dyDescent="0.45">
      <c r="B1236" s="5" t="s">
        <v>1744</v>
      </c>
      <c r="C1236" s="5" t="s">
        <v>1115</v>
      </c>
      <c r="D1236">
        <f>IFERROR(INDEX(Countries[],MATCH(CountryCleanup[[#This Row],[ISO3]],Countries[ISO3],0),3),"")</f>
        <v>99040</v>
      </c>
      <c r="E1236" t="str">
        <f>IFERROR(INDEX(Countries[],MATCH(CountryCleanup[[#This Row],[ISO3]],Countries[ISO3],0),6),"")</f>
        <v>Residual/unallocated: Western Asia and Northern Africa</v>
      </c>
    </row>
    <row r="1237" spans="2:5" x14ac:dyDescent="0.45">
      <c r="B1237" t="s">
        <v>2769</v>
      </c>
      <c r="C1237" t="s">
        <v>367</v>
      </c>
      <c r="D1237">
        <f>IFERROR(INDEX(Countries[],MATCH(CountryCleanup[[#This Row],[ISO3]],Countries[ISO3],0),3),"")</f>
        <v>99039</v>
      </c>
      <c r="E1237" t="str">
        <f>IFERROR(INDEX(Countries[],MATCH(CountryCleanup[[#This Row],[ISO3]],Countries[ISO3],0),6),"")</f>
        <v>Residual/unallocated: Sub-Saharan Africa</v>
      </c>
    </row>
    <row r="1238" spans="2:5" x14ac:dyDescent="0.45">
      <c r="B1238" t="s">
        <v>2489</v>
      </c>
      <c r="C1238" s="5" t="s">
        <v>1115</v>
      </c>
      <c r="D1238">
        <f>IFERROR(INDEX(Countries[],MATCH(CountryCleanup[[#This Row],[ISO3]],Countries[ISO3],0),3),"")</f>
        <v>99040</v>
      </c>
      <c r="E1238" t="str">
        <f>IFERROR(INDEX(Countries[],MATCH(CountryCleanup[[#This Row],[ISO3]],Countries[ISO3],0),6),"")</f>
        <v>Residual/unallocated: Western Asia and Northern Africa</v>
      </c>
    </row>
    <row r="1239" spans="2:5" x14ac:dyDescent="0.45">
      <c r="B1239" s="5" t="s">
        <v>1745</v>
      </c>
      <c r="C1239" s="5" t="s">
        <v>1943</v>
      </c>
      <c r="D1239">
        <f>IFERROR(INDEX(Countries[],MATCH(CountryCleanup[[#This Row],[ISO3]],Countries[ISO3],0),3),"")</f>
        <v>99050</v>
      </c>
      <c r="E1239" t="str">
        <f>IFERROR(INDEX(Countries[],MATCH(CountryCleanup[[#This Row],[ISO3]],Countries[ISO3],0),6),"")</f>
        <v>Residual/unallocated: Northern America and Europe</v>
      </c>
    </row>
    <row r="1240" spans="2:5" x14ac:dyDescent="0.45">
      <c r="B1240" t="s">
        <v>2770</v>
      </c>
      <c r="C1240" s="5" t="s">
        <v>1943</v>
      </c>
      <c r="D1240">
        <f>IFERROR(INDEX(Countries[],MATCH(CountryCleanup[[#This Row],[ISO3]],Countries[ISO3],0),3),"")</f>
        <v>99050</v>
      </c>
      <c r="E1240" t="str">
        <f>IFERROR(INDEX(Countries[],MATCH(CountryCleanup[[#This Row],[ISO3]],Countries[ISO3],0),6),"")</f>
        <v>Residual/unallocated: Northern America and Europe</v>
      </c>
    </row>
    <row r="1241" spans="2:5" x14ac:dyDescent="0.45">
      <c r="B1241" t="s">
        <v>1940</v>
      </c>
      <c r="C1241" s="5" t="s">
        <v>1115</v>
      </c>
      <c r="D1241">
        <f>IFERROR(INDEX(Countries[],MATCH(CountryCleanup[[#This Row],[ISO3]],Countries[ISO3],0),3),"")</f>
        <v>99040</v>
      </c>
      <c r="E1241" t="str">
        <f>IFERROR(INDEX(Countries[],MATCH(CountryCleanup[[#This Row],[ISO3]],Countries[ISO3],0),6),"")</f>
        <v>Residual/unallocated: Western Asia and Northern Africa</v>
      </c>
    </row>
    <row r="1242" spans="2:5" x14ac:dyDescent="0.45">
      <c r="B1242" s="5" t="s">
        <v>1109</v>
      </c>
      <c r="C1242" s="5" t="s">
        <v>1108</v>
      </c>
      <c r="D1242">
        <f>IFERROR(INDEX(Countries[],MATCH(CountryCleanup[[#This Row],[ISO3]],Countries[ISO3],0),3),"")</f>
        <v>99038</v>
      </c>
      <c r="E1242" t="str">
        <f>IFERROR(INDEX(Countries[],MATCH(CountryCleanup[[#This Row],[ISO3]],Countries[ISO3],0),6),"")</f>
        <v>Residual/unallocated: Oceania excl. Aus. and N. Zealand</v>
      </c>
    </row>
    <row r="1243" spans="2:5" x14ac:dyDescent="0.45">
      <c r="B1243" t="s">
        <v>2487</v>
      </c>
      <c r="C1243" s="5" t="s">
        <v>1917</v>
      </c>
      <c r="D1243">
        <f>IFERROR(INDEX(Countries[],MATCH(CountryCleanup[[#This Row],[ISO3]],Countries[ISO3],0),3),"")</f>
        <v>99037</v>
      </c>
      <c r="E1243" t="str">
        <f>IFERROR(INDEX(Countries[],MATCH(CountryCleanup[[#This Row],[ISO3]],Countries[ISO3],0),6),"")</f>
        <v>Residual/unallocated: Latin America and the Caribbean</v>
      </c>
    </row>
    <row r="1244" spans="2:5" x14ac:dyDescent="0.45">
      <c r="B1244" s="5" t="s">
        <v>1746</v>
      </c>
      <c r="C1244" s="5" t="s">
        <v>1917</v>
      </c>
      <c r="D1244">
        <f>IFERROR(INDEX(Countries[],MATCH(CountryCleanup[[#This Row],[ISO3]],Countries[ISO3],0),3),"")</f>
        <v>99037</v>
      </c>
      <c r="E1244" t="str">
        <f>IFERROR(INDEX(Countries[],MATCH(CountryCleanup[[#This Row],[ISO3]],Countries[ISO3],0),6),"")</f>
        <v>Residual/unallocated: Latin America and the Caribbean</v>
      </c>
    </row>
    <row r="1245" spans="2:5" x14ac:dyDescent="0.45">
      <c r="B1245" t="s">
        <v>2468</v>
      </c>
      <c r="C1245" s="5" t="s">
        <v>1917</v>
      </c>
      <c r="D1245">
        <f>IFERROR(INDEX(Countries[],MATCH(CountryCleanup[[#This Row],[ISO3]],Countries[ISO3],0),3),"")</f>
        <v>99037</v>
      </c>
      <c r="E1245" t="str">
        <f>IFERROR(INDEX(Countries[],MATCH(CountryCleanup[[#This Row],[ISO3]],Countries[ISO3],0),6),"")</f>
        <v>Residual/unallocated: Latin America and the Caribbean</v>
      </c>
    </row>
    <row r="1246" spans="2:5" x14ac:dyDescent="0.45">
      <c r="B1246" t="s">
        <v>2470</v>
      </c>
      <c r="C1246" t="s">
        <v>367</v>
      </c>
      <c r="D1246">
        <f>IFERROR(INDEX(Countries[],MATCH(CountryCleanup[[#This Row],[ISO3]],Countries[ISO3],0),3),"")</f>
        <v>99039</v>
      </c>
      <c r="E1246" t="str">
        <f>IFERROR(INDEX(Countries[],MATCH(CountryCleanup[[#This Row],[ISO3]],Countries[ISO3],0),6),"")</f>
        <v>Residual/unallocated: Sub-Saharan Africa</v>
      </c>
    </row>
    <row r="1247" spans="2:5" x14ac:dyDescent="0.45">
      <c r="B1247" t="s">
        <v>2771</v>
      </c>
      <c r="C1247" t="s">
        <v>367</v>
      </c>
      <c r="D1247">
        <f>IFERROR(INDEX(Countries[],MATCH(CountryCleanup[[#This Row],[ISO3]],Countries[ISO3],0),3),"")</f>
        <v>99039</v>
      </c>
      <c r="E1247" t="str">
        <f>IFERROR(INDEX(Countries[],MATCH(CountryCleanup[[#This Row],[ISO3]],Countries[ISO3],0),6),"")</f>
        <v>Residual/unallocated: Sub-Saharan Africa</v>
      </c>
    </row>
    <row r="1248" spans="2:5" x14ac:dyDescent="0.45">
      <c r="B1248" t="s">
        <v>2206</v>
      </c>
      <c r="C1248" t="s">
        <v>367</v>
      </c>
      <c r="D1248">
        <f>IFERROR(INDEX(Countries[],MATCH(CountryCleanup[[#This Row],[ISO3]],Countries[ISO3],0),3),"")</f>
        <v>99039</v>
      </c>
      <c r="E1248" t="str">
        <f>IFERROR(INDEX(Countries[],MATCH(CountryCleanup[[#This Row],[ISO3]],Countries[ISO3],0),6),"")</f>
        <v>Residual/unallocated: Sub-Saharan Africa</v>
      </c>
    </row>
    <row r="1249" spans="2:5" x14ac:dyDescent="0.45">
      <c r="B1249" t="s">
        <v>2234</v>
      </c>
      <c r="C1249" t="s">
        <v>1094</v>
      </c>
      <c r="D1249">
        <f>IFERROR(INDEX(Countries[],MATCH(CountryCleanup[[#This Row],[ISO3]],Countries[ISO3],0),3),"")</f>
        <v>99036</v>
      </c>
      <c r="E1249" t="str">
        <f>IFERROR(INDEX(Countries[],MATCH(CountryCleanup[[#This Row],[ISO3]],Countries[ISO3],0),6),"")</f>
        <v>Residual/unallocated: Eastern and South-eastern Asia</v>
      </c>
    </row>
    <row r="1250" spans="2:5" x14ac:dyDescent="0.45">
      <c r="B1250" t="s">
        <v>2263</v>
      </c>
      <c r="C1250" t="s">
        <v>1917</v>
      </c>
      <c r="D1250">
        <f>IFERROR(INDEX(Countries[],MATCH(CountryCleanup[[#This Row],[ISO3]],Countries[ISO3],0),3),"")</f>
        <v>99037</v>
      </c>
      <c r="E1250" t="str">
        <f>IFERROR(INDEX(Countries[],MATCH(CountryCleanup[[#This Row],[ISO3]],Countries[ISO3],0),6),"")</f>
        <v>Residual/unallocated: Latin America and the Caribbean</v>
      </c>
    </row>
    <row r="1251" spans="2:5" x14ac:dyDescent="0.45">
      <c r="B1251" t="s">
        <v>2911</v>
      </c>
      <c r="C1251" t="s">
        <v>1415</v>
      </c>
      <c r="D1251">
        <f>IFERROR(INDEX(Countries[],MATCH(CountryCleanup[[#This Row],[ISO3]],Countries[ISO3],0),3),"")</f>
        <v>99049</v>
      </c>
      <c r="E1251" t="str">
        <f>IFERROR(INDEX(Countries[],MATCH(CountryCleanup[[#This Row],[ISO3]],Countries[ISO3],0),6),"")</f>
        <v>Unspecified countries</v>
      </c>
    </row>
    <row r="1252" spans="2:5" x14ac:dyDescent="0.45">
      <c r="B1252" t="s">
        <v>1024</v>
      </c>
      <c r="C1252" t="s">
        <v>1023</v>
      </c>
      <c r="D1252">
        <f>IFERROR(INDEX(Countries[],MATCH(CountryCleanup[[#This Row],[ISO3]],Countries[ISO3],0),3),"")</f>
        <v>586</v>
      </c>
      <c r="E1252" t="str">
        <f>IFERROR(INDEX(Countries[],MATCH(CountryCleanup[[#This Row],[ISO3]],Countries[ISO3],0),6),"")</f>
        <v>Pakistan</v>
      </c>
    </row>
    <row r="1253" spans="2:5" x14ac:dyDescent="0.45">
      <c r="B1253" t="s">
        <v>2202</v>
      </c>
      <c r="C1253" t="s">
        <v>1023</v>
      </c>
      <c r="D1253">
        <f>IFERROR(INDEX(Countries[],MATCH(CountryCleanup[[#This Row],[ISO3]],Countries[ISO3],0),3),"")</f>
        <v>586</v>
      </c>
      <c r="E1253" t="str">
        <f>IFERROR(INDEX(Countries[],MATCH(CountryCleanup[[#This Row],[ISO3]],Countries[ISO3],0),6),"")</f>
        <v>Pakistan</v>
      </c>
    </row>
    <row r="1254" spans="2:5" x14ac:dyDescent="0.45">
      <c r="B1254" t="s">
        <v>1029</v>
      </c>
      <c r="C1254" t="s">
        <v>1028</v>
      </c>
      <c r="D1254">
        <f>IFERROR(INDEX(Countries[],MATCH(CountryCleanup[[#This Row],[ISO3]],Countries[ISO3],0),3),"")</f>
        <v>585</v>
      </c>
      <c r="E1254" t="str">
        <f>IFERROR(INDEX(Countries[],MATCH(CountryCleanup[[#This Row],[ISO3]],Countries[ISO3],0),6),"")</f>
        <v>Palau</v>
      </c>
    </row>
    <row r="1255" spans="2:5" x14ac:dyDescent="0.45">
      <c r="B1255" t="s">
        <v>1747</v>
      </c>
      <c r="C1255" t="s">
        <v>1280</v>
      </c>
      <c r="D1255">
        <f>IFERROR(INDEX(Countries[],MATCH(CountryCleanup[[#This Row],[ISO3]],Countries[ISO3],0),3),"")</f>
        <v>275</v>
      </c>
      <c r="E1255" t="str">
        <f>IFERROR(INDEX(Countries[],MATCH(CountryCleanup[[#This Row],[ISO3]],Countries[ISO3],0),6),"")</f>
        <v>State of Palestine (the)</v>
      </c>
    </row>
    <row r="1256" spans="2:5" x14ac:dyDescent="0.45">
      <c r="B1256" t="s">
        <v>1748</v>
      </c>
      <c r="C1256" t="s">
        <v>1280</v>
      </c>
      <c r="D1256">
        <f>IFERROR(INDEX(Countries[],MATCH(CountryCleanup[[#This Row],[ISO3]],Countries[ISO3],0),3),"")</f>
        <v>275</v>
      </c>
      <c r="E1256" t="str">
        <f>IFERROR(INDEX(Countries[],MATCH(CountryCleanup[[#This Row],[ISO3]],Countries[ISO3],0),6),"")</f>
        <v>State of Palestine (the)</v>
      </c>
    </row>
    <row r="1257" spans="2:5" x14ac:dyDescent="0.45">
      <c r="B1257" s="9" t="s">
        <v>1749</v>
      </c>
      <c r="C1257" t="s">
        <v>1280</v>
      </c>
      <c r="D1257">
        <f>IFERROR(INDEX(Countries[],MATCH(CountryCleanup[[#This Row],[ISO3]],Countries[ISO3],0),3),"")</f>
        <v>275</v>
      </c>
      <c r="E1257" t="str">
        <f>IFERROR(INDEX(Countries[],MATCH(CountryCleanup[[#This Row],[ISO3]],Countries[ISO3],0),6),"")</f>
        <v>State of Palestine (the)</v>
      </c>
    </row>
    <row r="1258" spans="2:5" x14ac:dyDescent="0.45">
      <c r="B1258" t="s">
        <v>1750</v>
      </c>
      <c r="C1258" t="s">
        <v>1280</v>
      </c>
      <c r="D1258">
        <f>IFERROR(INDEX(Countries[],MATCH(CountryCleanup[[#This Row],[ISO3]],Countries[ISO3],0),3),"")</f>
        <v>275</v>
      </c>
      <c r="E1258" t="str">
        <f>IFERROR(INDEX(Countries[],MATCH(CountryCleanup[[#This Row],[ISO3]],Countries[ISO3],0),6),"")</f>
        <v>State of Palestine (the)</v>
      </c>
    </row>
    <row r="1259" spans="2:5" x14ac:dyDescent="0.45">
      <c r="B1259" t="s">
        <v>2836</v>
      </c>
      <c r="C1259" t="s">
        <v>1406</v>
      </c>
      <c r="D1259">
        <f>IFERROR(INDEX(Countries[],MATCH(CountryCleanup[[#This Row],[ISO3]],Countries[ISO3],0),3),"")</f>
        <v>840</v>
      </c>
      <c r="E1259" t="str">
        <f>IFERROR(INDEX(Countries[],MATCH(CountryCleanup[[#This Row],[ISO3]],Countries[ISO3],0),6),"")</f>
        <v>United States of America (the)</v>
      </c>
    </row>
    <row r="1260" spans="2:5" x14ac:dyDescent="0.45">
      <c r="B1260" t="s">
        <v>1033</v>
      </c>
      <c r="C1260" t="s">
        <v>1032</v>
      </c>
      <c r="D1260">
        <f>IFERROR(INDEX(Countries[],MATCH(CountryCleanup[[#This Row],[ISO3]],Countries[ISO3],0),3),"")</f>
        <v>591</v>
      </c>
      <c r="E1260" t="str">
        <f>IFERROR(INDEX(Countries[],MATCH(CountryCleanup[[#This Row],[ISO3]],Countries[ISO3],0),6),"")</f>
        <v>Panama</v>
      </c>
    </row>
    <row r="1261" spans="2:5" x14ac:dyDescent="0.45">
      <c r="B1261" t="s">
        <v>2269</v>
      </c>
      <c r="C1261" t="s">
        <v>1032</v>
      </c>
      <c r="D1261">
        <f>IFERROR(INDEX(Countries[],MATCH(CountryCleanup[[#This Row],[ISO3]],Countries[ISO3],0),3),"")</f>
        <v>591</v>
      </c>
      <c r="E1261" t="str">
        <f>IFERROR(INDEX(Countries[],MATCH(CountryCleanup[[#This Row],[ISO3]],Countries[ISO3],0),6),"")</f>
        <v>Panama</v>
      </c>
    </row>
    <row r="1262" spans="2:5" x14ac:dyDescent="0.45">
      <c r="B1262" s="5" t="s">
        <v>1751</v>
      </c>
      <c r="C1262" s="5" t="s">
        <v>1037</v>
      </c>
      <c r="D1262">
        <f>IFERROR(INDEX(Countries[],MATCH(CountryCleanup[[#This Row],[ISO3]],Countries[ISO3],0),3),"")</f>
        <v>598</v>
      </c>
      <c r="E1262" t="str">
        <f>IFERROR(INDEX(Countries[],MATCH(CountryCleanup[[#This Row],[ISO3]],Countries[ISO3],0),6),"")</f>
        <v>Papua New Guinea</v>
      </c>
    </row>
    <row r="1263" spans="2:5" x14ac:dyDescent="0.45">
      <c r="B1263" t="s">
        <v>1038</v>
      </c>
      <c r="C1263" t="s">
        <v>1037</v>
      </c>
      <c r="D1263">
        <f>IFERROR(INDEX(Countries[],MATCH(CountryCleanup[[#This Row],[ISO3]],Countries[ISO3],0),3),"")</f>
        <v>598</v>
      </c>
      <c r="E1263" t="str">
        <f>IFERROR(INDEX(Countries[],MATCH(CountryCleanup[[#This Row],[ISO3]],Countries[ISO3],0),6),"")</f>
        <v>Papua New Guinea</v>
      </c>
    </row>
    <row r="1264" spans="2:5" x14ac:dyDescent="0.45">
      <c r="B1264" t="s">
        <v>2837</v>
      </c>
      <c r="C1264" t="s">
        <v>424</v>
      </c>
      <c r="D1264">
        <f>IFERROR(INDEX(Countries[],MATCH(CountryCleanup[[#This Row],[ISO3]],Countries[ISO3],0),3),"")</f>
        <v>158</v>
      </c>
      <c r="E1264" t="str">
        <f>IFERROR(INDEX(Countries[],MATCH(CountryCleanup[[#This Row],[ISO3]],Countries[ISO3],0),6),"")</f>
        <v>Chinese Taipei</v>
      </c>
    </row>
    <row r="1265" spans="2:5" x14ac:dyDescent="0.45">
      <c r="B1265" t="s">
        <v>1044</v>
      </c>
      <c r="C1265" t="s">
        <v>1043</v>
      </c>
      <c r="D1265">
        <f>IFERROR(INDEX(Countries[],MATCH(CountryCleanup[[#This Row],[ISO3]],Countries[ISO3],0),3),"")</f>
        <v>600</v>
      </c>
      <c r="E1265" t="str">
        <f>IFERROR(INDEX(Countries[],MATCH(CountryCleanup[[#This Row],[ISO3]],Countries[ISO3],0),6),"")</f>
        <v>Paraguay</v>
      </c>
    </row>
    <row r="1266" spans="2:5" x14ac:dyDescent="0.45">
      <c r="B1266" t="s">
        <v>2241</v>
      </c>
      <c r="C1266" t="s">
        <v>1043</v>
      </c>
      <c r="D1266">
        <f>IFERROR(INDEX(Countries[],MATCH(CountryCleanup[[#This Row],[ISO3]],Countries[ISO3],0),3),"")</f>
        <v>600</v>
      </c>
      <c r="E1266" t="str">
        <f>IFERROR(INDEX(Countries[],MATCH(CountryCleanup[[#This Row],[ISO3]],Countries[ISO3],0),6),"")</f>
        <v>Paraguay</v>
      </c>
    </row>
    <row r="1267" spans="2:5" x14ac:dyDescent="0.45">
      <c r="B1267" t="s">
        <v>1752</v>
      </c>
      <c r="C1267" t="s">
        <v>404</v>
      </c>
      <c r="D1267">
        <f>IFERROR(INDEX(Countries[],MATCH(CountryCleanup[[#This Row],[ISO3]],Countries[ISO3],0),3),"")</f>
        <v>156</v>
      </c>
      <c r="E1267" t="str">
        <f>IFERROR(INDEX(Countries[],MATCH(CountryCleanup[[#This Row],[ISO3]],Countries[ISO3],0),6),"")</f>
        <v>China</v>
      </c>
    </row>
    <row r="1268" spans="2:5" x14ac:dyDescent="0.45">
      <c r="B1268" t="s">
        <v>1048</v>
      </c>
      <c r="C1268" t="s">
        <v>1047</v>
      </c>
      <c r="D1268">
        <f>IFERROR(INDEX(Countries[],MATCH(CountryCleanup[[#This Row],[ISO3]],Countries[ISO3],0),3),"")</f>
        <v>604</v>
      </c>
      <c r="E1268" t="str">
        <f>IFERROR(INDEX(Countries[],MATCH(CountryCleanup[[#This Row],[ISO3]],Countries[ISO3],0),6),"")</f>
        <v>Peru</v>
      </c>
    </row>
    <row r="1269" spans="2:5" x14ac:dyDescent="0.45">
      <c r="B1269" t="s">
        <v>2225</v>
      </c>
      <c r="C1269" t="s">
        <v>1047</v>
      </c>
      <c r="D1269">
        <f>IFERROR(INDEX(Countries[],MATCH(CountryCleanup[[#This Row],[ISO3]],Countries[ISO3],0),3),"")</f>
        <v>604</v>
      </c>
      <c r="E1269" t="str">
        <f>IFERROR(INDEX(Countries[],MATCH(CountryCleanup[[#This Row],[ISO3]],Countries[ISO3],0),6),"")</f>
        <v>Peru</v>
      </c>
    </row>
    <row r="1270" spans="2:5" x14ac:dyDescent="0.45">
      <c r="B1270" t="s">
        <v>2215</v>
      </c>
      <c r="C1270" t="s">
        <v>1053</v>
      </c>
      <c r="D1270">
        <f>IFERROR(INDEX(Countries[],MATCH(CountryCleanup[[#This Row],[ISO3]],Countries[ISO3],0),3),"")</f>
        <v>608</v>
      </c>
      <c r="E1270" t="str">
        <f>IFERROR(INDEX(Countries[],MATCH(CountryCleanup[[#This Row],[ISO3]],Countries[ISO3],0),6),"")</f>
        <v>Philippines (the)</v>
      </c>
    </row>
    <row r="1271" spans="2:5" x14ac:dyDescent="0.45">
      <c r="B1271" t="s">
        <v>1054</v>
      </c>
      <c r="C1271" t="s">
        <v>1053</v>
      </c>
      <c r="D1271">
        <f>IFERROR(INDEX(Countries[],MATCH(CountryCleanup[[#This Row],[ISO3]],Countries[ISO3],0),3),"")</f>
        <v>608</v>
      </c>
      <c r="E1271" t="str">
        <f>IFERROR(INDEX(Countries[],MATCH(CountryCleanup[[#This Row],[ISO3]],Countries[ISO3],0),6),"")</f>
        <v>Philippines (the)</v>
      </c>
    </row>
    <row r="1272" spans="2:5" x14ac:dyDescent="0.45">
      <c r="B1272" t="s">
        <v>2838</v>
      </c>
      <c r="C1272" t="s">
        <v>789</v>
      </c>
      <c r="D1272">
        <f>IFERROR(INDEX(Countries[],MATCH(CountryCleanup[[#This Row],[ISO3]],Countries[ISO3],0),3),"")</f>
        <v>296</v>
      </c>
      <c r="E1272" t="str">
        <f>IFERROR(INDEX(Countries[],MATCH(CountryCleanup[[#This Row],[ISO3]],Countries[ISO3],0),6),"")</f>
        <v>Kiribati</v>
      </c>
    </row>
    <row r="1273" spans="2:5" x14ac:dyDescent="0.45">
      <c r="B1273" t="s">
        <v>1059</v>
      </c>
      <c r="C1273" t="s">
        <v>1058</v>
      </c>
      <c r="D1273">
        <f>IFERROR(INDEX(Countries[],MATCH(CountryCleanup[[#This Row],[ISO3]],Countries[ISO3],0),3),"")</f>
        <v>612</v>
      </c>
      <c r="E1273" t="str">
        <f>IFERROR(INDEX(Countries[],MATCH(CountryCleanup[[#This Row],[ISO3]],Countries[ISO3],0),6),"")</f>
        <v>Pitcairn</v>
      </c>
    </row>
    <row r="1274" spans="2:5" x14ac:dyDescent="0.45">
      <c r="B1274" t="s">
        <v>1753</v>
      </c>
      <c r="C1274" t="s">
        <v>1058</v>
      </c>
      <c r="D1274">
        <f>IFERROR(INDEX(Countries[],MATCH(CountryCleanup[[#This Row],[ISO3]],Countries[ISO3],0),3),"")</f>
        <v>612</v>
      </c>
      <c r="E1274" t="str">
        <f>IFERROR(INDEX(Countries[],MATCH(CountryCleanup[[#This Row],[ISO3]],Countries[ISO3],0),6),"")</f>
        <v>Pitcairn</v>
      </c>
    </row>
    <row r="1275" spans="2:5" x14ac:dyDescent="0.45">
      <c r="B1275" t="s">
        <v>2839</v>
      </c>
      <c r="C1275" t="s">
        <v>1058</v>
      </c>
      <c r="D1275">
        <f>IFERROR(INDEX(Countries[],MATCH(CountryCleanup[[#This Row],[ISO3]],Countries[ISO3],0),3),"")</f>
        <v>612</v>
      </c>
      <c r="E1275" t="str">
        <f>IFERROR(INDEX(Countries[],MATCH(CountryCleanup[[#This Row],[ISO3]],Countries[ISO3],0),6),"")</f>
        <v>Pitcairn</v>
      </c>
    </row>
    <row r="1276" spans="2:5" x14ac:dyDescent="0.45">
      <c r="B1276" t="s">
        <v>1754</v>
      </c>
      <c r="C1276" t="s">
        <v>290</v>
      </c>
      <c r="D1276">
        <f>IFERROR(INDEX(Countries[],MATCH(CountryCleanup[[#This Row],[ISO3]],Countries[ISO3],0),3),"")</f>
        <v>68</v>
      </c>
      <c r="E1276" t="str">
        <f>IFERROR(INDEX(Countries[],MATCH(CountryCleanup[[#This Row],[ISO3]],Countries[ISO3],0),6),"")</f>
        <v>Bolivia (Plurinational State of)</v>
      </c>
    </row>
    <row r="1277" spans="2:5" x14ac:dyDescent="0.45">
      <c r="B1277" t="s">
        <v>1062</v>
      </c>
      <c r="C1277" t="s">
        <v>1061</v>
      </c>
      <c r="D1277">
        <f>IFERROR(INDEX(Countries[],MATCH(CountryCleanup[[#This Row],[ISO3]],Countries[ISO3],0),3),"")</f>
        <v>616</v>
      </c>
      <c r="E1277" t="str">
        <f>IFERROR(INDEX(Countries[],MATCH(CountryCleanup[[#This Row],[ISO3]],Countries[ISO3],0),6),"")</f>
        <v>Poland</v>
      </c>
    </row>
    <row r="1278" spans="2:5" x14ac:dyDescent="0.45">
      <c r="B1278" t="s">
        <v>1981</v>
      </c>
      <c r="C1278" t="s">
        <v>1061</v>
      </c>
      <c r="D1278">
        <f>IFERROR(INDEX(Countries[],MATCH(CountryCleanup[[#This Row],[ISO3]],Countries[ISO3],0),3),"")</f>
        <v>616</v>
      </c>
      <c r="E1278" t="str">
        <f>IFERROR(INDEX(Countries[],MATCH(CountryCleanup[[#This Row],[ISO3]],Countries[ISO3],0),6),"")</f>
        <v>Poland</v>
      </c>
    </row>
    <row r="1279" spans="2:5" x14ac:dyDescent="0.45">
      <c r="B1279" t="s">
        <v>2916</v>
      </c>
      <c r="C1279" t="s">
        <v>1061</v>
      </c>
      <c r="D1279">
        <f>IFERROR(INDEX(Countries[],MATCH(CountryCleanup[[#This Row],[ISO3]],Countries[ISO3],0),3),"")</f>
        <v>616</v>
      </c>
      <c r="E1279" t="str">
        <f>IFERROR(INDEX(Countries[],MATCH(CountryCleanup[[#This Row],[ISO3]],Countries[ISO3],0),6),"")</f>
        <v>Poland</v>
      </c>
    </row>
    <row r="1280" spans="2:5" x14ac:dyDescent="0.45">
      <c r="B1280" t="s">
        <v>1068</v>
      </c>
      <c r="C1280" t="s">
        <v>1067</v>
      </c>
      <c r="D1280">
        <f>IFERROR(INDEX(Countries[],MATCH(CountryCleanup[[#This Row],[ISO3]],Countries[ISO3],0),3),"")</f>
        <v>620</v>
      </c>
      <c r="E1280" t="str">
        <f>IFERROR(INDEX(Countries[],MATCH(CountryCleanup[[#This Row],[ISO3]],Countries[ISO3],0),6),"")</f>
        <v>Portugal</v>
      </c>
    </row>
    <row r="1281" spans="2:5" x14ac:dyDescent="0.45">
      <c r="B1281" t="s">
        <v>1982</v>
      </c>
      <c r="C1281" t="s">
        <v>1067</v>
      </c>
      <c r="D1281">
        <f>IFERROR(INDEX(Countries[],MATCH(CountryCleanup[[#This Row],[ISO3]],Countries[ISO3],0),3),"")</f>
        <v>620</v>
      </c>
      <c r="E1281" t="str">
        <f>IFERROR(INDEX(Countries[],MATCH(CountryCleanup[[#This Row],[ISO3]],Countries[ISO3],0),6),"")</f>
        <v>Portugal</v>
      </c>
    </row>
    <row r="1282" spans="2:5" x14ac:dyDescent="0.45">
      <c r="B1282" t="s">
        <v>1071</v>
      </c>
      <c r="C1282" t="s">
        <v>1070</v>
      </c>
      <c r="D1282">
        <f>IFERROR(INDEX(Countries[],MATCH(CountryCleanup[[#This Row],[ISO3]],Countries[ISO3],0),3),"")</f>
        <v>630</v>
      </c>
      <c r="E1282" t="str">
        <f>IFERROR(INDEX(Countries[],MATCH(CountryCleanup[[#This Row],[ISO3]],Countries[ISO3],0),6),"")</f>
        <v>Puerto Rico</v>
      </c>
    </row>
    <row r="1283" spans="2:5" x14ac:dyDescent="0.45">
      <c r="B1283" s="9" t="s">
        <v>1755</v>
      </c>
      <c r="C1283" t="s">
        <v>1070</v>
      </c>
      <c r="D1283">
        <f>IFERROR(INDEX(Countries[],MATCH(CountryCleanup[[#This Row],[ISO3]],Countries[ISO3],0),3),"")</f>
        <v>630</v>
      </c>
      <c r="E1283" t="str">
        <f>IFERROR(INDEX(Countries[],MATCH(CountryCleanup[[#This Row],[ISO3]],Countries[ISO3],0),6),"")</f>
        <v>Puerto Rico</v>
      </c>
    </row>
    <row r="1284" spans="2:5" x14ac:dyDescent="0.45">
      <c r="B1284" t="s">
        <v>2810</v>
      </c>
      <c r="C1284" t="s">
        <v>1070</v>
      </c>
      <c r="D1284">
        <f>IFERROR(INDEX(Countries[],MATCH(CountryCleanup[[#This Row],[ISO3]],Countries[ISO3],0),3),"")</f>
        <v>630</v>
      </c>
      <c r="E1284" t="str">
        <f>IFERROR(INDEX(Countries[],MATCH(CountryCleanup[[#This Row],[ISO3]],Countries[ISO3],0),6),"")</f>
        <v>Puerto Rico</v>
      </c>
    </row>
    <row r="1285" spans="2:5" x14ac:dyDescent="0.45">
      <c r="B1285" t="s">
        <v>1075</v>
      </c>
      <c r="C1285" t="s">
        <v>1074</v>
      </c>
      <c r="D1285">
        <f>IFERROR(INDEX(Countries[],MATCH(CountryCleanup[[#This Row],[ISO3]],Countries[ISO3],0),3),"")</f>
        <v>634</v>
      </c>
      <c r="E1285" t="str">
        <f>IFERROR(INDEX(Countries[],MATCH(CountryCleanup[[#This Row],[ISO3]],Countries[ISO3],0),6),"")</f>
        <v>Qatar</v>
      </c>
    </row>
    <row r="1286" spans="2:5" x14ac:dyDescent="0.45">
      <c r="B1286" t="s">
        <v>2239</v>
      </c>
      <c r="C1286" t="s">
        <v>1074</v>
      </c>
      <c r="D1286">
        <f>IFERROR(INDEX(Countries[],MATCH(CountryCleanup[[#This Row],[ISO3]],Countries[ISO3],0),3),"")</f>
        <v>634</v>
      </c>
      <c r="E1286" t="str">
        <f>IFERROR(INDEX(Countries[],MATCH(CountryCleanup[[#This Row],[ISO3]],Countries[ISO3],0),6),"")</f>
        <v>Qatar</v>
      </c>
    </row>
    <row r="1287" spans="2:5" x14ac:dyDescent="0.45">
      <c r="B1287" s="9" t="s">
        <v>1756</v>
      </c>
      <c r="C1287" s="3" t="s">
        <v>1119</v>
      </c>
      <c r="D1287">
        <f>IFERROR(INDEX(Countries[],MATCH(CountryCleanup[[#This Row],[ISO3]],Countries[ISO3],0),3),"")</f>
        <v>638</v>
      </c>
      <c r="E1287" t="str">
        <f>IFERROR(INDEX(Countries[],MATCH(CountryCleanup[[#This Row],[ISO3]],Countries[ISO3],0),6),"")</f>
        <v>Réunion</v>
      </c>
    </row>
    <row r="1288" spans="2:5" x14ac:dyDescent="0.45">
      <c r="B1288" t="s">
        <v>2793</v>
      </c>
      <c r="C1288" s="3" t="s">
        <v>1383</v>
      </c>
      <c r="D1288">
        <f>IFERROR(INDEX(Countries[],MATCH(CountryCleanup[[#This Row],[ISO3]],Countries[ISO3],0),3),"")</f>
        <v>784</v>
      </c>
      <c r="E1288" t="str">
        <f>IFERROR(INDEX(Countries[],MATCH(CountryCleanup[[#This Row],[ISO3]],Countries[ISO3],0),6),"")</f>
        <v>United Arab Emirates (the)</v>
      </c>
    </row>
    <row r="1289" spans="2:5" x14ac:dyDescent="0.45">
      <c r="B1289" t="s">
        <v>1757</v>
      </c>
      <c r="C1289" t="s">
        <v>940</v>
      </c>
      <c r="D1289">
        <f>IFERROR(INDEX(Countries[],MATCH(CountryCleanup[[#This Row],[ISO3]],Countries[ISO3],0),3),"")</f>
        <v>99909</v>
      </c>
      <c r="E1289" t="str">
        <f>IFERROR(INDEX(Countries[],MATCH(CountryCleanup[[#This Row],[ISO3]],Countries[ISO3],0),6),"")</f>
        <v>Multilateral</v>
      </c>
    </row>
    <row r="1290" spans="2:5" x14ac:dyDescent="0.45">
      <c r="B1290" t="s">
        <v>2365</v>
      </c>
      <c r="C1290" t="s">
        <v>1078</v>
      </c>
      <c r="D1290">
        <f>IFERROR(INDEX(Countries[],MATCH(CountryCleanup[[#This Row],[ISO3]],Countries[ISO3],0),3),"")</f>
        <v>410</v>
      </c>
      <c r="E1290" t="str">
        <f>IFERROR(INDEX(Countries[],MATCH(CountryCleanup[[#This Row],[ISO3]],Countries[ISO3],0),6),"")</f>
        <v>Republic of Korea (the)</v>
      </c>
    </row>
    <row r="1291" spans="2:5" x14ac:dyDescent="0.45">
      <c r="B1291" t="s">
        <v>2367</v>
      </c>
      <c r="C1291" t="s">
        <v>1084</v>
      </c>
      <c r="D1291">
        <f>IFERROR(INDEX(Countries[],MATCH(CountryCleanup[[#This Row],[ISO3]],Countries[ISO3],0),3),"")</f>
        <v>498</v>
      </c>
      <c r="E1291" t="str">
        <f>IFERROR(INDEX(Countries[],MATCH(CountryCleanup[[#This Row],[ISO3]],Countries[ISO3],0),6),"")</f>
        <v>Republic of Moldova (the)</v>
      </c>
    </row>
    <row r="1292" spans="2:5" x14ac:dyDescent="0.45">
      <c r="B1292" t="s">
        <v>2772</v>
      </c>
      <c r="C1292" s="3" t="s">
        <v>451</v>
      </c>
      <c r="D1292">
        <f>IFERROR(INDEX(Countries[],MATCH(CountryCleanup[[#This Row],[ISO3]],Countries[ISO3],0),3),"")</f>
        <v>178</v>
      </c>
      <c r="E1292" t="str">
        <f>IFERROR(INDEX(Countries[],MATCH(CountryCleanup[[#This Row],[ISO3]],Countries[ISO3],0),6),"")</f>
        <v>Congo (the)</v>
      </c>
    </row>
    <row r="1293" spans="2:5" x14ac:dyDescent="0.45">
      <c r="B1293" t="s">
        <v>2490</v>
      </c>
      <c r="C1293" t="s">
        <v>500</v>
      </c>
      <c r="D1293">
        <f>IFERROR(INDEX(Countries[],MATCH(CountryCleanup[[#This Row],[ISO3]],Countries[ISO3],0),3),"")</f>
        <v>180</v>
      </c>
      <c r="E1293" t="str">
        <f>IFERROR(INDEX(Countries[],MATCH(CountryCleanup[[#This Row],[ISO3]],Countries[ISO3],0),6),"")</f>
        <v>Democratic Republic of the Congo (the)</v>
      </c>
    </row>
    <row r="1294" spans="2:5" x14ac:dyDescent="0.45">
      <c r="B1294" t="s">
        <v>1079</v>
      </c>
      <c r="C1294" t="s">
        <v>1078</v>
      </c>
      <c r="D1294">
        <f>IFERROR(INDEX(Countries[],MATCH(CountryCleanup[[#This Row],[ISO3]],Countries[ISO3],0),3),"")</f>
        <v>410</v>
      </c>
      <c r="E1294" t="str">
        <f>IFERROR(INDEX(Countries[],MATCH(CountryCleanup[[#This Row],[ISO3]],Countries[ISO3],0),6),"")</f>
        <v>Republic of Korea (the)</v>
      </c>
    </row>
    <row r="1295" spans="2:5" x14ac:dyDescent="0.45">
      <c r="B1295" t="s">
        <v>1085</v>
      </c>
      <c r="C1295" t="s">
        <v>1084</v>
      </c>
      <c r="D1295">
        <f>IFERROR(INDEX(Countries[],MATCH(CountryCleanup[[#This Row],[ISO3]],Countries[ISO3],0),3),"")</f>
        <v>498</v>
      </c>
      <c r="E1295" t="str">
        <f>IFERROR(INDEX(Countries[],MATCH(CountryCleanup[[#This Row],[ISO3]],Countries[ISO3],0),6),"")</f>
        <v>Republic of Moldova (the)</v>
      </c>
    </row>
    <row r="1296" spans="2:5" x14ac:dyDescent="0.45">
      <c r="B1296" t="s">
        <v>2449</v>
      </c>
      <c r="C1296" t="s">
        <v>1090</v>
      </c>
      <c r="D1296">
        <f>IFERROR(INDEX(Countries[],MATCH(CountryCleanup[[#This Row],[ISO3]],Countries[ISO3],0),3),"")</f>
        <v>807</v>
      </c>
      <c r="E1296" t="str">
        <f>IFERROR(INDEX(Countries[],MATCH(CountryCleanup[[#This Row],[ISO3]],Countries[ISO3],0),6),"")</f>
        <v>North Macedonia</v>
      </c>
    </row>
    <row r="1297" spans="2:5" x14ac:dyDescent="0.45">
      <c r="B1297" s="9" t="s">
        <v>1758</v>
      </c>
      <c r="C1297" t="s">
        <v>1395</v>
      </c>
      <c r="D1297">
        <f>IFERROR(INDEX(Countries[],MATCH(CountryCleanup[[#This Row],[ISO3]],Countries[ISO3],0),3),"")</f>
        <v>834</v>
      </c>
      <c r="E1297" t="str">
        <f>IFERROR(INDEX(Countries[],MATCH(CountryCleanup[[#This Row],[ISO3]],Countries[ISO3],0),6),"")</f>
        <v>United Republic of Tanzania (the)</v>
      </c>
    </row>
    <row r="1298" spans="2:5" x14ac:dyDescent="0.45">
      <c r="B1298" t="s">
        <v>1759</v>
      </c>
      <c r="C1298" s="5" t="s">
        <v>451</v>
      </c>
      <c r="D1298">
        <f>IFERROR(INDEX(Countries[],MATCH(CountryCleanup[[#This Row],[ISO3]],Countries[ISO3],0),3),"")</f>
        <v>178</v>
      </c>
      <c r="E1298" t="str">
        <f>IFERROR(INDEX(Countries[],MATCH(CountryCleanup[[#This Row],[ISO3]],Countries[ISO3],0),6),"")</f>
        <v>Congo (the)</v>
      </c>
    </row>
    <row r="1299" spans="2:5" x14ac:dyDescent="0.45">
      <c r="B1299" t="s">
        <v>2887</v>
      </c>
      <c r="C1299" s="3" t="s">
        <v>1355</v>
      </c>
      <c r="D1299">
        <f>IFERROR(INDEX(Countries[],MATCH(CountryCleanup[[#This Row],[ISO3]],Countries[ISO3],0),3),"")</f>
        <v>792</v>
      </c>
      <c r="E1299" t="str">
        <f>IFERROR(INDEX(Countries[],MATCH(CountryCleanup[[#This Row],[ISO3]],Countries[ISO3],0),6),"")</f>
        <v>Türkiye</v>
      </c>
    </row>
    <row r="1300" spans="2:5" x14ac:dyDescent="0.45">
      <c r="B1300" s="3" t="s">
        <v>2486</v>
      </c>
      <c r="C1300" s="3" t="s">
        <v>1355</v>
      </c>
      <c r="D1300">
        <f>IFERROR(INDEX(Countries[],MATCH(CountryCleanup[[#This Row],[ISO3]],Countries[ISO3],0),3),"")</f>
        <v>792</v>
      </c>
      <c r="E1300" t="str">
        <f>IFERROR(INDEX(Countries[],MATCH(CountryCleanup[[#This Row],[ISO3]],Countries[ISO3],0),6),"")</f>
        <v>Türkiye</v>
      </c>
    </row>
    <row r="1301" spans="2:5" x14ac:dyDescent="0.45">
      <c r="B1301" s="5" t="s">
        <v>1918</v>
      </c>
      <c r="C1301" s="3" t="s">
        <v>1917</v>
      </c>
      <c r="D1301">
        <f>IFERROR(INDEX(Countries[],MATCH(CountryCleanup[[#This Row],[ISO3]],Countries[ISO3],0),3),"")</f>
        <v>99037</v>
      </c>
      <c r="E1301" t="str">
        <f>IFERROR(INDEX(Countries[],MATCH(CountryCleanup[[#This Row],[ISO3]],Countries[ISO3],0),6),"")</f>
        <v>Residual/unallocated: Latin America and the Caribbean</v>
      </c>
    </row>
    <row r="1302" spans="2:5" x14ac:dyDescent="0.45">
      <c r="B1302" s="2" t="s">
        <v>1928</v>
      </c>
      <c r="C1302" s="5" t="s">
        <v>1924</v>
      </c>
      <c r="D1302">
        <f>IFERROR(INDEX(Countries[],MATCH(CountryCleanup[[#This Row],[ISO3]],Countries[ISO3],0),3),"")</f>
        <v>99035</v>
      </c>
      <c r="E1302" t="str">
        <f>IFERROR(INDEX(Countries[],MATCH(CountryCleanup[[#This Row],[ISO3]],Countries[ISO3],0),6),"")</f>
        <v>Residual/unallocated: Central Asia and Southern Asia</v>
      </c>
    </row>
    <row r="1303" spans="2:5" x14ac:dyDescent="0.45">
      <c r="B1303" s="2" t="s">
        <v>1922</v>
      </c>
      <c r="C1303" s="5" t="s">
        <v>1924</v>
      </c>
      <c r="D1303">
        <f>IFERROR(INDEX(Countries[],MATCH(CountryCleanup[[#This Row],[ISO3]],Countries[ISO3],0),3),"")</f>
        <v>99035</v>
      </c>
      <c r="E1303" t="str">
        <f>IFERROR(INDEX(Countries[],MATCH(CountryCleanup[[#This Row],[ISO3]],Countries[ISO3],0),6),"")</f>
        <v>Residual/unallocated: Central Asia and Southern Asia</v>
      </c>
    </row>
    <row r="1304" spans="2:5" x14ac:dyDescent="0.45">
      <c r="B1304" t="s">
        <v>1096</v>
      </c>
      <c r="C1304" s="5" t="s">
        <v>1094</v>
      </c>
      <c r="D1304">
        <f>IFERROR(INDEX(Countries[],MATCH(CountryCleanup[[#This Row],[ISO3]],Countries[ISO3],0),3),"")</f>
        <v>99036</v>
      </c>
      <c r="E1304" t="str">
        <f>IFERROR(INDEX(Countries[],MATCH(CountryCleanup[[#This Row],[ISO3]],Countries[ISO3],0),6),"")</f>
        <v>Residual/unallocated: Eastern and South-eastern Asia</v>
      </c>
    </row>
    <row r="1305" spans="2:5" x14ac:dyDescent="0.45">
      <c r="B1305" s="2" t="s">
        <v>1935</v>
      </c>
      <c r="C1305" s="5" t="s">
        <v>1094</v>
      </c>
      <c r="D1305">
        <f>IFERROR(INDEX(Countries[],MATCH(CountryCleanup[[#This Row],[ISO3]],Countries[ISO3],0),3),"")</f>
        <v>99036</v>
      </c>
      <c r="E1305" t="str">
        <f>IFERROR(INDEX(Countries[],MATCH(CountryCleanup[[#This Row],[ISO3]],Countries[ISO3],0),6),"")</f>
        <v>Residual/unallocated: Eastern and South-eastern Asia</v>
      </c>
    </row>
    <row r="1306" spans="2:5" x14ac:dyDescent="0.45">
      <c r="B1306" s="5" t="s">
        <v>1920</v>
      </c>
      <c r="C1306" s="5" t="s">
        <v>1943</v>
      </c>
      <c r="D1306">
        <f>IFERROR(INDEX(Countries[],MATCH(CountryCleanup[[#This Row],[ISO3]],Countries[ISO3],0),3),"")</f>
        <v>99050</v>
      </c>
      <c r="E1306" t="str">
        <f>IFERROR(INDEX(Countries[],MATCH(CountryCleanup[[#This Row],[ISO3]],Countries[ISO3],0),6),"")</f>
        <v>Residual/unallocated: Northern America and Europe</v>
      </c>
    </row>
    <row r="1307" spans="2:5" x14ac:dyDescent="0.45">
      <c r="B1307" t="s">
        <v>1099</v>
      </c>
      <c r="C1307" s="3" t="s">
        <v>1917</v>
      </c>
      <c r="D1307">
        <f>IFERROR(INDEX(Countries[],MATCH(CountryCleanup[[#This Row],[ISO3]],Countries[ISO3],0),3),"")</f>
        <v>99037</v>
      </c>
      <c r="E1307" t="str">
        <f>IFERROR(INDEX(Countries[],MATCH(CountryCleanup[[#This Row],[ISO3]],Countries[ISO3],0),6),"")</f>
        <v>Residual/unallocated: Latin America and the Caribbean</v>
      </c>
    </row>
    <row r="1308" spans="2:5" x14ac:dyDescent="0.45">
      <c r="B1308" s="2" t="s">
        <v>1942</v>
      </c>
      <c r="C1308" s="5" t="s">
        <v>1115</v>
      </c>
      <c r="D1308">
        <f>IFERROR(INDEX(Countries[],MATCH(CountryCleanup[[#This Row],[ISO3]],Countries[ISO3],0),3),"")</f>
        <v>99040</v>
      </c>
      <c r="E1308" t="str">
        <f>IFERROR(INDEX(Countries[],MATCH(CountryCleanup[[#This Row],[ISO3]],Countries[ISO3],0),6),"")</f>
        <v>Residual/unallocated: Western Asia and Northern Africa</v>
      </c>
    </row>
    <row r="1309" spans="2:5" x14ac:dyDescent="0.45">
      <c r="B1309" s="5" t="s">
        <v>1919</v>
      </c>
      <c r="C1309" s="5" t="s">
        <v>1943</v>
      </c>
      <c r="D1309">
        <f>IFERROR(INDEX(Countries[],MATCH(CountryCleanup[[#This Row],[ISO3]],Countries[ISO3],0),3),"")</f>
        <v>99050</v>
      </c>
      <c r="E1309" t="str">
        <f>IFERROR(INDEX(Countries[],MATCH(CountryCleanup[[#This Row],[ISO3]],Countries[ISO3],0),6),"")</f>
        <v>Residual/unallocated: Northern America and Europe</v>
      </c>
    </row>
    <row r="1310" spans="2:5" x14ac:dyDescent="0.45">
      <c r="B1310" s="5" t="s">
        <v>1104</v>
      </c>
      <c r="C1310" s="5" t="s">
        <v>1943</v>
      </c>
      <c r="D1310">
        <f>IFERROR(INDEX(Countries[],MATCH(CountryCleanup[[#This Row],[ISO3]],Countries[ISO3],0),3),"")</f>
        <v>99050</v>
      </c>
      <c r="E1310" t="str">
        <f>IFERROR(INDEX(Countries[],MATCH(CountryCleanup[[#This Row],[ISO3]],Countries[ISO3],0),6),"")</f>
        <v>Residual/unallocated: Northern America and Europe</v>
      </c>
    </row>
    <row r="1311" spans="2:5" x14ac:dyDescent="0.45">
      <c r="B1311" t="s">
        <v>1110</v>
      </c>
      <c r="C1311" s="3" t="s">
        <v>1108</v>
      </c>
      <c r="D1311">
        <f>IFERROR(INDEX(Countries[],MATCH(CountryCleanup[[#This Row],[ISO3]],Countries[ISO3],0),3),"")</f>
        <v>99038</v>
      </c>
      <c r="E1311" t="str">
        <f>IFERROR(INDEX(Countries[],MATCH(CountryCleanup[[#This Row],[ISO3]],Countries[ISO3],0),6),"")</f>
        <v>Residual/unallocated: Oceania excl. Aus. and N. Zealand</v>
      </c>
    </row>
    <row r="1312" spans="2:5" x14ac:dyDescent="0.45">
      <c r="B1312" s="2" t="s">
        <v>1936</v>
      </c>
      <c r="C1312" s="5" t="s">
        <v>1094</v>
      </c>
      <c r="D1312">
        <f>IFERROR(INDEX(Countries[],MATCH(CountryCleanup[[#This Row],[ISO3]],Countries[ISO3],0),3),"")</f>
        <v>99036</v>
      </c>
      <c r="E1312" t="str">
        <f>IFERROR(INDEX(Countries[],MATCH(CountryCleanup[[#This Row],[ISO3]],Countries[ISO3],0),6),"")</f>
        <v>Residual/unallocated: Eastern and South-eastern Asia</v>
      </c>
    </row>
    <row r="1313" spans="2:5" x14ac:dyDescent="0.45">
      <c r="B1313" s="2" t="s">
        <v>1929</v>
      </c>
      <c r="C1313" s="3" t="s">
        <v>1924</v>
      </c>
      <c r="D1313">
        <f>IFERROR(INDEX(Countries[],MATCH(CountryCleanup[[#This Row],[ISO3]],Countries[ISO3],0),3),"")</f>
        <v>99035</v>
      </c>
      <c r="E1313" t="str">
        <f>IFERROR(INDEX(Countries[],MATCH(CountryCleanup[[#This Row],[ISO3]],Countries[ISO3],0),6),"")</f>
        <v>Residual/unallocated: Central Asia and Southern Asia</v>
      </c>
    </row>
    <row r="1314" spans="2:5" x14ac:dyDescent="0.45">
      <c r="B1314" t="s">
        <v>1113</v>
      </c>
      <c r="C1314" s="3" t="s">
        <v>367</v>
      </c>
      <c r="D1314">
        <f>IFERROR(INDEX(Countries[],MATCH(CountryCleanup[[#This Row],[ISO3]],Countries[ISO3],0),3),"")</f>
        <v>99039</v>
      </c>
      <c r="E1314" t="str">
        <f>IFERROR(INDEX(Countries[],MATCH(CountryCleanup[[#This Row],[ISO3]],Countries[ISO3],0),6),"")</f>
        <v>Residual/unallocated: Sub-Saharan Africa</v>
      </c>
    </row>
    <row r="1315" spans="2:5" x14ac:dyDescent="0.45">
      <c r="B1315" s="2" t="s">
        <v>1941</v>
      </c>
      <c r="C1315" s="5" t="s">
        <v>1115</v>
      </c>
      <c r="D1315">
        <f>IFERROR(INDEX(Countries[],MATCH(CountryCleanup[[#This Row],[ISO3]],Countries[ISO3],0),3),"")</f>
        <v>99040</v>
      </c>
      <c r="E1315" t="str">
        <f>IFERROR(INDEX(Countries[],MATCH(CountryCleanup[[#This Row],[ISO3]],Countries[ISO3],0),6),"")</f>
        <v>Residual/unallocated: Western Asia and Northern Africa</v>
      </c>
    </row>
    <row r="1316" spans="2:5" x14ac:dyDescent="0.45">
      <c r="B1316" t="s">
        <v>1116</v>
      </c>
      <c r="C1316" s="3" t="s">
        <v>1115</v>
      </c>
      <c r="D1316">
        <f>IFERROR(INDEX(Countries[],MATCH(CountryCleanup[[#This Row],[ISO3]],Countries[ISO3],0),3),"")</f>
        <v>99040</v>
      </c>
      <c r="E1316" t="str">
        <f>IFERROR(INDEX(Countries[],MATCH(CountryCleanup[[#This Row],[ISO3]],Countries[ISO3],0),6),"")</f>
        <v>Residual/unallocated: Western Asia and Northern Africa</v>
      </c>
    </row>
    <row r="1317" spans="2:5" x14ac:dyDescent="0.45">
      <c r="B1317" t="s">
        <v>2374</v>
      </c>
      <c r="C1317" t="s">
        <v>1917</v>
      </c>
      <c r="D1317">
        <f>IFERROR(INDEX(Countries[],MATCH(CountryCleanup[[#This Row],[ISO3]],Countries[ISO3],0),3),"")</f>
        <v>99037</v>
      </c>
      <c r="E1317" t="str">
        <f>IFERROR(INDEX(Countries[],MATCH(CountryCleanup[[#This Row],[ISO3]],Countries[ISO3],0),6),"")</f>
        <v>Residual/unallocated: Latin America and the Caribbean</v>
      </c>
    </row>
    <row r="1318" spans="2:5" x14ac:dyDescent="0.45">
      <c r="B1318" t="s">
        <v>2773</v>
      </c>
      <c r="C1318" t="s">
        <v>1415</v>
      </c>
      <c r="D1318">
        <f>IFERROR(INDEX(Countries[],MATCH(CountryCleanup[[#This Row],[ISO3]],Countries[ISO3],0),3),"")</f>
        <v>99049</v>
      </c>
      <c r="E1318" t="str">
        <f>IFERROR(INDEX(Countries[],MATCH(CountryCleanup[[#This Row],[ISO3]],Countries[ISO3],0),6),"")</f>
        <v>Unspecified countries</v>
      </c>
    </row>
    <row r="1319" spans="2:5" x14ac:dyDescent="0.45">
      <c r="B1319" t="s">
        <v>1760</v>
      </c>
      <c r="C1319" t="s">
        <v>1119</v>
      </c>
      <c r="D1319">
        <f>IFERROR(INDEX(Countries[],MATCH(CountryCleanup[[#This Row],[ISO3]],Countries[ISO3],0),3),"")</f>
        <v>638</v>
      </c>
      <c r="E1319" t="str">
        <f>IFERROR(INDEX(Countries[],MATCH(CountryCleanup[[#This Row],[ISO3]],Countries[ISO3],0),6),"")</f>
        <v>Réunion</v>
      </c>
    </row>
    <row r="1320" spans="2:5" x14ac:dyDescent="0.45">
      <c r="B1320" t="s">
        <v>1120</v>
      </c>
      <c r="C1320" t="s">
        <v>1119</v>
      </c>
      <c r="D1320">
        <f>IFERROR(INDEX(Countries[],MATCH(CountryCleanup[[#This Row],[ISO3]],Countries[ISO3],0),3),"")</f>
        <v>638</v>
      </c>
      <c r="E1320" t="str">
        <f>IFERROR(INDEX(Countries[],MATCH(CountryCleanup[[#This Row],[ISO3]],Countries[ISO3],0),6),"")</f>
        <v>Réunion</v>
      </c>
    </row>
    <row r="1321" spans="2:5" x14ac:dyDescent="0.45">
      <c r="B1321" t="s">
        <v>1124</v>
      </c>
      <c r="C1321" t="s">
        <v>1123</v>
      </c>
      <c r="D1321">
        <f>IFERROR(INDEX(Countries[],MATCH(CountryCleanup[[#This Row],[ISO3]],Countries[ISO3],0),3),"")</f>
        <v>642</v>
      </c>
      <c r="E1321" t="str">
        <f>IFERROR(INDEX(Countries[],MATCH(CountryCleanup[[#This Row],[ISO3]],Countries[ISO3],0),6),"")</f>
        <v>Romania</v>
      </c>
    </row>
    <row r="1322" spans="2:5" x14ac:dyDescent="0.45">
      <c r="B1322" t="s">
        <v>1983</v>
      </c>
      <c r="C1322" t="s">
        <v>1123</v>
      </c>
      <c r="D1322">
        <f>IFERROR(INDEX(Countries[],MATCH(CountryCleanup[[#This Row],[ISO3]],Countries[ISO3],0),3),"")</f>
        <v>642</v>
      </c>
      <c r="E1322" t="str">
        <f>IFERROR(INDEX(Countries[],MATCH(CountryCleanup[[#This Row],[ISO3]],Countries[ISO3],0),6),"")</f>
        <v>Romania</v>
      </c>
    </row>
    <row r="1323" spans="2:5" x14ac:dyDescent="0.45">
      <c r="B1323" t="s">
        <v>1126</v>
      </c>
      <c r="C1323" t="s">
        <v>1123</v>
      </c>
      <c r="D1323">
        <f>IFERROR(INDEX(Countries[],MATCH(CountryCleanup[[#This Row],[ISO3]],Countries[ISO3],0),3),"")</f>
        <v>642</v>
      </c>
      <c r="E1323" t="str">
        <f>IFERROR(INDEX(Countries[],MATCH(CountryCleanup[[#This Row],[ISO3]],Countries[ISO3],0),6),"")</f>
        <v>Romania</v>
      </c>
    </row>
    <row r="1324" spans="2:5" x14ac:dyDescent="0.45">
      <c r="B1324" t="s">
        <v>1761</v>
      </c>
      <c r="C1324" t="s">
        <v>1129</v>
      </c>
      <c r="D1324">
        <f>IFERROR(INDEX(Countries[],MATCH(CountryCleanup[[#This Row],[ISO3]],Countries[ISO3],0),3),"")</f>
        <v>643</v>
      </c>
      <c r="E1324" t="str">
        <f>IFERROR(INDEX(Countries[],MATCH(CountryCleanup[[#This Row],[ISO3]],Countries[ISO3],0),6),"")</f>
        <v>Russian Federation (the)</v>
      </c>
    </row>
    <row r="1325" spans="2:5" x14ac:dyDescent="0.45">
      <c r="B1325" t="s">
        <v>2200</v>
      </c>
      <c r="C1325" t="s">
        <v>1129</v>
      </c>
      <c r="D1325">
        <f>IFERROR(INDEX(Countries[],MATCH(CountryCleanup[[#This Row],[ISO3]],Countries[ISO3],0),3),"")</f>
        <v>643</v>
      </c>
      <c r="E1325" t="str">
        <f>IFERROR(INDEX(Countries[],MATCH(CountryCleanup[[#This Row],[ISO3]],Countries[ISO3],0),6),"")</f>
        <v>Russian Federation (the)</v>
      </c>
    </row>
    <row r="1326" spans="2:5" x14ac:dyDescent="0.45">
      <c r="B1326" s="5" t="s">
        <v>1762</v>
      </c>
      <c r="C1326" s="5" t="s">
        <v>1129</v>
      </c>
      <c r="D1326">
        <f>IFERROR(INDEX(Countries[],MATCH(CountryCleanup[[#This Row],[ISO3]],Countries[ISO3],0),3),"")</f>
        <v>643</v>
      </c>
      <c r="E1326" t="str">
        <f>IFERROR(INDEX(Countries[],MATCH(CountryCleanup[[#This Row],[ISO3]],Countries[ISO3],0),6),"")</f>
        <v>Russian Federation (the)</v>
      </c>
    </row>
    <row r="1327" spans="2:5" x14ac:dyDescent="0.45">
      <c r="B1327" t="s">
        <v>1130</v>
      </c>
      <c r="C1327" t="s">
        <v>1129</v>
      </c>
      <c r="D1327">
        <f>IFERROR(INDEX(Countries[],MATCH(CountryCleanup[[#This Row],[ISO3]],Countries[ISO3],0),3),"")</f>
        <v>643</v>
      </c>
      <c r="E1327" t="str">
        <f>IFERROR(INDEX(Countries[],MATCH(CountryCleanup[[#This Row],[ISO3]],Countries[ISO3],0),6),"")</f>
        <v>Russian Federation (the)</v>
      </c>
    </row>
    <row r="1328" spans="2:5" x14ac:dyDescent="0.45">
      <c r="B1328" t="s">
        <v>2955</v>
      </c>
      <c r="C1328" t="s">
        <v>1129</v>
      </c>
      <c r="D1328">
        <f>IFERROR(INDEX(Countries[],MATCH(CountryCleanup[[#This Row],[ISO3]],Countries[ISO3],0),3),"")</f>
        <v>643</v>
      </c>
      <c r="E1328" t="str">
        <f>IFERROR(INDEX(Countries[],MATCH(CountryCleanup[[#This Row],[ISO3]],Countries[ISO3],0),6),"")</f>
        <v>Russian Federation (the)</v>
      </c>
    </row>
    <row r="1329" spans="2:5" x14ac:dyDescent="0.45">
      <c r="B1329" t="s">
        <v>1136</v>
      </c>
      <c r="C1329" t="s">
        <v>1135</v>
      </c>
      <c r="D1329">
        <f>IFERROR(INDEX(Countries[],MATCH(CountryCleanup[[#This Row],[ISO3]],Countries[ISO3],0),3),"")</f>
        <v>646</v>
      </c>
      <c r="E1329" t="str">
        <f>IFERROR(INDEX(Countries[],MATCH(CountryCleanup[[#This Row],[ISO3]],Countries[ISO3],0),6),"")</f>
        <v>Rwanda</v>
      </c>
    </row>
    <row r="1330" spans="2:5" x14ac:dyDescent="0.45">
      <c r="B1330" t="s">
        <v>2258</v>
      </c>
      <c r="C1330" t="s">
        <v>1135</v>
      </c>
      <c r="D1330">
        <f>IFERROR(INDEX(Countries[],MATCH(CountryCleanup[[#This Row],[ISO3]],Countries[ISO3],0),3),"")</f>
        <v>646</v>
      </c>
      <c r="E1330" t="str">
        <f>IFERROR(INDEX(Countries[],MATCH(CountryCleanup[[#This Row],[ISO3]],Countries[ISO3],0),6),"")</f>
        <v>Rwanda</v>
      </c>
    </row>
    <row r="1331" spans="2:5" x14ac:dyDescent="0.45">
      <c r="B1331" s="3" t="s">
        <v>1763</v>
      </c>
      <c r="C1331" t="s">
        <v>1139</v>
      </c>
      <c r="D1331">
        <f>IFERROR(INDEX(Countries[],MATCH(CountryCleanup[[#This Row],[ISO3]],Countries[ISO3],0),3),"")</f>
        <v>652</v>
      </c>
      <c r="E1331" t="str">
        <f>IFERROR(INDEX(Countries[],MATCH(CountryCleanup[[#This Row],[ISO3]],Countries[ISO3],0),6),"")</f>
        <v>Saint Barthélemy</v>
      </c>
    </row>
    <row r="1332" spans="2:5" x14ac:dyDescent="0.45">
      <c r="B1332" s="9" t="s">
        <v>1140</v>
      </c>
      <c r="C1332" t="s">
        <v>1139</v>
      </c>
      <c r="D1332">
        <f>IFERROR(INDEX(Countries[],MATCH(CountryCleanup[[#This Row],[ISO3]],Countries[ISO3],0),3),"")</f>
        <v>652</v>
      </c>
      <c r="E1332" t="str">
        <f>IFERROR(INDEX(Countries[],MATCH(CountryCleanup[[#This Row],[ISO3]],Countries[ISO3],0),6),"")</f>
        <v>Saint Barthélemy</v>
      </c>
    </row>
    <row r="1333" spans="2:5" x14ac:dyDescent="0.45">
      <c r="B1333" t="s">
        <v>1141</v>
      </c>
      <c r="C1333" t="s">
        <v>1139</v>
      </c>
      <c r="D1333">
        <f>IFERROR(INDEX(Countries[],MATCH(CountryCleanup[[#This Row],[ISO3]],Countries[ISO3],0),3),"")</f>
        <v>652</v>
      </c>
      <c r="E1333" t="str">
        <f>IFERROR(INDEX(Countries[],MATCH(CountryCleanup[[#This Row],[ISO3]],Countries[ISO3],0),6),"")</f>
        <v>Saint Barthélemy</v>
      </c>
    </row>
    <row r="1334" spans="2:5" x14ac:dyDescent="0.45">
      <c r="B1334" t="s">
        <v>2504</v>
      </c>
      <c r="C1334" t="s">
        <v>1139</v>
      </c>
      <c r="D1334">
        <f>IFERROR(INDEX(Countries[],MATCH(CountryCleanup[[#This Row],[ISO3]],Countries[ISO3],0),3),"")</f>
        <v>652</v>
      </c>
      <c r="E1334" t="str">
        <f>IFERROR(INDEX(Countries[],MATCH(CountryCleanup[[#This Row],[ISO3]],Countries[ISO3],0),6),"")</f>
        <v>Saint Barthélemy</v>
      </c>
    </row>
    <row r="1335" spans="2:5" x14ac:dyDescent="0.45">
      <c r="B1335" t="s">
        <v>1146</v>
      </c>
      <c r="C1335" t="s">
        <v>1145</v>
      </c>
      <c r="D1335">
        <f>IFERROR(INDEX(Countries[],MATCH(CountryCleanup[[#This Row],[ISO3]],Countries[ISO3],0),3),"")</f>
        <v>654</v>
      </c>
      <c r="E1335" t="str">
        <f>IFERROR(INDEX(Countries[],MATCH(CountryCleanup[[#This Row],[ISO3]],Countries[ISO3],0),6),"")</f>
        <v>Saint Helena</v>
      </c>
    </row>
    <row r="1336" spans="2:5" x14ac:dyDescent="0.45">
      <c r="B1336" s="9" t="s">
        <v>1764</v>
      </c>
      <c r="C1336" t="s">
        <v>1145</v>
      </c>
      <c r="D1336">
        <f>IFERROR(INDEX(Countries[],MATCH(CountryCleanup[[#This Row],[ISO3]],Countries[ISO3],0),3),"")</f>
        <v>654</v>
      </c>
      <c r="E1336" t="str">
        <f>IFERROR(INDEX(Countries[],MATCH(CountryCleanup[[#This Row],[ISO3]],Countries[ISO3],0),6),"")</f>
        <v>Saint Helena</v>
      </c>
    </row>
    <row r="1337" spans="2:5" x14ac:dyDescent="0.45">
      <c r="B1337" s="9" t="s">
        <v>1765</v>
      </c>
      <c r="C1337" t="s">
        <v>1145</v>
      </c>
      <c r="D1337">
        <f>IFERROR(INDEX(Countries[],MATCH(CountryCleanup[[#This Row],[ISO3]],Countries[ISO3],0),3),"")</f>
        <v>654</v>
      </c>
      <c r="E1337" t="str">
        <f>IFERROR(INDEX(Countries[],MATCH(CountryCleanup[[#This Row],[ISO3]],Countries[ISO3],0),6),"")</f>
        <v>Saint Helena</v>
      </c>
    </row>
    <row r="1338" spans="2:5" x14ac:dyDescent="0.45">
      <c r="B1338" t="s">
        <v>1152</v>
      </c>
      <c r="C1338" t="s">
        <v>1151</v>
      </c>
      <c r="D1338">
        <f>IFERROR(INDEX(Countries[],MATCH(CountryCleanup[[#This Row],[ISO3]],Countries[ISO3],0),3),"")</f>
        <v>659</v>
      </c>
      <c r="E1338" t="str">
        <f>IFERROR(INDEX(Countries[],MATCH(CountryCleanup[[#This Row],[ISO3]],Countries[ISO3],0),6),"")</f>
        <v>Saint Kitts and Nevis</v>
      </c>
    </row>
    <row r="1339" spans="2:5" x14ac:dyDescent="0.45">
      <c r="B1339" t="s">
        <v>1157</v>
      </c>
      <c r="C1339" t="s">
        <v>1156</v>
      </c>
      <c r="D1339">
        <f>IFERROR(INDEX(Countries[],MATCH(CountryCleanup[[#This Row],[ISO3]],Countries[ISO3],0),3),"")</f>
        <v>662</v>
      </c>
      <c r="E1339" t="str">
        <f>IFERROR(INDEX(Countries[],MATCH(CountryCleanup[[#This Row],[ISO3]],Countries[ISO3],0),6),"")</f>
        <v>Saint Lucia</v>
      </c>
    </row>
    <row r="1340" spans="2:5" x14ac:dyDescent="0.45">
      <c r="B1340" t="s">
        <v>1162</v>
      </c>
      <c r="C1340" t="s">
        <v>1161</v>
      </c>
      <c r="D1340">
        <f>IFERROR(INDEX(Countries[],MATCH(CountryCleanup[[#This Row],[ISO3]],Countries[ISO3],0),3),"")</f>
        <v>663</v>
      </c>
      <c r="E1340" t="str">
        <f>IFERROR(INDEX(Countries[],MATCH(CountryCleanup[[#This Row],[ISO3]],Countries[ISO3],0),6),"")</f>
        <v>Saint Martin (French Part)</v>
      </c>
    </row>
    <row r="1341" spans="2:5" x14ac:dyDescent="0.45">
      <c r="B1341" s="9" t="s">
        <v>1163</v>
      </c>
      <c r="C1341" t="s">
        <v>1161</v>
      </c>
      <c r="D1341">
        <f>IFERROR(INDEX(Countries[],MATCH(CountryCleanup[[#This Row],[ISO3]],Countries[ISO3],0),3),"")</f>
        <v>663</v>
      </c>
      <c r="E1341" t="str">
        <f>IFERROR(INDEX(Countries[],MATCH(CountryCleanup[[#This Row],[ISO3]],Countries[ISO3],0),6),"")</f>
        <v>Saint Martin (French Part)</v>
      </c>
    </row>
    <row r="1342" spans="2:5" x14ac:dyDescent="0.45">
      <c r="B1342" t="s">
        <v>1766</v>
      </c>
      <c r="C1342" t="s">
        <v>1161</v>
      </c>
      <c r="D1342">
        <f>IFERROR(INDEX(Countries[],MATCH(CountryCleanup[[#This Row],[ISO3]],Countries[ISO3],0),3),"")</f>
        <v>663</v>
      </c>
      <c r="E1342" t="str">
        <f>IFERROR(INDEX(Countries[],MATCH(CountryCleanup[[#This Row],[ISO3]],Countries[ISO3],0),6),"")</f>
        <v>Saint Martin (French Part)</v>
      </c>
    </row>
    <row r="1343" spans="2:5" x14ac:dyDescent="0.45">
      <c r="B1343" t="s">
        <v>1168</v>
      </c>
      <c r="C1343" t="s">
        <v>1167</v>
      </c>
      <c r="D1343">
        <f>IFERROR(INDEX(Countries[],MATCH(CountryCleanup[[#This Row],[ISO3]],Countries[ISO3],0),3),"")</f>
        <v>666</v>
      </c>
      <c r="E1343" t="str">
        <f>IFERROR(INDEX(Countries[],MATCH(CountryCleanup[[#This Row],[ISO3]],Countries[ISO3],0),6),"")</f>
        <v>Saint Pierre and Miquelon</v>
      </c>
    </row>
    <row r="1344" spans="2:5" x14ac:dyDescent="0.45">
      <c r="B1344" t="s">
        <v>1173</v>
      </c>
      <c r="C1344" t="s">
        <v>1172</v>
      </c>
      <c r="D1344">
        <f>IFERROR(INDEX(Countries[],MATCH(CountryCleanup[[#This Row],[ISO3]],Countries[ISO3],0),3),"")</f>
        <v>670</v>
      </c>
      <c r="E1344" t="str">
        <f>IFERROR(INDEX(Countries[],MATCH(CountryCleanup[[#This Row],[ISO3]],Countries[ISO3],0),6),"")</f>
        <v>Saint Vincent and the Grenadines</v>
      </c>
    </row>
    <row r="1345" spans="2:5" x14ac:dyDescent="0.45">
      <c r="B1345" s="9" t="s">
        <v>1767</v>
      </c>
      <c r="C1345" t="s">
        <v>1172</v>
      </c>
      <c r="D1345">
        <f>IFERROR(INDEX(Countries[],MATCH(CountryCleanup[[#This Row],[ISO3]],Countries[ISO3],0),3),"")</f>
        <v>670</v>
      </c>
      <c r="E1345" t="str">
        <f>IFERROR(INDEX(Countries[],MATCH(CountryCleanup[[#This Row],[ISO3]],Countries[ISO3],0),6),"")</f>
        <v>Saint Vincent and the Grenadines</v>
      </c>
    </row>
    <row r="1346" spans="2:5" x14ac:dyDescent="0.45">
      <c r="B1346" t="s">
        <v>1142</v>
      </c>
      <c r="C1346" t="s">
        <v>1139</v>
      </c>
      <c r="D1346">
        <f>IFERROR(INDEX(Countries[],MATCH(CountryCleanup[[#This Row],[ISO3]],Countries[ISO3],0),3),"")</f>
        <v>652</v>
      </c>
      <c r="E1346" t="str">
        <f>IFERROR(INDEX(Countries[],MATCH(CountryCleanup[[#This Row],[ISO3]],Countries[ISO3],0),6),"")</f>
        <v>Saint Barthélemy</v>
      </c>
    </row>
    <row r="1347" spans="2:5" x14ac:dyDescent="0.45">
      <c r="B1347" t="s">
        <v>1768</v>
      </c>
      <c r="C1347" t="s">
        <v>1161</v>
      </c>
      <c r="D1347">
        <f>IFERROR(INDEX(Countries[],MATCH(CountryCleanup[[#This Row],[ISO3]],Countries[ISO3],0),3),"")</f>
        <v>663</v>
      </c>
      <c r="E1347" t="str">
        <f>IFERROR(INDEX(Countries[],MATCH(CountryCleanup[[#This Row],[ISO3]],Countries[ISO3],0),6),"")</f>
        <v>Saint Martin (French Part)</v>
      </c>
    </row>
    <row r="1348" spans="2:5" x14ac:dyDescent="0.45">
      <c r="B1348" t="s">
        <v>2503</v>
      </c>
      <c r="C1348" t="s">
        <v>1161</v>
      </c>
      <c r="D1348">
        <f>IFERROR(INDEX(Countries[],MATCH(CountryCleanup[[#This Row],[ISO3]],Countries[ISO3],0),3),"")</f>
        <v>663</v>
      </c>
      <c r="E1348" t="str">
        <f>IFERROR(INDEX(Countries[],MATCH(CountryCleanup[[#This Row],[ISO3]],Countries[ISO3],0),6),"")</f>
        <v>Saint Martin (French Part)</v>
      </c>
    </row>
    <row r="1349" spans="2:5" x14ac:dyDescent="0.45">
      <c r="B1349" t="s">
        <v>1769</v>
      </c>
      <c r="C1349" t="s">
        <v>1161</v>
      </c>
      <c r="D1349">
        <f>IFERROR(INDEX(Countries[],MATCH(CountryCleanup[[#This Row],[ISO3]],Countries[ISO3],0),3),"")</f>
        <v>663</v>
      </c>
      <c r="E1349" t="str">
        <f>IFERROR(INDEX(Countries[],MATCH(CountryCleanup[[#This Row],[ISO3]],Countries[ISO3],0),6),"")</f>
        <v>Saint Martin (French Part)</v>
      </c>
    </row>
    <row r="1350" spans="2:5" x14ac:dyDescent="0.45">
      <c r="B1350" t="s">
        <v>1770</v>
      </c>
      <c r="C1350" t="s">
        <v>1161</v>
      </c>
      <c r="D1350">
        <f>IFERROR(INDEX(Countries[],MATCH(CountryCleanup[[#This Row],[ISO3]],Countries[ISO3],0),3),"")</f>
        <v>663</v>
      </c>
      <c r="E1350" t="str">
        <f>IFERROR(INDEX(Countries[],MATCH(CountryCleanup[[#This Row],[ISO3]],Countries[ISO3],0),6),"")</f>
        <v>Saint Martin (French Part)</v>
      </c>
    </row>
    <row r="1351" spans="2:5" x14ac:dyDescent="0.45">
      <c r="B1351" t="s">
        <v>1178</v>
      </c>
      <c r="C1351" t="s">
        <v>1177</v>
      </c>
      <c r="D1351">
        <f>IFERROR(INDEX(Countries[],MATCH(CountryCleanup[[#This Row],[ISO3]],Countries[ISO3],0),3),"")</f>
        <v>882</v>
      </c>
      <c r="E1351" t="str">
        <f>IFERROR(INDEX(Countries[],MATCH(CountryCleanup[[#This Row],[ISO3]],Countries[ISO3],0),6),"")</f>
        <v>Samoa</v>
      </c>
    </row>
    <row r="1352" spans="2:5" x14ac:dyDescent="0.45">
      <c r="B1352" t="s">
        <v>1182</v>
      </c>
      <c r="C1352" t="s">
        <v>1181</v>
      </c>
      <c r="D1352">
        <f>IFERROR(INDEX(Countries[],MATCH(CountryCleanup[[#This Row],[ISO3]],Countries[ISO3],0),3),"")</f>
        <v>674</v>
      </c>
      <c r="E1352" t="str">
        <f>IFERROR(INDEX(Countries[],MATCH(CountryCleanup[[#This Row],[ISO3]],Countries[ISO3],0),6),"")</f>
        <v>San Marino</v>
      </c>
    </row>
    <row r="1353" spans="2:5" x14ac:dyDescent="0.45">
      <c r="B1353" t="s">
        <v>2897</v>
      </c>
      <c r="C1353" t="s">
        <v>1181</v>
      </c>
      <c r="D1353">
        <f>IFERROR(INDEX(Countries[],MATCH(CountryCleanup[[#This Row],[ISO3]],Countries[ISO3],0),3),"")</f>
        <v>674</v>
      </c>
      <c r="E1353" t="str">
        <f>IFERROR(INDEX(Countries[],MATCH(CountryCleanup[[#This Row],[ISO3]],Countries[ISO3],0),6),"")</f>
        <v>San Marino</v>
      </c>
    </row>
    <row r="1354" spans="2:5" x14ac:dyDescent="0.45">
      <c r="B1354" t="s">
        <v>1771</v>
      </c>
      <c r="C1354" t="s">
        <v>1185</v>
      </c>
      <c r="D1354">
        <f>IFERROR(INDEX(Countries[],MATCH(CountryCleanup[[#This Row],[ISO3]],Countries[ISO3],0),3),"")</f>
        <v>678</v>
      </c>
      <c r="E1354" t="str">
        <f>IFERROR(INDEX(Countries[],MATCH(CountryCleanup[[#This Row],[ISO3]],Countries[ISO3],0),6),"")</f>
        <v>Sao Tome and Principe</v>
      </c>
    </row>
    <row r="1355" spans="2:5" x14ac:dyDescent="0.45">
      <c r="B1355" t="s">
        <v>1186</v>
      </c>
      <c r="C1355" t="s">
        <v>1185</v>
      </c>
      <c r="D1355">
        <f>IFERROR(INDEX(Countries[],MATCH(CountryCleanup[[#This Row],[ISO3]],Countries[ISO3],0),3),"")</f>
        <v>678</v>
      </c>
      <c r="E1355" t="str">
        <f>IFERROR(INDEX(Countries[],MATCH(CountryCleanup[[#This Row],[ISO3]],Countries[ISO3],0),6),"")</f>
        <v>Sao Tome and Principe</v>
      </c>
    </row>
    <row r="1356" spans="2:5" x14ac:dyDescent="0.45">
      <c r="B1356" t="s">
        <v>1772</v>
      </c>
      <c r="C1356" t="s">
        <v>1185</v>
      </c>
      <c r="D1356">
        <f>IFERROR(INDEX(Countries[],MATCH(CountryCleanup[[#This Row],[ISO3]],Countries[ISO3],0),3),"")</f>
        <v>678</v>
      </c>
      <c r="E1356" t="str">
        <f>IFERROR(INDEX(Countries[],MATCH(CountryCleanup[[#This Row],[ISO3]],Countries[ISO3],0),6),"")</f>
        <v>Sao Tome and Principe</v>
      </c>
    </row>
    <row r="1357" spans="2:5" x14ac:dyDescent="0.45">
      <c r="B1357" s="9" t="s">
        <v>1773</v>
      </c>
      <c r="C1357" t="s">
        <v>1185</v>
      </c>
      <c r="D1357">
        <f>IFERROR(INDEX(Countries[],MATCH(CountryCleanup[[#This Row],[ISO3]],Countries[ISO3],0),3),"")</f>
        <v>678</v>
      </c>
      <c r="E1357" t="str">
        <f>IFERROR(INDEX(Countries[],MATCH(CountryCleanup[[#This Row],[ISO3]],Countries[ISO3],0),6),"")</f>
        <v>Sao Tome and Principe</v>
      </c>
    </row>
    <row r="1358" spans="2:5" x14ac:dyDescent="0.45">
      <c r="B1358" s="5" t="s">
        <v>1774</v>
      </c>
      <c r="C1358" s="5" t="s">
        <v>1185</v>
      </c>
      <c r="D1358">
        <f>IFERROR(INDEX(Countries[],MATCH(CountryCleanup[[#This Row],[ISO3]],Countries[ISO3],0),3),"")</f>
        <v>678</v>
      </c>
      <c r="E1358" t="str">
        <f>IFERROR(INDEX(Countries[],MATCH(CountryCleanup[[#This Row],[ISO3]],Countries[ISO3],0),6),"")</f>
        <v>Sao Tome and Principe</v>
      </c>
    </row>
    <row r="1359" spans="2:5" x14ac:dyDescent="0.45">
      <c r="B1359" s="5" t="s">
        <v>1191</v>
      </c>
      <c r="C1359" s="5" t="s">
        <v>1190</v>
      </c>
      <c r="D1359">
        <f>IFERROR(INDEX(Countries[],MATCH(CountryCleanup[[#This Row],[ISO3]],Countries[ISO3],0),3),"")</f>
        <v>680</v>
      </c>
      <c r="E1359" t="str">
        <f>IFERROR(INDEX(Countries[],MATCH(CountryCleanup[[#This Row],[ISO3]],Countries[ISO3],0),6),"")</f>
        <v>Sark</v>
      </c>
    </row>
    <row r="1360" spans="2:5" x14ac:dyDescent="0.45">
      <c r="B1360" t="s">
        <v>1195</v>
      </c>
      <c r="C1360" t="s">
        <v>1194</v>
      </c>
      <c r="D1360">
        <f>IFERROR(INDEX(Countries[],MATCH(CountryCleanup[[#This Row],[ISO3]],Countries[ISO3],0),3),"")</f>
        <v>682</v>
      </c>
      <c r="E1360" t="str">
        <f>IFERROR(INDEX(Countries[],MATCH(CountryCleanup[[#This Row],[ISO3]],Countries[ISO3],0),6),"")</f>
        <v>Saudi Arabia</v>
      </c>
    </row>
    <row r="1361" spans="2:5" x14ac:dyDescent="0.45">
      <c r="B1361" t="s">
        <v>2203</v>
      </c>
      <c r="C1361" t="s">
        <v>1194</v>
      </c>
      <c r="D1361">
        <f>IFERROR(INDEX(Countries[],MATCH(CountryCleanup[[#This Row],[ISO3]],Countries[ISO3],0),3),"")</f>
        <v>682</v>
      </c>
      <c r="E1361" t="str">
        <f>IFERROR(INDEX(Countries[],MATCH(CountryCleanup[[#This Row],[ISO3]],Countries[ISO3],0),6),"")</f>
        <v>Saudi Arabia</v>
      </c>
    </row>
    <row r="1362" spans="2:5" x14ac:dyDescent="0.45">
      <c r="B1362" t="s">
        <v>1775</v>
      </c>
      <c r="C1362" s="3" t="s">
        <v>1389</v>
      </c>
      <c r="D1362">
        <f>IFERROR(INDEX(Countries[],MATCH(CountryCleanup[[#This Row],[ISO3]],Countries[ISO3],0),3),"")</f>
        <v>826</v>
      </c>
      <c r="E1362" t="str">
        <f>IFERROR(INDEX(Countries[],MATCH(CountryCleanup[[#This Row],[ISO3]],Countries[ISO3],0),6),"")</f>
        <v>United Kingdom of Great Britain and Northern Ireland (the)</v>
      </c>
    </row>
    <row r="1363" spans="2:5" x14ac:dyDescent="0.45">
      <c r="B1363" t="s">
        <v>1201</v>
      </c>
      <c r="C1363" t="s">
        <v>1200</v>
      </c>
      <c r="D1363">
        <f>IFERROR(INDEX(Countries[],MATCH(CountryCleanup[[#This Row],[ISO3]],Countries[ISO3],0),3),"")</f>
        <v>686</v>
      </c>
      <c r="E1363" t="str">
        <f>IFERROR(INDEX(Countries[],MATCH(CountryCleanup[[#This Row],[ISO3]],Countries[ISO3],0),6),"")</f>
        <v>Senegal</v>
      </c>
    </row>
    <row r="1364" spans="2:5" x14ac:dyDescent="0.45">
      <c r="B1364" s="9" t="s">
        <v>1776</v>
      </c>
      <c r="C1364" t="s">
        <v>1200</v>
      </c>
      <c r="D1364">
        <f>IFERROR(INDEX(Countries[],MATCH(CountryCleanup[[#This Row],[ISO3]],Countries[ISO3],0),3),"")</f>
        <v>686</v>
      </c>
      <c r="E1364" t="str">
        <f>IFERROR(INDEX(Countries[],MATCH(CountryCleanup[[#This Row],[ISO3]],Countries[ISO3],0),6),"")</f>
        <v>Senegal</v>
      </c>
    </row>
    <row r="1365" spans="2:5" x14ac:dyDescent="0.45">
      <c r="B1365" t="s">
        <v>1205</v>
      </c>
      <c r="C1365" t="s">
        <v>1204</v>
      </c>
      <c r="D1365">
        <f>IFERROR(INDEX(Countries[],MATCH(CountryCleanup[[#This Row],[ISO3]],Countries[ISO3],0),3),"")</f>
        <v>688</v>
      </c>
      <c r="E1365" t="str">
        <f>IFERROR(INDEX(Countries[],MATCH(CountryCleanup[[#This Row],[ISO3]],Countries[ISO3],0),6),"")</f>
        <v>Serbia</v>
      </c>
    </row>
    <row r="1366" spans="2:5" x14ac:dyDescent="0.45">
      <c r="B1366" t="s">
        <v>1984</v>
      </c>
      <c r="C1366" t="s">
        <v>1204</v>
      </c>
      <c r="D1366">
        <f>IFERROR(INDEX(Countries[],MATCH(CountryCleanup[[#This Row],[ISO3]],Countries[ISO3],0),3),"")</f>
        <v>688</v>
      </c>
      <c r="E1366" t="str">
        <f>IFERROR(INDEX(Countries[],MATCH(CountryCleanup[[#This Row],[ISO3]],Countries[ISO3],0),6),"")</f>
        <v>Serbia</v>
      </c>
    </row>
    <row r="1367" spans="2:5" x14ac:dyDescent="0.45">
      <c r="B1367" s="9" t="s">
        <v>1777</v>
      </c>
      <c r="C1367" t="s">
        <v>1204</v>
      </c>
      <c r="D1367">
        <f>IFERROR(INDEX(Countries[],MATCH(CountryCleanup[[#This Row],[ISO3]],Countries[ISO3],0),3),"")</f>
        <v>688</v>
      </c>
      <c r="E1367" t="str">
        <f>IFERROR(INDEX(Countries[],MATCH(CountryCleanup[[#This Row],[ISO3]],Countries[ISO3],0),6),"")</f>
        <v>Serbia</v>
      </c>
    </row>
    <row r="1368" spans="2:5" x14ac:dyDescent="0.45">
      <c r="B1368" t="s">
        <v>2393</v>
      </c>
      <c r="C1368" t="s">
        <v>1204</v>
      </c>
      <c r="D1368">
        <f>IFERROR(INDEX(Countries[],MATCH(CountryCleanup[[#This Row],[ISO3]],Countries[ISO3],0),3),"")</f>
        <v>688</v>
      </c>
      <c r="E1368" t="str">
        <f>IFERROR(INDEX(Countries[],MATCH(CountryCleanup[[#This Row],[ISO3]],Countries[ISO3],0),6),"")</f>
        <v>Serbia</v>
      </c>
    </row>
    <row r="1369" spans="2:5" x14ac:dyDescent="0.45">
      <c r="B1369" t="s">
        <v>2896</v>
      </c>
      <c r="C1369" t="s">
        <v>1204</v>
      </c>
      <c r="D1369">
        <f>IFERROR(INDEX(Countries[],MATCH(CountryCleanup[[#This Row],[ISO3]],Countries[ISO3],0),3),"")</f>
        <v>688</v>
      </c>
      <c r="E1369" t="str">
        <f>IFERROR(INDEX(Countries[],MATCH(CountryCleanup[[#This Row],[ISO3]],Countries[ISO3],0),6),"")</f>
        <v>Serbia</v>
      </c>
    </row>
    <row r="1370" spans="2:5" x14ac:dyDescent="0.45">
      <c r="B1370" t="s">
        <v>2908</v>
      </c>
      <c r="C1370" t="s">
        <v>1204</v>
      </c>
      <c r="D1370">
        <f>IFERROR(INDEX(Countries[],MATCH(CountryCleanup[[#This Row],[ISO3]],Countries[ISO3],0),3),"")</f>
        <v>688</v>
      </c>
      <c r="E1370" t="str">
        <f>IFERROR(INDEX(Countries[],MATCH(CountryCleanup[[#This Row],[ISO3]],Countries[ISO3],0),6),"")</f>
        <v>Serbia</v>
      </c>
    </row>
    <row r="1371" spans="2:5" x14ac:dyDescent="0.45">
      <c r="B1371" t="s">
        <v>1210</v>
      </c>
      <c r="C1371" t="s">
        <v>1209</v>
      </c>
      <c r="D1371">
        <f>IFERROR(INDEX(Countries[],MATCH(CountryCleanup[[#This Row],[ISO3]],Countries[ISO3],0),3),"")</f>
        <v>690</v>
      </c>
      <c r="E1371" t="str">
        <f>IFERROR(INDEX(Countries[],MATCH(CountryCleanup[[#This Row],[ISO3]],Countries[ISO3],0),6),"")</f>
        <v>Seychelles</v>
      </c>
    </row>
    <row r="1372" spans="2:5" x14ac:dyDescent="0.45">
      <c r="B1372" t="s">
        <v>2794</v>
      </c>
      <c r="C1372" s="3" t="s">
        <v>1383</v>
      </c>
      <c r="D1372">
        <f>IFERROR(INDEX(Countries[],MATCH(CountryCleanup[[#This Row],[ISO3]],Countries[ISO3],0),3),"")</f>
        <v>784</v>
      </c>
      <c r="E1372" t="str">
        <f>IFERROR(INDEX(Countries[],MATCH(CountryCleanup[[#This Row],[ISO3]],Countries[ISO3],0),6),"")</f>
        <v>United Arab Emirates (the)</v>
      </c>
    </row>
    <row r="1373" spans="2:5" x14ac:dyDescent="0.45">
      <c r="B1373" t="s">
        <v>1214</v>
      </c>
      <c r="C1373" t="s">
        <v>1213</v>
      </c>
      <c r="D1373">
        <f>IFERROR(INDEX(Countries[],MATCH(CountryCleanup[[#This Row],[ISO3]],Countries[ISO3],0),3),"")</f>
        <v>694</v>
      </c>
      <c r="E1373" t="str">
        <f>IFERROR(INDEX(Countries[],MATCH(CountryCleanup[[#This Row],[ISO3]],Countries[ISO3],0),6),"")</f>
        <v>Sierra Leone</v>
      </c>
    </row>
    <row r="1374" spans="2:5" x14ac:dyDescent="0.45">
      <c r="B1374" s="9" t="s">
        <v>1778</v>
      </c>
      <c r="C1374" t="s">
        <v>1213</v>
      </c>
      <c r="D1374">
        <f>IFERROR(INDEX(Countries[],MATCH(CountryCleanup[[#This Row],[ISO3]],Countries[ISO3],0),3),"")</f>
        <v>694</v>
      </c>
      <c r="E1374" t="str">
        <f>IFERROR(INDEX(Countries[],MATCH(CountryCleanup[[#This Row],[ISO3]],Countries[ISO3],0),6),"")</f>
        <v>Sierra Leone</v>
      </c>
    </row>
    <row r="1375" spans="2:5" x14ac:dyDescent="0.45">
      <c r="B1375" t="s">
        <v>1219</v>
      </c>
      <c r="C1375" t="s">
        <v>1218</v>
      </c>
      <c r="D1375">
        <f>IFERROR(INDEX(Countries[],MATCH(CountryCleanup[[#This Row],[ISO3]],Countries[ISO3],0),3),"")</f>
        <v>702</v>
      </c>
      <c r="E1375" t="str">
        <f>IFERROR(INDEX(Countries[],MATCH(CountryCleanup[[#This Row],[ISO3]],Countries[ISO3],0),6),"")</f>
        <v>Singapore</v>
      </c>
    </row>
    <row r="1376" spans="2:5" x14ac:dyDescent="0.45">
      <c r="B1376" t="s">
        <v>2247</v>
      </c>
      <c r="C1376" t="s">
        <v>1218</v>
      </c>
      <c r="D1376">
        <f>IFERROR(INDEX(Countries[],MATCH(CountryCleanup[[#This Row],[ISO3]],Countries[ISO3],0),3),"")</f>
        <v>702</v>
      </c>
      <c r="E1376" t="str">
        <f>IFERROR(INDEX(Countries[],MATCH(CountryCleanup[[#This Row],[ISO3]],Countries[ISO3],0),6),"")</f>
        <v>Singapore</v>
      </c>
    </row>
    <row r="1377" spans="2:5" x14ac:dyDescent="0.45">
      <c r="B1377" t="s">
        <v>2920</v>
      </c>
      <c r="C1377" t="s">
        <v>1218</v>
      </c>
      <c r="D1377">
        <f>IFERROR(INDEX(Countries[],MATCH(CountryCleanup[[#This Row],[ISO3]],Countries[ISO3],0),3),"")</f>
        <v>702</v>
      </c>
      <c r="E1377" t="str">
        <f>IFERROR(INDEX(Countries[],MATCH(CountryCleanup[[#This Row],[ISO3]],Countries[ISO3],0),6),"")</f>
        <v>Singapore</v>
      </c>
    </row>
    <row r="1378" spans="2:5" x14ac:dyDescent="0.45">
      <c r="B1378" t="s">
        <v>1225</v>
      </c>
      <c r="C1378" t="s">
        <v>1224</v>
      </c>
      <c r="D1378">
        <f>IFERROR(INDEX(Countries[],MATCH(CountryCleanup[[#This Row],[ISO3]],Countries[ISO3],0),3),"")</f>
        <v>534</v>
      </c>
      <c r="E1378" t="str">
        <f>IFERROR(INDEX(Countries[],MATCH(CountryCleanup[[#This Row],[ISO3]],Countries[ISO3],0),6),"")</f>
        <v>Sint Maarten (Dutch Part)</v>
      </c>
    </row>
    <row r="1379" spans="2:5" x14ac:dyDescent="0.45">
      <c r="B1379" t="s">
        <v>1226</v>
      </c>
      <c r="C1379" t="s">
        <v>1224</v>
      </c>
      <c r="D1379">
        <f>IFERROR(INDEX(Countries[],MATCH(CountryCleanup[[#This Row],[ISO3]],Countries[ISO3],0),3),"")</f>
        <v>534</v>
      </c>
      <c r="E1379" t="str">
        <f>IFERROR(INDEX(Countries[],MATCH(CountryCleanup[[#This Row],[ISO3]],Countries[ISO3],0),6),"")</f>
        <v>Sint Maarten (Dutch Part)</v>
      </c>
    </row>
    <row r="1380" spans="2:5" x14ac:dyDescent="0.45">
      <c r="B1380" t="s">
        <v>1779</v>
      </c>
      <c r="C1380" t="s">
        <v>1230</v>
      </c>
      <c r="D1380">
        <f>IFERROR(INDEX(Countries[],MATCH(CountryCleanup[[#This Row],[ISO3]],Countries[ISO3],0),3),"")</f>
        <v>703</v>
      </c>
      <c r="E1380" t="str">
        <f>IFERROR(INDEX(Countries[],MATCH(CountryCleanup[[#This Row],[ISO3]],Countries[ISO3],0),6),"")</f>
        <v>Slovakia</v>
      </c>
    </row>
    <row r="1381" spans="2:5" x14ac:dyDescent="0.45">
      <c r="B1381" t="s">
        <v>1231</v>
      </c>
      <c r="C1381" t="s">
        <v>1230</v>
      </c>
      <c r="D1381">
        <f>IFERROR(INDEX(Countries[],MATCH(CountryCleanup[[#This Row],[ISO3]],Countries[ISO3],0),3),"")</f>
        <v>703</v>
      </c>
      <c r="E1381" t="str">
        <f>IFERROR(INDEX(Countries[],MATCH(CountryCleanup[[#This Row],[ISO3]],Countries[ISO3],0),6),"")</f>
        <v>Slovakia</v>
      </c>
    </row>
    <row r="1382" spans="2:5" x14ac:dyDescent="0.45">
      <c r="B1382" t="s">
        <v>1985</v>
      </c>
      <c r="C1382" t="s">
        <v>1230</v>
      </c>
      <c r="D1382">
        <f>IFERROR(INDEX(Countries[],MATCH(CountryCleanup[[#This Row],[ISO3]],Countries[ISO3],0),3),"")</f>
        <v>703</v>
      </c>
      <c r="E1382" t="str">
        <f>IFERROR(INDEX(Countries[],MATCH(CountryCleanup[[#This Row],[ISO3]],Countries[ISO3],0),6),"")</f>
        <v>Slovakia</v>
      </c>
    </row>
    <row r="1383" spans="2:5" x14ac:dyDescent="0.45">
      <c r="B1383" t="s">
        <v>1236</v>
      </c>
      <c r="C1383" t="s">
        <v>1235</v>
      </c>
      <c r="D1383">
        <f>IFERROR(INDEX(Countries[],MATCH(CountryCleanup[[#This Row],[ISO3]],Countries[ISO3],0),3),"")</f>
        <v>705</v>
      </c>
      <c r="E1383" t="str">
        <f>IFERROR(INDEX(Countries[],MATCH(CountryCleanup[[#This Row],[ISO3]],Countries[ISO3],0),6),"")</f>
        <v>Slovenia</v>
      </c>
    </row>
    <row r="1384" spans="2:5" x14ac:dyDescent="0.45">
      <c r="B1384" t="s">
        <v>1986</v>
      </c>
      <c r="C1384" t="s">
        <v>1235</v>
      </c>
      <c r="D1384">
        <f>IFERROR(INDEX(Countries[],MATCH(CountryCleanup[[#This Row],[ISO3]],Countries[ISO3],0),3),"")</f>
        <v>705</v>
      </c>
      <c r="E1384" t="str">
        <f>IFERROR(INDEX(Countries[],MATCH(CountryCleanup[[#This Row],[ISO3]],Countries[ISO3],0),6),"")</f>
        <v>Slovenia</v>
      </c>
    </row>
    <row r="1385" spans="2:5" x14ac:dyDescent="0.45">
      <c r="B1385" s="5" t="s">
        <v>1780</v>
      </c>
      <c r="C1385" s="5" t="s">
        <v>1241</v>
      </c>
      <c r="D1385">
        <f>IFERROR(INDEX(Countries[],MATCH(CountryCleanup[[#This Row],[ISO3]],Countries[ISO3],0),3),"")</f>
        <v>90</v>
      </c>
      <c r="E1385" t="str">
        <f>IFERROR(INDEX(Countries[],MATCH(CountryCleanup[[#This Row],[ISO3]],Countries[ISO3],0),6),"")</f>
        <v>Solomon Islands</v>
      </c>
    </row>
    <row r="1386" spans="2:5" x14ac:dyDescent="0.45">
      <c r="B1386" t="s">
        <v>1781</v>
      </c>
      <c r="C1386" s="5" t="s">
        <v>1241</v>
      </c>
      <c r="D1386">
        <f>IFERROR(INDEX(Countries[],MATCH(CountryCleanup[[#This Row],[ISO3]],Countries[ISO3],0),3),"")</f>
        <v>90</v>
      </c>
      <c r="E1386" t="str">
        <f>IFERROR(INDEX(Countries[],MATCH(CountryCleanup[[#This Row],[ISO3]],Countries[ISO3],0),6),"")</f>
        <v>Solomon Islands</v>
      </c>
    </row>
    <row r="1387" spans="2:5" x14ac:dyDescent="0.45">
      <c r="B1387" t="s">
        <v>2369</v>
      </c>
      <c r="C1387" t="s">
        <v>1241</v>
      </c>
      <c r="D1387">
        <f>IFERROR(INDEX(Countries[],MATCH(CountryCleanup[[#This Row],[ISO3]],Countries[ISO3],0),3),"")</f>
        <v>90</v>
      </c>
      <c r="E1387" t="str">
        <f>IFERROR(INDEX(Countries[],MATCH(CountryCleanup[[#This Row],[ISO3]],Countries[ISO3],0),6),"")</f>
        <v>Solomon Islands</v>
      </c>
    </row>
    <row r="1388" spans="2:5" x14ac:dyDescent="0.45">
      <c r="B1388" t="s">
        <v>1242</v>
      </c>
      <c r="C1388" t="s">
        <v>1241</v>
      </c>
      <c r="D1388">
        <f>IFERROR(INDEX(Countries[],MATCH(CountryCleanup[[#This Row],[ISO3]],Countries[ISO3],0),3),"")</f>
        <v>90</v>
      </c>
      <c r="E1388" t="str">
        <f>IFERROR(INDEX(Countries[],MATCH(CountryCleanup[[#This Row],[ISO3]],Countries[ISO3],0),6),"")</f>
        <v>Solomon Islands</v>
      </c>
    </row>
    <row r="1389" spans="2:5" x14ac:dyDescent="0.45">
      <c r="B1389" t="s">
        <v>1248</v>
      </c>
      <c r="C1389" t="s">
        <v>1247</v>
      </c>
      <c r="D1389">
        <f>IFERROR(INDEX(Countries[],MATCH(CountryCleanup[[#This Row],[ISO3]],Countries[ISO3],0),3),"")</f>
        <v>706</v>
      </c>
      <c r="E1389" t="str">
        <f>IFERROR(INDEX(Countries[],MATCH(CountryCleanup[[#This Row],[ISO3]],Countries[ISO3],0),6),"")</f>
        <v>Somalia</v>
      </c>
    </row>
    <row r="1390" spans="2:5" x14ac:dyDescent="0.45">
      <c r="B1390" t="s">
        <v>2809</v>
      </c>
      <c r="C1390" t="s">
        <v>1247</v>
      </c>
      <c r="D1390">
        <f>IFERROR(INDEX(Countries[],MATCH(CountryCleanup[[#This Row],[ISO3]],Countries[ISO3],0),3),"")</f>
        <v>706</v>
      </c>
      <c r="E1390" t="str">
        <f>IFERROR(INDEX(Countries[],MATCH(CountryCleanup[[#This Row],[ISO3]],Countries[ISO3],0),6),"")</f>
        <v>Somalia</v>
      </c>
    </row>
    <row r="1391" spans="2:5" x14ac:dyDescent="0.45">
      <c r="B1391" t="s">
        <v>1782</v>
      </c>
      <c r="C1391" s="3" t="s">
        <v>1924</v>
      </c>
      <c r="D1391">
        <f>IFERROR(INDEX(Countries[],MATCH(CountryCleanup[[#This Row],[ISO3]],Countries[ISO3],0),3),"")</f>
        <v>99035</v>
      </c>
      <c r="E1391" t="str">
        <f>IFERROR(INDEX(Countries[],MATCH(CountryCleanup[[#This Row],[ISO3]],Countries[ISO3],0),6),"")</f>
        <v>Residual/unallocated: Central Asia and Southern Asia</v>
      </c>
    </row>
    <row r="1392" spans="2:5" x14ac:dyDescent="0.45">
      <c r="B1392" t="s">
        <v>1253</v>
      </c>
      <c r="C1392" t="s">
        <v>1252</v>
      </c>
      <c r="D1392">
        <f>IFERROR(INDEX(Countries[],MATCH(CountryCleanup[[#This Row],[ISO3]],Countries[ISO3],0),3),"")</f>
        <v>710</v>
      </c>
      <c r="E1392" t="str">
        <f>IFERROR(INDEX(Countries[],MATCH(CountryCleanup[[#This Row],[ISO3]],Countries[ISO3],0),6),"")</f>
        <v>South Africa</v>
      </c>
    </row>
    <row r="1393" spans="2:5" x14ac:dyDescent="0.45">
      <c r="B1393" t="s">
        <v>196</v>
      </c>
      <c r="C1393" s="5" t="s">
        <v>1917</v>
      </c>
      <c r="D1393">
        <f>IFERROR(INDEX(Countries[],MATCH(CountryCleanup[[#This Row],[ISO3]],Countries[ISO3],0),3),"")</f>
        <v>99037</v>
      </c>
      <c r="E1393" t="str">
        <f>IFERROR(INDEX(Countries[],MATCH(CountryCleanup[[#This Row],[ISO3]],Countries[ISO3],0),6),"")</f>
        <v>Residual/unallocated: Latin America and the Caribbean</v>
      </c>
    </row>
    <row r="1394" spans="2:5" x14ac:dyDescent="0.45">
      <c r="B1394" t="s">
        <v>1783</v>
      </c>
      <c r="C1394" s="5" t="s">
        <v>1917</v>
      </c>
      <c r="D1394">
        <f>IFERROR(INDEX(Countries[],MATCH(CountryCleanup[[#This Row],[ISO3]],Countries[ISO3],0),3),"")</f>
        <v>99037</v>
      </c>
      <c r="E1394" t="str">
        <f>IFERROR(INDEX(Countries[],MATCH(CountryCleanup[[#This Row],[ISO3]],Countries[ISO3],0),6),"")</f>
        <v>Residual/unallocated: Latin America and the Caribbean</v>
      </c>
    </row>
    <row r="1395" spans="2:5" x14ac:dyDescent="0.45">
      <c r="B1395" t="s">
        <v>102</v>
      </c>
      <c r="C1395" s="3" t="s">
        <v>1924</v>
      </c>
      <c r="D1395">
        <f>IFERROR(INDEX(Countries[],MATCH(CountryCleanup[[#This Row],[ISO3]],Countries[ISO3],0),3),"")</f>
        <v>99035</v>
      </c>
      <c r="E1395" t="str">
        <f>IFERROR(INDEX(Countries[],MATCH(CountryCleanup[[#This Row],[ISO3]],Countries[ISO3],0),6),"")</f>
        <v>Residual/unallocated: Central Asia and Southern Asia</v>
      </c>
    </row>
    <row r="1396" spans="2:5" x14ac:dyDescent="0.45">
      <c r="B1396" t="s">
        <v>1784</v>
      </c>
      <c r="C1396" s="3" t="s">
        <v>1924</v>
      </c>
      <c r="D1396">
        <f>IFERROR(INDEX(Countries[],MATCH(CountryCleanup[[#This Row],[ISO3]],Countries[ISO3],0),3),"")</f>
        <v>99035</v>
      </c>
      <c r="E1396" t="str">
        <f>IFERROR(INDEX(Countries[],MATCH(CountryCleanup[[#This Row],[ISO3]],Countries[ISO3],0),6),"")</f>
        <v>Residual/unallocated: Central Asia and Southern Asia</v>
      </c>
    </row>
    <row r="1397" spans="2:5" x14ac:dyDescent="0.45">
      <c r="B1397" t="s">
        <v>1785</v>
      </c>
      <c r="C1397" s="3" t="s">
        <v>1924</v>
      </c>
      <c r="D1397">
        <f>IFERROR(INDEX(Countries[],MATCH(CountryCleanup[[#This Row],[ISO3]],Countries[ISO3],0),3),"")</f>
        <v>99035</v>
      </c>
      <c r="E1397" t="str">
        <f>IFERROR(INDEX(Countries[],MATCH(CountryCleanup[[#This Row],[ISO3]],Countries[ISO3],0),6),"")</f>
        <v>Residual/unallocated: Central Asia and Southern Asia</v>
      </c>
    </row>
    <row r="1398" spans="2:5" x14ac:dyDescent="0.45">
      <c r="B1398" s="5" t="s">
        <v>1786</v>
      </c>
      <c r="C1398" s="5" t="s">
        <v>1260</v>
      </c>
      <c r="D1398">
        <f>IFERROR(INDEX(Countries[],MATCH(CountryCleanup[[#This Row],[ISO3]],Countries[ISO3],0),3),"")</f>
        <v>239</v>
      </c>
      <c r="E1398" t="str">
        <f>IFERROR(INDEX(Countries[],MATCH(CountryCleanup[[#This Row],[ISO3]],Countries[ISO3],0),6),"")</f>
        <v>South Georgia and the South Sandwich Islands</v>
      </c>
    </row>
    <row r="1399" spans="2:5" x14ac:dyDescent="0.45">
      <c r="B1399" t="s">
        <v>1787</v>
      </c>
      <c r="C1399" s="5" t="s">
        <v>1260</v>
      </c>
      <c r="D1399">
        <f>IFERROR(INDEX(Countries[],MATCH(CountryCleanup[[#This Row],[ISO3]],Countries[ISO3],0),3),"")</f>
        <v>239</v>
      </c>
      <c r="E1399" t="str">
        <f>IFERROR(INDEX(Countries[],MATCH(CountryCleanup[[#This Row],[ISO3]],Countries[ISO3],0),6),"")</f>
        <v>South Georgia and the South Sandwich Islands</v>
      </c>
    </row>
    <row r="1400" spans="2:5" x14ac:dyDescent="0.45">
      <c r="B1400" t="s">
        <v>2847</v>
      </c>
      <c r="C1400" s="5" t="s">
        <v>1260</v>
      </c>
      <c r="D1400">
        <f>IFERROR(INDEX(Countries[],MATCH(CountryCleanup[[#This Row],[ISO3]],Countries[ISO3],0),3),"")</f>
        <v>239</v>
      </c>
      <c r="E1400" t="str">
        <f>IFERROR(INDEX(Countries[],MATCH(CountryCleanup[[#This Row],[ISO3]],Countries[ISO3],0),6),"")</f>
        <v>South Georgia and the South Sandwich Islands</v>
      </c>
    </row>
    <row r="1401" spans="2:5" x14ac:dyDescent="0.45">
      <c r="B1401" t="s">
        <v>1261</v>
      </c>
      <c r="C1401" t="s">
        <v>1260</v>
      </c>
      <c r="D1401">
        <f>IFERROR(INDEX(Countries[],MATCH(CountryCleanup[[#This Row],[ISO3]],Countries[ISO3],0),3),"")</f>
        <v>239</v>
      </c>
      <c r="E1401" t="str">
        <f>IFERROR(INDEX(Countries[],MATCH(CountryCleanup[[#This Row],[ISO3]],Countries[ISO3],0),6),"")</f>
        <v>South Georgia and the South Sandwich Islands</v>
      </c>
    </row>
    <row r="1402" spans="2:5" x14ac:dyDescent="0.45">
      <c r="B1402" t="s">
        <v>1788</v>
      </c>
      <c r="C1402" t="s">
        <v>1078</v>
      </c>
      <c r="D1402">
        <f>IFERROR(INDEX(Countries[],MATCH(CountryCleanup[[#This Row],[ISO3]],Countries[ISO3],0),3),"")</f>
        <v>410</v>
      </c>
      <c r="E1402" t="str">
        <f>IFERROR(INDEX(Countries[],MATCH(CountryCleanup[[#This Row],[ISO3]],Countries[ISO3],0),6),"")</f>
        <v>Republic of Korea (the)</v>
      </c>
    </row>
    <row r="1403" spans="2:5" x14ac:dyDescent="0.45">
      <c r="B1403" t="s">
        <v>1789</v>
      </c>
      <c r="C1403" t="s">
        <v>367</v>
      </c>
      <c r="D1403">
        <f>IFERROR(INDEX(Countries[],MATCH(CountryCleanup[[#This Row],[ISO3]],Countries[ISO3],0),3),"")</f>
        <v>99039</v>
      </c>
      <c r="E1403" t="str">
        <f>IFERROR(INDEX(Countries[],MATCH(CountryCleanup[[#This Row],[ISO3]],Countries[ISO3],0),6),"")</f>
        <v>Residual/unallocated: Sub-Saharan Africa</v>
      </c>
    </row>
    <row r="1404" spans="2:5" x14ac:dyDescent="0.45">
      <c r="B1404" t="s">
        <v>1266</v>
      </c>
      <c r="C1404" t="s">
        <v>1265</v>
      </c>
      <c r="D1404">
        <f>IFERROR(INDEX(Countries[],MATCH(CountryCleanup[[#This Row],[ISO3]],Countries[ISO3],0),3),"")</f>
        <v>728</v>
      </c>
      <c r="E1404" t="str">
        <f>IFERROR(INDEX(Countries[],MATCH(CountryCleanup[[#This Row],[ISO3]],Countries[ISO3],0),6),"")</f>
        <v>South Sudan</v>
      </c>
    </row>
    <row r="1405" spans="2:5" x14ac:dyDescent="0.45">
      <c r="B1405" t="s">
        <v>2208</v>
      </c>
      <c r="C1405" t="s">
        <v>1252</v>
      </c>
      <c r="D1405">
        <f>IFERROR(INDEX(Countries[],MATCH(CountryCleanup[[#This Row],[ISO3]],Countries[ISO3],0),3),"")</f>
        <v>710</v>
      </c>
      <c r="E1405" t="str">
        <f>IFERROR(INDEX(Countries[],MATCH(CountryCleanup[[#This Row],[ISO3]],Countries[ISO3],0),6),"")</f>
        <v>South Africa</v>
      </c>
    </row>
    <row r="1406" spans="2:5" x14ac:dyDescent="0.45">
      <c r="B1406" t="s">
        <v>2349</v>
      </c>
      <c r="C1406" t="s">
        <v>1094</v>
      </c>
      <c r="D1406">
        <f>IFERROR(INDEX(Countries[],MATCH(CountryCleanup[[#This Row],[ISO3]],Countries[ISO3],0),3),"")</f>
        <v>99036</v>
      </c>
      <c r="E1406" t="str">
        <f>IFERROR(INDEX(Countries[],MATCH(CountryCleanup[[#This Row],[ISO3]],Countries[ISO3],0),6),"")</f>
        <v>Residual/unallocated: Eastern and South-eastern Asia</v>
      </c>
    </row>
    <row r="1407" spans="2:5" x14ac:dyDescent="0.45">
      <c r="B1407" t="s">
        <v>1790</v>
      </c>
      <c r="C1407" s="3" t="s">
        <v>367</v>
      </c>
      <c r="D1407">
        <f>IFERROR(INDEX(Countries[],MATCH(CountryCleanup[[#This Row],[ISO3]],Countries[ISO3],0),3),"")</f>
        <v>99039</v>
      </c>
      <c r="E1407" t="str">
        <f>IFERROR(INDEX(Countries[],MATCH(CountryCleanup[[#This Row],[ISO3]],Countries[ISO3],0),6),"")</f>
        <v>Residual/unallocated: Sub-Saharan Africa</v>
      </c>
    </row>
    <row r="1408" spans="2:5" x14ac:dyDescent="0.45">
      <c r="B1408" t="s">
        <v>2840</v>
      </c>
      <c r="C1408" t="s">
        <v>1129</v>
      </c>
      <c r="D1408">
        <f>IFERROR(INDEX(Countries[],MATCH(CountryCleanup[[#This Row],[ISO3]],Countries[ISO3],0),3),"")</f>
        <v>643</v>
      </c>
      <c r="E1408" t="str">
        <f>IFERROR(INDEX(Countries[],MATCH(CountryCleanup[[#This Row],[ISO3]],Countries[ISO3],0),6),"")</f>
        <v>Russian Federation (the)</v>
      </c>
    </row>
    <row r="1409" spans="2:5" x14ac:dyDescent="0.45">
      <c r="B1409" t="s">
        <v>2841</v>
      </c>
      <c r="C1409" t="s">
        <v>1161</v>
      </c>
      <c r="D1409">
        <f>IFERROR(INDEX(Countries[],MATCH(CountryCleanup[[#This Row],[ISO3]],Countries[ISO3],0),3),"")</f>
        <v>663</v>
      </c>
      <c r="E1409" t="str">
        <f>IFERROR(INDEX(Countries[],MATCH(CountryCleanup[[#This Row],[ISO3]],Countries[ISO3],0),6),"")</f>
        <v>Saint Martin (French Part)</v>
      </c>
    </row>
    <row r="1410" spans="2:5" x14ac:dyDescent="0.45">
      <c r="B1410" t="s">
        <v>1272</v>
      </c>
      <c r="C1410" t="s">
        <v>1271</v>
      </c>
      <c r="D1410">
        <f>IFERROR(INDEX(Countries[],MATCH(CountryCleanup[[#This Row],[ISO3]],Countries[ISO3],0),3),"")</f>
        <v>724</v>
      </c>
      <c r="E1410" t="str">
        <f>IFERROR(INDEX(Countries[],MATCH(CountryCleanup[[#This Row],[ISO3]],Countries[ISO3],0),6),"")</f>
        <v>Spain</v>
      </c>
    </row>
    <row r="1411" spans="2:5" x14ac:dyDescent="0.45">
      <c r="B1411" t="s">
        <v>1987</v>
      </c>
      <c r="C1411" t="s">
        <v>1271</v>
      </c>
      <c r="D1411">
        <f>IFERROR(INDEX(Countries[],MATCH(CountryCleanup[[#This Row],[ISO3]],Countries[ISO3],0),3),"")</f>
        <v>724</v>
      </c>
      <c r="E1411" t="str">
        <f>IFERROR(INDEX(Countries[],MATCH(CountryCleanup[[#This Row],[ISO3]],Countries[ISO3],0),6),"")</f>
        <v>Spain</v>
      </c>
    </row>
    <row r="1412" spans="2:5" x14ac:dyDescent="0.45">
      <c r="B1412" s="9" t="s">
        <v>1791</v>
      </c>
      <c r="C1412" t="s">
        <v>1271</v>
      </c>
      <c r="D1412">
        <f>IFERROR(INDEX(Countries[],MATCH(CountryCleanup[[#This Row],[ISO3]],Countries[ISO3],0),3),"")</f>
        <v>724</v>
      </c>
      <c r="E1412" t="str">
        <f>IFERROR(INDEX(Countries[],MATCH(CountryCleanup[[#This Row],[ISO3]],Countries[ISO3],0),6),"")</f>
        <v>Spain</v>
      </c>
    </row>
    <row r="1413" spans="2:5" x14ac:dyDescent="0.45">
      <c r="B1413" t="s">
        <v>2400</v>
      </c>
      <c r="C1413" t="s">
        <v>2404</v>
      </c>
      <c r="D1413">
        <f>IFERROR(INDEX(Countries[],MATCH(CountryCleanup[[#This Row],[ISO3]],Countries[ISO3],0),3),"")</f>
        <v>99917</v>
      </c>
      <c r="E1413" t="str">
        <f>IFERROR(INDEX(Countries[],MATCH(CountryCleanup[[#This Row],[ISO3]],Countries[ISO3],0),6),"")</f>
        <v>Special Categories</v>
      </c>
    </row>
    <row r="1414" spans="2:5" x14ac:dyDescent="0.45">
      <c r="B1414" t="s">
        <v>2842</v>
      </c>
      <c r="C1414" s="3" t="s">
        <v>1108</v>
      </c>
      <c r="D1414">
        <f>IFERROR(INDEX(Countries[],MATCH(CountryCleanup[[#This Row],[ISO3]],Countries[ISO3],0),3),"")</f>
        <v>99038</v>
      </c>
      <c r="E1414" t="str">
        <f>IFERROR(INDEX(Countries[],MATCH(CountryCleanup[[#This Row],[ISO3]],Countries[ISO3],0),6),"")</f>
        <v>Residual/unallocated: Oceania excl. Aus. and N. Zealand</v>
      </c>
    </row>
    <row r="1415" spans="2:5" x14ac:dyDescent="0.45">
      <c r="B1415" t="s">
        <v>1277</v>
      </c>
      <c r="C1415" t="s">
        <v>1276</v>
      </c>
      <c r="D1415">
        <f>IFERROR(INDEX(Countries[],MATCH(CountryCleanup[[#This Row],[ISO3]],Countries[ISO3],0),3),"")</f>
        <v>144</v>
      </c>
      <c r="E1415" t="str">
        <f>IFERROR(INDEX(Countries[],MATCH(CountryCleanup[[#This Row],[ISO3]],Countries[ISO3],0),6),"")</f>
        <v>Sri Lanka</v>
      </c>
    </row>
    <row r="1416" spans="2:5" x14ac:dyDescent="0.45">
      <c r="B1416" t="s">
        <v>2229</v>
      </c>
      <c r="C1416" t="s">
        <v>1276</v>
      </c>
      <c r="D1416">
        <f>IFERROR(INDEX(Countries[],MATCH(CountryCleanup[[#This Row],[ISO3]],Countries[ISO3],0),3),"")</f>
        <v>144</v>
      </c>
      <c r="E1416" t="str">
        <f>IFERROR(INDEX(Countries[],MATCH(CountryCleanup[[#This Row],[ISO3]],Countries[ISO3],0),6),"")</f>
        <v>Sri Lanka</v>
      </c>
    </row>
    <row r="1417" spans="2:5" x14ac:dyDescent="0.45">
      <c r="B1417" t="s">
        <v>2291</v>
      </c>
      <c r="C1417" t="s">
        <v>1265</v>
      </c>
      <c r="D1417">
        <f>IFERROR(INDEX(Countries[],MATCH(CountryCleanup[[#This Row],[ISO3]],Countries[ISO3],0),3),"")</f>
        <v>728</v>
      </c>
      <c r="E1417" t="str">
        <f>IFERROR(INDEX(Countries[],MATCH(CountryCleanup[[#This Row],[ISO3]],Countries[ISO3],0),6),"")</f>
        <v>South Sudan</v>
      </c>
    </row>
    <row r="1418" spans="2:5" x14ac:dyDescent="0.45">
      <c r="B1418" s="5" t="s">
        <v>1792</v>
      </c>
      <c r="C1418" s="5" t="s">
        <v>1139</v>
      </c>
      <c r="D1418">
        <f>IFERROR(INDEX(Countries[],MATCH(CountryCleanup[[#This Row],[ISO3]],Countries[ISO3],0),3),"")</f>
        <v>652</v>
      </c>
      <c r="E1418" t="str">
        <f>IFERROR(INDEX(Countries[],MATCH(CountryCleanup[[#This Row],[ISO3]],Countries[ISO3],0),6),"")</f>
        <v>Saint Barthélemy</v>
      </c>
    </row>
    <row r="1419" spans="2:5" x14ac:dyDescent="0.45">
      <c r="B1419" t="s">
        <v>1793</v>
      </c>
      <c r="C1419" t="s">
        <v>1145</v>
      </c>
      <c r="D1419">
        <f>IFERROR(INDEX(Countries[],MATCH(CountryCleanup[[#This Row],[ISO3]],Countries[ISO3],0),3),"")</f>
        <v>654</v>
      </c>
      <c r="E1419" t="str">
        <f>IFERROR(INDEX(Countries[],MATCH(CountryCleanup[[#This Row],[ISO3]],Countries[ISO3],0),6),"")</f>
        <v>Saint Helena</v>
      </c>
    </row>
    <row r="1420" spans="2:5" x14ac:dyDescent="0.45">
      <c r="B1420" t="s">
        <v>1794</v>
      </c>
      <c r="C1420" s="5" t="s">
        <v>1151</v>
      </c>
      <c r="D1420">
        <f>IFERROR(INDEX(Countries[],MATCH(CountryCleanup[[#This Row],[ISO3]],Countries[ISO3],0),3),"")</f>
        <v>659</v>
      </c>
      <c r="E1420" t="str">
        <f>IFERROR(INDEX(Countries[],MATCH(CountryCleanup[[#This Row],[ISO3]],Countries[ISO3],0),6),"")</f>
        <v>Saint Kitts and Nevis</v>
      </c>
    </row>
    <row r="1421" spans="2:5" x14ac:dyDescent="0.45">
      <c r="B1421" s="9" t="s">
        <v>1795</v>
      </c>
      <c r="C1421" s="5" t="s">
        <v>1151</v>
      </c>
      <c r="D1421">
        <f>IFERROR(INDEX(Countries[],MATCH(CountryCleanup[[#This Row],[ISO3]],Countries[ISO3],0),3),"")</f>
        <v>659</v>
      </c>
      <c r="E1421" t="str">
        <f>IFERROR(INDEX(Countries[],MATCH(CountryCleanup[[#This Row],[ISO3]],Countries[ISO3],0),6),"")</f>
        <v>Saint Kitts and Nevis</v>
      </c>
    </row>
    <row r="1422" spans="2:5" x14ac:dyDescent="0.45">
      <c r="B1422" s="5" t="s">
        <v>1796</v>
      </c>
      <c r="C1422" s="5" t="s">
        <v>1151</v>
      </c>
      <c r="D1422">
        <f>IFERROR(INDEX(Countries[],MATCH(CountryCleanup[[#This Row],[ISO3]],Countries[ISO3],0),3),"")</f>
        <v>659</v>
      </c>
      <c r="E1422" t="str">
        <f>IFERROR(INDEX(Countries[],MATCH(CountryCleanup[[#This Row],[ISO3]],Countries[ISO3],0),6),"")</f>
        <v>Saint Kitts and Nevis</v>
      </c>
    </row>
    <row r="1423" spans="2:5" x14ac:dyDescent="0.45">
      <c r="B1423" s="5" t="s">
        <v>1797</v>
      </c>
      <c r="C1423" s="5" t="s">
        <v>1156</v>
      </c>
      <c r="D1423">
        <f>IFERROR(INDEX(Countries[],MATCH(CountryCleanup[[#This Row],[ISO3]],Countries[ISO3],0),3),"")</f>
        <v>662</v>
      </c>
      <c r="E1423" t="str">
        <f>IFERROR(INDEX(Countries[],MATCH(CountryCleanup[[#This Row],[ISO3]],Countries[ISO3],0),6),"")</f>
        <v>Saint Lucia</v>
      </c>
    </row>
    <row r="1424" spans="2:5" x14ac:dyDescent="0.45">
      <c r="B1424" s="5" t="s">
        <v>1798</v>
      </c>
      <c r="C1424" s="5" t="s">
        <v>1224</v>
      </c>
      <c r="D1424">
        <f>IFERROR(INDEX(Countries[],MATCH(CountryCleanup[[#This Row],[ISO3]],Countries[ISO3],0),3),"")</f>
        <v>534</v>
      </c>
      <c r="E1424" t="str">
        <f>IFERROR(INDEX(Countries[],MATCH(CountryCleanup[[#This Row],[ISO3]],Countries[ISO3],0),6),"")</f>
        <v>Sint Maarten (Dutch Part)</v>
      </c>
    </row>
    <row r="1425" spans="2:5" x14ac:dyDescent="0.45">
      <c r="B1425" s="5" t="s">
        <v>1799</v>
      </c>
      <c r="C1425" s="5" t="s">
        <v>1161</v>
      </c>
      <c r="D1425">
        <f>IFERROR(INDEX(Countries[],MATCH(CountryCleanup[[#This Row],[ISO3]],Countries[ISO3],0),3),"")</f>
        <v>663</v>
      </c>
      <c r="E1425" t="str">
        <f>IFERROR(INDEX(Countries[],MATCH(CountryCleanup[[#This Row],[ISO3]],Countries[ISO3],0),6),"")</f>
        <v>Saint Martin (French Part)</v>
      </c>
    </row>
    <row r="1426" spans="2:5" x14ac:dyDescent="0.45">
      <c r="B1426" t="s">
        <v>1800</v>
      </c>
      <c r="C1426" s="5" t="s">
        <v>1167</v>
      </c>
      <c r="D1426">
        <f>IFERROR(INDEX(Countries[],MATCH(CountryCleanup[[#This Row],[ISO3]],Countries[ISO3],0),3),"")</f>
        <v>666</v>
      </c>
      <c r="E1426" t="str">
        <f>IFERROR(INDEX(Countries[],MATCH(CountryCleanup[[#This Row],[ISO3]],Countries[ISO3],0),6),"")</f>
        <v>Saint Pierre and Miquelon</v>
      </c>
    </row>
    <row r="1427" spans="2:5" x14ac:dyDescent="0.45">
      <c r="B1427" s="5" t="s">
        <v>1801</v>
      </c>
      <c r="C1427" s="5" t="s">
        <v>1167</v>
      </c>
      <c r="D1427">
        <f>IFERROR(INDEX(Countries[],MATCH(CountryCleanup[[#This Row],[ISO3]],Countries[ISO3],0),3),"")</f>
        <v>666</v>
      </c>
      <c r="E1427" t="str">
        <f>IFERROR(INDEX(Countries[],MATCH(CountryCleanup[[#This Row],[ISO3]],Countries[ISO3],0),6),"")</f>
        <v>Saint Pierre and Miquelon</v>
      </c>
    </row>
    <row r="1428" spans="2:5" x14ac:dyDescent="0.45">
      <c r="B1428" t="s">
        <v>1802</v>
      </c>
      <c r="C1428" s="5" t="s">
        <v>1172</v>
      </c>
      <c r="D1428">
        <f>IFERROR(INDEX(Countries[],MATCH(CountryCleanup[[#This Row],[ISO3]],Countries[ISO3],0),3),"")</f>
        <v>670</v>
      </c>
      <c r="E1428" t="str">
        <f>IFERROR(INDEX(Countries[],MATCH(CountryCleanup[[#This Row],[ISO3]],Countries[ISO3],0),6),"")</f>
        <v>Saint Vincent and the Grenadines</v>
      </c>
    </row>
    <row r="1429" spans="2:5" x14ac:dyDescent="0.45">
      <c r="B1429" s="5" t="s">
        <v>1803</v>
      </c>
      <c r="C1429" s="5" t="s">
        <v>1172</v>
      </c>
      <c r="D1429">
        <f>IFERROR(INDEX(Countries[],MATCH(CountryCleanup[[#This Row],[ISO3]],Countries[ISO3],0),3),"")</f>
        <v>670</v>
      </c>
      <c r="E1429" t="str">
        <f>IFERROR(INDEX(Countries[],MATCH(CountryCleanup[[#This Row],[ISO3]],Countries[ISO3],0),6),"")</f>
        <v>Saint Vincent and the Grenadines</v>
      </c>
    </row>
    <row r="1430" spans="2:5" x14ac:dyDescent="0.45">
      <c r="B1430" t="s">
        <v>1804</v>
      </c>
      <c r="C1430" t="s">
        <v>1145</v>
      </c>
      <c r="D1430">
        <f>IFERROR(INDEX(Countries[],MATCH(CountryCleanup[[#This Row],[ISO3]],Countries[ISO3],0),3),"")</f>
        <v>654</v>
      </c>
      <c r="E1430" t="str">
        <f>IFERROR(INDEX(Countries[],MATCH(CountryCleanup[[#This Row],[ISO3]],Countries[ISO3],0),6),"")</f>
        <v>Saint Helena</v>
      </c>
    </row>
    <row r="1431" spans="2:5" x14ac:dyDescent="0.45">
      <c r="B1431" t="s">
        <v>1805</v>
      </c>
      <c r="C1431" t="s">
        <v>1151</v>
      </c>
      <c r="D1431">
        <f>IFERROR(INDEX(Countries[],MATCH(CountryCleanup[[#This Row],[ISO3]],Countries[ISO3],0),3),"")</f>
        <v>659</v>
      </c>
      <c r="E1431" t="str">
        <f>IFERROR(INDEX(Countries[],MATCH(CountryCleanup[[#This Row],[ISO3]],Countries[ISO3],0),6),"")</f>
        <v>Saint Kitts and Nevis</v>
      </c>
    </row>
    <row r="1432" spans="2:5" x14ac:dyDescent="0.45">
      <c r="B1432" t="s">
        <v>1806</v>
      </c>
      <c r="C1432" t="s">
        <v>1151</v>
      </c>
      <c r="D1432">
        <f>IFERROR(INDEX(Countries[],MATCH(CountryCleanup[[#This Row],[ISO3]],Countries[ISO3],0),3),"")</f>
        <v>659</v>
      </c>
      <c r="E1432" t="str">
        <f>IFERROR(INDEX(Countries[],MATCH(CountryCleanup[[#This Row],[ISO3]],Countries[ISO3],0),6),"")</f>
        <v>Saint Kitts and Nevis</v>
      </c>
    </row>
    <row r="1433" spans="2:5" x14ac:dyDescent="0.45">
      <c r="B1433" t="s">
        <v>1807</v>
      </c>
      <c r="C1433" t="s">
        <v>1156</v>
      </c>
      <c r="D1433">
        <f>IFERROR(INDEX(Countries[],MATCH(CountryCleanup[[#This Row],[ISO3]],Countries[ISO3],0),3),"")</f>
        <v>662</v>
      </c>
      <c r="E1433" t="str">
        <f>IFERROR(INDEX(Countries[],MATCH(CountryCleanup[[#This Row],[ISO3]],Countries[ISO3],0),6),"")</f>
        <v>Saint Lucia</v>
      </c>
    </row>
    <row r="1434" spans="2:5" x14ac:dyDescent="0.45">
      <c r="B1434" t="s">
        <v>2795</v>
      </c>
      <c r="C1434" s="5" t="s">
        <v>1224</v>
      </c>
      <c r="D1434">
        <f>IFERROR(INDEX(Countries[],MATCH(CountryCleanup[[#This Row],[ISO3]],Countries[ISO3],0),3),"")</f>
        <v>534</v>
      </c>
      <c r="E1434" t="str">
        <f>IFERROR(INDEX(Countries[],MATCH(CountryCleanup[[#This Row],[ISO3]],Countries[ISO3],0),6),"")</f>
        <v>Sint Maarten (Dutch Part)</v>
      </c>
    </row>
    <row r="1435" spans="2:5" x14ac:dyDescent="0.45">
      <c r="B1435" t="s">
        <v>1808</v>
      </c>
      <c r="C1435" t="s">
        <v>1161</v>
      </c>
      <c r="D1435">
        <f>IFERROR(INDEX(Countries[],MATCH(CountryCleanup[[#This Row],[ISO3]],Countries[ISO3],0),3),"")</f>
        <v>663</v>
      </c>
      <c r="E1435" t="str">
        <f>IFERROR(INDEX(Countries[],MATCH(CountryCleanup[[#This Row],[ISO3]],Countries[ISO3],0),6),"")</f>
        <v>Saint Martin (French Part)</v>
      </c>
    </row>
    <row r="1436" spans="2:5" x14ac:dyDescent="0.45">
      <c r="B1436" t="s">
        <v>1809</v>
      </c>
      <c r="C1436" t="s">
        <v>1161</v>
      </c>
      <c r="D1436">
        <f>IFERROR(INDEX(Countries[],MATCH(CountryCleanup[[#This Row],[ISO3]],Countries[ISO3],0),3),"")</f>
        <v>663</v>
      </c>
      <c r="E1436" t="str">
        <f>IFERROR(INDEX(Countries[],MATCH(CountryCleanup[[#This Row],[ISO3]],Countries[ISO3],0),6),"")</f>
        <v>Saint Martin (French Part)</v>
      </c>
    </row>
    <row r="1437" spans="2:5" x14ac:dyDescent="0.45">
      <c r="B1437" t="s">
        <v>1810</v>
      </c>
      <c r="C1437" s="5" t="s">
        <v>1167</v>
      </c>
      <c r="D1437">
        <f>IFERROR(INDEX(Countries[],MATCH(CountryCleanup[[#This Row],[ISO3]],Countries[ISO3],0),3),"")</f>
        <v>666</v>
      </c>
      <c r="E1437" t="str">
        <f>IFERROR(INDEX(Countries[],MATCH(CountryCleanup[[#This Row],[ISO3]],Countries[ISO3],0),6),"")</f>
        <v>Saint Pierre and Miquelon</v>
      </c>
    </row>
    <row r="1438" spans="2:5" x14ac:dyDescent="0.45">
      <c r="B1438" t="s">
        <v>2502</v>
      </c>
      <c r="C1438" s="5" t="s">
        <v>1167</v>
      </c>
      <c r="D1438">
        <f>IFERROR(INDEX(Countries[],MATCH(CountryCleanup[[#This Row],[ISO3]],Countries[ISO3],0),3),"")</f>
        <v>666</v>
      </c>
      <c r="E1438" t="str">
        <f>IFERROR(INDEX(Countries[],MATCH(CountryCleanup[[#This Row],[ISO3]],Countries[ISO3],0),6),"")</f>
        <v>Saint Pierre and Miquelon</v>
      </c>
    </row>
    <row r="1439" spans="2:5" x14ac:dyDescent="0.45">
      <c r="B1439" t="s">
        <v>1811</v>
      </c>
      <c r="C1439" t="s">
        <v>1172</v>
      </c>
      <c r="D1439">
        <f>IFERROR(INDEX(Countries[],MATCH(CountryCleanup[[#This Row],[ISO3]],Countries[ISO3],0),3),"")</f>
        <v>670</v>
      </c>
      <c r="E1439" t="str">
        <f>IFERROR(INDEX(Countries[],MATCH(CountryCleanup[[#This Row],[ISO3]],Countries[ISO3],0),6),"")</f>
        <v>Saint Vincent and the Grenadines</v>
      </c>
    </row>
    <row r="1440" spans="2:5" x14ac:dyDescent="0.45">
      <c r="B1440" t="s">
        <v>1812</v>
      </c>
      <c r="C1440" t="s">
        <v>1172</v>
      </c>
      <c r="D1440">
        <f>IFERROR(INDEX(Countries[],MATCH(CountryCleanup[[#This Row],[ISO3]],Countries[ISO3],0),3),"")</f>
        <v>670</v>
      </c>
      <c r="E1440" t="str">
        <f>IFERROR(INDEX(Countries[],MATCH(CountryCleanup[[#This Row],[ISO3]],Countries[ISO3],0),6),"")</f>
        <v>Saint Vincent and the Grenadines</v>
      </c>
    </row>
    <row r="1441" spans="2:5" x14ac:dyDescent="0.45">
      <c r="B1441" t="s">
        <v>1281</v>
      </c>
      <c r="C1441" t="s">
        <v>1280</v>
      </c>
      <c r="D1441">
        <f>IFERROR(INDEX(Countries[],MATCH(CountryCleanup[[#This Row],[ISO3]],Countries[ISO3],0),3),"")</f>
        <v>275</v>
      </c>
      <c r="E1441" t="str">
        <f>IFERROR(INDEX(Countries[],MATCH(CountryCleanup[[#This Row],[ISO3]],Countries[ISO3],0),6),"")</f>
        <v>State of Palestine (the)</v>
      </c>
    </row>
    <row r="1442" spans="2:5" x14ac:dyDescent="0.45">
      <c r="B1442" t="s">
        <v>1813</v>
      </c>
      <c r="C1442" s="5" t="s">
        <v>1943</v>
      </c>
      <c r="D1442">
        <f>IFERROR(INDEX(Countries[],MATCH(CountryCleanup[[#This Row],[ISO3]],Countries[ISO3],0),3),"")</f>
        <v>99050</v>
      </c>
      <c r="E1442" t="str">
        <f>IFERROR(INDEX(Countries[],MATCH(CountryCleanup[[#This Row],[ISO3]],Countries[ISO3],0),6),"")</f>
        <v>Residual/unallocated: Northern America and Europe</v>
      </c>
    </row>
    <row r="1443" spans="2:5" x14ac:dyDescent="0.45">
      <c r="B1443" t="s">
        <v>1814</v>
      </c>
      <c r="C1443" t="s">
        <v>1090</v>
      </c>
      <c r="D1443">
        <f>IFERROR(INDEX(Countries[],MATCH(CountryCleanup[[#This Row],[ISO3]],Countries[ISO3],0),3),"")</f>
        <v>807</v>
      </c>
      <c r="E1443" t="str">
        <f>IFERROR(INDEX(Countries[],MATCH(CountryCleanup[[#This Row],[ISO3]],Countries[ISO3],0),6),"")</f>
        <v>North Macedonia</v>
      </c>
    </row>
    <row r="1444" spans="2:5" x14ac:dyDescent="0.45">
      <c r="B1444" t="s">
        <v>166</v>
      </c>
      <c r="C1444" t="s">
        <v>367</v>
      </c>
      <c r="D1444">
        <f>IFERROR(INDEX(Countries[],MATCH(CountryCleanup[[#This Row],[ISO3]],Countries[ISO3],0),3),"")</f>
        <v>99039</v>
      </c>
      <c r="E1444" t="str">
        <f>IFERROR(INDEX(Countries[],MATCH(CountryCleanup[[#This Row],[ISO3]],Countries[ISO3],0),6),"")</f>
        <v>Residual/unallocated: Sub-Saharan Africa</v>
      </c>
    </row>
    <row r="1445" spans="2:5" x14ac:dyDescent="0.45">
      <c r="B1445" t="s">
        <v>1286</v>
      </c>
      <c r="C1445" t="s">
        <v>1285</v>
      </c>
      <c r="D1445">
        <f>IFERROR(INDEX(Countries[],MATCH(CountryCleanup[[#This Row],[ISO3]],Countries[ISO3],0),3),"")</f>
        <v>729</v>
      </c>
      <c r="E1445" t="str">
        <f>IFERROR(INDEX(Countries[],MATCH(CountryCleanup[[#This Row],[ISO3]],Countries[ISO3],0),6),"")</f>
        <v>Sudan (the)</v>
      </c>
    </row>
    <row r="1446" spans="2:5" x14ac:dyDescent="0.45">
      <c r="B1446" t="s">
        <v>2222</v>
      </c>
      <c r="C1446" t="s">
        <v>1285</v>
      </c>
      <c r="D1446">
        <f>IFERROR(INDEX(Countries[],MATCH(CountryCleanup[[#This Row],[ISO3]],Countries[ISO3],0),3),"")</f>
        <v>729</v>
      </c>
      <c r="E1446" t="str">
        <f>IFERROR(INDEX(Countries[],MATCH(CountryCleanup[[#This Row],[ISO3]],Countries[ISO3],0),6),"")</f>
        <v>Sudan (the)</v>
      </c>
    </row>
    <row r="1447" spans="2:5" x14ac:dyDescent="0.45">
      <c r="B1447" t="s">
        <v>2368</v>
      </c>
      <c r="C1447" t="s">
        <v>1285</v>
      </c>
      <c r="D1447">
        <f>IFERROR(INDEX(Countries[],MATCH(CountryCleanup[[#This Row],[ISO3]],Countries[ISO3],0),3),"")</f>
        <v>729</v>
      </c>
      <c r="E1447" t="str">
        <f>IFERROR(INDEX(Countries[],MATCH(CountryCleanup[[#This Row],[ISO3]],Countries[ISO3],0),6),"")</f>
        <v>Sudan (the)</v>
      </c>
    </row>
    <row r="1448" spans="2:5" x14ac:dyDescent="0.45">
      <c r="B1448" s="13" t="s">
        <v>1815</v>
      </c>
      <c r="C1448" t="s">
        <v>1285</v>
      </c>
      <c r="D1448">
        <f>IFERROR(INDEX(Countries[],MATCH(CountryCleanup[[#This Row],[ISO3]],Countries[ISO3],0),3),"")</f>
        <v>729</v>
      </c>
      <c r="E1448" t="str">
        <f>IFERROR(INDEX(Countries[],MATCH(CountryCleanup[[#This Row],[ISO3]],Countries[ISO3],0),6),"")</f>
        <v>Sudan (the)</v>
      </c>
    </row>
    <row r="1449" spans="2:5" x14ac:dyDescent="0.45">
      <c r="B1449" s="9" t="s">
        <v>1816</v>
      </c>
      <c r="C1449" t="s">
        <v>1285</v>
      </c>
      <c r="D1449">
        <f>IFERROR(INDEX(Countries[],MATCH(CountryCleanup[[#This Row],[ISO3]],Countries[ISO3],0),3),"")</f>
        <v>729</v>
      </c>
      <c r="E1449" t="str">
        <f>IFERROR(INDEX(Countries[],MATCH(CountryCleanup[[#This Row],[ISO3]],Countries[ISO3],0),6),"")</f>
        <v>Sudan (the)</v>
      </c>
    </row>
    <row r="1450" spans="2:5" x14ac:dyDescent="0.45">
      <c r="B1450" t="s">
        <v>2860</v>
      </c>
      <c r="C1450" t="s">
        <v>1291</v>
      </c>
      <c r="D1450">
        <f>IFERROR(INDEX(Countries[],MATCH(CountryCleanup[[#This Row],[ISO3]],Countries[ISO3],0),3),"")</f>
        <v>740</v>
      </c>
      <c r="E1450" t="str">
        <f>IFERROR(INDEX(Countries[],MATCH(CountryCleanup[[#This Row],[ISO3]],Countries[ISO3],0),6),"")</f>
        <v>Suriname</v>
      </c>
    </row>
    <row r="1451" spans="2:5" x14ac:dyDescent="0.45">
      <c r="B1451" t="s">
        <v>1292</v>
      </c>
      <c r="C1451" t="s">
        <v>1291</v>
      </c>
      <c r="D1451">
        <f>IFERROR(INDEX(Countries[],MATCH(CountryCleanup[[#This Row],[ISO3]],Countries[ISO3],0),3),"")</f>
        <v>740</v>
      </c>
      <c r="E1451" t="str">
        <f>IFERROR(INDEX(Countries[],MATCH(CountryCleanup[[#This Row],[ISO3]],Countries[ISO3],0),6),"")</f>
        <v>Suriname</v>
      </c>
    </row>
    <row r="1452" spans="2:5" x14ac:dyDescent="0.45">
      <c r="B1452" t="s">
        <v>2289</v>
      </c>
      <c r="C1452" t="s">
        <v>1291</v>
      </c>
      <c r="D1452">
        <f>IFERROR(INDEX(Countries[],MATCH(CountryCleanup[[#This Row],[ISO3]],Countries[ISO3],0),3),"")</f>
        <v>740</v>
      </c>
      <c r="E1452" t="str">
        <f>IFERROR(INDEX(Countries[],MATCH(CountryCleanup[[#This Row],[ISO3]],Countries[ISO3],0),6),"")</f>
        <v>Suriname</v>
      </c>
    </row>
    <row r="1453" spans="2:5" x14ac:dyDescent="0.45">
      <c r="B1453" t="s">
        <v>1817</v>
      </c>
      <c r="C1453" t="s">
        <v>1295</v>
      </c>
      <c r="D1453">
        <f>IFERROR(INDEX(Countries[],MATCH(CountryCleanup[[#This Row],[ISO3]],Countries[ISO3],0),3),"")</f>
        <v>744</v>
      </c>
      <c r="E1453" t="str">
        <f>IFERROR(INDEX(Countries[],MATCH(CountryCleanup[[#This Row],[ISO3]],Countries[ISO3],0),6),"")</f>
        <v>Svalbard and Jan Mayen Islands</v>
      </c>
    </row>
    <row r="1454" spans="2:5" x14ac:dyDescent="0.45">
      <c r="B1454" t="s">
        <v>2434</v>
      </c>
      <c r="C1454" t="s">
        <v>1295</v>
      </c>
      <c r="D1454">
        <f>IFERROR(INDEX(Countries[],MATCH(CountryCleanup[[#This Row],[ISO3]],Countries[ISO3],0),3),"")</f>
        <v>744</v>
      </c>
      <c r="E1454" t="str">
        <f>IFERROR(INDEX(Countries[],MATCH(CountryCleanup[[#This Row],[ISO3]],Countries[ISO3],0),6),"")</f>
        <v>Svalbard and Jan Mayen Islands</v>
      </c>
    </row>
    <row r="1455" spans="2:5" x14ac:dyDescent="0.45">
      <c r="B1455" t="s">
        <v>1296</v>
      </c>
      <c r="C1455" t="s">
        <v>1295</v>
      </c>
      <c r="D1455">
        <f>IFERROR(INDEX(Countries[],MATCH(CountryCleanup[[#This Row],[ISO3]],Countries[ISO3],0),3),"")</f>
        <v>744</v>
      </c>
      <c r="E1455" t="str">
        <f>IFERROR(INDEX(Countries[],MATCH(CountryCleanup[[#This Row],[ISO3]],Countries[ISO3],0),6),"")</f>
        <v>Svalbard and Jan Mayen Islands</v>
      </c>
    </row>
    <row r="1456" spans="2:5" x14ac:dyDescent="0.45">
      <c r="B1456" s="5" t="s">
        <v>1818</v>
      </c>
      <c r="C1456" s="5" t="s">
        <v>1295</v>
      </c>
      <c r="D1456">
        <f>IFERROR(INDEX(Countries[],MATCH(CountryCleanup[[#This Row],[ISO3]],Countries[ISO3],0),3),"")</f>
        <v>744</v>
      </c>
      <c r="E1456" t="str">
        <f>IFERROR(INDEX(Countries[],MATCH(CountryCleanup[[#This Row],[ISO3]],Countries[ISO3],0),6),"")</f>
        <v>Svalbard and Jan Mayen Islands</v>
      </c>
    </row>
    <row r="1457" spans="2:5" x14ac:dyDescent="0.45">
      <c r="B1457" t="s">
        <v>1819</v>
      </c>
      <c r="C1457" t="s">
        <v>555</v>
      </c>
      <c r="D1457">
        <f>IFERROR(INDEX(Countries[],MATCH(CountryCleanup[[#This Row],[ISO3]],Countries[ISO3],0),3),"")</f>
        <v>748</v>
      </c>
      <c r="E1457" t="str">
        <f>IFERROR(INDEX(Countries[],MATCH(CountryCleanup[[#This Row],[ISO3]],Countries[ISO3],0),6),"")</f>
        <v>Eswatini</v>
      </c>
    </row>
    <row r="1458" spans="2:5" x14ac:dyDescent="0.45">
      <c r="B1458" t="s">
        <v>1301</v>
      </c>
      <c r="C1458" t="s">
        <v>1300</v>
      </c>
      <c r="D1458">
        <f>IFERROR(INDEX(Countries[],MATCH(CountryCleanup[[#This Row],[ISO3]],Countries[ISO3],0),3),"")</f>
        <v>752</v>
      </c>
      <c r="E1458" t="str">
        <f>IFERROR(INDEX(Countries[],MATCH(CountryCleanup[[#This Row],[ISO3]],Countries[ISO3],0),6),"")</f>
        <v>Sweden</v>
      </c>
    </row>
    <row r="1459" spans="2:5" x14ac:dyDescent="0.45">
      <c r="B1459" t="s">
        <v>1988</v>
      </c>
      <c r="C1459" t="s">
        <v>1300</v>
      </c>
      <c r="D1459">
        <f>IFERROR(INDEX(Countries[],MATCH(CountryCleanup[[#This Row],[ISO3]],Countries[ISO3],0),3),"")</f>
        <v>752</v>
      </c>
      <c r="E1459" t="str">
        <f>IFERROR(INDEX(Countries[],MATCH(CountryCleanup[[#This Row],[ISO3]],Countries[ISO3],0),6),"")</f>
        <v>Sweden</v>
      </c>
    </row>
    <row r="1460" spans="2:5" x14ac:dyDescent="0.45">
      <c r="B1460" t="s">
        <v>1989</v>
      </c>
      <c r="C1460" t="s">
        <v>1306</v>
      </c>
      <c r="D1460">
        <f>IFERROR(INDEX(Countries[],MATCH(CountryCleanup[[#This Row],[ISO3]],Countries[ISO3],0),3),"")</f>
        <v>756</v>
      </c>
      <c r="E1460" t="str">
        <f>IFERROR(INDEX(Countries[],MATCH(CountryCleanup[[#This Row],[ISO3]],Countries[ISO3],0),6),"")</f>
        <v>Switzerland</v>
      </c>
    </row>
    <row r="1461" spans="2:5" x14ac:dyDescent="0.45">
      <c r="B1461" t="s">
        <v>1307</v>
      </c>
      <c r="C1461" t="s">
        <v>1306</v>
      </c>
      <c r="D1461">
        <f>IFERROR(INDEX(Countries[],MATCH(CountryCleanup[[#This Row],[ISO3]],Countries[ISO3],0),3),"")</f>
        <v>756</v>
      </c>
      <c r="E1461" t="str">
        <f>IFERROR(INDEX(Countries[],MATCH(CountryCleanup[[#This Row],[ISO3]],Countries[ISO3],0),6),"")</f>
        <v>Switzerland</v>
      </c>
    </row>
    <row r="1462" spans="2:5" x14ac:dyDescent="0.45">
      <c r="B1462" s="9" t="s">
        <v>1820</v>
      </c>
      <c r="C1462" t="s">
        <v>1306</v>
      </c>
      <c r="D1462">
        <f>IFERROR(INDEX(Countries[],MATCH(CountryCleanup[[#This Row],[ISO3]],Countries[ISO3],0),3),"")</f>
        <v>756</v>
      </c>
      <c r="E1462" t="str">
        <f>IFERROR(INDEX(Countries[],MATCH(CountryCleanup[[#This Row],[ISO3]],Countries[ISO3],0),6),"")</f>
        <v>Switzerland</v>
      </c>
    </row>
    <row r="1463" spans="2:5" x14ac:dyDescent="0.45">
      <c r="B1463" t="s">
        <v>1821</v>
      </c>
      <c r="C1463" t="s">
        <v>1306</v>
      </c>
      <c r="D1463">
        <f>IFERROR(INDEX(Countries[],MATCH(CountryCleanup[[#This Row],[ISO3]],Countries[ISO3],0),3),"")</f>
        <v>756</v>
      </c>
      <c r="E1463" t="str">
        <f>IFERROR(INDEX(Countries[],MATCH(CountryCleanup[[#This Row],[ISO3]],Countries[ISO3],0),6),"")</f>
        <v>Switzerland</v>
      </c>
    </row>
    <row r="1464" spans="2:5" x14ac:dyDescent="0.45">
      <c r="B1464" t="s">
        <v>1822</v>
      </c>
      <c r="C1464" t="s">
        <v>1311</v>
      </c>
      <c r="D1464">
        <f>IFERROR(INDEX(Countries[],MATCH(CountryCleanup[[#This Row],[ISO3]],Countries[ISO3],0),3),"")</f>
        <v>760</v>
      </c>
      <c r="E1464" t="str">
        <f>IFERROR(INDEX(Countries[],MATCH(CountryCleanup[[#This Row],[ISO3]],Countries[ISO3],0),6),"")</f>
        <v>Syrian Arab Republic (the)</v>
      </c>
    </row>
    <row r="1465" spans="2:5" x14ac:dyDescent="0.45">
      <c r="B1465" t="s">
        <v>2244</v>
      </c>
      <c r="C1465" t="s">
        <v>1311</v>
      </c>
      <c r="D1465">
        <f>IFERROR(INDEX(Countries[],MATCH(CountryCleanup[[#This Row],[ISO3]],Countries[ISO3],0),3),"")</f>
        <v>760</v>
      </c>
      <c r="E1465" t="str">
        <f>IFERROR(INDEX(Countries[],MATCH(CountryCleanup[[#This Row],[ISO3]],Countries[ISO3],0),6),"")</f>
        <v>Syrian Arab Republic (the)</v>
      </c>
    </row>
    <row r="1466" spans="2:5" x14ac:dyDescent="0.45">
      <c r="B1466" t="s">
        <v>2866</v>
      </c>
      <c r="C1466" t="s">
        <v>1311</v>
      </c>
      <c r="D1466">
        <f>IFERROR(INDEX(Countries[],MATCH(CountryCleanup[[#This Row],[ISO3]],Countries[ISO3],0),3),"")</f>
        <v>760</v>
      </c>
      <c r="E1466" t="str">
        <f>IFERROR(INDEX(Countries[],MATCH(CountryCleanup[[#This Row],[ISO3]],Countries[ISO3],0),6),"")</f>
        <v>Syrian Arab Republic (the)</v>
      </c>
    </row>
    <row r="1467" spans="2:5" x14ac:dyDescent="0.45">
      <c r="B1467" s="5" t="s">
        <v>1823</v>
      </c>
      <c r="C1467" s="5" t="s">
        <v>1311</v>
      </c>
      <c r="D1467">
        <f>IFERROR(INDEX(Countries[],MATCH(CountryCleanup[[#This Row],[ISO3]],Countries[ISO3],0),3),"")</f>
        <v>760</v>
      </c>
      <c r="E1467" t="str">
        <f>IFERROR(INDEX(Countries[],MATCH(CountryCleanup[[#This Row],[ISO3]],Countries[ISO3],0),6),"")</f>
        <v>Syrian Arab Republic (the)</v>
      </c>
    </row>
    <row r="1468" spans="2:5" x14ac:dyDescent="0.45">
      <c r="B1468" t="s">
        <v>1312</v>
      </c>
      <c r="C1468" t="s">
        <v>1311</v>
      </c>
      <c r="D1468">
        <f>IFERROR(INDEX(Countries[],MATCH(CountryCleanup[[#This Row],[ISO3]],Countries[ISO3],0),3),"")</f>
        <v>760</v>
      </c>
      <c r="E1468" t="str">
        <f>IFERROR(INDEX(Countries[],MATCH(CountryCleanup[[#This Row],[ISO3]],Countries[ISO3],0),6),"")</f>
        <v>Syrian Arab Republic (the)</v>
      </c>
    </row>
    <row r="1469" spans="2:5" x14ac:dyDescent="0.45">
      <c r="B1469" s="9" t="s">
        <v>1824</v>
      </c>
      <c r="C1469" t="s">
        <v>1090</v>
      </c>
      <c r="D1469">
        <f>IFERROR(INDEX(Countries[],MATCH(CountryCleanup[[#This Row],[ISO3]],Countries[ISO3],0),3),"")</f>
        <v>807</v>
      </c>
      <c r="E1469" t="str">
        <f>IFERROR(INDEX(Countries[],MATCH(CountryCleanup[[#This Row],[ISO3]],Countries[ISO3],0),6),"")</f>
        <v>North Macedonia</v>
      </c>
    </row>
    <row r="1470" spans="2:5" x14ac:dyDescent="0.45">
      <c r="B1470" t="s">
        <v>2341</v>
      </c>
      <c r="C1470" t="s">
        <v>1355</v>
      </c>
      <c r="D1470">
        <f>IFERROR(INDEX(Countries[],MATCH(CountryCleanup[[#This Row],[ISO3]],Countries[ISO3],0),3),"")</f>
        <v>792</v>
      </c>
      <c r="E1470" t="str">
        <f>IFERROR(INDEX(Countries[],MATCH(CountryCleanup[[#This Row],[ISO3]],Countries[ISO3],0),6),"")</f>
        <v>Türkiye</v>
      </c>
    </row>
    <row r="1471" spans="2:5" x14ac:dyDescent="0.45">
      <c r="B1471" t="s">
        <v>2210</v>
      </c>
      <c r="C1471" t="s">
        <v>424</v>
      </c>
      <c r="D1471">
        <f>IFERROR(INDEX(Countries[],MATCH(CountryCleanup[[#This Row],[ISO3]],Countries[ISO3],0),3),"")</f>
        <v>158</v>
      </c>
      <c r="E1471" t="str">
        <f>IFERROR(INDEX(Countries[],MATCH(CountryCleanup[[#This Row],[ISO3]],Countries[ISO3],0),6),"")</f>
        <v>Chinese Taipei</v>
      </c>
    </row>
    <row r="1472" spans="2:5" x14ac:dyDescent="0.45">
      <c r="B1472" t="s">
        <v>1825</v>
      </c>
      <c r="C1472" t="s">
        <v>424</v>
      </c>
      <c r="D1472">
        <f>IFERROR(INDEX(Countries[],MATCH(CountryCleanup[[#This Row],[ISO3]],Countries[ISO3],0),3),"")</f>
        <v>158</v>
      </c>
      <c r="E1472" t="str">
        <f>IFERROR(INDEX(Countries[],MATCH(CountryCleanup[[#This Row],[ISO3]],Countries[ISO3],0),6),"")</f>
        <v>Chinese Taipei</v>
      </c>
    </row>
    <row r="1473" spans="2:5" x14ac:dyDescent="0.45">
      <c r="B1473" t="s">
        <v>2749</v>
      </c>
      <c r="C1473" t="s">
        <v>424</v>
      </c>
      <c r="D1473">
        <f>IFERROR(INDEX(Countries[],MATCH(CountryCleanup[[#This Row],[ISO3]],Countries[ISO3],0),3),"")</f>
        <v>158</v>
      </c>
      <c r="E1473" t="str">
        <f>IFERROR(INDEX(Countries[],MATCH(CountryCleanup[[#This Row],[ISO3]],Countries[ISO3],0),6),"")</f>
        <v>Chinese Taipei</v>
      </c>
    </row>
    <row r="1474" spans="2:5" x14ac:dyDescent="0.45">
      <c r="B1474" t="s">
        <v>1826</v>
      </c>
      <c r="C1474" t="s">
        <v>424</v>
      </c>
      <c r="D1474">
        <f>IFERROR(INDEX(Countries[],MATCH(CountryCleanup[[#This Row],[ISO3]],Countries[ISO3],0),3),"")</f>
        <v>158</v>
      </c>
      <c r="E1474" t="str">
        <f>IFERROR(INDEX(Countries[],MATCH(CountryCleanup[[#This Row],[ISO3]],Countries[ISO3],0),6),"")</f>
        <v>Chinese Taipei</v>
      </c>
    </row>
    <row r="1475" spans="2:5" x14ac:dyDescent="0.45">
      <c r="B1475" t="s">
        <v>2435</v>
      </c>
      <c r="C1475" t="s">
        <v>424</v>
      </c>
      <c r="D1475">
        <f>IFERROR(INDEX(Countries[],MATCH(CountryCleanup[[#This Row],[ISO3]],Countries[ISO3],0),3),"")</f>
        <v>158</v>
      </c>
      <c r="E1475" t="str">
        <f>IFERROR(INDEX(Countries[],MATCH(CountryCleanup[[#This Row],[ISO3]],Countries[ISO3],0),6),"")</f>
        <v>Chinese Taipei</v>
      </c>
    </row>
    <row r="1476" spans="2:5" x14ac:dyDescent="0.45">
      <c r="B1476" t="s">
        <v>2482</v>
      </c>
      <c r="C1476" t="s">
        <v>424</v>
      </c>
      <c r="D1476">
        <f>IFERROR(INDEX(Countries[],MATCH(CountryCleanup[[#This Row],[ISO3]],Countries[ISO3],0),3),"")</f>
        <v>158</v>
      </c>
      <c r="E1476" t="str">
        <f>IFERROR(INDEX(Countries[],MATCH(CountryCleanup[[#This Row],[ISO3]],Countries[ISO3],0),6),"")</f>
        <v>Chinese Taipei</v>
      </c>
    </row>
    <row r="1477" spans="2:5" x14ac:dyDescent="0.45">
      <c r="B1477" t="s">
        <v>1318</v>
      </c>
      <c r="C1477" t="s">
        <v>1317</v>
      </c>
      <c r="D1477">
        <f>IFERROR(INDEX(Countries[],MATCH(CountryCleanup[[#This Row],[ISO3]],Countries[ISO3],0),3),"")</f>
        <v>762</v>
      </c>
      <c r="E1477" t="str">
        <f>IFERROR(INDEX(Countries[],MATCH(CountryCleanup[[#This Row],[ISO3]],Countries[ISO3],0),6),"")</f>
        <v>Tajikistan</v>
      </c>
    </row>
    <row r="1478" spans="2:5" x14ac:dyDescent="0.45">
      <c r="B1478" t="s">
        <v>2275</v>
      </c>
      <c r="C1478" t="s">
        <v>1317</v>
      </c>
      <c r="D1478">
        <f>IFERROR(INDEX(Countries[],MATCH(CountryCleanup[[#This Row],[ISO3]],Countries[ISO3],0),3),"")</f>
        <v>762</v>
      </c>
      <c r="E1478" t="str">
        <f>IFERROR(INDEX(Countries[],MATCH(CountryCleanup[[#This Row],[ISO3]],Countries[ISO3],0),6),"")</f>
        <v>Tajikistan</v>
      </c>
    </row>
    <row r="1479" spans="2:5" x14ac:dyDescent="0.45">
      <c r="B1479" t="s">
        <v>1827</v>
      </c>
      <c r="C1479" t="s">
        <v>1395</v>
      </c>
      <c r="D1479">
        <f>IFERROR(INDEX(Countries[],MATCH(CountryCleanup[[#This Row],[ISO3]],Countries[ISO3],0),3),"")</f>
        <v>834</v>
      </c>
      <c r="E1479" t="str">
        <f>IFERROR(INDEX(Countries[],MATCH(CountryCleanup[[#This Row],[ISO3]],Countries[ISO3],0),6),"")</f>
        <v>United Republic of Tanzania (the)</v>
      </c>
    </row>
    <row r="1480" spans="2:5" x14ac:dyDescent="0.45">
      <c r="B1480" t="s">
        <v>2216</v>
      </c>
      <c r="C1480" t="s">
        <v>1395</v>
      </c>
      <c r="D1480">
        <f>IFERROR(INDEX(Countries[],MATCH(CountryCleanup[[#This Row],[ISO3]],Countries[ISO3],0),3),"")</f>
        <v>834</v>
      </c>
      <c r="E1480" t="str">
        <f>IFERROR(INDEX(Countries[],MATCH(CountryCleanup[[#This Row],[ISO3]],Countries[ISO3],0),6),"")</f>
        <v>United Republic of Tanzania (the)</v>
      </c>
    </row>
    <row r="1481" spans="2:5" x14ac:dyDescent="0.45">
      <c r="B1481" s="9" t="s">
        <v>1828</v>
      </c>
      <c r="C1481" t="s">
        <v>1395</v>
      </c>
      <c r="D1481">
        <f>IFERROR(INDEX(Countries[],MATCH(CountryCleanup[[#This Row],[ISO3]],Countries[ISO3],0),3),"")</f>
        <v>834</v>
      </c>
      <c r="E1481" t="str">
        <f>IFERROR(INDEX(Countries[],MATCH(CountryCleanup[[#This Row],[ISO3]],Countries[ISO3],0),6),"")</f>
        <v>United Republic of Tanzania (the)</v>
      </c>
    </row>
    <row r="1482" spans="2:5" x14ac:dyDescent="0.45">
      <c r="B1482" t="s">
        <v>2436</v>
      </c>
      <c r="C1482" t="s">
        <v>1395</v>
      </c>
      <c r="D1482">
        <f>IFERROR(INDEX(Countries[],MATCH(CountryCleanup[[#This Row],[ISO3]],Countries[ISO3],0),3),"")</f>
        <v>834</v>
      </c>
      <c r="E1482" t="str">
        <f>IFERROR(INDEX(Countries[],MATCH(CountryCleanup[[#This Row],[ISO3]],Countries[ISO3],0),6),"")</f>
        <v>United Republic of Tanzania (the)</v>
      </c>
    </row>
    <row r="1483" spans="2:5" x14ac:dyDescent="0.45">
      <c r="B1483" t="s">
        <v>2483</v>
      </c>
      <c r="C1483" t="s">
        <v>1395</v>
      </c>
      <c r="D1483">
        <f>IFERROR(INDEX(Countries[],MATCH(CountryCleanup[[#This Row],[ISO3]],Countries[ISO3],0),3),"")</f>
        <v>834</v>
      </c>
      <c r="E1483" t="str">
        <f>IFERROR(INDEX(Countries[],MATCH(CountryCleanup[[#This Row],[ISO3]],Countries[ISO3],0),6),"")</f>
        <v>United Republic of Tanzania (the)</v>
      </c>
    </row>
    <row r="1484" spans="2:5" x14ac:dyDescent="0.45">
      <c r="B1484" s="9" t="s">
        <v>1829</v>
      </c>
      <c r="C1484" t="s">
        <v>1090</v>
      </c>
      <c r="D1484">
        <f>IFERROR(INDEX(Countries[],MATCH(CountryCleanup[[#This Row],[ISO3]],Countries[ISO3],0),3),"")</f>
        <v>807</v>
      </c>
      <c r="E1484" t="str">
        <f>IFERROR(INDEX(Countries[],MATCH(CountryCleanup[[#This Row],[ISO3]],Countries[ISO3],0),6),"")</f>
        <v>North Macedonia</v>
      </c>
    </row>
    <row r="1485" spans="2:5" x14ac:dyDescent="0.45">
      <c r="B1485" t="s">
        <v>1324</v>
      </c>
      <c r="C1485" t="s">
        <v>1323</v>
      </c>
      <c r="D1485">
        <f>IFERROR(INDEX(Countries[],MATCH(CountryCleanup[[#This Row],[ISO3]],Countries[ISO3],0),3),"")</f>
        <v>764</v>
      </c>
      <c r="E1485" t="str">
        <f>IFERROR(INDEX(Countries[],MATCH(CountryCleanup[[#This Row],[ISO3]],Countries[ISO3],0),6),"")</f>
        <v>Thailand</v>
      </c>
    </row>
    <row r="1486" spans="2:5" x14ac:dyDescent="0.45">
      <c r="B1486" t="s">
        <v>2205</v>
      </c>
      <c r="C1486" t="s">
        <v>1323</v>
      </c>
      <c r="D1486">
        <f>IFERROR(INDEX(Countries[],MATCH(CountryCleanup[[#This Row],[ISO3]],Countries[ISO3],0),3),"")</f>
        <v>764</v>
      </c>
      <c r="E1486" t="str">
        <f>IFERROR(INDEX(Countries[],MATCH(CountryCleanup[[#This Row],[ISO3]],Countries[ISO3],0),6),"")</f>
        <v>Thailand</v>
      </c>
    </row>
    <row r="1487" spans="2:5" x14ac:dyDescent="0.45">
      <c r="B1487" t="s">
        <v>1830</v>
      </c>
      <c r="C1487" t="s">
        <v>232</v>
      </c>
      <c r="D1487">
        <f>IFERROR(INDEX(Countries[],MATCH(CountryCleanup[[#This Row],[ISO3]],Countries[ISO3],0),3),"")</f>
        <v>44</v>
      </c>
      <c r="E1487" t="str">
        <f>IFERROR(INDEX(Countries[],MATCH(CountryCleanup[[#This Row],[ISO3]],Countries[ISO3],0),6),"")</f>
        <v>Bahamas (the)</v>
      </c>
    </row>
    <row r="1488" spans="2:5" x14ac:dyDescent="0.45">
      <c r="B1488" t="s">
        <v>1831</v>
      </c>
      <c r="C1488" t="s">
        <v>1090</v>
      </c>
      <c r="D1488">
        <f>IFERROR(INDEX(Countries[],MATCH(CountryCleanup[[#This Row],[ISO3]],Countries[ISO3],0),3),"")</f>
        <v>807</v>
      </c>
      <c r="E1488" t="str">
        <f>IFERROR(INDEX(Countries[],MATCH(CountryCleanup[[#This Row],[ISO3]],Countries[ISO3],0),6),"")</f>
        <v>North Macedonia</v>
      </c>
    </row>
    <row r="1489" spans="2:5" x14ac:dyDescent="0.45">
      <c r="B1489" s="9" t="s">
        <v>1832</v>
      </c>
      <c r="C1489" t="s">
        <v>621</v>
      </c>
      <c r="D1489">
        <f>IFERROR(INDEX(Countries[],MATCH(CountryCleanup[[#This Row],[ISO3]],Countries[ISO3],0),3),"")</f>
        <v>270</v>
      </c>
      <c r="E1489" t="str">
        <f>IFERROR(INDEX(Countries[],MATCH(CountryCleanup[[#This Row],[ISO3]],Countries[ISO3],0),6),"")</f>
        <v>Gambia (the)</v>
      </c>
    </row>
    <row r="1490" spans="2:5" x14ac:dyDescent="0.45">
      <c r="B1490" t="s">
        <v>2507</v>
      </c>
      <c r="C1490" t="s">
        <v>961</v>
      </c>
      <c r="D1490">
        <f>IFERROR(INDEX(Countries[],MATCH(CountryCleanup[[#This Row],[ISO3]],Countries[ISO3],0),3),"")</f>
        <v>528</v>
      </c>
      <c r="E1490" t="str">
        <f>IFERROR(INDEX(Countries[],MATCH(CountryCleanup[[#This Row],[ISO3]],Countries[ISO3],0),6),"")</f>
        <v>Netherlands (Kingdom of the)</v>
      </c>
    </row>
    <row r="1491" spans="2:5" x14ac:dyDescent="0.45">
      <c r="B1491" s="5" t="s">
        <v>1833</v>
      </c>
      <c r="C1491" s="5" t="s">
        <v>1329</v>
      </c>
      <c r="D1491">
        <f>IFERROR(INDEX(Countries[],MATCH(CountryCleanup[[#This Row],[ISO3]],Countries[ISO3],0),3),"")</f>
        <v>626</v>
      </c>
      <c r="E1491" t="str">
        <f>IFERROR(INDEX(Countries[],MATCH(CountryCleanup[[#This Row],[ISO3]],Countries[ISO3],0),6),"")</f>
        <v>Timor-Leste</v>
      </c>
    </row>
    <row r="1492" spans="2:5" x14ac:dyDescent="0.45">
      <c r="B1492" t="s">
        <v>2951</v>
      </c>
      <c r="C1492" s="5" t="s">
        <v>1329</v>
      </c>
      <c r="D1492">
        <f>IFERROR(INDEX(Countries[],MATCH(CountryCleanup[[#This Row],[ISO3]],Countries[ISO3],0),3),"")</f>
        <v>626</v>
      </c>
      <c r="E1492" t="str">
        <f>IFERROR(INDEX(Countries[],MATCH(CountryCleanup[[#This Row],[ISO3]],Countries[ISO3],0),6),"")</f>
        <v>Timor-Leste</v>
      </c>
    </row>
    <row r="1493" spans="2:5" x14ac:dyDescent="0.45">
      <c r="B1493" t="s">
        <v>1330</v>
      </c>
      <c r="C1493" t="s">
        <v>1329</v>
      </c>
      <c r="D1493">
        <f>IFERROR(INDEX(Countries[],MATCH(CountryCleanup[[#This Row],[ISO3]],Countries[ISO3],0),3),"")</f>
        <v>626</v>
      </c>
      <c r="E1493" t="str">
        <f>IFERROR(INDEX(Countries[],MATCH(CountryCleanup[[#This Row],[ISO3]],Countries[ISO3],0),6),"")</f>
        <v>Timor-Leste</v>
      </c>
    </row>
    <row r="1494" spans="2:5" x14ac:dyDescent="0.45">
      <c r="B1494" s="9" t="s">
        <v>1834</v>
      </c>
      <c r="C1494" t="s">
        <v>1329</v>
      </c>
      <c r="D1494">
        <f>IFERROR(INDEX(Countries[],MATCH(CountryCleanup[[#This Row],[ISO3]],Countries[ISO3],0),3),"")</f>
        <v>626</v>
      </c>
      <c r="E1494" t="str">
        <f>IFERROR(INDEX(Countries[],MATCH(CountryCleanup[[#This Row],[ISO3]],Countries[ISO3],0),6),"")</f>
        <v>Timor-Leste</v>
      </c>
    </row>
    <row r="1495" spans="2:5" x14ac:dyDescent="0.45">
      <c r="B1495" t="s">
        <v>1333</v>
      </c>
      <c r="C1495" t="s">
        <v>1332</v>
      </c>
      <c r="D1495">
        <f>IFERROR(INDEX(Countries[],MATCH(CountryCleanup[[#This Row],[ISO3]],Countries[ISO3],0),3),"")</f>
        <v>768</v>
      </c>
      <c r="E1495" t="str">
        <f>IFERROR(INDEX(Countries[],MATCH(CountryCleanup[[#This Row],[ISO3]],Countries[ISO3],0),6),"")</f>
        <v>Togo</v>
      </c>
    </row>
    <row r="1496" spans="2:5" x14ac:dyDescent="0.45">
      <c r="B1496" t="s">
        <v>2270</v>
      </c>
      <c r="C1496" t="s">
        <v>1332</v>
      </c>
      <c r="D1496">
        <f>IFERROR(INDEX(Countries[],MATCH(CountryCleanup[[#This Row],[ISO3]],Countries[ISO3],0),3),"")</f>
        <v>768</v>
      </c>
      <c r="E1496" t="str">
        <f>IFERROR(INDEX(Countries[],MATCH(CountryCleanup[[#This Row],[ISO3]],Countries[ISO3],0),6),"")</f>
        <v>Togo</v>
      </c>
    </row>
    <row r="1497" spans="2:5" x14ac:dyDescent="0.45">
      <c r="B1497" t="s">
        <v>1336</v>
      </c>
      <c r="C1497" t="s">
        <v>1335</v>
      </c>
      <c r="D1497">
        <f>IFERROR(INDEX(Countries[],MATCH(CountryCleanup[[#This Row],[ISO3]],Countries[ISO3],0),3),"")</f>
        <v>772</v>
      </c>
      <c r="E1497" t="str">
        <f>IFERROR(INDEX(Countries[],MATCH(CountryCleanup[[#This Row],[ISO3]],Countries[ISO3],0),6),"")</f>
        <v>Tokelau</v>
      </c>
    </row>
    <row r="1498" spans="2:5" x14ac:dyDescent="0.45">
      <c r="B1498" t="s">
        <v>1340</v>
      </c>
      <c r="C1498" t="s">
        <v>1339</v>
      </c>
      <c r="D1498">
        <f>IFERROR(INDEX(Countries[],MATCH(CountryCleanup[[#This Row],[ISO3]],Countries[ISO3],0),3),"")</f>
        <v>776</v>
      </c>
      <c r="E1498" t="str">
        <f>IFERROR(INDEX(Countries[],MATCH(CountryCleanup[[#This Row],[ISO3]],Countries[ISO3],0),6),"")</f>
        <v>Tonga</v>
      </c>
    </row>
    <row r="1499" spans="2:5" x14ac:dyDescent="0.45">
      <c r="B1499" t="s">
        <v>2774</v>
      </c>
      <c r="C1499" s="3" t="s">
        <v>115</v>
      </c>
      <c r="D1499">
        <f>IFERROR(INDEX(Countries[],MATCH(CountryCleanup[[#This Row],[ISO3]],Countries[ISO3],0),3),"")</f>
        <v>2</v>
      </c>
      <c r="E1499" t="str">
        <f>IFERROR(INDEX(Countries[],MATCH(CountryCleanup[[#This Row],[ISO3]],Countries[ISO3],0),6),"")</f>
        <v>Africa</v>
      </c>
    </row>
    <row r="1500" spans="2:5" x14ac:dyDescent="0.45">
      <c r="B1500" t="s">
        <v>2863</v>
      </c>
      <c r="C1500" s="3" t="s">
        <v>209</v>
      </c>
      <c r="D1500">
        <f>IFERROR(INDEX(Countries[],MATCH(CountryCleanup[[#This Row],[ISO3]],Countries[ISO3],0),3),"")</f>
        <v>142</v>
      </c>
      <c r="E1500" t="str">
        <f>IFERROR(INDEX(Countries[],MATCH(CountryCleanup[[#This Row],[ISO3]],Countries[ISO3],0),6),"")</f>
        <v>Asia</v>
      </c>
    </row>
    <row r="1501" spans="2:5" x14ac:dyDescent="0.45">
      <c r="B1501" t="s">
        <v>2775</v>
      </c>
      <c r="C1501" s="3" t="s">
        <v>1011</v>
      </c>
      <c r="D1501">
        <f>IFERROR(INDEX(Countries[],MATCH(CountryCleanup[[#This Row],[ISO3]],Countries[ISO3],0),3),"")</f>
        <v>9</v>
      </c>
      <c r="E1501" t="str">
        <f>IFERROR(INDEX(Countries[],MATCH(CountryCleanup[[#This Row],[ISO3]],Countries[ISO3],0),6),"")</f>
        <v>Oceania</v>
      </c>
    </row>
    <row r="1502" spans="2:5" x14ac:dyDescent="0.45">
      <c r="B1502" t="s">
        <v>2776</v>
      </c>
      <c r="C1502" s="3" t="s">
        <v>385</v>
      </c>
      <c r="D1502">
        <f>IFERROR(INDEX(Countries[],MATCH(CountryCleanup[[#This Row],[ISO3]],Countries[ISO3],0),3),"")</f>
        <v>99902</v>
      </c>
      <c r="E1502" t="str">
        <f>IFERROR(INDEX(Countries[],MATCH(CountryCleanup[[#This Row],[ISO3]],Countries[ISO3],0),6),"")</f>
        <v>Central America and the Caribbean</v>
      </c>
    </row>
    <row r="1503" spans="2:5" x14ac:dyDescent="0.45">
      <c r="B1503" t="s">
        <v>2777</v>
      </c>
      <c r="C1503" s="3" t="s">
        <v>564</v>
      </c>
      <c r="D1503">
        <f>IFERROR(INDEX(Countries[],MATCH(CountryCleanup[[#This Row],[ISO3]],Countries[ISO3],0),3),"")</f>
        <v>99903</v>
      </c>
      <c r="E1503" t="str">
        <f>IFERROR(INDEX(Countries[],MATCH(CountryCleanup[[#This Row],[ISO3]],Countries[ISO3],0),6),"")</f>
        <v>Eurasia</v>
      </c>
    </row>
    <row r="1504" spans="2:5" x14ac:dyDescent="0.45">
      <c r="B1504" t="s">
        <v>1835</v>
      </c>
      <c r="C1504" s="3" t="s">
        <v>1415</v>
      </c>
      <c r="D1504">
        <f>IFERROR(INDEX(Countries[],MATCH(CountryCleanup[[#This Row],[ISO3]],Countries[ISO3],0),3),"")</f>
        <v>99049</v>
      </c>
      <c r="E1504" t="str">
        <f>IFERROR(INDEX(Countries[],MATCH(CountryCleanup[[#This Row],[ISO3]],Countries[ISO3],0),6),"")</f>
        <v>Unspecified countries</v>
      </c>
    </row>
    <row r="1505" spans="2:5" x14ac:dyDescent="0.45">
      <c r="B1505" t="s">
        <v>2778</v>
      </c>
      <c r="C1505" s="3" t="s">
        <v>2315</v>
      </c>
      <c r="D1505">
        <f>IFERROR(INDEX(Countries[],MATCH(CountryCleanup[[#This Row],[ISO3]],Countries[ISO3],0),3),"")</f>
        <v>14</v>
      </c>
      <c r="E1505" t="str">
        <f>IFERROR(INDEX(Countries[],MATCH(CountryCleanup[[#This Row],[ISO3]],Countries[ISO3],0),6),"")</f>
        <v>Eastern Africa</v>
      </c>
    </row>
    <row r="1506" spans="2:5" x14ac:dyDescent="0.45">
      <c r="B1506" t="s">
        <v>2779</v>
      </c>
      <c r="C1506" s="3" t="s">
        <v>569</v>
      </c>
      <c r="D1506">
        <f>IFERROR(INDEX(Countries[],MATCH(CountryCleanup[[#This Row],[ISO3]],Countries[ISO3],0),3),"")</f>
        <v>99906</v>
      </c>
      <c r="E1506" t="str">
        <f>IFERROR(INDEX(Countries[],MATCH(CountryCleanup[[#This Row],[ISO3]],Countries[ISO3],0),6),"")</f>
        <v>European Union (27)</v>
      </c>
    </row>
    <row r="1507" spans="2:5" x14ac:dyDescent="0.45">
      <c r="B1507" t="s">
        <v>2780</v>
      </c>
      <c r="C1507" s="3" t="s">
        <v>565</v>
      </c>
      <c r="D1507">
        <f>IFERROR(INDEX(Countries[],MATCH(CountryCleanup[[#This Row],[ISO3]],Countries[ISO3],0),3),"")</f>
        <v>150</v>
      </c>
      <c r="E1507" t="str">
        <f>IFERROR(INDEX(Countries[],MATCH(CountryCleanup[[#This Row],[ISO3]],Countries[ISO3],0),6),"")</f>
        <v>Europe</v>
      </c>
    </row>
    <row r="1508" spans="2:5" x14ac:dyDescent="0.45">
      <c r="B1508" t="s">
        <v>2781</v>
      </c>
      <c r="C1508" s="3" t="s">
        <v>2323</v>
      </c>
      <c r="D1508">
        <f>IFERROR(INDEX(Countries[],MATCH(CountryCleanup[[#This Row],[ISO3]],Countries[ISO3],0),3),"")</f>
        <v>17</v>
      </c>
      <c r="E1508" t="str">
        <f>IFERROR(INDEX(Countries[],MATCH(CountryCleanup[[#This Row],[ISO3]],Countries[ISO3],0),6),"")</f>
        <v>Middle Africa</v>
      </c>
    </row>
    <row r="1509" spans="2:5" x14ac:dyDescent="0.45">
      <c r="B1509" t="s">
        <v>2782</v>
      </c>
      <c r="C1509" s="3" t="s">
        <v>912</v>
      </c>
      <c r="D1509">
        <f>IFERROR(INDEX(Countries[],MATCH(CountryCleanup[[#This Row],[ISO3]],Countries[ISO3],0),3),"")</f>
        <v>99907</v>
      </c>
      <c r="E1509" t="str">
        <f>IFERROR(INDEX(Countries[],MATCH(CountryCleanup[[#This Row],[ISO3]],Countries[ISO3],0),6),"")</f>
        <v>Middle East</v>
      </c>
    </row>
    <row r="1510" spans="2:5" x14ac:dyDescent="0.45">
      <c r="B1510" t="s">
        <v>2783</v>
      </c>
      <c r="C1510" s="3" t="s">
        <v>998</v>
      </c>
      <c r="D1510">
        <f>IFERROR(INDEX(Countries[],MATCH(CountryCleanup[[#This Row],[ISO3]],Countries[ISO3],0),3),"")</f>
        <v>21</v>
      </c>
      <c r="E1510" t="str">
        <f>IFERROR(INDEX(Countries[],MATCH(CountryCleanup[[#This Row],[ISO3]],Countries[ISO3],0),6),"")</f>
        <v>Northern America</v>
      </c>
    </row>
    <row r="1511" spans="2:5" x14ac:dyDescent="0.45">
      <c r="B1511" t="s">
        <v>2784</v>
      </c>
      <c r="C1511" s="3" t="s">
        <v>385</v>
      </c>
      <c r="D1511">
        <f>IFERROR(INDEX(Countries[],MATCH(CountryCleanup[[#This Row],[ISO3]],Countries[ISO3],0),3),"")</f>
        <v>99902</v>
      </c>
      <c r="E1511" t="str">
        <f>IFERROR(INDEX(Countries[],MATCH(CountryCleanup[[#This Row],[ISO3]],Countries[ISO3],0),6),"")</f>
        <v>Central America and the Caribbean</v>
      </c>
    </row>
    <row r="1512" spans="2:5" x14ac:dyDescent="0.45">
      <c r="B1512" t="s">
        <v>2861</v>
      </c>
      <c r="C1512" s="3" t="s">
        <v>1257</v>
      </c>
      <c r="D1512">
        <f>IFERROR(INDEX(Countries[],MATCH(CountryCleanup[[#This Row],[ISO3]],Countries[ISO3],0),3),"")</f>
        <v>5</v>
      </c>
      <c r="E1512" t="str">
        <f>IFERROR(INDEX(Countries[],MATCH(CountryCleanup[[#This Row],[ISO3]],Countries[ISO3],0),6),"")</f>
        <v>South America</v>
      </c>
    </row>
    <row r="1513" spans="2:5" x14ac:dyDescent="0.45">
      <c r="B1513" t="s">
        <v>2785</v>
      </c>
      <c r="C1513" s="3" t="s">
        <v>2335</v>
      </c>
      <c r="D1513">
        <f>IFERROR(INDEX(Countries[],MATCH(CountryCleanup[[#This Row],[ISO3]],Countries[ISO3],0),3),"")</f>
        <v>11</v>
      </c>
      <c r="E1513" t="str">
        <f>IFERROR(INDEX(Countries[],MATCH(CountryCleanup[[#This Row],[ISO3]],Countries[ISO3],0),6),"")</f>
        <v>Western Africa</v>
      </c>
    </row>
    <row r="1514" spans="2:5" x14ac:dyDescent="0.45">
      <c r="B1514" t="s">
        <v>2786</v>
      </c>
      <c r="C1514" s="3" t="s">
        <v>1452</v>
      </c>
      <c r="D1514">
        <f>IFERROR(INDEX(Countries[],MATCH(CountryCleanup[[#This Row],[ISO3]],Countries[ISO3],0),3),"")</f>
        <v>1</v>
      </c>
      <c r="E1514" t="str">
        <f>IFERROR(INDEX(Countries[],MATCH(CountryCleanup[[#This Row],[ISO3]],Countries[ISO3],0),6),"")</f>
        <v>World</v>
      </c>
    </row>
    <row r="1515" spans="2:5" x14ac:dyDescent="0.45">
      <c r="B1515" t="s">
        <v>2843</v>
      </c>
      <c r="C1515" t="s">
        <v>318</v>
      </c>
      <c r="D1515">
        <f>IFERROR(INDEX(Countries[],MATCH(CountryCleanup[[#This Row],[ISO3]],Countries[ISO3],0),3),"")</f>
        <v>76</v>
      </c>
      <c r="E1515" t="str">
        <f>IFERROR(INDEX(Countries[],MATCH(CountryCleanup[[#This Row],[ISO3]],Countries[ISO3],0),6),"")</f>
        <v>Brazil</v>
      </c>
    </row>
    <row r="1516" spans="2:5" x14ac:dyDescent="0.45">
      <c r="B1516" t="s">
        <v>2276</v>
      </c>
      <c r="C1516" t="s">
        <v>1343</v>
      </c>
      <c r="D1516">
        <f>IFERROR(INDEX(Countries[],MATCH(CountryCleanup[[#This Row],[ISO3]],Countries[ISO3],0),3),"")</f>
        <v>780</v>
      </c>
      <c r="E1516" t="str">
        <f>IFERROR(INDEX(Countries[],MATCH(CountryCleanup[[#This Row],[ISO3]],Countries[ISO3],0),6),"")</f>
        <v>Trinidad and Tobago</v>
      </c>
    </row>
    <row r="1517" spans="2:5" x14ac:dyDescent="0.45">
      <c r="B1517" t="s">
        <v>1836</v>
      </c>
      <c r="C1517" t="s">
        <v>1343</v>
      </c>
      <c r="D1517">
        <f>IFERROR(INDEX(Countries[],MATCH(CountryCleanup[[#This Row],[ISO3]],Countries[ISO3],0),3),"")</f>
        <v>780</v>
      </c>
      <c r="E1517" t="str">
        <f>IFERROR(INDEX(Countries[],MATCH(CountryCleanup[[#This Row],[ISO3]],Countries[ISO3],0),6),"")</f>
        <v>Trinidad and Tobago</v>
      </c>
    </row>
    <row r="1518" spans="2:5" x14ac:dyDescent="0.45">
      <c r="B1518" t="s">
        <v>1344</v>
      </c>
      <c r="C1518" t="s">
        <v>1343</v>
      </c>
      <c r="D1518">
        <f>IFERROR(INDEX(Countries[],MATCH(CountryCleanup[[#This Row],[ISO3]],Countries[ISO3],0),3),"")</f>
        <v>780</v>
      </c>
      <c r="E1518" t="str">
        <f>IFERROR(INDEX(Countries[],MATCH(CountryCleanup[[#This Row],[ISO3]],Countries[ISO3],0),6),"")</f>
        <v>Trinidad and Tobago</v>
      </c>
    </row>
    <row r="1519" spans="2:5" x14ac:dyDescent="0.45">
      <c r="B1519" s="5" t="s">
        <v>1837</v>
      </c>
      <c r="C1519" s="5" t="s">
        <v>1343</v>
      </c>
      <c r="D1519">
        <f>IFERROR(INDEX(Countries[],MATCH(CountryCleanup[[#This Row],[ISO3]],Countries[ISO3],0),3),"")</f>
        <v>780</v>
      </c>
      <c r="E1519" t="str">
        <f>IFERROR(INDEX(Countries[],MATCH(CountryCleanup[[#This Row],[ISO3]],Countries[ISO3],0),6),"")</f>
        <v>Trinidad and Tobago</v>
      </c>
    </row>
    <row r="1520" spans="2:5" x14ac:dyDescent="0.45">
      <c r="B1520" t="s">
        <v>1838</v>
      </c>
      <c r="C1520" t="s">
        <v>1145</v>
      </c>
      <c r="D1520">
        <f>IFERROR(INDEX(Countries[],MATCH(CountryCleanup[[#This Row],[ISO3]],Countries[ISO3],0),3),"")</f>
        <v>654</v>
      </c>
      <c r="E1520" t="str">
        <f>IFERROR(INDEX(Countries[],MATCH(CountryCleanup[[#This Row],[ISO3]],Countries[ISO3],0),6),"")</f>
        <v>Saint Helena</v>
      </c>
    </row>
    <row r="1521" spans="2:5" x14ac:dyDescent="0.45">
      <c r="B1521" t="s">
        <v>1350</v>
      </c>
      <c r="C1521" t="s">
        <v>1349</v>
      </c>
      <c r="D1521">
        <f>IFERROR(INDEX(Countries[],MATCH(CountryCleanup[[#This Row],[ISO3]],Countries[ISO3],0),3),"")</f>
        <v>788</v>
      </c>
      <c r="E1521" t="str">
        <f>IFERROR(INDEX(Countries[],MATCH(CountryCleanup[[#This Row],[ISO3]],Countries[ISO3],0),6),"")</f>
        <v>Tunisia</v>
      </c>
    </row>
    <row r="1522" spans="2:5" x14ac:dyDescent="0.45">
      <c r="B1522" t="s">
        <v>2249</v>
      </c>
      <c r="C1522" t="s">
        <v>1349</v>
      </c>
      <c r="D1522">
        <f>IFERROR(INDEX(Countries[],MATCH(CountryCleanup[[#This Row],[ISO3]],Countries[ISO3],0),3),"")</f>
        <v>788</v>
      </c>
      <c r="E1522" t="str">
        <f>IFERROR(INDEX(Countries[],MATCH(CountryCleanup[[#This Row],[ISO3]],Countries[ISO3],0),6),"")</f>
        <v>Tunisia</v>
      </c>
    </row>
    <row r="1523" spans="2:5" x14ac:dyDescent="0.45">
      <c r="B1523" t="s">
        <v>1839</v>
      </c>
      <c r="C1523" t="s">
        <v>1355</v>
      </c>
      <c r="D1523">
        <f>IFERROR(INDEX(Countries[],MATCH(CountryCleanup[[#This Row],[ISO3]],Countries[ISO3],0),3),"")</f>
        <v>792</v>
      </c>
      <c r="E1523" t="str">
        <f>IFERROR(INDEX(Countries[],MATCH(CountryCleanup[[#This Row],[ISO3]],Countries[ISO3],0),6),"")</f>
        <v>Türkiye</v>
      </c>
    </row>
    <row r="1524" spans="2:5" x14ac:dyDescent="0.45">
      <c r="B1524" t="s">
        <v>1990</v>
      </c>
      <c r="C1524" t="s">
        <v>1355</v>
      </c>
      <c r="D1524">
        <f>IFERROR(INDEX(Countries[],MATCH(CountryCleanup[[#This Row],[ISO3]],Countries[ISO3],0),3),"")</f>
        <v>792</v>
      </c>
      <c r="E1524" t="str">
        <f>IFERROR(INDEX(Countries[],MATCH(CountryCleanup[[#This Row],[ISO3]],Countries[ISO3],0),6),"")</f>
        <v>Türkiye</v>
      </c>
    </row>
    <row r="1525" spans="2:5" x14ac:dyDescent="0.45">
      <c r="B1525" s="9" t="s">
        <v>2185</v>
      </c>
      <c r="C1525" t="s">
        <v>1355</v>
      </c>
      <c r="D1525">
        <f>IFERROR(INDEX(Countries[],MATCH(CountryCleanup[[#This Row],[ISO3]],Countries[ISO3],0),3),"")</f>
        <v>792</v>
      </c>
      <c r="E1525" t="str">
        <f>IFERROR(INDEX(Countries[],MATCH(CountryCleanup[[#This Row],[ISO3]],Countries[ISO3],0),6),"")</f>
        <v>Türkiye</v>
      </c>
    </row>
    <row r="1526" spans="2:5" x14ac:dyDescent="0.45">
      <c r="B1526" t="s">
        <v>1356</v>
      </c>
      <c r="C1526" t="s">
        <v>1355</v>
      </c>
      <c r="D1526">
        <f>IFERROR(INDEX(Countries[],MATCH(CountryCleanup[[#This Row],[ISO3]],Countries[ISO3],0),3),"")</f>
        <v>792</v>
      </c>
      <c r="E1526" t="str">
        <f>IFERROR(INDEX(Countries[],MATCH(CountryCleanup[[#This Row],[ISO3]],Countries[ISO3],0),6),"")</f>
        <v>Türkiye</v>
      </c>
    </row>
    <row r="1527" spans="2:5" x14ac:dyDescent="0.45">
      <c r="B1527" t="s">
        <v>2904</v>
      </c>
      <c r="C1527" t="s">
        <v>1355</v>
      </c>
      <c r="D1527">
        <f>IFERROR(INDEX(Countries[],MATCH(CountryCleanup[[#This Row],[ISO3]],Countries[ISO3],0),3),"")</f>
        <v>792</v>
      </c>
      <c r="E1527" t="str">
        <f>IFERROR(INDEX(Countries[],MATCH(CountryCleanup[[#This Row],[ISO3]],Countries[ISO3],0),6),"")</f>
        <v>Türkiye</v>
      </c>
    </row>
    <row r="1528" spans="2:5" x14ac:dyDescent="0.45">
      <c r="B1528" t="s">
        <v>2256</v>
      </c>
      <c r="C1528" t="s">
        <v>1359</v>
      </c>
      <c r="D1528">
        <f>IFERROR(INDEX(Countries[],MATCH(CountryCleanup[[#This Row],[ISO3]],Countries[ISO3],0),3),"")</f>
        <v>795</v>
      </c>
      <c r="E1528" t="str">
        <f>IFERROR(INDEX(Countries[],MATCH(CountryCleanup[[#This Row],[ISO3]],Countries[ISO3],0),6),"")</f>
        <v>Turkmenistan</v>
      </c>
    </row>
    <row r="1529" spans="2:5" x14ac:dyDescent="0.45">
      <c r="B1529" t="s">
        <v>1360</v>
      </c>
      <c r="C1529" t="s">
        <v>1359</v>
      </c>
      <c r="D1529">
        <f>IFERROR(INDEX(Countries[],MATCH(CountryCleanup[[#This Row],[ISO3]],Countries[ISO3],0),3),"")</f>
        <v>795</v>
      </c>
      <c r="E1529" t="str">
        <f>IFERROR(INDEX(Countries[],MATCH(CountryCleanup[[#This Row],[ISO3]],Countries[ISO3],0),6),"")</f>
        <v>Turkmenistan</v>
      </c>
    </row>
    <row r="1530" spans="2:5" x14ac:dyDescent="0.45">
      <c r="B1530" t="s">
        <v>1840</v>
      </c>
      <c r="C1530" t="s">
        <v>1365</v>
      </c>
      <c r="D1530">
        <f>IFERROR(INDEX(Countries[],MATCH(CountryCleanup[[#This Row],[ISO3]],Countries[ISO3],0),3),"")</f>
        <v>796</v>
      </c>
      <c r="E1530" t="str">
        <f>IFERROR(INDEX(Countries[],MATCH(CountryCleanup[[#This Row],[ISO3]],Countries[ISO3],0),6),"")</f>
        <v>Turks and Caicos Islands</v>
      </c>
    </row>
    <row r="1531" spans="2:5" x14ac:dyDescent="0.45">
      <c r="B1531" t="s">
        <v>1841</v>
      </c>
      <c r="C1531" t="s">
        <v>1365</v>
      </c>
      <c r="D1531">
        <f>IFERROR(INDEX(Countries[],MATCH(CountryCleanup[[#This Row],[ISO3]],Countries[ISO3],0),3),"")</f>
        <v>796</v>
      </c>
      <c r="E1531" t="str">
        <f>IFERROR(INDEX(Countries[],MATCH(CountryCleanup[[#This Row],[ISO3]],Countries[ISO3],0),6),"")</f>
        <v>Turks and Caicos Islands</v>
      </c>
    </row>
    <row r="1532" spans="2:5" x14ac:dyDescent="0.45">
      <c r="B1532" t="s">
        <v>2394</v>
      </c>
      <c r="C1532" t="s">
        <v>1365</v>
      </c>
      <c r="D1532">
        <f>IFERROR(INDEX(Countries[],MATCH(CountryCleanup[[#This Row],[ISO3]],Countries[ISO3],0),3),"")</f>
        <v>796</v>
      </c>
      <c r="E1532" t="str">
        <f>IFERROR(INDEX(Countries[],MATCH(CountryCleanup[[#This Row],[ISO3]],Countries[ISO3],0),6),"")</f>
        <v>Turks and Caicos Islands</v>
      </c>
    </row>
    <row r="1533" spans="2:5" x14ac:dyDescent="0.45">
      <c r="B1533" t="s">
        <v>1366</v>
      </c>
      <c r="C1533" t="s">
        <v>1365</v>
      </c>
      <c r="D1533">
        <f>IFERROR(INDEX(Countries[],MATCH(CountryCleanup[[#This Row],[ISO3]],Countries[ISO3],0),3),"")</f>
        <v>796</v>
      </c>
      <c r="E1533" t="str">
        <f>IFERROR(INDEX(Countries[],MATCH(CountryCleanup[[#This Row],[ISO3]],Countries[ISO3],0),6),"")</f>
        <v>Turks and Caicos Islands</v>
      </c>
    </row>
    <row r="1534" spans="2:5" x14ac:dyDescent="0.45">
      <c r="B1534" s="5" t="s">
        <v>1842</v>
      </c>
      <c r="C1534" s="5" t="s">
        <v>1365</v>
      </c>
      <c r="D1534">
        <f>IFERROR(INDEX(Countries[],MATCH(CountryCleanup[[#This Row],[ISO3]],Countries[ISO3],0),3),"")</f>
        <v>796</v>
      </c>
      <c r="E1534" t="str">
        <f>IFERROR(INDEX(Countries[],MATCH(CountryCleanup[[#This Row],[ISO3]],Countries[ISO3],0),6),"")</f>
        <v>Turks and Caicos Islands</v>
      </c>
    </row>
    <row r="1535" spans="2:5" x14ac:dyDescent="0.45">
      <c r="B1535" t="s">
        <v>1371</v>
      </c>
      <c r="C1535" t="s">
        <v>1370</v>
      </c>
      <c r="D1535">
        <f>IFERROR(INDEX(Countries[],MATCH(CountryCleanup[[#This Row],[ISO3]],Countries[ISO3],0),3),"")</f>
        <v>798</v>
      </c>
      <c r="E1535" t="str">
        <f>IFERROR(INDEX(Countries[],MATCH(CountryCleanup[[#This Row],[ISO3]],Countries[ISO3],0),6),"")</f>
        <v>Tuvalu</v>
      </c>
    </row>
    <row r="1536" spans="2:5" x14ac:dyDescent="0.45">
      <c r="B1536" t="s">
        <v>1843</v>
      </c>
      <c r="C1536" t="s">
        <v>1389</v>
      </c>
      <c r="D1536">
        <f>IFERROR(INDEX(Countries[],MATCH(CountryCleanup[[#This Row],[ISO3]],Countries[ISO3],0),3),"")</f>
        <v>826</v>
      </c>
      <c r="E1536" t="str">
        <f>IFERROR(INDEX(Countries[],MATCH(CountryCleanup[[#This Row],[ISO3]],Countries[ISO3],0),6),"")</f>
        <v>United Kingdom of Great Britain and Northern Ireland (the)</v>
      </c>
    </row>
    <row r="1537" spans="2:5" x14ac:dyDescent="0.45">
      <c r="B1537" t="s">
        <v>1844</v>
      </c>
      <c r="C1537" t="s">
        <v>1389</v>
      </c>
      <c r="D1537">
        <f>IFERROR(INDEX(Countries[],MATCH(CountryCleanup[[#This Row],[ISO3]],Countries[ISO3],0),3),"")</f>
        <v>826</v>
      </c>
      <c r="E1537" t="str">
        <f>IFERROR(INDEX(Countries[],MATCH(CountryCleanup[[#This Row],[ISO3]],Countries[ISO3],0),6),"")</f>
        <v>United Kingdom of Great Britain and Northern Ireland (the)</v>
      </c>
    </row>
    <row r="1538" spans="2:5" x14ac:dyDescent="0.45">
      <c r="B1538" s="5" t="s">
        <v>1845</v>
      </c>
      <c r="C1538" s="5" t="s">
        <v>1383</v>
      </c>
      <c r="D1538">
        <f>IFERROR(INDEX(Countries[],MATCH(CountryCleanup[[#This Row],[ISO3]],Countries[ISO3],0),3),"")</f>
        <v>784</v>
      </c>
      <c r="E1538" t="str">
        <f>IFERROR(INDEX(Countries[],MATCH(CountryCleanup[[#This Row],[ISO3]],Countries[ISO3],0),6),"")</f>
        <v>United Arab Emirates (the)</v>
      </c>
    </row>
    <row r="1539" spans="2:5" x14ac:dyDescent="0.45">
      <c r="B1539" t="s">
        <v>1374</v>
      </c>
      <c r="C1539" t="s">
        <v>1373</v>
      </c>
      <c r="D1539">
        <f>IFERROR(INDEX(Countries[],MATCH(CountryCleanup[[#This Row],[ISO3]],Countries[ISO3],0),3),"")</f>
        <v>800</v>
      </c>
      <c r="E1539" t="str">
        <f>IFERROR(INDEX(Countries[],MATCH(CountryCleanup[[#This Row],[ISO3]],Countries[ISO3],0),6),"")</f>
        <v>Uganda</v>
      </c>
    </row>
    <row r="1540" spans="2:5" x14ac:dyDescent="0.45">
      <c r="B1540" t="s">
        <v>2220</v>
      </c>
      <c r="C1540" t="s">
        <v>1373</v>
      </c>
      <c r="D1540">
        <f>IFERROR(INDEX(Countries[],MATCH(CountryCleanup[[#This Row],[ISO3]],Countries[ISO3],0),3),"")</f>
        <v>800</v>
      </c>
      <c r="E1540" t="str">
        <f>IFERROR(INDEX(Countries[],MATCH(CountryCleanup[[#This Row],[ISO3]],Countries[ISO3],0),6),"")</f>
        <v>Uganda</v>
      </c>
    </row>
    <row r="1541" spans="2:5" x14ac:dyDescent="0.45">
      <c r="B1541" s="5" t="s">
        <v>1846</v>
      </c>
      <c r="C1541" s="5" t="s">
        <v>1389</v>
      </c>
      <c r="D1541">
        <f>IFERROR(INDEX(Countries[],MATCH(CountryCleanup[[#This Row],[ISO3]],Countries[ISO3],0),3),"")</f>
        <v>826</v>
      </c>
      <c r="E1541" t="str">
        <f>IFERROR(INDEX(Countries[],MATCH(CountryCleanup[[#This Row],[ISO3]],Countries[ISO3],0),6),"")</f>
        <v>United Kingdom of Great Britain and Northern Ireland (the)</v>
      </c>
    </row>
    <row r="1542" spans="2:5" x14ac:dyDescent="0.45">
      <c r="B1542" t="s">
        <v>1847</v>
      </c>
      <c r="C1542" s="5" t="s">
        <v>1389</v>
      </c>
      <c r="D1542">
        <f>IFERROR(INDEX(Countries[],MATCH(CountryCleanup[[#This Row],[ISO3]],Countries[ISO3],0),3),"")</f>
        <v>826</v>
      </c>
      <c r="E1542" t="str">
        <f>IFERROR(INDEX(Countries[],MATCH(CountryCleanup[[#This Row],[ISO3]],Countries[ISO3],0),6),"")</f>
        <v>United Kingdom of Great Britain and Northern Ireland (the)</v>
      </c>
    </row>
    <row r="1543" spans="2:5" x14ac:dyDescent="0.45">
      <c r="B1543" t="s">
        <v>1379</v>
      </c>
      <c r="C1543" t="s">
        <v>1378</v>
      </c>
      <c r="D1543">
        <f>IFERROR(INDEX(Countries[],MATCH(CountryCleanup[[#This Row],[ISO3]],Countries[ISO3],0),3),"")</f>
        <v>804</v>
      </c>
      <c r="E1543" t="str">
        <f>IFERROR(INDEX(Countries[],MATCH(CountryCleanup[[#This Row],[ISO3]],Countries[ISO3],0),6),"")</f>
        <v>Ukraine</v>
      </c>
    </row>
    <row r="1544" spans="2:5" x14ac:dyDescent="0.45">
      <c r="B1544" t="s">
        <v>1848</v>
      </c>
      <c r="C1544" t="s">
        <v>1378</v>
      </c>
      <c r="D1544">
        <f>IFERROR(INDEX(Countries[],MATCH(CountryCleanup[[#This Row],[ISO3]],Countries[ISO3],0),3),"")</f>
        <v>804</v>
      </c>
      <c r="E1544" t="str">
        <f>IFERROR(INDEX(Countries[],MATCH(CountryCleanup[[#This Row],[ISO3]],Countries[ISO3],0),6),"")</f>
        <v>Ukraine</v>
      </c>
    </row>
    <row r="1545" spans="2:5" x14ac:dyDescent="0.45">
      <c r="B1545" t="s">
        <v>2000</v>
      </c>
      <c r="C1545" t="s">
        <v>1378</v>
      </c>
      <c r="D1545">
        <f>IFERROR(INDEX(Countries[],MATCH(CountryCleanup[[#This Row],[ISO3]],Countries[ISO3],0),3),"")</f>
        <v>804</v>
      </c>
      <c r="E1545" t="str">
        <f>IFERROR(INDEX(Countries[],MATCH(CountryCleanup[[#This Row],[ISO3]],Countries[ISO3],0),6),"")</f>
        <v>Ukraine</v>
      </c>
    </row>
    <row r="1546" spans="2:5" x14ac:dyDescent="0.45">
      <c r="B1546" t="s">
        <v>2807</v>
      </c>
      <c r="C1546" s="3" t="s">
        <v>1129</v>
      </c>
      <c r="D1546">
        <f>IFERROR(INDEX(Countries[],MATCH(CountryCleanup[[#This Row],[ISO3]],Countries[ISO3],0),3),"")</f>
        <v>643</v>
      </c>
      <c r="E1546" t="str">
        <f>IFERROR(INDEX(Countries[],MATCH(CountryCleanup[[#This Row],[ISO3]],Countries[ISO3],0),6),"")</f>
        <v>Russian Federation (the)</v>
      </c>
    </row>
    <row r="1547" spans="2:5" x14ac:dyDescent="0.45">
      <c r="B1547" s="5" t="s">
        <v>1849</v>
      </c>
      <c r="C1547" s="5" t="s">
        <v>1383</v>
      </c>
      <c r="D1547">
        <f>IFERROR(INDEX(Countries[],MATCH(CountryCleanup[[#This Row],[ISO3]],Countries[ISO3],0),3),"")</f>
        <v>784</v>
      </c>
      <c r="E1547" t="str">
        <f>IFERROR(INDEX(Countries[],MATCH(CountryCleanup[[#This Row],[ISO3]],Countries[ISO3],0),6),"")</f>
        <v>United Arab Emirates (the)</v>
      </c>
    </row>
    <row r="1548" spans="2:5" x14ac:dyDescent="0.45">
      <c r="B1548" t="s">
        <v>1384</v>
      </c>
      <c r="C1548" t="s">
        <v>1383</v>
      </c>
      <c r="D1548">
        <f>IFERROR(INDEX(Countries[],MATCH(CountryCleanup[[#This Row],[ISO3]],Countries[ISO3],0),3),"")</f>
        <v>784</v>
      </c>
      <c r="E1548" t="str">
        <f>IFERROR(INDEX(Countries[],MATCH(CountryCleanup[[#This Row],[ISO3]],Countries[ISO3],0),6),"")</f>
        <v>United Arab Emirates (the)</v>
      </c>
    </row>
    <row r="1549" spans="2:5" x14ac:dyDescent="0.45">
      <c r="B1549" t="s">
        <v>1390</v>
      </c>
      <c r="C1549" t="s">
        <v>1389</v>
      </c>
      <c r="D1549">
        <f>IFERROR(INDEX(Countries[],MATCH(CountryCleanup[[#This Row],[ISO3]],Countries[ISO3],0),3),"")</f>
        <v>826</v>
      </c>
      <c r="E1549" t="str">
        <f>IFERROR(INDEX(Countries[],MATCH(CountryCleanup[[#This Row],[ISO3]],Countries[ISO3],0),6),"")</f>
        <v>United Kingdom of Great Britain and Northern Ireland (the)</v>
      </c>
    </row>
    <row r="1550" spans="2:5" x14ac:dyDescent="0.45">
      <c r="B1550" s="3" t="s">
        <v>1850</v>
      </c>
      <c r="C1550" t="s">
        <v>1389</v>
      </c>
      <c r="D1550">
        <f>IFERROR(INDEX(Countries[],MATCH(CountryCleanup[[#This Row],[ISO3]],Countries[ISO3],0),3),"")</f>
        <v>826</v>
      </c>
      <c r="E1550" t="str">
        <f>IFERROR(INDEX(Countries[],MATCH(CountryCleanup[[#This Row],[ISO3]],Countries[ISO3],0),6),"")</f>
        <v>United Kingdom of Great Britain and Northern Ireland (the)</v>
      </c>
    </row>
    <row r="1551" spans="2:5" x14ac:dyDescent="0.45">
      <c r="B1551" t="s">
        <v>1391</v>
      </c>
      <c r="C1551" t="s">
        <v>1389</v>
      </c>
      <c r="D1551">
        <f>IFERROR(INDEX(Countries[],MATCH(CountryCleanup[[#This Row],[ISO3]],Countries[ISO3],0),3),"")</f>
        <v>826</v>
      </c>
      <c r="E1551" t="str">
        <f>IFERROR(INDEX(Countries[],MATCH(CountryCleanup[[#This Row],[ISO3]],Countries[ISO3],0),6),"")</f>
        <v>United Kingdom of Great Britain and Northern Ireland (the)</v>
      </c>
    </row>
    <row r="1552" spans="2:5" x14ac:dyDescent="0.45">
      <c r="B1552" t="s">
        <v>2370</v>
      </c>
      <c r="C1552" t="s">
        <v>1395</v>
      </c>
      <c r="D1552">
        <f>IFERROR(INDEX(Countries[],MATCH(CountryCleanup[[#This Row],[ISO3]],Countries[ISO3],0),3),"")</f>
        <v>834</v>
      </c>
      <c r="E1552" t="str">
        <f>IFERROR(INDEX(Countries[],MATCH(CountryCleanup[[#This Row],[ISO3]],Countries[ISO3],0),6),"")</f>
        <v>United Republic of Tanzania (the)</v>
      </c>
    </row>
    <row r="1553" spans="2:5" x14ac:dyDescent="0.45">
      <c r="B1553" t="s">
        <v>1396</v>
      </c>
      <c r="C1553" t="s">
        <v>1395</v>
      </c>
      <c r="D1553">
        <f>IFERROR(INDEX(Countries[],MATCH(CountryCleanup[[#This Row],[ISO3]],Countries[ISO3],0),3),"")</f>
        <v>834</v>
      </c>
      <c r="E1553" t="str">
        <f>IFERROR(INDEX(Countries[],MATCH(CountryCleanup[[#This Row],[ISO3]],Countries[ISO3],0),6),"")</f>
        <v>United Republic of Tanzania (the)</v>
      </c>
    </row>
    <row r="1554" spans="2:5" x14ac:dyDescent="0.45">
      <c r="B1554" t="s">
        <v>1851</v>
      </c>
      <c r="C1554" t="s">
        <v>1406</v>
      </c>
      <c r="D1554">
        <f>IFERROR(INDEX(Countries[],MATCH(CountryCleanup[[#This Row],[ISO3]],Countries[ISO3],0),3),"")</f>
        <v>840</v>
      </c>
      <c r="E1554" t="str">
        <f>IFERROR(INDEX(Countries[],MATCH(CountryCleanup[[#This Row],[ISO3]],Countries[ISO3],0),6),"")</f>
        <v>United States of America (the)</v>
      </c>
    </row>
    <row r="1555" spans="2:5" x14ac:dyDescent="0.45">
      <c r="B1555" t="s">
        <v>1852</v>
      </c>
      <c r="C1555" t="s">
        <v>1401</v>
      </c>
      <c r="D1555">
        <f>IFERROR(INDEX(Countries[],MATCH(CountryCleanup[[#This Row],[ISO3]],Countries[ISO3],0),3),"")</f>
        <v>581</v>
      </c>
      <c r="E1555" t="str">
        <f>IFERROR(INDEX(Countries[],MATCH(CountryCleanup[[#This Row],[ISO3]],Countries[ISO3],0),6),"")</f>
        <v>United States minor outlying islands</v>
      </c>
    </row>
    <row r="1556" spans="2:5" x14ac:dyDescent="0.45">
      <c r="B1556" t="s">
        <v>1407</v>
      </c>
      <c r="C1556" t="s">
        <v>1406</v>
      </c>
      <c r="D1556">
        <f>IFERROR(INDEX(Countries[],MATCH(CountryCleanup[[#This Row],[ISO3]],Countries[ISO3],0),3),"")</f>
        <v>840</v>
      </c>
      <c r="E1556" t="str">
        <f>IFERROR(INDEX(Countries[],MATCH(CountryCleanup[[#This Row],[ISO3]],Countries[ISO3],0),6),"")</f>
        <v>United States of America (the)</v>
      </c>
    </row>
    <row r="1557" spans="2:5" x14ac:dyDescent="0.45">
      <c r="B1557" s="3" t="s">
        <v>1853</v>
      </c>
      <c r="C1557" t="s">
        <v>1406</v>
      </c>
      <c r="D1557">
        <f>IFERROR(INDEX(Countries[],MATCH(CountryCleanup[[#This Row],[ISO3]],Countries[ISO3],0),3),"")</f>
        <v>840</v>
      </c>
      <c r="E1557" t="str">
        <f>IFERROR(INDEX(Countries[],MATCH(CountryCleanup[[#This Row],[ISO3]],Countries[ISO3],0),6),"")</f>
        <v>United States of America (the)</v>
      </c>
    </row>
    <row r="1558" spans="2:5" x14ac:dyDescent="0.45">
      <c r="B1558" t="s">
        <v>1412</v>
      </c>
      <c r="C1558" t="s">
        <v>1411</v>
      </c>
      <c r="D1558">
        <f>IFERROR(INDEX(Countries[],MATCH(CountryCleanup[[#This Row],[ISO3]],Countries[ISO3],0),3),"")</f>
        <v>850</v>
      </c>
      <c r="E1558" t="str">
        <f>IFERROR(INDEX(Countries[],MATCH(CountryCleanup[[#This Row],[ISO3]],Countries[ISO3],0),6),"")</f>
        <v>United States Virgin Islands</v>
      </c>
    </row>
    <row r="1559" spans="2:5" x14ac:dyDescent="0.45">
      <c r="B1559" t="s">
        <v>2915</v>
      </c>
      <c r="C1559" t="s">
        <v>1406</v>
      </c>
      <c r="D1559">
        <f>IFERROR(INDEX(Countries[],MATCH(CountryCleanup[[#This Row],[ISO3]],Countries[ISO3],0),3),"")</f>
        <v>840</v>
      </c>
      <c r="E1559" t="str">
        <f>IFERROR(INDEX(Countries[],MATCH(CountryCleanup[[#This Row],[ISO3]],Countries[ISO3],0),6),"")</f>
        <v>United States of America (the)</v>
      </c>
    </row>
    <row r="1560" spans="2:5" x14ac:dyDescent="0.45">
      <c r="B1560" t="s">
        <v>2492</v>
      </c>
      <c r="C1560" t="s">
        <v>1389</v>
      </c>
      <c r="D1560">
        <f>IFERROR(INDEX(Countries[],MATCH(CountryCleanup[[#This Row],[ISO3]],Countries[ISO3],0),3),"")</f>
        <v>826</v>
      </c>
      <c r="E1560" t="str">
        <f>IFERROR(INDEX(Countries[],MATCH(CountryCleanup[[#This Row],[ISO3]],Countries[ISO3],0),6),"")</f>
        <v>United Kingdom of Great Britain and Northern Ireland (the)</v>
      </c>
    </row>
    <row r="1561" spans="2:5" x14ac:dyDescent="0.45">
      <c r="B1561" t="s">
        <v>2493</v>
      </c>
      <c r="C1561" t="s">
        <v>1406</v>
      </c>
      <c r="D1561">
        <f>IFERROR(INDEX(Countries[],MATCH(CountryCleanup[[#This Row],[ISO3]],Countries[ISO3],0),3),"")</f>
        <v>840</v>
      </c>
      <c r="E1561" t="str">
        <f>IFERROR(INDEX(Countries[],MATCH(CountryCleanup[[#This Row],[ISO3]],Countries[ISO3],0),6),"")</f>
        <v>United States of America (the)</v>
      </c>
    </row>
    <row r="1562" spans="2:5" x14ac:dyDescent="0.45">
      <c r="B1562" t="s">
        <v>2956</v>
      </c>
      <c r="C1562" t="s">
        <v>1383</v>
      </c>
      <c r="D1562">
        <f>IFERROR(INDEX(Countries[],MATCH(CountryCleanup[[#This Row],[ISO3]],Countries[ISO3],0),3),"")</f>
        <v>784</v>
      </c>
      <c r="E1562" t="str">
        <f>IFERROR(INDEX(Countries[],MATCH(CountryCleanup[[#This Row],[ISO3]],Countries[ISO3],0),6),"")</f>
        <v>United Arab Emirates (the)</v>
      </c>
    </row>
    <row r="1563" spans="2:5" x14ac:dyDescent="0.45">
      <c r="B1563" t="s">
        <v>2957</v>
      </c>
      <c r="C1563" t="s">
        <v>1389</v>
      </c>
      <c r="D1563">
        <f>IFERROR(INDEX(Countries[],MATCH(CountryCleanup[[#This Row],[ISO3]],Countries[ISO3],0),3),"")</f>
        <v>826</v>
      </c>
      <c r="E1563" t="str">
        <f>IFERROR(INDEX(Countries[],MATCH(CountryCleanup[[#This Row],[ISO3]],Countries[ISO3],0),6),"")</f>
        <v>United Kingdom of Great Britain and Northern Ireland (the)</v>
      </c>
    </row>
    <row r="1564" spans="2:5" x14ac:dyDescent="0.45">
      <c r="B1564" t="s">
        <v>2958</v>
      </c>
      <c r="C1564" t="s">
        <v>1406</v>
      </c>
      <c r="D1564">
        <f>IFERROR(INDEX(Countries[],MATCH(CountryCleanup[[#This Row],[ISO3]],Countries[ISO3],0),3),"")</f>
        <v>840</v>
      </c>
      <c r="E1564" t="str">
        <f>IFERROR(INDEX(Countries[],MATCH(CountryCleanup[[#This Row],[ISO3]],Countries[ISO3],0),6),"")</f>
        <v>United States of America (the)</v>
      </c>
    </row>
    <row r="1565" spans="2:5" x14ac:dyDescent="0.45">
      <c r="B1565" t="s">
        <v>2932</v>
      </c>
      <c r="C1565" t="s">
        <v>1415</v>
      </c>
      <c r="D1565">
        <f>IFERROR(INDEX(Countries[],MATCH(CountryCleanup[[#This Row],[ISO3]],Countries[ISO3],0),3),"")</f>
        <v>99049</v>
      </c>
      <c r="E1565" t="str">
        <f>IFERROR(INDEX(Countries[],MATCH(CountryCleanup[[#This Row],[ISO3]],Countries[ISO3],0),6),"")</f>
        <v>Unspecified countries</v>
      </c>
    </row>
    <row r="1566" spans="2:5" x14ac:dyDescent="0.45">
      <c r="B1566" t="s">
        <v>1416</v>
      </c>
      <c r="C1566" s="3" t="s">
        <v>1415</v>
      </c>
      <c r="D1566">
        <f>IFERROR(INDEX(Countries[],MATCH(CountryCleanup[[#This Row],[ISO3]],Countries[ISO3],0),3),"")</f>
        <v>99049</v>
      </c>
      <c r="E1566" t="str">
        <f>IFERROR(INDEX(Countries[],MATCH(CountryCleanup[[#This Row],[ISO3]],Countries[ISO3],0),6),"")</f>
        <v>Unspecified countries</v>
      </c>
    </row>
    <row r="1567" spans="2:5" x14ac:dyDescent="0.45">
      <c r="B1567" t="s">
        <v>1419</v>
      </c>
      <c r="C1567" t="s">
        <v>1418</v>
      </c>
      <c r="D1567">
        <f>IFERROR(INDEX(Countries[],MATCH(CountryCleanup[[#This Row],[ISO3]],Countries[ISO3],0),3),"")</f>
        <v>858</v>
      </c>
      <c r="E1567" t="str">
        <f>IFERROR(INDEX(Countries[],MATCH(CountryCleanup[[#This Row],[ISO3]],Countries[ISO3],0),6),"")</f>
        <v>Uruguay</v>
      </c>
    </row>
    <row r="1568" spans="2:5" x14ac:dyDescent="0.45">
      <c r="B1568" t="s">
        <v>2254</v>
      </c>
      <c r="C1568" t="s">
        <v>1418</v>
      </c>
      <c r="D1568">
        <f>IFERROR(INDEX(Countries[],MATCH(CountryCleanup[[#This Row],[ISO3]],Countries[ISO3],0),3),"")</f>
        <v>858</v>
      </c>
      <c r="E1568" t="str">
        <f>IFERROR(INDEX(Countries[],MATCH(CountryCleanup[[#This Row],[ISO3]],Countries[ISO3],0),6),"")</f>
        <v>Uruguay</v>
      </c>
    </row>
    <row r="1569" spans="2:5" x14ac:dyDescent="0.45">
      <c r="B1569" t="s">
        <v>1405</v>
      </c>
      <c r="C1569" t="s">
        <v>1406</v>
      </c>
      <c r="D1569">
        <f>IFERROR(INDEX(Countries[],MATCH(CountryCleanup[[#This Row],[ISO3]],Countries[ISO3],0),3),"")</f>
        <v>840</v>
      </c>
      <c r="E1569" t="str">
        <f>IFERROR(INDEX(Countries[],MATCH(CountryCleanup[[#This Row],[ISO3]],Countries[ISO3],0),6),"")</f>
        <v>United States of America (the)</v>
      </c>
    </row>
    <row r="1570" spans="2:5" x14ac:dyDescent="0.45">
      <c r="B1570" s="5" t="s">
        <v>1854</v>
      </c>
      <c r="C1570" s="5" t="s">
        <v>1401</v>
      </c>
      <c r="D1570">
        <f>IFERROR(INDEX(Countries[],MATCH(CountryCleanup[[#This Row],[ISO3]],Countries[ISO3],0),3),"")</f>
        <v>581</v>
      </c>
      <c r="E1570" t="str">
        <f>IFERROR(INDEX(Countries[],MATCH(CountryCleanup[[#This Row],[ISO3]],Countries[ISO3],0),6),"")</f>
        <v>United States minor outlying islands</v>
      </c>
    </row>
    <row r="1571" spans="2:5" x14ac:dyDescent="0.45">
      <c r="B1571" t="s">
        <v>2848</v>
      </c>
      <c r="C1571" t="s">
        <v>1406</v>
      </c>
      <c r="D1571">
        <f>IFERROR(INDEX(Countries[],MATCH(CountryCleanup[[#This Row],[ISO3]],Countries[ISO3],0),3),"")</f>
        <v>840</v>
      </c>
      <c r="E1571" t="str">
        <f>IFERROR(INDEX(Countries[],MATCH(CountryCleanup[[#This Row],[ISO3]],Countries[ISO3],0),6),"")</f>
        <v>United States of America (the)</v>
      </c>
    </row>
    <row r="1572" spans="2:5" x14ac:dyDescent="0.45">
      <c r="B1572" s="5" t="s">
        <v>1855</v>
      </c>
      <c r="C1572" s="5" t="s">
        <v>1411</v>
      </c>
      <c r="D1572">
        <f>IFERROR(INDEX(Countries[],MATCH(CountryCleanup[[#This Row],[ISO3]],Countries[ISO3],0),3),"")</f>
        <v>850</v>
      </c>
      <c r="E1572" t="str">
        <f>IFERROR(INDEX(Countries[],MATCH(CountryCleanup[[#This Row],[ISO3]],Countries[ISO3],0),6),"")</f>
        <v>United States Virgin Islands</v>
      </c>
    </row>
    <row r="1573" spans="2:5" x14ac:dyDescent="0.45">
      <c r="B1573" s="5" t="s">
        <v>1406</v>
      </c>
      <c r="C1573" s="5" t="s">
        <v>1406</v>
      </c>
      <c r="D1573">
        <f>IFERROR(INDEX(Countries[],MATCH(CountryCleanup[[#This Row],[ISO3]],Countries[ISO3],0),3),"")</f>
        <v>840</v>
      </c>
      <c r="E1573" t="str">
        <f>IFERROR(INDEX(Countries[],MATCH(CountryCleanup[[#This Row],[ISO3]],Countries[ISO3],0),6),"")</f>
        <v>United States of America (the)</v>
      </c>
    </row>
    <row r="1574" spans="2:5" x14ac:dyDescent="0.45">
      <c r="B1574" t="s">
        <v>2855</v>
      </c>
      <c r="C1574" s="3" t="s">
        <v>1129</v>
      </c>
      <c r="D1574">
        <f>IFERROR(INDEX(Countries[],MATCH(CountryCleanup[[#This Row],[ISO3]],Countries[ISO3],0),3),"")</f>
        <v>643</v>
      </c>
      <c r="E1574" t="str">
        <f>IFERROR(INDEX(Countries[],MATCH(CountryCleanup[[#This Row],[ISO3]],Countries[ISO3],0),6),"")</f>
        <v>Russian Federation (the)</v>
      </c>
    </row>
    <row r="1575" spans="2:5" x14ac:dyDescent="0.45">
      <c r="B1575" t="s">
        <v>1423</v>
      </c>
      <c r="C1575" t="s">
        <v>1422</v>
      </c>
      <c r="D1575">
        <f>IFERROR(INDEX(Countries[],MATCH(CountryCleanup[[#This Row],[ISO3]],Countries[ISO3],0),3),"")</f>
        <v>860</v>
      </c>
      <c r="E1575" t="str">
        <f>IFERROR(INDEX(Countries[],MATCH(CountryCleanup[[#This Row],[ISO3]],Countries[ISO3],0),6),"")</f>
        <v>Uzbekistan</v>
      </c>
    </row>
    <row r="1576" spans="2:5" x14ac:dyDescent="0.45">
      <c r="B1576" t="s">
        <v>2242</v>
      </c>
      <c r="C1576" t="s">
        <v>1422</v>
      </c>
      <c r="D1576">
        <f>IFERROR(INDEX(Countries[],MATCH(CountryCleanup[[#This Row],[ISO3]],Countries[ISO3],0),3),"")</f>
        <v>860</v>
      </c>
      <c r="E1576" t="str">
        <f>IFERROR(INDEX(Countries[],MATCH(CountryCleanup[[#This Row],[ISO3]],Countries[ISO3],0),6),"")</f>
        <v>Uzbekistan</v>
      </c>
    </row>
    <row r="1577" spans="2:5" x14ac:dyDescent="0.45">
      <c r="B1577" t="s">
        <v>1429</v>
      </c>
      <c r="C1577" t="s">
        <v>1428</v>
      </c>
      <c r="D1577">
        <f>IFERROR(INDEX(Countries[],MATCH(CountryCleanup[[#This Row],[ISO3]],Countries[ISO3],0),3),"")</f>
        <v>548</v>
      </c>
      <c r="E1577" t="str">
        <f>IFERROR(INDEX(Countries[],MATCH(CountryCleanup[[#This Row],[ISO3]],Countries[ISO3],0),6),"")</f>
        <v>Vanuatu</v>
      </c>
    </row>
    <row r="1578" spans="2:5" x14ac:dyDescent="0.45">
      <c r="B1578" t="s">
        <v>1856</v>
      </c>
      <c r="C1578" t="s">
        <v>1428</v>
      </c>
      <c r="D1578">
        <f>IFERROR(INDEX(Countries[],MATCH(CountryCleanup[[#This Row],[ISO3]],Countries[ISO3],0),3),"")</f>
        <v>548</v>
      </c>
      <c r="E1578" t="str">
        <f>IFERROR(INDEX(Countries[],MATCH(CountryCleanup[[#This Row],[ISO3]],Countries[ISO3],0),6),"")</f>
        <v>Vanuatu</v>
      </c>
    </row>
    <row r="1579" spans="2:5" x14ac:dyDescent="0.45">
      <c r="B1579" t="s">
        <v>1857</v>
      </c>
      <c r="C1579" t="s">
        <v>940</v>
      </c>
      <c r="D1579">
        <f>IFERROR(INDEX(Countries[],MATCH(CountryCleanup[[#This Row],[ISO3]],Countries[ISO3],0),3),"")</f>
        <v>99909</v>
      </c>
      <c r="E1579" t="str">
        <f>IFERROR(INDEX(Countries[],MATCH(CountryCleanup[[#This Row],[ISO3]],Countries[ISO3],0),6),"")</f>
        <v>Multilateral</v>
      </c>
    </row>
    <row r="1580" spans="2:5" x14ac:dyDescent="0.45">
      <c r="B1580" t="s">
        <v>1858</v>
      </c>
      <c r="C1580" s="3" t="s">
        <v>755</v>
      </c>
      <c r="D1580">
        <f>IFERROR(INDEX(Countries[],MATCH(CountryCleanup[[#This Row],[ISO3]],Countries[ISO3],0),3),"")</f>
        <v>380</v>
      </c>
      <c r="E1580" t="str">
        <f>IFERROR(INDEX(Countries[],MATCH(CountryCleanup[[#This Row],[ISO3]],Countries[ISO3],0),6),"")</f>
        <v>Italy</v>
      </c>
    </row>
    <row r="1581" spans="2:5" x14ac:dyDescent="0.45">
      <c r="B1581" t="s">
        <v>1859</v>
      </c>
      <c r="C1581" t="s">
        <v>1432</v>
      </c>
      <c r="D1581">
        <f>IFERROR(INDEX(Countries[],MATCH(CountryCleanup[[#This Row],[ISO3]],Countries[ISO3],0),3),"")</f>
        <v>862</v>
      </c>
      <c r="E1581" t="str">
        <f>IFERROR(INDEX(Countries[],MATCH(CountryCleanup[[#This Row],[ISO3]],Countries[ISO3],0),6),"")</f>
        <v>Venezuela (Bolivarian Republic of)</v>
      </c>
    </row>
    <row r="1582" spans="2:5" x14ac:dyDescent="0.45">
      <c r="B1582" t="s">
        <v>2217</v>
      </c>
      <c r="C1582" t="s">
        <v>1432</v>
      </c>
      <c r="D1582">
        <f>IFERROR(INDEX(Countries[],MATCH(CountryCleanup[[#This Row],[ISO3]],Countries[ISO3],0),3),"")</f>
        <v>862</v>
      </c>
      <c r="E1582" t="str">
        <f>IFERROR(INDEX(Countries[],MATCH(CountryCleanup[[#This Row],[ISO3]],Countries[ISO3],0),6),"")</f>
        <v>Venezuela (Bolivarian Republic of)</v>
      </c>
    </row>
    <row r="1583" spans="2:5" x14ac:dyDescent="0.45">
      <c r="B1583" t="s">
        <v>1433</v>
      </c>
      <c r="C1583" t="s">
        <v>1432</v>
      </c>
      <c r="D1583">
        <f>IFERROR(INDEX(Countries[],MATCH(CountryCleanup[[#This Row],[ISO3]],Countries[ISO3],0),3),"")</f>
        <v>862</v>
      </c>
      <c r="E1583" t="str">
        <f>IFERROR(INDEX(Countries[],MATCH(CountryCleanup[[#This Row],[ISO3]],Countries[ISO3],0),6),"")</f>
        <v>Venezuela (Bolivarian Republic of)</v>
      </c>
    </row>
    <row r="1584" spans="2:5" x14ac:dyDescent="0.45">
      <c r="B1584" t="s">
        <v>1860</v>
      </c>
      <c r="C1584" t="s">
        <v>1432</v>
      </c>
      <c r="D1584">
        <f>IFERROR(INDEX(Countries[],MATCH(CountryCleanup[[#This Row],[ISO3]],Countries[ISO3],0),3),"")</f>
        <v>862</v>
      </c>
      <c r="E1584" t="str">
        <f>IFERROR(INDEX(Countries[],MATCH(CountryCleanup[[#This Row],[ISO3]],Countries[ISO3],0),6),"")</f>
        <v>Venezuela (Bolivarian Republic of)</v>
      </c>
    </row>
    <row r="1585" spans="2:5" x14ac:dyDescent="0.45">
      <c r="B1585" t="s">
        <v>2905</v>
      </c>
      <c r="C1585" t="s">
        <v>1432</v>
      </c>
      <c r="D1585">
        <f>IFERROR(INDEX(Countries[],MATCH(CountryCleanup[[#This Row],[ISO3]],Countries[ISO3],0),3),"")</f>
        <v>862</v>
      </c>
      <c r="E1585" t="str">
        <f>IFERROR(INDEX(Countries[],MATCH(CountryCleanup[[#This Row],[ISO3]],Countries[ISO3],0),6),"")</f>
        <v>Venezuela (Bolivarian Republic of)</v>
      </c>
    </row>
    <row r="1586" spans="2:5" x14ac:dyDescent="0.45">
      <c r="B1586" t="s">
        <v>1439</v>
      </c>
      <c r="C1586" t="s">
        <v>1438</v>
      </c>
      <c r="D1586">
        <f>IFERROR(INDEX(Countries[],MATCH(CountryCleanup[[#This Row],[ISO3]],Countries[ISO3],0),3),"")</f>
        <v>704</v>
      </c>
      <c r="E1586" t="str">
        <f>IFERROR(INDEX(Countries[],MATCH(CountryCleanup[[#This Row],[ISO3]],Countries[ISO3],0),6),"")</f>
        <v>Viet Nam</v>
      </c>
    </row>
    <row r="1587" spans="2:5" x14ac:dyDescent="0.45">
      <c r="B1587" s="9" t="s">
        <v>1861</v>
      </c>
      <c r="C1587" t="s">
        <v>1438</v>
      </c>
      <c r="D1587">
        <f>IFERROR(INDEX(Countries[],MATCH(CountryCleanup[[#This Row],[ISO3]],Countries[ISO3],0),3),"")</f>
        <v>704</v>
      </c>
      <c r="E1587" t="str">
        <f>IFERROR(INDEX(Countries[],MATCH(CountryCleanup[[#This Row],[ISO3]],Countries[ISO3],0),6),"")</f>
        <v>Viet Nam</v>
      </c>
    </row>
    <row r="1588" spans="2:5" x14ac:dyDescent="0.45">
      <c r="B1588" t="s">
        <v>1862</v>
      </c>
      <c r="C1588" t="s">
        <v>1438</v>
      </c>
      <c r="D1588">
        <f>IFERROR(INDEX(Countries[],MATCH(CountryCleanup[[#This Row],[ISO3]],Countries[ISO3],0),3),"")</f>
        <v>704</v>
      </c>
      <c r="E1588" t="str">
        <f>IFERROR(INDEX(Countries[],MATCH(CountryCleanup[[#This Row],[ISO3]],Countries[ISO3],0),6),"")</f>
        <v>Viet Nam</v>
      </c>
    </row>
    <row r="1589" spans="2:5" x14ac:dyDescent="0.45">
      <c r="B1589" t="s">
        <v>1863</v>
      </c>
      <c r="C1589" t="s">
        <v>1438</v>
      </c>
      <c r="D1589">
        <f>IFERROR(INDEX(Countries[],MATCH(CountryCleanup[[#This Row],[ISO3]],Countries[ISO3],0),3),"")</f>
        <v>704</v>
      </c>
      <c r="E1589" t="str">
        <f>IFERROR(INDEX(Countries[],MATCH(CountryCleanup[[#This Row],[ISO3]],Countries[ISO3],0),6),"")</f>
        <v>Viet Nam</v>
      </c>
    </row>
    <row r="1590" spans="2:5" x14ac:dyDescent="0.45">
      <c r="B1590" t="s">
        <v>2209</v>
      </c>
      <c r="C1590" t="s">
        <v>1438</v>
      </c>
      <c r="D1590">
        <f>IFERROR(INDEX(Countries[],MATCH(CountryCleanup[[#This Row],[ISO3]],Countries[ISO3],0),3),"")</f>
        <v>704</v>
      </c>
      <c r="E1590" t="str">
        <f>IFERROR(INDEX(Countries[],MATCH(CountryCleanup[[#This Row],[ISO3]],Countries[ISO3],0),6),"")</f>
        <v>Viet Nam</v>
      </c>
    </row>
    <row r="1591" spans="2:5" x14ac:dyDescent="0.45">
      <c r="B1591" t="s">
        <v>1864</v>
      </c>
      <c r="C1591" t="s">
        <v>1411</v>
      </c>
      <c r="D1591">
        <f>IFERROR(INDEX(Countries[],MATCH(CountryCleanup[[#This Row],[ISO3]],Countries[ISO3],0),3),"")</f>
        <v>850</v>
      </c>
      <c r="E1591" t="str">
        <f>IFERROR(INDEX(Countries[],MATCH(CountryCleanup[[#This Row],[ISO3]],Countries[ISO3],0),6),"")</f>
        <v>United States Virgin Islands</v>
      </c>
    </row>
    <row r="1592" spans="2:5" x14ac:dyDescent="0.45">
      <c r="B1592" t="s">
        <v>2506</v>
      </c>
      <c r="C1592" s="3" t="s">
        <v>330</v>
      </c>
      <c r="D1592">
        <f>IFERROR(INDEX(Countries[],MATCH(CountryCleanup[[#This Row],[ISO3]],Countries[ISO3],0),3),"")</f>
        <v>92</v>
      </c>
      <c r="E1592" t="str">
        <f>IFERROR(INDEX(Countries[],MATCH(CountryCleanup[[#This Row],[ISO3]],Countries[ISO3],0),6),"")</f>
        <v>British Virgin Islands</v>
      </c>
    </row>
    <row r="1593" spans="2:5" x14ac:dyDescent="0.45">
      <c r="B1593" t="s">
        <v>1865</v>
      </c>
      <c r="C1593" t="s">
        <v>1411</v>
      </c>
      <c r="D1593">
        <f>IFERROR(INDEX(Countries[],MATCH(CountryCleanup[[#This Row],[ISO3]],Countries[ISO3],0),3),"")</f>
        <v>850</v>
      </c>
      <c r="E1593" t="str">
        <f>IFERROR(INDEX(Countries[],MATCH(CountryCleanup[[#This Row],[ISO3]],Countries[ISO3],0),6),"")</f>
        <v>United States Virgin Islands</v>
      </c>
    </row>
    <row r="1594" spans="2:5" x14ac:dyDescent="0.45">
      <c r="B1594" t="s">
        <v>1866</v>
      </c>
      <c r="C1594" s="3" t="s">
        <v>330</v>
      </c>
      <c r="D1594">
        <f>IFERROR(INDEX(Countries[],MATCH(CountryCleanup[[#This Row],[ISO3]],Countries[ISO3],0),3),"")</f>
        <v>92</v>
      </c>
      <c r="E1594" t="str">
        <f>IFERROR(INDEX(Countries[],MATCH(CountryCleanup[[#This Row],[ISO3]],Countries[ISO3],0),6),"")</f>
        <v>British Virgin Islands</v>
      </c>
    </row>
    <row r="1595" spans="2:5" x14ac:dyDescent="0.45">
      <c r="B1595" t="s">
        <v>2437</v>
      </c>
      <c r="C1595" t="s">
        <v>1411</v>
      </c>
      <c r="D1595">
        <f>IFERROR(INDEX(Countries[],MATCH(CountryCleanup[[#This Row],[ISO3]],Countries[ISO3],0),3),"")</f>
        <v>850</v>
      </c>
      <c r="E1595" t="str">
        <f>IFERROR(INDEX(Countries[],MATCH(CountryCleanup[[#This Row],[ISO3]],Countries[ISO3],0),6),"")</f>
        <v>United States Virgin Islands</v>
      </c>
    </row>
    <row r="1596" spans="2:5" x14ac:dyDescent="0.45">
      <c r="B1596" t="s">
        <v>2484</v>
      </c>
      <c r="C1596" t="s">
        <v>330</v>
      </c>
      <c r="D1596">
        <f>IFERROR(INDEX(Countries[],MATCH(CountryCleanup[[#This Row],[ISO3]],Countries[ISO3],0),3),"")</f>
        <v>92</v>
      </c>
      <c r="E1596" t="str">
        <f>IFERROR(INDEX(Countries[],MATCH(CountryCleanup[[#This Row],[ISO3]],Countries[ISO3],0),6),"")</f>
        <v>British Virgin Islands</v>
      </c>
    </row>
    <row r="1597" spans="2:5" x14ac:dyDescent="0.45">
      <c r="B1597" t="s">
        <v>2485</v>
      </c>
      <c r="C1597" t="s">
        <v>1411</v>
      </c>
      <c r="D1597">
        <f>IFERROR(INDEX(Countries[],MATCH(CountryCleanup[[#This Row],[ISO3]],Countries[ISO3],0),3),"")</f>
        <v>850</v>
      </c>
      <c r="E1597" t="str">
        <f>IFERROR(INDEX(Countries[],MATCH(CountryCleanup[[#This Row],[ISO3]],Countries[ISO3],0),6),"")</f>
        <v>United States Virgin Islands</v>
      </c>
    </row>
    <row r="1598" spans="2:5" x14ac:dyDescent="0.45">
      <c r="B1598" t="s">
        <v>1867</v>
      </c>
      <c r="C1598" s="3" t="s">
        <v>1401</v>
      </c>
      <c r="D1598">
        <f>IFERROR(INDEX(Countries[],MATCH(CountryCleanup[[#This Row],[ISO3]],Countries[ISO3],0),3),"")</f>
        <v>581</v>
      </c>
      <c r="E1598" t="str">
        <f>IFERROR(INDEX(Countries[],MATCH(CountryCleanup[[#This Row],[ISO3]],Countries[ISO3],0),6),"")</f>
        <v>United States minor outlying islands</v>
      </c>
    </row>
    <row r="1599" spans="2:5" x14ac:dyDescent="0.45">
      <c r="B1599" t="s">
        <v>2844</v>
      </c>
      <c r="C1599" s="3" t="s">
        <v>1401</v>
      </c>
      <c r="D1599">
        <f>IFERROR(INDEX(Countries[],MATCH(CountryCleanup[[#This Row],[ISO3]],Countries[ISO3],0),3),"")</f>
        <v>581</v>
      </c>
      <c r="E1599" t="str">
        <f>IFERROR(INDEX(Countries[],MATCH(CountryCleanup[[#This Row],[ISO3]],Countries[ISO3],0),6),"")</f>
        <v>United States minor outlying islands</v>
      </c>
    </row>
    <row r="1600" spans="2:5" x14ac:dyDescent="0.45">
      <c r="B1600" t="s">
        <v>1868</v>
      </c>
      <c r="C1600" t="s">
        <v>1442</v>
      </c>
      <c r="D1600">
        <f>IFERROR(INDEX(Countries[],MATCH(CountryCleanup[[#This Row],[ISO3]],Countries[ISO3],0),3),"")</f>
        <v>876</v>
      </c>
      <c r="E1600" t="str">
        <f>IFERROR(INDEX(Countries[],MATCH(CountryCleanup[[#This Row],[ISO3]],Countries[ISO3],0),6),"")</f>
        <v>Wallis and Futuna Islands</v>
      </c>
    </row>
    <row r="1601" spans="2:5" x14ac:dyDescent="0.45">
      <c r="B1601" s="9" t="s">
        <v>1869</v>
      </c>
      <c r="C1601" t="s">
        <v>1442</v>
      </c>
      <c r="D1601">
        <f>IFERROR(INDEX(Countries[],MATCH(CountryCleanup[[#This Row],[ISO3]],Countries[ISO3],0),3),"")</f>
        <v>876</v>
      </c>
      <c r="E1601" t="str">
        <f>IFERROR(INDEX(Countries[],MATCH(CountryCleanup[[#This Row],[ISO3]],Countries[ISO3],0),6),"")</f>
        <v>Wallis and Futuna Islands</v>
      </c>
    </row>
    <row r="1602" spans="2:5" x14ac:dyDescent="0.45">
      <c r="B1602" t="s">
        <v>2397</v>
      </c>
      <c r="C1602" t="s">
        <v>1442</v>
      </c>
      <c r="D1602">
        <f>IFERROR(INDEX(Countries[],MATCH(CountryCleanup[[#This Row],[ISO3]],Countries[ISO3],0),3),"")</f>
        <v>876</v>
      </c>
      <c r="E1602" t="str">
        <f>IFERROR(INDEX(Countries[],MATCH(CountryCleanup[[#This Row],[ISO3]],Countries[ISO3],0),6),"")</f>
        <v>Wallis and Futuna Islands</v>
      </c>
    </row>
    <row r="1603" spans="2:5" x14ac:dyDescent="0.45">
      <c r="B1603" t="s">
        <v>1443</v>
      </c>
      <c r="C1603" t="s">
        <v>1442</v>
      </c>
      <c r="D1603">
        <f>IFERROR(INDEX(Countries[],MATCH(CountryCleanup[[#This Row],[ISO3]],Countries[ISO3],0),3),"")</f>
        <v>876</v>
      </c>
      <c r="E1603" t="str">
        <f>IFERROR(INDEX(Countries[],MATCH(CountryCleanup[[#This Row],[ISO3]],Countries[ISO3],0),6),"")</f>
        <v>Wallis and Futuna Islands</v>
      </c>
    </row>
    <row r="1604" spans="2:5" x14ac:dyDescent="0.45">
      <c r="B1604" s="5" t="s">
        <v>1870</v>
      </c>
      <c r="C1604" s="5" t="s">
        <v>1442</v>
      </c>
      <c r="D1604">
        <f>IFERROR(INDEX(Countries[],MATCH(CountryCleanup[[#This Row],[ISO3]],Countries[ISO3],0),3),"")</f>
        <v>876</v>
      </c>
      <c r="E1604" t="str">
        <f>IFERROR(INDEX(Countries[],MATCH(CountryCleanup[[#This Row],[ISO3]],Countries[ISO3],0),6),"")</f>
        <v>Wallis and Futuna Islands</v>
      </c>
    </row>
    <row r="1605" spans="2:5" x14ac:dyDescent="0.45">
      <c r="B1605" t="s">
        <v>1871</v>
      </c>
      <c r="C1605" t="s">
        <v>1280</v>
      </c>
      <c r="D1605">
        <f>IFERROR(INDEX(Countries[],MATCH(CountryCleanup[[#This Row],[ISO3]],Countries[ISO3],0),3),"")</f>
        <v>275</v>
      </c>
      <c r="E1605" t="str">
        <f>IFERROR(INDEX(Countries[],MATCH(CountryCleanup[[#This Row],[ISO3]],Countries[ISO3],0),6),"")</f>
        <v>State of Palestine (the)</v>
      </c>
    </row>
    <row r="1606" spans="2:5" x14ac:dyDescent="0.45">
      <c r="B1606" t="s">
        <v>1872</v>
      </c>
      <c r="C1606" t="s">
        <v>1280</v>
      </c>
      <c r="D1606">
        <f>IFERROR(INDEX(Countries[],MATCH(CountryCleanup[[#This Row],[ISO3]],Countries[ISO3],0),3),"")</f>
        <v>275</v>
      </c>
      <c r="E1606" t="str">
        <f>IFERROR(INDEX(Countries[],MATCH(CountryCleanup[[#This Row],[ISO3]],Countries[ISO3],0),6),"")</f>
        <v>State of Palestine (the)</v>
      </c>
    </row>
    <row r="1607" spans="2:5" x14ac:dyDescent="0.45">
      <c r="B1607" t="s">
        <v>1873</v>
      </c>
      <c r="C1607" t="s">
        <v>1280</v>
      </c>
      <c r="D1607">
        <f>IFERROR(INDEX(Countries[],MATCH(CountryCleanup[[#This Row],[ISO3]],Countries[ISO3],0),3),"")</f>
        <v>275</v>
      </c>
      <c r="E1607" t="str">
        <f>IFERROR(INDEX(Countries[],MATCH(CountryCleanup[[#This Row],[ISO3]],Countries[ISO3],0),6),"")</f>
        <v>State of Palestine (the)</v>
      </c>
    </row>
    <row r="1608" spans="2:5" x14ac:dyDescent="0.45">
      <c r="B1608" t="s">
        <v>1874</v>
      </c>
      <c r="C1608" s="3" t="s">
        <v>1917</v>
      </c>
      <c r="D1608">
        <f>IFERROR(INDEX(Countries[],MATCH(CountryCleanup[[#This Row],[ISO3]],Countries[ISO3],0),3),"")</f>
        <v>99037</v>
      </c>
      <c r="E1608" t="str">
        <f>IFERROR(INDEX(Countries[],MATCH(CountryCleanup[[#This Row],[ISO3]],Countries[ISO3],0),6),"")</f>
        <v>Residual/unallocated: Latin America and the Caribbean</v>
      </c>
    </row>
    <row r="1609" spans="2:5" x14ac:dyDescent="0.45">
      <c r="B1609" t="s">
        <v>273</v>
      </c>
      <c r="C1609" s="3" t="s">
        <v>367</v>
      </c>
      <c r="D1609">
        <f>IFERROR(INDEX(Countries[],MATCH(CountryCleanup[[#This Row],[ISO3]],Countries[ISO3],0),3),"")</f>
        <v>99039</v>
      </c>
      <c r="E1609" t="str">
        <f>IFERROR(INDEX(Countries[],MATCH(CountryCleanup[[#This Row],[ISO3]],Countries[ISO3],0),6),"")</f>
        <v>Residual/unallocated: Sub-Saharan Africa</v>
      </c>
    </row>
    <row r="1610" spans="2:5" x14ac:dyDescent="0.45">
      <c r="B1610" t="s">
        <v>1875</v>
      </c>
      <c r="C1610" s="3" t="s">
        <v>367</v>
      </c>
      <c r="D1610">
        <f>IFERROR(INDEX(Countries[],MATCH(CountryCleanup[[#This Row],[ISO3]],Countries[ISO3],0),3),"")</f>
        <v>99039</v>
      </c>
      <c r="E1610" t="str">
        <f>IFERROR(INDEX(Countries[],MATCH(CountryCleanup[[#This Row],[ISO3]],Countries[ISO3],0),6),"")</f>
        <v>Residual/unallocated: Sub-Saharan Africa</v>
      </c>
    </row>
    <row r="1611" spans="2:5" x14ac:dyDescent="0.45">
      <c r="B1611" t="s">
        <v>1449</v>
      </c>
      <c r="C1611" t="s">
        <v>1448</v>
      </c>
      <c r="D1611">
        <f>IFERROR(INDEX(Countries[],MATCH(CountryCleanup[[#This Row],[ISO3]],Countries[ISO3],0),3),"")</f>
        <v>732</v>
      </c>
      <c r="E1611" t="str">
        <f>IFERROR(INDEX(Countries[],MATCH(CountryCleanup[[#This Row],[ISO3]],Countries[ISO3],0),6),"")</f>
        <v>Western Sahara</v>
      </c>
    </row>
    <row r="1612" spans="2:5" x14ac:dyDescent="0.45">
      <c r="B1612" t="s">
        <v>2867</v>
      </c>
      <c r="C1612" t="s">
        <v>1177</v>
      </c>
      <c r="D1612">
        <f>IFERROR(INDEX(Countries[],MATCH(CountryCleanup[[#This Row],[ISO3]],Countries[ISO3],0),3),"")</f>
        <v>882</v>
      </c>
      <c r="E1612" t="str">
        <f>IFERROR(INDEX(Countries[],MATCH(CountryCleanup[[#This Row],[ISO3]],Countries[ISO3],0),6),"")</f>
        <v>Samoa</v>
      </c>
    </row>
    <row r="1613" spans="2:5" x14ac:dyDescent="0.45">
      <c r="B1613" s="5" t="s">
        <v>1876</v>
      </c>
      <c r="C1613" s="5" t="s">
        <v>1448</v>
      </c>
      <c r="D1613">
        <f>IFERROR(INDEX(Countries[],MATCH(CountryCleanup[[#This Row],[ISO3]],Countries[ISO3],0),3),"")</f>
        <v>732</v>
      </c>
      <c r="E1613" t="str">
        <f>IFERROR(INDEX(Countries[],MATCH(CountryCleanup[[#This Row],[ISO3]],Countries[ISO3],0),6),"")</f>
        <v>Western Sahara</v>
      </c>
    </row>
    <row r="1614" spans="2:5" x14ac:dyDescent="0.45">
      <c r="B1614" t="s">
        <v>1453</v>
      </c>
      <c r="C1614" t="s">
        <v>1452</v>
      </c>
      <c r="D1614">
        <f>IFERROR(INDEX(Countries[],MATCH(CountryCleanup[[#This Row],[ISO3]],Countries[ISO3],0),3),"")</f>
        <v>1</v>
      </c>
      <c r="E1614" t="str">
        <f>IFERROR(INDEX(Countries[],MATCH(CountryCleanup[[#This Row],[ISO3]],Countries[ISO3],0),6),"")</f>
        <v>World</v>
      </c>
    </row>
    <row r="1615" spans="2:5" x14ac:dyDescent="0.45">
      <c r="B1615" t="s">
        <v>2189</v>
      </c>
      <c r="C1615" t="s">
        <v>1452</v>
      </c>
      <c r="D1615">
        <f>IFERROR(INDEX(Countries[],MATCH(CountryCleanup[[#This Row],[ISO3]],Countries[ISO3],0),3),"")</f>
        <v>1</v>
      </c>
      <c r="E1615" t="str">
        <f>IFERROR(INDEX(Countries[],MATCH(CountryCleanup[[#This Row],[ISO3]],Countries[ISO3],0),6),"")</f>
        <v>World</v>
      </c>
    </row>
    <row r="1616" spans="2:5" x14ac:dyDescent="0.45">
      <c r="B1616" t="s">
        <v>2199</v>
      </c>
      <c r="C1616" t="s">
        <v>1452</v>
      </c>
      <c r="D1616">
        <f>IFERROR(INDEX(Countries[],MATCH(CountryCleanup[[#This Row],[ISO3]],Countries[ISO3],0),3),"")</f>
        <v>1</v>
      </c>
      <c r="E1616" t="str">
        <f>IFERROR(INDEX(Countries[],MATCH(CountryCleanup[[#This Row],[ISO3]],Countries[ISO3],0),6),"")</f>
        <v>World</v>
      </c>
    </row>
    <row r="1617" spans="2:5" x14ac:dyDescent="0.45">
      <c r="B1617" t="s">
        <v>2211</v>
      </c>
      <c r="C1617" t="s">
        <v>1452</v>
      </c>
      <c r="D1617">
        <f>IFERROR(INDEX(Countries[],MATCH(CountryCleanup[[#This Row],[ISO3]],Countries[ISO3],0),3),"")</f>
        <v>1</v>
      </c>
      <c r="E1617" t="str">
        <f>IFERROR(INDEX(Countries[],MATCH(CountryCleanup[[#This Row],[ISO3]],Countries[ISO3],0),6),"")</f>
        <v>World</v>
      </c>
    </row>
    <row r="1618" spans="2:5" x14ac:dyDescent="0.45">
      <c r="B1618" t="s">
        <v>1457</v>
      </c>
      <c r="C1618" t="s">
        <v>1456</v>
      </c>
      <c r="D1618">
        <f>IFERROR(INDEX(Countries[],MATCH(CountryCleanup[[#This Row],[ISO3]],Countries[ISO3],0),3),"")</f>
        <v>887</v>
      </c>
      <c r="E1618" t="str">
        <f>IFERROR(INDEX(Countries[],MATCH(CountryCleanup[[#This Row],[ISO3]],Countries[ISO3],0),6),"")</f>
        <v>Yemen</v>
      </c>
    </row>
    <row r="1619" spans="2:5" x14ac:dyDescent="0.45">
      <c r="B1619" t="s">
        <v>2267</v>
      </c>
      <c r="C1619" t="s">
        <v>1456</v>
      </c>
      <c r="D1619">
        <f>IFERROR(INDEX(Countries[],MATCH(CountryCleanup[[#This Row],[ISO3]],Countries[ISO3],0),3),"")</f>
        <v>887</v>
      </c>
      <c r="E1619" t="str">
        <f>IFERROR(INDEX(Countries[],MATCH(CountryCleanup[[#This Row],[ISO3]],Countries[ISO3],0),6),"")</f>
        <v>Yemen</v>
      </c>
    </row>
    <row r="1620" spans="2:5" x14ac:dyDescent="0.45">
      <c r="B1620" t="s">
        <v>1877</v>
      </c>
      <c r="C1620" t="s">
        <v>1456</v>
      </c>
      <c r="D1620">
        <f>IFERROR(INDEX(Countries[],MATCH(CountryCleanup[[#This Row],[ISO3]],Countries[ISO3],0),3),"")</f>
        <v>887</v>
      </c>
      <c r="E1620" t="str">
        <f>IFERROR(INDEX(Countries[],MATCH(CountryCleanup[[#This Row],[ISO3]],Countries[ISO3],0),6),"")</f>
        <v>Yemen</v>
      </c>
    </row>
    <row r="1621" spans="2:5" x14ac:dyDescent="0.45">
      <c r="B1621" t="s">
        <v>2797</v>
      </c>
      <c r="C1621" t="s">
        <v>1456</v>
      </c>
      <c r="D1621">
        <f>IFERROR(INDEX(Countries[],MATCH(CountryCleanup[[#This Row],[ISO3]],Countries[ISO3],0),3),"")</f>
        <v>887</v>
      </c>
      <c r="E1621" t="str">
        <f>IFERROR(INDEX(Countries[],MATCH(CountryCleanup[[#This Row],[ISO3]],Countries[ISO3],0),6),"")</f>
        <v>Yemen</v>
      </c>
    </row>
    <row r="1622" spans="2:5" x14ac:dyDescent="0.45">
      <c r="B1622" t="s">
        <v>2811</v>
      </c>
      <c r="C1622" t="s">
        <v>1090</v>
      </c>
      <c r="D1622">
        <f>IFERROR(INDEX(Countries[],MATCH(CountryCleanup[[#This Row],[ISO3]],Countries[ISO3],0),3),"")</f>
        <v>807</v>
      </c>
      <c r="E1622" t="str">
        <f>IFERROR(INDEX(Countries[],MATCH(CountryCleanup[[#This Row],[ISO3]],Countries[ISO3],0),6),"")</f>
        <v>North Macedonia</v>
      </c>
    </row>
    <row r="1623" spans="2:5" x14ac:dyDescent="0.45">
      <c r="B1623" t="s">
        <v>2808</v>
      </c>
      <c r="C1623" t="s">
        <v>1090</v>
      </c>
      <c r="D1623">
        <f>IFERROR(INDEX(Countries[],MATCH(CountryCleanup[[#This Row],[ISO3]],Countries[ISO3],0),3),"")</f>
        <v>807</v>
      </c>
      <c r="E1623" t="str">
        <f>IFERROR(INDEX(Countries[],MATCH(CountryCleanup[[#This Row],[ISO3]],Countries[ISO3],0),6),"")</f>
        <v>North Macedonia</v>
      </c>
    </row>
    <row r="1624" spans="2:5" x14ac:dyDescent="0.45">
      <c r="B1624" t="s">
        <v>2856</v>
      </c>
      <c r="C1624" t="s">
        <v>500</v>
      </c>
      <c r="D1624">
        <f>IFERROR(INDEX(Countries[],MATCH(CountryCleanup[[#This Row],[ISO3]],Countries[ISO3],0),3),"")</f>
        <v>180</v>
      </c>
      <c r="E1624" t="str">
        <f>IFERROR(INDEX(Countries[],MATCH(CountryCleanup[[#This Row],[ISO3]],Countries[ISO3],0),6),"")</f>
        <v>Democratic Republic of the Congo (the)</v>
      </c>
    </row>
    <row r="1625" spans="2:5" x14ac:dyDescent="0.45">
      <c r="B1625" t="s">
        <v>1462</v>
      </c>
      <c r="C1625" t="s">
        <v>1461</v>
      </c>
      <c r="D1625">
        <f>IFERROR(INDEX(Countries[],MATCH(CountryCleanup[[#This Row],[ISO3]],Countries[ISO3],0),3),"")</f>
        <v>894</v>
      </c>
      <c r="E1625" t="str">
        <f>IFERROR(INDEX(Countries[],MATCH(CountryCleanup[[#This Row],[ISO3]],Countries[ISO3],0),6),"")</f>
        <v>Zambia</v>
      </c>
    </row>
    <row r="1626" spans="2:5" x14ac:dyDescent="0.45">
      <c r="B1626" t="s">
        <v>2230</v>
      </c>
      <c r="C1626" t="s">
        <v>1461</v>
      </c>
      <c r="D1626">
        <f>IFERROR(INDEX(Countries[],MATCH(CountryCleanup[[#This Row],[ISO3]],Countries[ISO3],0),3),"")</f>
        <v>894</v>
      </c>
      <c r="E1626" t="str">
        <f>IFERROR(INDEX(Countries[],MATCH(CountryCleanup[[#This Row],[ISO3]],Countries[ISO3],0),6),"")</f>
        <v>Zambia</v>
      </c>
    </row>
    <row r="1627" spans="2:5" x14ac:dyDescent="0.45">
      <c r="B1627" t="s">
        <v>1467</v>
      </c>
      <c r="C1627" t="s">
        <v>1466</v>
      </c>
      <c r="D1627">
        <f>IFERROR(INDEX(Countries[],MATCH(CountryCleanup[[#This Row],[ISO3]],Countries[ISO3],0),3),"")</f>
        <v>716</v>
      </c>
      <c r="E1627" t="str">
        <f>IFERROR(INDEX(Countries[],MATCH(CountryCleanup[[#This Row],[ISO3]],Countries[ISO3],0),6),"")</f>
        <v>Zimbabwe</v>
      </c>
    </row>
    <row r="1628" spans="2:5" x14ac:dyDescent="0.45">
      <c r="B1628" t="s">
        <v>2227</v>
      </c>
      <c r="C1628" t="s">
        <v>1466</v>
      </c>
      <c r="D1628">
        <f>IFERROR(INDEX(Countries[],MATCH(CountryCleanup[[#This Row],[ISO3]],Countries[ISO3],0),3),"")</f>
        <v>716</v>
      </c>
      <c r="E1628" t="str">
        <f>IFERROR(INDEX(Countries[],MATCH(CountryCleanup[[#This Row],[ISO3]],Countries[ISO3],0),6),"")</f>
        <v>Zimbabwe</v>
      </c>
    </row>
  </sheetData>
  <sortState xmlns:xlrd2="http://schemas.microsoft.com/office/spreadsheetml/2017/richdata2" ref="L806:L835">
    <sortCondition ref="L806:L835"/>
  </sortState>
  <phoneticPr fontId="33" type="noConversion"/>
  <conditionalFormatting sqref="B3:B1628">
    <cfRule type="duplicateValues" dxfId="4" priority="1417"/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DO333"/>
  <sheetViews>
    <sheetView showGridLines="0" zoomScaleNormal="100" workbookViewId="0">
      <pane xSplit="6" ySplit="4" topLeftCell="G92" activePane="bottomRight" state="frozen"/>
      <selection pane="topRight" activeCell="G1" sqref="G1"/>
      <selection pane="bottomLeft" activeCell="A4" sqref="A4"/>
      <selection pane="bottomRight" activeCell="C135" sqref="C135"/>
    </sheetView>
  </sheetViews>
  <sheetFormatPr defaultColWidth="8.86328125" defaultRowHeight="14.25" outlineLevelCol="1" x14ac:dyDescent="0.45"/>
  <cols>
    <col min="1" max="1" width="9" customWidth="1"/>
    <col min="2" max="3" width="8.73046875" customWidth="1"/>
    <col min="4" max="4" width="13.59765625" hidden="1" customWidth="1" outlineLevel="1"/>
    <col min="5" max="5" width="31.265625" hidden="1" customWidth="1" outlineLevel="1"/>
    <col min="6" max="6" width="44.1328125" customWidth="1" collapsed="1"/>
    <col min="7" max="7" width="54.265625" hidden="1" customWidth="1" outlineLevel="1"/>
    <col min="8" max="8" width="52" hidden="1" customWidth="1" outlineLevel="1"/>
    <col min="9" max="9" width="49.59765625" hidden="1" customWidth="1" outlineLevel="1"/>
    <col min="10" max="10" width="10.73046875" customWidth="1" collapsed="1"/>
    <col min="11" max="11" width="17.86328125" customWidth="1"/>
    <col min="12" max="12" width="5.86328125" customWidth="1"/>
    <col min="13" max="13" width="24.265625" customWidth="1"/>
    <col min="14" max="14" width="5.1328125" customWidth="1"/>
    <col min="15" max="15" width="25" customWidth="1"/>
    <col min="16" max="16" width="16.3984375" customWidth="1"/>
    <col min="17" max="17" width="17.1328125" customWidth="1"/>
    <col min="18" max="18" width="8.3984375" customWidth="1"/>
    <col min="19" max="19" width="26.59765625" customWidth="1"/>
    <col min="20" max="20" width="7.265625" customWidth="1"/>
    <col min="21" max="21" width="31.1328125" customWidth="1"/>
    <col min="22" max="22" width="11.3984375" customWidth="1"/>
    <col min="23" max="23" width="13.265625" customWidth="1"/>
    <col min="24" max="24" width="8.86328125" customWidth="1"/>
    <col min="25" max="26" width="19.86328125" customWidth="1"/>
    <col min="27" max="27" width="20.59765625" customWidth="1"/>
    <col min="28" max="28" width="12.33203125" bestFit="1" customWidth="1"/>
    <col min="29" max="29" width="20.73046875" customWidth="1"/>
    <col min="30" max="30" width="16.73046875" customWidth="1"/>
    <col min="31" max="31" width="15" customWidth="1"/>
    <col min="32" max="32" width="17.3984375" customWidth="1"/>
    <col min="33" max="33" width="12.59765625" customWidth="1"/>
    <col min="34" max="34" width="12" customWidth="1"/>
    <col min="35" max="35" width="20" customWidth="1"/>
    <col min="36" max="36" width="12" customWidth="1"/>
    <col min="37" max="37" width="22.1328125" customWidth="1"/>
    <col min="38" max="38" width="16.1328125" customWidth="1"/>
    <col min="39" max="39" width="15.1328125" customWidth="1"/>
    <col min="40" max="40" width="22.265625" customWidth="1"/>
    <col min="45" max="45" width="9.265625" bestFit="1" customWidth="1"/>
    <col min="46" max="46" width="10.265625" bestFit="1" customWidth="1"/>
    <col min="47" max="49" width="10" bestFit="1" customWidth="1"/>
    <col min="50" max="50" width="20" bestFit="1" customWidth="1"/>
    <col min="51" max="52" width="8" bestFit="1" customWidth="1"/>
    <col min="53" max="53" width="9.265625" bestFit="1" customWidth="1"/>
    <col min="54" max="54" width="16" bestFit="1" customWidth="1"/>
    <col min="55" max="55" width="13.265625" bestFit="1" customWidth="1"/>
    <col min="56" max="59" width="12.1328125" bestFit="1" customWidth="1"/>
    <col min="60" max="60" width="12.59765625" bestFit="1" customWidth="1"/>
    <col min="61" max="61" width="8.3984375" bestFit="1" customWidth="1"/>
    <col min="62" max="62" width="16.1328125" bestFit="1" customWidth="1"/>
    <col min="63" max="63" width="18.265625" bestFit="1" customWidth="1"/>
    <col min="64" max="64" width="14.265625" bestFit="1" customWidth="1"/>
    <col min="65" max="65" width="14.86328125" bestFit="1" customWidth="1"/>
    <col min="66" max="66" width="14" bestFit="1" customWidth="1"/>
    <col min="67" max="67" width="18.86328125" bestFit="1" customWidth="1"/>
    <col min="68" max="68" width="18.265625" bestFit="1" customWidth="1"/>
    <col min="69" max="69" width="13.59765625" bestFit="1" customWidth="1"/>
    <col min="70" max="70" width="11.59765625" bestFit="1" customWidth="1"/>
    <col min="71" max="71" width="13.265625" bestFit="1" customWidth="1"/>
    <col min="72" max="72" width="16.86328125" bestFit="1" customWidth="1"/>
    <col min="73" max="73" width="13.3984375" bestFit="1" customWidth="1"/>
    <col min="74" max="74" width="14" bestFit="1" customWidth="1"/>
    <col min="75" max="75" width="17.3984375" bestFit="1" customWidth="1"/>
    <col min="76" max="76" width="13.86328125" bestFit="1" customWidth="1"/>
    <col min="77" max="77" width="16" bestFit="1" customWidth="1"/>
    <col min="78" max="78" width="12.3984375" bestFit="1" customWidth="1"/>
    <col min="79" max="79" width="16" bestFit="1" customWidth="1"/>
    <col min="80" max="80" width="12.86328125" bestFit="1" customWidth="1"/>
    <col min="81" max="81" width="13.59765625" bestFit="1" customWidth="1"/>
    <col min="82" max="82" width="13.265625" bestFit="1" customWidth="1"/>
    <col min="83" max="83" width="15.1328125" bestFit="1" customWidth="1"/>
    <col min="84" max="84" width="16.1328125" bestFit="1" customWidth="1"/>
    <col min="85" max="85" width="14.59765625" bestFit="1" customWidth="1"/>
    <col min="86" max="86" width="22.265625" bestFit="1" customWidth="1"/>
    <col min="87" max="87" width="22" bestFit="1" customWidth="1"/>
    <col min="88" max="88" width="14.86328125" bestFit="1" customWidth="1"/>
    <col min="89" max="89" width="15.73046875" bestFit="1" customWidth="1"/>
    <col min="90" max="90" width="21.265625" bestFit="1" customWidth="1"/>
    <col min="91" max="91" width="14" bestFit="1" customWidth="1"/>
    <col min="92" max="92" width="16" bestFit="1" customWidth="1"/>
    <col min="93" max="93" width="19.59765625" bestFit="1" customWidth="1"/>
    <col min="94" max="94" width="19.1328125" bestFit="1" customWidth="1"/>
    <col min="95" max="95" width="16.3984375" bestFit="1" customWidth="1"/>
    <col min="96" max="96" width="17.59765625" bestFit="1" customWidth="1"/>
    <col min="97" max="97" width="16" bestFit="1" customWidth="1"/>
    <col min="98" max="98" width="17.265625" bestFit="1" customWidth="1"/>
    <col min="99" max="99" width="16.1328125" bestFit="1" customWidth="1"/>
    <col min="100" max="100" width="20" bestFit="1" customWidth="1"/>
    <col min="101" max="101" width="16.1328125" bestFit="1" customWidth="1"/>
    <col min="102" max="102" width="18" bestFit="1" customWidth="1"/>
    <col min="103" max="103" width="20.59765625" bestFit="1" customWidth="1"/>
    <col min="104" max="104" width="28.1328125" bestFit="1" customWidth="1"/>
    <col min="105" max="105" width="29.3984375" bestFit="1" customWidth="1"/>
    <col min="106" max="106" width="25.59765625" bestFit="1" customWidth="1"/>
    <col min="107" max="107" width="16.86328125" bestFit="1" customWidth="1"/>
    <col min="108" max="108" width="19.1328125" bestFit="1" customWidth="1"/>
    <col min="109" max="109" width="16.1328125" bestFit="1" customWidth="1"/>
    <col min="110" max="110" width="16.86328125" bestFit="1" customWidth="1"/>
    <col min="111" max="111" width="21.3984375" bestFit="1" customWidth="1"/>
    <col min="112" max="112" width="28.3984375" bestFit="1" customWidth="1"/>
    <col min="113" max="113" width="28.86328125" bestFit="1" customWidth="1"/>
    <col min="114" max="114" width="21" bestFit="1" customWidth="1"/>
    <col min="115" max="115" width="8.86328125" bestFit="1" customWidth="1"/>
    <col min="116" max="116" width="16.86328125" bestFit="1" customWidth="1"/>
    <col min="117" max="118" width="22.73046875" bestFit="1" customWidth="1"/>
    <col min="119" max="119" width="16.3984375" bestFit="1" customWidth="1"/>
    <col min="120" max="120" width="22.1328125" bestFit="1" customWidth="1"/>
    <col min="121" max="121" width="30.1328125" bestFit="1" customWidth="1"/>
    <col min="122" max="122" width="23.1328125" bestFit="1" customWidth="1"/>
    <col min="123" max="123" width="24" bestFit="1" customWidth="1"/>
  </cols>
  <sheetData>
    <row r="2" spans="1:119" x14ac:dyDescent="0.45">
      <c r="AY2">
        <v>98100</v>
      </c>
      <c r="AZ2">
        <v>98101</v>
      </c>
      <c r="BA2">
        <v>98102</v>
      </c>
      <c r="BB2">
        <v>98103</v>
      </c>
      <c r="BC2">
        <v>98104</v>
      </c>
      <c r="BD2">
        <v>98105</v>
      </c>
      <c r="BE2">
        <v>98106</v>
      </c>
      <c r="BF2">
        <v>98107</v>
      </c>
      <c r="BG2">
        <v>98108</v>
      </c>
      <c r="BH2">
        <v>98109</v>
      </c>
      <c r="BI2">
        <v>98110</v>
      </c>
      <c r="BJ2">
        <v>98111</v>
      </c>
      <c r="BK2">
        <v>98112</v>
      </c>
      <c r="BL2">
        <v>98113</v>
      </c>
      <c r="BM2">
        <v>98114</v>
      </c>
      <c r="BN2">
        <v>98115</v>
      </c>
      <c r="BO2">
        <v>98116</v>
      </c>
      <c r="BP2">
        <v>98117</v>
      </c>
      <c r="BQ2">
        <v>98118</v>
      </c>
      <c r="BR2">
        <v>98119</v>
      </c>
      <c r="BS2">
        <v>98120</v>
      </c>
      <c r="BT2">
        <v>98121</v>
      </c>
      <c r="BU2">
        <v>98122</v>
      </c>
      <c r="BV2">
        <v>98123</v>
      </c>
      <c r="BW2">
        <v>98124</v>
      </c>
      <c r="BX2">
        <v>98125</v>
      </c>
      <c r="BY2">
        <v>98126</v>
      </c>
      <c r="BZ2">
        <v>98200</v>
      </c>
      <c r="CA2">
        <v>98201</v>
      </c>
      <c r="CB2">
        <v>98202</v>
      </c>
      <c r="CC2">
        <v>98203</v>
      </c>
      <c r="CD2">
        <v>98204</v>
      </c>
      <c r="CE2">
        <v>98205</v>
      </c>
      <c r="CF2">
        <v>98206</v>
      </c>
      <c r="CG2">
        <v>98300</v>
      </c>
      <c r="CH2">
        <v>98301</v>
      </c>
      <c r="CI2">
        <v>98302</v>
      </c>
      <c r="CJ2">
        <v>98400</v>
      </c>
      <c r="CK2">
        <v>98405</v>
      </c>
      <c r="CL2">
        <v>98406</v>
      </c>
      <c r="CM2">
        <v>98407</v>
      </c>
      <c r="CN2">
        <v>98408</v>
      </c>
      <c r="CO2">
        <v>98411</v>
      </c>
      <c r="CP2">
        <v>98412</v>
      </c>
      <c r="CQ2">
        <v>98417</v>
      </c>
      <c r="CR2">
        <v>98418</v>
      </c>
      <c r="CS2">
        <v>98419</v>
      </c>
      <c r="CT2">
        <v>98420</v>
      </c>
      <c r="CU2">
        <v>98423</v>
      </c>
      <c r="CV2">
        <v>98424</v>
      </c>
      <c r="CW2">
        <v>98425</v>
      </c>
      <c r="CX2">
        <v>98426</v>
      </c>
      <c r="CY2">
        <v>98427</v>
      </c>
      <c r="CZ2">
        <v>98428</v>
      </c>
      <c r="DA2">
        <v>98434</v>
      </c>
      <c r="DB2">
        <v>98435</v>
      </c>
      <c r="DC2">
        <v>98436</v>
      </c>
      <c r="DD2">
        <v>98437</v>
      </c>
      <c r="DE2">
        <v>98438</v>
      </c>
      <c r="DF2">
        <v>98439</v>
      </c>
      <c r="DG2">
        <v>98501</v>
      </c>
      <c r="DH2">
        <v>98502</v>
      </c>
      <c r="DI2">
        <v>98503</v>
      </c>
      <c r="DJ2">
        <v>98504</v>
      </c>
      <c r="DK2">
        <v>98505</v>
      </c>
      <c r="DL2">
        <v>98506</v>
      </c>
      <c r="DM2">
        <v>98507</v>
      </c>
      <c r="DN2">
        <v>98508</v>
      </c>
      <c r="DO2">
        <v>98509</v>
      </c>
    </row>
    <row r="3" spans="1:119" x14ac:dyDescent="0.45">
      <c r="A3" s="12">
        <v>1</v>
      </c>
      <c r="B3" s="12">
        <v>2</v>
      </c>
      <c r="C3" s="12">
        <v>3</v>
      </c>
      <c r="D3" s="12">
        <v>4</v>
      </c>
      <c r="E3" s="12">
        <v>5</v>
      </c>
      <c r="F3" s="12">
        <v>6</v>
      </c>
      <c r="G3" s="12">
        <v>7</v>
      </c>
      <c r="H3" s="12">
        <v>8</v>
      </c>
      <c r="I3" s="12">
        <v>9</v>
      </c>
      <c r="J3" s="12">
        <v>10</v>
      </c>
      <c r="K3" s="12">
        <v>11</v>
      </c>
      <c r="L3" s="12">
        <v>12</v>
      </c>
      <c r="M3" s="12">
        <v>13</v>
      </c>
      <c r="N3" s="12">
        <v>14</v>
      </c>
      <c r="O3" s="12">
        <v>15</v>
      </c>
      <c r="P3" s="12">
        <v>16</v>
      </c>
      <c r="Q3" s="12">
        <v>17</v>
      </c>
      <c r="R3" s="12">
        <v>18</v>
      </c>
      <c r="S3" s="12">
        <v>19</v>
      </c>
      <c r="T3" s="12">
        <v>20</v>
      </c>
      <c r="U3" s="12">
        <v>21</v>
      </c>
      <c r="V3" s="12"/>
      <c r="W3" s="12"/>
      <c r="X3" s="12"/>
      <c r="Y3" s="12"/>
      <c r="Z3" s="12"/>
      <c r="AA3" s="12"/>
      <c r="AB3" s="12"/>
      <c r="AC3" s="12">
        <v>22</v>
      </c>
      <c r="AD3" s="12">
        <v>23</v>
      </c>
      <c r="AE3" s="12">
        <v>24</v>
      </c>
      <c r="AF3" s="12">
        <v>25</v>
      </c>
      <c r="AG3" s="12">
        <v>26</v>
      </c>
      <c r="AH3" s="12">
        <v>27</v>
      </c>
      <c r="AI3" s="12">
        <v>28</v>
      </c>
      <c r="AJ3" s="12">
        <v>29</v>
      </c>
      <c r="AK3" s="12">
        <v>30</v>
      </c>
      <c r="AL3" s="12">
        <v>33</v>
      </c>
      <c r="AM3" s="12">
        <v>34</v>
      </c>
      <c r="AN3" s="12">
        <v>35</v>
      </c>
      <c r="AO3" s="12">
        <v>36</v>
      </c>
      <c r="AP3" s="12">
        <v>37</v>
      </c>
      <c r="AQ3" s="12">
        <v>38</v>
      </c>
      <c r="AR3" s="12">
        <v>39</v>
      </c>
      <c r="AS3" s="12">
        <v>40</v>
      </c>
      <c r="AT3" s="12">
        <v>41</v>
      </c>
      <c r="AU3" s="12"/>
      <c r="AV3" s="12"/>
      <c r="AW3" s="12"/>
      <c r="AX3" s="12">
        <v>42</v>
      </c>
      <c r="AY3" s="12">
        <v>43</v>
      </c>
      <c r="AZ3" s="12">
        <v>44</v>
      </c>
      <c r="BA3" s="12">
        <v>45</v>
      </c>
      <c r="BB3" s="12">
        <v>46</v>
      </c>
      <c r="BC3" s="12">
        <v>47</v>
      </c>
      <c r="BD3" s="12">
        <v>48</v>
      </c>
      <c r="BE3" s="12">
        <v>49</v>
      </c>
      <c r="BF3" s="12">
        <v>50</v>
      </c>
      <c r="BG3" s="12">
        <v>51</v>
      </c>
      <c r="BH3" s="12">
        <v>52</v>
      </c>
      <c r="BI3" s="12">
        <v>53</v>
      </c>
      <c r="BJ3" s="12">
        <v>54</v>
      </c>
      <c r="BK3" s="12">
        <v>55</v>
      </c>
      <c r="BL3" s="12">
        <v>56</v>
      </c>
      <c r="BM3" s="12">
        <v>57</v>
      </c>
      <c r="BN3" s="12">
        <v>58</v>
      </c>
      <c r="BO3" s="12">
        <v>59</v>
      </c>
      <c r="BP3" s="12">
        <v>60</v>
      </c>
      <c r="BQ3" s="12">
        <v>61</v>
      </c>
      <c r="BR3" s="12">
        <v>62</v>
      </c>
      <c r="BS3" s="12">
        <v>63</v>
      </c>
      <c r="BT3" s="12">
        <v>64</v>
      </c>
      <c r="BU3" s="12">
        <v>65</v>
      </c>
      <c r="BV3" s="12">
        <v>66</v>
      </c>
      <c r="BW3" s="12">
        <v>67</v>
      </c>
      <c r="BX3" s="12">
        <v>68</v>
      </c>
      <c r="BY3" s="12">
        <v>69</v>
      </c>
      <c r="BZ3" s="12">
        <v>70</v>
      </c>
      <c r="CA3" s="12">
        <v>71</v>
      </c>
      <c r="CB3" s="12">
        <v>72</v>
      </c>
      <c r="CC3" s="12">
        <v>73</v>
      </c>
      <c r="CD3" s="12">
        <v>74</v>
      </c>
      <c r="CE3" s="12">
        <v>75</v>
      </c>
      <c r="CF3" s="12">
        <v>76</v>
      </c>
      <c r="CG3" s="12">
        <v>77</v>
      </c>
      <c r="CH3" s="12">
        <v>78</v>
      </c>
      <c r="CI3" s="12">
        <v>79</v>
      </c>
      <c r="CJ3" s="12">
        <v>80</v>
      </c>
      <c r="CK3" s="12">
        <v>81</v>
      </c>
      <c r="CL3" s="12">
        <v>82</v>
      </c>
      <c r="CM3" s="12">
        <v>83</v>
      </c>
      <c r="CN3" s="12">
        <v>84</v>
      </c>
      <c r="CO3" s="12">
        <v>85</v>
      </c>
      <c r="CP3" s="12">
        <v>86</v>
      </c>
      <c r="CQ3" s="12">
        <v>87</v>
      </c>
      <c r="CR3" s="12">
        <v>88</v>
      </c>
      <c r="CS3" s="12">
        <v>89</v>
      </c>
      <c r="CT3" s="12">
        <v>90</v>
      </c>
      <c r="CU3" s="12">
        <v>91</v>
      </c>
      <c r="CV3" s="12">
        <v>92</v>
      </c>
      <c r="CW3" s="12">
        <v>93</v>
      </c>
      <c r="CX3" s="12">
        <v>94</v>
      </c>
      <c r="CY3" s="12">
        <v>95</v>
      </c>
      <c r="CZ3" s="12">
        <v>96</v>
      </c>
      <c r="DA3" s="12">
        <v>97</v>
      </c>
      <c r="DB3" s="12">
        <v>98</v>
      </c>
      <c r="DC3" s="12">
        <v>99</v>
      </c>
      <c r="DD3" s="12">
        <v>100</v>
      </c>
      <c r="DE3" s="12">
        <v>101</v>
      </c>
      <c r="DF3" s="12">
        <v>102</v>
      </c>
      <c r="DG3" s="12">
        <v>103</v>
      </c>
      <c r="DH3" s="12">
        <v>104</v>
      </c>
      <c r="DI3" s="12">
        <v>105</v>
      </c>
      <c r="DJ3" s="12">
        <v>106</v>
      </c>
      <c r="DK3" s="12">
        <v>107</v>
      </c>
      <c r="DL3" s="12">
        <v>108</v>
      </c>
      <c r="DM3" s="12">
        <v>109</v>
      </c>
    </row>
    <row r="4" spans="1:119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1893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1908</v>
      </c>
      <c r="S4" s="1" t="s">
        <v>1907</v>
      </c>
      <c r="T4" s="1" t="s">
        <v>1910</v>
      </c>
      <c r="U4" s="1" t="s">
        <v>1909</v>
      </c>
      <c r="V4" s="1" t="s">
        <v>2450</v>
      </c>
      <c r="W4" s="1" t="s">
        <v>2448</v>
      </c>
      <c r="X4" s="1" t="s">
        <v>2423</v>
      </c>
      <c r="Y4" s="1" t="s">
        <v>2465</v>
      </c>
      <c r="Z4" s="1" t="s">
        <v>2466</v>
      </c>
      <c r="AA4" s="1" t="s">
        <v>2476</v>
      </c>
      <c r="AB4" s="1" t="s">
        <v>2870</v>
      </c>
      <c r="AC4" s="1" t="s">
        <v>16</v>
      </c>
      <c r="AD4" t="s">
        <v>1889</v>
      </c>
      <c r="AE4" s="1" t="s">
        <v>17</v>
      </c>
      <c r="AF4" s="1" t="s">
        <v>1885</v>
      </c>
      <c r="AG4" s="1" t="s">
        <v>1884</v>
      </c>
      <c r="AH4" s="1" t="s">
        <v>18</v>
      </c>
      <c r="AI4" s="1" t="s">
        <v>19</v>
      </c>
      <c r="AJ4" s="1" t="s">
        <v>20</v>
      </c>
      <c r="AK4" s="1" t="s">
        <v>21</v>
      </c>
      <c r="AL4" s="1" t="s">
        <v>22</v>
      </c>
      <c r="AM4" s="1" t="s">
        <v>23</v>
      </c>
      <c r="AN4" s="1" t="s">
        <v>24</v>
      </c>
      <c r="AO4" s="1" t="s">
        <v>25</v>
      </c>
      <c r="AP4" s="1" t="s">
        <v>26</v>
      </c>
      <c r="AQ4" s="1" t="s">
        <v>27</v>
      </c>
      <c r="AR4" s="1" t="s">
        <v>28</v>
      </c>
      <c r="AS4" s="1" t="s">
        <v>29</v>
      </c>
      <c r="AT4" s="1" t="s">
        <v>30</v>
      </c>
      <c r="AU4" s="1" t="s">
        <v>2298</v>
      </c>
      <c r="AV4" s="1" t="s">
        <v>2299</v>
      </c>
      <c r="AW4" s="1" t="s">
        <v>2300</v>
      </c>
      <c r="AX4" s="1" t="s">
        <v>31</v>
      </c>
      <c r="AY4" s="1" t="s">
        <v>32</v>
      </c>
      <c r="AZ4" s="1" t="s">
        <v>33</v>
      </c>
      <c r="BA4" s="1" t="s">
        <v>34</v>
      </c>
      <c r="BB4" s="1" t="s">
        <v>35</v>
      </c>
      <c r="BC4" s="1" t="s">
        <v>36</v>
      </c>
      <c r="BD4" s="1" t="s">
        <v>37</v>
      </c>
      <c r="BE4" s="1" t="s">
        <v>38</v>
      </c>
      <c r="BF4" s="1" t="s">
        <v>39</v>
      </c>
      <c r="BG4" s="1" t="s">
        <v>40</v>
      </c>
      <c r="BH4" s="1" t="s">
        <v>41</v>
      </c>
      <c r="BI4" s="1" t="s">
        <v>42</v>
      </c>
      <c r="BJ4" s="1" t="s">
        <v>43</v>
      </c>
      <c r="BK4" s="1" t="s">
        <v>44</v>
      </c>
      <c r="BL4" s="1" t="s">
        <v>45</v>
      </c>
      <c r="BM4" s="1" t="s">
        <v>46</v>
      </c>
      <c r="BN4" s="1" t="s">
        <v>47</v>
      </c>
      <c r="BO4" s="1" t="s">
        <v>48</v>
      </c>
      <c r="BP4" s="1" t="s">
        <v>49</v>
      </c>
      <c r="BQ4" s="1" t="s">
        <v>50</v>
      </c>
      <c r="BR4" s="1" t="s">
        <v>51</v>
      </c>
      <c r="BS4" s="1" t="s">
        <v>52</v>
      </c>
      <c r="BT4" s="1" t="s">
        <v>53</v>
      </c>
      <c r="BU4" s="1" t="s">
        <v>54</v>
      </c>
      <c r="BV4" s="1" t="s">
        <v>55</v>
      </c>
      <c r="BW4" s="1" t="s">
        <v>56</v>
      </c>
      <c r="BX4" s="1" t="s">
        <v>57</v>
      </c>
      <c r="BY4" s="1" t="s">
        <v>58</v>
      </c>
      <c r="BZ4" s="1" t="s">
        <v>59</v>
      </c>
      <c r="CA4" s="1" t="s">
        <v>60</v>
      </c>
      <c r="CB4" s="1" t="s">
        <v>61</v>
      </c>
      <c r="CC4" s="1" t="s">
        <v>62</v>
      </c>
      <c r="CD4" s="1" t="s">
        <v>63</v>
      </c>
      <c r="CE4" s="1" t="s">
        <v>64</v>
      </c>
      <c r="CF4" s="1" t="s">
        <v>2350</v>
      </c>
      <c r="CG4" s="1" t="s">
        <v>65</v>
      </c>
      <c r="CH4" s="1" t="s">
        <v>67</v>
      </c>
      <c r="CI4" s="1" t="s">
        <v>66</v>
      </c>
      <c r="CJ4" s="1" t="s">
        <v>68</v>
      </c>
      <c r="CK4" s="1" t="s">
        <v>69</v>
      </c>
      <c r="CL4" s="1" t="s">
        <v>70</v>
      </c>
      <c r="CM4" s="1" t="s">
        <v>71</v>
      </c>
      <c r="CN4" s="1" t="s">
        <v>72</v>
      </c>
      <c r="CO4" s="1" t="s">
        <v>73</v>
      </c>
      <c r="CP4" s="1" t="s">
        <v>74</v>
      </c>
      <c r="CQ4" s="1" t="s">
        <v>75</v>
      </c>
      <c r="CR4" s="1" t="s">
        <v>76</v>
      </c>
      <c r="CS4" s="1" t="s">
        <v>77</v>
      </c>
      <c r="CT4" s="1" t="s">
        <v>78</v>
      </c>
      <c r="CU4" s="1" t="s">
        <v>79</v>
      </c>
      <c r="CV4" s="1" t="s">
        <v>80</v>
      </c>
      <c r="CW4" s="1" t="s">
        <v>81</v>
      </c>
      <c r="CX4" s="1" t="s">
        <v>82</v>
      </c>
      <c r="CY4" s="1" t="s">
        <v>83</v>
      </c>
      <c r="CZ4" s="1" t="s">
        <v>84</v>
      </c>
      <c r="DA4" s="1" t="s">
        <v>85</v>
      </c>
      <c r="DB4" s="1" t="s">
        <v>86</v>
      </c>
      <c r="DC4" s="1" t="s">
        <v>87</v>
      </c>
      <c r="DD4" s="1" t="s">
        <v>88</v>
      </c>
      <c r="DE4" s="1" t="s">
        <v>89</v>
      </c>
      <c r="DF4" s="1" t="s">
        <v>90</v>
      </c>
      <c r="DG4" s="1" t="s">
        <v>91</v>
      </c>
      <c r="DH4" s="1" t="s">
        <v>92</v>
      </c>
      <c r="DI4" s="1" t="s">
        <v>93</v>
      </c>
      <c r="DJ4" s="1" t="s">
        <v>94</v>
      </c>
      <c r="DK4" s="1" t="s">
        <v>95</v>
      </c>
      <c r="DL4" s="1" t="s">
        <v>1911</v>
      </c>
      <c r="DM4" s="20" t="s">
        <v>1912</v>
      </c>
      <c r="DN4" s="24" t="s">
        <v>2351</v>
      </c>
      <c r="DO4" s="24" t="s">
        <v>2352</v>
      </c>
    </row>
    <row r="5" spans="1:119" hidden="1" x14ac:dyDescent="0.45">
      <c r="A5" s="2" t="s">
        <v>192</v>
      </c>
      <c r="B5" t="s">
        <v>193</v>
      </c>
      <c r="C5" s="2">
        <v>32</v>
      </c>
      <c r="D5" s="6">
        <v>901</v>
      </c>
      <c r="E5" s="2" t="s">
        <v>194</v>
      </c>
      <c r="F5" t="s">
        <v>194</v>
      </c>
      <c r="G5" t="s">
        <v>2020</v>
      </c>
      <c r="H5" s="2" t="s">
        <v>195</v>
      </c>
      <c r="I5" s="2" t="s">
        <v>194</v>
      </c>
      <c r="J5" s="2">
        <v>19</v>
      </c>
      <c r="K5" t="s">
        <v>157</v>
      </c>
      <c r="L5" s="2">
        <v>419</v>
      </c>
      <c r="M5" t="s">
        <v>174</v>
      </c>
      <c r="N5">
        <v>5</v>
      </c>
      <c r="O5" t="s">
        <v>196</v>
      </c>
      <c r="P5" s="2" t="s">
        <v>196</v>
      </c>
      <c r="Q5" s="2" t="s">
        <v>177</v>
      </c>
      <c r="R5" s="2">
        <v>419</v>
      </c>
      <c r="S5" s="2" t="s">
        <v>174</v>
      </c>
      <c r="T5" s="2">
        <v>419</v>
      </c>
      <c r="U5" s="4" t="s">
        <v>174</v>
      </c>
      <c r="V5" t="s">
        <v>2455</v>
      </c>
      <c r="W5" t="s">
        <v>2455</v>
      </c>
      <c r="X5" t="s">
        <v>2440</v>
      </c>
      <c r="Y5" t="s">
        <v>196</v>
      </c>
      <c r="Z5" t="s">
        <v>194</v>
      </c>
      <c r="AA5" s="3" t="s">
        <v>194</v>
      </c>
      <c r="AB5" s="3" t="s">
        <v>193</v>
      </c>
      <c r="AC5" s="2" t="s">
        <v>138</v>
      </c>
      <c r="AD5" s="4" t="s">
        <v>1891</v>
      </c>
      <c r="AE5" t="s">
        <v>104</v>
      </c>
      <c r="AF5" t="s">
        <v>1885</v>
      </c>
      <c r="AG5" t="s">
        <v>1884</v>
      </c>
      <c r="AH5" t="s">
        <v>105</v>
      </c>
      <c r="AI5" s="3" t="s">
        <v>178</v>
      </c>
      <c r="AJ5" s="3" t="s">
        <v>106</v>
      </c>
      <c r="AK5" s="3" t="s">
        <v>107</v>
      </c>
      <c r="AL5" s="5" t="s">
        <v>197</v>
      </c>
      <c r="AM5" s="5" t="s">
        <v>109</v>
      </c>
      <c r="AO5" s="3" t="s">
        <v>119</v>
      </c>
      <c r="AP5" s="3" t="s">
        <v>120</v>
      </c>
      <c r="AQ5" s="3" t="s">
        <v>111</v>
      </c>
      <c r="AR5" s="3" t="s">
        <v>112</v>
      </c>
      <c r="AS5" s="3" t="s">
        <v>112</v>
      </c>
      <c r="AT5" s="3" t="s">
        <v>113</v>
      </c>
      <c r="AU5" s="3" t="s">
        <v>2303</v>
      </c>
      <c r="AV5" s="3" t="s">
        <v>2302</v>
      </c>
      <c r="AW5" s="3" t="s">
        <v>2300</v>
      </c>
      <c r="AX5" s="3" t="s">
        <v>2006</v>
      </c>
      <c r="AY5" s="19" t="s">
        <v>114</v>
      </c>
      <c r="AZ5" s="19" t="s">
        <v>114</v>
      </c>
      <c r="BA5" s="19" t="s">
        <v>114</v>
      </c>
      <c r="BB5" s="19" t="s">
        <v>114</v>
      </c>
      <c r="BC5" s="19" t="s">
        <v>114</v>
      </c>
      <c r="BD5" s="19" t="s">
        <v>114</v>
      </c>
      <c r="BE5" s="19" t="s">
        <v>114</v>
      </c>
      <c r="BF5" s="19" t="s">
        <v>114</v>
      </c>
      <c r="BG5" s="19" t="s">
        <v>114</v>
      </c>
      <c r="BH5" s="19" t="s">
        <v>114</v>
      </c>
      <c r="BI5" s="19" t="s">
        <v>114</v>
      </c>
      <c r="BJ5" s="19" t="s">
        <v>114</v>
      </c>
      <c r="BK5" s="19" t="s">
        <v>114</v>
      </c>
      <c r="BL5" s="19" t="s">
        <v>114</v>
      </c>
      <c r="BM5" s="19" t="s">
        <v>114</v>
      </c>
      <c r="BN5" s="19" t="s">
        <v>114</v>
      </c>
      <c r="BO5" s="19" t="s">
        <v>114</v>
      </c>
      <c r="BP5" s="19" t="s">
        <v>114</v>
      </c>
      <c r="BQ5" s="19" t="s">
        <v>114</v>
      </c>
      <c r="BR5" s="19" t="s">
        <v>114</v>
      </c>
      <c r="BS5" s="19" t="s">
        <v>114</v>
      </c>
      <c r="BT5" s="19" t="s">
        <v>114</v>
      </c>
      <c r="BU5" s="19" t="s">
        <v>114</v>
      </c>
      <c r="BV5" s="19" t="s">
        <v>114</v>
      </c>
      <c r="BW5" s="19" t="s">
        <v>114</v>
      </c>
      <c r="BX5" s="19" t="s">
        <v>114</v>
      </c>
      <c r="BY5" s="19" t="s">
        <v>114</v>
      </c>
      <c r="BZ5" s="21" t="s">
        <v>114</v>
      </c>
      <c r="CA5" s="21" t="s">
        <v>114</v>
      </c>
      <c r="CB5" s="21" t="s">
        <v>114</v>
      </c>
      <c r="CC5" s="21" t="s">
        <v>114</v>
      </c>
      <c r="CD5" s="21" t="s">
        <v>114</v>
      </c>
      <c r="CE5" s="21" t="s">
        <v>114</v>
      </c>
      <c r="CF5" s="19" t="s">
        <v>114</v>
      </c>
      <c r="CG5" s="19">
        <v>98300</v>
      </c>
      <c r="CH5" s="19" t="s">
        <v>114</v>
      </c>
      <c r="CI5" s="21">
        <v>98302</v>
      </c>
      <c r="CJ5" s="21" t="s">
        <v>114</v>
      </c>
      <c r="CK5" s="21" t="s">
        <v>114</v>
      </c>
      <c r="CL5" s="21" t="s">
        <v>114</v>
      </c>
      <c r="CM5" s="21" t="s">
        <v>114</v>
      </c>
      <c r="CN5" s="21" t="s">
        <v>114</v>
      </c>
      <c r="CO5" s="21" t="s">
        <v>114</v>
      </c>
      <c r="CP5" s="21" t="s">
        <v>114</v>
      </c>
      <c r="CQ5" s="21" t="s">
        <v>114</v>
      </c>
      <c r="CR5" s="21" t="s">
        <v>114</v>
      </c>
      <c r="CS5" s="21" t="s">
        <v>114</v>
      </c>
      <c r="CT5" s="21" t="s">
        <v>114</v>
      </c>
      <c r="CU5" s="21" t="s">
        <v>114</v>
      </c>
      <c r="CV5" s="21">
        <v>98424</v>
      </c>
      <c r="CW5" s="21" t="s">
        <v>114</v>
      </c>
      <c r="CX5" s="21" t="s">
        <v>114</v>
      </c>
      <c r="CY5" s="21" t="s">
        <v>114</v>
      </c>
      <c r="CZ5" s="21" t="s">
        <v>114</v>
      </c>
      <c r="DA5" s="21" t="s">
        <v>114</v>
      </c>
      <c r="DB5" s="21" t="s">
        <v>114</v>
      </c>
      <c r="DC5" s="21" t="s">
        <v>114</v>
      </c>
      <c r="DD5" s="21" t="s">
        <v>114</v>
      </c>
      <c r="DE5" s="21" t="s">
        <v>114</v>
      </c>
      <c r="DF5" s="19" t="s">
        <v>114</v>
      </c>
      <c r="DG5" s="19" t="s">
        <v>114</v>
      </c>
      <c r="DH5" s="19" t="s">
        <v>114</v>
      </c>
      <c r="DI5" s="19" t="s">
        <v>114</v>
      </c>
      <c r="DJ5" s="19" t="s">
        <v>114</v>
      </c>
      <c r="DK5" s="19" t="s">
        <v>114</v>
      </c>
      <c r="DL5" s="19" t="s">
        <v>114</v>
      </c>
      <c r="DM5" s="19" t="s">
        <v>114</v>
      </c>
      <c r="DN5" s="19" t="s">
        <v>114</v>
      </c>
      <c r="DO5" s="19" t="s">
        <v>114</v>
      </c>
    </row>
    <row r="6" spans="1:119" hidden="1" x14ac:dyDescent="0.45">
      <c r="A6" s="2" t="s">
        <v>211</v>
      </c>
      <c r="B6" t="s">
        <v>212</v>
      </c>
      <c r="C6" s="2">
        <v>36</v>
      </c>
      <c r="D6" s="6">
        <v>802</v>
      </c>
      <c r="E6" s="2" t="s">
        <v>213</v>
      </c>
      <c r="F6" t="s">
        <v>213</v>
      </c>
      <c r="G6" t="s">
        <v>213</v>
      </c>
      <c r="H6" s="2" t="s">
        <v>214</v>
      </c>
      <c r="I6" s="2" t="s">
        <v>213</v>
      </c>
      <c r="J6" s="2">
        <v>9</v>
      </c>
      <c r="K6" t="s">
        <v>153</v>
      </c>
      <c r="L6" s="2">
        <v>53</v>
      </c>
      <c r="M6" t="s">
        <v>215</v>
      </c>
      <c r="P6" s="2" t="s">
        <v>153</v>
      </c>
      <c r="Q6" s="2" t="s">
        <v>155</v>
      </c>
      <c r="R6" s="2">
        <v>9</v>
      </c>
      <c r="S6" s="4" t="s">
        <v>153</v>
      </c>
      <c r="T6" s="4">
        <v>53</v>
      </c>
      <c r="U6" s="4" t="s">
        <v>215</v>
      </c>
      <c r="V6" t="s">
        <v>2459</v>
      </c>
      <c r="W6" t="s">
        <v>2459</v>
      </c>
      <c r="X6" t="s">
        <v>2441</v>
      </c>
      <c r="Y6" t="s">
        <v>215</v>
      </c>
      <c r="Z6" t="s">
        <v>213</v>
      </c>
      <c r="AA6" s="3" t="s">
        <v>215</v>
      </c>
      <c r="AB6" s="3" t="s">
        <v>2871</v>
      </c>
      <c r="AC6" s="2" t="s">
        <v>130</v>
      </c>
      <c r="AD6" s="4" t="s">
        <v>1891</v>
      </c>
      <c r="AE6" t="s">
        <v>131</v>
      </c>
      <c r="AF6" t="s">
        <v>1886</v>
      </c>
      <c r="AG6" t="s">
        <v>1887</v>
      </c>
      <c r="AH6" s="3" t="s">
        <v>18</v>
      </c>
      <c r="AI6" s="3" t="s">
        <v>216</v>
      </c>
      <c r="AJ6" t="s">
        <v>20</v>
      </c>
      <c r="AK6" s="3" t="s">
        <v>107</v>
      </c>
      <c r="AL6" s="5" t="s">
        <v>217</v>
      </c>
      <c r="AM6" s="5" t="s">
        <v>212</v>
      </c>
      <c r="AO6" s="3" t="s">
        <v>119</v>
      </c>
      <c r="AP6" s="3" t="s">
        <v>120</v>
      </c>
      <c r="AQ6" s="3" t="s">
        <v>111</v>
      </c>
      <c r="AR6" s="3" t="s">
        <v>112</v>
      </c>
      <c r="AS6" s="3" t="s">
        <v>112</v>
      </c>
      <c r="AT6" s="3" t="s">
        <v>113</v>
      </c>
      <c r="AU6" s="3" t="s">
        <v>2303</v>
      </c>
      <c r="AV6" s="3" t="s">
        <v>2302</v>
      </c>
      <c r="AW6" s="3" t="s">
        <v>2300</v>
      </c>
      <c r="AX6" s="3" t="s">
        <v>2006</v>
      </c>
      <c r="AY6" s="19" t="s">
        <v>114</v>
      </c>
      <c r="AZ6" s="19" t="s">
        <v>114</v>
      </c>
      <c r="BA6" s="19" t="s">
        <v>114</v>
      </c>
      <c r="BB6" s="19" t="s">
        <v>114</v>
      </c>
      <c r="BC6" s="19" t="s">
        <v>114</v>
      </c>
      <c r="BD6" s="19" t="s">
        <v>114</v>
      </c>
      <c r="BE6" s="19" t="s">
        <v>114</v>
      </c>
      <c r="BF6" s="19" t="s">
        <v>114</v>
      </c>
      <c r="BG6" s="19" t="s">
        <v>114</v>
      </c>
      <c r="BH6" s="19" t="s">
        <v>114</v>
      </c>
      <c r="BI6" s="19" t="s">
        <v>114</v>
      </c>
      <c r="BJ6" s="19" t="s">
        <v>114</v>
      </c>
      <c r="BK6" s="19" t="s">
        <v>114</v>
      </c>
      <c r="BL6" s="19" t="s">
        <v>114</v>
      </c>
      <c r="BM6" s="19" t="s">
        <v>114</v>
      </c>
      <c r="BN6" s="19" t="s">
        <v>114</v>
      </c>
      <c r="BO6" s="19" t="s">
        <v>114</v>
      </c>
      <c r="BP6" s="19" t="s">
        <v>114</v>
      </c>
      <c r="BQ6" s="19" t="s">
        <v>114</v>
      </c>
      <c r="BR6" s="19" t="s">
        <v>114</v>
      </c>
      <c r="BS6" s="19" t="s">
        <v>114</v>
      </c>
      <c r="BT6" s="19" t="s">
        <v>114</v>
      </c>
      <c r="BU6" s="19" t="s">
        <v>114</v>
      </c>
      <c r="BV6" s="19" t="s">
        <v>114</v>
      </c>
      <c r="BW6" s="19" t="s">
        <v>114</v>
      </c>
      <c r="BX6" s="19" t="s">
        <v>114</v>
      </c>
      <c r="BY6" s="19" t="s">
        <v>114</v>
      </c>
      <c r="BZ6" s="21" t="s">
        <v>114</v>
      </c>
      <c r="CA6" s="21" t="s">
        <v>114</v>
      </c>
      <c r="CB6" s="21" t="s">
        <v>114</v>
      </c>
      <c r="CC6" s="21" t="s">
        <v>114</v>
      </c>
      <c r="CD6" s="21" t="s">
        <v>114</v>
      </c>
      <c r="CE6" s="21" t="s">
        <v>114</v>
      </c>
      <c r="CF6" s="19" t="s">
        <v>114</v>
      </c>
      <c r="CG6" s="19" t="s">
        <v>114</v>
      </c>
      <c r="CH6" s="19" t="s">
        <v>114</v>
      </c>
      <c r="CI6" s="21" t="s">
        <v>114</v>
      </c>
      <c r="CJ6" s="21">
        <v>98400</v>
      </c>
      <c r="CK6" s="21" t="s">
        <v>114</v>
      </c>
      <c r="CL6" s="21" t="s">
        <v>114</v>
      </c>
      <c r="CM6" s="21" t="s">
        <v>114</v>
      </c>
      <c r="CN6" s="21" t="s">
        <v>114</v>
      </c>
      <c r="CO6" s="21" t="s">
        <v>114</v>
      </c>
      <c r="CP6" s="21" t="s">
        <v>114</v>
      </c>
      <c r="CQ6" s="21" t="s">
        <v>114</v>
      </c>
      <c r="CR6" s="21">
        <v>98418</v>
      </c>
      <c r="CS6" s="21" t="s">
        <v>114</v>
      </c>
      <c r="CT6" s="21" t="s">
        <v>114</v>
      </c>
      <c r="CU6" s="21" t="s">
        <v>114</v>
      </c>
      <c r="CV6" s="21" t="s">
        <v>114</v>
      </c>
      <c r="CW6" s="21" t="s">
        <v>114</v>
      </c>
      <c r="CX6" s="21" t="s">
        <v>114</v>
      </c>
      <c r="CY6" s="21" t="s">
        <v>114</v>
      </c>
      <c r="CZ6" s="21" t="s">
        <v>114</v>
      </c>
      <c r="DA6" s="21" t="s">
        <v>114</v>
      </c>
      <c r="DB6" s="21" t="s">
        <v>114</v>
      </c>
      <c r="DC6" s="21">
        <v>98436</v>
      </c>
      <c r="DD6" s="21" t="s">
        <v>114</v>
      </c>
      <c r="DE6" s="21" t="s">
        <v>114</v>
      </c>
      <c r="DF6" s="19" t="s">
        <v>114</v>
      </c>
      <c r="DG6" s="19" t="s">
        <v>114</v>
      </c>
      <c r="DH6" s="19" t="s">
        <v>114</v>
      </c>
      <c r="DI6" s="19" t="s">
        <v>114</v>
      </c>
      <c r="DJ6" s="19" t="s">
        <v>114</v>
      </c>
      <c r="DK6" s="19" t="s">
        <v>114</v>
      </c>
      <c r="DL6" s="19" t="s">
        <v>114</v>
      </c>
      <c r="DM6" s="19" t="s">
        <v>114</v>
      </c>
      <c r="DN6" s="19" t="s">
        <v>114</v>
      </c>
      <c r="DO6" s="19" t="s">
        <v>114</v>
      </c>
    </row>
    <row r="7" spans="1:119" hidden="1" x14ac:dyDescent="0.45">
      <c r="A7" s="2" t="s">
        <v>429</v>
      </c>
      <c r="B7" t="s">
        <v>430</v>
      </c>
      <c r="C7" s="2">
        <v>162</v>
      </c>
      <c r="D7" s="6">
        <v>803</v>
      </c>
      <c r="E7" s="2" t="s">
        <v>1597</v>
      </c>
      <c r="F7" t="s">
        <v>431</v>
      </c>
      <c r="H7" s="2" t="s">
        <v>432</v>
      </c>
      <c r="I7" s="2" t="s">
        <v>433</v>
      </c>
      <c r="J7" s="2">
        <v>9</v>
      </c>
      <c r="K7" t="s">
        <v>153</v>
      </c>
      <c r="L7" s="2">
        <v>53</v>
      </c>
      <c r="M7" t="s">
        <v>215</v>
      </c>
      <c r="P7" s="2" t="s">
        <v>153</v>
      </c>
      <c r="Q7" s="2" t="s">
        <v>155</v>
      </c>
      <c r="R7" s="2">
        <v>9</v>
      </c>
      <c r="S7" s="4" t="s">
        <v>153</v>
      </c>
      <c r="T7" s="4">
        <v>53</v>
      </c>
      <c r="U7" s="4" t="s">
        <v>215</v>
      </c>
      <c r="V7" t="s">
        <v>2458</v>
      </c>
      <c r="W7" t="s">
        <v>2458</v>
      </c>
      <c r="X7" t="s">
        <v>2440</v>
      </c>
      <c r="Y7" t="s">
        <v>215</v>
      </c>
      <c r="Z7" t="s">
        <v>2475</v>
      </c>
      <c r="AA7" s="3" t="s">
        <v>215</v>
      </c>
      <c r="AB7" s="3" t="s">
        <v>2871</v>
      </c>
      <c r="AC7" s="2" t="s">
        <v>1888</v>
      </c>
      <c r="AD7" s="2" t="s">
        <v>1888</v>
      </c>
      <c r="AE7" t="s">
        <v>131</v>
      </c>
      <c r="AF7" t="s">
        <v>1886</v>
      </c>
      <c r="AG7" t="s">
        <v>1887</v>
      </c>
      <c r="AH7" t="s">
        <v>105</v>
      </c>
      <c r="AI7" s="3" t="s">
        <v>105</v>
      </c>
      <c r="AJ7" s="3" t="s">
        <v>106</v>
      </c>
      <c r="AK7" s="3" t="s">
        <v>107</v>
      </c>
      <c r="AL7" s="5" t="s">
        <v>217</v>
      </c>
      <c r="AM7" s="5" t="s">
        <v>109</v>
      </c>
      <c r="AO7" s="3" t="s">
        <v>119</v>
      </c>
      <c r="AP7" s="3" t="s">
        <v>120</v>
      </c>
      <c r="AQ7" s="3" t="s">
        <v>111</v>
      </c>
      <c r="AR7" s="3" t="s">
        <v>112</v>
      </c>
      <c r="AS7" s="3" t="s">
        <v>112</v>
      </c>
      <c r="AT7" s="3" t="s">
        <v>113</v>
      </c>
      <c r="AU7" s="3" t="s">
        <v>2303</v>
      </c>
      <c r="AV7" s="3" t="s">
        <v>2302</v>
      </c>
      <c r="AW7" s="3" t="s">
        <v>2301</v>
      </c>
      <c r="AX7" s="3" t="s">
        <v>282</v>
      </c>
      <c r="AY7" s="19" t="s">
        <v>114</v>
      </c>
      <c r="AZ7" s="19" t="s">
        <v>114</v>
      </c>
      <c r="BA7" s="19" t="s">
        <v>114</v>
      </c>
      <c r="BB7" s="19" t="s">
        <v>114</v>
      </c>
      <c r="BC7" s="19" t="s">
        <v>114</v>
      </c>
      <c r="BD7" s="19" t="s">
        <v>114</v>
      </c>
      <c r="BE7" s="19" t="s">
        <v>114</v>
      </c>
      <c r="BF7" s="19" t="s">
        <v>114</v>
      </c>
      <c r="BG7" s="19" t="s">
        <v>114</v>
      </c>
      <c r="BH7" s="19" t="s">
        <v>114</v>
      </c>
      <c r="BI7" s="19" t="s">
        <v>114</v>
      </c>
      <c r="BJ7" s="19" t="s">
        <v>114</v>
      </c>
      <c r="BK7" s="19" t="s">
        <v>114</v>
      </c>
      <c r="BL7" s="19" t="s">
        <v>114</v>
      </c>
      <c r="BM7" s="19" t="s">
        <v>114</v>
      </c>
      <c r="BN7" s="19" t="s">
        <v>114</v>
      </c>
      <c r="BO7" s="19" t="s">
        <v>114</v>
      </c>
      <c r="BP7" s="19" t="s">
        <v>114</v>
      </c>
      <c r="BQ7" s="19" t="s">
        <v>114</v>
      </c>
      <c r="BR7" s="19" t="s">
        <v>114</v>
      </c>
      <c r="BS7" s="19" t="s">
        <v>114</v>
      </c>
      <c r="BT7" s="19" t="s">
        <v>114</v>
      </c>
      <c r="BU7" s="19" t="s">
        <v>114</v>
      </c>
      <c r="BV7" s="19" t="s">
        <v>114</v>
      </c>
      <c r="BW7" s="19" t="s">
        <v>114</v>
      </c>
      <c r="BX7" s="19" t="s">
        <v>114</v>
      </c>
      <c r="BY7" s="19" t="s">
        <v>114</v>
      </c>
      <c r="BZ7" s="21" t="s">
        <v>114</v>
      </c>
      <c r="CA7" s="21" t="s">
        <v>114</v>
      </c>
      <c r="CB7" s="21" t="s">
        <v>114</v>
      </c>
      <c r="CC7" s="21" t="s">
        <v>114</v>
      </c>
      <c r="CD7" s="21" t="s">
        <v>114</v>
      </c>
      <c r="CE7" s="21" t="s">
        <v>114</v>
      </c>
      <c r="CF7" s="19" t="s">
        <v>114</v>
      </c>
      <c r="CG7" s="19" t="s">
        <v>114</v>
      </c>
      <c r="CH7" s="19" t="s">
        <v>114</v>
      </c>
      <c r="CI7" s="21" t="s">
        <v>114</v>
      </c>
      <c r="CJ7" s="21" t="s">
        <v>114</v>
      </c>
      <c r="CK7" s="21" t="s">
        <v>114</v>
      </c>
      <c r="CL7" s="21" t="s">
        <v>114</v>
      </c>
      <c r="CM7" s="21" t="s">
        <v>114</v>
      </c>
      <c r="CN7" s="21" t="s">
        <v>114</v>
      </c>
      <c r="CO7" s="21" t="s">
        <v>114</v>
      </c>
      <c r="CP7" s="21" t="s">
        <v>114</v>
      </c>
      <c r="CQ7" s="21" t="s">
        <v>114</v>
      </c>
      <c r="CR7" s="21" t="s">
        <v>114</v>
      </c>
      <c r="CS7" s="21" t="s">
        <v>114</v>
      </c>
      <c r="CT7" s="21" t="s">
        <v>114</v>
      </c>
      <c r="CU7" s="21" t="s">
        <v>114</v>
      </c>
      <c r="CV7" s="21" t="s">
        <v>114</v>
      </c>
      <c r="CW7" s="21" t="s">
        <v>114</v>
      </c>
      <c r="CX7" s="21">
        <v>98426</v>
      </c>
      <c r="CY7" s="21" t="s">
        <v>114</v>
      </c>
      <c r="CZ7" s="21" t="s">
        <v>114</v>
      </c>
      <c r="DA7" s="21" t="s">
        <v>114</v>
      </c>
      <c r="DB7" s="21" t="s">
        <v>114</v>
      </c>
      <c r="DC7" s="21" t="s">
        <v>114</v>
      </c>
      <c r="DD7" s="21" t="s">
        <v>114</v>
      </c>
      <c r="DE7" s="21" t="s">
        <v>114</v>
      </c>
      <c r="DF7" s="19" t="s">
        <v>114</v>
      </c>
      <c r="DG7" s="19" t="s">
        <v>114</v>
      </c>
      <c r="DH7" s="19" t="s">
        <v>114</v>
      </c>
      <c r="DI7" s="19" t="s">
        <v>114</v>
      </c>
      <c r="DJ7" s="19" t="s">
        <v>114</v>
      </c>
      <c r="DK7" s="19" t="s">
        <v>114</v>
      </c>
      <c r="DL7" s="19" t="s">
        <v>114</v>
      </c>
      <c r="DM7" s="19" t="s">
        <v>114</v>
      </c>
      <c r="DN7" s="19" t="s">
        <v>114</v>
      </c>
      <c r="DO7" s="19" t="s">
        <v>114</v>
      </c>
    </row>
    <row r="8" spans="1:119" hidden="1" x14ac:dyDescent="0.45">
      <c r="A8" s="2" t="s">
        <v>434</v>
      </c>
      <c r="B8" t="s">
        <v>435</v>
      </c>
      <c r="C8" s="2">
        <v>166</v>
      </c>
      <c r="D8" s="6">
        <v>804</v>
      </c>
      <c r="E8" s="2" t="s">
        <v>1599</v>
      </c>
      <c r="F8" t="s">
        <v>436</v>
      </c>
      <c r="H8" s="2" t="s">
        <v>437</v>
      </c>
      <c r="I8" s="2" t="s">
        <v>438</v>
      </c>
      <c r="J8" s="2">
        <v>9</v>
      </c>
      <c r="K8" t="s">
        <v>153</v>
      </c>
      <c r="L8" s="2">
        <v>53</v>
      </c>
      <c r="M8" t="s">
        <v>215</v>
      </c>
      <c r="P8" s="2" t="s">
        <v>153</v>
      </c>
      <c r="Q8" s="2" t="s">
        <v>155</v>
      </c>
      <c r="R8" s="2">
        <v>9</v>
      </c>
      <c r="S8" s="4" t="s">
        <v>153</v>
      </c>
      <c r="T8" s="4">
        <v>53</v>
      </c>
      <c r="U8" s="4" t="s">
        <v>215</v>
      </c>
      <c r="V8" t="s">
        <v>2458</v>
      </c>
      <c r="W8" t="s">
        <v>2458</v>
      </c>
      <c r="X8" t="s">
        <v>2440</v>
      </c>
      <c r="Y8" t="s">
        <v>215</v>
      </c>
      <c r="Z8" t="s">
        <v>2475</v>
      </c>
      <c r="AA8" s="3" t="s">
        <v>215</v>
      </c>
      <c r="AB8" s="3" t="s">
        <v>2871</v>
      </c>
      <c r="AC8" s="2" t="s">
        <v>1888</v>
      </c>
      <c r="AD8" s="2" t="s">
        <v>1888</v>
      </c>
      <c r="AE8" t="s">
        <v>131</v>
      </c>
      <c r="AF8" t="s">
        <v>1886</v>
      </c>
      <c r="AG8" t="s">
        <v>1887</v>
      </c>
      <c r="AH8" t="s">
        <v>105</v>
      </c>
      <c r="AI8" s="3" t="s">
        <v>105</v>
      </c>
      <c r="AJ8" s="3" t="s">
        <v>106</v>
      </c>
      <c r="AK8" s="3" t="s">
        <v>107</v>
      </c>
      <c r="AL8" s="5" t="s">
        <v>217</v>
      </c>
      <c r="AM8" s="5" t="s">
        <v>109</v>
      </c>
      <c r="AO8" s="3" t="s">
        <v>119</v>
      </c>
      <c r="AP8" s="3" t="s">
        <v>120</v>
      </c>
      <c r="AQ8" s="3" t="s">
        <v>111</v>
      </c>
      <c r="AR8" s="3" t="s">
        <v>112</v>
      </c>
      <c r="AS8" s="3" t="s">
        <v>112</v>
      </c>
      <c r="AT8" s="3" t="s">
        <v>113</v>
      </c>
      <c r="AU8" s="3" t="s">
        <v>2303</v>
      </c>
      <c r="AV8" s="3" t="s">
        <v>2302</v>
      </c>
      <c r="AW8" s="3" t="s">
        <v>2301</v>
      </c>
      <c r="AX8" s="3" t="s">
        <v>282</v>
      </c>
      <c r="AY8" s="19" t="s">
        <v>114</v>
      </c>
      <c r="AZ8" s="19" t="s">
        <v>114</v>
      </c>
      <c r="BA8" s="19" t="s">
        <v>114</v>
      </c>
      <c r="BB8" s="19" t="s">
        <v>114</v>
      </c>
      <c r="BC8" s="19" t="s">
        <v>114</v>
      </c>
      <c r="BD8" s="19" t="s">
        <v>114</v>
      </c>
      <c r="BE8" s="19" t="s">
        <v>114</v>
      </c>
      <c r="BF8" s="19" t="s">
        <v>114</v>
      </c>
      <c r="BG8" s="19" t="s">
        <v>114</v>
      </c>
      <c r="BH8" s="19" t="s">
        <v>114</v>
      </c>
      <c r="BI8" s="19" t="s">
        <v>114</v>
      </c>
      <c r="BJ8" s="19" t="s">
        <v>114</v>
      </c>
      <c r="BK8" s="19" t="s">
        <v>114</v>
      </c>
      <c r="BL8" s="19" t="s">
        <v>114</v>
      </c>
      <c r="BM8" s="19" t="s">
        <v>114</v>
      </c>
      <c r="BN8" s="19" t="s">
        <v>114</v>
      </c>
      <c r="BO8" s="19" t="s">
        <v>114</v>
      </c>
      <c r="BP8" s="19" t="s">
        <v>114</v>
      </c>
      <c r="BQ8" s="19" t="s">
        <v>114</v>
      </c>
      <c r="BR8" s="19" t="s">
        <v>114</v>
      </c>
      <c r="BS8" s="19" t="s">
        <v>114</v>
      </c>
      <c r="BT8" s="19" t="s">
        <v>114</v>
      </c>
      <c r="BU8" s="19" t="s">
        <v>114</v>
      </c>
      <c r="BV8" s="19" t="s">
        <v>114</v>
      </c>
      <c r="BW8" s="19" t="s">
        <v>114</v>
      </c>
      <c r="BX8" s="19" t="s">
        <v>114</v>
      </c>
      <c r="BY8" s="19" t="s">
        <v>114</v>
      </c>
      <c r="BZ8" s="21" t="s">
        <v>114</v>
      </c>
      <c r="CA8" s="21" t="s">
        <v>114</v>
      </c>
      <c r="CB8" s="21" t="s">
        <v>114</v>
      </c>
      <c r="CC8" s="21" t="s">
        <v>114</v>
      </c>
      <c r="CD8" s="21" t="s">
        <v>114</v>
      </c>
      <c r="CE8" s="21" t="s">
        <v>114</v>
      </c>
      <c r="CF8" s="19" t="s">
        <v>114</v>
      </c>
      <c r="CG8" s="19" t="s">
        <v>114</v>
      </c>
      <c r="CH8" s="19" t="s">
        <v>114</v>
      </c>
      <c r="CI8" s="21" t="s">
        <v>114</v>
      </c>
      <c r="CJ8" s="21" t="s">
        <v>114</v>
      </c>
      <c r="CK8" s="21" t="s">
        <v>114</v>
      </c>
      <c r="CL8" s="21" t="s">
        <v>114</v>
      </c>
      <c r="CM8" s="21" t="s">
        <v>114</v>
      </c>
      <c r="CN8" s="21" t="s">
        <v>114</v>
      </c>
      <c r="CO8" s="21" t="s">
        <v>114</v>
      </c>
      <c r="CP8" s="21" t="s">
        <v>114</v>
      </c>
      <c r="CQ8" s="21" t="s">
        <v>114</v>
      </c>
      <c r="CR8" s="21" t="s">
        <v>114</v>
      </c>
      <c r="CS8" s="21" t="s">
        <v>114</v>
      </c>
      <c r="CT8" s="21" t="s">
        <v>114</v>
      </c>
      <c r="CU8" s="21" t="s">
        <v>114</v>
      </c>
      <c r="CV8" s="21" t="s">
        <v>114</v>
      </c>
      <c r="CW8" s="21" t="s">
        <v>114</v>
      </c>
      <c r="CX8" s="21">
        <v>98426</v>
      </c>
      <c r="CY8" s="21" t="s">
        <v>114</v>
      </c>
      <c r="CZ8" s="21" t="s">
        <v>114</v>
      </c>
      <c r="DA8" s="21" t="s">
        <v>114</v>
      </c>
      <c r="DB8" s="21" t="s">
        <v>114</v>
      </c>
      <c r="DC8" s="21" t="s">
        <v>114</v>
      </c>
      <c r="DD8" s="21" t="s">
        <v>114</v>
      </c>
      <c r="DE8" s="21" t="s">
        <v>114</v>
      </c>
      <c r="DF8" s="19" t="s">
        <v>114</v>
      </c>
      <c r="DG8" s="19" t="s">
        <v>114</v>
      </c>
      <c r="DH8" s="19" t="s">
        <v>114</v>
      </c>
      <c r="DI8" s="19" t="s">
        <v>114</v>
      </c>
      <c r="DJ8" s="19" t="s">
        <v>114</v>
      </c>
      <c r="DK8" s="19" t="s">
        <v>114</v>
      </c>
      <c r="DL8" s="19" t="s">
        <v>114</v>
      </c>
      <c r="DM8" s="19" t="s">
        <v>114</v>
      </c>
      <c r="DN8" s="19" t="s">
        <v>114</v>
      </c>
      <c r="DO8" s="19" t="s">
        <v>114</v>
      </c>
    </row>
    <row r="9" spans="1:119" hidden="1" x14ac:dyDescent="0.45">
      <c r="A9" s="2" t="s">
        <v>694</v>
      </c>
      <c r="B9" t="s">
        <v>695</v>
      </c>
      <c r="C9" s="2">
        <v>334</v>
      </c>
      <c r="D9" s="6">
        <v>129</v>
      </c>
      <c r="E9" s="2" t="s">
        <v>1666</v>
      </c>
      <c r="F9" t="s">
        <v>696</v>
      </c>
      <c r="H9" s="2" t="s">
        <v>697</v>
      </c>
      <c r="I9" s="2" t="s">
        <v>698</v>
      </c>
      <c r="J9" s="2">
        <v>9</v>
      </c>
      <c r="K9" t="s">
        <v>153</v>
      </c>
      <c r="L9" s="2">
        <v>53</v>
      </c>
      <c r="M9" t="s">
        <v>215</v>
      </c>
      <c r="P9" s="4" t="s">
        <v>153</v>
      </c>
      <c r="Q9" s="2" t="s">
        <v>155</v>
      </c>
      <c r="R9" s="2">
        <v>9</v>
      </c>
      <c r="S9" s="4" t="s">
        <v>153</v>
      </c>
      <c r="T9" s="4">
        <v>53</v>
      </c>
      <c r="U9" s="4" t="s">
        <v>215</v>
      </c>
      <c r="V9" t="e">
        <v>#N/A</v>
      </c>
      <c r="W9" t="e">
        <v>#N/A</v>
      </c>
      <c r="X9" t="s">
        <v>2440</v>
      </c>
      <c r="Y9" t="s">
        <v>215</v>
      </c>
      <c r="Z9" t="s">
        <v>2475</v>
      </c>
      <c r="AA9" s="3" t="s">
        <v>215</v>
      </c>
      <c r="AB9" s="3" t="s">
        <v>2871</v>
      </c>
      <c r="AC9" s="2" t="s">
        <v>1888</v>
      </c>
      <c r="AD9" s="2" t="s">
        <v>1888</v>
      </c>
      <c r="AE9" t="s">
        <v>131</v>
      </c>
      <c r="AF9" t="s">
        <v>1886</v>
      </c>
      <c r="AG9" t="s">
        <v>1887</v>
      </c>
      <c r="AH9" t="s">
        <v>105</v>
      </c>
      <c r="AI9" s="3" t="s">
        <v>105</v>
      </c>
      <c r="AJ9" s="3" t="s">
        <v>106</v>
      </c>
      <c r="AK9" s="3" t="s">
        <v>107</v>
      </c>
      <c r="AL9" s="5" t="s">
        <v>217</v>
      </c>
      <c r="AM9" s="5" t="s">
        <v>109</v>
      </c>
      <c r="AO9" s="3" t="s">
        <v>119</v>
      </c>
      <c r="AP9" s="3" t="s">
        <v>120</v>
      </c>
      <c r="AQ9" s="3" t="s">
        <v>111</v>
      </c>
      <c r="AR9" s="3" t="s">
        <v>112</v>
      </c>
      <c r="AS9" s="3" t="s">
        <v>112</v>
      </c>
      <c r="AT9" s="3" t="s">
        <v>113</v>
      </c>
      <c r="AU9" s="3" t="s">
        <v>2303</v>
      </c>
      <c r="AV9" s="3" t="s">
        <v>2302</v>
      </c>
      <c r="AW9" s="3" t="s">
        <v>2301</v>
      </c>
      <c r="AX9" s="3" t="s">
        <v>282</v>
      </c>
      <c r="AY9" s="19" t="s">
        <v>114</v>
      </c>
      <c r="AZ9" s="19" t="s">
        <v>114</v>
      </c>
      <c r="BA9" s="19" t="s">
        <v>114</v>
      </c>
      <c r="BB9" s="19" t="s">
        <v>114</v>
      </c>
      <c r="BC9" s="19" t="s">
        <v>114</v>
      </c>
      <c r="BD9" s="19" t="s">
        <v>114</v>
      </c>
      <c r="BE9" s="19" t="s">
        <v>114</v>
      </c>
      <c r="BF9" s="19" t="s">
        <v>114</v>
      </c>
      <c r="BG9" s="19" t="s">
        <v>114</v>
      </c>
      <c r="BH9" s="19" t="s">
        <v>114</v>
      </c>
      <c r="BI9" s="19" t="s">
        <v>114</v>
      </c>
      <c r="BJ9" s="19" t="s">
        <v>114</v>
      </c>
      <c r="BK9" s="19" t="s">
        <v>114</v>
      </c>
      <c r="BL9" s="19" t="s">
        <v>114</v>
      </c>
      <c r="BM9" s="19" t="s">
        <v>114</v>
      </c>
      <c r="BN9" s="19" t="s">
        <v>114</v>
      </c>
      <c r="BO9" s="19" t="s">
        <v>114</v>
      </c>
      <c r="BP9" s="19" t="s">
        <v>114</v>
      </c>
      <c r="BQ9" s="19" t="s">
        <v>114</v>
      </c>
      <c r="BR9" s="19" t="s">
        <v>114</v>
      </c>
      <c r="BS9" s="19" t="s">
        <v>114</v>
      </c>
      <c r="BT9" s="19" t="s">
        <v>114</v>
      </c>
      <c r="BU9" s="19" t="s">
        <v>114</v>
      </c>
      <c r="BV9" s="19" t="s">
        <v>114</v>
      </c>
      <c r="BW9" s="19" t="s">
        <v>114</v>
      </c>
      <c r="BX9" s="19" t="s">
        <v>114</v>
      </c>
      <c r="BY9" s="19" t="s">
        <v>114</v>
      </c>
      <c r="BZ9" s="21" t="s">
        <v>114</v>
      </c>
      <c r="CA9" s="21" t="s">
        <v>114</v>
      </c>
      <c r="CB9" s="21" t="s">
        <v>114</v>
      </c>
      <c r="CC9" s="21" t="s">
        <v>114</v>
      </c>
      <c r="CD9" s="21" t="s">
        <v>114</v>
      </c>
      <c r="CE9" s="21" t="s">
        <v>114</v>
      </c>
      <c r="CF9" s="19" t="s">
        <v>114</v>
      </c>
      <c r="CG9" s="19" t="s">
        <v>114</v>
      </c>
      <c r="CH9" s="19" t="s">
        <v>114</v>
      </c>
      <c r="CI9" s="21" t="s">
        <v>114</v>
      </c>
      <c r="CJ9" s="21" t="s">
        <v>114</v>
      </c>
      <c r="CK9" s="21" t="s">
        <v>114</v>
      </c>
      <c r="CL9" s="21" t="s">
        <v>114</v>
      </c>
      <c r="CM9" s="21" t="s">
        <v>114</v>
      </c>
      <c r="CN9" s="21" t="s">
        <v>114</v>
      </c>
      <c r="CO9" s="21" t="s">
        <v>114</v>
      </c>
      <c r="CP9" s="21" t="s">
        <v>114</v>
      </c>
      <c r="CQ9" s="21" t="s">
        <v>114</v>
      </c>
      <c r="CR9" s="21" t="s">
        <v>114</v>
      </c>
      <c r="CS9" s="21" t="s">
        <v>114</v>
      </c>
      <c r="CT9" s="21" t="s">
        <v>114</v>
      </c>
      <c r="CU9" s="21" t="s">
        <v>114</v>
      </c>
      <c r="CV9" s="21" t="s">
        <v>114</v>
      </c>
      <c r="CW9" s="21" t="s">
        <v>114</v>
      </c>
      <c r="CX9" s="21">
        <v>98426</v>
      </c>
      <c r="CY9" s="21" t="s">
        <v>114</v>
      </c>
      <c r="CZ9" s="21" t="s">
        <v>114</v>
      </c>
      <c r="DA9" s="21" t="s">
        <v>114</v>
      </c>
      <c r="DB9" s="21" t="s">
        <v>114</v>
      </c>
      <c r="DC9" s="21" t="s">
        <v>114</v>
      </c>
      <c r="DD9" s="21" t="s">
        <v>114</v>
      </c>
      <c r="DE9" s="21" t="s">
        <v>114</v>
      </c>
      <c r="DF9" s="19" t="s">
        <v>114</v>
      </c>
      <c r="DG9" s="19" t="s">
        <v>114</v>
      </c>
      <c r="DH9" s="19" t="s">
        <v>114</v>
      </c>
      <c r="DI9" s="19" t="s">
        <v>114</v>
      </c>
      <c r="DJ9" s="19" t="s">
        <v>114</v>
      </c>
      <c r="DK9" s="19" t="s">
        <v>114</v>
      </c>
      <c r="DL9" s="19" t="s">
        <v>114</v>
      </c>
      <c r="DM9" s="19" t="s">
        <v>114</v>
      </c>
      <c r="DN9" s="19" t="s">
        <v>114</v>
      </c>
      <c r="DO9" s="19" t="s">
        <v>114</v>
      </c>
    </row>
    <row r="10" spans="1:119" hidden="1" x14ac:dyDescent="0.45">
      <c r="A10" s="2" t="s">
        <v>970</v>
      </c>
      <c r="B10" t="s">
        <v>971</v>
      </c>
      <c r="C10" s="2">
        <v>554</v>
      </c>
      <c r="D10" s="6">
        <v>814</v>
      </c>
      <c r="E10" s="2" t="s">
        <v>972</v>
      </c>
      <c r="F10" t="s">
        <v>972</v>
      </c>
      <c r="G10" t="s">
        <v>972</v>
      </c>
      <c r="H10" s="2" t="s">
        <v>973</v>
      </c>
      <c r="I10" s="2" t="s">
        <v>974</v>
      </c>
      <c r="J10" s="2">
        <v>9</v>
      </c>
      <c r="K10" t="s">
        <v>153</v>
      </c>
      <c r="L10" s="2">
        <v>53</v>
      </c>
      <c r="M10" t="s">
        <v>215</v>
      </c>
      <c r="P10" s="2" t="s">
        <v>153</v>
      </c>
      <c r="Q10" s="2" t="s">
        <v>155</v>
      </c>
      <c r="R10" s="2">
        <v>9</v>
      </c>
      <c r="S10" s="4" t="s">
        <v>153</v>
      </c>
      <c r="T10" s="4">
        <v>53</v>
      </c>
      <c r="U10" s="4" t="s">
        <v>215</v>
      </c>
      <c r="V10" t="s">
        <v>2459</v>
      </c>
      <c r="W10" t="s">
        <v>2459</v>
      </c>
      <c r="X10" t="s">
        <v>2441</v>
      </c>
      <c r="Y10" t="s">
        <v>215</v>
      </c>
      <c r="Z10" t="s">
        <v>2475</v>
      </c>
      <c r="AA10" s="3" t="s">
        <v>215</v>
      </c>
      <c r="AB10" s="3" t="s">
        <v>2871</v>
      </c>
      <c r="AC10" s="2" t="s">
        <v>130</v>
      </c>
      <c r="AD10" s="4" t="s">
        <v>1891</v>
      </c>
      <c r="AE10" t="s">
        <v>131</v>
      </c>
      <c r="AF10" t="s">
        <v>1886</v>
      </c>
      <c r="AG10" t="s">
        <v>1887</v>
      </c>
      <c r="AH10" s="3" t="s">
        <v>18</v>
      </c>
      <c r="AI10" s="3" t="s">
        <v>216</v>
      </c>
      <c r="AJ10" t="s">
        <v>20</v>
      </c>
      <c r="AK10" s="3" t="s">
        <v>107</v>
      </c>
      <c r="AL10" s="5" t="s">
        <v>458</v>
      </c>
      <c r="AM10" s="5" t="s">
        <v>971</v>
      </c>
      <c r="AN10" t="s">
        <v>110</v>
      </c>
      <c r="AO10" s="3" t="s">
        <v>119</v>
      </c>
      <c r="AP10" s="3" t="s">
        <v>120</v>
      </c>
      <c r="AQ10" s="3" t="s">
        <v>111</v>
      </c>
      <c r="AR10" s="3" t="s">
        <v>112</v>
      </c>
      <c r="AS10" s="3" t="s">
        <v>112</v>
      </c>
      <c r="AT10" s="3" t="s">
        <v>113</v>
      </c>
      <c r="AU10" s="3" t="s">
        <v>2303</v>
      </c>
      <c r="AV10" s="3" t="s">
        <v>2302</v>
      </c>
      <c r="AW10" s="3" t="s">
        <v>2301</v>
      </c>
      <c r="AX10" s="3" t="s">
        <v>2006</v>
      </c>
      <c r="AY10" s="19" t="s">
        <v>114</v>
      </c>
      <c r="AZ10" s="19" t="s">
        <v>114</v>
      </c>
      <c r="BA10" s="19" t="s">
        <v>114</v>
      </c>
      <c r="BB10" s="19" t="s">
        <v>114</v>
      </c>
      <c r="BC10" s="19" t="s">
        <v>114</v>
      </c>
      <c r="BD10" s="19" t="s">
        <v>114</v>
      </c>
      <c r="BE10" s="19" t="s">
        <v>114</v>
      </c>
      <c r="BF10" s="19" t="s">
        <v>114</v>
      </c>
      <c r="BG10" s="19" t="s">
        <v>114</v>
      </c>
      <c r="BH10" s="19" t="s">
        <v>114</v>
      </c>
      <c r="BI10" s="19" t="s">
        <v>114</v>
      </c>
      <c r="BJ10" s="19" t="s">
        <v>114</v>
      </c>
      <c r="BK10" s="19" t="s">
        <v>114</v>
      </c>
      <c r="BL10" s="19" t="s">
        <v>114</v>
      </c>
      <c r="BM10" s="19" t="s">
        <v>114</v>
      </c>
      <c r="BN10" s="19" t="s">
        <v>114</v>
      </c>
      <c r="BO10" s="19" t="s">
        <v>114</v>
      </c>
      <c r="BP10" s="19" t="s">
        <v>114</v>
      </c>
      <c r="BQ10" s="19" t="s">
        <v>114</v>
      </c>
      <c r="BR10" s="19" t="s">
        <v>114</v>
      </c>
      <c r="BS10" s="19" t="s">
        <v>114</v>
      </c>
      <c r="BT10" s="19" t="s">
        <v>114</v>
      </c>
      <c r="BU10" s="19" t="s">
        <v>114</v>
      </c>
      <c r="BV10" s="19" t="s">
        <v>114</v>
      </c>
      <c r="BW10" s="19" t="s">
        <v>114</v>
      </c>
      <c r="BX10" s="19" t="s">
        <v>114</v>
      </c>
      <c r="BY10" s="19" t="s">
        <v>114</v>
      </c>
      <c r="BZ10" s="21" t="s">
        <v>114</v>
      </c>
      <c r="CA10" s="21" t="s">
        <v>114</v>
      </c>
      <c r="CB10" s="21" t="s">
        <v>114</v>
      </c>
      <c r="CC10" s="21" t="s">
        <v>114</v>
      </c>
      <c r="CD10" s="21" t="s">
        <v>114</v>
      </c>
      <c r="CE10" s="21" t="s">
        <v>114</v>
      </c>
      <c r="CF10" s="19" t="s">
        <v>114</v>
      </c>
      <c r="CG10" s="19" t="s">
        <v>114</v>
      </c>
      <c r="CH10" s="19" t="s">
        <v>114</v>
      </c>
      <c r="CI10" s="21" t="s">
        <v>114</v>
      </c>
      <c r="CJ10" s="21">
        <v>98400</v>
      </c>
      <c r="CK10" s="21" t="s">
        <v>114</v>
      </c>
      <c r="CL10" s="21" t="s">
        <v>114</v>
      </c>
      <c r="CM10" s="21" t="s">
        <v>114</v>
      </c>
      <c r="CN10" s="21" t="s">
        <v>114</v>
      </c>
      <c r="CO10" s="21" t="s">
        <v>114</v>
      </c>
      <c r="CP10" s="21" t="s">
        <v>114</v>
      </c>
      <c r="CQ10" s="21" t="s">
        <v>114</v>
      </c>
      <c r="CR10" s="21">
        <v>98418</v>
      </c>
      <c r="CS10" s="21" t="s">
        <v>114</v>
      </c>
      <c r="CT10" s="21" t="s">
        <v>114</v>
      </c>
      <c r="CU10" s="21" t="s">
        <v>114</v>
      </c>
      <c r="CV10" s="21" t="s">
        <v>114</v>
      </c>
      <c r="CW10" s="21" t="s">
        <v>114</v>
      </c>
      <c r="CX10" s="21" t="s">
        <v>114</v>
      </c>
      <c r="CY10" s="21" t="s">
        <v>114</v>
      </c>
      <c r="CZ10" s="21" t="s">
        <v>114</v>
      </c>
      <c r="DA10" s="21" t="s">
        <v>114</v>
      </c>
      <c r="DB10" s="21" t="s">
        <v>114</v>
      </c>
      <c r="DC10" s="21">
        <v>98436</v>
      </c>
      <c r="DD10" s="21" t="s">
        <v>114</v>
      </c>
      <c r="DE10" s="21" t="s">
        <v>114</v>
      </c>
      <c r="DF10" s="19" t="s">
        <v>114</v>
      </c>
      <c r="DG10" s="19" t="s">
        <v>114</v>
      </c>
      <c r="DH10" s="19" t="s">
        <v>114</v>
      </c>
      <c r="DI10" s="19" t="s">
        <v>114</v>
      </c>
      <c r="DJ10" s="19" t="s">
        <v>114</v>
      </c>
      <c r="DK10" s="19" t="s">
        <v>114</v>
      </c>
      <c r="DL10" s="19" t="s">
        <v>114</v>
      </c>
      <c r="DM10" s="19" t="s">
        <v>114</v>
      </c>
      <c r="DN10" s="19" t="s">
        <v>114</v>
      </c>
      <c r="DO10" s="19" t="s">
        <v>114</v>
      </c>
    </row>
    <row r="11" spans="1:119" hidden="1" x14ac:dyDescent="0.45">
      <c r="A11" s="2" t="s">
        <v>993</v>
      </c>
      <c r="B11" t="s">
        <v>994</v>
      </c>
      <c r="C11" s="2">
        <v>574</v>
      </c>
      <c r="D11" s="6">
        <v>816</v>
      </c>
      <c r="E11" s="2" t="s">
        <v>1732</v>
      </c>
      <c r="F11" t="s">
        <v>995</v>
      </c>
      <c r="H11" s="2" t="s">
        <v>996</v>
      </c>
      <c r="I11" s="2" t="s">
        <v>997</v>
      </c>
      <c r="J11" s="2">
        <v>9</v>
      </c>
      <c r="K11" t="s">
        <v>153</v>
      </c>
      <c r="L11" s="2">
        <v>53</v>
      </c>
      <c r="M11" t="s">
        <v>215</v>
      </c>
      <c r="P11" s="2" t="s">
        <v>153</v>
      </c>
      <c r="Q11" s="2" t="s">
        <v>155</v>
      </c>
      <c r="R11" s="2">
        <v>9</v>
      </c>
      <c r="S11" s="4" t="s">
        <v>153</v>
      </c>
      <c r="T11" s="4">
        <v>53</v>
      </c>
      <c r="U11" s="4" t="s">
        <v>215</v>
      </c>
      <c r="V11" t="s">
        <v>2458</v>
      </c>
      <c r="W11" t="s">
        <v>2458</v>
      </c>
      <c r="X11" t="s">
        <v>2440</v>
      </c>
      <c r="Y11" t="s">
        <v>215</v>
      </c>
      <c r="Z11" t="s">
        <v>2475</v>
      </c>
      <c r="AA11" s="3" t="s">
        <v>215</v>
      </c>
      <c r="AB11" s="3" t="s">
        <v>2871</v>
      </c>
      <c r="AC11" s="2" t="s">
        <v>1888</v>
      </c>
      <c r="AD11" s="2" t="s">
        <v>1888</v>
      </c>
      <c r="AE11" t="s">
        <v>131</v>
      </c>
      <c r="AF11" t="s">
        <v>1886</v>
      </c>
      <c r="AG11" t="s">
        <v>1887</v>
      </c>
      <c r="AH11" t="s">
        <v>105</v>
      </c>
      <c r="AI11" s="3" t="s">
        <v>105</v>
      </c>
      <c r="AJ11" s="3" t="s">
        <v>106</v>
      </c>
      <c r="AK11" s="3" t="s">
        <v>107</v>
      </c>
      <c r="AL11" s="5" t="s">
        <v>217</v>
      </c>
      <c r="AM11" s="5" t="s">
        <v>109</v>
      </c>
      <c r="AO11" s="3" t="s">
        <v>119</v>
      </c>
      <c r="AP11" s="3" t="s">
        <v>120</v>
      </c>
      <c r="AQ11" s="3" t="s">
        <v>111</v>
      </c>
      <c r="AR11" s="3" t="s">
        <v>112</v>
      </c>
      <c r="AS11" s="3" t="s">
        <v>112</v>
      </c>
      <c r="AT11" s="3" t="s">
        <v>113</v>
      </c>
      <c r="AU11" s="3" t="s">
        <v>2303</v>
      </c>
      <c r="AV11" s="3" t="s">
        <v>2302</v>
      </c>
      <c r="AW11" s="3" t="s">
        <v>2301</v>
      </c>
      <c r="AX11" s="3" t="s">
        <v>282</v>
      </c>
      <c r="AY11" s="19" t="s">
        <v>114</v>
      </c>
      <c r="AZ11" s="19" t="s">
        <v>114</v>
      </c>
      <c r="BA11" s="19" t="s">
        <v>114</v>
      </c>
      <c r="BB11" s="19" t="s">
        <v>114</v>
      </c>
      <c r="BC11" s="19" t="s">
        <v>114</v>
      </c>
      <c r="BD11" s="19" t="s">
        <v>114</v>
      </c>
      <c r="BE11" s="19" t="s">
        <v>114</v>
      </c>
      <c r="BF11" s="19" t="s">
        <v>114</v>
      </c>
      <c r="BG11" s="19" t="s">
        <v>114</v>
      </c>
      <c r="BH11" s="19" t="s">
        <v>114</v>
      </c>
      <c r="BI11" s="19" t="s">
        <v>114</v>
      </c>
      <c r="BJ11" s="19" t="s">
        <v>114</v>
      </c>
      <c r="BK11" s="19" t="s">
        <v>114</v>
      </c>
      <c r="BL11" s="19" t="s">
        <v>114</v>
      </c>
      <c r="BM11" s="19" t="s">
        <v>114</v>
      </c>
      <c r="BN11" s="19" t="s">
        <v>114</v>
      </c>
      <c r="BO11" s="19" t="s">
        <v>114</v>
      </c>
      <c r="BP11" s="19" t="s">
        <v>114</v>
      </c>
      <c r="BQ11" s="19" t="s">
        <v>114</v>
      </c>
      <c r="BR11" s="19" t="s">
        <v>114</v>
      </c>
      <c r="BS11" s="19" t="s">
        <v>114</v>
      </c>
      <c r="BT11" s="19" t="s">
        <v>114</v>
      </c>
      <c r="BU11" s="19" t="s">
        <v>114</v>
      </c>
      <c r="BV11" s="19" t="s">
        <v>114</v>
      </c>
      <c r="BW11" s="19" t="s">
        <v>114</v>
      </c>
      <c r="BX11" s="19" t="s">
        <v>114</v>
      </c>
      <c r="BY11" s="19" t="s">
        <v>114</v>
      </c>
      <c r="BZ11" s="21" t="s">
        <v>114</v>
      </c>
      <c r="CA11" s="21" t="s">
        <v>114</v>
      </c>
      <c r="CB11" s="21" t="s">
        <v>114</v>
      </c>
      <c r="CC11" s="21" t="s">
        <v>114</v>
      </c>
      <c r="CD11" s="21" t="s">
        <v>114</v>
      </c>
      <c r="CE11" s="21" t="s">
        <v>114</v>
      </c>
      <c r="CF11" s="19" t="s">
        <v>114</v>
      </c>
      <c r="CG11" s="19" t="s">
        <v>114</v>
      </c>
      <c r="CH11" s="19" t="s">
        <v>114</v>
      </c>
      <c r="CI11" s="21" t="s">
        <v>114</v>
      </c>
      <c r="CJ11" s="21" t="s">
        <v>114</v>
      </c>
      <c r="CK11" s="21" t="s">
        <v>114</v>
      </c>
      <c r="CL11" s="21" t="s">
        <v>114</v>
      </c>
      <c r="CM11" s="21" t="s">
        <v>114</v>
      </c>
      <c r="CN11" s="21" t="s">
        <v>114</v>
      </c>
      <c r="CO11" s="21" t="s">
        <v>114</v>
      </c>
      <c r="CP11" s="21" t="s">
        <v>114</v>
      </c>
      <c r="CQ11" s="21" t="s">
        <v>114</v>
      </c>
      <c r="CR11" s="21" t="s">
        <v>114</v>
      </c>
      <c r="CS11" s="21" t="s">
        <v>114</v>
      </c>
      <c r="CT11" s="21" t="s">
        <v>114</v>
      </c>
      <c r="CU11" s="21" t="s">
        <v>114</v>
      </c>
      <c r="CV11" s="21" t="s">
        <v>114</v>
      </c>
      <c r="CW11" s="21" t="s">
        <v>114</v>
      </c>
      <c r="CX11" s="21">
        <v>98426</v>
      </c>
      <c r="CY11" s="21" t="s">
        <v>114</v>
      </c>
      <c r="CZ11" s="21" t="s">
        <v>114</v>
      </c>
      <c r="DA11" s="21" t="s">
        <v>114</v>
      </c>
      <c r="DB11" s="21" t="s">
        <v>114</v>
      </c>
      <c r="DC11" s="21" t="s">
        <v>114</v>
      </c>
      <c r="DD11" s="21" t="s">
        <v>114</v>
      </c>
      <c r="DE11" s="21" t="s">
        <v>114</v>
      </c>
      <c r="DF11" s="19" t="s">
        <v>114</v>
      </c>
      <c r="DG11" s="19" t="s">
        <v>114</v>
      </c>
      <c r="DH11" s="19" t="s">
        <v>114</v>
      </c>
      <c r="DI11" s="19" t="s">
        <v>114</v>
      </c>
      <c r="DJ11" s="19" t="s">
        <v>114</v>
      </c>
      <c r="DK11" s="19" t="s">
        <v>114</v>
      </c>
      <c r="DL11" s="19" t="s">
        <v>114</v>
      </c>
      <c r="DM11" s="19" t="s">
        <v>114</v>
      </c>
      <c r="DN11" s="19" t="s">
        <v>114</v>
      </c>
      <c r="DO11" s="19" t="s">
        <v>114</v>
      </c>
    </row>
    <row r="12" spans="1:119" hidden="1" x14ac:dyDescent="0.45">
      <c r="A12" s="2" t="s">
        <v>317</v>
      </c>
      <c r="B12" t="s">
        <v>318</v>
      </c>
      <c r="C12" s="2">
        <v>76</v>
      </c>
      <c r="D12" s="6">
        <v>903</v>
      </c>
      <c r="E12" s="2" t="s">
        <v>319</v>
      </c>
      <c r="F12" t="s">
        <v>319</v>
      </c>
      <c r="G12" t="s">
        <v>2033</v>
      </c>
      <c r="H12" s="2" t="s">
        <v>320</v>
      </c>
      <c r="I12" s="2" t="s">
        <v>321</v>
      </c>
      <c r="J12" s="2">
        <v>19</v>
      </c>
      <c r="K12" t="s">
        <v>157</v>
      </c>
      <c r="L12" s="2">
        <v>419</v>
      </c>
      <c r="M12" t="s">
        <v>174</v>
      </c>
      <c r="N12">
        <v>5</v>
      </c>
      <c r="O12" t="s">
        <v>196</v>
      </c>
      <c r="P12" s="2" t="s">
        <v>196</v>
      </c>
      <c r="Q12" s="2" t="s">
        <v>177</v>
      </c>
      <c r="R12" s="2">
        <v>419</v>
      </c>
      <c r="S12" s="2" t="s">
        <v>174</v>
      </c>
      <c r="T12" s="2">
        <v>419</v>
      </c>
      <c r="U12" s="4" t="s">
        <v>174</v>
      </c>
      <c r="V12" t="s">
        <v>1949</v>
      </c>
      <c r="W12" t="s">
        <v>1949</v>
      </c>
      <c r="X12" t="s">
        <v>2440</v>
      </c>
      <c r="Y12" t="s">
        <v>196</v>
      </c>
      <c r="Z12" t="s">
        <v>319</v>
      </c>
      <c r="AA12" s="3" t="s">
        <v>319</v>
      </c>
      <c r="AB12" s="3" t="s">
        <v>318</v>
      </c>
      <c r="AC12" s="2" t="s">
        <v>138</v>
      </c>
      <c r="AD12" s="4" t="s">
        <v>1891</v>
      </c>
      <c r="AE12" t="s">
        <v>104</v>
      </c>
      <c r="AF12" t="s">
        <v>1885</v>
      </c>
      <c r="AG12" t="s">
        <v>1884</v>
      </c>
      <c r="AH12" t="s">
        <v>105</v>
      </c>
      <c r="AI12" s="3" t="s">
        <v>178</v>
      </c>
      <c r="AJ12" s="3" t="s">
        <v>106</v>
      </c>
      <c r="AK12" s="3" t="s">
        <v>107</v>
      </c>
      <c r="AL12" s="5" t="s">
        <v>322</v>
      </c>
      <c r="AM12" s="5" t="s">
        <v>318</v>
      </c>
      <c r="AO12" s="3" t="s">
        <v>119</v>
      </c>
      <c r="AP12" s="3" t="s">
        <v>120</v>
      </c>
      <c r="AQ12" s="3" t="s">
        <v>111</v>
      </c>
      <c r="AR12" s="3" t="s">
        <v>112</v>
      </c>
      <c r="AS12" s="3" t="s">
        <v>112</v>
      </c>
      <c r="AT12" s="3" t="s">
        <v>113</v>
      </c>
      <c r="AU12" s="3" t="s">
        <v>2303</v>
      </c>
      <c r="AV12" s="3" t="s">
        <v>2302</v>
      </c>
      <c r="AW12" s="3" t="s">
        <v>2300</v>
      </c>
      <c r="AX12" s="3" t="s">
        <v>2006</v>
      </c>
      <c r="AY12" s="19" t="s">
        <v>114</v>
      </c>
      <c r="AZ12" s="19" t="s">
        <v>114</v>
      </c>
      <c r="BA12" s="19" t="s">
        <v>114</v>
      </c>
      <c r="BB12" s="19" t="s">
        <v>114</v>
      </c>
      <c r="BC12" s="19" t="s">
        <v>114</v>
      </c>
      <c r="BD12" s="19" t="s">
        <v>114</v>
      </c>
      <c r="BE12" s="19" t="s">
        <v>114</v>
      </c>
      <c r="BF12" s="19" t="s">
        <v>114</v>
      </c>
      <c r="BG12" s="19" t="s">
        <v>114</v>
      </c>
      <c r="BH12" s="19" t="s">
        <v>114</v>
      </c>
      <c r="BI12" s="19" t="s">
        <v>114</v>
      </c>
      <c r="BJ12" s="19" t="s">
        <v>114</v>
      </c>
      <c r="BK12" s="19" t="s">
        <v>114</v>
      </c>
      <c r="BL12" s="19" t="s">
        <v>114</v>
      </c>
      <c r="BM12" s="19" t="s">
        <v>114</v>
      </c>
      <c r="BN12" s="19" t="s">
        <v>114</v>
      </c>
      <c r="BO12" s="19" t="s">
        <v>114</v>
      </c>
      <c r="BP12" s="19" t="s">
        <v>114</v>
      </c>
      <c r="BQ12" s="19" t="s">
        <v>114</v>
      </c>
      <c r="BR12" s="19" t="s">
        <v>114</v>
      </c>
      <c r="BS12" s="19" t="s">
        <v>114</v>
      </c>
      <c r="BT12" s="19" t="s">
        <v>114</v>
      </c>
      <c r="BU12" s="19" t="s">
        <v>114</v>
      </c>
      <c r="BV12" s="19" t="s">
        <v>114</v>
      </c>
      <c r="BW12" s="19" t="s">
        <v>114</v>
      </c>
      <c r="BX12" s="19" t="s">
        <v>114</v>
      </c>
      <c r="BY12" s="19" t="s">
        <v>114</v>
      </c>
      <c r="BZ12" s="21" t="s">
        <v>114</v>
      </c>
      <c r="CA12" s="21" t="s">
        <v>114</v>
      </c>
      <c r="CB12" s="21" t="s">
        <v>114</v>
      </c>
      <c r="CC12" s="21" t="s">
        <v>114</v>
      </c>
      <c r="CD12" s="21" t="s">
        <v>114</v>
      </c>
      <c r="CE12" s="21" t="s">
        <v>114</v>
      </c>
      <c r="CF12" s="19" t="s">
        <v>114</v>
      </c>
      <c r="CG12" s="19">
        <v>98300</v>
      </c>
      <c r="CH12" s="19" t="s">
        <v>114</v>
      </c>
      <c r="CI12" s="21">
        <v>98302</v>
      </c>
      <c r="CJ12" s="21" t="s">
        <v>114</v>
      </c>
      <c r="CK12" s="21" t="s">
        <v>114</v>
      </c>
      <c r="CL12" s="21" t="s">
        <v>114</v>
      </c>
      <c r="CM12" s="21" t="s">
        <v>114</v>
      </c>
      <c r="CN12" s="21" t="s">
        <v>114</v>
      </c>
      <c r="CO12" s="21" t="s">
        <v>114</v>
      </c>
      <c r="CP12" s="21" t="s">
        <v>114</v>
      </c>
      <c r="CQ12" s="21" t="s">
        <v>114</v>
      </c>
      <c r="CR12" s="21" t="s">
        <v>114</v>
      </c>
      <c r="CS12" s="21" t="s">
        <v>114</v>
      </c>
      <c r="CT12" s="21" t="s">
        <v>114</v>
      </c>
      <c r="CU12" s="21" t="s">
        <v>114</v>
      </c>
      <c r="CV12" s="21">
        <v>98424</v>
      </c>
      <c r="CW12" s="21" t="s">
        <v>114</v>
      </c>
      <c r="CX12" s="21" t="s">
        <v>114</v>
      </c>
      <c r="CY12" s="21" t="s">
        <v>114</v>
      </c>
      <c r="CZ12" s="21" t="s">
        <v>114</v>
      </c>
      <c r="DA12" s="21" t="s">
        <v>114</v>
      </c>
      <c r="DB12" s="21" t="s">
        <v>114</v>
      </c>
      <c r="DC12" s="21" t="s">
        <v>114</v>
      </c>
      <c r="DD12" s="21" t="s">
        <v>114</v>
      </c>
      <c r="DE12" s="21" t="s">
        <v>114</v>
      </c>
      <c r="DF12" s="19" t="s">
        <v>114</v>
      </c>
      <c r="DG12" s="19" t="s">
        <v>114</v>
      </c>
      <c r="DH12" s="19" t="s">
        <v>114</v>
      </c>
      <c r="DI12" s="19" t="s">
        <v>114</v>
      </c>
      <c r="DJ12" s="19" t="s">
        <v>114</v>
      </c>
      <c r="DK12" s="19" t="s">
        <v>114</v>
      </c>
      <c r="DL12" s="19" t="s">
        <v>114</v>
      </c>
      <c r="DM12" s="19" t="s">
        <v>114</v>
      </c>
      <c r="DN12" s="19" t="s">
        <v>114</v>
      </c>
      <c r="DO12" s="19" t="s">
        <v>114</v>
      </c>
    </row>
    <row r="13" spans="1:119" hidden="1" x14ac:dyDescent="0.45">
      <c r="A13" s="2" t="s">
        <v>368</v>
      </c>
      <c r="B13" t="s">
        <v>369</v>
      </c>
      <c r="C13" s="2">
        <v>124</v>
      </c>
      <c r="D13" s="6">
        <v>702</v>
      </c>
      <c r="E13" s="2" t="s">
        <v>370</v>
      </c>
      <c r="F13" t="s">
        <v>370</v>
      </c>
      <c r="G13" t="s">
        <v>370</v>
      </c>
      <c r="H13" s="2" t="s">
        <v>370</v>
      </c>
      <c r="I13" s="2" t="s">
        <v>371</v>
      </c>
      <c r="J13" s="2">
        <v>19</v>
      </c>
      <c r="K13" t="s">
        <v>157</v>
      </c>
      <c r="L13" s="2">
        <v>21</v>
      </c>
      <c r="M13" t="s">
        <v>279</v>
      </c>
      <c r="N13" s="2"/>
      <c r="P13" s="2" t="s">
        <v>280</v>
      </c>
      <c r="Q13" s="2" t="s">
        <v>280</v>
      </c>
      <c r="R13" s="2">
        <v>513</v>
      </c>
      <c r="S13" s="2" t="s">
        <v>1000</v>
      </c>
      <c r="T13" s="2">
        <v>21</v>
      </c>
      <c r="U13" t="s">
        <v>279</v>
      </c>
      <c r="V13" t="s">
        <v>2460</v>
      </c>
      <c r="W13" t="s">
        <v>2460</v>
      </c>
      <c r="X13" t="s">
        <v>2441</v>
      </c>
      <c r="Y13" t="s">
        <v>279</v>
      </c>
      <c r="Z13" t="s">
        <v>370</v>
      </c>
      <c r="AA13" s="3" t="s">
        <v>370</v>
      </c>
      <c r="AB13" s="3" t="s">
        <v>369</v>
      </c>
      <c r="AC13" s="2" t="s">
        <v>130</v>
      </c>
      <c r="AD13" s="4" t="s">
        <v>1891</v>
      </c>
      <c r="AE13" t="s">
        <v>131</v>
      </c>
      <c r="AF13" t="s">
        <v>1886</v>
      </c>
      <c r="AG13" t="s">
        <v>1887</v>
      </c>
      <c r="AH13" s="3" t="s">
        <v>18</v>
      </c>
      <c r="AI13" s="3" t="s">
        <v>372</v>
      </c>
      <c r="AJ13" t="s">
        <v>20</v>
      </c>
      <c r="AK13" s="3" t="s">
        <v>107</v>
      </c>
      <c r="AL13" s="5" t="s">
        <v>373</v>
      </c>
      <c r="AM13" s="5" t="s">
        <v>369</v>
      </c>
      <c r="AO13" s="3" t="s">
        <v>119</v>
      </c>
      <c r="AP13" s="3" t="s">
        <v>120</v>
      </c>
      <c r="AQ13" s="3" t="s">
        <v>111</v>
      </c>
      <c r="AR13" s="3" t="s">
        <v>112</v>
      </c>
      <c r="AS13" s="3" t="s">
        <v>112</v>
      </c>
      <c r="AT13" s="3" t="s">
        <v>113</v>
      </c>
      <c r="AU13" s="3" t="s">
        <v>2298</v>
      </c>
      <c r="AV13" s="3" t="s">
        <v>2299</v>
      </c>
      <c r="AW13" s="3" t="s">
        <v>2300</v>
      </c>
      <c r="AX13" s="3" t="s">
        <v>2006</v>
      </c>
      <c r="AY13" s="19" t="s">
        <v>114</v>
      </c>
      <c r="AZ13" s="19" t="s">
        <v>114</v>
      </c>
      <c r="BA13" s="19" t="s">
        <v>114</v>
      </c>
      <c r="BB13" s="19" t="s">
        <v>114</v>
      </c>
      <c r="BC13" s="19" t="s">
        <v>114</v>
      </c>
      <c r="BD13" s="19" t="s">
        <v>114</v>
      </c>
      <c r="BE13" s="19" t="s">
        <v>114</v>
      </c>
      <c r="BF13" s="19" t="s">
        <v>114</v>
      </c>
      <c r="BG13" s="19" t="s">
        <v>114</v>
      </c>
      <c r="BH13" s="19" t="s">
        <v>114</v>
      </c>
      <c r="BI13" s="19" t="s">
        <v>114</v>
      </c>
      <c r="BJ13" s="19" t="s">
        <v>114</v>
      </c>
      <c r="BK13" s="19" t="s">
        <v>114</v>
      </c>
      <c r="BL13" s="19" t="s">
        <v>114</v>
      </c>
      <c r="BM13" s="19" t="s">
        <v>114</v>
      </c>
      <c r="BN13" s="19" t="s">
        <v>114</v>
      </c>
      <c r="BO13" s="19" t="s">
        <v>114</v>
      </c>
      <c r="BP13" s="19" t="s">
        <v>114</v>
      </c>
      <c r="BQ13" s="19" t="s">
        <v>114</v>
      </c>
      <c r="BR13" s="19" t="s">
        <v>114</v>
      </c>
      <c r="BS13" s="19" t="s">
        <v>114</v>
      </c>
      <c r="BT13" s="19" t="s">
        <v>114</v>
      </c>
      <c r="BU13" s="19" t="s">
        <v>114</v>
      </c>
      <c r="BV13" s="19" t="s">
        <v>114</v>
      </c>
      <c r="BW13" s="19" t="s">
        <v>114</v>
      </c>
      <c r="BX13" s="19" t="s">
        <v>114</v>
      </c>
      <c r="BY13" s="19" t="s">
        <v>114</v>
      </c>
      <c r="BZ13" s="21">
        <v>98200</v>
      </c>
      <c r="CA13" s="21" t="s">
        <v>114</v>
      </c>
      <c r="CB13" s="21" t="s">
        <v>114</v>
      </c>
      <c r="CC13" s="21" t="s">
        <v>114</v>
      </c>
      <c r="CD13" s="21" t="s">
        <v>114</v>
      </c>
      <c r="CE13" s="21" t="s">
        <v>114</v>
      </c>
      <c r="CF13" s="19" t="s">
        <v>114</v>
      </c>
      <c r="CG13" s="19" t="s">
        <v>114</v>
      </c>
      <c r="CH13" s="19" t="s">
        <v>114</v>
      </c>
      <c r="CI13" s="21" t="s">
        <v>114</v>
      </c>
      <c r="CJ13" s="21" t="s">
        <v>114</v>
      </c>
      <c r="CK13" s="21" t="s">
        <v>114</v>
      </c>
      <c r="CL13" s="21" t="s">
        <v>114</v>
      </c>
      <c r="CM13" s="21" t="s">
        <v>114</v>
      </c>
      <c r="CN13" s="21" t="s">
        <v>114</v>
      </c>
      <c r="CO13" s="21" t="s">
        <v>114</v>
      </c>
      <c r="CP13" s="21" t="s">
        <v>114</v>
      </c>
      <c r="CQ13" s="21" t="s">
        <v>114</v>
      </c>
      <c r="CR13" s="21" t="s">
        <v>114</v>
      </c>
      <c r="CS13" s="21" t="s">
        <v>114</v>
      </c>
      <c r="CT13" s="21" t="s">
        <v>114</v>
      </c>
      <c r="CU13" s="21" t="s">
        <v>114</v>
      </c>
      <c r="CV13" s="21" t="s">
        <v>114</v>
      </c>
      <c r="CW13" s="21">
        <v>98425</v>
      </c>
      <c r="CX13" s="21" t="s">
        <v>114</v>
      </c>
      <c r="CY13" s="21" t="s">
        <v>114</v>
      </c>
      <c r="CZ13" s="21" t="s">
        <v>114</v>
      </c>
      <c r="DA13" s="21" t="s">
        <v>114</v>
      </c>
      <c r="DB13" s="21" t="s">
        <v>114</v>
      </c>
      <c r="DC13" s="21" t="s">
        <v>114</v>
      </c>
      <c r="DD13" s="21" t="s">
        <v>114</v>
      </c>
      <c r="DE13" s="21" t="s">
        <v>114</v>
      </c>
      <c r="DF13" s="19" t="s">
        <v>114</v>
      </c>
      <c r="DG13" s="19" t="s">
        <v>114</v>
      </c>
      <c r="DH13" s="19" t="s">
        <v>114</v>
      </c>
      <c r="DI13" s="19" t="s">
        <v>114</v>
      </c>
      <c r="DJ13" s="19" t="s">
        <v>114</v>
      </c>
      <c r="DK13" s="19" t="s">
        <v>114</v>
      </c>
      <c r="DL13" s="19" t="s">
        <v>114</v>
      </c>
      <c r="DM13" s="19" t="s">
        <v>114</v>
      </c>
      <c r="DN13" s="19" t="s">
        <v>114</v>
      </c>
      <c r="DO13" s="19" t="s">
        <v>114</v>
      </c>
    </row>
    <row r="14" spans="1:119" hidden="1" x14ac:dyDescent="0.45">
      <c r="A14" s="2" t="s">
        <v>170</v>
      </c>
      <c r="B14" t="s">
        <v>171</v>
      </c>
      <c r="C14" s="2">
        <v>660</v>
      </c>
      <c r="D14" s="6">
        <v>301</v>
      </c>
      <c r="E14" s="2" t="s">
        <v>172</v>
      </c>
      <c r="F14" t="s">
        <v>172</v>
      </c>
      <c r="H14" s="2" t="s">
        <v>172</v>
      </c>
      <c r="I14" s="2" t="s">
        <v>173</v>
      </c>
      <c r="J14" s="2">
        <v>19</v>
      </c>
      <c r="K14" t="s">
        <v>157</v>
      </c>
      <c r="L14" s="2">
        <v>419</v>
      </c>
      <c r="M14" t="s">
        <v>174</v>
      </c>
      <c r="N14">
        <v>29</v>
      </c>
      <c r="O14" t="s">
        <v>175</v>
      </c>
      <c r="P14" s="2" t="s">
        <v>176</v>
      </c>
      <c r="Q14" s="2" t="s">
        <v>177</v>
      </c>
      <c r="R14" s="2">
        <v>419</v>
      </c>
      <c r="S14" s="4" t="s">
        <v>174</v>
      </c>
      <c r="T14" s="2">
        <v>419</v>
      </c>
      <c r="U14" s="4" t="s">
        <v>174</v>
      </c>
      <c r="V14" t="s">
        <v>2455</v>
      </c>
      <c r="W14" t="s">
        <v>2455</v>
      </c>
      <c r="X14" t="s">
        <v>2440</v>
      </c>
      <c r="Y14" t="s">
        <v>175</v>
      </c>
      <c r="Z14" t="s">
        <v>175</v>
      </c>
      <c r="AA14" t="s">
        <v>2799</v>
      </c>
      <c r="AB14" t="s">
        <v>2872</v>
      </c>
      <c r="AC14" s="2" t="s">
        <v>1888</v>
      </c>
      <c r="AD14" s="2" t="s">
        <v>1888</v>
      </c>
      <c r="AE14" t="s">
        <v>104</v>
      </c>
      <c r="AF14" t="s">
        <v>1886</v>
      </c>
      <c r="AG14" s="3" t="s">
        <v>1887</v>
      </c>
      <c r="AH14" t="s">
        <v>105</v>
      </c>
      <c r="AI14" s="3" t="s">
        <v>178</v>
      </c>
      <c r="AJ14" s="3" t="s">
        <v>106</v>
      </c>
      <c r="AK14" s="3" t="s">
        <v>107</v>
      </c>
      <c r="AL14" s="5" t="s">
        <v>179</v>
      </c>
      <c r="AM14" s="5" t="s">
        <v>109</v>
      </c>
      <c r="AO14" s="3" t="s">
        <v>119</v>
      </c>
      <c r="AP14" s="3" t="s">
        <v>120</v>
      </c>
      <c r="AQ14" s="3" t="s">
        <v>27</v>
      </c>
      <c r="AR14" s="3" t="s">
        <v>112</v>
      </c>
      <c r="AS14" s="3" t="s">
        <v>112</v>
      </c>
      <c r="AT14" s="3" t="s">
        <v>113</v>
      </c>
      <c r="AU14" s="3" t="s">
        <v>2303</v>
      </c>
      <c r="AV14" s="3" t="s">
        <v>2302</v>
      </c>
      <c r="AW14" s="3" t="s">
        <v>2301</v>
      </c>
      <c r="AX14" s="3" t="s">
        <v>2006</v>
      </c>
      <c r="AY14" s="19" t="s">
        <v>114</v>
      </c>
      <c r="AZ14" s="19" t="s">
        <v>114</v>
      </c>
      <c r="BA14" s="19" t="s">
        <v>114</v>
      </c>
      <c r="BB14" s="19" t="s">
        <v>114</v>
      </c>
      <c r="BC14" s="19" t="s">
        <v>114</v>
      </c>
      <c r="BD14" s="19" t="s">
        <v>114</v>
      </c>
      <c r="BE14" s="19" t="s">
        <v>114</v>
      </c>
      <c r="BF14" s="19" t="s">
        <v>114</v>
      </c>
      <c r="BG14" s="19" t="s">
        <v>114</v>
      </c>
      <c r="BH14" s="19" t="s">
        <v>114</v>
      </c>
      <c r="BI14" s="19" t="s">
        <v>114</v>
      </c>
      <c r="BJ14" s="19" t="s">
        <v>114</v>
      </c>
      <c r="BK14" s="19" t="s">
        <v>114</v>
      </c>
      <c r="BL14" s="19" t="s">
        <v>114</v>
      </c>
      <c r="BM14" s="19" t="s">
        <v>114</v>
      </c>
      <c r="BN14" s="19" t="s">
        <v>114</v>
      </c>
      <c r="BO14" s="19" t="s">
        <v>114</v>
      </c>
      <c r="BP14" s="19" t="s">
        <v>114</v>
      </c>
      <c r="BQ14" s="19" t="s">
        <v>114</v>
      </c>
      <c r="BR14" s="19" t="s">
        <v>114</v>
      </c>
      <c r="BS14" s="19" t="s">
        <v>114</v>
      </c>
      <c r="BT14" s="19" t="s">
        <v>114</v>
      </c>
      <c r="BU14" s="19" t="s">
        <v>114</v>
      </c>
      <c r="BV14" s="19" t="s">
        <v>114</v>
      </c>
      <c r="BW14" s="19" t="s">
        <v>114</v>
      </c>
      <c r="BX14" s="19" t="s">
        <v>114</v>
      </c>
      <c r="BY14" s="19" t="s">
        <v>114</v>
      </c>
      <c r="BZ14" s="21" t="s">
        <v>114</v>
      </c>
      <c r="CA14" s="21" t="s">
        <v>114</v>
      </c>
      <c r="CB14" s="21" t="s">
        <v>114</v>
      </c>
      <c r="CC14" s="21" t="s">
        <v>114</v>
      </c>
      <c r="CD14" s="21" t="s">
        <v>114</v>
      </c>
      <c r="CE14" s="21" t="s">
        <v>114</v>
      </c>
      <c r="CF14" s="19" t="s">
        <v>114</v>
      </c>
      <c r="CG14" s="19">
        <v>98300</v>
      </c>
      <c r="CH14" s="19">
        <v>98301</v>
      </c>
      <c r="CI14" s="21" t="s">
        <v>114</v>
      </c>
      <c r="CJ14" s="21" t="s">
        <v>114</v>
      </c>
      <c r="CK14" s="21" t="s">
        <v>114</v>
      </c>
      <c r="CL14" s="21" t="s">
        <v>114</v>
      </c>
      <c r="CM14" s="21" t="s">
        <v>114</v>
      </c>
      <c r="CN14" s="21" t="s">
        <v>114</v>
      </c>
      <c r="CO14" s="21" t="s">
        <v>114</v>
      </c>
      <c r="CP14" s="21" t="s">
        <v>114</v>
      </c>
      <c r="CQ14" s="21" t="s">
        <v>114</v>
      </c>
      <c r="CR14" s="21" t="s">
        <v>114</v>
      </c>
      <c r="CS14" s="21" t="s">
        <v>114</v>
      </c>
      <c r="CT14" s="21" t="s">
        <v>114</v>
      </c>
      <c r="CU14" s="21" t="s">
        <v>114</v>
      </c>
      <c r="CV14" s="21">
        <v>98424</v>
      </c>
      <c r="CW14" s="21" t="s">
        <v>114</v>
      </c>
      <c r="CX14" s="21" t="s">
        <v>114</v>
      </c>
      <c r="CY14" s="21" t="s">
        <v>114</v>
      </c>
      <c r="CZ14" s="21" t="s">
        <v>114</v>
      </c>
      <c r="DA14" s="21" t="s">
        <v>114</v>
      </c>
      <c r="DB14" s="21" t="s">
        <v>114</v>
      </c>
      <c r="DC14" s="21" t="s">
        <v>114</v>
      </c>
      <c r="DD14" s="21" t="s">
        <v>114</v>
      </c>
      <c r="DE14" s="21" t="s">
        <v>114</v>
      </c>
      <c r="DF14" s="19" t="s">
        <v>114</v>
      </c>
      <c r="DG14" s="19" t="s">
        <v>114</v>
      </c>
      <c r="DH14" s="19" t="s">
        <v>114</v>
      </c>
      <c r="DI14" s="19" t="s">
        <v>114</v>
      </c>
      <c r="DJ14" s="19" t="s">
        <v>114</v>
      </c>
      <c r="DK14" s="19" t="s">
        <v>114</v>
      </c>
      <c r="DL14" s="19" t="s">
        <v>114</v>
      </c>
      <c r="DM14" s="19" t="s">
        <v>114</v>
      </c>
      <c r="DN14" s="19" t="s">
        <v>114</v>
      </c>
      <c r="DO14" s="19" t="s">
        <v>114</v>
      </c>
    </row>
    <row r="15" spans="1:119" hidden="1" x14ac:dyDescent="0.45">
      <c r="A15" s="2" t="s">
        <v>186</v>
      </c>
      <c r="B15" t="s">
        <v>187</v>
      </c>
      <c r="C15" s="2">
        <v>28</v>
      </c>
      <c r="D15" s="6">
        <v>302</v>
      </c>
      <c r="E15" s="2" t="s">
        <v>1549</v>
      </c>
      <c r="F15" t="s">
        <v>188</v>
      </c>
      <c r="G15" t="s">
        <v>188</v>
      </c>
      <c r="H15" s="2" t="s">
        <v>189</v>
      </c>
      <c r="I15" s="2" t="s">
        <v>190</v>
      </c>
      <c r="J15" s="2">
        <v>19</v>
      </c>
      <c r="K15" t="s">
        <v>157</v>
      </c>
      <c r="L15" s="2">
        <v>419</v>
      </c>
      <c r="M15" t="s">
        <v>174</v>
      </c>
      <c r="N15">
        <v>29</v>
      </c>
      <c r="O15" t="s">
        <v>175</v>
      </c>
      <c r="P15" s="2" t="s">
        <v>176</v>
      </c>
      <c r="Q15" s="2" t="s">
        <v>177</v>
      </c>
      <c r="R15" s="2">
        <v>419</v>
      </c>
      <c r="S15" s="4" t="s">
        <v>174</v>
      </c>
      <c r="T15" s="2">
        <v>419</v>
      </c>
      <c r="U15" s="4" t="s">
        <v>174</v>
      </c>
      <c r="V15" t="s">
        <v>2455</v>
      </c>
      <c r="W15" t="s">
        <v>2455</v>
      </c>
      <c r="X15" t="s">
        <v>2440</v>
      </c>
      <c r="Y15" t="s">
        <v>175</v>
      </c>
      <c r="Z15" t="s">
        <v>175</v>
      </c>
      <c r="AA15" t="s">
        <v>2799</v>
      </c>
      <c r="AB15" t="s">
        <v>2872</v>
      </c>
      <c r="AC15" s="2" t="s">
        <v>130</v>
      </c>
      <c r="AD15" s="4" t="s">
        <v>1891</v>
      </c>
      <c r="AE15" t="s">
        <v>104</v>
      </c>
      <c r="AF15" t="s">
        <v>1886</v>
      </c>
      <c r="AG15" t="s">
        <v>1884</v>
      </c>
      <c r="AH15" t="s">
        <v>105</v>
      </c>
      <c r="AI15" s="3" t="s">
        <v>178</v>
      </c>
      <c r="AJ15" s="3" t="s">
        <v>106</v>
      </c>
      <c r="AK15" s="3" t="s">
        <v>107</v>
      </c>
      <c r="AL15" s="5" t="s">
        <v>179</v>
      </c>
      <c r="AM15" s="5" t="s">
        <v>109</v>
      </c>
      <c r="AN15" t="s">
        <v>110</v>
      </c>
      <c r="AO15" s="3" t="s">
        <v>119</v>
      </c>
      <c r="AP15" s="3" t="s">
        <v>120</v>
      </c>
      <c r="AQ15" s="3" t="s">
        <v>27</v>
      </c>
      <c r="AR15" s="3" t="s">
        <v>112</v>
      </c>
      <c r="AS15" s="3" t="s">
        <v>112</v>
      </c>
      <c r="AT15" t="s">
        <v>191</v>
      </c>
      <c r="AU15" s="3" t="s">
        <v>2303</v>
      </c>
      <c r="AV15" s="3" t="s">
        <v>2302</v>
      </c>
      <c r="AW15" s="3" t="s">
        <v>2301</v>
      </c>
      <c r="AX15" s="3" t="s">
        <v>2006</v>
      </c>
      <c r="AY15" s="19" t="s">
        <v>114</v>
      </c>
      <c r="AZ15" s="19" t="s">
        <v>114</v>
      </c>
      <c r="BA15" s="19" t="s">
        <v>114</v>
      </c>
      <c r="BB15" s="19" t="s">
        <v>114</v>
      </c>
      <c r="BC15" s="19" t="s">
        <v>114</v>
      </c>
      <c r="BD15" s="19" t="s">
        <v>114</v>
      </c>
      <c r="BE15" s="19" t="s">
        <v>114</v>
      </c>
      <c r="BF15" s="19" t="s">
        <v>114</v>
      </c>
      <c r="BG15" s="19" t="s">
        <v>114</v>
      </c>
      <c r="BH15" s="19" t="s">
        <v>114</v>
      </c>
      <c r="BI15" s="19" t="s">
        <v>114</v>
      </c>
      <c r="BJ15" s="19" t="s">
        <v>114</v>
      </c>
      <c r="BK15" s="19" t="s">
        <v>114</v>
      </c>
      <c r="BL15" s="19" t="s">
        <v>114</v>
      </c>
      <c r="BM15" s="19" t="s">
        <v>114</v>
      </c>
      <c r="BN15" s="19" t="s">
        <v>114</v>
      </c>
      <c r="BO15" s="19" t="s">
        <v>114</v>
      </c>
      <c r="BP15" s="19" t="s">
        <v>114</v>
      </c>
      <c r="BQ15" s="19" t="s">
        <v>114</v>
      </c>
      <c r="BR15" s="19" t="s">
        <v>114</v>
      </c>
      <c r="BS15" s="19" t="s">
        <v>114</v>
      </c>
      <c r="BT15" s="19" t="s">
        <v>114</v>
      </c>
      <c r="BU15" s="19" t="s">
        <v>114</v>
      </c>
      <c r="BV15" s="19" t="s">
        <v>114</v>
      </c>
      <c r="BW15" s="19" t="s">
        <v>114</v>
      </c>
      <c r="BX15" s="19" t="s">
        <v>114</v>
      </c>
      <c r="BY15" s="19" t="s">
        <v>114</v>
      </c>
      <c r="BZ15" s="21" t="s">
        <v>114</v>
      </c>
      <c r="CA15" s="21" t="s">
        <v>114</v>
      </c>
      <c r="CB15" s="21" t="s">
        <v>114</v>
      </c>
      <c r="CC15" s="21" t="s">
        <v>114</v>
      </c>
      <c r="CD15" s="21" t="s">
        <v>114</v>
      </c>
      <c r="CE15" s="21" t="s">
        <v>114</v>
      </c>
      <c r="CF15" s="19" t="s">
        <v>114</v>
      </c>
      <c r="CG15" s="19">
        <v>98300</v>
      </c>
      <c r="CH15" s="19">
        <v>98301</v>
      </c>
      <c r="CI15" s="21" t="s">
        <v>114</v>
      </c>
      <c r="CJ15" s="21" t="s">
        <v>114</v>
      </c>
      <c r="CK15" s="21" t="s">
        <v>114</v>
      </c>
      <c r="CL15" s="21" t="s">
        <v>114</v>
      </c>
      <c r="CM15" s="21" t="s">
        <v>114</v>
      </c>
      <c r="CN15" s="21" t="s">
        <v>114</v>
      </c>
      <c r="CO15" s="21" t="s">
        <v>114</v>
      </c>
      <c r="CP15" s="21" t="s">
        <v>114</v>
      </c>
      <c r="CQ15" s="21" t="s">
        <v>114</v>
      </c>
      <c r="CR15" s="21" t="s">
        <v>114</v>
      </c>
      <c r="CS15" s="21" t="s">
        <v>114</v>
      </c>
      <c r="CT15" s="21" t="s">
        <v>114</v>
      </c>
      <c r="CU15" s="21" t="s">
        <v>114</v>
      </c>
      <c r="CV15" s="21">
        <v>98424</v>
      </c>
      <c r="CW15" s="21" t="s">
        <v>114</v>
      </c>
      <c r="CX15" s="21" t="s">
        <v>114</v>
      </c>
      <c r="CY15" s="21" t="s">
        <v>114</v>
      </c>
      <c r="CZ15" s="21" t="s">
        <v>114</v>
      </c>
      <c r="DA15" s="21" t="s">
        <v>114</v>
      </c>
      <c r="DB15" s="21" t="s">
        <v>114</v>
      </c>
      <c r="DC15" s="21" t="s">
        <v>114</v>
      </c>
      <c r="DD15" s="21" t="s">
        <v>114</v>
      </c>
      <c r="DE15" s="21" t="s">
        <v>114</v>
      </c>
      <c r="DF15" s="19" t="s">
        <v>114</v>
      </c>
      <c r="DG15" s="19" t="s">
        <v>114</v>
      </c>
      <c r="DH15" s="19" t="s">
        <v>114</v>
      </c>
      <c r="DI15" s="19" t="s">
        <v>114</v>
      </c>
      <c r="DJ15" s="19" t="s">
        <v>114</v>
      </c>
      <c r="DK15" s="19" t="s">
        <v>114</v>
      </c>
      <c r="DL15" s="19" t="s">
        <v>114</v>
      </c>
      <c r="DM15" s="19" t="s">
        <v>114</v>
      </c>
      <c r="DN15" s="19" t="s">
        <v>114</v>
      </c>
      <c r="DO15" s="19" t="s">
        <v>114</v>
      </c>
    </row>
    <row r="16" spans="1:119" hidden="1" x14ac:dyDescent="0.45">
      <c r="A16" s="2" t="s">
        <v>205</v>
      </c>
      <c r="B16" t="s">
        <v>206</v>
      </c>
      <c r="C16" s="2">
        <v>533</v>
      </c>
      <c r="D16" s="6">
        <v>303</v>
      </c>
      <c r="E16" s="2" t="s">
        <v>207</v>
      </c>
      <c r="F16" t="s">
        <v>207</v>
      </c>
      <c r="H16" s="2" t="s">
        <v>207</v>
      </c>
      <c r="I16" s="2" t="s">
        <v>207</v>
      </c>
      <c r="J16" s="2">
        <v>19</v>
      </c>
      <c r="K16" t="s">
        <v>157</v>
      </c>
      <c r="L16" s="2">
        <v>419</v>
      </c>
      <c r="M16" t="s">
        <v>174</v>
      </c>
      <c r="N16">
        <v>29</v>
      </c>
      <c r="O16" t="s">
        <v>175</v>
      </c>
      <c r="P16" s="2" t="s">
        <v>176</v>
      </c>
      <c r="Q16" s="2" t="s">
        <v>177</v>
      </c>
      <c r="R16" s="2">
        <v>419</v>
      </c>
      <c r="S16" s="4" t="s">
        <v>174</v>
      </c>
      <c r="T16" s="2">
        <v>419</v>
      </c>
      <c r="U16" s="4" t="s">
        <v>174</v>
      </c>
      <c r="V16" t="s">
        <v>2455</v>
      </c>
      <c r="W16" t="s">
        <v>2455</v>
      </c>
      <c r="X16" t="s">
        <v>2440</v>
      </c>
      <c r="Y16" t="s">
        <v>175</v>
      </c>
      <c r="Z16" t="s">
        <v>175</v>
      </c>
      <c r="AA16" t="s">
        <v>2799</v>
      </c>
      <c r="AB16" t="s">
        <v>2872</v>
      </c>
      <c r="AC16" s="2" t="s">
        <v>130</v>
      </c>
      <c r="AD16" s="4" t="s">
        <v>1891</v>
      </c>
      <c r="AE16" t="s">
        <v>104</v>
      </c>
      <c r="AF16" t="s">
        <v>1886</v>
      </c>
      <c r="AG16" s="3" t="s">
        <v>1887</v>
      </c>
      <c r="AH16" t="s">
        <v>105</v>
      </c>
      <c r="AI16" s="3" t="s">
        <v>178</v>
      </c>
      <c r="AJ16" s="3" t="s">
        <v>106</v>
      </c>
      <c r="AK16" s="3" t="s">
        <v>107</v>
      </c>
      <c r="AL16" s="5" t="s">
        <v>208</v>
      </c>
      <c r="AM16" s="5" t="s">
        <v>109</v>
      </c>
      <c r="AO16" s="3" t="s">
        <v>119</v>
      </c>
      <c r="AP16" s="3" t="s">
        <v>120</v>
      </c>
      <c r="AQ16" s="3" t="s">
        <v>27</v>
      </c>
      <c r="AR16" s="3" t="s">
        <v>112</v>
      </c>
      <c r="AS16" s="3" t="s">
        <v>112</v>
      </c>
      <c r="AT16" s="3" t="s">
        <v>113</v>
      </c>
      <c r="AU16" s="3" t="s">
        <v>2303</v>
      </c>
      <c r="AV16" s="3" t="s">
        <v>2302</v>
      </c>
      <c r="AW16" s="3" t="s">
        <v>2301</v>
      </c>
      <c r="AX16" s="3" t="s">
        <v>2006</v>
      </c>
      <c r="AY16" s="19" t="s">
        <v>114</v>
      </c>
      <c r="AZ16" s="19" t="s">
        <v>114</v>
      </c>
      <c r="BA16" s="19" t="s">
        <v>114</v>
      </c>
      <c r="BB16" s="19" t="s">
        <v>114</v>
      </c>
      <c r="BC16" s="19" t="s">
        <v>114</v>
      </c>
      <c r="BD16" s="19" t="s">
        <v>114</v>
      </c>
      <c r="BE16" s="19" t="s">
        <v>114</v>
      </c>
      <c r="BF16" s="19" t="s">
        <v>114</v>
      </c>
      <c r="BG16" s="19" t="s">
        <v>114</v>
      </c>
      <c r="BH16" s="19" t="s">
        <v>114</v>
      </c>
      <c r="BI16" s="19" t="s">
        <v>114</v>
      </c>
      <c r="BJ16" s="19" t="s">
        <v>114</v>
      </c>
      <c r="BK16" s="19" t="s">
        <v>114</v>
      </c>
      <c r="BL16" s="19" t="s">
        <v>114</v>
      </c>
      <c r="BM16" s="19" t="s">
        <v>114</v>
      </c>
      <c r="BN16" s="19" t="s">
        <v>114</v>
      </c>
      <c r="BO16" s="19" t="s">
        <v>114</v>
      </c>
      <c r="BP16" s="19" t="s">
        <v>114</v>
      </c>
      <c r="BQ16" s="19" t="s">
        <v>114</v>
      </c>
      <c r="BR16" s="19" t="s">
        <v>114</v>
      </c>
      <c r="BS16" s="19" t="s">
        <v>114</v>
      </c>
      <c r="BT16" s="19" t="s">
        <v>114</v>
      </c>
      <c r="BU16" s="19" t="s">
        <v>114</v>
      </c>
      <c r="BV16" s="19" t="s">
        <v>114</v>
      </c>
      <c r="BW16" s="19" t="s">
        <v>114</v>
      </c>
      <c r="BX16" s="19" t="s">
        <v>114</v>
      </c>
      <c r="BY16" s="19" t="s">
        <v>114</v>
      </c>
      <c r="BZ16" s="21" t="s">
        <v>114</v>
      </c>
      <c r="CA16" s="21" t="s">
        <v>114</v>
      </c>
      <c r="CB16" s="21" t="s">
        <v>114</v>
      </c>
      <c r="CC16" s="21" t="s">
        <v>114</v>
      </c>
      <c r="CD16" s="21" t="s">
        <v>114</v>
      </c>
      <c r="CE16" s="21" t="s">
        <v>114</v>
      </c>
      <c r="CF16" s="19" t="s">
        <v>114</v>
      </c>
      <c r="CG16" s="19">
        <v>98300</v>
      </c>
      <c r="CH16" s="19">
        <v>98301</v>
      </c>
      <c r="CI16" s="21" t="s">
        <v>114</v>
      </c>
      <c r="CJ16" s="21" t="s">
        <v>114</v>
      </c>
      <c r="CK16" s="21" t="s">
        <v>114</v>
      </c>
      <c r="CL16" s="21" t="s">
        <v>114</v>
      </c>
      <c r="CM16" s="21" t="s">
        <v>114</v>
      </c>
      <c r="CN16" s="21" t="s">
        <v>114</v>
      </c>
      <c r="CO16" s="21" t="s">
        <v>114</v>
      </c>
      <c r="CP16" s="21" t="s">
        <v>114</v>
      </c>
      <c r="CQ16" s="21" t="s">
        <v>114</v>
      </c>
      <c r="CR16" s="21" t="s">
        <v>114</v>
      </c>
      <c r="CS16" s="21" t="s">
        <v>114</v>
      </c>
      <c r="CT16" s="21" t="s">
        <v>114</v>
      </c>
      <c r="CU16" s="21" t="s">
        <v>114</v>
      </c>
      <c r="CV16" s="21">
        <v>98424</v>
      </c>
      <c r="CW16" s="21" t="s">
        <v>114</v>
      </c>
      <c r="CX16" s="21" t="s">
        <v>114</v>
      </c>
      <c r="CY16" s="21" t="s">
        <v>114</v>
      </c>
      <c r="CZ16" s="21" t="s">
        <v>114</v>
      </c>
      <c r="DA16" s="21" t="s">
        <v>114</v>
      </c>
      <c r="DB16" s="21" t="s">
        <v>114</v>
      </c>
      <c r="DC16" s="21" t="s">
        <v>114</v>
      </c>
      <c r="DD16" s="21" t="s">
        <v>114</v>
      </c>
      <c r="DE16" s="21" t="s">
        <v>114</v>
      </c>
      <c r="DF16" s="19" t="s">
        <v>114</v>
      </c>
      <c r="DG16" s="19" t="s">
        <v>114</v>
      </c>
      <c r="DH16" s="19" t="s">
        <v>114</v>
      </c>
      <c r="DI16" s="19" t="s">
        <v>114</v>
      </c>
      <c r="DJ16" s="19" t="s">
        <v>114</v>
      </c>
      <c r="DK16" s="19" t="s">
        <v>114</v>
      </c>
      <c r="DL16" s="19" t="s">
        <v>114</v>
      </c>
      <c r="DM16" s="19" t="s">
        <v>114</v>
      </c>
      <c r="DN16" s="19" t="s">
        <v>114</v>
      </c>
      <c r="DO16" s="19" t="s">
        <v>114</v>
      </c>
    </row>
    <row r="17" spans="1:119" hidden="1" x14ac:dyDescent="0.45">
      <c r="A17" s="2" t="s">
        <v>231</v>
      </c>
      <c r="B17" t="s">
        <v>232</v>
      </c>
      <c r="C17" s="2">
        <v>44</v>
      </c>
      <c r="D17" s="6">
        <v>304</v>
      </c>
      <c r="E17" s="2" t="s">
        <v>233</v>
      </c>
      <c r="F17" s="3" t="s">
        <v>2007</v>
      </c>
      <c r="G17" t="s">
        <v>2024</v>
      </c>
      <c r="H17" s="2" t="s">
        <v>233</v>
      </c>
      <c r="I17" s="2" t="s">
        <v>233</v>
      </c>
      <c r="J17" s="2">
        <v>19</v>
      </c>
      <c r="K17" t="s">
        <v>157</v>
      </c>
      <c r="L17" s="2">
        <v>419</v>
      </c>
      <c r="M17" t="s">
        <v>174</v>
      </c>
      <c r="N17">
        <v>29</v>
      </c>
      <c r="O17" t="s">
        <v>175</v>
      </c>
      <c r="P17" s="2" t="s">
        <v>176</v>
      </c>
      <c r="Q17" s="2" t="s">
        <v>177</v>
      </c>
      <c r="R17" s="2">
        <v>419</v>
      </c>
      <c r="S17" s="4" t="s">
        <v>174</v>
      </c>
      <c r="T17" s="2">
        <v>419</v>
      </c>
      <c r="U17" s="4" t="s">
        <v>174</v>
      </c>
      <c r="V17" t="s">
        <v>2455</v>
      </c>
      <c r="W17" t="s">
        <v>2455</v>
      </c>
      <c r="X17" t="s">
        <v>2440</v>
      </c>
      <c r="Y17" t="s">
        <v>175</v>
      </c>
      <c r="Z17" t="s">
        <v>175</v>
      </c>
      <c r="AA17" t="s">
        <v>2799</v>
      </c>
      <c r="AB17" t="s">
        <v>2872</v>
      </c>
      <c r="AC17" s="2" t="s">
        <v>130</v>
      </c>
      <c r="AD17" s="4" t="s">
        <v>1891</v>
      </c>
      <c r="AE17" t="s">
        <v>104</v>
      </c>
      <c r="AF17" t="s">
        <v>1886</v>
      </c>
      <c r="AG17" t="s">
        <v>1884</v>
      </c>
      <c r="AH17" t="s">
        <v>105</v>
      </c>
      <c r="AI17" s="3" t="s">
        <v>178</v>
      </c>
      <c r="AJ17" s="3" t="s">
        <v>106</v>
      </c>
      <c r="AK17" s="3" t="s">
        <v>107</v>
      </c>
      <c r="AL17" s="5" t="s">
        <v>234</v>
      </c>
      <c r="AM17" s="5" t="s">
        <v>109</v>
      </c>
      <c r="AO17" s="3" t="s">
        <v>119</v>
      </c>
      <c r="AP17" s="3" t="s">
        <v>120</v>
      </c>
      <c r="AQ17" s="3" t="s">
        <v>27</v>
      </c>
      <c r="AR17" s="3" t="s">
        <v>112</v>
      </c>
      <c r="AS17" s="3" t="s">
        <v>112</v>
      </c>
      <c r="AT17" t="s">
        <v>191</v>
      </c>
      <c r="AU17" s="3" t="s">
        <v>2303</v>
      </c>
      <c r="AV17" s="3" t="s">
        <v>2302</v>
      </c>
      <c r="AW17" s="3" t="s">
        <v>2301</v>
      </c>
      <c r="AX17" s="3" t="s">
        <v>2006</v>
      </c>
      <c r="AY17" s="19" t="s">
        <v>114</v>
      </c>
      <c r="AZ17" s="19" t="s">
        <v>114</v>
      </c>
      <c r="BA17" s="19" t="s">
        <v>114</v>
      </c>
      <c r="BB17" s="19" t="s">
        <v>114</v>
      </c>
      <c r="BC17" s="19" t="s">
        <v>114</v>
      </c>
      <c r="BD17" s="19" t="s">
        <v>114</v>
      </c>
      <c r="BE17" s="19" t="s">
        <v>114</v>
      </c>
      <c r="BF17" s="19" t="s">
        <v>114</v>
      </c>
      <c r="BG17" s="19" t="s">
        <v>114</v>
      </c>
      <c r="BH17" s="19" t="s">
        <v>114</v>
      </c>
      <c r="BI17" s="19" t="s">
        <v>114</v>
      </c>
      <c r="BJ17" s="19" t="s">
        <v>114</v>
      </c>
      <c r="BK17" s="19" t="s">
        <v>114</v>
      </c>
      <c r="BL17" s="19" t="s">
        <v>114</v>
      </c>
      <c r="BM17" s="19" t="s">
        <v>114</v>
      </c>
      <c r="BN17" s="19" t="s">
        <v>114</v>
      </c>
      <c r="BO17" s="19" t="s">
        <v>114</v>
      </c>
      <c r="BP17" s="19" t="s">
        <v>114</v>
      </c>
      <c r="BQ17" s="19" t="s">
        <v>114</v>
      </c>
      <c r="BR17" s="19" t="s">
        <v>114</v>
      </c>
      <c r="BS17" s="19" t="s">
        <v>114</v>
      </c>
      <c r="BT17" s="19" t="s">
        <v>114</v>
      </c>
      <c r="BU17" s="19" t="s">
        <v>114</v>
      </c>
      <c r="BV17" s="19" t="s">
        <v>114</v>
      </c>
      <c r="BW17" s="19" t="s">
        <v>114</v>
      </c>
      <c r="BX17" s="19" t="s">
        <v>114</v>
      </c>
      <c r="BY17" s="19" t="s">
        <v>114</v>
      </c>
      <c r="BZ17" s="21" t="s">
        <v>114</v>
      </c>
      <c r="CA17" s="21" t="s">
        <v>114</v>
      </c>
      <c r="CB17" s="21" t="s">
        <v>114</v>
      </c>
      <c r="CC17" s="21" t="s">
        <v>114</v>
      </c>
      <c r="CD17" s="21" t="s">
        <v>114</v>
      </c>
      <c r="CE17" s="21" t="s">
        <v>114</v>
      </c>
      <c r="CF17" s="19" t="s">
        <v>114</v>
      </c>
      <c r="CG17" s="19">
        <v>98300</v>
      </c>
      <c r="CH17" s="19">
        <v>98301</v>
      </c>
      <c r="CI17" s="21" t="s">
        <v>114</v>
      </c>
      <c r="CJ17" s="21" t="s">
        <v>114</v>
      </c>
      <c r="CK17" s="21" t="s">
        <v>114</v>
      </c>
      <c r="CL17" s="21" t="s">
        <v>114</v>
      </c>
      <c r="CM17" s="21" t="s">
        <v>114</v>
      </c>
      <c r="CN17" s="21" t="s">
        <v>114</v>
      </c>
      <c r="CO17" s="21" t="s">
        <v>114</v>
      </c>
      <c r="CP17" s="21" t="s">
        <v>114</v>
      </c>
      <c r="CQ17" s="21" t="s">
        <v>114</v>
      </c>
      <c r="CR17" s="21" t="s">
        <v>114</v>
      </c>
      <c r="CS17" s="21" t="s">
        <v>114</v>
      </c>
      <c r="CT17" s="21" t="s">
        <v>114</v>
      </c>
      <c r="CU17" s="21" t="s">
        <v>114</v>
      </c>
      <c r="CV17" s="21">
        <v>98424</v>
      </c>
      <c r="CW17" s="21" t="s">
        <v>114</v>
      </c>
      <c r="CX17" s="21" t="s">
        <v>114</v>
      </c>
      <c r="CY17" s="21" t="s">
        <v>114</v>
      </c>
      <c r="CZ17" s="21" t="s">
        <v>114</v>
      </c>
      <c r="DA17" s="21" t="s">
        <v>114</v>
      </c>
      <c r="DB17" s="21" t="s">
        <v>114</v>
      </c>
      <c r="DC17" s="21" t="s">
        <v>114</v>
      </c>
      <c r="DD17" s="21" t="s">
        <v>114</v>
      </c>
      <c r="DE17" s="21" t="s">
        <v>114</v>
      </c>
      <c r="DF17" s="19" t="s">
        <v>114</v>
      </c>
      <c r="DG17" s="19" t="s">
        <v>114</v>
      </c>
      <c r="DH17" s="19" t="s">
        <v>114</v>
      </c>
      <c r="DI17" s="19" t="s">
        <v>114</v>
      </c>
      <c r="DJ17" s="19" t="s">
        <v>114</v>
      </c>
      <c r="DK17" s="19" t="s">
        <v>114</v>
      </c>
      <c r="DL17" s="19" t="s">
        <v>114</v>
      </c>
      <c r="DM17" s="19" t="s">
        <v>114</v>
      </c>
      <c r="DN17" s="19" t="s">
        <v>114</v>
      </c>
      <c r="DO17" s="19" t="s">
        <v>114</v>
      </c>
    </row>
    <row r="18" spans="1:119" hidden="1" x14ac:dyDescent="0.45">
      <c r="A18" s="2" t="s">
        <v>246</v>
      </c>
      <c r="B18" t="s">
        <v>247</v>
      </c>
      <c r="C18" s="2">
        <v>52</v>
      </c>
      <c r="D18" s="6">
        <v>305</v>
      </c>
      <c r="E18" s="2" t="s">
        <v>248</v>
      </c>
      <c r="F18" t="s">
        <v>248</v>
      </c>
      <c r="G18" t="s">
        <v>248</v>
      </c>
      <c r="H18" s="2" t="s">
        <v>249</v>
      </c>
      <c r="I18" s="2" t="s">
        <v>248</v>
      </c>
      <c r="J18" s="2">
        <v>19</v>
      </c>
      <c r="K18" t="s">
        <v>157</v>
      </c>
      <c r="L18" s="2">
        <v>419</v>
      </c>
      <c r="M18" t="s">
        <v>174</v>
      </c>
      <c r="N18">
        <v>29</v>
      </c>
      <c r="O18" t="s">
        <v>175</v>
      </c>
      <c r="P18" s="2" t="s">
        <v>176</v>
      </c>
      <c r="Q18" s="2" t="s">
        <v>177</v>
      </c>
      <c r="R18" s="2">
        <v>419</v>
      </c>
      <c r="S18" s="4" t="s">
        <v>174</v>
      </c>
      <c r="T18" s="2">
        <v>419</v>
      </c>
      <c r="U18" s="4" t="s">
        <v>174</v>
      </c>
      <c r="V18" t="s">
        <v>2455</v>
      </c>
      <c r="W18" t="s">
        <v>2455</v>
      </c>
      <c r="X18" t="s">
        <v>2440</v>
      </c>
      <c r="Y18" t="s">
        <v>175</v>
      </c>
      <c r="Z18" t="s">
        <v>175</v>
      </c>
      <c r="AA18" t="s">
        <v>2799</v>
      </c>
      <c r="AB18" t="s">
        <v>2872</v>
      </c>
      <c r="AC18" s="2" t="s">
        <v>130</v>
      </c>
      <c r="AD18" s="4" t="s">
        <v>1891</v>
      </c>
      <c r="AE18" t="s">
        <v>104</v>
      </c>
      <c r="AF18" t="s">
        <v>1886</v>
      </c>
      <c r="AG18" t="s">
        <v>1884</v>
      </c>
      <c r="AH18" t="s">
        <v>105</v>
      </c>
      <c r="AI18" s="3" t="s">
        <v>178</v>
      </c>
      <c r="AJ18" s="3" t="s">
        <v>106</v>
      </c>
      <c r="AK18" s="3" t="s">
        <v>107</v>
      </c>
      <c r="AL18" s="5" t="s">
        <v>250</v>
      </c>
      <c r="AM18" s="5" t="s">
        <v>109</v>
      </c>
      <c r="AN18" t="s">
        <v>110</v>
      </c>
      <c r="AO18" s="3" t="s">
        <v>119</v>
      </c>
      <c r="AP18" s="3" t="s">
        <v>120</v>
      </c>
      <c r="AQ18" s="3" t="s">
        <v>27</v>
      </c>
      <c r="AR18" s="3" t="s">
        <v>112</v>
      </c>
      <c r="AS18" s="3" t="s">
        <v>112</v>
      </c>
      <c r="AT18" t="s">
        <v>191</v>
      </c>
      <c r="AU18" s="3" t="s">
        <v>2303</v>
      </c>
      <c r="AV18" s="3" t="s">
        <v>2302</v>
      </c>
      <c r="AW18" s="3" t="s">
        <v>2301</v>
      </c>
      <c r="AX18" s="3" t="s">
        <v>2006</v>
      </c>
      <c r="AY18" s="19" t="s">
        <v>114</v>
      </c>
      <c r="AZ18" s="19" t="s">
        <v>114</v>
      </c>
      <c r="BA18" s="19" t="s">
        <v>114</v>
      </c>
      <c r="BB18" s="19" t="s">
        <v>114</v>
      </c>
      <c r="BC18" s="19" t="s">
        <v>114</v>
      </c>
      <c r="BD18" s="19" t="s">
        <v>114</v>
      </c>
      <c r="BE18" s="19" t="s">
        <v>114</v>
      </c>
      <c r="BF18" s="19" t="s">
        <v>114</v>
      </c>
      <c r="BG18" s="19" t="s">
        <v>114</v>
      </c>
      <c r="BH18" s="19" t="s">
        <v>114</v>
      </c>
      <c r="BI18" s="19" t="s">
        <v>114</v>
      </c>
      <c r="BJ18" s="19" t="s">
        <v>114</v>
      </c>
      <c r="BK18" s="19" t="s">
        <v>114</v>
      </c>
      <c r="BL18" s="19" t="s">
        <v>114</v>
      </c>
      <c r="BM18" s="19" t="s">
        <v>114</v>
      </c>
      <c r="BN18" s="19" t="s">
        <v>114</v>
      </c>
      <c r="BO18" s="19" t="s">
        <v>114</v>
      </c>
      <c r="BP18" s="19" t="s">
        <v>114</v>
      </c>
      <c r="BQ18" s="19" t="s">
        <v>114</v>
      </c>
      <c r="BR18" s="19" t="s">
        <v>114</v>
      </c>
      <c r="BS18" s="19" t="s">
        <v>114</v>
      </c>
      <c r="BT18" s="19" t="s">
        <v>114</v>
      </c>
      <c r="BU18" s="19" t="s">
        <v>114</v>
      </c>
      <c r="BV18" s="19" t="s">
        <v>114</v>
      </c>
      <c r="BW18" s="19" t="s">
        <v>114</v>
      </c>
      <c r="BX18" s="19" t="s">
        <v>114</v>
      </c>
      <c r="BY18" s="19" t="s">
        <v>114</v>
      </c>
      <c r="BZ18" s="21" t="s">
        <v>114</v>
      </c>
      <c r="CA18" s="21" t="s">
        <v>114</v>
      </c>
      <c r="CB18" s="21" t="s">
        <v>114</v>
      </c>
      <c r="CC18" s="21" t="s">
        <v>114</v>
      </c>
      <c r="CD18" s="21" t="s">
        <v>114</v>
      </c>
      <c r="CE18" s="21" t="s">
        <v>114</v>
      </c>
      <c r="CF18" s="19" t="s">
        <v>114</v>
      </c>
      <c r="CG18" s="19">
        <v>98300</v>
      </c>
      <c r="CH18" s="19">
        <v>98301</v>
      </c>
      <c r="CI18" s="21" t="s">
        <v>114</v>
      </c>
      <c r="CJ18" s="21" t="s">
        <v>114</v>
      </c>
      <c r="CK18" s="21" t="s">
        <v>114</v>
      </c>
      <c r="CL18" s="21" t="s">
        <v>114</v>
      </c>
      <c r="CM18" s="21" t="s">
        <v>114</v>
      </c>
      <c r="CN18" s="21" t="s">
        <v>114</v>
      </c>
      <c r="CO18" s="21" t="s">
        <v>114</v>
      </c>
      <c r="CP18" s="21" t="s">
        <v>114</v>
      </c>
      <c r="CQ18" s="21" t="s">
        <v>114</v>
      </c>
      <c r="CR18" s="21" t="s">
        <v>114</v>
      </c>
      <c r="CS18" s="21" t="s">
        <v>114</v>
      </c>
      <c r="CT18" s="21" t="s">
        <v>114</v>
      </c>
      <c r="CU18" s="21" t="s">
        <v>114</v>
      </c>
      <c r="CV18" s="21">
        <v>98424</v>
      </c>
      <c r="CW18" s="21" t="s">
        <v>114</v>
      </c>
      <c r="CX18" s="21" t="s">
        <v>114</v>
      </c>
      <c r="CY18" s="21" t="s">
        <v>114</v>
      </c>
      <c r="CZ18" s="21" t="s">
        <v>114</v>
      </c>
      <c r="DA18" s="21" t="s">
        <v>114</v>
      </c>
      <c r="DB18" s="21" t="s">
        <v>114</v>
      </c>
      <c r="DC18" s="21" t="s">
        <v>114</v>
      </c>
      <c r="DD18" s="21" t="s">
        <v>114</v>
      </c>
      <c r="DE18" s="21" t="s">
        <v>114</v>
      </c>
      <c r="DF18" s="19" t="s">
        <v>114</v>
      </c>
      <c r="DG18" s="19" t="s">
        <v>114</v>
      </c>
      <c r="DH18" s="19" t="s">
        <v>114</v>
      </c>
      <c r="DI18" s="19" t="s">
        <v>114</v>
      </c>
      <c r="DJ18" s="19" t="s">
        <v>114</v>
      </c>
      <c r="DK18" s="19" t="s">
        <v>114</v>
      </c>
      <c r="DL18" s="19" t="s">
        <v>114</v>
      </c>
      <c r="DM18" s="19" t="s">
        <v>114</v>
      </c>
      <c r="DN18" s="19" t="s">
        <v>114</v>
      </c>
      <c r="DO18" s="19" t="s">
        <v>114</v>
      </c>
    </row>
    <row r="19" spans="1:119" hidden="1" x14ac:dyDescent="0.45">
      <c r="A19" s="2" t="s">
        <v>275</v>
      </c>
      <c r="B19" t="s">
        <v>276</v>
      </c>
      <c r="C19" s="2">
        <v>60</v>
      </c>
      <c r="D19" s="6">
        <v>701</v>
      </c>
      <c r="E19" s="2" t="s">
        <v>277</v>
      </c>
      <c r="F19" t="s">
        <v>277</v>
      </c>
      <c r="H19" s="2" t="s">
        <v>278</v>
      </c>
      <c r="I19" s="2" t="s">
        <v>277</v>
      </c>
      <c r="J19" s="2">
        <v>19</v>
      </c>
      <c r="K19" t="s">
        <v>157</v>
      </c>
      <c r="L19" s="2">
        <v>21</v>
      </c>
      <c r="M19" t="s">
        <v>279</v>
      </c>
      <c r="N19" s="2"/>
      <c r="P19" s="2" t="s">
        <v>280</v>
      </c>
      <c r="Q19" s="2" t="s">
        <v>280</v>
      </c>
      <c r="R19" s="2">
        <v>513</v>
      </c>
      <c r="S19" s="2" t="s">
        <v>1000</v>
      </c>
      <c r="T19" s="2">
        <v>21</v>
      </c>
      <c r="U19" t="s">
        <v>279</v>
      </c>
      <c r="V19" t="s">
        <v>2455</v>
      </c>
      <c r="W19" t="s">
        <v>2455</v>
      </c>
      <c r="X19" t="s">
        <v>2440</v>
      </c>
      <c r="Y19" t="s">
        <v>279</v>
      </c>
      <c r="Z19" t="s">
        <v>2467</v>
      </c>
      <c r="AA19" t="s">
        <v>2799</v>
      </c>
      <c r="AB19" t="s">
        <v>2872</v>
      </c>
      <c r="AC19" s="2" t="s">
        <v>130</v>
      </c>
      <c r="AD19" s="4" t="s">
        <v>1891</v>
      </c>
      <c r="AE19" t="s">
        <v>131</v>
      </c>
      <c r="AF19" t="s">
        <v>1886</v>
      </c>
      <c r="AG19" t="s">
        <v>1887</v>
      </c>
      <c r="AH19" t="s">
        <v>105</v>
      </c>
      <c r="AI19" s="3" t="s">
        <v>178</v>
      </c>
      <c r="AJ19" s="3" t="s">
        <v>106</v>
      </c>
      <c r="AK19" s="3" t="s">
        <v>107</v>
      </c>
      <c r="AL19" s="5" t="s">
        <v>281</v>
      </c>
      <c r="AM19" s="5" t="s">
        <v>109</v>
      </c>
      <c r="AO19" s="3" t="s">
        <v>119</v>
      </c>
      <c r="AP19" s="3" t="s">
        <v>120</v>
      </c>
      <c r="AQ19" s="3" t="s">
        <v>111</v>
      </c>
      <c r="AR19" s="3" t="s">
        <v>112</v>
      </c>
      <c r="AS19" s="3" t="s">
        <v>112</v>
      </c>
      <c r="AT19" s="3" t="s">
        <v>113</v>
      </c>
      <c r="AU19" s="3" t="s">
        <v>2303</v>
      </c>
      <c r="AV19" s="3" t="s">
        <v>2302</v>
      </c>
      <c r="AW19" s="3" t="s">
        <v>2301</v>
      </c>
      <c r="AX19" t="s">
        <v>282</v>
      </c>
      <c r="AY19" s="19" t="s">
        <v>114</v>
      </c>
      <c r="AZ19" s="19" t="s">
        <v>114</v>
      </c>
      <c r="BA19" s="19" t="s">
        <v>114</v>
      </c>
      <c r="BB19" s="19" t="s">
        <v>114</v>
      </c>
      <c r="BC19" s="19" t="s">
        <v>114</v>
      </c>
      <c r="BD19" s="19" t="s">
        <v>114</v>
      </c>
      <c r="BE19" s="19" t="s">
        <v>114</v>
      </c>
      <c r="BF19" s="19" t="s">
        <v>114</v>
      </c>
      <c r="BG19" s="19" t="s">
        <v>114</v>
      </c>
      <c r="BH19" s="19" t="s">
        <v>114</v>
      </c>
      <c r="BI19" s="19" t="s">
        <v>114</v>
      </c>
      <c r="BJ19" s="19" t="s">
        <v>114</v>
      </c>
      <c r="BK19" s="19" t="s">
        <v>114</v>
      </c>
      <c r="BL19" s="19" t="s">
        <v>114</v>
      </c>
      <c r="BM19" s="19" t="s">
        <v>114</v>
      </c>
      <c r="BN19" s="19" t="s">
        <v>114</v>
      </c>
      <c r="BO19" s="19" t="s">
        <v>114</v>
      </c>
      <c r="BP19" s="19" t="s">
        <v>114</v>
      </c>
      <c r="BQ19" s="19" t="s">
        <v>114</v>
      </c>
      <c r="BR19" s="19" t="s">
        <v>114</v>
      </c>
      <c r="BS19" s="19" t="s">
        <v>114</v>
      </c>
      <c r="BT19" s="19" t="s">
        <v>114</v>
      </c>
      <c r="BU19" s="19" t="s">
        <v>114</v>
      </c>
      <c r="BV19" s="19" t="s">
        <v>114</v>
      </c>
      <c r="BW19" s="19" t="s">
        <v>114</v>
      </c>
      <c r="BX19" s="19" t="s">
        <v>114</v>
      </c>
      <c r="BY19" s="19" t="s">
        <v>114</v>
      </c>
      <c r="BZ19" s="21" t="s">
        <v>114</v>
      </c>
      <c r="CA19" s="21" t="s">
        <v>114</v>
      </c>
      <c r="CB19" s="21" t="s">
        <v>114</v>
      </c>
      <c r="CC19" s="21" t="s">
        <v>114</v>
      </c>
      <c r="CD19" s="21" t="s">
        <v>114</v>
      </c>
      <c r="CE19" s="21" t="s">
        <v>114</v>
      </c>
      <c r="CF19" s="19" t="s">
        <v>114</v>
      </c>
      <c r="CG19" s="19" t="s">
        <v>114</v>
      </c>
      <c r="CH19" s="19" t="s">
        <v>114</v>
      </c>
      <c r="CI19" s="21" t="s">
        <v>114</v>
      </c>
      <c r="CJ19" s="21" t="s">
        <v>114</v>
      </c>
      <c r="CK19" s="21" t="s">
        <v>114</v>
      </c>
      <c r="CL19" s="21" t="s">
        <v>114</v>
      </c>
      <c r="CM19" s="21" t="s">
        <v>114</v>
      </c>
      <c r="CN19" s="21" t="s">
        <v>114</v>
      </c>
      <c r="CO19" s="21" t="s">
        <v>114</v>
      </c>
      <c r="CP19" s="21" t="s">
        <v>114</v>
      </c>
      <c r="CQ19" s="21" t="s">
        <v>114</v>
      </c>
      <c r="CR19" s="21" t="s">
        <v>114</v>
      </c>
      <c r="CS19" s="21" t="s">
        <v>114</v>
      </c>
      <c r="CT19" s="21" t="s">
        <v>114</v>
      </c>
      <c r="CU19" s="21" t="s">
        <v>114</v>
      </c>
      <c r="CV19" s="21" t="s">
        <v>114</v>
      </c>
      <c r="CW19" s="21">
        <v>98425</v>
      </c>
      <c r="CX19" s="21" t="s">
        <v>114</v>
      </c>
      <c r="CY19" s="21" t="s">
        <v>114</v>
      </c>
      <c r="CZ19" s="21" t="s">
        <v>114</v>
      </c>
      <c r="DA19" s="21" t="s">
        <v>114</v>
      </c>
      <c r="DB19" s="21" t="s">
        <v>114</v>
      </c>
      <c r="DC19" s="21" t="s">
        <v>114</v>
      </c>
      <c r="DD19" s="21" t="s">
        <v>114</v>
      </c>
      <c r="DE19" s="21" t="s">
        <v>114</v>
      </c>
      <c r="DF19" s="19" t="s">
        <v>114</v>
      </c>
      <c r="DG19" s="19" t="s">
        <v>114</v>
      </c>
      <c r="DH19" s="19" t="s">
        <v>114</v>
      </c>
      <c r="DI19" s="19" t="s">
        <v>114</v>
      </c>
      <c r="DJ19" s="19" t="s">
        <v>114</v>
      </c>
      <c r="DK19" s="19" t="s">
        <v>114</v>
      </c>
      <c r="DL19" s="19" t="s">
        <v>114</v>
      </c>
      <c r="DM19" s="19" t="s">
        <v>114</v>
      </c>
      <c r="DN19" s="19" t="s">
        <v>114</v>
      </c>
      <c r="DO19" s="19" t="s">
        <v>114</v>
      </c>
    </row>
    <row r="20" spans="1:119" hidden="1" x14ac:dyDescent="0.45">
      <c r="A20" s="2" t="s">
        <v>295</v>
      </c>
      <c r="B20" t="s">
        <v>296</v>
      </c>
      <c r="C20" s="2">
        <v>535</v>
      </c>
      <c r="D20" s="6">
        <v>307</v>
      </c>
      <c r="E20" s="2" t="s">
        <v>1556</v>
      </c>
      <c r="F20" t="s">
        <v>297</v>
      </c>
      <c r="H20" s="2" t="s">
        <v>298</v>
      </c>
      <c r="I20" s="2" t="s">
        <v>299</v>
      </c>
      <c r="J20" s="2">
        <v>19</v>
      </c>
      <c r="K20" t="s">
        <v>157</v>
      </c>
      <c r="L20" s="2">
        <v>419</v>
      </c>
      <c r="M20" t="s">
        <v>174</v>
      </c>
      <c r="N20">
        <v>29</v>
      </c>
      <c r="O20" t="s">
        <v>175</v>
      </c>
      <c r="P20" s="2" t="s">
        <v>176</v>
      </c>
      <c r="Q20" s="2" t="s">
        <v>177</v>
      </c>
      <c r="R20" s="2">
        <v>419</v>
      </c>
      <c r="S20" s="4" t="s">
        <v>174</v>
      </c>
      <c r="T20" s="2">
        <v>419</v>
      </c>
      <c r="U20" s="4" t="s">
        <v>174</v>
      </c>
      <c r="V20" t="s">
        <v>2455</v>
      </c>
      <c r="W20" t="s">
        <v>2455</v>
      </c>
      <c r="X20" t="e">
        <v>#N/A</v>
      </c>
      <c r="Y20" t="s">
        <v>175</v>
      </c>
      <c r="Z20" t="s">
        <v>175</v>
      </c>
      <c r="AA20" t="s">
        <v>2799</v>
      </c>
      <c r="AB20" t="s">
        <v>2872</v>
      </c>
      <c r="AC20" s="2" t="s">
        <v>1888</v>
      </c>
      <c r="AD20" s="2" t="s">
        <v>1888</v>
      </c>
      <c r="AE20" t="s">
        <v>104</v>
      </c>
      <c r="AF20" t="s">
        <v>1886</v>
      </c>
      <c r="AG20" s="3" t="s">
        <v>1887</v>
      </c>
      <c r="AH20" t="s">
        <v>105</v>
      </c>
      <c r="AI20" s="3" t="s">
        <v>178</v>
      </c>
      <c r="AJ20" s="3" t="s">
        <v>106</v>
      </c>
      <c r="AK20" s="3" t="s">
        <v>107</v>
      </c>
      <c r="AL20" s="5" t="s">
        <v>156</v>
      </c>
      <c r="AM20" s="5" t="s">
        <v>109</v>
      </c>
      <c r="AO20" s="3" t="s">
        <v>119</v>
      </c>
      <c r="AP20" s="3" t="s">
        <v>120</v>
      </c>
      <c r="AQ20" s="3" t="s">
        <v>27</v>
      </c>
      <c r="AR20" s="3" t="s">
        <v>112</v>
      </c>
      <c r="AS20" s="3" t="s">
        <v>112</v>
      </c>
      <c r="AT20" s="3" t="s">
        <v>113</v>
      </c>
      <c r="AU20" s="3" t="s">
        <v>2303</v>
      </c>
      <c r="AV20" s="3" t="s">
        <v>2302</v>
      </c>
      <c r="AW20" s="3" t="s">
        <v>2301</v>
      </c>
      <c r="AX20" s="3" t="s">
        <v>2006</v>
      </c>
      <c r="AY20" s="19" t="s">
        <v>114</v>
      </c>
      <c r="AZ20" s="19" t="s">
        <v>114</v>
      </c>
      <c r="BA20" s="19" t="s">
        <v>114</v>
      </c>
      <c r="BB20" s="19" t="s">
        <v>114</v>
      </c>
      <c r="BC20" s="19" t="s">
        <v>114</v>
      </c>
      <c r="BD20" s="19" t="s">
        <v>114</v>
      </c>
      <c r="BE20" s="19" t="s">
        <v>114</v>
      </c>
      <c r="BF20" s="19" t="s">
        <v>114</v>
      </c>
      <c r="BG20" s="19" t="s">
        <v>114</v>
      </c>
      <c r="BH20" s="19" t="s">
        <v>114</v>
      </c>
      <c r="BI20" s="19" t="s">
        <v>114</v>
      </c>
      <c r="BJ20" s="19" t="s">
        <v>114</v>
      </c>
      <c r="BK20" s="19" t="s">
        <v>114</v>
      </c>
      <c r="BL20" s="19" t="s">
        <v>114</v>
      </c>
      <c r="BM20" s="19" t="s">
        <v>114</v>
      </c>
      <c r="BN20" s="19" t="s">
        <v>114</v>
      </c>
      <c r="BO20" s="19" t="s">
        <v>114</v>
      </c>
      <c r="BP20" s="19" t="s">
        <v>114</v>
      </c>
      <c r="BQ20" s="19" t="s">
        <v>114</v>
      </c>
      <c r="BR20" s="19" t="s">
        <v>114</v>
      </c>
      <c r="BS20" s="19" t="s">
        <v>114</v>
      </c>
      <c r="BT20" s="19" t="s">
        <v>114</v>
      </c>
      <c r="BU20" s="19" t="s">
        <v>114</v>
      </c>
      <c r="BV20" s="19" t="s">
        <v>114</v>
      </c>
      <c r="BW20" s="19" t="s">
        <v>114</v>
      </c>
      <c r="BX20" s="19" t="s">
        <v>114</v>
      </c>
      <c r="BY20" s="19" t="s">
        <v>114</v>
      </c>
      <c r="BZ20" s="21" t="s">
        <v>114</v>
      </c>
      <c r="CA20" s="21" t="s">
        <v>114</v>
      </c>
      <c r="CB20" s="21" t="s">
        <v>114</v>
      </c>
      <c r="CC20" s="21" t="s">
        <v>114</v>
      </c>
      <c r="CD20" s="21" t="s">
        <v>114</v>
      </c>
      <c r="CE20" s="21" t="s">
        <v>114</v>
      </c>
      <c r="CF20" s="19" t="s">
        <v>114</v>
      </c>
      <c r="CG20" s="19">
        <v>98300</v>
      </c>
      <c r="CH20" s="19">
        <v>98301</v>
      </c>
      <c r="CI20" s="21" t="s">
        <v>114</v>
      </c>
      <c r="CJ20" s="21" t="s">
        <v>114</v>
      </c>
      <c r="CK20" s="21" t="s">
        <v>114</v>
      </c>
      <c r="CL20" s="21" t="s">
        <v>114</v>
      </c>
      <c r="CM20" s="21" t="s">
        <v>114</v>
      </c>
      <c r="CN20" s="21" t="s">
        <v>114</v>
      </c>
      <c r="CO20" s="21" t="s">
        <v>114</v>
      </c>
      <c r="CP20" s="21" t="s">
        <v>114</v>
      </c>
      <c r="CQ20" s="21" t="s">
        <v>114</v>
      </c>
      <c r="CR20" s="21" t="s">
        <v>114</v>
      </c>
      <c r="CS20" s="21" t="s">
        <v>114</v>
      </c>
      <c r="CT20" s="21" t="s">
        <v>114</v>
      </c>
      <c r="CU20" s="21" t="s">
        <v>114</v>
      </c>
      <c r="CV20" s="21">
        <v>98424</v>
      </c>
      <c r="CW20" s="21" t="s">
        <v>114</v>
      </c>
      <c r="CX20" s="21" t="s">
        <v>114</v>
      </c>
      <c r="CY20" s="21" t="s">
        <v>114</v>
      </c>
      <c r="CZ20" s="21" t="s">
        <v>114</v>
      </c>
      <c r="DA20" s="21" t="s">
        <v>114</v>
      </c>
      <c r="DB20" s="21" t="s">
        <v>114</v>
      </c>
      <c r="DC20" s="21" t="s">
        <v>114</v>
      </c>
      <c r="DD20" s="21" t="s">
        <v>114</v>
      </c>
      <c r="DE20" s="21" t="s">
        <v>114</v>
      </c>
      <c r="DF20" s="19" t="s">
        <v>114</v>
      </c>
      <c r="DG20" s="19" t="s">
        <v>114</v>
      </c>
      <c r="DH20" s="19" t="s">
        <v>114</v>
      </c>
      <c r="DI20" s="19" t="s">
        <v>114</v>
      </c>
      <c r="DJ20" s="19" t="s">
        <v>114</v>
      </c>
      <c r="DK20" s="19" t="s">
        <v>114</v>
      </c>
      <c r="DL20" s="19" t="s">
        <v>114</v>
      </c>
      <c r="DM20" s="19" t="s">
        <v>114</v>
      </c>
      <c r="DN20" s="19" t="s">
        <v>114</v>
      </c>
      <c r="DO20" s="19" t="s">
        <v>114</v>
      </c>
    </row>
    <row r="21" spans="1:119" hidden="1" x14ac:dyDescent="0.45">
      <c r="A21" s="2" t="s">
        <v>329</v>
      </c>
      <c r="B21" t="s">
        <v>330</v>
      </c>
      <c r="C21" s="2">
        <v>92</v>
      </c>
      <c r="D21" s="6">
        <v>308</v>
      </c>
      <c r="E21" s="2" t="s">
        <v>1567</v>
      </c>
      <c r="F21" t="s">
        <v>331</v>
      </c>
      <c r="H21" s="2" t="s">
        <v>332</v>
      </c>
      <c r="I21" s="2" t="s">
        <v>333</v>
      </c>
      <c r="J21" s="2">
        <v>19</v>
      </c>
      <c r="K21" t="s">
        <v>157</v>
      </c>
      <c r="L21" s="2">
        <v>419</v>
      </c>
      <c r="M21" t="s">
        <v>174</v>
      </c>
      <c r="N21">
        <v>29</v>
      </c>
      <c r="O21" t="s">
        <v>175</v>
      </c>
      <c r="P21" s="2" t="s">
        <v>176</v>
      </c>
      <c r="Q21" s="2" t="s">
        <v>177</v>
      </c>
      <c r="R21" s="2">
        <v>419</v>
      </c>
      <c r="S21" s="4" t="s">
        <v>174</v>
      </c>
      <c r="T21" s="2">
        <v>419</v>
      </c>
      <c r="U21" s="4" t="s">
        <v>174</v>
      </c>
      <c r="V21" t="s">
        <v>2455</v>
      </c>
      <c r="W21" t="s">
        <v>2455</v>
      </c>
      <c r="X21" t="s">
        <v>2440</v>
      </c>
      <c r="Y21" t="s">
        <v>175</v>
      </c>
      <c r="Z21" t="s">
        <v>175</v>
      </c>
      <c r="AA21" t="s">
        <v>2799</v>
      </c>
      <c r="AB21" t="s">
        <v>2872</v>
      </c>
      <c r="AC21" s="2" t="s">
        <v>130</v>
      </c>
      <c r="AD21" s="4" t="s">
        <v>1891</v>
      </c>
      <c r="AE21" t="s">
        <v>104</v>
      </c>
      <c r="AF21" t="s">
        <v>1886</v>
      </c>
      <c r="AG21" s="3" t="s">
        <v>1887</v>
      </c>
      <c r="AH21" t="s">
        <v>105</v>
      </c>
      <c r="AI21" s="3" t="s">
        <v>178</v>
      </c>
      <c r="AJ21" s="3" t="s">
        <v>106</v>
      </c>
      <c r="AK21" s="3" t="s">
        <v>107</v>
      </c>
      <c r="AL21" s="5" t="s">
        <v>156</v>
      </c>
      <c r="AM21" s="5" t="s">
        <v>109</v>
      </c>
      <c r="AO21" s="3" t="s">
        <v>119</v>
      </c>
      <c r="AP21" s="3" t="s">
        <v>120</v>
      </c>
      <c r="AQ21" s="3" t="s">
        <v>27</v>
      </c>
      <c r="AR21" s="3" t="s">
        <v>112</v>
      </c>
      <c r="AS21" s="3" t="s">
        <v>112</v>
      </c>
      <c r="AT21" s="3" t="s">
        <v>113</v>
      </c>
      <c r="AU21" s="3" t="s">
        <v>2303</v>
      </c>
      <c r="AV21" s="3" t="s">
        <v>2302</v>
      </c>
      <c r="AW21" s="3" t="s">
        <v>2301</v>
      </c>
      <c r="AX21" s="3" t="s">
        <v>2006</v>
      </c>
      <c r="AY21" s="19" t="s">
        <v>114</v>
      </c>
      <c r="AZ21" s="19" t="s">
        <v>114</v>
      </c>
      <c r="BA21" s="19" t="s">
        <v>114</v>
      </c>
      <c r="BB21" s="19" t="s">
        <v>114</v>
      </c>
      <c r="BC21" s="19" t="s">
        <v>114</v>
      </c>
      <c r="BD21" s="19" t="s">
        <v>114</v>
      </c>
      <c r="BE21" s="19" t="s">
        <v>114</v>
      </c>
      <c r="BF21" s="19" t="s">
        <v>114</v>
      </c>
      <c r="BG21" s="19" t="s">
        <v>114</v>
      </c>
      <c r="BH21" s="19" t="s">
        <v>114</v>
      </c>
      <c r="BI21" s="19" t="s">
        <v>114</v>
      </c>
      <c r="BJ21" s="19" t="s">
        <v>114</v>
      </c>
      <c r="BK21" s="19" t="s">
        <v>114</v>
      </c>
      <c r="BL21" s="19" t="s">
        <v>114</v>
      </c>
      <c r="BM21" s="19" t="s">
        <v>114</v>
      </c>
      <c r="BN21" s="19" t="s">
        <v>114</v>
      </c>
      <c r="BO21" s="19" t="s">
        <v>114</v>
      </c>
      <c r="BP21" s="19" t="s">
        <v>114</v>
      </c>
      <c r="BQ21" s="19" t="s">
        <v>114</v>
      </c>
      <c r="BR21" s="19" t="s">
        <v>114</v>
      </c>
      <c r="BS21" s="19" t="s">
        <v>114</v>
      </c>
      <c r="BT21" s="19" t="s">
        <v>114</v>
      </c>
      <c r="BU21" s="19" t="s">
        <v>114</v>
      </c>
      <c r="BV21" s="19" t="s">
        <v>114</v>
      </c>
      <c r="BW21" s="19" t="s">
        <v>114</v>
      </c>
      <c r="BX21" s="19" t="s">
        <v>114</v>
      </c>
      <c r="BY21" s="19" t="s">
        <v>114</v>
      </c>
      <c r="BZ21" s="21" t="s">
        <v>114</v>
      </c>
      <c r="CA21" s="21" t="s">
        <v>114</v>
      </c>
      <c r="CB21" s="21" t="s">
        <v>114</v>
      </c>
      <c r="CC21" s="21" t="s">
        <v>114</v>
      </c>
      <c r="CD21" s="21" t="s">
        <v>114</v>
      </c>
      <c r="CE21" s="21" t="s">
        <v>114</v>
      </c>
      <c r="CF21" s="19" t="s">
        <v>114</v>
      </c>
      <c r="CG21" s="19">
        <v>98300</v>
      </c>
      <c r="CH21" s="19">
        <v>98301</v>
      </c>
      <c r="CI21" s="21" t="s">
        <v>114</v>
      </c>
      <c r="CJ21" s="21" t="s">
        <v>114</v>
      </c>
      <c r="CK21" s="21" t="s">
        <v>114</v>
      </c>
      <c r="CL21" s="21" t="s">
        <v>114</v>
      </c>
      <c r="CM21" s="21" t="s">
        <v>114</v>
      </c>
      <c r="CN21" s="21" t="s">
        <v>114</v>
      </c>
      <c r="CO21" s="21" t="s">
        <v>114</v>
      </c>
      <c r="CP21" s="21" t="s">
        <v>114</v>
      </c>
      <c r="CQ21" s="21" t="s">
        <v>114</v>
      </c>
      <c r="CR21" s="21" t="s">
        <v>114</v>
      </c>
      <c r="CS21" s="21" t="s">
        <v>114</v>
      </c>
      <c r="CT21" s="21" t="s">
        <v>114</v>
      </c>
      <c r="CU21" s="21" t="s">
        <v>114</v>
      </c>
      <c r="CV21" s="21">
        <v>98424</v>
      </c>
      <c r="CW21" s="21" t="s">
        <v>114</v>
      </c>
      <c r="CX21" s="21" t="s">
        <v>114</v>
      </c>
      <c r="CY21" s="21" t="s">
        <v>114</v>
      </c>
      <c r="CZ21" s="21" t="s">
        <v>114</v>
      </c>
      <c r="DA21" s="21" t="s">
        <v>114</v>
      </c>
      <c r="DB21" s="21" t="s">
        <v>114</v>
      </c>
      <c r="DC21" s="21" t="s">
        <v>114</v>
      </c>
      <c r="DD21" s="21" t="s">
        <v>114</v>
      </c>
      <c r="DE21" s="21" t="s">
        <v>114</v>
      </c>
      <c r="DF21" s="19" t="s">
        <v>114</v>
      </c>
      <c r="DG21" s="19" t="s">
        <v>114</v>
      </c>
      <c r="DH21" s="19" t="s">
        <v>114</v>
      </c>
      <c r="DI21" s="19" t="s">
        <v>114</v>
      </c>
      <c r="DJ21" s="19" t="s">
        <v>114</v>
      </c>
      <c r="DK21" s="19" t="s">
        <v>114</v>
      </c>
      <c r="DL21" s="19" t="s">
        <v>114</v>
      </c>
      <c r="DM21" s="19" t="s">
        <v>114</v>
      </c>
      <c r="DN21" s="19" t="s">
        <v>114</v>
      </c>
      <c r="DO21" s="19" t="s">
        <v>114</v>
      </c>
    </row>
    <row r="22" spans="1:119" hidden="1" x14ac:dyDescent="0.45">
      <c r="A22" s="2" t="s">
        <v>374</v>
      </c>
      <c r="B22" t="s">
        <v>375</v>
      </c>
      <c r="C22" s="2">
        <v>136</v>
      </c>
      <c r="D22" s="6">
        <v>309</v>
      </c>
      <c r="E22" s="2" t="s">
        <v>1578</v>
      </c>
      <c r="F22" t="s">
        <v>376</v>
      </c>
      <c r="H22" s="2" t="s">
        <v>377</v>
      </c>
      <c r="I22" s="2" t="s">
        <v>378</v>
      </c>
      <c r="J22" s="2">
        <v>19</v>
      </c>
      <c r="K22" t="s">
        <v>157</v>
      </c>
      <c r="L22" s="2">
        <v>419</v>
      </c>
      <c r="M22" t="s">
        <v>174</v>
      </c>
      <c r="N22">
        <v>29</v>
      </c>
      <c r="O22" t="s">
        <v>175</v>
      </c>
      <c r="P22" s="2" t="s">
        <v>176</v>
      </c>
      <c r="Q22" s="2" t="s">
        <v>177</v>
      </c>
      <c r="R22" s="2">
        <v>419</v>
      </c>
      <c r="S22" s="4" t="s">
        <v>174</v>
      </c>
      <c r="T22" s="2">
        <v>419</v>
      </c>
      <c r="U22" s="4" t="s">
        <v>174</v>
      </c>
      <c r="V22" t="s">
        <v>2455</v>
      </c>
      <c r="W22" t="s">
        <v>2455</v>
      </c>
      <c r="X22" t="s">
        <v>2440</v>
      </c>
      <c r="Y22" t="s">
        <v>175</v>
      </c>
      <c r="Z22" t="s">
        <v>175</v>
      </c>
      <c r="AA22" t="s">
        <v>2799</v>
      </c>
      <c r="AB22" t="s">
        <v>2872</v>
      </c>
      <c r="AC22" s="2" t="s">
        <v>130</v>
      </c>
      <c r="AD22" s="4" t="s">
        <v>1891</v>
      </c>
      <c r="AE22" t="s">
        <v>104</v>
      </c>
      <c r="AF22" t="s">
        <v>1886</v>
      </c>
      <c r="AG22" s="3" t="s">
        <v>1887</v>
      </c>
      <c r="AH22" t="s">
        <v>105</v>
      </c>
      <c r="AI22" s="3" t="s">
        <v>178</v>
      </c>
      <c r="AJ22" s="3" t="s">
        <v>106</v>
      </c>
      <c r="AK22" s="3" t="s">
        <v>107</v>
      </c>
      <c r="AL22" s="5" t="s">
        <v>379</v>
      </c>
      <c r="AM22" s="5" t="s">
        <v>109</v>
      </c>
      <c r="AO22" s="3" t="s">
        <v>119</v>
      </c>
      <c r="AP22" s="3" t="s">
        <v>120</v>
      </c>
      <c r="AQ22" s="3" t="s">
        <v>111</v>
      </c>
      <c r="AR22" s="3" t="s">
        <v>112</v>
      </c>
      <c r="AS22" s="3" t="s">
        <v>112</v>
      </c>
      <c r="AT22" s="3" t="s">
        <v>113</v>
      </c>
      <c r="AU22" s="3" t="s">
        <v>2303</v>
      </c>
      <c r="AV22" s="3" t="s">
        <v>2302</v>
      </c>
      <c r="AW22" s="3" t="s">
        <v>2301</v>
      </c>
      <c r="AX22" s="3" t="s">
        <v>2006</v>
      </c>
      <c r="AY22" s="19" t="s">
        <v>114</v>
      </c>
      <c r="AZ22" s="19" t="s">
        <v>114</v>
      </c>
      <c r="BA22" s="19" t="s">
        <v>114</v>
      </c>
      <c r="BB22" s="19" t="s">
        <v>114</v>
      </c>
      <c r="BC22" s="19" t="s">
        <v>114</v>
      </c>
      <c r="BD22" s="19" t="s">
        <v>114</v>
      </c>
      <c r="BE22" s="19" t="s">
        <v>114</v>
      </c>
      <c r="BF22" s="19" t="s">
        <v>114</v>
      </c>
      <c r="BG22" s="19" t="s">
        <v>114</v>
      </c>
      <c r="BH22" s="19" t="s">
        <v>114</v>
      </c>
      <c r="BI22" s="19" t="s">
        <v>114</v>
      </c>
      <c r="BJ22" s="19" t="s">
        <v>114</v>
      </c>
      <c r="BK22" s="19" t="s">
        <v>114</v>
      </c>
      <c r="BL22" s="19" t="s">
        <v>114</v>
      </c>
      <c r="BM22" s="19" t="s">
        <v>114</v>
      </c>
      <c r="BN22" s="19" t="s">
        <v>114</v>
      </c>
      <c r="BO22" s="19" t="s">
        <v>114</v>
      </c>
      <c r="BP22" s="19" t="s">
        <v>114</v>
      </c>
      <c r="BQ22" s="19" t="s">
        <v>114</v>
      </c>
      <c r="BR22" s="19" t="s">
        <v>114</v>
      </c>
      <c r="BS22" s="19" t="s">
        <v>114</v>
      </c>
      <c r="BT22" s="19" t="s">
        <v>114</v>
      </c>
      <c r="BU22" s="19" t="s">
        <v>114</v>
      </c>
      <c r="BV22" s="19" t="s">
        <v>114</v>
      </c>
      <c r="BW22" s="19" t="s">
        <v>114</v>
      </c>
      <c r="BX22" s="19" t="s">
        <v>114</v>
      </c>
      <c r="BY22" s="19" t="s">
        <v>114</v>
      </c>
      <c r="BZ22" s="21" t="s">
        <v>114</v>
      </c>
      <c r="CA22" s="21" t="s">
        <v>114</v>
      </c>
      <c r="CB22" s="21" t="s">
        <v>114</v>
      </c>
      <c r="CC22" s="21" t="s">
        <v>114</v>
      </c>
      <c r="CD22" s="21" t="s">
        <v>114</v>
      </c>
      <c r="CE22" s="21" t="s">
        <v>114</v>
      </c>
      <c r="CF22" s="19" t="s">
        <v>114</v>
      </c>
      <c r="CG22" s="19">
        <v>98300</v>
      </c>
      <c r="CH22" s="19">
        <v>98301</v>
      </c>
      <c r="CI22" s="21" t="s">
        <v>114</v>
      </c>
      <c r="CJ22" s="21" t="s">
        <v>114</v>
      </c>
      <c r="CK22" s="21" t="s">
        <v>114</v>
      </c>
      <c r="CL22" s="21" t="s">
        <v>114</v>
      </c>
      <c r="CM22" s="21" t="s">
        <v>114</v>
      </c>
      <c r="CN22" s="21" t="s">
        <v>114</v>
      </c>
      <c r="CO22" s="21" t="s">
        <v>114</v>
      </c>
      <c r="CP22" s="21" t="s">
        <v>114</v>
      </c>
      <c r="CQ22" s="21" t="s">
        <v>114</v>
      </c>
      <c r="CR22" s="21" t="s">
        <v>114</v>
      </c>
      <c r="CS22" s="21" t="s">
        <v>114</v>
      </c>
      <c r="CT22" s="21" t="s">
        <v>114</v>
      </c>
      <c r="CU22" s="21" t="s">
        <v>114</v>
      </c>
      <c r="CV22" s="21">
        <v>98424</v>
      </c>
      <c r="CW22" s="21" t="s">
        <v>114</v>
      </c>
      <c r="CX22" s="21" t="s">
        <v>114</v>
      </c>
      <c r="CY22" s="21" t="s">
        <v>114</v>
      </c>
      <c r="CZ22" s="21" t="s">
        <v>114</v>
      </c>
      <c r="DA22" s="21" t="s">
        <v>114</v>
      </c>
      <c r="DB22" s="21" t="s">
        <v>114</v>
      </c>
      <c r="DC22" s="21" t="s">
        <v>114</v>
      </c>
      <c r="DD22" s="21" t="s">
        <v>114</v>
      </c>
      <c r="DE22" s="21" t="s">
        <v>114</v>
      </c>
      <c r="DF22" s="19" t="s">
        <v>114</v>
      </c>
      <c r="DG22" s="19" t="s">
        <v>114</v>
      </c>
      <c r="DH22" s="19" t="s">
        <v>114</v>
      </c>
      <c r="DI22" s="19" t="s">
        <v>114</v>
      </c>
      <c r="DJ22" s="19" t="s">
        <v>114</v>
      </c>
      <c r="DK22" s="19" t="s">
        <v>114</v>
      </c>
      <c r="DL22" s="19" t="s">
        <v>114</v>
      </c>
      <c r="DM22" s="19" t="s">
        <v>114</v>
      </c>
      <c r="DN22" s="19" t="s">
        <v>114</v>
      </c>
      <c r="DO22" s="19" t="s">
        <v>114</v>
      </c>
    </row>
    <row r="23" spans="1:119" hidden="1" x14ac:dyDescent="0.45">
      <c r="A23" s="2" t="s">
        <v>473</v>
      </c>
      <c r="B23" t="s">
        <v>474</v>
      </c>
      <c r="C23" s="2">
        <v>192</v>
      </c>
      <c r="D23" s="6">
        <v>311</v>
      </c>
      <c r="E23" s="2" t="s">
        <v>475</v>
      </c>
      <c r="F23" t="s">
        <v>475</v>
      </c>
      <c r="G23" t="s">
        <v>2049</v>
      </c>
      <c r="H23" s="2" t="s">
        <v>475</v>
      </c>
      <c r="I23" s="2" t="s">
        <v>475</v>
      </c>
      <c r="J23" s="2">
        <v>19</v>
      </c>
      <c r="K23" t="s">
        <v>157</v>
      </c>
      <c r="L23" s="2">
        <v>419</v>
      </c>
      <c r="M23" t="s">
        <v>174</v>
      </c>
      <c r="N23">
        <v>29</v>
      </c>
      <c r="O23" t="s">
        <v>175</v>
      </c>
      <c r="P23" s="2" t="s">
        <v>176</v>
      </c>
      <c r="Q23" s="2" t="s">
        <v>177</v>
      </c>
      <c r="R23" s="2">
        <v>419</v>
      </c>
      <c r="S23" s="4" t="s">
        <v>174</v>
      </c>
      <c r="T23" s="2">
        <v>419</v>
      </c>
      <c r="U23" s="4" t="s">
        <v>174</v>
      </c>
      <c r="V23" t="s">
        <v>2455</v>
      </c>
      <c r="W23" t="s">
        <v>2455</v>
      </c>
      <c r="X23" t="s">
        <v>2440</v>
      </c>
      <c r="Y23" t="s">
        <v>175</v>
      </c>
      <c r="Z23" t="s">
        <v>175</v>
      </c>
      <c r="AA23" t="s">
        <v>2799</v>
      </c>
      <c r="AB23" t="s">
        <v>2872</v>
      </c>
      <c r="AC23" s="2" t="s">
        <v>138</v>
      </c>
      <c r="AD23" s="4" t="s">
        <v>1891</v>
      </c>
      <c r="AE23" t="s">
        <v>104</v>
      </c>
      <c r="AF23" t="s">
        <v>1885</v>
      </c>
      <c r="AG23" t="s">
        <v>1884</v>
      </c>
      <c r="AH23" t="s">
        <v>105</v>
      </c>
      <c r="AI23" s="3" t="s">
        <v>178</v>
      </c>
      <c r="AJ23" s="3" t="s">
        <v>106</v>
      </c>
      <c r="AK23" s="3" t="s">
        <v>107</v>
      </c>
      <c r="AL23" s="5" t="s">
        <v>476</v>
      </c>
      <c r="AM23" s="5" t="s">
        <v>109</v>
      </c>
      <c r="AN23" t="s">
        <v>110</v>
      </c>
      <c r="AO23" s="3" t="s">
        <v>119</v>
      </c>
      <c r="AP23" s="3" t="s">
        <v>120</v>
      </c>
      <c r="AQ23" s="3" t="s">
        <v>27</v>
      </c>
      <c r="AR23" s="3" t="s">
        <v>112</v>
      </c>
      <c r="AS23" s="3" t="s">
        <v>112</v>
      </c>
      <c r="AT23" t="s">
        <v>191</v>
      </c>
      <c r="AU23" s="3" t="s">
        <v>2303</v>
      </c>
      <c r="AV23" s="3" t="s">
        <v>2302</v>
      </c>
      <c r="AW23" s="3" t="s">
        <v>2301</v>
      </c>
      <c r="AX23" s="3" t="s">
        <v>2006</v>
      </c>
      <c r="AY23" s="19" t="s">
        <v>114</v>
      </c>
      <c r="AZ23" s="19" t="s">
        <v>114</v>
      </c>
      <c r="BA23" s="19" t="s">
        <v>114</v>
      </c>
      <c r="BB23" s="19" t="s">
        <v>114</v>
      </c>
      <c r="BC23" s="19" t="s">
        <v>114</v>
      </c>
      <c r="BD23" s="19" t="s">
        <v>114</v>
      </c>
      <c r="BE23" s="19" t="s">
        <v>114</v>
      </c>
      <c r="BF23" s="19" t="s">
        <v>114</v>
      </c>
      <c r="BG23" s="19" t="s">
        <v>114</v>
      </c>
      <c r="BH23" s="19" t="s">
        <v>114</v>
      </c>
      <c r="BI23" s="19" t="s">
        <v>114</v>
      </c>
      <c r="BJ23" s="19" t="s">
        <v>114</v>
      </c>
      <c r="BK23" s="19" t="s">
        <v>114</v>
      </c>
      <c r="BL23" s="19" t="s">
        <v>114</v>
      </c>
      <c r="BM23" s="19" t="s">
        <v>114</v>
      </c>
      <c r="BN23" s="19" t="s">
        <v>114</v>
      </c>
      <c r="BO23" s="19" t="s">
        <v>114</v>
      </c>
      <c r="BP23" s="19" t="s">
        <v>114</v>
      </c>
      <c r="BQ23" s="19" t="s">
        <v>114</v>
      </c>
      <c r="BR23" s="19" t="s">
        <v>114</v>
      </c>
      <c r="BS23" s="19" t="s">
        <v>114</v>
      </c>
      <c r="BT23" s="19" t="s">
        <v>114</v>
      </c>
      <c r="BU23" s="19" t="s">
        <v>114</v>
      </c>
      <c r="BV23" s="19" t="s">
        <v>114</v>
      </c>
      <c r="BW23" s="19" t="s">
        <v>114</v>
      </c>
      <c r="BX23" s="19" t="s">
        <v>114</v>
      </c>
      <c r="BY23" s="19" t="s">
        <v>114</v>
      </c>
      <c r="BZ23" s="21" t="s">
        <v>114</v>
      </c>
      <c r="CA23" s="21" t="s">
        <v>114</v>
      </c>
      <c r="CB23" s="21" t="s">
        <v>114</v>
      </c>
      <c r="CC23" s="21" t="s">
        <v>114</v>
      </c>
      <c r="CD23" s="21" t="s">
        <v>114</v>
      </c>
      <c r="CE23" s="21" t="s">
        <v>114</v>
      </c>
      <c r="CF23" s="19" t="s">
        <v>114</v>
      </c>
      <c r="CG23" s="19">
        <v>98300</v>
      </c>
      <c r="CH23" s="19" t="s">
        <v>114</v>
      </c>
      <c r="CI23" s="21">
        <v>98302</v>
      </c>
      <c r="CJ23" s="21" t="s">
        <v>114</v>
      </c>
      <c r="CK23" s="21" t="s">
        <v>114</v>
      </c>
      <c r="CL23" s="21" t="s">
        <v>114</v>
      </c>
      <c r="CM23" s="21" t="s">
        <v>114</v>
      </c>
      <c r="CN23" s="21" t="s">
        <v>114</v>
      </c>
      <c r="CO23" s="21" t="s">
        <v>114</v>
      </c>
      <c r="CP23" s="21" t="s">
        <v>114</v>
      </c>
      <c r="CQ23" s="21" t="s">
        <v>114</v>
      </c>
      <c r="CR23" s="21" t="s">
        <v>114</v>
      </c>
      <c r="CS23" s="21" t="s">
        <v>114</v>
      </c>
      <c r="CT23" s="21" t="s">
        <v>114</v>
      </c>
      <c r="CU23" s="21" t="s">
        <v>114</v>
      </c>
      <c r="CV23" s="21">
        <v>98424</v>
      </c>
      <c r="CW23" s="21" t="s">
        <v>114</v>
      </c>
      <c r="CX23" s="21" t="s">
        <v>114</v>
      </c>
      <c r="CY23" s="21" t="s">
        <v>114</v>
      </c>
      <c r="CZ23" s="21" t="s">
        <v>114</v>
      </c>
      <c r="DA23" s="21" t="s">
        <v>114</v>
      </c>
      <c r="DB23" s="21" t="s">
        <v>114</v>
      </c>
      <c r="DC23" s="21" t="s">
        <v>114</v>
      </c>
      <c r="DD23" s="21" t="s">
        <v>114</v>
      </c>
      <c r="DE23" s="21" t="s">
        <v>114</v>
      </c>
      <c r="DF23" s="19" t="s">
        <v>114</v>
      </c>
      <c r="DG23" s="19" t="s">
        <v>114</v>
      </c>
      <c r="DH23" s="19" t="s">
        <v>114</v>
      </c>
      <c r="DI23" s="19" t="s">
        <v>114</v>
      </c>
      <c r="DJ23" s="19" t="s">
        <v>114</v>
      </c>
      <c r="DK23" s="19" t="s">
        <v>114</v>
      </c>
      <c r="DL23" s="19" t="s">
        <v>114</v>
      </c>
      <c r="DM23" s="19" t="s">
        <v>114</v>
      </c>
      <c r="DN23" s="19" t="s">
        <v>114</v>
      </c>
      <c r="DO23" s="19" t="s">
        <v>114</v>
      </c>
    </row>
    <row r="24" spans="1:119" hidden="1" x14ac:dyDescent="0.45">
      <c r="A24" s="2" t="s">
        <v>477</v>
      </c>
      <c r="B24" t="s">
        <v>478</v>
      </c>
      <c r="C24" s="2">
        <v>531</v>
      </c>
      <c r="D24" s="6">
        <v>312</v>
      </c>
      <c r="E24" s="2" t="s">
        <v>479</v>
      </c>
      <c r="F24" t="s">
        <v>480</v>
      </c>
      <c r="H24" s="2" t="s">
        <v>480</v>
      </c>
      <c r="I24" s="2" t="s">
        <v>480</v>
      </c>
      <c r="J24" s="2">
        <v>19</v>
      </c>
      <c r="K24" t="s">
        <v>157</v>
      </c>
      <c r="L24" s="2">
        <v>419</v>
      </c>
      <c r="M24" t="s">
        <v>174</v>
      </c>
      <c r="N24">
        <v>29</v>
      </c>
      <c r="O24" t="s">
        <v>175</v>
      </c>
      <c r="P24" s="2" t="s">
        <v>176</v>
      </c>
      <c r="Q24" s="2" t="s">
        <v>177</v>
      </c>
      <c r="R24" s="2">
        <v>419</v>
      </c>
      <c r="S24" s="4" t="s">
        <v>174</v>
      </c>
      <c r="T24" s="2">
        <v>419</v>
      </c>
      <c r="U24" s="4" t="s">
        <v>174</v>
      </c>
      <c r="V24" t="s">
        <v>2455</v>
      </c>
      <c r="W24" t="s">
        <v>2455</v>
      </c>
      <c r="X24" t="s">
        <v>2440</v>
      </c>
      <c r="Y24" t="s">
        <v>175</v>
      </c>
      <c r="Z24" t="s">
        <v>175</v>
      </c>
      <c r="AA24" t="s">
        <v>2799</v>
      </c>
      <c r="AB24" t="s">
        <v>2872</v>
      </c>
      <c r="AC24" s="2" t="s">
        <v>130</v>
      </c>
      <c r="AD24" s="4" t="s">
        <v>1891</v>
      </c>
      <c r="AE24" t="s">
        <v>104</v>
      </c>
      <c r="AF24" t="s">
        <v>1886</v>
      </c>
      <c r="AG24" s="3" t="s">
        <v>1887</v>
      </c>
      <c r="AH24" t="s">
        <v>105</v>
      </c>
      <c r="AI24" s="3" t="s">
        <v>178</v>
      </c>
      <c r="AJ24" s="3" t="s">
        <v>106</v>
      </c>
      <c r="AK24" s="3" t="s">
        <v>107</v>
      </c>
      <c r="AL24" s="5" t="s">
        <v>481</v>
      </c>
      <c r="AM24" s="5" t="s">
        <v>109</v>
      </c>
      <c r="AO24" s="3" t="s">
        <v>119</v>
      </c>
      <c r="AP24" s="3" t="s">
        <v>120</v>
      </c>
      <c r="AQ24" s="3" t="s">
        <v>27</v>
      </c>
      <c r="AR24" s="3" t="s">
        <v>112</v>
      </c>
      <c r="AS24" s="3" t="s">
        <v>112</v>
      </c>
      <c r="AT24" s="3" t="s">
        <v>113</v>
      </c>
      <c r="AU24" s="3" t="s">
        <v>2303</v>
      </c>
      <c r="AV24" s="3" t="s">
        <v>2302</v>
      </c>
      <c r="AW24" s="3" t="s">
        <v>2301</v>
      </c>
      <c r="AX24" s="3" t="s">
        <v>2006</v>
      </c>
      <c r="AY24" s="19" t="s">
        <v>114</v>
      </c>
      <c r="AZ24" s="19" t="s">
        <v>114</v>
      </c>
      <c r="BA24" s="19" t="s">
        <v>114</v>
      </c>
      <c r="BB24" s="19" t="s">
        <v>114</v>
      </c>
      <c r="BC24" s="19" t="s">
        <v>114</v>
      </c>
      <c r="BD24" s="19" t="s">
        <v>114</v>
      </c>
      <c r="BE24" s="19" t="s">
        <v>114</v>
      </c>
      <c r="BF24" s="19" t="s">
        <v>114</v>
      </c>
      <c r="BG24" s="19" t="s">
        <v>114</v>
      </c>
      <c r="BH24" s="19" t="s">
        <v>114</v>
      </c>
      <c r="BI24" s="19" t="s">
        <v>114</v>
      </c>
      <c r="BJ24" s="19" t="s">
        <v>114</v>
      </c>
      <c r="BK24" s="19" t="s">
        <v>114</v>
      </c>
      <c r="BL24" s="19" t="s">
        <v>114</v>
      </c>
      <c r="BM24" s="19" t="s">
        <v>114</v>
      </c>
      <c r="BN24" s="19" t="s">
        <v>114</v>
      </c>
      <c r="BO24" s="19" t="s">
        <v>114</v>
      </c>
      <c r="BP24" s="19" t="s">
        <v>114</v>
      </c>
      <c r="BQ24" s="19" t="s">
        <v>114</v>
      </c>
      <c r="BR24" s="19" t="s">
        <v>114</v>
      </c>
      <c r="BS24" s="19" t="s">
        <v>114</v>
      </c>
      <c r="BT24" s="19" t="s">
        <v>114</v>
      </c>
      <c r="BU24" s="19" t="s">
        <v>114</v>
      </c>
      <c r="BV24" s="19" t="s">
        <v>114</v>
      </c>
      <c r="BW24" s="19" t="s">
        <v>114</v>
      </c>
      <c r="BX24" s="19" t="s">
        <v>114</v>
      </c>
      <c r="BY24" s="19" t="s">
        <v>114</v>
      </c>
      <c r="BZ24" s="21" t="s">
        <v>114</v>
      </c>
      <c r="CA24" s="21" t="s">
        <v>114</v>
      </c>
      <c r="CB24" s="21" t="s">
        <v>114</v>
      </c>
      <c r="CC24" s="21" t="s">
        <v>114</v>
      </c>
      <c r="CD24" s="21" t="s">
        <v>114</v>
      </c>
      <c r="CE24" s="21" t="s">
        <v>114</v>
      </c>
      <c r="CF24" s="19" t="s">
        <v>114</v>
      </c>
      <c r="CG24" s="19">
        <v>98300</v>
      </c>
      <c r="CH24" s="19">
        <v>98301</v>
      </c>
      <c r="CI24" s="21" t="s">
        <v>114</v>
      </c>
      <c r="CJ24" s="21" t="s">
        <v>114</v>
      </c>
      <c r="CK24" s="21" t="s">
        <v>114</v>
      </c>
      <c r="CL24" s="21" t="s">
        <v>114</v>
      </c>
      <c r="CM24" s="21" t="s">
        <v>114</v>
      </c>
      <c r="CN24" s="21" t="s">
        <v>114</v>
      </c>
      <c r="CO24" s="21" t="s">
        <v>114</v>
      </c>
      <c r="CP24" s="21" t="s">
        <v>114</v>
      </c>
      <c r="CQ24" s="21" t="s">
        <v>114</v>
      </c>
      <c r="CR24" s="21" t="s">
        <v>114</v>
      </c>
      <c r="CS24" s="21" t="s">
        <v>114</v>
      </c>
      <c r="CT24" s="21" t="s">
        <v>114</v>
      </c>
      <c r="CU24" s="21" t="s">
        <v>114</v>
      </c>
      <c r="CV24" s="21">
        <v>98424</v>
      </c>
      <c r="CW24" s="21" t="s">
        <v>114</v>
      </c>
      <c r="CX24" s="21" t="s">
        <v>114</v>
      </c>
      <c r="CY24" s="21" t="s">
        <v>114</v>
      </c>
      <c r="CZ24" s="21" t="s">
        <v>114</v>
      </c>
      <c r="DA24" s="21" t="s">
        <v>114</v>
      </c>
      <c r="DB24" s="21" t="s">
        <v>114</v>
      </c>
      <c r="DC24" s="21" t="s">
        <v>114</v>
      </c>
      <c r="DD24" s="21" t="s">
        <v>114</v>
      </c>
      <c r="DE24" s="21" t="s">
        <v>114</v>
      </c>
      <c r="DF24" s="19" t="s">
        <v>114</v>
      </c>
      <c r="DG24" s="19" t="s">
        <v>114</v>
      </c>
      <c r="DH24" s="19" t="s">
        <v>114</v>
      </c>
      <c r="DI24" s="19" t="s">
        <v>114</v>
      </c>
      <c r="DJ24" s="19" t="s">
        <v>114</v>
      </c>
      <c r="DK24" s="19" t="s">
        <v>114</v>
      </c>
      <c r="DL24" s="19" t="s">
        <v>114</v>
      </c>
      <c r="DM24" s="19" t="s">
        <v>114</v>
      </c>
      <c r="DN24" s="19" t="s">
        <v>114</v>
      </c>
      <c r="DO24" s="19" t="s">
        <v>114</v>
      </c>
    </row>
    <row r="25" spans="1:119" hidden="1" x14ac:dyDescent="0.45">
      <c r="A25" s="2" t="s">
        <v>515</v>
      </c>
      <c r="B25" t="s">
        <v>516</v>
      </c>
      <c r="C25" s="2">
        <v>212</v>
      </c>
      <c r="D25" s="6">
        <v>313</v>
      </c>
      <c r="E25" s="2" t="s">
        <v>517</v>
      </c>
      <c r="F25" t="s">
        <v>517</v>
      </c>
      <c r="G25" t="s">
        <v>2056</v>
      </c>
      <c r="H25" s="2" t="s">
        <v>518</v>
      </c>
      <c r="I25" s="2" t="s">
        <v>517</v>
      </c>
      <c r="J25" s="2">
        <v>19</v>
      </c>
      <c r="K25" t="s">
        <v>157</v>
      </c>
      <c r="L25" s="2">
        <v>419</v>
      </c>
      <c r="M25" t="s">
        <v>174</v>
      </c>
      <c r="N25">
        <v>29</v>
      </c>
      <c r="O25" t="s">
        <v>175</v>
      </c>
      <c r="P25" s="2" t="s">
        <v>176</v>
      </c>
      <c r="Q25" s="2" t="s">
        <v>177</v>
      </c>
      <c r="R25" s="2">
        <v>419</v>
      </c>
      <c r="S25" s="4" t="s">
        <v>174</v>
      </c>
      <c r="T25" s="2">
        <v>419</v>
      </c>
      <c r="U25" s="4" t="s">
        <v>174</v>
      </c>
      <c r="V25" t="s">
        <v>2455</v>
      </c>
      <c r="W25" t="s">
        <v>2455</v>
      </c>
      <c r="X25" t="s">
        <v>2440</v>
      </c>
      <c r="Y25" t="s">
        <v>175</v>
      </c>
      <c r="Z25" t="s">
        <v>175</v>
      </c>
      <c r="AA25" t="s">
        <v>2799</v>
      </c>
      <c r="AB25" t="s">
        <v>2872</v>
      </c>
      <c r="AC25" s="2" t="s">
        <v>138</v>
      </c>
      <c r="AD25" s="4" t="s">
        <v>1891</v>
      </c>
      <c r="AE25" t="s">
        <v>104</v>
      </c>
      <c r="AF25" t="s">
        <v>1885</v>
      </c>
      <c r="AG25" t="s">
        <v>1884</v>
      </c>
      <c r="AH25" t="s">
        <v>105</v>
      </c>
      <c r="AI25" s="3" t="s">
        <v>178</v>
      </c>
      <c r="AJ25" s="3" t="s">
        <v>106</v>
      </c>
      <c r="AK25" s="3" t="s">
        <v>107</v>
      </c>
      <c r="AL25" s="5" t="s">
        <v>179</v>
      </c>
      <c r="AM25" s="5" t="s">
        <v>109</v>
      </c>
      <c r="AN25" t="s">
        <v>110</v>
      </c>
      <c r="AO25" s="3" t="s">
        <v>119</v>
      </c>
      <c r="AP25" s="3" t="s">
        <v>120</v>
      </c>
      <c r="AQ25" s="3" t="s">
        <v>27</v>
      </c>
      <c r="AR25" s="3" t="s">
        <v>112</v>
      </c>
      <c r="AS25" s="3" t="s">
        <v>112</v>
      </c>
      <c r="AT25" s="3" t="s">
        <v>113</v>
      </c>
      <c r="AU25" s="3" t="s">
        <v>2303</v>
      </c>
      <c r="AV25" s="3" t="s">
        <v>2302</v>
      </c>
      <c r="AW25" s="3" t="s">
        <v>2301</v>
      </c>
      <c r="AX25" s="3" t="s">
        <v>2006</v>
      </c>
      <c r="AY25" s="19" t="s">
        <v>114</v>
      </c>
      <c r="AZ25" s="19" t="s">
        <v>114</v>
      </c>
      <c r="BA25" s="19" t="s">
        <v>114</v>
      </c>
      <c r="BB25" s="19" t="s">
        <v>114</v>
      </c>
      <c r="BC25" s="19" t="s">
        <v>114</v>
      </c>
      <c r="BD25" s="19" t="s">
        <v>114</v>
      </c>
      <c r="BE25" s="19" t="s">
        <v>114</v>
      </c>
      <c r="BF25" s="19" t="s">
        <v>114</v>
      </c>
      <c r="BG25" s="19" t="s">
        <v>114</v>
      </c>
      <c r="BH25" s="19" t="s">
        <v>114</v>
      </c>
      <c r="BI25" s="19" t="s">
        <v>114</v>
      </c>
      <c r="BJ25" s="19" t="s">
        <v>114</v>
      </c>
      <c r="BK25" s="19" t="s">
        <v>114</v>
      </c>
      <c r="BL25" s="19" t="s">
        <v>114</v>
      </c>
      <c r="BM25" s="19" t="s">
        <v>114</v>
      </c>
      <c r="BN25" s="19" t="s">
        <v>114</v>
      </c>
      <c r="BO25" s="19" t="s">
        <v>114</v>
      </c>
      <c r="BP25" s="19" t="s">
        <v>114</v>
      </c>
      <c r="BQ25" s="19" t="s">
        <v>114</v>
      </c>
      <c r="BR25" s="19" t="s">
        <v>114</v>
      </c>
      <c r="BS25" s="19" t="s">
        <v>114</v>
      </c>
      <c r="BT25" s="19" t="s">
        <v>114</v>
      </c>
      <c r="BU25" s="19" t="s">
        <v>114</v>
      </c>
      <c r="BV25" s="19" t="s">
        <v>114</v>
      </c>
      <c r="BW25" s="19" t="s">
        <v>114</v>
      </c>
      <c r="BX25" s="19" t="s">
        <v>114</v>
      </c>
      <c r="BY25" s="19" t="s">
        <v>114</v>
      </c>
      <c r="BZ25" s="21" t="s">
        <v>114</v>
      </c>
      <c r="CA25" s="21" t="s">
        <v>114</v>
      </c>
      <c r="CB25" s="21" t="s">
        <v>114</v>
      </c>
      <c r="CC25" s="21" t="s">
        <v>114</v>
      </c>
      <c r="CD25" s="21" t="s">
        <v>114</v>
      </c>
      <c r="CE25" s="21" t="s">
        <v>114</v>
      </c>
      <c r="CF25" s="19" t="s">
        <v>114</v>
      </c>
      <c r="CG25" s="19">
        <v>98300</v>
      </c>
      <c r="CH25" s="19">
        <v>98301</v>
      </c>
      <c r="CI25" s="21" t="s">
        <v>114</v>
      </c>
      <c r="CJ25" s="21" t="s">
        <v>114</v>
      </c>
      <c r="CK25" s="21" t="s">
        <v>114</v>
      </c>
      <c r="CL25" s="21" t="s">
        <v>114</v>
      </c>
      <c r="CM25" s="21" t="s">
        <v>114</v>
      </c>
      <c r="CN25" s="21" t="s">
        <v>114</v>
      </c>
      <c r="CO25" s="21" t="s">
        <v>114</v>
      </c>
      <c r="CP25" s="21" t="s">
        <v>114</v>
      </c>
      <c r="CQ25" s="21" t="s">
        <v>114</v>
      </c>
      <c r="CR25" s="21" t="s">
        <v>114</v>
      </c>
      <c r="CS25" s="21" t="s">
        <v>114</v>
      </c>
      <c r="CT25" s="21" t="s">
        <v>114</v>
      </c>
      <c r="CU25" s="21" t="s">
        <v>114</v>
      </c>
      <c r="CV25" s="21">
        <v>98424</v>
      </c>
      <c r="CW25" s="21" t="s">
        <v>114</v>
      </c>
      <c r="CX25" s="21" t="s">
        <v>114</v>
      </c>
      <c r="CY25" s="21" t="s">
        <v>114</v>
      </c>
      <c r="CZ25" s="21" t="s">
        <v>114</v>
      </c>
      <c r="DA25" s="21" t="s">
        <v>114</v>
      </c>
      <c r="DB25" s="21" t="s">
        <v>114</v>
      </c>
      <c r="DC25" s="21" t="s">
        <v>114</v>
      </c>
      <c r="DD25" s="21" t="s">
        <v>114</v>
      </c>
      <c r="DE25" s="21" t="s">
        <v>114</v>
      </c>
      <c r="DF25" s="19" t="s">
        <v>114</v>
      </c>
      <c r="DG25" s="19" t="s">
        <v>114</v>
      </c>
      <c r="DH25" s="19" t="s">
        <v>114</v>
      </c>
      <c r="DI25" s="19" t="s">
        <v>114</v>
      </c>
      <c r="DJ25" s="19" t="s">
        <v>114</v>
      </c>
      <c r="DK25" s="19" t="s">
        <v>114</v>
      </c>
      <c r="DL25" s="19" t="s">
        <v>114</v>
      </c>
      <c r="DM25" s="19" t="s">
        <v>114</v>
      </c>
      <c r="DN25" s="19" t="s">
        <v>114</v>
      </c>
      <c r="DO25" s="19" t="s">
        <v>114</v>
      </c>
    </row>
    <row r="26" spans="1:119" hidden="1" x14ac:dyDescent="0.45">
      <c r="A26" s="2" t="s">
        <v>519</v>
      </c>
      <c r="B26" t="s">
        <v>520</v>
      </c>
      <c r="C26" s="2">
        <v>214</v>
      </c>
      <c r="D26" s="6">
        <v>314</v>
      </c>
      <c r="E26" s="2" t="s">
        <v>1620</v>
      </c>
      <c r="F26" s="3" t="s">
        <v>1896</v>
      </c>
      <c r="G26" t="s">
        <v>2057</v>
      </c>
      <c r="H26" s="2" t="s">
        <v>522</v>
      </c>
      <c r="I26" s="2" t="s">
        <v>523</v>
      </c>
      <c r="J26" s="2">
        <v>19</v>
      </c>
      <c r="K26" t="s">
        <v>157</v>
      </c>
      <c r="L26" s="2">
        <v>419</v>
      </c>
      <c r="M26" t="s">
        <v>174</v>
      </c>
      <c r="N26">
        <v>29</v>
      </c>
      <c r="O26" t="s">
        <v>175</v>
      </c>
      <c r="P26" s="2" t="s">
        <v>176</v>
      </c>
      <c r="Q26" s="2" t="s">
        <v>177</v>
      </c>
      <c r="R26" s="2">
        <v>419</v>
      </c>
      <c r="S26" s="4" t="s">
        <v>174</v>
      </c>
      <c r="T26" s="2">
        <v>419</v>
      </c>
      <c r="U26" s="4" t="s">
        <v>174</v>
      </c>
      <c r="V26" t="s">
        <v>2455</v>
      </c>
      <c r="W26" t="s">
        <v>2455</v>
      </c>
      <c r="X26" t="s">
        <v>2440</v>
      </c>
      <c r="Y26" t="s">
        <v>175</v>
      </c>
      <c r="Z26" t="s">
        <v>175</v>
      </c>
      <c r="AA26" t="s">
        <v>2799</v>
      </c>
      <c r="AB26" t="s">
        <v>2872</v>
      </c>
      <c r="AC26" s="2" t="s">
        <v>138</v>
      </c>
      <c r="AD26" s="4" t="s">
        <v>1891</v>
      </c>
      <c r="AE26" t="s">
        <v>104</v>
      </c>
      <c r="AF26" t="s">
        <v>1885</v>
      </c>
      <c r="AG26" t="s">
        <v>1884</v>
      </c>
      <c r="AH26" t="s">
        <v>105</v>
      </c>
      <c r="AI26" s="3" t="s">
        <v>178</v>
      </c>
      <c r="AJ26" s="3" t="s">
        <v>106</v>
      </c>
      <c r="AK26" s="3" t="s">
        <v>107</v>
      </c>
      <c r="AL26" s="5" t="s">
        <v>524</v>
      </c>
      <c r="AM26" s="5" t="s">
        <v>109</v>
      </c>
      <c r="AN26" t="s">
        <v>110</v>
      </c>
      <c r="AO26" s="3" t="s">
        <v>119</v>
      </c>
      <c r="AP26" s="3" t="s">
        <v>120</v>
      </c>
      <c r="AQ26" s="3" t="s">
        <v>27</v>
      </c>
      <c r="AR26" s="3" t="s">
        <v>112</v>
      </c>
      <c r="AS26" s="3" t="s">
        <v>112</v>
      </c>
      <c r="AT26" t="s">
        <v>191</v>
      </c>
      <c r="AU26" s="3" t="s">
        <v>2303</v>
      </c>
      <c r="AV26" s="3" t="s">
        <v>2302</v>
      </c>
      <c r="AW26" s="3" t="s">
        <v>2301</v>
      </c>
      <c r="AX26" s="3" t="s">
        <v>2006</v>
      </c>
      <c r="AY26" s="19" t="s">
        <v>114</v>
      </c>
      <c r="AZ26" s="19" t="s">
        <v>114</v>
      </c>
      <c r="BA26" s="19" t="s">
        <v>114</v>
      </c>
      <c r="BB26" s="19" t="s">
        <v>114</v>
      </c>
      <c r="BC26" s="19" t="s">
        <v>114</v>
      </c>
      <c r="BD26" s="19" t="s">
        <v>114</v>
      </c>
      <c r="BE26" s="19" t="s">
        <v>114</v>
      </c>
      <c r="BF26" s="19" t="s">
        <v>114</v>
      </c>
      <c r="BG26" s="19" t="s">
        <v>114</v>
      </c>
      <c r="BH26" s="19" t="s">
        <v>114</v>
      </c>
      <c r="BI26" s="19" t="s">
        <v>114</v>
      </c>
      <c r="BJ26" s="19" t="s">
        <v>114</v>
      </c>
      <c r="BK26" s="19" t="s">
        <v>114</v>
      </c>
      <c r="BL26" s="19" t="s">
        <v>114</v>
      </c>
      <c r="BM26" s="19" t="s">
        <v>114</v>
      </c>
      <c r="BN26" s="19" t="s">
        <v>114</v>
      </c>
      <c r="BO26" s="19" t="s">
        <v>114</v>
      </c>
      <c r="BP26" s="19" t="s">
        <v>114</v>
      </c>
      <c r="BQ26" s="19" t="s">
        <v>114</v>
      </c>
      <c r="BR26" s="19" t="s">
        <v>114</v>
      </c>
      <c r="BS26" s="19" t="s">
        <v>114</v>
      </c>
      <c r="BT26" s="19" t="s">
        <v>114</v>
      </c>
      <c r="BU26" s="19" t="s">
        <v>114</v>
      </c>
      <c r="BV26" s="19" t="s">
        <v>114</v>
      </c>
      <c r="BW26" s="19" t="s">
        <v>114</v>
      </c>
      <c r="BX26" s="19" t="s">
        <v>114</v>
      </c>
      <c r="BY26" s="19" t="s">
        <v>114</v>
      </c>
      <c r="BZ26" s="21" t="s">
        <v>114</v>
      </c>
      <c r="CA26" s="21" t="s">
        <v>114</v>
      </c>
      <c r="CB26" s="21" t="s">
        <v>114</v>
      </c>
      <c r="CC26" s="21" t="s">
        <v>114</v>
      </c>
      <c r="CD26" s="21" t="s">
        <v>114</v>
      </c>
      <c r="CE26" s="21" t="s">
        <v>114</v>
      </c>
      <c r="CF26" s="19" t="s">
        <v>114</v>
      </c>
      <c r="CG26" s="19">
        <v>98300</v>
      </c>
      <c r="CH26" s="19" t="s">
        <v>114</v>
      </c>
      <c r="CI26" s="21">
        <v>98302</v>
      </c>
      <c r="CJ26" s="21" t="s">
        <v>114</v>
      </c>
      <c r="CK26" s="21" t="s">
        <v>114</v>
      </c>
      <c r="CL26" s="21" t="s">
        <v>114</v>
      </c>
      <c r="CM26" s="21" t="s">
        <v>114</v>
      </c>
      <c r="CN26" s="21" t="s">
        <v>114</v>
      </c>
      <c r="CO26" s="21" t="s">
        <v>114</v>
      </c>
      <c r="CP26" s="21" t="s">
        <v>114</v>
      </c>
      <c r="CQ26" s="21" t="s">
        <v>114</v>
      </c>
      <c r="CR26" s="21" t="s">
        <v>114</v>
      </c>
      <c r="CS26" s="21" t="s">
        <v>114</v>
      </c>
      <c r="CT26" s="21" t="s">
        <v>114</v>
      </c>
      <c r="CU26" s="21" t="s">
        <v>114</v>
      </c>
      <c r="CV26" s="21">
        <v>98424</v>
      </c>
      <c r="CW26" s="21" t="s">
        <v>114</v>
      </c>
      <c r="CX26" s="21" t="s">
        <v>114</v>
      </c>
      <c r="CY26" s="21" t="s">
        <v>114</v>
      </c>
      <c r="CZ26" s="21" t="s">
        <v>114</v>
      </c>
      <c r="DA26" s="21" t="s">
        <v>114</v>
      </c>
      <c r="DB26" s="21" t="s">
        <v>114</v>
      </c>
      <c r="DC26" s="21" t="s">
        <v>114</v>
      </c>
      <c r="DD26" s="21" t="s">
        <v>114</v>
      </c>
      <c r="DE26" s="21" t="s">
        <v>114</v>
      </c>
      <c r="DF26" s="19" t="s">
        <v>114</v>
      </c>
      <c r="DG26" s="19" t="s">
        <v>114</v>
      </c>
      <c r="DH26" s="19" t="s">
        <v>114</v>
      </c>
      <c r="DI26" s="19" t="s">
        <v>114</v>
      </c>
      <c r="DJ26" s="19" t="s">
        <v>114</v>
      </c>
      <c r="DK26" s="19" t="s">
        <v>114</v>
      </c>
      <c r="DL26" s="19" t="s">
        <v>114</v>
      </c>
      <c r="DM26" s="19" t="s">
        <v>114</v>
      </c>
      <c r="DN26" s="19" t="s">
        <v>114</v>
      </c>
      <c r="DO26" s="19" t="s">
        <v>114</v>
      </c>
    </row>
    <row r="27" spans="1:119" hidden="1" x14ac:dyDescent="0.45">
      <c r="A27" s="2" t="s">
        <v>648</v>
      </c>
      <c r="B27" t="s">
        <v>649</v>
      </c>
      <c r="C27" s="2">
        <v>304</v>
      </c>
      <c r="D27" s="6">
        <v>703</v>
      </c>
      <c r="E27" s="2" t="s">
        <v>650</v>
      </c>
      <c r="F27" t="s">
        <v>650</v>
      </c>
      <c r="H27" s="2" t="s">
        <v>651</v>
      </c>
      <c r="I27" s="2" t="s">
        <v>652</v>
      </c>
      <c r="J27" s="2">
        <v>19</v>
      </c>
      <c r="K27" t="s">
        <v>157</v>
      </c>
      <c r="L27" s="2">
        <v>21</v>
      </c>
      <c r="M27" t="s">
        <v>279</v>
      </c>
      <c r="N27" s="2"/>
      <c r="P27" s="2" t="s">
        <v>280</v>
      </c>
      <c r="Q27" s="2" t="s">
        <v>129</v>
      </c>
      <c r="R27" s="2">
        <v>513</v>
      </c>
      <c r="S27" s="2" t="s">
        <v>1000</v>
      </c>
      <c r="T27" s="2">
        <v>21</v>
      </c>
      <c r="U27" t="s">
        <v>279</v>
      </c>
      <c r="V27" t="s">
        <v>2451</v>
      </c>
      <c r="W27" t="s">
        <v>2451</v>
      </c>
      <c r="X27" t="s">
        <v>2440</v>
      </c>
      <c r="Y27" t="s">
        <v>279</v>
      </c>
      <c r="Z27" t="s">
        <v>2467</v>
      </c>
      <c r="AA27" t="s">
        <v>2799</v>
      </c>
      <c r="AB27" t="s">
        <v>2872</v>
      </c>
      <c r="AC27" s="2" t="s">
        <v>130</v>
      </c>
      <c r="AD27" s="4" t="s">
        <v>1891</v>
      </c>
      <c r="AE27" t="s">
        <v>131</v>
      </c>
      <c r="AF27" t="s">
        <v>1886</v>
      </c>
      <c r="AG27" t="s">
        <v>1887</v>
      </c>
      <c r="AH27" t="s">
        <v>105</v>
      </c>
      <c r="AI27" s="3" t="s">
        <v>178</v>
      </c>
      <c r="AJ27" s="3" t="s">
        <v>106</v>
      </c>
      <c r="AK27" s="3" t="s">
        <v>107</v>
      </c>
      <c r="AL27" s="5" t="s">
        <v>510</v>
      </c>
      <c r="AM27" s="5" t="s">
        <v>109</v>
      </c>
      <c r="AO27" s="3" t="s">
        <v>119</v>
      </c>
      <c r="AP27" s="3" t="s">
        <v>120</v>
      </c>
      <c r="AQ27" s="3" t="s">
        <v>111</v>
      </c>
      <c r="AR27" s="3" t="s">
        <v>112</v>
      </c>
      <c r="AS27" s="3" t="s">
        <v>112</v>
      </c>
      <c r="AT27" s="3" t="s">
        <v>113</v>
      </c>
      <c r="AU27" s="3" t="s">
        <v>2303</v>
      </c>
      <c r="AV27" s="3" t="s">
        <v>2302</v>
      </c>
      <c r="AW27" s="3" t="s">
        <v>2301</v>
      </c>
      <c r="AX27" s="3" t="s">
        <v>2006</v>
      </c>
      <c r="AY27" s="19" t="s">
        <v>114</v>
      </c>
      <c r="AZ27" s="19" t="s">
        <v>114</v>
      </c>
      <c r="BA27" s="19" t="s">
        <v>114</v>
      </c>
      <c r="BB27" s="19" t="s">
        <v>114</v>
      </c>
      <c r="BC27" s="19" t="s">
        <v>114</v>
      </c>
      <c r="BD27" s="19" t="s">
        <v>114</v>
      </c>
      <c r="BE27" s="19" t="s">
        <v>114</v>
      </c>
      <c r="BF27" s="19" t="s">
        <v>114</v>
      </c>
      <c r="BG27" s="19" t="s">
        <v>114</v>
      </c>
      <c r="BH27" s="19" t="s">
        <v>114</v>
      </c>
      <c r="BI27" s="19" t="s">
        <v>114</v>
      </c>
      <c r="BJ27" s="19" t="s">
        <v>114</v>
      </c>
      <c r="BK27" s="19" t="s">
        <v>114</v>
      </c>
      <c r="BL27" s="19" t="s">
        <v>114</v>
      </c>
      <c r="BM27" s="19" t="s">
        <v>114</v>
      </c>
      <c r="BN27" s="19" t="s">
        <v>114</v>
      </c>
      <c r="BO27" s="19" t="s">
        <v>114</v>
      </c>
      <c r="BP27" s="19" t="s">
        <v>114</v>
      </c>
      <c r="BQ27" s="19" t="s">
        <v>114</v>
      </c>
      <c r="BR27" s="19" t="s">
        <v>114</v>
      </c>
      <c r="BS27" s="19" t="s">
        <v>114</v>
      </c>
      <c r="BT27" s="19" t="s">
        <v>114</v>
      </c>
      <c r="BU27" s="19" t="s">
        <v>114</v>
      </c>
      <c r="BV27" s="19" t="s">
        <v>114</v>
      </c>
      <c r="BW27" s="19" t="s">
        <v>114</v>
      </c>
      <c r="BX27" s="19" t="s">
        <v>114</v>
      </c>
      <c r="BY27" s="19" t="s">
        <v>114</v>
      </c>
      <c r="BZ27" s="21" t="s">
        <v>114</v>
      </c>
      <c r="CA27" s="21" t="s">
        <v>114</v>
      </c>
      <c r="CB27" s="21" t="s">
        <v>114</v>
      </c>
      <c r="CC27" s="21" t="s">
        <v>114</v>
      </c>
      <c r="CD27" s="21" t="s">
        <v>114</v>
      </c>
      <c r="CE27" s="21" t="s">
        <v>114</v>
      </c>
      <c r="CF27" s="19" t="s">
        <v>114</v>
      </c>
      <c r="CG27" s="19" t="s">
        <v>114</v>
      </c>
      <c r="CH27" s="19" t="s">
        <v>114</v>
      </c>
      <c r="CI27" s="21" t="s">
        <v>114</v>
      </c>
      <c r="CJ27" s="21" t="s">
        <v>114</v>
      </c>
      <c r="CK27" s="21" t="s">
        <v>114</v>
      </c>
      <c r="CL27" s="21" t="s">
        <v>114</v>
      </c>
      <c r="CM27" s="21" t="s">
        <v>114</v>
      </c>
      <c r="CN27" s="21" t="s">
        <v>114</v>
      </c>
      <c r="CO27" s="21" t="s">
        <v>114</v>
      </c>
      <c r="CP27" s="21" t="s">
        <v>114</v>
      </c>
      <c r="CQ27" s="21" t="s">
        <v>114</v>
      </c>
      <c r="CR27" s="21" t="s">
        <v>114</v>
      </c>
      <c r="CS27" s="21" t="s">
        <v>114</v>
      </c>
      <c r="CT27" s="21" t="s">
        <v>114</v>
      </c>
      <c r="CU27" s="21" t="s">
        <v>114</v>
      </c>
      <c r="CV27" s="21" t="s">
        <v>114</v>
      </c>
      <c r="CW27" s="21">
        <v>98425</v>
      </c>
      <c r="CX27" s="21" t="s">
        <v>114</v>
      </c>
      <c r="CY27" s="21" t="s">
        <v>114</v>
      </c>
      <c r="CZ27" s="21" t="s">
        <v>114</v>
      </c>
      <c r="DA27" s="21" t="s">
        <v>114</v>
      </c>
      <c r="DB27" s="21" t="s">
        <v>114</v>
      </c>
      <c r="DC27" s="21" t="s">
        <v>114</v>
      </c>
      <c r="DD27" s="21" t="s">
        <v>114</v>
      </c>
      <c r="DE27" s="21" t="s">
        <v>114</v>
      </c>
      <c r="DF27" s="19" t="s">
        <v>114</v>
      </c>
      <c r="DG27" s="19" t="s">
        <v>114</v>
      </c>
      <c r="DH27" s="19" t="s">
        <v>114</v>
      </c>
      <c r="DI27" s="19" t="s">
        <v>114</v>
      </c>
      <c r="DJ27" s="19" t="s">
        <v>114</v>
      </c>
      <c r="DK27" s="19" t="s">
        <v>114</v>
      </c>
      <c r="DL27" s="19" t="s">
        <v>114</v>
      </c>
      <c r="DM27" s="19" t="s">
        <v>114</v>
      </c>
      <c r="DN27" s="19" t="s">
        <v>114</v>
      </c>
      <c r="DO27" s="19" t="s">
        <v>114</v>
      </c>
    </row>
    <row r="28" spans="1:119" hidden="1" x14ac:dyDescent="0.45">
      <c r="A28" s="2" t="s">
        <v>653</v>
      </c>
      <c r="B28" t="s">
        <v>654</v>
      </c>
      <c r="C28" s="2">
        <v>308</v>
      </c>
      <c r="D28" s="6">
        <v>316</v>
      </c>
      <c r="E28" s="2" t="s">
        <v>655</v>
      </c>
      <c r="F28" t="s">
        <v>655</v>
      </c>
      <c r="G28" t="s">
        <v>655</v>
      </c>
      <c r="H28" s="2" t="s">
        <v>656</v>
      </c>
      <c r="I28" s="2" t="s">
        <v>657</v>
      </c>
      <c r="J28" s="2">
        <v>19</v>
      </c>
      <c r="K28" t="s">
        <v>157</v>
      </c>
      <c r="L28" s="2">
        <v>419</v>
      </c>
      <c r="M28" t="s">
        <v>174</v>
      </c>
      <c r="N28">
        <v>29</v>
      </c>
      <c r="O28" t="s">
        <v>175</v>
      </c>
      <c r="P28" s="2" t="s">
        <v>176</v>
      </c>
      <c r="Q28" s="2" t="s">
        <v>177</v>
      </c>
      <c r="R28" s="2">
        <v>419</v>
      </c>
      <c r="S28" s="4" t="s">
        <v>174</v>
      </c>
      <c r="T28" s="2">
        <v>419</v>
      </c>
      <c r="U28" s="4" t="s">
        <v>174</v>
      </c>
      <c r="V28" t="s">
        <v>2455</v>
      </c>
      <c r="W28" t="s">
        <v>2455</v>
      </c>
      <c r="X28" t="s">
        <v>2440</v>
      </c>
      <c r="Y28" t="s">
        <v>175</v>
      </c>
      <c r="Z28" t="s">
        <v>175</v>
      </c>
      <c r="AA28" t="s">
        <v>2799</v>
      </c>
      <c r="AB28" t="s">
        <v>2872</v>
      </c>
      <c r="AC28" s="2" t="s">
        <v>138</v>
      </c>
      <c r="AD28" s="4" t="s">
        <v>1891</v>
      </c>
      <c r="AE28" t="s">
        <v>104</v>
      </c>
      <c r="AF28" t="s">
        <v>1885</v>
      </c>
      <c r="AG28" t="s">
        <v>1884</v>
      </c>
      <c r="AH28" t="s">
        <v>105</v>
      </c>
      <c r="AI28" s="3" t="s">
        <v>178</v>
      </c>
      <c r="AJ28" s="3" t="s">
        <v>106</v>
      </c>
      <c r="AK28" s="3" t="s">
        <v>107</v>
      </c>
      <c r="AL28" s="5" t="s">
        <v>179</v>
      </c>
      <c r="AM28" s="5" t="s">
        <v>109</v>
      </c>
      <c r="AN28" t="s">
        <v>110</v>
      </c>
      <c r="AO28" s="3" t="s">
        <v>119</v>
      </c>
      <c r="AP28" s="3" t="s">
        <v>120</v>
      </c>
      <c r="AQ28" s="3" t="s">
        <v>27</v>
      </c>
      <c r="AR28" s="3" t="s">
        <v>112</v>
      </c>
      <c r="AS28" s="3" t="s">
        <v>112</v>
      </c>
      <c r="AT28" t="s">
        <v>191</v>
      </c>
      <c r="AU28" s="3" t="s">
        <v>2303</v>
      </c>
      <c r="AV28" s="3" t="s">
        <v>2302</v>
      </c>
      <c r="AW28" s="3" t="s">
        <v>2301</v>
      </c>
      <c r="AX28" s="3" t="s">
        <v>2006</v>
      </c>
      <c r="AY28" s="19" t="s">
        <v>114</v>
      </c>
      <c r="AZ28" s="19" t="s">
        <v>114</v>
      </c>
      <c r="BA28" s="19" t="s">
        <v>114</v>
      </c>
      <c r="BB28" s="19" t="s">
        <v>114</v>
      </c>
      <c r="BC28" s="19" t="s">
        <v>114</v>
      </c>
      <c r="BD28" s="19" t="s">
        <v>114</v>
      </c>
      <c r="BE28" s="19" t="s">
        <v>114</v>
      </c>
      <c r="BF28" s="19" t="s">
        <v>114</v>
      </c>
      <c r="BG28" s="19" t="s">
        <v>114</v>
      </c>
      <c r="BH28" s="19" t="s">
        <v>114</v>
      </c>
      <c r="BI28" s="19" t="s">
        <v>114</v>
      </c>
      <c r="BJ28" s="19" t="s">
        <v>114</v>
      </c>
      <c r="BK28" s="19" t="s">
        <v>114</v>
      </c>
      <c r="BL28" s="19" t="s">
        <v>114</v>
      </c>
      <c r="BM28" s="19" t="s">
        <v>114</v>
      </c>
      <c r="BN28" s="19" t="s">
        <v>114</v>
      </c>
      <c r="BO28" s="19" t="s">
        <v>114</v>
      </c>
      <c r="BP28" s="19" t="s">
        <v>114</v>
      </c>
      <c r="BQ28" s="19" t="s">
        <v>114</v>
      </c>
      <c r="BR28" s="19" t="s">
        <v>114</v>
      </c>
      <c r="BS28" s="19" t="s">
        <v>114</v>
      </c>
      <c r="BT28" s="19" t="s">
        <v>114</v>
      </c>
      <c r="BU28" s="19" t="s">
        <v>114</v>
      </c>
      <c r="BV28" s="19" t="s">
        <v>114</v>
      </c>
      <c r="BW28" s="19" t="s">
        <v>114</v>
      </c>
      <c r="BX28" s="19" t="s">
        <v>114</v>
      </c>
      <c r="BY28" s="19" t="s">
        <v>114</v>
      </c>
      <c r="BZ28" s="21" t="s">
        <v>114</v>
      </c>
      <c r="CA28" s="21" t="s">
        <v>114</v>
      </c>
      <c r="CB28" s="21" t="s">
        <v>114</v>
      </c>
      <c r="CC28" s="21" t="s">
        <v>114</v>
      </c>
      <c r="CD28" s="21" t="s">
        <v>114</v>
      </c>
      <c r="CE28" s="21" t="s">
        <v>114</v>
      </c>
      <c r="CF28" s="19" t="s">
        <v>114</v>
      </c>
      <c r="CG28" s="19">
        <v>98300</v>
      </c>
      <c r="CH28" s="19">
        <v>98301</v>
      </c>
      <c r="CI28" s="21" t="s">
        <v>114</v>
      </c>
      <c r="CJ28" s="21" t="s">
        <v>114</v>
      </c>
      <c r="CK28" s="21" t="s">
        <v>114</v>
      </c>
      <c r="CL28" s="21" t="s">
        <v>114</v>
      </c>
      <c r="CM28" s="21" t="s">
        <v>114</v>
      </c>
      <c r="CN28" s="21" t="s">
        <v>114</v>
      </c>
      <c r="CO28" s="21" t="s">
        <v>114</v>
      </c>
      <c r="CP28" s="21" t="s">
        <v>114</v>
      </c>
      <c r="CQ28" s="21" t="s">
        <v>114</v>
      </c>
      <c r="CR28" s="21" t="s">
        <v>114</v>
      </c>
      <c r="CS28" s="21" t="s">
        <v>114</v>
      </c>
      <c r="CT28" s="21" t="s">
        <v>114</v>
      </c>
      <c r="CU28" s="21" t="s">
        <v>114</v>
      </c>
      <c r="CV28" s="21">
        <v>98424</v>
      </c>
      <c r="CW28" s="21" t="s">
        <v>114</v>
      </c>
      <c r="CX28" s="21" t="s">
        <v>114</v>
      </c>
      <c r="CY28" s="21" t="s">
        <v>114</v>
      </c>
      <c r="CZ28" s="21" t="s">
        <v>114</v>
      </c>
      <c r="DA28" s="21" t="s">
        <v>114</v>
      </c>
      <c r="DB28" s="21" t="s">
        <v>114</v>
      </c>
      <c r="DC28" s="21" t="s">
        <v>114</v>
      </c>
      <c r="DD28" s="21" t="s">
        <v>114</v>
      </c>
      <c r="DE28" s="21" t="s">
        <v>114</v>
      </c>
      <c r="DF28" s="19" t="s">
        <v>114</v>
      </c>
      <c r="DG28" s="19" t="s">
        <v>114</v>
      </c>
      <c r="DH28" s="19" t="s">
        <v>114</v>
      </c>
      <c r="DI28" s="19" t="s">
        <v>114</v>
      </c>
      <c r="DJ28" s="19" t="s">
        <v>114</v>
      </c>
      <c r="DK28" s="19" t="s">
        <v>114</v>
      </c>
      <c r="DL28" s="19" t="s">
        <v>114</v>
      </c>
      <c r="DM28" s="19" t="s">
        <v>114</v>
      </c>
      <c r="DN28" s="19" t="s">
        <v>114</v>
      </c>
      <c r="DO28" s="19" t="s">
        <v>114</v>
      </c>
    </row>
    <row r="29" spans="1:119" hidden="1" x14ac:dyDescent="0.45">
      <c r="A29" s="2" t="s">
        <v>658</v>
      </c>
      <c r="B29" t="s">
        <v>659</v>
      </c>
      <c r="C29" s="2">
        <v>312</v>
      </c>
      <c r="D29" s="6">
        <v>317</v>
      </c>
      <c r="E29" s="2" t="s">
        <v>660</v>
      </c>
      <c r="F29" t="s">
        <v>660</v>
      </c>
      <c r="H29" s="2" t="s">
        <v>660</v>
      </c>
      <c r="I29" s="2" t="s">
        <v>661</v>
      </c>
      <c r="J29" s="2">
        <v>19</v>
      </c>
      <c r="K29" t="s">
        <v>157</v>
      </c>
      <c r="L29" s="2">
        <v>419</v>
      </c>
      <c r="M29" t="s">
        <v>174</v>
      </c>
      <c r="N29">
        <v>29</v>
      </c>
      <c r="O29" t="s">
        <v>175</v>
      </c>
      <c r="P29" s="2" t="s">
        <v>176</v>
      </c>
      <c r="Q29" s="2" t="s">
        <v>177</v>
      </c>
      <c r="R29" s="2">
        <v>419</v>
      </c>
      <c r="S29" s="4" t="s">
        <v>174</v>
      </c>
      <c r="T29" s="2">
        <v>419</v>
      </c>
      <c r="U29" s="4" t="s">
        <v>174</v>
      </c>
      <c r="V29" t="s">
        <v>2455</v>
      </c>
      <c r="W29" t="s">
        <v>2455</v>
      </c>
      <c r="X29" t="s">
        <v>2440</v>
      </c>
      <c r="Y29" t="s">
        <v>175</v>
      </c>
      <c r="Z29" t="s">
        <v>175</v>
      </c>
      <c r="AA29" t="s">
        <v>2799</v>
      </c>
      <c r="AB29" t="s">
        <v>2872</v>
      </c>
      <c r="AC29" s="2" t="s">
        <v>1888</v>
      </c>
      <c r="AD29" s="2" t="s">
        <v>1888</v>
      </c>
      <c r="AE29" t="s">
        <v>104</v>
      </c>
      <c r="AF29" t="s">
        <v>1886</v>
      </c>
      <c r="AG29" s="3" t="s">
        <v>1887</v>
      </c>
      <c r="AH29" t="s">
        <v>105</v>
      </c>
      <c r="AI29" s="3" t="s">
        <v>178</v>
      </c>
      <c r="AJ29" s="3" t="s">
        <v>106</v>
      </c>
      <c r="AK29" s="3" t="s">
        <v>107</v>
      </c>
      <c r="AL29" s="5" t="s">
        <v>132</v>
      </c>
      <c r="AM29" s="5" t="s">
        <v>109</v>
      </c>
      <c r="AO29" s="3" t="s">
        <v>119</v>
      </c>
      <c r="AP29" s="3" t="s">
        <v>120</v>
      </c>
      <c r="AQ29" s="3" t="s">
        <v>111</v>
      </c>
      <c r="AR29" s="3" t="s">
        <v>112</v>
      </c>
      <c r="AS29" s="3" t="s">
        <v>112</v>
      </c>
      <c r="AT29" s="3" t="s">
        <v>113</v>
      </c>
      <c r="AU29" s="3" t="s">
        <v>2303</v>
      </c>
      <c r="AV29" s="3" t="s">
        <v>2302</v>
      </c>
      <c r="AW29" s="3" t="s">
        <v>2301</v>
      </c>
      <c r="AX29" s="3" t="s">
        <v>2006</v>
      </c>
      <c r="AY29" s="19" t="s">
        <v>114</v>
      </c>
      <c r="AZ29" s="19" t="s">
        <v>114</v>
      </c>
      <c r="BA29" s="19" t="s">
        <v>114</v>
      </c>
      <c r="BB29" s="19" t="s">
        <v>114</v>
      </c>
      <c r="BC29" s="19" t="s">
        <v>114</v>
      </c>
      <c r="BD29" s="19" t="s">
        <v>114</v>
      </c>
      <c r="BE29" s="19" t="s">
        <v>114</v>
      </c>
      <c r="BF29" s="19" t="s">
        <v>114</v>
      </c>
      <c r="BG29" s="19" t="s">
        <v>114</v>
      </c>
      <c r="BH29" s="19" t="s">
        <v>114</v>
      </c>
      <c r="BI29" s="19" t="s">
        <v>114</v>
      </c>
      <c r="BJ29" s="19" t="s">
        <v>114</v>
      </c>
      <c r="BK29" s="19" t="s">
        <v>114</v>
      </c>
      <c r="BL29" s="19" t="s">
        <v>114</v>
      </c>
      <c r="BM29" s="19" t="s">
        <v>114</v>
      </c>
      <c r="BN29" s="19" t="s">
        <v>114</v>
      </c>
      <c r="BO29" s="19" t="s">
        <v>114</v>
      </c>
      <c r="BP29" s="19" t="s">
        <v>114</v>
      </c>
      <c r="BQ29" s="19" t="s">
        <v>114</v>
      </c>
      <c r="BR29" s="19" t="s">
        <v>114</v>
      </c>
      <c r="BS29" s="19" t="s">
        <v>114</v>
      </c>
      <c r="BT29" s="19" t="s">
        <v>114</v>
      </c>
      <c r="BU29" s="19" t="s">
        <v>114</v>
      </c>
      <c r="BV29" s="19" t="s">
        <v>114</v>
      </c>
      <c r="BW29" s="19" t="s">
        <v>114</v>
      </c>
      <c r="BX29" s="19" t="s">
        <v>114</v>
      </c>
      <c r="BY29" s="19" t="s">
        <v>114</v>
      </c>
      <c r="BZ29" s="21" t="s">
        <v>114</v>
      </c>
      <c r="CA29" s="21" t="s">
        <v>114</v>
      </c>
      <c r="CB29" s="21" t="s">
        <v>114</v>
      </c>
      <c r="CC29" s="21" t="s">
        <v>114</v>
      </c>
      <c r="CD29" s="21" t="s">
        <v>114</v>
      </c>
      <c r="CE29" s="21" t="s">
        <v>114</v>
      </c>
      <c r="CF29" s="19" t="s">
        <v>114</v>
      </c>
      <c r="CG29" s="19">
        <v>98300</v>
      </c>
      <c r="CH29" s="19">
        <v>98301</v>
      </c>
      <c r="CI29" s="21" t="s">
        <v>114</v>
      </c>
      <c r="CJ29" s="21" t="s">
        <v>114</v>
      </c>
      <c r="CK29" s="21" t="s">
        <v>114</v>
      </c>
      <c r="CL29" s="21" t="s">
        <v>114</v>
      </c>
      <c r="CM29" s="21" t="s">
        <v>114</v>
      </c>
      <c r="CN29" s="21" t="s">
        <v>114</v>
      </c>
      <c r="CO29" s="21" t="s">
        <v>114</v>
      </c>
      <c r="CP29" s="21" t="s">
        <v>114</v>
      </c>
      <c r="CQ29" s="21" t="s">
        <v>114</v>
      </c>
      <c r="CR29" s="21" t="s">
        <v>114</v>
      </c>
      <c r="CS29" s="21" t="s">
        <v>114</v>
      </c>
      <c r="CT29" s="21" t="s">
        <v>114</v>
      </c>
      <c r="CU29" s="21" t="s">
        <v>114</v>
      </c>
      <c r="CV29" s="21">
        <v>98424</v>
      </c>
      <c r="CW29" s="21" t="s">
        <v>114</v>
      </c>
      <c r="CX29" s="21" t="s">
        <v>114</v>
      </c>
      <c r="CY29" s="21" t="s">
        <v>114</v>
      </c>
      <c r="CZ29" s="21" t="s">
        <v>114</v>
      </c>
      <c r="DA29" s="21" t="s">
        <v>114</v>
      </c>
      <c r="DB29" s="21" t="s">
        <v>114</v>
      </c>
      <c r="DC29" s="21" t="s">
        <v>114</v>
      </c>
      <c r="DD29" s="21" t="s">
        <v>114</v>
      </c>
      <c r="DE29" s="21" t="s">
        <v>114</v>
      </c>
      <c r="DF29" s="19" t="s">
        <v>114</v>
      </c>
      <c r="DG29" s="19" t="s">
        <v>114</v>
      </c>
      <c r="DH29" s="19" t="s">
        <v>114</v>
      </c>
      <c r="DI29" s="19" t="s">
        <v>114</v>
      </c>
      <c r="DJ29" s="19" t="s">
        <v>114</v>
      </c>
      <c r="DK29" s="19" t="s">
        <v>114</v>
      </c>
      <c r="DL29" s="19" t="s">
        <v>114</v>
      </c>
      <c r="DM29" s="19" t="s">
        <v>114</v>
      </c>
      <c r="DN29" s="19" t="s">
        <v>114</v>
      </c>
      <c r="DO29" s="19" t="s">
        <v>114</v>
      </c>
    </row>
    <row r="30" spans="1:119" hidden="1" x14ac:dyDescent="0.45">
      <c r="A30" s="2" t="s">
        <v>688</v>
      </c>
      <c r="B30" t="s">
        <v>689</v>
      </c>
      <c r="C30" s="2">
        <v>332</v>
      </c>
      <c r="D30" s="6">
        <v>319</v>
      </c>
      <c r="E30" s="2" t="s">
        <v>690</v>
      </c>
      <c r="F30" t="s">
        <v>690</v>
      </c>
      <c r="G30" t="s">
        <v>2078</v>
      </c>
      <c r="H30" s="2" t="s">
        <v>691</v>
      </c>
      <c r="I30" s="2" t="s">
        <v>692</v>
      </c>
      <c r="J30" s="2">
        <v>19</v>
      </c>
      <c r="K30" t="s">
        <v>157</v>
      </c>
      <c r="L30" s="2">
        <v>419</v>
      </c>
      <c r="M30" t="s">
        <v>174</v>
      </c>
      <c r="N30">
        <v>29</v>
      </c>
      <c r="O30" t="s">
        <v>175</v>
      </c>
      <c r="P30" s="2" t="s">
        <v>176</v>
      </c>
      <c r="Q30" s="2" t="s">
        <v>177</v>
      </c>
      <c r="R30" s="2">
        <v>419</v>
      </c>
      <c r="S30" s="4" t="s">
        <v>174</v>
      </c>
      <c r="T30" s="2">
        <v>419</v>
      </c>
      <c r="U30" s="4" t="s">
        <v>174</v>
      </c>
      <c r="V30" t="s">
        <v>2455</v>
      </c>
      <c r="W30" t="s">
        <v>2455</v>
      </c>
      <c r="X30" t="s">
        <v>2440</v>
      </c>
      <c r="Y30" t="s">
        <v>175</v>
      </c>
      <c r="Z30" t="s">
        <v>175</v>
      </c>
      <c r="AA30" t="s">
        <v>2799</v>
      </c>
      <c r="AB30" t="s">
        <v>2872</v>
      </c>
      <c r="AC30" s="2" t="s">
        <v>168</v>
      </c>
      <c r="AD30" s="2" t="s">
        <v>1890</v>
      </c>
      <c r="AE30" t="s">
        <v>104</v>
      </c>
      <c r="AF30" t="s">
        <v>1885</v>
      </c>
      <c r="AG30" t="s">
        <v>1884</v>
      </c>
      <c r="AH30" t="s">
        <v>105</v>
      </c>
      <c r="AI30" s="3" t="s">
        <v>178</v>
      </c>
      <c r="AJ30" s="3" t="s">
        <v>106</v>
      </c>
      <c r="AK30" s="3" t="s">
        <v>107</v>
      </c>
      <c r="AL30" s="5" t="s">
        <v>693</v>
      </c>
      <c r="AM30" s="5" t="s">
        <v>109</v>
      </c>
      <c r="AO30" t="s">
        <v>25</v>
      </c>
      <c r="AP30" s="3" t="s">
        <v>120</v>
      </c>
      <c r="AQ30" s="3" t="s">
        <v>27</v>
      </c>
      <c r="AR30" s="3" t="s">
        <v>112</v>
      </c>
      <c r="AS30" s="3" t="s">
        <v>112</v>
      </c>
      <c r="AT30" t="s">
        <v>191</v>
      </c>
      <c r="AU30" s="3" t="s">
        <v>2303</v>
      </c>
      <c r="AV30" s="3" t="s">
        <v>2302</v>
      </c>
      <c r="AW30" s="3" t="s">
        <v>2301</v>
      </c>
      <c r="AX30" s="3" t="s">
        <v>2006</v>
      </c>
      <c r="AY30" s="19" t="s">
        <v>114</v>
      </c>
      <c r="AZ30" s="19" t="s">
        <v>114</v>
      </c>
      <c r="BA30" s="19" t="s">
        <v>114</v>
      </c>
      <c r="BB30" s="19" t="s">
        <v>114</v>
      </c>
      <c r="BC30" s="19" t="s">
        <v>114</v>
      </c>
      <c r="BD30" s="19" t="s">
        <v>114</v>
      </c>
      <c r="BE30" s="19" t="s">
        <v>114</v>
      </c>
      <c r="BF30" s="19" t="s">
        <v>114</v>
      </c>
      <c r="BG30" s="19" t="s">
        <v>114</v>
      </c>
      <c r="BH30" s="19" t="s">
        <v>114</v>
      </c>
      <c r="BI30" s="19" t="s">
        <v>114</v>
      </c>
      <c r="BJ30" s="19" t="s">
        <v>114</v>
      </c>
      <c r="BK30" s="19" t="s">
        <v>114</v>
      </c>
      <c r="BL30" s="19" t="s">
        <v>114</v>
      </c>
      <c r="BM30" s="19" t="s">
        <v>114</v>
      </c>
      <c r="BN30" s="19" t="s">
        <v>114</v>
      </c>
      <c r="BO30" s="19" t="s">
        <v>114</v>
      </c>
      <c r="BP30" s="19" t="s">
        <v>114</v>
      </c>
      <c r="BQ30" s="19" t="s">
        <v>114</v>
      </c>
      <c r="BR30" s="19" t="s">
        <v>114</v>
      </c>
      <c r="BS30" s="19" t="s">
        <v>114</v>
      </c>
      <c r="BT30" s="19" t="s">
        <v>114</v>
      </c>
      <c r="BU30" s="19" t="s">
        <v>114</v>
      </c>
      <c r="BV30" s="19" t="s">
        <v>114</v>
      </c>
      <c r="BW30" s="19" t="s">
        <v>114</v>
      </c>
      <c r="BX30" s="19" t="s">
        <v>114</v>
      </c>
      <c r="BY30" s="19" t="s">
        <v>114</v>
      </c>
      <c r="BZ30" s="21" t="s">
        <v>114</v>
      </c>
      <c r="CA30" s="21" t="s">
        <v>114</v>
      </c>
      <c r="CB30" s="21" t="s">
        <v>114</v>
      </c>
      <c r="CC30" s="21" t="s">
        <v>114</v>
      </c>
      <c r="CD30" s="21" t="s">
        <v>114</v>
      </c>
      <c r="CE30" s="21" t="s">
        <v>114</v>
      </c>
      <c r="CF30" s="19" t="s">
        <v>114</v>
      </c>
      <c r="CG30" s="19">
        <v>98300</v>
      </c>
      <c r="CH30" s="19" t="s">
        <v>114</v>
      </c>
      <c r="CI30" s="21">
        <v>98302</v>
      </c>
      <c r="CJ30" s="21" t="s">
        <v>114</v>
      </c>
      <c r="CK30" s="21" t="s">
        <v>114</v>
      </c>
      <c r="CL30" s="21" t="s">
        <v>114</v>
      </c>
      <c r="CM30" s="21" t="s">
        <v>114</v>
      </c>
      <c r="CN30" s="21" t="s">
        <v>114</v>
      </c>
      <c r="CO30" s="21" t="s">
        <v>114</v>
      </c>
      <c r="CP30" s="21" t="s">
        <v>114</v>
      </c>
      <c r="CQ30" s="21" t="s">
        <v>114</v>
      </c>
      <c r="CR30" s="21" t="s">
        <v>114</v>
      </c>
      <c r="CS30" s="21" t="s">
        <v>114</v>
      </c>
      <c r="CT30" s="21" t="s">
        <v>114</v>
      </c>
      <c r="CU30" s="21" t="s">
        <v>114</v>
      </c>
      <c r="CV30" s="21">
        <v>98424</v>
      </c>
      <c r="CW30" s="21" t="s">
        <v>114</v>
      </c>
      <c r="CX30" s="21" t="s">
        <v>114</v>
      </c>
      <c r="CY30" s="21" t="s">
        <v>114</v>
      </c>
      <c r="CZ30" s="21" t="s">
        <v>114</v>
      </c>
      <c r="DA30" s="21" t="s">
        <v>114</v>
      </c>
      <c r="DB30" s="21" t="s">
        <v>114</v>
      </c>
      <c r="DC30" s="21" t="s">
        <v>114</v>
      </c>
      <c r="DD30" s="21" t="s">
        <v>114</v>
      </c>
      <c r="DE30" s="21" t="s">
        <v>114</v>
      </c>
      <c r="DF30" s="19" t="s">
        <v>114</v>
      </c>
      <c r="DG30" s="19" t="s">
        <v>114</v>
      </c>
      <c r="DH30" s="19" t="s">
        <v>114</v>
      </c>
      <c r="DI30" s="19" t="s">
        <v>114</v>
      </c>
      <c r="DJ30" s="19" t="s">
        <v>114</v>
      </c>
      <c r="DK30" s="19" t="s">
        <v>114</v>
      </c>
      <c r="DL30" s="19" t="s">
        <v>114</v>
      </c>
      <c r="DM30" s="19" t="s">
        <v>114</v>
      </c>
      <c r="DN30" s="19" t="s">
        <v>114</v>
      </c>
      <c r="DO30" s="19" t="s">
        <v>114</v>
      </c>
    </row>
    <row r="31" spans="1:119" hidden="1" x14ac:dyDescent="0.45">
      <c r="A31" s="2" t="s">
        <v>759</v>
      </c>
      <c r="B31" t="s">
        <v>760</v>
      </c>
      <c r="C31" s="2">
        <v>388</v>
      </c>
      <c r="D31" s="6">
        <v>321</v>
      </c>
      <c r="E31" s="2" t="s">
        <v>761</v>
      </c>
      <c r="F31" t="s">
        <v>761</v>
      </c>
      <c r="G31" t="s">
        <v>761</v>
      </c>
      <c r="H31" s="2" t="s">
        <v>762</v>
      </c>
      <c r="I31" s="2" t="s">
        <v>761</v>
      </c>
      <c r="J31" s="2">
        <v>19</v>
      </c>
      <c r="K31" t="s">
        <v>157</v>
      </c>
      <c r="L31" s="2">
        <v>419</v>
      </c>
      <c r="M31" t="s">
        <v>174</v>
      </c>
      <c r="N31">
        <v>29</v>
      </c>
      <c r="O31" t="s">
        <v>175</v>
      </c>
      <c r="P31" s="2" t="s">
        <v>176</v>
      </c>
      <c r="Q31" s="2" t="s">
        <v>177</v>
      </c>
      <c r="R31" s="2">
        <v>419</v>
      </c>
      <c r="S31" s="4" t="s">
        <v>174</v>
      </c>
      <c r="T31" s="2">
        <v>419</v>
      </c>
      <c r="U31" s="4" t="s">
        <v>174</v>
      </c>
      <c r="V31" t="s">
        <v>2455</v>
      </c>
      <c r="W31" t="s">
        <v>2455</v>
      </c>
      <c r="X31" t="s">
        <v>2440</v>
      </c>
      <c r="Y31" t="s">
        <v>175</v>
      </c>
      <c r="Z31" t="s">
        <v>175</v>
      </c>
      <c r="AA31" t="s">
        <v>2799</v>
      </c>
      <c r="AB31" t="s">
        <v>2872</v>
      </c>
      <c r="AC31" s="2" t="s">
        <v>138</v>
      </c>
      <c r="AD31" s="4" t="s">
        <v>1891</v>
      </c>
      <c r="AE31" t="s">
        <v>104</v>
      </c>
      <c r="AF31" t="s">
        <v>1885</v>
      </c>
      <c r="AG31" t="s">
        <v>1884</v>
      </c>
      <c r="AH31" t="s">
        <v>105</v>
      </c>
      <c r="AI31" s="3" t="s">
        <v>178</v>
      </c>
      <c r="AJ31" s="3" t="s">
        <v>106</v>
      </c>
      <c r="AK31" s="3" t="s">
        <v>107</v>
      </c>
      <c r="AL31" s="5" t="s">
        <v>763</v>
      </c>
      <c r="AM31" s="5" t="s">
        <v>109</v>
      </c>
      <c r="AN31" t="s">
        <v>110</v>
      </c>
      <c r="AO31" s="3" t="s">
        <v>119</v>
      </c>
      <c r="AP31" s="3" t="s">
        <v>120</v>
      </c>
      <c r="AQ31" s="3" t="s">
        <v>27</v>
      </c>
      <c r="AR31" s="3" t="s">
        <v>112</v>
      </c>
      <c r="AS31" s="3" t="s">
        <v>112</v>
      </c>
      <c r="AT31" t="s">
        <v>191</v>
      </c>
      <c r="AU31" s="3" t="s">
        <v>2303</v>
      </c>
      <c r="AV31" s="3" t="s">
        <v>2302</v>
      </c>
      <c r="AW31" s="3" t="s">
        <v>2301</v>
      </c>
      <c r="AX31" s="3" t="s">
        <v>2006</v>
      </c>
      <c r="AY31" s="19" t="s">
        <v>114</v>
      </c>
      <c r="AZ31" s="19" t="s">
        <v>114</v>
      </c>
      <c r="BA31" s="19" t="s">
        <v>114</v>
      </c>
      <c r="BB31" s="19" t="s">
        <v>114</v>
      </c>
      <c r="BC31" s="19" t="s">
        <v>114</v>
      </c>
      <c r="BD31" s="19" t="s">
        <v>114</v>
      </c>
      <c r="BE31" s="19" t="s">
        <v>114</v>
      </c>
      <c r="BF31" s="19" t="s">
        <v>114</v>
      </c>
      <c r="BG31" s="19" t="s">
        <v>114</v>
      </c>
      <c r="BH31" s="19" t="s">
        <v>114</v>
      </c>
      <c r="BI31" s="19" t="s">
        <v>114</v>
      </c>
      <c r="BJ31" s="19" t="s">
        <v>114</v>
      </c>
      <c r="BK31" s="19" t="s">
        <v>114</v>
      </c>
      <c r="BL31" s="19" t="s">
        <v>114</v>
      </c>
      <c r="BM31" s="19" t="s">
        <v>114</v>
      </c>
      <c r="BN31" s="19" t="s">
        <v>114</v>
      </c>
      <c r="BO31" s="19" t="s">
        <v>114</v>
      </c>
      <c r="BP31" s="19" t="s">
        <v>114</v>
      </c>
      <c r="BQ31" s="19" t="s">
        <v>114</v>
      </c>
      <c r="BR31" s="19" t="s">
        <v>114</v>
      </c>
      <c r="BS31" s="19" t="s">
        <v>114</v>
      </c>
      <c r="BT31" s="19" t="s">
        <v>114</v>
      </c>
      <c r="BU31" s="19" t="s">
        <v>114</v>
      </c>
      <c r="BV31" s="19" t="s">
        <v>114</v>
      </c>
      <c r="BW31" s="19" t="s">
        <v>114</v>
      </c>
      <c r="BX31" s="19" t="s">
        <v>114</v>
      </c>
      <c r="BY31" s="19" t="s">
        <v>114</v>
      </c>
      <c r="BZ31" s="21" t="s">
        <v>114</v>
      </c>
      <c r="CA31" s="21" t="s">
        <v>114</v>
      </c>
      <c r="CB31" s="21" t="s">
        <v>114</v>
      </c>
      <c r="CC31" s="21" t="s">
        <v>114</v>
      </c>
      <c r="CD31" s="21" t="s">
        <v>114</v>
      </c>
      <c r="CE31" s="21" t="s">
        <v>114</v>
      </c>
      <c r="CF31" s="19" t="s">
        <v>114</v>
      </c>
      <c r="CG31" s="19">
        <v>98300</v>
      </c>
      <c r="CH31" s="19">
        <v>98301</v>
      </c>
      <c r="CI31" s="21" t="s">
        <v>114</v>
      </c>
      <c r="CJ31" s="21" t="s">
        <v>114</v>
      </c>
      <c r="CK31" s="21" t="s">
        <v>114</v>
      </c>
      <c r="CL31" s="21" t="s">
        <v>114</v>
      </c>
      <c r="CM31" s="21" t="s">
        <v>114</v>
      </c>
      <c r="CN31" s="21" t="s">
        <v>114</v>
      </c>
      <c r="CO31" s="21" t="s">
        <v>114</v>
      </c>
      <c r="CP31" s="21" t="s">
        <v>114</v>
      </c>
      <c r="CQ31" s="21" t="s">
        <v>114</v>
      </c>
      <c r="CR31" s="21" t="s">
        <v>114</v>
      </c>
      <c r="CS31" s="21" t="s">
        <v>114</v>
      </c>
      <c r="CT31" s="21" t="s">
        <v>114</v>
      </c>
      <c r="CU31" s="21" t="s">
        <v>114</v>
      </c>
      <c r="CV31" s="21">
        <v>98424</v>
      </c>
      <c r="CW31" s="21" t="s">
        <v>114</v>
      </c>
      <c r="CX31" s="21" t="s">
        <v>114</v>
      </c>
      <c r="CY31" s="21" t="s">
        <v>114</v>
      </c>
      <c r="CZ31" s="21" t="s">
        <v>114</v>
      </c>
      <c r="DA31" s="21" t="s">
        <v>114</v>
      </c>
      <c r="DB31" s="21" t="s">
        <v>114</v>
      </c>
      <c r="DC31" s="21" t="s">
        <v>114</v>
      </c>
      <c r="DD31" s="21" t="s">
        <v>114</v>
      </c>
      <c r="DE31" s="21" t="s">
        <v>114</v>
      </c>
      <c r="DF31" s="19" t="s">
        <v>114</v>
      </c>
      <c r="DG31" s="19" t="s">
        <v>114</v>
      </c>
      <c r="DH31" s="19" t="s">
        <v>114</v>
      </c>
      <c r="DI31" s="19" t="s">
        <v>114</v>
      </c>
      <c r="DJ31" s="19" t="s">
        <v>114</v>
      </c>
      <c r="DK31" s="19" t="s">
        <v>114</v>
      </c>
      <c r="DL31" s="19" t="s">
        <v>114</v>
      </c>
      <c r="DM31" s="19" t="s">
        <v>114</v>
      </c>
      <c r="DN31" s="19" t="s">
        <v>114</v>
      </c>
      <c r="DO31" s="19" t="s">
        <v>114</v>
      </c>
    </row>
    <row r="32" spans="1:119" hidden="1" x14ac:dyDescent="0.45">
      <c r="A32" s="2" t="s">
        <v>883</v>
      </c>
      <c r="B32" t="s">
        <v>884</v>
      </c>
      <c r="C32" s="2">
        <v>474</v>
      </c>
      <c r="D32" s="6">
        <v>322</v>
      </c>
      <c r="E32" s="2" t="s">
        <v>885</v>
      </c>
      <c r="F32" t="s">
        <v>885</v>
      </c>
      <c r="H32" s="2" t="s">
        <v>885</v>
      </c>
      <c r="I32" s="2" t="s">
        <v>886</v>
      </c>
      <c r="J32" s="2">
        <v>19</v>
      </c>
      <c r="K32" t="s">
        <v>157</v>
      </c>
      <c r="L32" s="2">
        <v>419</v>
      </c>
      <c r="M32" t="s">
        <v>174</v>
      </c>
      <c r="N32">
        <v>29</v>
      </c>
      <c r="O32" t="s">
        <v>175</v>
      </c>
      <c r="P32" s="2" t="s">
        <v>176</v>
      </c>
      <c r="Q32" s="2" t="s">
        <v>177</v>
      </c>
      <c r="R32" s="2">
        <v>419</v>
      </c>
      <c r="S32" s="4" t="s">
        <v>174</v>
      </c>
      <c r="T32" s="2">
        <v>419</v>
      </c>
      <c r="U32" s="4" t="s">
        <v>174</v>
      </c>
      <c r="V32" t="s">
        <v>2455</v>
      </c>
      <c r="W32" t="s">
        <v>2455</v>
      </c>
      <c r="X32" t="s">
        <v>2440</v>
      </c>
      <c r="Y32" t="s">
        <v>175</v>
      </c>
      <c r="Z32" t="s">
        <v>175</v>
      </c>
      <c r="AA32" t="s">
        <v>2799</v>
      </c>
      <c r="AB32" t="s">
        <v>2872</v>
      </c>
      <c r="AC32" s="2" t="s">
        <v>1888</v>
      </c>
      <c r="AD32" s="2" t="s">
        <v>1888</v>
      </c>
      <c r="AE32" t="s">
        <v>104</v>
      </c>
      <c r="AF32" t="s">
        <v>1886</v>
      </c>
      <c r="AG32" s="3" t="s">
        <v>1887</v>
      </c>
      <c r="AH32" t="s">
        <v>105</v>
      </c>
      <c r="AI32" s="3" t="s">
        <v>178</v>
      </c>
      <c r="AJ32" s="3" t="s">
        <v>106</v>
      </c>
      <c r="AK32" s="3" t="s">
        <v>107</v>
      </c>
      <c r="AL32" s="5" t="s">
        <v>132</v>
      </c>
      <c r="AM32" s="5" t="s">
        <v>109</v>
      </c>
      <c r="AO32" s="3" t="s">
        <v>119</v>
      </c>
      <c r="AP32" s="3" t="s">
        <v>120</v>
      </c>
      <c r="AQ32" s="3" t="s">
        <v>111</v>
      </c>
      <c r="AR32" s="3" t="s">
        <v>112</v>
      </c>
      <c r="AS32" s="3" t="s">
        <v>112</v>
      </c>
      <c r="AT32" s="3" t="s">
        <v>113</v>
      </c>
      <c r="AU32" s="3" t="s">
        <v>2303</v>
      </c>
      <c r="AV32" s="3" t="s">
        <v>2302</v>
      </c>
      <c r="AW32" s="3" t="s">
        <v>2301</v>
      </c>
      <c r="AX32" s="3" t="s">
        <v>2006</v>
      </c>
      <c r="AY32" s="19" t="s">
        <v>114</v>
      </c>
      <c r="AZ32" s="19" t="s">
        <v>114</v>
      </c>
      <c r="BA32" s="19" t="s">
        <v>114</v>
      </c>
      <c r="BB32" s="19" t="s">
        <v>114</v>
      </c>
      <c r="BC32" s="19" t="s">
        <v>114</v>
      </c>
      <c r="BD32" s="19" t="s">
        <v>114</v>
      </c>
      <c r="BE32" s="19" t="s">
        <v>114</v>
      </c>
      <c r="BF32" s="19" t="s">
        <v>114</v>
      </c>
      <c r="BG32" s="19" t="s">
        <v>114</v>
      </c>
      <c r="BH32" s="19" t="s">
        <v>114</v>
      </c>
      <c r="BI32" s="19" t="s">
        <v>114</v>
      </c>
      <c r="BJ32" s="19" t="s">
        <v>114</v>
      </c>
      <c r="BK32" s="19" t="s">
        <v>114</v>
      </c>
      <c r="BL32" s="19" t="s">
        <v>114</v>
      </c>
      <c r="BM32" s="19" t="s">
        <v>114</v>
      </c>
      <c r="BN32" s="19" t="s">
        <v>114</v>
      </c>
      <c r="BO32" s="19" t="s">
        <v>114</v>
      </c>
      <c r="BP32" s="19" t="s">
        <v>114</v>
      </c>
      <c r="BQ32" s="19" t="s">
        <v>114</v>
      </c>
      <c r="BR32" s="19" t="s">
        <v>114</v>
      </c>
      <c r="BS32" s="19" t="s">
        <v>114</v>
      </c>
      <c r="BT32" s="19" t="s">
        <v>114</v>
      </c>
      <c r="BU32" s="19" t="s">
        <v>114</v>
      </c>
      <c r="BV32" s="19" t="s">
        <v>114</v>
      </c>
      <c r="BW32" s="19" t="s">
        <v>114</v>
      </c>
      <c r="BX32" s="19" t="s">
        <v>114</v>
      </c>
      <c r="BY32" s="19" t="s">
        <v>114</v>
      </c>
      <c r="BZ32" s="21" t="s">
        <v>114</v>
      </c>
      <c r="CA32" s="21" t="s">
        <v>114</v>
      </c>
      <c r="CB32" s="21" t="s">
        <v>114</v>
      </c>
      <c r="CC32" s="21" t="s">
        <v>114</v>
      </c>
      <c r="CD32" s="21" t="s">
        <v>114</v>
      </c>
      <c r="CE32" s="21" t="s">
        <v>114</v>
      </c>
      <c r="CF32" s="19" t="s">
        <v>114</v>
      </c>
      <c r="CG32" s="19">
        <v>98300</v>
      </c>
      <c r="CH32" s="19">
        <v>98301</v>
      </c>
      <c r="CI32" s="21" t="s">
        <v>114</v>
      </c>
      <c r="CJ32" s="21" t="s">
        <v>114</v>
      </c>
      <c r="CK32" s="21" t="s">
        <v>114</v>
      </c>
      <c r="CL32" s="21" t="s">
        <v>114</v>
      </c>
      <c r="CM32" s="21" t="s">
        <v>114</v>
      </c>
      <c r="CN32" s="21" t="s">
        <v>114</v>
      </c>
      <c r="CO32" s="21" t="s">
        <v>114</v>
      </c>
      <c r="CP32" s="21" t="s">
        <v>114</v>
      </c>
      <c r="CQ32" s="21" t="s">
        <v>114</v>
      </c>
      <c r="CR32" s="21" t="s">
        <v>114</v>
      </c>
      <c r="CS32" s="21" t="s">
        <v>114</v>
      </c>
      <c r="CT32" s="21" t="s">
        <v>114</v>
      </c>
      <c r="CU32" s="21" t="s">
        <v>114</v>
      </c>
      <c r="CV32" s="21">
        <v>98424</v>
      </c>
      <c r="CW32" s="21" t="s">
        <v>114</v>
      </c>
      <c r="CX32" s="21" t="s">
        <v>114</v>
      </c>
      <c r="CY32" s="21" t="s">
        <v>114</v>
      </c>
      <c r="CZ32" s="21" t="s">
        <v>114</v>
      </c>
      <c r="DA32" s="21" t="s">
        <v>114</v>
      </c>
      <c r="DB32" s="21" t="s">
        <v>114</v>
      </c>
      <c r="DC32" s="21" t="s">
        <v>114</v>
      </c>
      <c r="DD32" s="21" t="s">
        <v>114</v>
      </c>
      <c r="DE32" s="21" t="s">
        <v>114</v>
      </c>
      <c r="DF32" s="19" t="s">
        <v>114</v>
      </c>
      <c r="DG32" s="19" t="s">
        <v>114</v>
      </c>
      <c r="DH32" s="19" t="s">
        <v>114</v>
      </c>
      <c r="DI32" s="19" t="s">
        <v>114</v>
      </c>
      <c r="DJ32" s="19" t="s">
        <v>114</v>
      </c>
      <c r="DK32" s="19" t="s">
        <v>114</v>
      </c>
      <c r="DL32" s="19" t="s">
        <v>114</v>
      </c>
      <c r="DM32" s="19" t="s">
        <v>114</v>
      </c>
      <c r="DN32" s="19" t="s">
        <v>114</v>
      </c>
      <c r="DO32" s="19" t="s">
        <v>114</v>
      </c>
    </row>
    <row r="33" spans="1:119" hidden="1" x14ac:dyDescent="0.45">
      <c r="A33" s="2" t="s">
        <v>927</v>
      </c>
      <c r="B33" t="s">
        <v>928</v>
      </c>
      <c r="C33" s="2">
        <v>500</v>
      </c>
      <c r="D33" s="6">
        <v>323</v>
      </c>
      <c r="E33" s="2" t="s">
        <v>929</v>
      </c>
      <c r="F33" t="s">
        <v>929</v>
      </c>
      <c r="H33" s="2" t="s">
        <v>929</v>
      </c>
      <c r="I33" s="2" t="s">
        <v>929</v>
      </c>
      <c r="J33" s="2">
        <v>19</v>
      </c>
      <c r="K33" t="s">
        <v>157</v>
      </c>
      <c r="L33" s="2">
        <v>419</v>
      </c>
      <c r="M33" t="s">
        <v>174</v>
      </c>
      <c r="N33">
        <v>29</v>
      </c>
      <c r="O33" t="s">
        <v>175</v>
      </c>
      <c r="P33" s="2" t="s">
        <v>176</v>
      </c>
      <c r="Q33" s="2" t="s">
        <v>177</v>
      </c>
      <c r="R33" s="2">
        <v>419</v>
      </c>
      <c r="S33" s="4" t="s">
        <v>174</v>
      </c>
      <c r="T33" s="2">
        <v>419</v>
      </c>
      <c r="U33" s="4" t="s">
        <v>174</v>
      </c>
      <c r="V33" t="s">
        <v>2455</v>
      </c>
      <c r="W33" t="s">
        <v>2455</v>
      </c>
      <c r="X33" t="s">
        <v>2440</v>
      </c>
      <c r="Y33" t="s">
        <v>175</v>
      </c>
      <c r="Z33" t="s">
        <v>175</v>
      </c>
      <c r="AA33" t="s">
        <v>2799</v>
      </c>
      <c r="AB33" t="s">
        <v>2872</v>
      </c>
      <c r="AC33" s="2" t="s">
        <v>1888</v>
      </c>
      <c r="AD33" s="2" t="s">
        <v>1888</v>
      </c>
      <c r="AE33" t="s">
        <v>104</v>
      </c>
      <c r="AF33" t="s">
        <v>1885</v>
      </c>
      <c r="AG33" t="s">
        <v>1884</v>
      </c>
      <c r="AH33" t="s">
        <v>105</v>
      </c>
      <c r="AI33" s="3" t="s">
        <v>178</v>
      </c>
      <c r="AJ33" s="3" t="s">
        <v>106</v>
      </c>
      <c r="AK33" s="3" t="s">
        <v>107</v>
      </c>
      <c r="AL33" s="5" t="s">
        <v>179</v>
      </c>
      <c r="AM33" s="5" t="s">
        <v>109</v>
      </c>
      <c r="AO33" s="3" t="s">
        <v>119</v>
      </c>
      <c r="AP33" s="3" t="s">
        <v>120</v>
      </c>
      <c r="AQ33" s="3" t="s">
        <v>27</v>
      </c>
      <c r="AR33" s="3" t="s">
        <v>112</v>
      </c>
      <c r="AS33" s="3" t="s">
        <v>112</v>
      </c>
      <c r="AT33" s="3" t="s">
        <v>113</v>
      </c>
      <c r="AU33" s="3" t="s">
        <v>2303</v>
      </c>
      <c r="AV33" s="3" t="s">
        <v>2302</v>
      </c>
      <c r="AW33" s="3" t="s">
        <v>2301</v>
      </c>
      <c r="AX33" s="3" t="s">
        <v>2006</v>
      </c>
      <c r="AY33" s="19" t="s">
        <v>114</v>
      </c>
      <c r="AZ33" s="19" t="s">
        <v>114</v>
      </c>
      <c r="BA33" s="19" t="s">
        <v>114</v>
      </c>
      <c r="BB33" s="19" t="s">
        <v>114</v>
      </c>
      <c r="BC33" s="19" t="s">
        <v>114</v>
      </c>
      <c r="BD33" s="19" t="s">
        <v>114</v>
      </c>
      <c r="BE33" s="19" t="s">
        <v>114</v>
      </c>
      <c r="BF33" s="19" t="s">
        <v>114</v>
      </c>
      <c r="BG33" s="19" t="s">
        <v>114</v>
      </c>
      <c r="BH33" s="19" t="s">
        <v>114</v>
      </c>
      <c r="BI33" s="19" t="s">
        <v>114</v>
      </c>
      <c r="BJ33" s="19" t="s">
        <v>114</v>
      </c>
      <c r="BK33" s="19" t="s">
        <v>114</v>
      </c>
      <c r="BL33" s="19" t="s">
        <v>114</v>
      </c>
      <c r="BM33" s="19" t="s">
        <v>114</v>
      </c>
      <c r="BN33" s="19" t="s">
        <v>114</v>
      </c>
      <c r="BO33" s="19" t="s">
        <v>114</v>
      </c>
      <c r="BP33" s="19" t="s">
        <v>114</v>
      </c>
      <c r="BQ33" s="19" t="s">
        <v>114</v>
      </c>
      <c r="BR33" s="19" t="s">
        <v>114</v>
      </c>
      <c r="BS33" s="19" t="s">
        <v>114</v>
      </c>
      <c r="BT33" s="19" t="s">
        <v>114</v>
      </c>
      <c r="BU33" s="19" t="s">
        <v>114</v>
      </c>
      <c r="BV33" s="19" t="s">
        <v>114</v>
      </c>
      <c r="BW33" s="19" t="s">
        <v>114</v>
      </c>
      <c r="BX33" s="19" t="s">
        <v>114</v>
      </c>
      <c r="BY33" s="19" t="s">
        <v>114</v>
      </c>
      <c r="BZ33" s="21" t="s">
        <v>114</v>
      </c>
      <c r="CA33" s="21" t="s">
        <v>114</v>
      </c>
      <c r="CB33" s="21" t="s">
        <v>114</v>
      </c>
      <c r="CC33" s="21" t="s">
        <v>114</v>
      </c>
      <c r="CD33" s="21" t="s">
        <v>114</v>
      </c>
      <c r="CE33" s="21" t="s">
        <v>114</v>
      </c>
      <c r="CF33" s="19" t="s">
        <v>114</v>
      </c>
      <c r="CG33" s="19">
        <v>98300</v>
      </c>
      <c r="CH33" s="19">
        <v>98301</v>
      </c>
      <c r="CI33" s="21" t="s">
        <v>114</v>
      </c>
      <c r="CJ33" s="21" t="s">
        <v>114</v>
      </c>
      <c r="CK33" s="21" t="s">
        <v>114</v>
      </c>
      <c r="CL33" s="21" t="s">
        <v>114</v>
      </c>
      <c r="CM33" s="21" t="s">
        <v>114</v>
      </c>
      <c r="CN33" s="21" t="s">
        <v>114</v>
      </c>
      <c r="CO33" s="21" t="s">
        <v>114</v>
      </c>
      <c r="CP33" s="21" t="s">
        <v>114</v>
      </c>
      <c r="CQ33" s="21" t="s">
        <v>114</v>
      </c>
      <c r="CR33" s="21" t="s">
        <v>114</v>
      </c>
      <c r="CS33" s="21" t="s">
        <v>114</v>
      </c>
      <c r="CT33" s="21" t="s">
        <v>114</v>
      </c>
      <c r="CU33" s="21" t="s">
        <v>114</v>
      </c>
      <c r="CV33" s="21">
        <v>98424</v>
      </c>
      <c r="CW33" s="21" t="s">
        <v>114</v>
      </c>
      <c r="CX33" s="21" t="s">
        <v>114</v>
      </c>
      <c r="CY33" s="21" t="s">
        <v>114</v>
      </c>
      <c r="CZ33" s="21" t="s">
        <v>114</v>
      </c>
      <c r="DA33" s="21" t="s">
        <v>114</v>
      </c>
      <c r="DB33" s="21" t="s">
        <v>114</v>
      </c>
      <c r="DC33" s="21" t="s">
        <v>114</v>
      </c>
      <c r="DD33" s="21" t="s">
        <v>114</v>
      </c>
      <c r="DE33" s="21" t="s">
        <v>114</v>
      </c>
      <c r="DF33" s="19" t="s">
        <v>114</v>
      </c>
      <c r="DG33" s="19" t="s">
        <v>114</v>
      </c>
      <c r="DH33" s="19" t="s">
        <v>114</v>
      </c>
      <c r="DI33" s="19" t="s">
        <v>114</v>
      </c>
      <c r="DJ33" s="19" t="s">
        <v>114</v>
      </c>
      <c r="DK33" s="19" t="s">
        <v>114</v>
      </c>
      <c r="DL33" s="19" t="s">
        <v>114</v>
      </c>
      <c r="DM33" s="19" t="s">
        <v>114</v>
      </c>
      <c r="DN33" s="19" t="s">
        <v>114</v>
      </c>
      <c r="DO33" s="19" t="s">
        <v>114</v>
      </c>
    </row>
    <row r="34" spans="1:119" hidden="1" x14ac:dyDescent="0.45">
      <c r="A34" s="2" t="s">
        <v>1069</v>
      </c>
      <c r="B34" t="s">
        <v>1070</v>
      </c>
      <c r="C34" s="2">
        <v>630</v>
      </c>
      <c r="D34" s="6">
        <v>326</v>
      </c>
      <c r="E34" s="2" t="s">
        <v>1071</v>
      </c>
      <c r="F34" t="s">
        <v>1071</v>
      </c>
      <c r="H34" s="2" t="s">
        <v>1072</v>
      </c>
      <c r="I34" s="2" t="s">
        <v>1071</v>
      </c>
      <c r="J34" s="2">
        <v>19</v>
      </c>
      <c r="K34" t="s">
        <v>157</v>
      </c>
      <c r="L34" s="2">
        <v>419</v>
      </c>
      <c r="M34" t="s">
        <v>174</v>
      </c>
      <c r="N34">
        <v>29</v>
      </c>
      <c r="O34" t="s">
        <v>175</v>
      </c>
      <c r="P34" s="2" t="s">
        <v>176</v>
      </c>
      <c r="Q34" s="2" t="s">
        <v>177</v>
      </c>
      <c r="R34" s="2">
        <v>419</v>
      </c>
      <c r="S34" s="4" t="s">
        <v>174</v>
      </c>
      <c r="T34" s="2">
        <v>419</v>
      </c>
      <c r="U34" s="4" t="s">
        <v>174</v>
      </c>
      <c r="V34" t="s">
        <v>1406</v>
      </c>
      <c r="W34" t="s">
        <v>1406</v>
      </c>
      <c r="X34" t="s">
        <v>2440</v>
      </c>
      <c r="Y34" t="s">
        <v>175</v>
      </c>
      <c r="Z34" t="s">
        <v>175</v>
      </c>
      <c r="AA34" t="s">
        <v>2799</v>
      </c>
      <c r="AB34" t="s">
        <v>2872</v>
      </c>
      <c r="AC34" s="2" t="s">
        <v>130</v>
      </c>
      <c r="AD34" s="4" t="s">
        <v>1891</v>
      </c>
      <c r="AE34" t="s">
        <v>104</v>
      </c>
      <c r="AF34" t="s">
        <v>1886</v>
      </c>
      <c r="AG34" s="3" t="s">
        <v>1887</v>
      </c>
      <c r="AH34" t="s">
        <v>105</v>
      </c>
      <c r="AI34" s="3" t="s">
        <v>178</v>
      </c>
      <c r="AJ34" s="3" t="s">
        <v>106</v>
      </c>
      <c r="AK34" s="3" t="s">
        <v>107</v>
      </c>
      <c r="AL34" s="5" t="s">
        <v>156</v>
      </c>
      <c r="AM34" s="5" t="s">
        <v>109</v>
      </c>
      <c r="AO34" s="3" t="s">
        <v>119</v>
      </c>
      <c r="AP34" s="3" t="s">
        <v>120</v>
      </c>
      <c r="AQ34" s="3" t="s">
        <v>27</v>
      </c>
      <c r="AR34" s="3" t="s">
        <v>112</v>
      </c>
      <c r="AS34" s="3" t="s">
        <v>112</v>
      </c>
      <c r="AT34" s="3" t="s">
        <v>113</v>
      </c>
      <c r="AU34" s="3" t="s">
        <v>2303</v>
      </c>
      <c r="AV34" s="3" t="s">
        <v>2302</v>
      </c>
      <c r="AW34" s="3" t="s">
        <v>2301</v>
      </c>
      <c r="AX34" s="3" t="s">
        <v>2006</v>
      </c>
      <c r="AY34" s="19" t="s">
        <v>114</v>
      </c>
      <c r="AZ34" s="19" t="s">
        <v>114</v>
      </c>
      <c r="BA34" s="19" t="s">
        <v>114</v>
      </c>
      <c r="BB34" s="19" t="s">
        <v>114</v>
      </c>
      <c r="BC34" s="19" t="s">
        <v>114</v>
      </c>
      <c r="BD34" s="19" t="s">
        <v>114</v>
      </c>
      <c r="BE34" s="19" t="s">
        <v>114</v>
      </c>
      <c r="BF34" s="19" t="s">
        <v>114</v>
      </c>
      <c r="BG34" s="19" t="s">
        <v>114</v>
      </c>
      <c r="BH34" s="19" t="s">
        <v>114</v>
      </c>
      <c r="BI34" s="19" t="s">
        <v>114</v>
      </c>
      <c r="BJ34" s="19" t="s">
        <v>114</v>
      </c>
      <c r="BK34" s="19" t="s">
        <v>114</v>
      </c>
      <c r="BL34" s="19" t="s">
        <v>114</v>
      </c>
      <c r="BM34" s="19" t="s">
        <v>114</v>
      </c>
      <c r="BN34" s="19" t="s">
        <v>114</v>
      </c>
      <c r="BO34" s="19" t="s">
        <v>114</v>
      </c>
      <c r="BP34" s="19" t="s">
        <v>114</v>
      </c>
      <c r="BQ34" s="19" t="s">
        <v>114</v>
      </c>
      <c r="BR34" s="19" t="s">
        <v>114</v>
      </c>
      <c r="BS34" s="19" t="s">
        <v>114</v>
      </c>
      <c r="BT34" s="19" t="s">
        <v>114</v>
      </c>
      <c r="BU34" s="19" t="s">
        <v>114</v>
      </c>
      <c r="BV34" s="19" t="s">
        <v>114</v>
      </c>
      <c r="BW34" s="19" t="s">
        <v>114</v>
      </c>
      <c r="BX34" s="19" t="s">
        <v>114</v>
      </c>
      <c r="BY34" s="19" t="s">
        <v>114</v>
      </c>
      <c r="BZ34" s="21" t="s">
        <v>114</v>
      </c>
      <c r="CA34" s="21" t="s">
        <v>114</v>
      </c>
      <c r="CB34" s="21" t="s">
        <v>114</v>
      </c>
      <c r="CC34" s="21" t="s">
        <v>114</v>
      </c>
      <c r="CD34" s="21" t="s">
        <v>114</v>
      </c>
      <c r="CE34" s="21" t="s">
        <v>114</v>
      </c>
      <c r="CF34" s="19" t="s">
        <v>114</v>
      </c>
      <c r="CG34" s="19">
        <v>98300</v>
      </c>
      <c r="CH34" s="19">
        <v>98301</v>
      </c>
      <c r="CI34" s="21" t="s">
        <v>114</v>
      </c>
      <c r="CJ34" s="21" t="s">
        <v>114</v>
      </c>
      <c r="CK34" s="21" t="s">
        <v>114</v>
      </c>
      <c r="CL34" s="21" t="s">
        <v>114</v>
      </c>
      <c r="CM34" s="21" t="s">
        <v>114</v>
      </c>
      <c r="CN34" s="21" t="s">
        <v>114</v>
      </c>
      <c r="CO34" s="21" t="s">
        <v>114</v>
      </c>
      <c r="CP34" s="21" t="s">
        <v>114</v>
      </c>
      <c r="CQ34" s="21" t="s">
        <v>114</v>
      </c>
      <c r="CR34" s="21" t="s">
        <v>114</v>
      </c>
      <c r="CS34" s="21" t="s">
        <v>114</v>
      </c>
      <c r="CT34" s="21" t="s">
        <v>114</v>
      </c>
      <c r="CU34" s="21" t="s">
        <v>114</v>
      </c>
      <c r="CV34" s="21">
        <v>98424</v>
      </c>
      <c r="CW34" s="21" t="s">
        <v>114</v>
      </c>
      <c r="CX34" s="21" t="s">
        <v>114</v>
      </c>
      <c r="CY34" s="21" t="s">
        <v>114</v>
      </c>
      <c r="CZ34" s="21" t="s">
        <v>114</v>
      </c>
      <c r="DA34" s="21" t="s">
        <v>114</v>
      </c>
      <c r="DB34" s="21" t="s">
        <v>114</v>
      </c>
      <c r="DC34" s="21" t="s">
        <v>114</v>
      </c>
      <c r="DD34" s="21" t="s">
        <v>114</v>
      </c>
      <c r="DE34" s="21" t="s">
        <v>114</v>
      </c>
      <c r="DF34" s="19" t="s">
        <v>114</v>
      </c>
      <c r="DG34" s="19" t="s">
        <v>114</v>
      </c>
      <c r="DH34" s="19" t="s">
        <v>114</v>
      </c>
      <c r="DI34" s="19" t="s">
        <v>114</v>
      </c>
      <c r="DJ34" s="19" t="s">
        <v>114</v>
      </c>
      <c r="DK34" s="19" t="s">
        <v>114</v>
      </c>
      <c r="DL34" s="19" t="s">
        <v>114</v>
      </c>
      <c r="DM34" s="19" t="s">
        <v>114</v>
      </c>
      <c r="DN34" s="19" t="s">
        <v>114</v>
      </c>
      <c r="DO34" s="19" t="s">
        <v>114</v>
      </c>
    </row>
    <row r="35" spans="1:119" hidden="1" x14ac:dyDescent="0.45">
      <c r="A35" s="2" t="s">
        <v>1138</v>
      </c>
      <c r="B35" t="s">
        <v>1139</v>
      </c>
      <c r="C35" s="2">
        <v>652</v>
      </c>
      <c r="D35" s="6">
        <v>327</v>
      </c>
      <c r="E35" s="2" t="s">
        <v>1792</v>
      </c>
      <c r="F35" t="s">
        <v>1141</v>
      </c>
      <c r="H35" s="2" t="s">
        <v>1142</v>
      </c>
      <c r="I35" s="2" t="s">
        <v>1143</v>
      </c>
      <c r="J35" s="2">
        <v>19</v>
      </c>
      <c r="K35" t="s">
        <v>157</v>
      </c>
      <c r="L35" s="2">
        <v>419</v>
      </c>
      <c r="M35" t="s">
        <v>174</v>
      </c>
      <c r="N35">
        <v>29</v>
      </c>
      <c r="O35" t="s">
        <v>175</v>
      </c>
      <c r="P35" s="2" t="s">
        <v>176</v>
      </c>
      <c r="Q35" s="2" t="s">
        <v>177</v>
      </c>
      <c r="R35" s="2">
        <v>419</v>
      </c>
      <c r="S35" s="4" t="s">
        <v>174</v>
      </c>
      <c r="T35" s="2">
        <v>419</v>
      </c>
      <c r="U35" s="4" t="s">
        <v>174</v>
      </c>
      <c r="V35" t="s">
        <v>2455</v>
      </c>
      <c r="W35" t="s">
        <v>2455</v>
      </c>
      <c r="X35" t="e">
        <v>#N/A</v>
      </c>
      <c r="Y35" t="s">
        <v>175</v>
      </c>
      <c r="Z35" t="s">
        <v>175</v>
      </c>
      <c r="AA35" t="s">
        <v>2799</v>
      </c>
      <c r="AB35" t="s">
        <v>2872</v>
      </c>
      <c r="AC35" s="2" t="s">
        <v>1888</v>
      </c>
      <c r="AD35" s="2" t="s">
        <v>1888</v>
      </c>
      <c r="AE35" t="s">
        <v>104</v>
      </c>
      <c r="AF35" t="s">
        <v>1886</v>
      </c>
      <c r="AG35" s="3" t="s">
        <v>1887</v>
      </c>
      <c r="AH35" t="s">
        <v>105</v>
      </c>
      <c r="AI35" s="3" t="s">
        <v>178</v>
      </c>
      <c r="AJ35" s="3" t="s">
        <v>106</v>
      </c>
      <c r="AK35" s="3" t="s">
        <v>107</v>
      </c>
      <c r="AL35" s="5" t="s">
        <v>132</v>
      </c>
      <c r="AM35" s="5" t="s">
        <v>109</v>
      </c>
      <c r="AO35" s="3" t="s">
        <v>119</v>
      </c>
      <c r="AP35" s="3" t="s">
        <v>120</v>
      </c>
      <c r="AQ35" s="3" t="s">
        <v>111</v>
      </c>
      <c r="AR35" s="3" t="s">
        <v>112</v>
      </c>
      <c r="AS35" s="3" t="s">
        <v>112</v>
      </c>
      <c r="AT35" s="3" t="s">
        <v>113</v>
      </c>
      <c r="AU35" s="3" t="s">
        <v>2303</v>
      </c>
      <c r="AV35" s="3" t="s">
        <v>2302</v>
      </c>
      <c r="AW35" s="3" t="s">
        <v>2301</v>
      </c>
      <c r="AX35" s="3" t="s">
        <v>2006</v>
      </c>
      <c r="AY35" s="19" t="s">
        <v>114</v>
      </c>
      <c r="AZ35" s="19" t="s">
        <v>114</v>
      </c>
      <c r="BA35" s="19" t="s">
        <v>114</v>
      </c>
      <c r="BB35" s="19" t="s">
        <v>114</v>
      </c>
      <c r="BC35" s="19" t="s">
        <v>114</v>
      </c>
      <c r="BD35" s="19" t="s">
        <v>114</v>
      </c>
      <c r="BE35" s="19" t="s">
        <v>114</v>
      </c>
      <c r="BF35" s="19" t="s">
        <v>114</v>
      </c>
      <c r="BG35" s="19" t="s">
        <v>114</v>
      </c>
      <c r="BH35" s="19" t="s">
        <v>114</v>
      </c>
      <c r="BI35" s="19" t="s">
        <v>114</v>
      </c>
      <c r="BJ35" s="19" t="s">
        <v>114</v>
      </c>
      <c r="BK35" s="19" t="s">
        <v>114</v>
      </c>
      <c r="BL35" s="19" t="s">
        <v>114</v>
      </c>
      <c r="BM35" s="19" t="s">
        <v>114</v>
      </c>
      <c r="BN35" s="19" t="s">
        <v>114</v>
      </c>
      <c r="BO35" s="19" t="s">
        <v>114</v>
      </c>
      <c r="BP35" s="19" t="s">
        <v>114</v>
      </c>
      <c r="BQ35" s="19" t="s">
        <v>114</v>
      </c>
      <c r="BR35" s="19" t="s">
        <v>114</v>
      </c>
      <c r="BS35" s="19" t="s">
        <v>114</v>
      </c>
      <c r="BT35" s="19" t="s">
        <v>114</v>
      </c>
      <c r="BU35" s="19" t="s">
        <v>114</v>
      </c>
      <c r="BV35" s="19" t="s">
        <v>114</v>
      </c>
      <c r="BW35" s="19" t="s">
        <v>114</v>
      </c>
      <c r="BX35" s="19" t="s">
        <v>114</v>
      </c>
      <c r="BY35" s="19" t="s">
        <v>114</v>
      </c>
      <c r="BZ35" s="21" t="s">
        <v>114</v>
      </c>
      <c r="CA35" s="21" t="s">
        <v>114</v>
      </c>
      <c r="CB35" s="21" t="s">
        <v>114</v>
      </c>
      <c r="CC35" s="21" t="s">
        <v>114</v>
      </c>
      <c r="CD35" s="21" t="s">
        <v>114</v>
      </c>
      <c r="CE35" s="21" t="s">
        <v>114</v>
      </c>
      <c r="CF35" s="19" t="s">
        <v>114</v>
      </c>
      <c r="CG35" s="19">
        <v>98300</v>
      </c>
      <c r="CH35" s="19">
        <v>98301</v>
      </c>
      <c r="CI35" s="21" t="s">
        <v>114</v>
      </c>
      <c r="CJ35" s="21" t="s">
        <v>114</v>
      </c>
      <c r="CK35" s="21" t="s">
        <v>114</v>
      </c>
      <c r="CL35" s="21" t="s">
        <v>114</v>
      </c>
      <c r="CM35" s="21" t="s">
        <v>114</v>
      </c>
      <c r="CN35" s="21" t="s">
        <v>114</v>
      </c>
      <c r="CO35" s="21" t="s">
        <v>114</v>
      </c>
      <c r="CP35" s="21" t="s">
        <v>114</v>
      </c>
      <c r="CQ35" s="21" t="s">
        <v>114</v>
      </c>
      <c r="CR35" s="21" t="s">
        <v>114</v>
      </c>
      <c r="CS35" s="21" t="s">
        <v>114</v>
      </c>
      <c r="CT35" s="21" t="s">
        <v>114</v>
      </c>
      <c r="CU35" s="21">
        <v>98423</v>
      </c>
      <c r="CV35" s="21" t="s">
        <v>114</v>
      </c>
      <c r="CW35" s="21" t="s">
        <v>114</v>
      </c>
      <c r="CX35" s="21" t="s">
        <v>114</v>
      </c>
      <c r="CY35" s="21" t="s">
        <v>114</v>
      </c>
      <c r="CZ35" s="21" t="s">
        <v>114</v>
      </c>
      <c r="DA35" s="21" t="s">
        <v>114</v>
      </c>
      <c r="DB35" s="21" t="s">
        <v>114</v>
      </c>
      <c r="DC35" s="21" t="s">
        <v>114</v>
      </c>
      <c r="DD35" s="21" t="s">
        <v>114</v>
      </c>
      <c r="DE35" s="21" t="s">
        <v>114</v>
      </c>
      <c r="DF35" s="19" t="s">
        <v>114</v>
      </c>
      <c r="DG35" s="19" t="s">
        <v>114</v>
      </c>
      <c r="DH35" s="19" t="s">
        <v>114</v>
      </c>
      <c r="DI35" s="19" t="s">
        <v>114</v>
      </c>
      <c r="DJ35" s="19" t="s">
        <v>114</v>
      </c>
      <c r="DK35" s="19" t="s">
        <v>114</v>
      </c>
      <c r="DL35" s="19" t="s">
        <v>114</v>
      </c>
      <c r="DM35" s="19" t="s">
        <v>114</v>
      </c>
      <c r="DN35" s="19" t="s">
        <v>114</v>
      </c>
      <c r="DO35" s="19" t="s">
        <v>114</v>
      </c>
    </row>
    <row r="36" spans="1:119" hidden="1" x14ac:dyDescent="0.45">
      <c r="A36" s="2" t="s">
        <v>1150</v>
      </c>
      <c r="B36" t="s">
        <v>1151</v>
      </c>
      <c r="C36" s="2">
        <v>659</v>
      </c>
      <c r="D36" s="6">
        <v>328</v>
      </c>
      <c r="E36" s="2" t="s">
        <v>1796</v>
      </c>
      <c r="F36" t="s">
        <v>1152</v>
      </c>
      <c r="G36" t="s">
        <v>1152</v>
      </c>
      <c r="H36" s="2" t="s">
        <v>1153</v>
      </c>
      <c r="I36" s="2" t="s">
        <v>1154</v>
      </c>
      <c r="J36" s="2">
        <v>19</v>
      </c>
      <c r="K36" t="s">
        <v>157</v>
      </c>
      <c r="L36" s="2">
        <v>419</v>
      </c>
      <c r="M36" t="s">
        <v>174</v>
      </c>
      <c r="N36">
        <v>29</v>
      </c>
      <c r="O36" t="s">
        <v>175</v>
      </c>
      <c r="P36" s="2" t="s">
        <v>176</v>
      </c>
      <c r="Q36" s="2" t="s">
        <v>177</v>
      </c>
      <c r="R36" s="2">
        <v>419</v>
      </c>
      <c r="S36" s="4" t="s">
        <v>174</v>
      </c>
      <c r="T36" s="2">
        <v>419</v>
      </c>
      <c r="U36" s="4" t="s">
        <v>174</v>
      </c>
      <c r="V36" t="s">
        <v>2455</v>
      </c>
      <c r="W36" t="s">
        <v>2455</v>
      </c>
      <c r="X36" t="s">
        <v>2440</v>
      </c>
      <c r="Y36" t="s">
        <v>175</v>
      </c>
      <c r="Z36" t="s">
        <v>175</v>
      </c>
      <c r="AA36" t="s">
        <v>2799</v>
      </c>
      <c r="AB36" t="s">
        <v>2872</v>
      </c>
      <c r="AC36" s="2" t="s">
        <v>130</v>
      </c>
      <c r="AD36" s="4" t="s">
        <v>1891</v>
      </c>
      <c r="AE36" t="s">
        <v>104</v>
      </c>
      <c r="AF36" t="s">
        <v>1886</v>
      </c>
      <c r="AG36" s="3" t="s">
        <v>1887</v>
      </c>
      <c r="AH36" t="s">
        <v>105</v>
      </c>
      <c r="AI36" s="3" t="s">
        <v>178</v>
      </c>
      <c r="AJ36" s="3" t="s">
        <v>106</v>
      </c>
      <c r="AK36" s="3" t="s">
        <v>107</v>
      </c>
      <c r="AL36" s="5" t="s">
        <v>179</v>
      </c>
      <c r="AM36" s="5" t="s">
        <v>109</v>
      </c>
      <c r="AO36" s="3" t="s">
        <v>119</v>
      </c>
      <c r="AP36" s="3" t="s">
        <v>120</v>
      </c>
      <c r="AQ36" s="3" t="s">
        <v>27</v>
      </c>
      <c r="AR36" s="3" t="s">
        <v>112</v>
      </c>
      <c r="AS36" s="3" t="s">
        <v>112</v>
      </c>
      <c r="AT36" t="s">
        <v>191</v>
      </c>
      <c r="AU36" s="3" t="s">
        <v>2303</v>
      </c>
      <c r="AV36" s="3" t="s">
        <v>2302</v>
      </c>
      <c r="AW36" s="3" t="s">
        <v>2301</v>
      </c>
      <c r="AX36" s="3" t="s">
        <v>2006</v>
      </c>
      <c r="AY36" s="19" t="s">
        <v>114</v>
      </c>
      <c r="AZ36" s="19" t="s">
        <v>114</v>
      </c>
      <c r="BA36" s="19" t="s">
        <v>114</v>
      </c>
      <c r="BB36" s="19" t="s">
        <v>114</v>
      </c>
      <c r="BC36" s="19" t="s">
        <v>114</v>
      </c>
      <c r="BD36" s="19" t="s">
        <v>114</v>
      </c>
      <c r="BE36" s="19" t="s">
        <v>114</v>
      </c>
      <c r="BF36" s="19" t="s">
        <v>114</v>
      </c>
      <c r="BG36" s="19" t="s">
        <v>114</v>
      </c>
      <c r="BH36" s="19" t="s">
        <v>114</v>
      </c>
      <c r="BI36" s="19" t="s">
        <v>114</v>
      </c>
      <c r="BJ36" s="19" t="s">
        <v>114</v>
      </c>
      <c r="BK36" s="19" t="s">
        <v>114</v>
      </c>
      <c r="BL36" s="19" t="s">
        <v>114</v>
      </c>
      <c r="BM36" s="19" t="s">
        <v>114</v>
      </c>
      <c r="BN36" s="19" t="s">
        <v>114</v>
      </c>
      <c r="BO36" s="19" t="s">
        <v>114</v>
      </c>
      <c r="BP36" s="19" t="s">
        <v>114</v>
      </c>
      <c r="BQ36" s="19" t="s">
        <v>114</v>
      </c>
      <c r="BR36" s="19" t="s">
        <v>114</v>
      </c>
      <c r="BS36" s="19" t="s">
        <v>114</v>
      </c>
      <c r="BT36" s="19" t="s">
        <v>114</v>
      </c>
      <c r="BU36" s="19" t="s">
        <v>114</v>
      </c>
      <c r="BV36" s="19" t="s">
        <v>114</v>
      </c>
      <c r="BW36" s="19" t="s">
        <v>114</v>
      </c>
      <c r="BX36" s="19" t="s">
        <v>114</v>
      </c>
      <c r="BY36" s="19" t="s">
        <v>114</v>
      </c>
      <c r="BZ36" s="21" t="s">
        <v>114</v>
      </c>
      <c r="CA36" s="21" t="s">
        <v>114</v>
      </c>
      <c r="CB36" s="21" t="s">
        <v>114</v>
      </c>
      <c r="CC36" s="21" t="s">
        <v>114</v>
      </c>
      <c r="CD36" s="21" t="s">
        <v>114</v>
      </c>
      <c r="CE36" s="21" t="s">
        <v>114</v>
      </c>
      <c r="CF36" s="19" t="s">
        <v>114</v>
      </c>
      <c r="CG36" s="19">
        <v>98300</v>
      </c>
      <c r="CH36" s="19">
        <v>98301</v>
      </c>
      <c r="CI36" s="21" t="s">
        <v>114</v>
      </c>
      <c r="CJ36" s="21" t="s">
        <v>114</v>
      </c>
      <c r="CK36" s="21" t="s">
        <v>114</v>
      </c>
      <c r="CL36" s="21" t="s">
        <v>114</v>
      </c>
      <c r="CM36" s="21" t="s">
        <v>114</v>
      </c>
      <c r="CN36" s="21" t="s">
        <v>114</v>
      </c>
      <c r="CO36" s="21" t="s">
        <v>114</v>
      </c>
      <c r="CP36" s="21" t="s">
        <v>114</v>
      </c>
      <c r="CQ36" s="21" t="s">
        <v>114</v>
      </c>
      <c r="CR36" s="21" t="s">
        <v>114</v>
      </c>
      <c r="CS36" s="21" t="s">
        <v>114</v>
      </c>
      <c r="CT36" s="21" t="s">
        <v>114</v>
      </c>
      <c r="CU36" s="21" t="s">
        <v>114</v>
      </c>
      <c r="CV36" s="21">
        <v>98424</v>
      </c>
      <c r="CW36" s="21" t="s">
        <v>114</v>
      </c>
      <c r="CX36" s="21" t="s">
        <v>114</v>
      </c>
      <c r="CY36" s="21" t="s">
        <v>114</v>
      </c>
      <c r="CZ36" s="21" t="s">
        <v>114</v>
      </c>
      <c r="DA36" s="21" t="s">
        <v>114</v>
      </c>
      <c r="DB36" s="21" t="s">
        <v>114</v>
      </c>
      <c r="DC36" s="21" t="s">
        <v>114</v>
      </c>
      <c r="DD36" s="21" t="s">
        <v>114</v>
      </c>
      <c r="DE36" s="21" t="s">
        <v>114</v>
      </c>
      <c r="DF36" s="19" t="s">
        <v>114</v>
      </c>
      <c r="DG36" s="19" t="s">
        <v>114</v>
      </c>
      <c r="DH36" s="19" t="s">
        <v>114</v>
      </c>
      <c r="DI36" s="19" t="s">
        <v>114</v>
      </c>
      <c r="DJ36" s="19" t="s">
        <v>114</v>
      </c>
      <c r="DK36" s="19" t="s">
        <v>114</v>
      </c>
      <c r="DL36" s="19" t="s">
        <v>114</v>
      </c>
      <c r="DM36" s="19" t="s">
        <v>114</v>
      </c>
      <c r="DN36" s="19" t="s">
        <v>114</v>
      </c>
      <c r="DO36" s="19" t="s">
        <v>114</v>
      </c>
    </row>
    <row r="37" spans="1:119" hidden="1" x14ac:dyDescent="0.45">
      <c r="A37" s="2" t="s">
        <v>1155</v>
      </c>
      <c r="B37" t="s">
        <v>1156</v>
      </c>
      <c r="C37" s="2">
        <v>662</v>
      </c>
      <c r="D37" s="6">
        <v>329</v>
      </c>
      <c r="E37" s="2" t="s">
        <v>1797</v>
      </c>
      <c r="F37" t="s">
        <v>1157</v>
      </c>
      <c r="G37" t="s">
        <v>1157</v>
      </c>
      <c r="H37" s="2" t="s">
        <v>1158</v>
      </c>
      <c r="I37" s="2" t="s">
        <v>1159</v>
      </c>
      <c r="J37" s="2">
        <v>19</v>
      </c>
      <c r="K37" t="s">
        <v>157</v>
      </c>
      <c r="L37" s="2">
        <v>419</v>
      </c>
      <c r="M37" t="s">
        <v>174</v>
      </c>
      <c r="N37">
        <v>29</v>
      </c>
      <c r="O37" t="s">
        <v>175</v>
      </c>
      <c r="P37" s="2" t="s">
        <v>176</v>
      </c>
      <c r="Q37" s="2" t="s">
        <v>177</v>
      </c>
      <c r="R37" s="2">
        <v>419</v>
      </c>
      <c r="S37" s="4" t="s">
        <v>174</v>
      </c>
      <c r="T37" s="2">
        <v>419</v>
      </c>
      <c r="U37" s="4" t="s">
        <v>174</v>
      </c>
      <c r="V37" t="s">
        <v>2455</v>
      </c>
      <c r="W37" t="s">
        <v>2455</v>
      </c>
      <c r="X37" t="s">
        <v>2440</v>
      </c>
      <c r="Y37" t="s">
        <v>175</v>
      </c>
      <c r="Z37" t="s">
        <v>175</v>
      </c>
      <c r="AA37" t="s">
        <v>2799</v>
      </c>
      <c r="AB37" t="s">
        <v>2872</v>
      </c>
      <c r="AC37" s="2" t="s">
        <v>138</v>
      </c>
      <c r="AD37" s="4" t="s">
        <v>1891</v>
      </c>
      <c r="AE37" t="s">
        <v>104</v>
      </c>
      <c r="AF37" t="s">
        <v>1885</v>
      </c>
      <c r="AG37" t="s">
        <v>1884</v>
      </c>
      <c r="AH37" t="s">
        <v>105</v>
      </c>
      <c r="AI37" s="3" t="s">
        <v>178</v>
      </c>
      <c r="AJ37" s="3" t="s">
        <v>106</v>
      </c>
      <c r="AK37" s="3" t="s">
        <v>107</v>
      </c>
      <c r="AL37" s="5" t="s">
        <v>179</v>
      </c>
      <c r="AM37" s="5" t="s">
        <v>109</v>
      </c>
      <c r="AO37" s="3" t="s">
        <v>119</v>
      </c>
      <c r="AP37" s="3" t="s">
        <v>120</v>
      </c>
      <c r="AQ37" s="3" t="s">
        <v>27</v>
      </c>
      <c r="AR37" s="3" t="s">
        <v>112</v>
      </c>
      <c r="AS37" s="3" t="s">
        <v>112</v>
      </c>
      <c r="AT37" t="s">
        <v>191</v>
      </c>
      <c r="AU37" s="3" t="s">
        <v>2303</v>
      </c>
      <c r="AV37" s="3" t="s">
        <v>2302</v>
      </c>
      <c r="AW37" s="3" t="s">
        <v>2301</v>
      </c>
      <c r="AX37" s="3" t="s">
        <v>2006</v>
      </c>
      <c r="AY37" s="19" t="s">
        <v>114</v>
      </c>
      <c r="AZ37" s="19" t="s">
        <v>114</v>
      </c>
      <c r="BA37" s="19" t="s">
        <v>114</v>
      </c>
      <c r="BB37" s="19" t="s">
        <v>114</v>
      </c>
      <c r="BC37" s="19" t="s">
        <v>114</v>
      </c>
      <c r="BD37" s="19" t="s">
        <v>114</v>
      </c>
      <c r="BE37" s="19" t="s">
        <v>114</v>
      </c>
      <c r="BF37" s="19" t="s">
        <v>114</v>
      </c>
      <c r="BG37" s="19" t="s">
        <v>114</v>
      </c>
      <c r="BH37" s="19" t="s">
        <v>114</v>
      </c>
      <c r="BI37" s="19" t="s">
        <v>114</v>
      </c>
      <c r="BJ37" s="19" t="s">
        <v>114</v>
      </c>
      <c r="BK37" s="19" t="s">
        <v>114</v>
      </c>
      <c r="BL37" s="19" t="s">
        <v>114</v>
      </c>
      <c r="BM37" s="19" t="s">
        <v>114</v>
      </c>
      <c r="BN37" s="19" t="s">
        <v>114</v>
      </c>
      <c r="BO37" s="19" t="s">
        <v>114</v>
      </c>
      <c r="BP37" s="19" t="s">
        <v>114</v>
      </c>
      <c r="BQ37" s="19" t="s">
        <v>114</v>
      </c>
      <c r="BR37" s="19" t="s">
        <v>114</v>
      </c>
      <c r="BS37" s="19" t="s">
        <v>114</v>
      </c>
      <c r="BT37" s="19" t="s">
        <v>114</v>
      </c>
      <c r="BU37" s="19" t="s">
        <v>114</v>
      </c>
      <c r="BV37" s="19" t="s">
        <v>114</v>
      </c>
      <c r="BW37" s="19" t="s">
        <v>114</v>
      </c>
      <c r="BX37" s="19" t="s">
        <v>114</v>
      </c>
      <c r="BY37" s="19" t="s">
        <v>114</v>
      </c>
      <c r="BZ37" s="21" t="s">
        <v>114</v>
      </c>
      <c r="CA37" s="21" t="s">
        <v>114</v>
      </c>
      <c r="CB37" s="21" t="s">
        <v>114</v>
      </c>
      <c r="CC37" s="21" t="s">
        <v>114</v>
      </c>
      <c r="CD37" s="21" t="s">
        <v>114</v>
      </c>
      <c r="CE37" s="21" t="s">
        <v>114</v>
      </c>
      <c r="CF37" s="19" t="s">
        <v>114</v>
      </c>
      <c r="CG37" s="19">
        <v>98300</v>
      </c>
      <c r="CH37" s="19">
        <v>98301</v>
      </c>
      <c r="CI37" s="21" t="s">
        <v>114</v>
      </c>
      <c r="CJ37" s="21" t="s">
        <v>114</v>
      </c>
      <c r="CK37" s="21" t="s">
        <v>114</v>
      </c>
      <c r="CL37" s="21" t="s">
        <v>114</v>
      </c>
      <c r="CM37" s="21" t="s">
        <v>114</v>
      </c>
      <c r="CN37" s="21" t="s">
        <v>114</v>
      </c>
      <c r="CO37" s="21" t="s">
        <v>114</v>
      </c>
      <c r="CP37" s="21" t="s">
        <v>114</v>
      </c>
      <c r="CQ37" s="21" t="s">
        <v>114</v>
      </c>
      <c r="CR37" s="21" t="s">
        <v>114</v>
      </c>
      <c r="CS37" s="21" t="s">
        <v>114</v>
      </c>
      <c r="CT37" s="21" t="s">
        <v>114</v>
      </c>
      <c r="CU37" s="21" t="s">
        <v>114</v>
      </c>
      <c r="CV37" s="21">
        <v>98424</v>
      </c>
      <c r="CW37" s="21" t="s">
        <v>114</v>
      </c>
      <c r="CX37" s="21" t="s">
        <v>114</v>
      </c>
      <c r="CY37" s="21" t="s">
        <v>114</v>
      </c>
      <c r="CZ37" s="21" t="s">
        <v>114</v>
      </c>
      <c r="DA37" s="21" t="s">
        <v>114</v>
      </c>
      <c r="DB37" s="21" t="s">
        <v>114</v>
      </c>
      <c r="DC37" s="21" t="s">
        <v>114</v>
      </c>
      <c r="DD37" s="21" t="s">
        <v>114</v>
      </c>
      <c r="DE37" s="21" t="s">
        <v>114</v>
      </c>
      <c r="DF37" s="19" t="s">
        <v>114</v>
      </c>
      <c r="DG37" s="19" t="s">
        <v>114</v>
      </c>
      <c r="DH37" s="19" t="s">
        <v>114</v>
      </c>
      <c r="DI37" s="19" t="s">
        <v>114</v>
      </c>
      <c r="DJ37" s="19" t="s">
        <v>114</v>
      </c>
      <c r="DK37" s="19" t="s">
        <v>114</v>
      </c>
      <c r="DL37" s="19" t="s">
        <v>114</v>
      </c>
      <c r="DM37" s="19" t="s">
        <v>114</v>
      </c>
      <c r="DN37" s="19" t="s">
        <v>114</v>
      </c>
      <c r="DO37" s="19" t="s">
        <v>114</v>
      </c>
    </row>
    <row r="38" spans="1:119" hidden="1" x14ac:dyDescent="0.45">
      <c r="A38" s="2" t="s">
        <v>1160</v>
      </c>
      <c r="B38" t="s">
        <v>1161</v>
      </c>
      <c r="C38" s="2">
        <v>663</v>
      </c>
      <c r="D38" s="6">
        <v>331</v>
      </c>
      <c r="E38" s="2" t="s">
        <v>1799</v>
      </c>
      <c r="F38" s="3" t="s">
        <v>1163</v>
      </c>
      <c r="H38" s="4" t="s">
        <v>1164</v>
      </c>
      <c r="I38" s="2" t="s">
        <v>1165</v>
      </c>
      <c r="J38" s="2">
        <v>19</v>
      </c>
      <c r="K38" t="s">
        <v>157</v>
      </c>
      <c r="L38" s="2">
        <v>419</v>
      </c>
      <c r="M38" t="s">
        <v>174</v>
      </c>
      <c r="N38">
        <v>29</v>
      </c>
      <c r="O38" t="s">
        <v>175</v>
      </c>
      <c r="P38" s="2" t="s">
        <v>176</v>
      </c>
      <c r="Q38" s="2" t="s">
        <v>177</v>
      </c>
      <c r="R38" s="2">
        <v>419</v>
      </c>
      <c r="S38" s="4" t="s">
        <v>174</v>
      </c>
      <c r="T38" s="2">
        <v>419</v>
      </c>
      <c r="U38" s="4" t="s">
        <v>174</v>
      </c>
      <c r="V38" t="s">
        <v>2455</v>
      </c>
      <c r="W38" t="s">
        <v>2455</v>
      </c>
      <c r="X38" t="e">
        <v>#N/A</v>
      </c>
      <c r="Y38" t="s">
        <v>175</v>
      </c>
      <c r="Z38" t="s">
        <v>175</v>
      </c>
      <c r="AA38" t="s">
        <v>2799</v>
      </c>
      <c r="AB38" t="s">
        <v>2872</v>
      </c>
      <c r="AC38" s="2" t="s">
        <v>130</v>
      </c>
      <c r="AD38" s="4" t="s">
        <v>1891</v>
      </c>
      <c r="AE38" t="s">
        <v>104</v>
      </c>
      <c r="AF38" t="s">
        <v>1886</v>
      </c>
      <c r="AG38" s="3" t="s">
        <v>1887</v>
      </c>
      <c r="AH38" t="s">
        <v>105</v>
      </c>
      <c r="AI38" s="3" t="s">
        <v>178</v>
      </c>
      <c r="AJ38" s="3" t="s">
        <v>106</v>
      </c>
      <c r="AK38" s="3" t="s">
        <v>107</v>
      </c>
      <c r="AL38" s="5" t="s">
        <v>132</v>
      </c>
      <c r="AM38" s="5" t="s">
        <v>109</v>
      </c>
      <c r="AO38" s="3" t="s">
        <v>119</v>
      </c>
      <c r="AP38" s="3" t="s">
        <v>120</v>
      </c>
      <c r="AQ38" s="3" t="s">
        <v>111</v>
      </c>
      <c r="AR38" s="3" t="s">
        <v>112</v>
      </c>
      <c r="AS38" s="3" t="s">
        <v>112</v>
      </c>
      <c r="AT38" s="3" t="s">
        <v>113</v>
      </c>
      <c r="AU38" s="3" t="s">
        <v>2303</v>
      </c>
      <c r="AV38" s="3" t="s">
        <v>2302</v>
      </c>
      <c r="AW38" s="3" t="s">
        <v>2301</v>
      </c>
      <c r="AX38" s="3" t="s">
        <v>2006</v>
      </c>
      <c r="AY38" s="19" t="s">
        <v>114</v>
      </c>
      <c r="AZ38" s="19" t="s">
        <v>114</v>
      </c>
      <c r="BA38" s="19" t="s">
        <v>114</v>
      </c>
      <c r="BB38" s="19" t="s">
        <v>114</v>
      </c>
      <c r="BC38" s="19" t="s">
        <v>114</v>
      </c>
      <c r="BD38" s="19" t="s">
        <v>114</v>
      </c>
      <c r="BE38" s="19" t="s">
        <v>114</v>
      </c>
      <c r="BF38" s="19" t="s">
        <v>114</v>
      </c>
      <c r="BG38" s="19" t="s">
        <v>114</v>
      </c>
      <c r="BH38" s="19" t="s">
        <v>114</v>
      </c>
      <c r="BI38" s="19" t="s">
        <v>114</v>
      </c>
      <c r="BJ38" s="19" t="s">
        <v>114</v>
      </c>
      <c r="BK38" s="19" t="s">
        <v>114</v>
      </c>
      <c r="BL38" s="19" t="s">
        <v>114</v>
      </c>
      <c r="BM38" s="19" t="s">
        <v>114</v>
      </c>
      <c r="BN38" s="19" t="s">
        <v>114</v>
      </c>
      <c r="BO38" s="19" t="s">
        <v>114</v>
      </c>
      <c r="BP38" s="19" t="s">
        <v>114</v>
      </c>
      <c r="BQ38" s="19" t="s">
        <v>114</v>
      </c>
      <c r="BR38" s="19" t="s">
        <v>114</v>
      </c>
      <c r="BS38" s="19" t="s">
        <v>114</v>
      </c>
      <c r="BT38" s="19" t="s">
        <v>114</v>
      </c>
      <c r="BU38" s="19" t="s">
        <v>114</v>
      </c>
      <c r="BV38" s="19" t="s">
        <v>114</v>
      </c>
      <c r="BW38" s="19" t="s">
        <v>114</v>
      </c>
      <c r="BX38" s="19" t="s">
        <v>114</v>
      </c>
      <c r="BY38" s="19" t="s">
        <v>114</v>
      </c>
      <c r="BZ38" s="21" t="s">
        <v>114</v>
      </c>
      <c r="CA38" s="21" t="s">
        <v>114</v>
      </c>
      <c r="CB38" s="21" t="s">
        <v>114</v>
      </c>
      <c r="CC38" s="21" t="s">
        <v>114</v>
      </c>
      <c r="CD38" s="21" t="s">
        <v>114</v>
      </c>
      <c r="CE38" s="21" t="s">
        <v>114</v>
      </c>
      <c r="CF38" s="19" t="s">
        <v>114</v>
      </c>
      <c r="CG38" s="19">
        <v>98300</v>
      </c>
      <c r="CH38" s="19">
        <v>98301</v>
      </c>
      <c r="CI38" s="21" t="s">
        <v>114</v>
      </c>
      <c r="CJ38" s="21" t="s">
        <v>114</v>
      </c>
      <c r="CK38" s="21" t="s">
        <v>114</v>
      </c>
      <c r="CL38" s="21" t="s">
        <v>114</v>
      </c>
      <c r="CM38" s="21" t="s">
        <v>114</v>
      </c>
      <c r="CN38" s="21" t="s">
        <v>114</v>
      </c>
      <c r="CO38" s="21" t="s">
        <v>114</v>
      </c>
      <c r="CP38" s="21" t="s">
        <v>114</v>
      </c>
      <c r="CQ38" s="21" t="s">
        <v>114</v>
      </c>
      <c r="CR38" s="21" t="s">
        <v>114</v>
      </c>
      <c r="CS38" s="21" t="s">
        <v>114</v>
      </c>
      <c r="CT38" s="21" t="s">
        <v>114</v>
      </c>
      <c r="CU38" s="21" t="s">
        <v>114</v>
      </c>
      <c r="CV38" s="21">
        <v>98424</v>
      </c>
      <c r="CW38" s="21" t="s">
        <v>114</v>
      </c>
      <c r="CX38" s="21" t="s">
        <v>114</v>
      </c>
      <c r="CY38" s="21" t="s">
        <v>114</v>
      </c>
      <c r="CZ38" s="21" t="s">
        <v>114</v>
      </c>
      <c r="DA38" s="21" t="s">
        <v>114</v>
      </c>
      <c r="DB38" s="21" t="s">
        <v>114</v>
      </c>
      <c r="DC38" s="21" t="s">
        <v>114</v>
      </c>
      <c r="DD38" s="21" t="s">
        <v>114</v>
      </c>
      <c r="DE38" s="21" t="s">
        <v>114</v>
      </c>
      <c r="DF38" s="19" t="s">
        <v>114</v>
      </c>
      <c r="DG38" s="19" t="s">
        <v>114</v>
      </c>
      <c r="DH38" s="19" t="s">
        <v>114</v>
      </c>
      <c r="DI38" s="19" t="s">
        <v>114</v>
      </c>
      <c r="DJ38" s="19" t="s">
        <v>114</v>
      </c>
      <c r="DK38" s="19" t="s">
        <v>114</v>
      </c>
      <c r="DL38" s="19" t="s">
        <v>114</v>
      </c>
      <c r="DM38" s="19" t="s">
        <v>114</v>
      </c>
      <c r="DN38" s="19" t="s">
        <v>114</v>
      </c>
      <c r="DO38" s="19" t="s">
        <v>114</v>
      </c>
    </row>
    <row r="39" spans="1:119" hidden="1" x14ac:dyDescent="0.45">
      <c r="A39" s="2" t="s">
        <v>1166</v>
      </c>
      <c r="B39" t="s">
        <v>1167</v>
      </c>
      <c r="C39" s="2">
        <v>666</v>
      </c>
      <c r="D39" s="6">
        <v>705</v>
      </c>
      <c r="E39" s="2" t="s">
        <v>1801</v>
      </c>
      <c r="F39" t="s">
        <v>1168</v>
      </c>
      <c r="H39" s="2" t="s">
        <v>1169</v>
      </c>
      <c r="I39" s="2" t="s">
        <v>1170</v>
      </c>
      <c r="J39" s="2">
        <v>19</v>
      </c>
      <c r="K39" t="s">
        <v>157</v>
      </c>
      <c r="L39" s="2">
        <v>21</v>
      </c>
      <c r="M39" t="s">
        <v>279</v>
      </c>
      <c r="N39" s="2"/>
      <c r="P39" s="2" t="s">
        <v>280</v>
      </c>
      <c r="Q39" s="2" t="s">
        <v>280</v>
      </c>
      <c r="R39" s="2">
        <v>513</v>
      </c>
      <c r="S39" s="2" t="s">
        <v>1000</v>
      </c>
      <c r="T39" s="2">
        <v>21</v>
      </c>
      <c r="U39" s="4" t="s">
        <v>279</v>
      </c>
      <c r="V39" t="s">
        <v>2460</v>
      </c>
      <c r="W39" t="s">
        <v>2460</v>
      </c>
      <c r="X39" t="s">
        <v>2446</v>
      </c>
      <c r="Y39" t="s">
        <v>279</v>
      </c>
      <c r="Z39" t="s">
        <v>2467</v>
      </c>
      <c r="AA39" t="s">
        <v>2799</v>
      </c>
      <c r="AB39" t="s">
        <v>2872</v>
      </c>
      <c r="AC39" s="2" t="s">
        <v>1888</v>
      </c>
      <c r="AD39" s="2" t="s">
        <v>1888</v>
      </c>
      <c r="AE39" t="s">
        <v>131</v>
      </c>
      <c r="AF39" t="s">
        <v>1886</v>
      </c>
      <c r="AG39" t="s">
        <v>1887</v>
      </c>
      <c r="AH39" t="s">
        <v>105</v>
      </c>
      <c r="AI39" s="3" t="s">
        <v>178</v>
      </c>
      <c r="AJ39" s="3" t="s">
        <v>106</v>
      </c>
      <c r="AK39" s="3" t="s">
        <v>107</v>
      </c>
      <c r="AL39" s="5" t="s">
        <v>132</v>
      </c>
      <c r="AM39" s="5" t="s">
        <v>109</v>
      </c>
      <c r="AO39" s="3" t="s">
        <v>119</v>
      </c>
      <c r="AP39" s="3" t="s">
        <v>120</v>
      </c>
      <c r="AQ39" s="3" t="s">
        <v>111</v>
      </c>
      <c r="AR39" s="3" t="s">
        <v>112</v>
      </c>
      <c r="AS39" s="3" t="s">
        <v>112</v>
      </c>
      <c r="AT39" s="3" t="s">
        <v>113</v>
      </c>
      <c r="AU39" s="3" t="s">
        <v>2303</v>
      </c>
      <c r="AV39" s="3" t="s">
        <v>2302</v>
      </c>
      <c r="AW39" s="3" t="s">
        <v>2301</v>
      </c>
      <c r="AX39" s="3" t="s">
        <v>2006</v>
      </c>
      <c r="AY39" s="19" t="s">
        <v>114</v>
      </c>
      <c r="AZ39" s="19" t="s">
        <v>114</v>
      </c>
      <c r="BA39" s="19" t="s">
        <v>114</v>
      </c>
      <c r="BB39" s="19" t="s">
        <v>114</v>
      </c>
      <c r="BC39" s="19" t="s">
        <v>114</v>
      </c>
      <c r="BD39" s="19" t="s">
        <v>114</v>
      </c>
      <c r="BE39" s="19" t="s">
        <v>114</v>
      </c>
      <c r="BF39" s="19" t="s">
        <v>114</v>
      </c>
      <c r="BG39" s="19" t="s">
        <v>114</v>
      </c>
      <c r="BH39" s="19" t="s">
        <v>114</v>
      </c>
      <c r="BI39" s="19" t="s">
        <v>114</v>
      </c>
      <c r="BJ39" s="19" t="s">
        <v>114</v>
      </c>
      <c r="BK39" s="19" t="s">
        <v>114</v>
      </c>
      <c r="BL39" s="19" t="s">
        <v>114</v>
      </c>
      <c r="BM39" s="19" t="s">
        <v>114</v>
      </c>
      <c r="BN39" s="19" t="s">
        <v>114</v>
      </c>
      <c r="BO39" s="19" t="s">
        <v>114</v>
      </c>
      <c r="BP39" s="19" t="s">
        <v>114</v>
      </c>
      <c r="BQ39" s="19" t="s">
        <v>114</v>
      </c>
      <c r="BR39" s="19" t="s">
        <v>114</v>
      </c>
      <c r="BS39" s="19" t="s">
        <v>114</v>
      </c>
      <c r="BT39" s="19" t="s">
        <v>114</v>
      </c>
      <c r="BU39" s="19" t="s">
        <v>114</v>
      </c>
      <c r="BV39" s="19" t="s">
        <v>114</v>
      </c>
      <c r="BW39" s="19" t="s">
        <v>114</v>
      </c>
      <c r="BX39" s="19" t="s">
        <v>114</v>
      </c>
      <c r="BY39" s="19" t="s">
        <v>114</v>
      </c>
      <c r="BZ39" s="21" t="s">
        <v>114</v>
      </c>
      <c r="CA39" s="21" t="s">
        <v>114</v>
      </c>
      <c r="CB39" s="21" t="s">
        <v>114</v>
      </c>
      <c r="CC39" s="21" t="s">
        <v>114</v>
      </c>
      <c r="CD39" s="21" t="s">
        <v>114</v>
      </c>
      <c r="CE39" s="21" t="s">
        <v>114</v>
      </c>
      <c r="CF39" s="19" t="s">
        <v>114</v>
      </c>
      <c r="CG39" s="19" t="s">
        <v>114</v>
      </c>
      <c r="CH39" s="19" t="s">
        <v>114</v>
      </c>
      <c r="CI39" s="21" t="s">
        <v>114</v>
      </c>
      <c r="CJ39" s="21" t="s">
        <v>114</v>
      </c>
      <c r="CK39" s="21" t="s">
        <v>114</v>
      </c>
      <c r="CL39" s="21" t="s">
        <v>114</v>
      </c>
      <c r="CM39" s="21" t="s">
        <v>114</v>
      </c>
      <c r="CN39" s="21" t="s">
        <v>114</v>
      </c>
      <c r="CO39" s="21" t="s">
        <v>114</v>
      </c>
      <c r="CP39" s="21" t="s">
        <v>114</v>
      </c>
      <c r="CQ39" s="21" t="s">
        <v>114</v>
      </c>
      <c r="CR39" s="21" t="s">
        <v>114</v>
      </c>
      <c r="CS39" s="21" t="s">
        <v>114</v>
      </c>
      <c r="CT39" s="21" t="s">
        <v>114</v>
      </c>
      <c r="CU39" s="21" t="s">
        <v>114</v>
      </c>
      <c r="CV39" s="21" t="s">
        <v>114</v>
      </c>
      <c r="CW39" s="21">
        <v>98425</v>
      </c>
      <c r="CX39" s="21" t="s">
        <v>114</v>
      </c>
      <c r="CY39" s="21" t="s">
        <v>114</v>
      </c>
      <c r="CZ39" s="21" t="s">
        <v>114</v>
      </c>
      <c r="DA39" s="21" t="s">
        <v>114</v>
      </c>
      <c r="DB39" s="21" t="s">
        <v>114</v>
      </c>
      <c r="DC39" s="21" t="s">
        <v>114</v>
      </c>
      <c r="DD39" s="21" t="s">
        <v>114</v>
      </c>
      <c r="DE39" s="21" t="s">
        <v>114</v>
      </c>
      <c r="DF39" s="19" t="s">
        <v>114</v>
      </c>
      <c r="DG39" s="19" t="s">
        <v>114</v>
      </c>
      <c r="DH39" s="19" t="s">
        <v>114</v>
      </c>
      <c r="DI39" s="19" t="s">
        <v>114</v>
      </c>
      <c r="DJ39" s="19" t="s">
        <v>114</v>
      </c>
      <c r="DK39" s="19" t="s">
        <v>114</v>
      </c>
      <c r="DL39" s="19" t="s">
        <v>114</v>
      </c>
      <c r="DM39" s="19" t="s">
        <v>114</v>
      </c>
      <c r="DN39" s="19" t="s">
        <v>114</v>
      </c>
      <c r="DO39" s="19" t="s">
        <v>114</v>
      </c>
    </row>
    <row r="40" spans="1:119" hidden="1" x14ac:dyDescent="0.45">
      <c r="A40" s="2" t="s">
        <v>1171</v>
      </c>
      <c r="B40" t="s">
        <v>1172</v>
      </c>
      <c r="C40" s="2">
        <v>670</v>
      </c>
      <c r="D40" s="6">
        <v>332</v>
      </c>
      <c r="E40" s="2" t="s">
        <v>1803</v>
      </c>
      <c r="F40" t="s">
        <v>1173</v>
      </c>
      <c r="G40" t="s">
        <v>1173</v>
      </c>
      <c r="H40" s="2" t="s">
        <v>1174</v>
      </c>
      <c r="I40" s="2" t="s">
        <v>1175</v>
      </c>
      <c r="J40" s="2">
        <v>19</v>
      </c>
      <c r="K40" t="s">
        <v>157</v>
      </c>
      <c r="L40" s="2">
        <v>419</v>
      </c>
      <c r="M40" t="s">
        <v>174</v>
      </c>
      <c r="N40">
        <v>29</v>
      </c>
      <c r="O40" t="s">
        <v>175</v>
      </c>
      <c r="P40" s="2" t="s">
        <v>176</v>
      </c>
      <c r="Q40" s="2" t="s">
        <v>177</v>
      </c>
      <c r="R40" s="2">
        <v>419</v>
      </c>
      <c r="S40" s="4" t="s">
        <v>174</v>
      </c>
      <c r="T40" s="2">
        <v>419</v>
      </c>
      <c r="U40" s="4" t="s">
        <v>174</v>
      </c>
      <c r="V40" t="s">
        <v>2455</v>
      </c>
      <c r="W40" t="s">
        <v>2455</v>
      </c>
      <c r="X40" t="s">
        <v>2440</v>
      </c>
      <c r="Y40" t="s">
        <v>175</v>
      </c>
      <c r="Z40" t="s">
        <v>175</v>
      </c>
      <c r="AA40" t="s">
        <v>2799</v>
      </c>
      <c r="AB40" t="s">
        <v>2872</v>
      </c>
      <c r="AC40" s="2" t="s">
        <v>138</v>
      </c>
      <c r="AD40" s="4" t="s">
        <v>1891</v>
      </c>
      <c r="AE40" t="s">
        <v>104</v>
      </c>
      <c r="AF40" t="s">
        <v>1885</v>
      </c>
      <c r="AG40" t="s">
        <v>1884</v>
      </c>
      <c r="AH40" t="s">
        <v>105</v>
      </c>
      <c r="AI40" s="3" t="s">
        <v>178</v>
      </c>
      <c r="AJ40" s="3" t="s">
        <v>106</v>
      </c>
      <c r="AK40" s="3" t="s">
        <v>107</v>
      </c>
      <c r="AL40" s="5" t="s">
        <v>179</v>
      </c>
      <c r="AM40" s="5" t="s">
        <v>109</v>
      </c>
      <c r="AO40" s="3" t="s">
        <v>119</v>
      </c>
      <c r="AP40" s="3" t="s">
        <v>120</v>
      </c>
      <c r="AQ40" s="3" t="s">
        <v>27</v>
      </c>
      <c r="AR40" s="3" t="s">
        <v>112</v>
      </c>
      <c r="AS40" s="3" t="s">
        <v>112</v>
      </c>
      <c r="AT40" t="s">
        <v>191</v>
      </c>
      <c r="AU40" s="3" t="s">
        <v>2303</v>
      </c>
      <c r="AV40" s="3" t="s">
        <v>2302</v>
      </c>
      <c r="AW40" s="3" t="s">
        <v>2301</v>
      </c>
      <c r="AX40" s="3" t="s">
        <v>2006</v>
      </c>
      <c r="AY40" s="19" t="s">
        <v>114</v>
      </c>
      <c r="AZ40" s="19" t="s">
        <v>114</v>
      </c>
      <c r="BA40" s="19" t="s">
        <v>114</v>
      </c>
      <c r="BB40" s="19" t="s">
        <v>114</v>
      </c>
      <c r="BC40" s="19" t="s">
        <v>114</v>
      </c>
      <c r="BD40" s="19" t="s">
        <v>114</v>
      </c>
      <c r="BE40" s="19" t="s">
        <v>114</v>
      </c>
      <c r="BF40" s="19" t="s">
        <v>114</v>
      </c>
      <c r="BG40" s="19" t="s">
        <v>114</v>
      </c>
      <c r="BH40" s="19" t="s">
        <v>114</v>
      </c>
      <c r="BI40" s="19" t="s">
        <v>114</v>
      </c>
      <c r="BJ40" s="19" t="s">
        <v>114</v>
      </c>
      <c r="BK40" s="19" t="s">
        <v>114</v>
      </c>
      <c r="BL40" s="19" t="s">
        <v>114</v>
      </c>
      <c r="BM40" s="19" t="s">
        <v>114</v>
      </c>
      <c r="BN40" s="19" t="s">
        <v>114</v>
      </c>
      <c r="BO40" s="19" t="s">
        <v>114</v>
      </c>
      <c r="BP40" s="19" t="s">
        <v>114</v>
      </c>
      <c r="BQ40" s="19" t="s">
        <v>114</v>
      </c>
      <c r="BR40" s="19" t="s">
        <v>114</v>
      </c>
      <c r="BS40" s="19" t="s">
        <v>114</v>
      </c>
      <c r="BT40" s="19" t="s">
        <v>114</v>
      </c>
      <c r="BU40" s="19" t="s">
        <v>114</v>
      </c>
      <c r="BV40" s="19" t="s">
        <v>114</v>
      </c>
      <c r="BW40" s="19" t="s">
        <v>114</v>
      </c>
      <c r="BX40" s="19" t="s">
        <v>114</v>
      </c>
      <c r="BY40" s="19" t="s">
        <v>114</v>
      </c>
      <c r="BZ40" s="21" t="s">
        <v>114</v>
      </c>
      <c r="CA40" s="21" t="s">
        <v>114</v>
      </c>
      <c r="CB40" s="21" t="s">
        <v>114</v>
      </c>
      <c r="CC40" s="21" t="s">
        <v>114</v>
      </c>
      <c r="CD40" s="21" t="s">
        <v>114</v>
      </c>
      <c r="CE40" s="21" t="s">
        <v>114</v>
      </c>
      <c r="CF40" s="19" t="s">
        <v>114</v>
      </c>
      <c r="CG40" s="19">
        <v>98300</v>
      </c>
      <c r="CH40" s="19">
        <v>98301</v>
      </c>
      <c r="CI40" s="21" t="s">
        <v>114</v>
      </c>
      <c r="CJ40" s="21" t="s">
        <v>114</v>
      </c>
      <c r="CK40" s="21" t="s">
        <v>114</v>
      </c>
      <c r="CL40" s="21" t="s">
        <v>114</v>
      </c>
      <c r="CM40" s="21" t="s">
        <v>114</v>
      </c>
      <c r="CN40" s="21" t="s">
        <v>114</v>
      </c>
      <c r="CO40" s="21" t="s">
        <v>114</v>
      </c>
      <c r="CP40" s="21" t="s">
        <v>114</v>
      </c>
      <c r="CQ40" s="21" t="s">
        <v>114</v>
      </c>
      <c r="CR40" s="21" t="s">
        <v>114</v>
      </c>
      <c r="CS40" s="21" t="s">
        <v>114</v>
      </c>
      <c r="CT40" s="21" t="s">
        <v>114</v>
      </c>
      <c r="CU40" s="21" t="s">
        <v>114</v>
      </c>
      <c r="CV40" s="21">
        <v>98424</v>
      </c>
      <c r="CW40" s="21" t="s">
        <v>114</v>
      </c>
      <c r="CX40" s="21" t="s">
        <v>114</v>
      </c>
      <c r="CY40" s="21" t="s">
        <v>114</v>
      </c>
      <c r="CZ40" s="21" t="s">
        <v>114</v>
      </c>
      <c r="DA40" s="21" t="s">
        <v>114</v>
      </c>
      <c r="DB40" s="21" t="s">
        <v>114</v>
      </c>
      <c r="DC40" s="21" t="s">
        <v>114</v>
      </c>
      <c r="DD40" s="21" t="s">
        <v>114</v>
      </c>
      <c r="DE40" s="21" t="s">
        <v>114</v>
      </c>
      <c r="DF40" s="19" t="s">
        <v>114</v>
      </c>
      <c r="DG40" s="19" t="s">
        <v>114</v>
      </c>
      <c r="DH40" s="19" t="s">
        <v>114</v>
      </c>
      <c r="DI40" s="19" t="s">
        <v>114</v>
      </c>
      <c r="DJ40" s="19" t="s">
        <v>114</v>
      </c>
      <c r="DK40" s="19" t="s">
        <v>114</v>
      </c>
      <c r="DL40" s="19" t="s">
        <v>114</v>
      </c>
      <c r="DM40" s="19" t="s">
        <v>114</v>
      </c>
      <c r="DN40" s="19" t="s">
        <v>114</v>
      </c>
      <c r="DO40" s="19" t="s">
        <v>114</v>
      </c>
    </row>
    <row r="41" spans="1:119" hidden="1" x14ac:dyDescent="0.45">
      <c r="A41" s="2" t="s">
        <v>1223</v>
      </c>
      <c r="B41" t="s">
        <v>1224</v>
      </c>
      <c r="C41" s="2">
        <v>534</v>
      </c>
      <c r="D41" s="6">
        <v>330</v>
      </c>
      <c r="E41" s="2" t="s">
        <v>1798</v>
      </c>
      <c r="F41" s="3" t="s">
        <v>2184</v>
      </c>
      <c r="H41" s="4" t="s">
        <v>1227</v>
      </c>
      <c r="I41" s="2" t="s">
        <v>1228</v>
      </c>
      <c r="J41" s="2">
        <v>19</v>
      </c>
      <c r="K41" t="s">
        <v>157</v>
      </c>
      <c r="L41" s="2">
        <v>419</v>
      </c>
      <c r="M41" t="s">
        <v>174</v>
      </c>
      <c r="N41">
        <v>29</v>
      </c>
      <c r="O41" t="s">
        <v>175</v>
      </c>
      <c r="P41" s="2" t="s">
        <v>176</v>
      </c>
      <c r="Q41" s="2" t="s">
        <v>177</v>
      </c>
      <c r="R41" s="2">
        <v>419</v>
      </c>
      <c r="S41" s="4" t="s">
        <v>174</v>
      </c>
      <c r="T41" s="2">
        <v>419</v>
      </c>
      <c r="U41" s="4" t="s">
        <v>174</v>
      </c>
      <c r="V41" t="s">
        <v>2455</v>
      </c>
      <c r="W41" t="s">
        <v>2455</v>
      </c>
      <c r="X41" t="e">
        <v>#N/A</v>
      </c>
      <c r="Y41" t="s">
        <v>175</v>
      </c>
      <c r="Z41" t="s">
        <v>175</v>
      </c>
      <c r="AA41" t="s">
        <v>2799</v>
      </c>
      <c r="AB41" t="s">
        <v>2872</v>
      </c>
      <c r="AC41" s="2" t="s">
        <v>130</v>
      </c>
      <c r="AD41" s="4" t="s">
        <v>1891</v>
      </c>
      <c r="AE41" t="s">
        <v>104</v>
      </c>
      <c r="AF41" t="s">
        <v>1886</v>
      </c>
      <c r="AG41" s="3" t="s">
        <v>1887</v>
      </c>
      <c r="AH41" t="s">
        <v>105</v>
      </c>
      <c r="AI41" s="3" t="s">
        <v>178</v>
      </c>
      <c r="AJ41" s="3" t="s">
        <v>106</v>
      </c>
      <c r="AK41" s="3" t="s">
        <v>107</v>
      </c>
      <c r="AL41" s="5" t="s">
        <v>481</v>
      </c>
      <c r="AM41" s="5" t="s">
        <v>109</v>
      </c>
      <c r="AO41" s="3" t="s">
        <v>119</v>
      </c>
      <c r="AP41" s="3" t="s">
        <v>120</v>
      </c>
      <c r="AQ41" s="3" t="s">
        <v>27</v>
      </c>
      <c r="AR41" s="3" t="s">
        <v>112</v>
      </c>
      <c r="AS41" s="3" t="s">
        <v>112</v>
      </c>
      <c r="AT41" s="3" t="s">
        <v>113</v>
      </c>
      <c r="AU41" s="3" t="s">
        <v>2303</v>
      </c>
      <c r="AV41" s="3" t="s">
        <v>2302</v>
      </c>
      <c r="AW41" s="3" t="s">
        <v>2301</v>
      </c>
      <c r="AX41" t="s">
        <v>2006</v>
      </c>
      <c r="AY41" s="19" t="s">
        <v>114</v>
      </c>
      <c r="AZ41" s="19" t="s">
        <v>114</v>
      </c>
      <c r="BA41" s="19" t="s">
        <v>114</v>
      </c>
      <c r="BB41" s="19" t="s">
        <v>114</v>
      </c>
      <c r="BC41" s="19" t="s">
        <v>114</v>
      </c>
      <c r="BD41" s="19" t="s">
        <v>114</v>
      </c>
      <c r="BE41" s="19" t="s">
        <v>114</v>
      </c>
      <c r="BF41" s="19" t="s">
        <v>114</v>
      </c>
      <c r="BG41" s="19" t="s">
        <v>114</v>
      </c>
      <c r="BH41" s="19" t="s">
        <v>114</v>
      </c>
      <c r="BI41" s="19" t="s">
        <v>114</v>
      </c>
      <c r="BJ41" s="19" t="s">
        <v>114</v>
      </c>
      <c r="BK41" s="19" t="s">
        <v>114</v>
      </c>
      <c r="BL41" s="19" t="s">
        <v>114</v>
      </c>
      <c r="BM41" s="19" t="s">
        <v>114</v>
      </c>
      <c r="BN41" s="19" t="s">
        <v>114</v>
      </c>
      <c r="BO41" s="19" t="s">
        <v>114</v>
      </c>
      <c r="BP41" s="19" t="s">
        <v>114</v>
      </c>
      <c r="BQ41" s="19" t="s">
        <v>114</v>
      </c>
      <c r="BR41" s="19" t="s">
        <v>114</v>
      </c>
      <c r="BS41" s="19" t="s">
        <v>114</v>
      </c>
      <c r="BT41" s="19" t="s">
        <v>114</v>
      </c>
      <c r="BU41" s="19" t="s">
        <v>114</v>
      </c>
      <c r="BV41" s="19" t="s">
        <v>114</v>
      </c>
      <c r="BW41" s="19" t="s">
        <v>114</v>
      </c>
      <c r="BX41" s="19" t="s">
        <v>114</v>
      </c>
      <c r="BY41" s="19" t="s">
        <v>114</v>
      </c>
      <c r="BZ41" s="21" t="s">
        <v>114</v>
      </c>
      <c r="CA41" s="21" t="s">
        <v>114</v>
      </c>
      <c r="CB41" s="21" t="s">
        <v>114</v>
      </c>
      <c r="CC41" s="21" t="s">
        <v>114</v>
      </c>
      <c r="CD41" s="21" t="s">
        <v>114</v>
      </c>
      <c r="CE41" s="21" t="s">
        <v>114</v>
      </c>
      <c r="CF41" s="19" t="s">
        <v>114</v>
      </c>
      <c r="CG41" s="19">
        <v>98300</v>
      </c>
      <c r="CH41" s="19">
        <v>98301</v>
      </c>
      <c r="CI41" s="21" t="s">
        <v>114</v>
      </c>
      <c r="CJ41" s="21" t="s">
        <v>114</v>
      </c>
      <c r="CK41" s="21" t="s">
        <v>114</v>
      </c>
      <c r="CL41" s="21" t="s">
        <v>114</v>
      </c>
      <c r="CM41" s="21" t="s">
        <v>114</v>
      </c>
      <c r="CN41" s="21" t="s">
        <v>114</v>
      </c>
      <c r="CO41" s="21" t="s">
        <v>114</v>
      </c>
      <c r="CP41" s="21" t="s">
        <v>114</v>
      </c>
      <c r="CQ41" s="21" t="s">
        <v>114</v>
      </c>
      <c r="CR41" s="21" t="s">
        <v>114</v>
      </c>
      <c r="CS41" s="21" t="s">
        <v>114</v>
      </c>
      <c r="CT41" s="21" t="s">
        <v>114</v>
      </c>
      <c r="CU41" s="21" t="s">
        <v>114</v>
      </c>
      <c r="CV41" s="21">
        <v>98424</v>
      </c>
      <c r="CW41" s="21" t="s">
        <v>114</v>
      </c>
      <c r="CX41" s="21" t="s">
        <v>114</v>
      </c>
      <c r="CY41" s="21" t="s">
        <v>114</v>
      </c>
      <c r="CZ41" s="21" t="s">
        <v>114</v>
      </c>
      <c r="DA41" s="21" t="s">
        <v>114</v>
      </c>
      <c r="DB41" s="21" t="s">
        <v>114</v>
      </c>
      <c r="DC41" s="21" t="s">
        <v>114</v>
      </c>
      <c r="DD41" s="21" t="s">
        <v>114</v>
      </c>
      <c r="DE41" s="21" t="s">
        <v>114</v>
      </c>
      <c r="DF41" s="19" t="s">
        <v>114</v>
      </c>
      <c r="DG41" s="19" t="s">
        <v>114</v>
      </c>
      <c r="DH41" s="19" t="s">
        <v>114</v>
      </c>
      <c r="DI41" s="19" t="s">
        <v>114</v>
      </c>
      <c r="DJ41" s="19" t="s">
        <v>114</v>
      </c>
      <c r="DK41" s="19" t="s">
        <v>114</v>
      </c>
      <c r="DL41" s="19" t="s">
        <v>114</v>
      </c>
      <c r="DM41" s="19" t="s">
        <v>114</v>
      </c>
      <c r="DN41" s="19" t="s">
        <v>114</v>
      </c>
      <c r="DO41" s="19" t="s">
        <v>114</v>
      </c>
    </row>
    <row r="42" spans="1:119" hidden="1" x14ac:dyDescent="0.45">
      <c r="A42" s="2" t="s">
        <v>1342</v>
      </c>
      <c r="B42" t="s">
        <v>1343</v>
      </c>
      <c r="C42" s="2">
        <v>780</v>
      </c>
      <c r="D42" s="6">
        <v>333</v>
      </c>
      <c r="E42" s="2" t="s">
        <v>1837</v>
      </c>
      <c r="F42" t="s">
        <v>1344</v>
      </c>
      <c r="G42" t="s">
        <v>2162</v>
      </c>
      <c r="H42" s="2" t="s">
        <v>1345</v>
      </c>
      <c r="I42" s="2" t="s">
        <v>1346</v>
      </c>
      <c r="J42" s="2">
        <v>19</v>
      </c>
      <c r="K42" t="s">
        <v>157</v>
      </c>
      <c r="L42" s="2">
        <v>419</v>
      </c>
      <c r="M42" t="s">
        <v>174</v>
      </c>
      <c r="N42">
        <v>29</v>
      </c>
      <c r="O42" t="s">
        <v>175</v>
      </c>
      <c r="P42" s="2" t="s">
        <v>176</v>
      </c>
      <c r="Q42" s="2" t="s">
        <v>177</v>
      </c>
      <c r="R42" s="2">
        <v>419</v>
      </c>
      <c r="S42" s="4" t="s">
        <v>174</v>
      </c>
      <c r="T42" s="2">
        <v>419</v>
      </c>
      <c r="U42" s="4" t="s">
        <v>174</v>
      </c>
      <c r="V42" t="s">
        <v>2455</v>
      </c>
      <c r="W42" t="s">
        <v>2455</v>
      </c>
      <c r="X42" t="s">
        <v>2440</v>
      </c>
      <c r="Y42" t="s">
        <v>175</v>
      </c>
      <c r="Z42" t="s">
        <v>175</v>
      </c>
      <c r="AA42" t="s">
        <v>2799</v>
      </c>
      <c r="AB42" t="s">
        <v>2872</v>
      </c>
      <c r="AC42" s="2" t="s">
        <v>130</v>
      </c>
      <c r="AD42" s="4" t="s">
        <v>1891</v>
      </c>
      <c r="AE42" t="s">
        <v>104</v>
      </c>
      <c r="AF42" t="s">
        <v>1886</v>
      </c>
      <c r="AG42" t="s">
        <v>1884</v>
      </c>
      <c r="AH42" t="s">
        <v>105</v>
      </c>
      <c r="AI42" s="3" t="s">
        <v>178</v>
      </c>
      <c r="AJ42" s="3" t="s">
        <v>106</v>
      </c>
      <c r="AK42" s="3" t="s">
        <v>107</v>
      </c>
      <c r="AL42" s="5" t="s">
        <v>1347</v>
      </c>
      <c r="AM42" s="5" t="s">
        <v>109</v>
      </c>
      <c r="AN42" t="s">
        <v>110</v>
      </c>
      <c r="AO42" s="3" t="s">
        <v>119</v>
      </c>
      <c r="AP42" s="3" t="s">
        <v>120</v>
      </c>
      <c r="AQ42" s="3" t="s">
        <v>27</v>
      </c>
      <c r="AR42" s="3" t="s">
        <v>112</v>
      </c>
      <c r="AS42" s="3" t="s">
        <v>112</v>
      </c>
      <c r="AT42" t="s">
        <v>191</v>
      </c>
      <c r="AU42" s="3" t="s">
        <v>2303</v>
      </c>
      <c r="AV42" s="3" t="s">
        <v>2302</v>
      </c>
      <c r="AW42" s="3" t="s">
        <v>2301</v>
      </c>
      <c r="AX42" s="3" t="s">
        <v>2006</v>
      </c>
      <c r="AY42" s="19" t="s">
        <v>114</v>
      </c>
      <c r="AZ42" s="19" t="s">
        <v>114</v>
      </c>
      <c r="BA42" s="19" t="s">
        <v>114</v>
      </c>
      <c r="BB42" s="19" t="s">
        <v>114</v>
      </c>
      <c r="BC42" s="19" t="s">
        <v>114</v>
      </c>
      <c r="BD42" s="19" t="s">
        <v>114</v>
      </c>
      <c r="BE42" s="19" t="s">
        <v>114</v>
      </c>
      <c r="BF42" s="19" t="s">
        <v>114</v>
      </c>
      <c r="BG42" s="19" t="s">
        <v>114</v>
      </c>
      <c r="BH42" s="19" t="s">
        <v>114</v>
      </c>
      <c r="BI42" s="19" t="s">
        <v>114</v>
      </c>
      <c r="BJ42" s="19" t="s">
        <v>114</v>
      </c>
      <c r="BK42" s="19" t="s">
        <v>114</v>
      </c>
      <c r="BL42" s="19" t="s">
        <v>114</v>
      </c>
      <c r="BM42" s="19" t="s">
        <v>114</v>
      </c>
      <c r="BN42" s="19" t="s">
        <v>114</v>
      </c>
      <c r="BO42" s="19" t="s">
        <v>114</v>
      </c>
      <c r="BP42" s="19" t="s">
        <v>114</v>
      </c>
      <c r="BQ42" s="19" t="s">
        <v>114</v>
      </c>
      <c r="BR42" s="19" t="s">
        <v>114</v>
      </c>
      <c r="BS42" s="19" t="s">
        <v>114</v>
      </c>
      <c r="BT42" s="19" t="s">
        <v>114</v>
      </c>
      <c r="BU42" s="19" t="s">
        <v>114</v>
      </c>
      <c r="BV42" s="19" t="s">
        <v>114</v>
      </c>
      <c r="BW42" s="19" t="s">
        <v>114</v>
      </c>
      <c r="BX42" s="19" t="s">
        <v>114</v>
      </c>
      <c r="BY42" s="19" t="s">
        <v>114</v>
      </c>
      <c r="BZ42" s="21" t="s">
        <v>114</v>
      </c>
      <c r="CA42" s="21" t="s">
        <v>114</v>
      </c>
      <c r="CB42" s="21" t="s">
        <v>114</v>
      </c>
      <c r="CC42" s="21" t="s">
        <v>114</v>
      </c>
      <c r="CD42" s="21" t="s">
        <v>114</v>
      </c>
      <c r="CE42" s="21" t="s">
        <v>114</v>
      </c>
      <c r="CF42" s="19" t="s">
        <v>114</v>
      </c>
      <c r="CG42" s="19">
        <v>98300</v>
      </c>
      <c r="CH42" s="19">
        <v>98301</v>
      </c>
      <c r="CI42" s="21" t="s">
        <v>114</v>
      </c>
      <c r="CJ42" s="21" t="s">
        <v>114</v>
      </c>
      <c r="CK42" s="21" t="s">
        <v>114</v>
      </c>
      <c r="CL42" s="21" t="s">
        <v>114</v>
      </c>
      <c r="CM42" s="21" t="s">
        <v>114</v>
      </c>
      <c r="CN42" s="21" t="s">
        <v>114</v>
      </c>
      <c r="CO42" s="21" t="s">
        <v>114</v>
      </c>
      <c r="CP42" s="21" t="s">
        <v>114</v>
      </c>
      <c r="CQ42" s="21" t="s">
        <v>114</v>
      </c>
      <c r="CR42" s="21" t="s">
        <v>114</v>
      </c>
      <c r="CS42" s="21" t="s">
        <v>114</v>
      </c>
      <c r="CT42" s="21" t="s">
        <v>114</v>
      </c>
      <c r="CU42" s="21" t="s">
        <v>114</v>
      </c>
      <c r="CV42" s="21">
        <v>98424</v>
      </c>
      <c r="CW42" s="21" t="s">
        <v>114</v>
      </c>
      <c r="CX42" s="21" t="s">
        <v>114</v>
      </c>
      <c r="CY42" s="21" t="s">
        <v>114</v>
      </c>
      <c r="CZ42" s="21" t="s">
        <v>114</v>
      </c>
      <c r="DA42" s="21" t="s">
        <v>114</v>
      </c>
      <c r="DB42" s="21" t="s">
        <v>114</v>
      </c>
      <c r="DC42" s="21" t="s">
        <v>114</v>
      </c>
      <c r="DD42" s="21" t="s">
        <v>114</v>
      </c>
      <c r="DE42" s="21" t="s">
        <v>114</v>
      </c>
      <c r="DF42" s="19" t="s">
        <v>114</v>
      </c>
      <c r="DG42" s="19" t="s">
        <v>114</v>
      </c>
      <c r="DH42" s="19" t="s">
        <v>114</v>
      </c>
      <c r="DI42" s="19" t="s">
        <v>114</v>
      </c>
      <c r="DJ42" s="19" t="s">
        <v>114</v>
      </c>
      <c r="DK42" s="19" t="s">
        <v>114</v>
      </c>
      <c r="DL42" s="19" t="s">
        <v>114</v>
      </c>
      <c r="DM42" s="19" t="s">
        <v>114</v>
      </c>
      <c r="DN42" s="19" t="s">
        <v>114</v>
      </c>
      <c r="DO42" s="19" t="s">
        <v>114</v>
      </c>
    </row>
    <row r="43" spans="1:119" hidden="1" x14ac:dyDescent="0.45">
      <c r="A43" s="2" t="s">
        <v>1364</v>
      </c>
      <c r="B43" t="s">
        <v>1365</v>
      </c>
      <c r="C43" s="2">
        <v>796</v>
      </c>
      <c r="D43" s="6">
        <v>334</v>
      </c>
      <c r="E43" s="2" t="s">
        <v>1842</v>
      </c>
      <c r="F43" t="s">
        <v>1366</v>
      </c>
      <c r="H43" s="2" t="s">
        <v>1367</v>
      </c>
      <c r="I43" s="2" t="s">
        <v>1368</v>
      </c>
      <c r="J43" s="2">
        <v>19</v>
      </c>
      <c r="K43" t="s">
        <v>157</v>
      </c>
      <c r="L43" s="2">
        <v>419</v>
      </c>
      <c r="M43" t="s">
        <v>174</v>
      </c>
      <c r="N43">
        <v>29</v>
      </c>
      <c r="O43" t="s">
        <v>175</v>
      </c>
      <c r="P43" s="2" t="s">
        <v>176</v>
      </c>
      <c r="Q43" s="2" t="s">
        <v>177</v>
      </c>
      <c r="R43" s="2">
        <v>419</v>
      </c>
      <c r="S43" s="4" t="s">
        <v>174</v>
      </c>
      <c r="T43" s="2">
        <v>419</v>
      </c>
      <c r="U43" s="4" t="s">
        <v>174</v>
      </c>
      <c r="V43" t="s">
        <v>2455</v>
      </c>
      <c r="W43" t="s">
        <v>2455</v>
      </c>
      <c r="X43" t="s">
        <v>2440</v>
      </c>
      <c r="Y43" t="s">
        <v>175</v>
      </c>
      <c r="Z43" t="s">
        <v>175</v>
      </c>
      <c r="AA43" t="s">
        <v>2799</v>
      </c>
      <c r="AB43" t="s">
        <v>2872</v>
      </c>
      <c r="AC43" s="2" t="s">
        <v>130</v>
      </c>
      <c r="AD43" s="4" t="s">
        <v>1891</v>
      </c>
      <c r="AE43" t="s">
        <v>104</v>
      </c>
      <c r="AF43" t="s">
        <v>1886</v>
      </c>
      <c r="AG43" s="3" t="s">
        <v>1887</v>
      </c>
      <c r="AH43" t="s">
        <v>105</v>
      </c>
      <c r="AI43" s="3" t="s">
        <v>178</v>
      </c>
      <c r="AJ43" s="3" t="s">
        <v>106</v>
      </c>
      <c r="AK43" s="3" t="s">
        <v>107</v>
      </c>
      <c r="AL43" s="5" t="s">
        <v>156</v>
      </c>
      <c r="AM43" s="5" t="s">
        <v>109</v>
      </c>
      <c r="AO43" s="3" t="s">
        <v>119</v>
      </c>
      <c r="AP43" s="3" t="s">
        <v>120</v>
      </c>
      <c r="AQ43" s="3" t="s">
        <v>111</v>
      </c>
      <c r="AR43" s="3" t="s">
        <v>112</v>
      </c>
      <c r="AS43" s="3" t="s">
        <v>112</v>
      </c>
      <c r="AT43" s="3" t="s">
        <v>113</v>
      </c>
      <c r="AU43" s="3" t="s">
        <v>2303</v>
      </c>
      <c r="AV43" s="3" t="s">
        <v>2302</v>
      </c>
      <c r="AW43" s="3" t="s">
        <v>2301</v>
      </c>
      <c r="AX43" s="3" t="s">
        <v>2006</v>
      </c>
      <c r="AY43" s="19" t="s">
        <v>114</v>
      </c>
      <c r="AZ43" s="19" t="s">
        <v>114</v>
      </c>
      <c r="BA43" s="19" t="s">
        <v>114</v>
      </c>
      <c r="BB43" s="19" t="s">
        <v>114</v>
      </c>
      <c r="BC43" s="19" t="s">
        <v>114</v>
      </c>
      <c r="BD43" s="19" t="s">
        <v>114</v>
      </c>
      <c r="BE43" s="19" t="s">
        <v>114</v>
      </c>
      <c r="BF43" s="19" t="s">
        <v>114</v>
      </c>
      <c r="BG43" s="19" t="s">
        <v>114</v>
      </c>
      <c r="BH43" s="19" t="s">
        <v>114</v>
      </c>
      <c r="BI43" s="19" t="s">
        <v>114</v>
      </c>
      <c r="BJ43" s="19" t="s">
        <v>114</v>
      </c>
      <c r="BK43" s="19" t="s">
        <v>114</v>
      </c>
      <c r="BL43" s="19" t="s">
        <v>114</v>
      </c>
      <c r="BM43" s="19" t="s">
        <v>114</v>
      </c>
      <c r="BN43" s="19" t="s">
        <v>114</v>
      </c>
      <c r="BO43" s="19" t="s">
        <v>114</v>
      </c>
      <c r="BP43" s="19" t="s">
        <v>114</v>
      </c>
      <c r="BQ43" s="19" t="s">
        <v>114</v>
      </c>
      <c r="BR43" s="19" t="s">
        <v>114</v>
      </c>
      <c r="BS43" s="19" t="s">
        <v>114</v>
      </c>
      <c r="BT43" s="19" t="s">
        <v>114</v>
      </c>
      <c r="BU43" s="19" t="s">
        <v>114</v>
      </c>
      <c r="BV43" s="19" t="s">
        <v>114</v>
      </c>
      <c r="BW43" s="19" t="s">
        <v>114</v>
      </c>
      <c r="BX43" s="19" t="s">
        <v>114</v>
      </c>
      <c r="BY43" s="19" t="s">
        <v>114</v>
      </c>
      <c r="BZ43" s="21" t="s">
        <v>114</v>
      </c>
      <c r="CA43" s="21" t="s">
        <v>114</v>
      </c>
      <c r="CB43" s="21" t="s">
        <v>114</v>
      </c>
      <c r="CC43" s="21" t="s">
        <v>114</v>
      </c>
      <c r="CD43" s="21" t="s">
        <v>114</v>
      </c>
      <c r="CE43" s="21" t="s">
        <v>114</v>
      </c>
      <c r="CF43" s="19" t="s">
        <v>114</v>
      </c>
      <c r="CG43" s="19">
        <v>98300</v>
      </c>
      <c r="CH43" s="19">
        <v>98301</v>
      </c>
      <c r="CI43" s="21" t="s">
        <v>114</v>
      </c>
      <c r="CJ43" s="21" t="s">
        <v>114</v>
      </c>
      <c r="CK43" s="21" t="s">
        <v>114</v>
      </c>
      <c r="CL43" s="21" t="s">
        <v>114</v>
      </c>
      <c r="CM43" s="21" t="s">
        <v>114</v>
      </c>
      <c r="CN43" s="21" t="s">
        <v>114</v>
      </c>
      <c r="CO43" s="21" t="s">
        <v>114</v>
      </c>
      <c r="CP43" s="21" t="s">
        <v>114</v>
      </c>
      <c r="CQ43" s="21" t="s">
        <v>114</v>
      </c>
      <c r="CR43" s="21" t="s">
        <v>114</v>
      </c>
      <c r="CS43" s="21" t="s">
        <v>114</v>
      </c>
      <c r="CT43" s="21" t="s">
        <v>114</v>
      </c>
      <c r="CU43" s="21" t="s">
        <v>114</v>
      </c>
      <c r="CV43" s="21">
        <v>98424</v>
      </c>
      <c r="CW43" s="21" t="s">
        <v>114</v>
      </c>
      <c r="CX43" s="21" t="s">
        <v>114</v>
      </c>
      <c r="CY43" s="21" t="s">
        <v>114</v>
      </c>
      <c r="CZ43" s="21" t="s">
        <v>114</v>
      </c>
      <c r="DA43" s="21" t="s">
        <v>114</v>
      </c>
      <c r="DB43" s="21" t="s">
        <v>114</v>
      </c>
      <c r="DC43" s="21" t="s">
        <v>114</v>
      </c>
      <c r="DD43" s="21" t="s">
        <v>114</v>
      </c>
      <c r="DE43" s="21" t="s">
        <v>114</v>
      </c>
      <c r="DF43" s="19" t="s">
        <v>114</v>
      </c>
      <c r="DG43" s="19" t="s">
        <v>114</v>
      </c>
      <c r="DH43" s="19" t="s">
        <v>114</v>
      </c>
      <c r="DI43" s="19" t="s">
        <v>114</v>
      </c>
      <c r="DJ43" s="19" t="s">
        <v>114</v>
      </c>
      <c r="DK43" s="19" t="s">
        <v>114</v>
      </c>
      <c r="DL43" s="19" t="s">
        <v>114</v>
      </c>
      <c r="DM43" s="19" t="s">
        <v>114</v>
      </c>
      <c r="DN43" s="19" t="s">
        <v>114</v>
      </c>
      <c r="DO43" s="19" t="s">
        <v>114</v>
      </c>
    </row>
    <row r="44" spans="1:119" hidden="1" x14ac:dyDescent="0.45">
      <c r="A44" s="2" t="s">
        <v>1410</v>
      </c>
      <c r="B44" t="s">
        <v>1411</v>
      </c>
      <c r="C44" s="2">
        <v>850</v>
      </c>
      <c r="D44" s="6">
        <v>335</v>
      </c>
      <c r="E44" s="2" t="s">
        <v>1855</v>
      </c>
      <c r="F44" t="s">
        <v>1412</v>
      </c>
      <c r="H44" s="2" t="s">
        <v>1413</v>
      </c>
      <c r="I44" s="2" t="s">
        <v>1414</v>
      </c>
      <c r="J44" s="2">
        <v>19</v>
      </c>
      <c r="K44" t="s">
        <v>157</v>
      </c>
      <c r="L44" s="2">
        <v>419</v>
      </c>
      <c r="M44" t="s">
        <v>174</v>
      </c>
      <c r="N44">
        <v>29</v>
      </c>
      <c r="O44" t="s">
        <v>175</v>
      </c>
      <c r="P44" s="2" t="s">
        <v>176</v>
      </c>
      <c r="Q44" s="2" t="s">
        <v>177</v>
      </c>
      <c r="R44" s="2">
        <v>419</v>
      </c>
      <c r="S44" s="4" t="s">
        <v>174</v>
      </c>
      <c r="T44" s="2">
        <v>419</v>
      </c>
      <c r="U44" s="4" t="s">
        <v>174</v>
      </c>
      <c r="V44" t="s">
        <v>1406</v>
      </c>
      <c r="W44" t="s">
        <v>1406</v>
      </c>
      <c r="X44" t="s">
        <v>2440</v>
      </c>
      <c r="Y44" t="s">
        <v>175</v>
      </c>
      <c r="Z44" t="s">
        <v>175</v>
      </c>
      <c r="AA44" t="s">
        <v>2799</v>
      </c>
      <c r="AB44" t="s">
        <v>2872</v>
      </c>
      <c r="AC44" s="2" t="s">
        <v>130</v>
      </c>
      <c r="AD44" s="4" t="s">
        <v>1891</v>
      </c>
      <c r="AE44" t="s">
        <v>104</v>
      </c>
      <c r="AF44" t="s">
        <v>1886</v>
      </c>
      <c r="AG44" s="3" t="s">
        <v>1887</v>
      </c>
      <c r="AH44" t="s">
        <v>105</v>
      </c>
      <c r="AI44" s="3" t="s">
        <v>178</v>
      </c>
      <c r="AJ44" s="3" t="s">
        <v>106</v>
      </c>
      <c r="AK44" s="3" t="s">
        <v>107</v>
      </c>
      <c r="AL44" s="5" t="s">
        <v>156</v>
      </c>
      <c r="AM44" s="5" t="s">
        <v>109</v>
      </c>
      <c r="AO44" s="3" t="s">
        <v>119</v>
      </c>
      <c r="AP44" s="3" t="s">
        <v>120</v>
      </c>
      <c r="AQ44" s="3" t="s">
        <v>27</v>
      </c>
      <c r="AR44" s="3" t="s">
        <v>112</v>
      </c>
      <c r="AS44" s="3" t="s">
        <v>112</v>
      </c>
      <c r="AT44" s="3" t="s">
        <v>113</v>
      </c>
      <c r="AU44" s="3" t="s">
        <v>2303</v>
      </c>
      <c r="AV44" s="3" t="s">
        <v>2302</v>
      </c>
      <c r="AW44" s="3" t="s">
        <v>2301</v>
      </c>
      <c r="AX44" s="3" t="s">
        <v>2006</v>
      </c>
      <c r="AY44" s="19" t="s">
        <v>114</v>
      </c>
      <c r="AZ44" s="19" t="s">
        <v>114</v>
      </c>
      <c r="BA44" s="19" t="s">
        <v>114</v>
      </c>
      <c r="BB44" s="19" t="s">
        <v>114</v>
      </c>
      <c r="BC44" s="19" t="s">
        <v>114</v>
      </c>
      <c r="BD44" s="19" t="s">
        <v>114</v>
      </c>
      <c r="BE44" s="19" t="s">
        <v>114</v>
      </c>
      <c r="BF44" s="19" t="s">
        <v>114</v>
      </c>
      <c r="BG44" s="19" t="s">
        <v>114</v>
      </c>
      <c r="BH44" s="19" t="s">
        <v>114</v>
      </c>
      <c r="BI44" s="19" t="s">
        <v>114</v>
      </c>
      <c r="BJ44" s="19" t="s">
        <v>114</v>
      </c>
      <c r="BK44" s="19" t="s">
        <v>114</v>
      </c>
      <c r="BL44" s="19" t="s">
        <v>114</v>
      </c>
      <c r="BM44" s="19" t="s">
        <v>114</v>
      </c>
      <c r="BN44" s="19" t="s">
        <v>114</v>
      </c>
      <c r="BO44" s="19" t="s">
        <v>114</v>
      </c>
      <c r="BP44" s="19" t="s">
        <v>114</v>
      </c>
      <c r="BQ44" s="19" t="s">
        <v>114</v>
      </c>
      <c r="BR44" s="19" t="s">
        <v>114</v>
      </c>
      <c r="BS44" s="19" t="s">
        <v>114</v>
      </c>
      <c r="BT44" s="19" t="s">
        <v>114</v>
      </c>
      <c r="BU44" s="19" t="s">
        <v>114</v>
      </c>
      <c r="BV44" s="19" t="s">
        <v>114</v>
      </c>
      <c r="BW44" s="19" t="s">
        <v>114</v>
      </c>
      <c r="BX44" s="19" t="s">
        <v>114</v>
      </c>
      <c r="BY44" s="19" t="s">
        <v>114</v>
      </c>
      <c r="BZ44" s="21" t="s">
        <v>114</v>
      </c>
      <c r="CA44" s="21" t="s">
        <v>114</v>
      </c>
      <c r="CB44" s="21" t="s">
        <v>114</v>
      </c>
      <c r="CC44" s="21" t="s">
        <v>114</v>
      </c>
      <c r="CD44" s="21" t="s">
        <v>114</v>
      </c>
      <c r="CE44" s="21" t="s">
        <v>114</v>
      </c>
      <c r="CF44" s="19" t="s">
        <v>114</v>
      </c>
      <c r="CG44" s="19">
        <v>98300</v>
      </c>
      <c r="CH44" s="19">
        <v>98301</v>
      </c>
      <c r="CI44" s="21" t="s">
        <v>114</v>
      </c>
      <c r="CJ44" s="21" t="s">
        <v>114</v>
      </c>
      <c r="CK44" s="21" t="s">
        <v>114</v>
      </c>
      <c r="CL44" s="21" t="s">
        <v>114</v>
      </c>
      <c r="CM44" s="21" t="s">
        <v>114</v>
      </c>
      <c r="CN44" s="21" t="s">
        <v>114</v>
      </c>
      <c r="CO44" s="21" t="s">
        <v>114</v>
      </c>
      <c r="CP44" s="21" t="s">
        <v>114</v>
      </c>
      <c r="CQ44" s="21" t="s">
        <v>114</v>
      </c>
      <c r="CR44" s="21" t="s">
        <v>114</v>
      </c>
      <c r="CS44" s="21" t="s">
        <v>114</v>
      </c>
      <c r="CT44" s="21" t="s">
        <v>114</v>
      </c>
      <c r="CU44" s="21" t="s">
        <v>114</v>
      </c>
      <c r="CV44" s="21">
        <v>98424</v>
      </c>
      <c r="CW44" s="21" t="s">
        <v>114</v>
      </c>
      <c r="CX44" s="21" t="s">
        <v>114</v>
      </c>
      <c r="CY44" s="21" t="s">
        <v>114</v>
      </c>
      <c r="CZ44" s="21" t="s">
        <v>114</v>
      </c>
      <c r="DA44" s="21" t="s">
        <v>114</v>
      </c>
      <c r="DB44" s="21" t="s">
        <v>114</v>
      </c>
      <c r="DC44" s="21" t="s">
        <v>114</v>
      </c>
      <c r="DD44" s="21" t="s">
        <v>114</v>
      </c>
      <c r="DE44" s="21" t="s">
        <v>114</v>
      </c>
      <c r="DF44" s="19" t="s">
        <v>114</v>
      </c>
      <c r="DG44" s="19" t="s">
        <v>114</v>
      </c>
      <c r="DH44" s="19" t="s">
        <v>114</v>
      </c>
      <c r="DI44" s="19" t="s">
        <v>114</v>
      </c>
      <c r="DJ44" s="19" t="s">
        <v>114</v>
      </c>
      <c r="DK44" s="19" t="s">
        <v>114</v>
      </c>
      <c r="DL44" s="19" t="s">
        <v>114</v>
      </c>
      <c r="DM44" s="19" t="s">
        <v>114</v>
      </c>
      <c r="DN44" s="19" t="s">
        <v>114</v>
      </c>
      <c r="DO44" s="19" t="s">
        <v>114</v>
      </c>
    </row>
    <row r="45" spans="1:119" hidden="1" x14ac:dyDescent="0.45">
      <c r="A45" s="2" t="s">
        <v>263</v>
      </c>
      <c r="B45" t="s">
        <v>264</v>
      </c>
      <c r="C45" s="2">
        <v>84</v>
      </c>
      <c r="D45" s="6">
        <v>306</v>
      </c>
      <c r="E45" s="2" t="s">
        <v>265</v>
      </c>
      <c r="F45" t="s">
        <v>265</v>
      </c>
      <c r="G45" t="s">
        <v>265</v>
      </c>
      <c r="H45" s="2" t="s">
        <v>265</v>
      </c>
      <c r="I45" s="2" t="s">
        <v>266</v>
      </c>
      <c r="J45" s="2">
        <v>19</v>
      </c>
      <c r="K45" t="s">
        <v>157</v>
      </c>
      <c r="L45" s="2">
        <v>419</v>
      </c>
      <c r="M45" t="s">
        <v>174</v>
      </c>
      <c r="N45">
        <v>13</v>
      </c>
      <c r="O45" t="s">
        <v>267</v>
      </c>
      <c r="P45" s="2" t="s">
        <v>176</v>
      </c>
      <c r="Q45" s="2" t="s">
        <v>177</v>
      </c>
      <c r="R45" s="2">
        <v>419</v>
      </c>
      <c r="S45" s="4" t="s">
        <v>174</v>
      </c>
      <c r="T45" s="2">
        <v>419</v>
      </c>
      <c r="U45" s="4" t="s">
        <v>174</v>
      </c>
      <c r="V45" t="s">
        <v>2455</v>
      </c>
      <c r="W45" t="s">
        <v>2455</v>
      </c>
      <c r="X45" t="s">
        <v>2440</v>
      </c>
      <c r="Y45" t="s">
        <v>267</v>
      </c>
      <c r="Z45" t="s">
        <v>2469</v>
      </c>
      <c r="AA45" s="3" t="s">
        <v>267</v>
      </c>
      <c r="AB45" s="3" t="s">
        <v>2312</v>
      </c>
      <c r="AC45" s="2" t="s">
        <v>138</v>
      </c>
      <c r="AD45" s="4" t="s">
        <v>1891</v>
      </c>
      <c r="AE45" t="s">
        <v>104</v>
      </c>
      <c r="AF45" t="s">
        <v>1885</v>
      </c>
      <c r="AG45" t="s">
        <v>1884</v>
      </c>
      <c r="AH45" t="s">
        <v>105</v>
      </c>
      <c r="AI45" s="3" t="s">
        <v>178</v>
      </c>
      <c r="AJ45" s="3" t="s">
        <v>106</v>
      </c>
      <c r="AK45" s="3" t="s">
        <v>107</v>
      </c>
      <c r="AL45" s="5" t="s">
        <v>268</v>
      </c>
      <c r="AM45" s="5" t="s">
        <v>109</v>
      </c>
      <c r="AO45" s="3" t="s">
        <v>119</v>
      </c>
      <c r="AP45" s="3" t="s">
        <v>120</v>
      </c>
      <c r="AQ45" s="3" t="s">
        <v>27</v>
      </c>
      <c r="AR45" s="3" t="s">
        <v>112</v>
      </c>
      <c r="AS45" s="3" t="s">
        <v>112</v>
      </c>
      <c r="AT45" t="s">
        <v>191</v>
      </c>
      <c r="AU45" s="3" t="s">
        <v>2303</v>
      </c>
      <c r="AV45" s="3" t="s">
        <v>2302</v>
      </c>
      <c r="AW45" s="3" t="s">
        <v>2301</v>
      </c>
      <c r="AX45" s="3" t="s">
        <v>2006</v>
      </c>
      <c r="AY45" s="19" t="s">
        <v>114</v>
      </c>
      <c r="AZ45" s="19" t="s">
        <v>114</v>
      </c>
      <c r="BA45" s="19" t="s">
        <v>114</v>
      </c>
      <c r="BB45" s="19" t="s">
        <v>114</v>
      </c>
      <c r="BC45" s="19" t="s">
        <v>114</v>
      </c>
      <c r="BD45" s="19" t="s">
        <v>114</v>
      </c>
      <c r="BE45" s="19" t="s">
        <v>114</v>
      </c>
      <c r="BF45" s="19" t="s">
        <v>114</v>
      </c>
      <c r="BG45" s="19" t="s">
        <v>114</v>
      </c>
      <c r="BH45" s="19" t="s">
        <v>114</v>
      </c>
      <c r="BI45" s="19" t="s">
        <v>114</v>
      </c>
      <c r="BJ45" s="19" t="s">
        <v>114</v>
      </c>
      <c r="BK45" s="19" t="s">
        <v>114</v>
      </c>
      <c r="BL45" s="19" t="s">
        <v>114</v>
      </c>
      <c r="BM45" s="19" t="s">
        <v>114</v>
      </c>
      <c r="BN45" s="19" t="s">
        <v>114</v>
      </c>
      <c r="BO45" s="19" t="s">
        <v>114</v>
      </c>
      <c r="BP45" s="19" t="s">
        <v>114</v>
      </c>
      <c r="BQ45" s="19" t="s">
        <v>114</v>
      </c>
      <c r="BR45" s="19" t="s">
        <v>114</v>
      </c>
      <c r="BS45" s="19" t="s">
        <v>114</v>
      </c>
      <c r="BT45" s="19" t="s">
        <v>114</v>
      </c>
      <c r="BU45" s="19" t="s">
        <v>114</v>
      </c>
      <c r="BV45" s="19" t="s">
        <v>114</v>
      </c>
      <c r="BW45" s="19" t="s">
        <v>114</v>
      </c>
      <c r="BX45" s="19" t="s">
        <v>114</v>
      </c>
      <c r="BY45" s="19" t="s">
        <v>114</v>
      </c>
      <c r="BZ45" s="21" t="s">
        <v>114</v>
      </c>
      <c r="CA45" s="21" t="s">
        <v>114</v>
      </c>
      <c r="CB45" s="21" t="s">
        <v>114</v>
      </c>
      <c r="CC45" s="21" t="s">
        <v>114</v>
      </c>
      <c r="CD45" s="21" t="s">
        <v>114</v>
      </c>
      <c r="CE45" s="21" t="s">
        <v>114</v>
      </c>
      <c r="CF45" s="19" t="s">
        <v>114</v>
      </c>
      <c r="CG45" s="19">
        <v>98300</v>
      </c>
      <c r="CH45" s="19">
        <v>98301</v>
      </c>
      <c r="CI45" s="21" t="s">
        <v>114</v>
      </c>
      <c r="CJ45" s="21" t="s">
        <v>114</v>
      </c>
      <c r="CK45" s="21" t="s">
        <v>114</v>
      </c>
      <c r="CL45" s="21" t="s">
        <v>114</v>
      </c>
      <c r="CM45" s="21" t="s">
        <v>114</v>
      </c>
      <c r="CN45" s="21" t="s">
        <v>114</v>
      </c>
      <c r="CO45" s="21" t="s">
        <v>114</v>
      </c>
      <c r="CP45" s="21" t="s">
        <v>114</v>
      </c>
      <c r="CQ45" s="21" t="s">
        <v>114</v>
      </c>
      <c r="CR45" s="21" t="s">
        <v>114</v>
      </c>
      <c r="CS45" s="21" t="s">
        <v>114</v>
      </c>
      <c r="CT45" s="21" t="s">
        <v>114</v>
      </c>
      <c r="CU45" s="21" t="s">
        <v>114</v>
      </c>
      <c r="CV45" s="21">
        <v>98424</v>
      </c>
      <c r="CW45" s="21" t="s">
        <v>114</v>
      </c>
      <c r="CX45" s="21" t="s">
        <v>114</v>
      </c>
      <c r="CY45" s="21" t="s">
        <v>114</v>
      </c>
      <c r="CZ45" s="21" t="s">
        <v>114</v>
      </c>
      <c r="DA45" s="21" t="s">
        <v>114</v>
      </c>
      <c r="DB45" s="21" t="s">
        <v>114</v>
      </c>
      <c r="DC45" s="21" t="s">
        <v>114</v>
      </c>
      <c r="DD45" s="21" t="s">
        <v>114</v>
      </c>
      <c r="DE45" s="21" t="s">
        <v>114</v>
      </c>
      <c r="DF45" s="19" t="s">
        <v>114</v>
      </c>
      <c r="DG45" s="19" t="s">
        <v>114</v>
      </c>
      <c r="DH45" s="19" t="s">
        <v>114</v>
      </c>
      <c r="DI45" s="19" t="s">
        <v>114</v>
      </c>
      <c r="DJ45" s="19" t="s">
        <v>114</v>
      </c>
      <c r="DK45" s="19" t="s">
        <v>114</v>
      </c>
      <c r="DL45" s="19" t="s">
        <v>114</v>
      </c>
      <c r="DM45" s="19" t="s">
        <v>114</v>
      </c>
      <c r="DN45" s="19" t="s">
        <v>114</v>
      </c>
      <c r="DO45" s="19" t="s">
        <v>114</v>
      </c>
    </row>
    <row r="46" spans="1:119" hidden="1" x14ac:dyDescent="0.45">
      <c r="A46" s="2" t="s">
        <v>459</v>
      </c>
      <c r="B46" t="s">
        <v>460</v>
      </c>
      <c r="C46" s="2">
        <v>188</v>
      </c>
      <c r="D46" s="6">
        <v>310</v>
      </c>
      <c r="E46" s="2" t="s">
        <v>461</v>
      </c>
      <c r="F46" t="s">
        <v>461</v>
      </c>
      <c r="G46" t="s">
        <v>2046</v>
      </c>
      <c r="H46" s="2" t="s">
        <v>461</v>
      </c>
      <c r="I46" s="2" t="s">
        <v>461</v>
      </c>
      <c r="J46" s="2">
        <v>19</v>
      </c>
      <c r="K46" t="s">
        <v>157</v>
      </c>
      <c r="L46" s="2">
        <v>419</v>
      </c>
      <c r="M46" t="s">
        <v>174</v>
      </c>
      <c r="N46">
        <v>13</v>
      </c>
      <c r="O46" t="s">
        <v>267</v>
      </c>
      <c r="P46" s="2" t="s">
        <v>176</v>
      </c>
      <c r="Q46" s="2" t="s">
        <v>177</v>
      </c>
      <c r="R46" s="2">
        <v>419</v>
      </c>
      <c r="S46" s="4" t="s">
        <v>174</v>
      </c>
      <c r="T46" s="2">
        <v>419</v>
      </c>
      <c r="U46" s="4" t="s">
        <v>174</v>
      </c>
      <c r="V46" t="s">
        <v>2455</v>
      </c>
      <c r="W46" t="s">
        <v>2455</v>
      </c>
      <c r="X46" t="s">
        <v>2440</v>
      </c>
      <c r="Y46" t="s">
        <v>267</v>
      </c>
      <c r="Z46" t="s">
        <v>2469</v>
      </c>
      <c r="AA46" s="3" t="s">
        <v>267</v>
      </c>
      <c r="AB46" s="3" t="s">
        <v>2312</v>
      </c>
      <c r="AC46" s="2" t="s">
        <v>138</v>
      </c>
      <c r="AD46" s="4" t="s">
        <v>1891</v>
      </c>
      <c r="AE46" t="s">
        <v>104</v>
      </c>
      <c r="AF46" t="s">
        <v>1885</v>
      </c>
      <c r="AG46" t="s">
        <v>1884</v>
      </c>
      <c r="AH46" t="s">
        <v>105</v>
      </c>
      <c r="AI46" s="3" t="s">
        <v>178</v>
      </c>
      <c r="AJ46" s="3" t="s">
        <v>106</v>
      </c>
      <c r="AK46" s="3" t="s">
        <v>107</v>
      </c>
      <c r="AL46" s="5" t="s">
        <v>462</v>
      </c>
      <c r="AM46" s="5" t="s">
        <v>109</v>
      </c>
      <c r="AN46" t="s">
        <v>110</v>
      </c>
      <c r="AO46" s="3" t="s">
        <v>119</v>
      </c>
      <c r="AP46" s="3" t="s">
        <v>120</v>
      </c>
      <c r="AQ46" s="3" t="s">
        <v>111</v>
      </c>
      <c r="AR46" s="3" t="s">
        <v>112</v>
      </c>
      <c r="AS46" s="3" t="s">
        <v>112</v>
      </c>
      <c r="AT46" s="3" t="s">
        <v>113</v>
      </c>
      <c r="AU46" s="3" t="s">
        <v>2303</v>
      </c>
      <c r="AV46" s="3" t="s">
        <v>2302</v>
      </c>
      <c r="AW46" s="3" t="s">
        <v>2301</v>
      </c>
      <c r="AX46" s="3" t="s">
        <v>2006</v>
      </c>
      <c r="AY46" s="19" t="s">
        <v>114</v>
      </c>
      <c r="AZ46" s="19" t="s">
        <v>114</v>
      </c>
      <c r="BA46" s="19" t="s">
        <v>114</v>
      </c>
      <c r="BB46" s="19" t="s">
        <v>114</v>
      </c>
      <c r="BC46" s="19" t="s">
        <v>114</v>
      </c>
      <c r="BD46" s="19" t="s">
        <v>114</v>
      </c>
      <c r="BE46" s="19" t="s">
        <v>114</v>
      </c>
      <c r="BF46" s="19" t="s">
        <v>114</v>
      </c>
      <c r="BG46" s="19" t="s">
        <v>114</v>
      </c>
      <c r="BH46" s="19" t="s">
        <v>114</v>
      </c>
      <c r="BI46" s="19" t="s">
        <v>114</v>
      </c>
      <c r="BJ46" s="19" t="s">
        <v>114</v>
      </c>
      <c r="BK46" s="19" t="s">
        <v>114</v>
      </c>
      <c r="BL46" s="19" t="s">
        <v>114</v>
      </c>
      <c r="BM46" s="19" t="s">
        <v>114</v>
      </c>
      <c r="BN46" s="19" t="s">
        <v>114</v>
      </c>
      <c r="BO46" s="19" t="s">
        <v>114</v>
      </c>
      <c r="BP46" s="19" t="s">
        <v>114</v>
      </c>
      <c r="BQ46" s="19" t="s">
        <v>114</v>
      </c>
      <c r="BR46" s="19" t="s">
        <v>114</v>
      </c>
      <c r="BS46" s="19" t="s">
        <v>114</v>
      </c>
      <c r="BT46" s="19" t="s">
        <v>114</v>
      </c>
      <c r="BU46" s="19" t="s">
        <v>114</v>
      </c>
      <c r="BV46" s="19" t="s">
        <v>114</v>
      </c>
      <c r="BW46" s="19" t="s">
        <v>114</v>
      </c>
      <c r="BX46" s="19" t="s">
        <v>114</v>
      </c>
      <c r="BY46" s="19" t="s">
        <v>114</v>
      </c>
      <c r="BZ46" s="21" t="s">
        <v>114</v>
      </c>
      <c r="CA46" s="21" t="s">
        <v>114</v>
      </c>
      <c r="CB46" s="21" t="s">
        <v>114</v>
      </c>
      <c r="CC46" s="21" t="s">
        <v>114</v>
      </c>
      <c r="CD46" s="21" t="s">
        <v>114</v>
      </c>
      <c r="CE46" s="21" t="s">
        <v>114</v>
      </c>
      <c r="CF46" s="19" t="s">
        <v>114</v>
      </c>
      <c r="CG46" s="19">
        <v>98300</v>
      </c>
      <c r="CH46" s="19" t="s">
        <v>114</v>
      </c>
      <c r="CI46" s="21">
        <v>98302</v>
      </c>
      <c r="CJ46" s="21" t="s">
        <v>114</v>
      </c>
      <c r="CK46" s="21" t="s">
        <v>114</v>
      </c>
      <c r="CL46" s="21" t="s">
        <v>114</v>
      </c>
      <c r="CM46" s="21" t="s">
        <v>114</v>
      </c>
      <c r="CN46" s="21" t="s">
        <v>114</v>
      </c>
      <c r="CO46" s="21" t="s">
        <v>114</v>
      </c>
      <c r="CP46" s="21" t="s">
        <v>114</v>
      </c>
      <c r="CQ46" s="21" t="s">
        <v>114</v>
      </c>
      <c r="CR46" s="21" t="s">
        <v>114</v>
      </c>
      <c r="CS46" s="21" t="s">
        <v>114</v>
      </c>
      <c r="CT46" s="21" t="s">
        <v>114</v>
      </c>
      <c r="CU46" s="21" t="s">
        <v>114</v>
      </c>
      <c r="CV46" s="21">
        <v>98424</v>
      </c>
      <c r="CW46" s="21" t="s">
        <v>114</v>
      </c>
      <c r="CX46" s="21" t="s">
        <v>114</v>
      </c>
      <c r="CY46" s="21" t="s">
        <v>114</v>
      </c>
      <c r="CZ46" s="21" t="s">
        <v>114</v>
      </c>
      <c r="DA46" s="21" t="s">
        <v>114</v>
      </c>
      <c r="DB46" s="21" t="s">
        <v>114</v>
      </c>
      <c r="DC46" s="21" t="s">
        <v>114</v>
      </c>
      <c r="DD46" s="21" t="s">
        <v>114</v>
      </c>
      <c r="DE46" s="21" t="s">
        <v>114</v>
      </c>
      <c r="DF46" s="19" t="s">
        <v>114</v>
      </c>
      <c r="DG46" s="19" t="s">
        <v>114</v>
      </c>
      <c r="DH46" s="19" t="s">
        <v>114</v>
      </c>
      <c r="DI46" s="19" t="s">
        <v>114</v>
      </c>
      <c r="DJ46" s="19" t="s">
        <v>114</v>
      </c>
      <c r="DK46" s="19" t="s">
        <v>114</v>
      </c>
      <c r="DL46" s="19" t="s">
        <v>114</v>
      </c>
      <c r="DM46" s="19" t="s">
        <v>114</v>
      </c>
      <c r="DN46" s="19" t="s">
        <v>114</v>
      </c>
      <c r="DO46" s="19" t="s">
        <v>114</v>
      </c>
    </row>
    <row r="47" spans="1:119" hidden="1" x14ac:dyDescent="0.45">
      <c r="A47" s="2" t="s">
        <v>536</v>
      </c>
      <c r="B47" t="s">
        <v>537</v>
      </c>
      <c r="C47" s="2">
        <v>222</v>
      </c>
      <c r="D47" s="6">
        <v>315</v>
      </c>
      <c r="E47" s="2" t="s">
        <v>538</v>
      </c>
      <c r="F47" t="s">
        <v>538</v>
      </c>
      <c r="G47" t="s">
        <v>2060</v>
      </c>
      <c r="H47" s="2" t="s">
        <v>538</v>
      </c>
      <c r="I47" s="2" t="s">
        <v>538</v>
      </c>
      <c r="J47" s="2">
        <v>19</v>
      </c>
      <c r="K47" t="s">
        <v>157</v>
      </c>
      <c r="L47" s="2">
        <v>419</v>
      </c>
      <c r="M47" t="s">
        <v>174</v>
      </c>
      <c r="N47">
        <v>13</v>
      </c>
      <c r="O47" t="s">
        <v>267</v>
      </c>
      <c r="P47" s="2" t="s">
        <v>176</v>
      </c>
      <c r="Q47" s="2" t="s">
        <v>177</v>
      </c>
      <c r="R47" s="2">
        <v>419</v>
      </c>
      <c r="S47" s="4" t="s">
        <v>174</v>
      </c>
      <c r="T47" s="2">
        <v>419</v>
      </c>
      <c r="U47" s="4" t="s">
        <v>174</v>
      </c>
      <c r="V47" t="s">
        <v>2455</v>
      </c>
      <c r="W47" t="s">
        <v>2455</v>
      </c>
      <c r="X47" t="s">
        <v>2440</v>
      </c>
      <c r="Y47" t="s">
        <v>267</v>
      </c>
      <c r="Z47" t="s">
        <v>2469</v>
      </c>
      <c r="AA47" s="3" t="s">
        <v>267</v>
      </c>
      <c r="AB47" s="3" t="s">
        <v>2312</v>
      </c>
      <c r="AC47" s="2" t="s">
        <v>168</v>
      </c>
      <c r="AD47" s="4" t="s">
        <v>1891</v>
      </c>
      <c r="AE47" t="s">
        <v>104</v>
      </c>
      <c r="AF47" t="s">
        <v>1885</v>
      </c>
      <c r="AG47" t="s">
        <v>1884</v>
      </c>
      <c r="AH47" t="s">
        <v>105</v>
      </c>
      <c r="AI47" s="3" t="s">
        <v>178</v>
      </c>
      <c r="AJ47" s="3" t="s">
        <v>106</v>
      </c>
      <c r="AK47" s="3" t="s">
        <v>107</v>
      </c>
      <c r="AL47" s="5" t="s">
        <v>539</v>
      </c>
      <c r="AM47" s="5" t="s">
        <v>109</v>
      </c>
      <c r="AN47" t="s">
        <v>110</v>
      </c>
      <c r="AO47" s="3" t="s">
        <v>119</v>
      </c>
      <c r="AP47" s="3" t="s">
        <v>120</v>
      </c>
      <c r="AQ47" s="3" t="s">
        <v>111</v>
      </c>
      <c r="AR47" s="3" t="s">
        <v>112</v>
      </c>
      <c r="AS47" s="3" t="s">
        <v>112</v>
      </c>
      <c r="AT47" s="3" t="s">
        <v>113</v>
      </c>
      <c r="AU47" s="3" t="s">
        <v>2303</v>
      </c>
      <c r="AV47" s="3" t="s">
        <v>2302</v>
      </c>
      <c r="AW47" s="3" t="s">
        <v>2301</v>
      </c>
      <c r="AX47" s="3" t="s">
        <v>2006</v>
      </c>
      <c r="AY47" s="19" t="s">
        <v>114</v>
      </c>
      <c r="AZ47" s="19" t="s">
        <v>114</v>
      </c>
      <c r="BA47" s="19" t="s">
        <v>114</v>
      </c>
      <c r="BB47" s="19" t="s">
        <v>114</v>
      </c>
      <c r="BC47" s="19" t="s">
        <v>114</v>
      </c>
      <c r="BD47" s="19" t="s">
        <v>114</v>
      </c>
      <c r="BE47" s="19" t="s">
        <v>114</v>
      </c>
      <c r="BF47" s="19" t="s">
        <v>114</v>
      </c>
      <c r="BG47" s="19" t="s">
        <v>114</v>
      </c>
      <c r="BH47" s="19" t="s">
        <v>114</v>
      </c>
      <c r="BI47" s="19" t="s">
        <v>114</v>
      </c>
      <c r="BJ47" s="19" t="s">
        <v>114</v>
      </c>
      <c r="BK47" s="19" t="s">
        <v>114</v>
      </c>
      <c r="BL47" s="19" t="s">
        <v>114</v>
      </c>
      <c r="BM47" s="19" t="s">
        <v>114</v>
      </c>
      <c r="BN47" s="19" t="s">
        <v>114</v>
      </c>
      <c r="BO47" s="19" t="s">
        <v>114</v>
      </c>
      <c r="BP47" s="19" t="s">
        <v>114</v>
      </c>
      <c r="BQ47" s="19" t="s">
        <v>114</v>
      </c>
      <c r="BR47" s="19" t="s">
        <v>114</v>
      </c>
      <c r="BS47" s="19" t="s">
        <v>114</v>
      </c>
      <c r="BT47" s="19" t="s">
        <v>114</v>
      </c>
      <c r="BU47" s="19" t="s">
        <v>114</v>
      </c>
      <c r="BV47" s="19" t="s">
        <v>114</v>
      </c>
      <c r="BW47" s="19" t="s">
        <v>114</v>
      </c>
      <c r="BX47" s="19" t="s">
        <v>114</v>
      </c>
      <c r="BY47" s="19" t="s">
        <v>114</v>
      </c>
      <c r="BZ47" s="21" t="s">
        <v>114</v>
      </c>
      <c r="CA47" s="21" t="s">
        <v>114</v>
      </c>
      <c r="CB47" s="21" t="s">
        <v>114</v>
      </c>
      <c r="CC47" s="21" t="s">
        <v>114</v>
      </c>
      <c r="CD47" s="21" t="s">
        <v>114</v>
      </c>
      <c r="CE47" s="21" t="s">
        <v>114</v>
      </c>
      <c r="CF47" s="19" t="s">
        <v>114</v>
      </c>
      <c r="CG47" s="19">
        <v>98300</v>
      </c>
      <c r="CH47" s="19" t="s">
        <v>114</v>
      </c>
      <c r="CI47" s="21">
        <v>98302</v>
      </c>
      <c r="CJ47" s="21" t="s">
        <v>114</v>
      </c>
      <c r="CK47" s="21" t="s">
        <v>114</v>
      </c>
      <c r="CL47" s="21" t="s">
        <v>114</v>
      </c>
      <c r="CM47" s="21" t="s">
        <v>114</v>
      </c>
      <c r="CN47" s="21" t="s">
        <v>114</v>
      </c>
      <c r="CO47" s="21" t="s">
        <v>114</v>
      </c>
      <c r="CP47" s="21" t="s">
        <v>114</v>
      </c>
      <c r="CQ47" s="21" t="s">
        <v>114</v>
      </c>
      <c r="CR47" s="21" t="s">
        <v>114</v>
      </c>
      <c r="CS47" s="21" t="s">
        <v>114</v>
      </c>
      <c r="CT47" s="21" t="s">
        <v>114</v>
      </c>
      <c r="CU47" s="21" t="s">
        <v>114</v>
      </c>
      <c r="CV47" s="21">
        <v>98424</v>
      </c>
      <c r="CW47" s="21" t="s">
        <v>114</v>
      </c>
      <c r="CX47" s="21" t="s">
        <v>114</v>
      </c>
      <c r="CY47" s="21" t="s">
        <v>114</v>
      </c>
      <c r="CZ47" s="21" t="s">
        <v>114</v>
      </c>
      <c r="DA47" s="21" t="s">
        <v>114</v>
      </c>
      <c r="DB47" s="21" t="s">
        <v>114</v>
      </c>
      <c r="DC47" s="21" t="s">
        <v>114</v>
      </c>
      <c r="DD47" s="21" t="s">
        <v>114</v>
      </c>
      <c r="DE47" s="21" t="s">
        <v>114</v>
      </c>
      <c r="DF47" s="19" t="s">
        <v>114</v>
      </c>
      <c r="DG47" s="19" t="s">
        <v>114</v>
      </c>
      <c r="DH47" s="19" t="s">
        <v>114</v>
      </c>
      <c r="DI47" s="19" t="s">
        <v>114</v>
      </c>
      <c r="DJ47" s="19" t="s">
        <v>114</v>
      </c>
      <c r="DK47" s="19" t="s">
        <v>114</v>
      </c>
      <c r="DL47" s="19" t="s">
        <v>114</v>
      </c>
      <c r="DM47" s="19" t="s">
        <v>114</v>
      </c>
      <c r="DN47" s="19" t="s">
        <v>114</v>
      </c>
      <c r="DO47" s="19" t="s">
        <v>114</v>
      </c>
    </row>
    <row r="48" spans="1:119" hidden="1" x14ac:dyDescent="0.45">
      <c r="A48" s="2" t="s">
        <v>666</v>
      </c>
      <c r="B48" t="s">
        <v>667</v>
      </c>
      <c r="C48" s="2">
        <v>320</v>
      </c>
      <c r="D48" s="6">
        <v>318</v>
      </c>
      <c r="E48" s="2" t="s">
        <v>668</v>
      </c>
      <c r="F48" t="s">
        <v>668</v>
      </c>
      <c r="G48" t="s">
        <v>2074</v>
      </c>
      <c r="H48" s="2" t="s">
        <v>668</v>
      </c>
      <c r="I48" s="2" t="s">
        <v>668</v>
      </c>
      <c r="J48" s="2">
        <v>19</v>
      </c>
      <c r="K48" t="s">
        <v>157</v>
      </c>
      <c r="L48" s="2">
        <v>419</v>
      </c>
      <c r="M48" t="s">
        <v>174</v>
      </c>
      <c r="N48">
        <v>13</v>
      </c>
      <c r="O48" t="s">
        <v>267</v>
      </c>
      <c r="P48" s="2" t="s">
        <v>176</v>
      </c>
      <c r="Q48" s="2" t="s">
        <v>177</v>
      </c>
      <c r="R48" s="2">
        <v>419</v>
      </c>
      <c r="S48" s="4" t="s">
        <v>174</v>
      </c>
      <c r="T48" s="2">
        <v>419</v>
      </c>
      <c r="U48" s="4" t="s">
        <v>174</v>
      </c>
      <c r="V48" t="s">
        <v>2455</v>
      </c>
      <c r="W48" t="s">
        <v>2455</v>
      </c>
      <c r="X48" t="s">
        <v>2440</v>
      </c>
      <c r="Y48" t="s">
        <v>267</v>
      </c>
      <c r="Z48" t="s">
        <v>2469</v>
      </c>
      <c r="AA48" s="3" t="s">
        <v>267</v>
      </c>
      <c r="AB48" s="3" t="s">
        <v>2312</v>
      </c>
      <c r="AC48" s="2" t="s">
        <v>138</v>
      </c>
      <c r="AD48" s="4" t="s">
        <v>1891</v>
      </c>
      <c r="AE48" t="s">
        <v>104</v>
      </c>
      <c r="AF48" t="s">
        <v>1885</v>
      </c>
      <c r="AG48" t="s">
        <v>1884</v>
      </c>
      <c r="AH48" t="s">
        <v>105</v>
      </c>
      <c r="AI48" s="3" t="s">
        <v>178</v>
      </c>
      <c r="AJ48" s="3" t="s">
        <v>106</v>
      </c>
      <c r="AK48" s="3" t="s">
        <v>107</v>
      </c>
      <c r="AL48" s="5" t="s">
        <v>669</v>
      </c>
      <c r="AM48" s="5" t="s">
        <v>109</v>
      </c>
      <c r="AO48" s="3" t="s">
        <v>119</v>
      </c>
      <c r="AP48" s="3" t="s">
        <v>120</v>
      </c>
      <c r="AQ48" s="3" t="s">
        <v>111</v>
      </c>
      <c r="AR48" s="3" t="s">
        <v>112</v>
      </c>
      <c r="AS48" s="3" t="s">
        <v>112</v>
      </c>
      <c r="AT48" s="3" t="s">
        <v>113</v>
      </c>
      <c r="AU48" s="3" t="s">
        <v>2303</v>
      </c>
      <c r="AV48" s="3" t="s">
        <v>2302</v>
      </c>
      <c r="AW48" s="3" t="s">
        <v>2301</v>
      </c>
      <c r="AX48" s="3" t="s">
        <v>2006</v>
      </c>
      <c r="AY48" s="19" t="s">
        <v>114</v>
      </c>
      <c r="AZ48" s="19" t="s">
        <v>114</v>
      </c>
      <c r="BA48" s="19" t="s">
        <v>114</v>
      </c>
      <c r="BB48" s="19" t="s">
        <v>114</v>
      </c>
      <c r="BC48" s="19" t="s">
        <v>114</v>
      </c>
      <c r="BD48" s="19" t="s">
        <v>114</v>
      </c>
      <c r="BE48" s="19" t="s">
        <v>114</v>
      </c>
      <c r="BF48" s="19" t="s">
        <v>114</v>
      </c>
      <c r="BG48" s="19" t="s">
        <v>114</v>
      </c>
      <c r="BH48" s="19" t="s">
        <v>114</v>
      </c>
      <c r="BI48" s="19" t="s">
        <v>114</v>
      </c>
      <c r="BJ48" s="19" t="s">
        <v>114</v>
      </c>
      <c r="BK48" s="19" t="s">
        <v>114</v>
      </c>
      <c r="BL48" s="19" t="s">
        <v>114</v>
      </c>
      <c r="BM48" s="19" t="s">
        <v>114</v>
      </c>
      <c r="BN48" s="19" t="s">
        <v>114</v>
      </c>
      <c r="BO48" s="19" t="s">
        <v>114</v>
      </c>
      <c r="BP48" s="19" t="s">
        <v>114</v>
      </c>
      <c r="BQ48" s="19" t="s">
        <v>114</v>
      </c>
      <c r="BR48" s="19" t="s">
        <v>114</v>
      </c>
      <c r="BS48" s="19" t="s">
        <v>114</v>
      </c>
      <c r="BT48" s="19" t="s">
        <v>114</v>
      </c>
      <c r="BU48" s="19" t="s">
        <v>114</v>
      </c>
      <c r="BV48" s="19" t="s">
        <v>114</v>
      </c>
      <c r="BW48" s="19" t="s">
        <v>114</v>
      </c>
      <c r="BX48" s="19" t="s">
        <v>114</v>
      </c>
      <c r="BY48" s="19" t="s">
        <v>114</v>
      </c>
      <c r="BZ48" s="21" t="s">
        <v>114</v>
      </c>
      <c r="CA48" s="21" t="s">
        <v>114</v>
      </c>
      <c r="CB48" s="21" t="s">
        <v>114</v>
      </c>
      <c r="CC48" s="21" t="s">
        <v>114</v>
      </c>
      <c r="CD48" s="21" t="s">
        <v>114</v>
      </c>
      <c r="CE48" s="21" t="s">
        <v>114</v>
      </c>
      <c r="CF48" s="19" t="s">
        <v>114</v>
      </c>
      <c r="CG48" s="19">
        <v>98300</v>
      </c>
      <c r="CH48" s="19" t="s">
        <v>114</v>
      </c>
      <c r="CI48" s="21">
        <v>98302</v>
      </c>
      <c r="CJ48" s="21" t="s">
        <v>114</v>
      </c>
      <c r="CK48" s="21" t="s">
        <v>114</v>
      </c>
      <c r="CL48" s="21" t="s">
        <v>114</v>
      </c>
      <c r="CM48" s="21" t="s">
        <v>114</v>
      </c>
      <c r="CN48" s="21" t="s">
        <v>114</v>
      </c>
      <c r="CO48" s="21" t="s">
        <v>114</v>
      </c>
      <c r="CP48" s="21" t="s">
        <v>114</v>
      </c>
      <c r="CQ48" s="21" t="s">
        <v>114</v>
      </c>
      <c r="CR48" s="21" t="s">
        <v>114</v>
      </c>
      <c r="CS48" s="21" t="s">
        <v>114</v>
      </c>
      <c r="CT48" s="21" t="s">
        <v>114</v>
      </c>
      <c r="CU48" s="21" t="s">
        <v>114</v>
      </c>
      <c r="CV48" s="21">
        <v>98424</v>
      </c>
      <c r="CW48" s="21" t="s">
        <v>114</v>
      </c>
      <c r="CX48" s="21" t="s">
        <v>114</v>
      </c>
      <c r="CY48" s="21" t="s">
        <v>114</v>
      </c>
      <c r="CZ48" s="21" t="s">
        <v>114</v>
      </c>
      <c r="DA48" s="21" t="s">
        <v>114</v>
      </c>
      <c r="DB48" s="21" t="s">
        <v>114</v>
      </c>
      <c r="DC48" s="21" t="s">
        <v>114</v>
      </c>
      <c r="DD48" s="21" t="s">
        <v>114</v>
      </c>
      <c r="DE48" s="21" t="s">
        <v>114</v>
      </c>
      <c r="DF48" s="19" t="s">
        <v>114</v>
      </c>
      <c r="DG48" s="19" t="s">
        <v>114</v>
      </c>
      <c r="DH48" s="19" t="s">
        <v>114</v>
      </c>
      <c r="DI48" s="19" t="s">
        <v>114</v>
      </c>
      <c r="DJ48" s="19" t="s">
        <v>114</v>
      </c>
      <c r="DK48" s="19" t="s">
        <v>114</v>
      </c>
      <c r="DL48" s="19" t="s">
        <v>114</v>
      </c>
      <c r="DM48" s="19" t="s">
        <v>114</v>
      </c>
      <c r="DN48" s="19" t="s">
        <v>114</v>
      </c>
      <c r="DO48" s="19" t="s">
        <v>114</v>
      </c>
    </row>
    <row r="49" spans="1:119" hidden="1" x14ac:dyDescent="0.45">
      <c r="A49" s="2" t="s">
        <v>704</v>
      </c>
      <c r="B49" t="s">
        <v>705</v>
      </c>
      <c r="C49" s="2">
        <v>340</v>
      </c>
      <c r="D49" s="6">
        <v>320</v>
      </c>
      <c r="E49" s="2" t="s">
        <v>706</v>
      </c>
      <c r="F49" t="s">
        <v>706</v>
      </c>
      <c r="G49" t="s">
        <v>2079</v>
      </c>
      <c r="H49" s="2" t="s">
        <v>706</v>
      </c>
      <c r="I49" s="2" t="s">
        <v>706</v>
      </c>
      <c r="J49" s="2">
        <v>19</v>
      </c>
      <c r="K49" t="s">
        <v>157</v>
      </c>
      <c r="L49" s="2">
        <v>419</v>
      </c>
      <c r="M49" t="s">
        <v>174</v>
      </c>
      <c r="N49">
        <v>13</v>
      </c>
      <c r="O49" t="s">
        <v>267</v>
      </c>
      <c r="P49" s="2" t="s">
        <v>176</v>
      </c>
      <c r="Q49" s="2" t="s">
        <v>177</v>
      </c>
      <c r="R49" s="2">
        <v>419</v>
      </c>
      <c r="S49" s="4" t="s">
        <v>174</v>
      </c>
      <c r="T49" s="2">
        <v>419</v>
      </c>
      <c r="U49" s="4" t="s">
        <v>174</v>
      </c>
      <c r="V49" t="s">
        <v>2455</v>
      </c>
      <c r="W49" t="s">
        <v>2455</v>
      </c>
      <c r="X49" t="s">
        <v>2440</v>
      </c>
      <c r="Y49" t="s">
        <v>267</v>
      </c>
      <c r="Z49" t="s">
        <v>2469</v>
      </c>
      <c r="AA49" s="3" t="s">
        <v>267</v>
      </c>
      <c r="AB49" s="3" t="s">
        <v>2312</v>
      </c>
      <c r="AC49" s="2" t="s">
        <v>168</v>
      </c>
      <c r="AD49" s="2" t="s">
        <v>1890</v>
      </c>
      <c r="AE49" t="s">
        <v>104</v>
      </c>
      <c r="AF49" t="s">
        <v>1885</v>
      </c>
      <c r="AG49" t="s">
        <v>1884</v>
      </c>
      <c r="AH49" t="s">
        <v>105</v>
      </c>
      <c r="AI49" s="3" t="s">
        <v>178</v>
      </c>
      <c r="AJ49" s="3" t="s">
        <v>106</v>
      </c>
      <c r="AK49" s="3" t="s">
        <v>107</v>
      </c>
      <c r="AL49" s="5" t="s">
        <v>707</v>
      </c>
      <c r="AM49" s="5" t="s">
        <v>109</v>
      </c>
      <c r="AO49" s="3" t="s">
        <v>119</v>
      </c>
      <c r="AP49" s="3" t="s">
        <v>120</v>
      </c>
      <c r="AQ49" s="3" t="s">
        <v>111</v>
      </c>
      <c r="AR49" s="3" t="s">
        <v>112</v>
      </c>
      <c r="AS49" s="3" t="s">
        <v>112</v>
      </c>
      <c r="AT49" t="s">
        <v>191</v>
      </c>
      <c r="AU49" s="3" t="s">
        <v>2303</v>
      </c>
      <c r="AV49" s="3" t="s">
        <v>2302</v>
      </c>
      <c r="AW49" s="3" t="s">
        <v>2301</v>
      </c>
      <c r="AX49" s="3" t="s">
        <v>2006</v>
      </c>
      <c r="AY49" s="19" t="s">
        <v>114</v>
      </c>
      <c r="AZ49" s="19" t="s">
        <v>114</v>
      </c>
      <c r="BA49" s="19" t="s">
        <v>114</v>
      </c>
      <c r="BB49" s="19" t="s">
        <v>114</v>
      </c>
      <c r="BC49" s="19" t="s">
        <v>114</v>
      </c>
      <c r="BD49" s="19" t="s">
        <v>114</v>
      </c>
      <c r="BE49" s="19" t="s">
        <v>114</v>
      </c>
      <c r="BF49" s="19" t="s">
        <v>114</v>
      </c>
      <c r="BG49" s="19" t="s">
        <v>114</v>
      </c>
      <c r="BH49" s="19" t="s">
        <v>114</v>
      </c>
      <c r="BI49" s="19" t="s">
        <v>114</v>
      </c>
      <c r="BJ49" s="19" t="s">
        <v>114</v>
      </c>
      <c r="BK49" s="19" t="s">
        <v>114</v>
      </c>
      <c r="BL49" s="19" t="s">
        <v>114</v>
      </c>
      <c r="BM49" s="19" t="s">
        <v>114</v>
      </c>
      <c r="BN49" s="19" t="s">
        <v>114</v>
      </c>
      <c r="BO49" s="19" t="s">
        <v>114</v>
      </c>
      <c r="BP49" s="19" t="s">
        <v>114</v>
      </c>
      <c r="BQ49" s="19" t="s">
        <v>114</v>
      </c>
      <c r="BR49" s="19" t="s">
        <v>114</v>
      </c>
      <c r="BS49" s="19" t="s">
        <v>114</v>
      </c>
      <c r="BT49" s="19" t="s">
        <v>114</v>
      </c>
      <c r="BU49" s="19" t="s">
        <v>114</v>
      </c>
      <c r="BV49" s="19" t="s">
        <v>114</v>
      </c>
      <c r="BW49" s="19" t="s">
        <v>114</v>
      </c>
      <c r="BX49" s="19" t="s">
        <v>114</v>
      </c>
      <c r="BY49" s="19" t="s">
        <v>114</v>
      </c>
      <c r="BZ49" s="21" t="s">
        <v>114</v>
      </c>
      <c r="CA49" s="21" t="s">
        <v>114</v>
      </c>
      <c r="CB49" s="21" t="s">
        <v>114</v>
      </c>
      <c r="CC49" s="21" t="s">
        <v>114</v>
      </c>
      <c r="CD49" s="21" t="s">
        <v>114</v>
      </c>
      <c r="CE49" s="21" t="s">
        <v>114</v>
      </c>
      <c r="CF49" s="19" t="s">
        <v>114</v>
      </c>
      <c r="CG49" s="19">
        <v>98300</v>
      </c>
      <c r="CH49" s="19" t="s">
        <v>114</v>
      </c>
      <c r="CI49" s="21">
        <v>98302</v>
      </c>
      <c r="CJ49" s="21" t="s">
        <v>114</v>
      </c>
      <c r="CK49" s="21" t="s">
        <v>114</v>
      </c>
      <c r="CL49" s="21" t="s">
        <v>114</v>
      </c>
      <c r="CM49" s="21" t="s">
        <v>114</v>
      </c>
      <c r="CN49" s="21" t="s">
        <v>114</v>
      </c>
      <c r="CO49" s="21" t="s">
        <v>114</v>
      </c>
      <c r="CP49" s="21" t="s">
        <v>114</v>
      </c>
      <c r="CQ49" s="21" t="s">
        <v>114</v>
      </c>
      <c r="CR49" s="21" t="s">
        <v>114</v>
      </c>
      <c r="CS49" s="21" t="s">
        <v>114</v>
      </c>
      <c r="CT49" s="21" t="s">
        <v>114</v>
      </c>
      <c r="CU49" s="21" t="s">
        <v>114</v>
      </c>
      <c r="CV49" s="21">
        <v>98424</v>
      </c>
      <c r="CW49" s="21" t="s">
        <v>114</v>
      </c>
      <c r="CX49" s="21" t="s">
        <v>114</v>
      </c>
      <c r="CY49" s="21" t="s">
        <v>114</v>
      </c>
      <c r="CZ49" s="21" t="s">
        <v>114</v>
      </c>
      <c r="DA49" s="21" t="s">
        <v>114</v>
      </c>
      <c r="DB49" s="21" t="s">
        <v>114</v>
      </c>
      <c r="DC49" s="21" t="s">
        <v>114</v>
      </c>
      <c r="DD49" s="21" t="s">
        <v>114</v>
      </c>
      <c r="DE49" s="21" t="s">
        <v>114</v>
      </c>
      <c r="DF49" s="19" t="s">
        <v>114</v>
      </c>
      <c r="DG49" s="19" t="s">
        <v>114</v>
      </c>
      <c r="DH49" s="19" t="s">
        <v>114</v>
      </c>
      <c r="DI49" s="19" t="s">
        <v>114</v>
      </c>
      <c r="DJ49" s="19" t="s">
        <v>114</v>
      </c>
      <c r="DK49" s="19" t="s">
        <v>114</v>
      </c>
      <c r="DL49" s="19" t="s">
        <v>114</v>
      </c>
      <c r="DM49" s="19" t="s">
        <v>114</v>
      </c>
      <c r="DN49" s="19" t="s">
        <v>114</v>
      </c>
      <c r="DO49" s="19" t="s">
        <v>114</v>
      </c>
    </row>
    <row r="50" spans="1:119" hidden="1" x14ac:dyDescent="0.45">
      <c r="A50" s="2" t="s">
        <v>975</v>
      </c>
      <c r="B50" t="s">
        <v>976</v>
      </c>
      <c r="C50" s="2">
        <v>558</v>
      </c>
      <c r="D50" s="6">
        <v>324</v>
      </c>
      <c r="E50" s="2" t="s">
        <v>977</v>
      </c>
      <c r="F50" t="s">
        <v>977</v>
      </c>
      <c r="G50" t="s">
        <v>2118</v>
      </c>
      <c r="H50" s="2" t="s">
        <v>977</v>
      </c>
      <c r="I50" s="2" t="s">
        <v>977</v>
      </c>
      <c r="J50" s="2">
        <v>19</v>
      </c>
      <c r="K50" t="s">
        <v>157</v>
      </c>
      <c r="L50" s="2">
        <v>419</v>
      </c>
      <c r="M50" t="s">
        <v>174</v>
      </c>
      <c r="N50">
        <v>13</v>
      </c>
      <c r="O50" t="s">
        <v>267</v>
      </c>
      <c r="P50" s="2" t="s">
        <v>176</v>
      </c>
      <c r="Q50" s="2" t="s">
        <v>177</v>
      </c>
      <c r="R50" s="2">
        <v>419</v>
      </c>
      <c r="S50" s="4" t="s">
        <v>174</v>
      </c>
      <c r="T50" s="2">
        <v>419</v>
      </c>
      <c r="U50" s="4" t="s">
        <v>174</v>
      </c>
      <c r="V50" t="s">
        <v>2455</v>
      </c>
      <c r="W50" t="s">
        <v>2455</v>
      </c>
      <c r="X50" t="s">
        <v>2440</v>
      </c>
      <c r="Y50" t="s">
        <v>267</v>
      </c>
      <c r="Z50" t="s">
        <v>2469</v>
      </c>
      <c r="AA50" s="3" t="s">
        <v>267</v>
      </c>
      <c r="AB50" s="3" t="s">
        <v>2312</v>
      </c>
      <c r="AC50" s="2" t="s">
        <v>168</v>
      </c>
      <c r="AD50" s="2" t="s">
        <v>1890</v>
      </c>
      <c r="AE50" t="s">
        <v>104</v>
      </c>
      <c r="AF50" t="s">
        <v>1885</v>
      </c>
      <c r="AG50" t="s">
        <v>1884</v>
      </c>
      <c r="AH50" t="s">
        <v>105</v>
      </c>
      <c r="AI50" s="3" t="s">
        <v>178</v>
      </c>
      <c r="AJ50" s="3" t="s">
        <v>106</v>
      </c>
      <c r="AK50" s="3" t="s">
        <v>107</v>
      </c>
      <c r="AL50" s="5" t="s">
        <v>978</v>
      </c>
      <c r="AM50" s="5" t="s">
        <v>109</v>
      </c>
      <c r="AO50" s="3" t="s">
        <v>119</v>
      </c>
      <c r="AP50" s="3" t="s">
        <v>120</v>
      </c>
      <c r="AQ50" s="3" t="s">
        <v>111</v>
      </c>
      <c r="AR50" s="3" t="s">
        <v>112</v>
      </c>
      <c r="AS50" s="3" t="s">
        <v>112</v>
      </c>
      <c r="AT50" s="3" t="s">
        <v>113</v>
      </c>
      <c r="AU50" s="3" t="s">
        <v>2303</v>
      </c>
      <c r="AV50" s="3" t="s">
        <v>2302</v>
      </c>
      <c r="AW50" s="3" t="s">
        <v>2301</v>
      </c>
      <c r="AX50" s="3" t="s">
        <v>2006</v>
      </c>
      <c r="AY50" s="19" t="s">
        <v>114</v>
      </c>
      <c r="AZ50" s="19" t="s">
        <v>114</v>
      </c>
      <c r="BA50" s="19" t="s">
        <v>114</v>
      </c>
      <c r="BB50" s="19" t="s">
        <v>114</v>
      </c>
      <c r="BC50" s="19" t="s">
        <v>114</v>
      </c>
      <c r="BD50" s="19" t="s">
        <v>114</v>
      </c>
      <c r="BE50" s="19" t="s">
        <v>114</v>
      </c>
      <c r="BF50" s="19" t="s">
        <v>114</v>
      </c>
      <c r="BG50" s="19" t="s">
        <v>114</v>
      </c>
      <c r="BH50" s="19" t="s">
        <v>114</v>
      </c>
      <c r="BI50" s="19" t="s">
        <v>114</v>
      </c>
      <c r="BJ50" s="19" t="s">
        <v>114</v>
      </c>
      <c r="BK50" s="19" t="s">
        <v>114</v>
      </c>
      <c r="BL50" s="19" t="s">
        <v>114</v>
      </c>
      <c r="BM50" s="19" t="s">
        <v>114</v>
      </c>
      <c r="BN50" s="19" t="s">
        <v>114</v>
      </c>
      <c r="BO50" s="19" t="s">
        <v>114</v>
      </c>
      <c r="BP50" s="19" t="s">
        <v>114</v>
      </c>
      <c r="BQ50" s="19" t="s">
        <v>114</v>
      </c>
      <c r="BR50" s="19" t="s">
        <v>114</v>
      </c>
      <c r="BS50" s="19" t="s">
        <v>114</v>
      </c>
      <c r="BT50" s="19" t="s">
        <v>114</v>
      </c>
      <c r="BU50" s="19" t="s">
        <v>114</v>
      </c>
      <c r="BV50" s="19" t="s">
        <v>114</v>
      </c>
      <c r="BW50" s="19" t="s">
        <v>114</v>
      </c>
      <c r="BX50" s="19" t="s">
        <v>114</v>
      </c>
      <c r="BY50" s="19" t="s">
        <v>114</v>
      </c>
      <c r="BZ50" s="21" t="s">
        <v>114</v>
      </c>
      <c r="CA50" s="21" t="s">
        <v>114</v>
      </c>
      <c r="CB50" s="21" t="s">
        <v>114</v>
      </c>
      <c r="CC50" s="21" t="s">
        <v>114</v>
      </c>
      <c r="CD50" s="21" t="s">
        <v>114</v>
      </c>
      <c r="CE50" s="21" t="s">
        <v>114</v>
      </c>
      <c r="CF50" s="19" t="s">
        <v>114</v>
      </c>
      <c r="CG50" s="19">
        <v>98300</v>
      </c>
      <c r="CH50" s="19" t="s">
        <v>114</v>
      </c>
      <c r="CI50" s="21">
        <v>98302</v>
      </c>
      <c r="CJ50" s="21" t="s">
        <v>114</v>
      </c>
      <c r="CK50" s="21" t="s">
        <v>114</v>
      </c>
      <c r="CL50" s="21" t="s">
        <v>114</v>
      </c>
      <c r="CM50" s="21" t="s">
        <v>114</v>
      </c>
      <c r="CN50" s="21" t="s">
        <v>114</v>
      </c>
      <c r="CO50" s="21" t="s">
        <v>114</v>
      </c>
      <c r="CP50" s="21" t="s">
        <v>114</v>
      </c>
      <c r="CQ50" s="21" t="s">
        <v>114</v>
      </c>
      <c r="CR50" s="21" t="s">
        <v>114</v>
      </c>
      <c r="CS50" s="21" t="s">
        <v>114</v>
      </c>
      <c r="CT50" s="21" t="s">
        <v>114</v>
      </c>
      <c r="CU50" s="21" t="s">
        <v>114</v>
      </c>
      <c r="CV50" s="21">
        <v>98424</v>
      </c>
      <c r="CW50" s="21" t="s">
        <v>114</v>
      </c>
      <c r="CX50" s="21" t="s">
        <v>114</v>
      </c>
      <c r="CY50" s="21" t="s">
        <v>114</v>
      </c>
      <c r="CZ50" s="21" t="s">
        <v>114</v>
      </c>
      <c r="DA50" s="21" t="s">
        <v>114</v>
      </c>
      <c r="DB50" s="21" t="s">
        <v>114</v>
      </c>
      <c r="DC50" s="21" t="s">
        <v>114</v>
      </c>
      <c r="DD50" s="21" t="s">
        <v>114</v>
      </c>
      <c r="DE50" s="21" t="s">
        <v>114</v>
      </c>
      <c r="DF50" s="19" t="s">
        <v>114</v>
      </c>
      <c r="DG50" s="19" t="s">
        <v>114</v>
      </c>
      <c r="DH50" s="19" t="s">
        <v>114</v>
      </c>
      <c r="DI50" s="19" t="s">
        <v>114</v>
      </c>
      <c r="DJ50" s="19" t="s">
        <v>114</v>
      </c>
      <c r="DK50" s="19" t="s">
        <v>114</v>
      </c>
      <c r="DL50" s="19" t="s">
        <v>114</v>
      </c>
      <c r="DM50" s="19" t="s">
        <v>114</v>
      </c>
      <c r="DN50" s="19" t="s">
        <v>114</v>
      </c>
      <c r="DO50" s="19" t="s">
        <v>114</v>
      </c>
    </row>
    <row r="51" spans="1:119" hidden="1" x14ac:dyDescent="0.45">
      <c r="A51" s="2" t="s">
        <v>1031</v>
      </c>
      <c r="B51" t="s">
        <v>1032</v>
      </c>
      <c r="C51" s="2">
        <v>591</v>
      </c>
      <c r="D51" s="6">
        <v>325</v>
      </c>
      <c r="E51" s="2" t="s">
        <v>1033</v>
      </c>
      <c r="F51" t="s">
        <v>1033</v>
      </c>
      <c r="G51" t="s">
        <v>2126</v>
      </c>
      <c r="H51" s="2" t="s">
        <v>1033</v>
      </c>
      <c r="I51" s="2" t="s">
        <v>1034</v>
      </c>
      <c r="J51" s="2">
        <v>19</v>
      </c>
      <c r="K51" t="s">
        <v>157</v>
      </c>
      <c r="L51" s="2">
        <v>419</v>
      </c>
      <c r="M51" t="s">
        <v>174</v>
      </c>
      <c r="N51">
        <v>13</v>
      </c>
      <c r="O51" t="s">
        <v>267</v>
      </c>
      <c r="P51" s="2" t="s">
        <v>176</v>
      </c>
      <c r="Q51" s="2" t="s">
        <v>177</v>
      </c>
      <c r="R51" s="2">
        <v>419</v>
      </c>
      <c r="S51" s="4" t="s">
        <v>174</v>
      </c>
      <c r="T51" s="2">
        <v>419</v>
      </c>
      <c r="U51" s="4" t="s">
        <v>174</v>
      </c>
      <c r="V51" t="s">
        <v>2455</v>
      </c>
      <c r="W51" t="s">
        <v>2455</v>
      </c>
      <c r="X51" t="s">
        <v>2440</v>
      </c>
      <c r="Y51" t="s">
        <v>267</v>
      </c>
      <c r="Z51" t="s">
        <v>2469</v>
      </c>
      <c r="AA51" s="3" t="s">
        <v>267</v>
      </c>
      <c r="AB51" s="3" t="s">
        <v>2312</v>
      </c>
      <c r="AC51" s="2" t="s">
        <v>130</v>
      </c>
      <c r="AD51" s="4" t="s">
        <v>1891</v>
      </c>
      <c r="AE51" t="s">
        <v>104</v>
      </c>
      <c r="AF51" t="s">
        <v>1885</v>
      </c>
      <c r="AG51" t="s">
        <v>1884</v>
      </c>
      <c r="AH51" t="s">
        <v>105</v>
      </c>
      <c r="AI51" s="3" t="s">
        <v>178</v>
      </c>
      <c r="AJ51" s="3" t="s">
        <v>106</v>
      </c>
      <c r="AK51" s="3" t="s">
        <v>107</v>
      </c>
      <c r="AL51" s="5" t="s">
        <v>1035</v>
      </c>
      <c r="AM51" s="5" t="s">
        <v>109</v>
      </c>
      <c r="AN51" t="s">
        <v>110</v>
      </c>
      <c r="AO51" s="3" t="s">
        <v>119</v>
      </c>
      <c r="AP51" s="3" t="s">
        <v>120</v>
      </c>
      <c r="AQ51" s="3" t="s">
        <v>111</v>
      </c>
      <c r="AR51" s="3" t="s">
        <v>112</v>
      </c>
      <c r="AS51" s="3" t="s">
        <v>112</v>
      </c>
      <c r="AT51" s="3" t="s">
        <v>113</v>
      </c>
      <c r="AU51" s="3" t="s">
        <v>2303</v>
      </c>
      <c r="AV51" s="3" t="s">
        <v>2302</v>
      </c>
      <c r="AW51" s="3" t="s">
        <v>2301</v>
      </c>
      <c r="AX51" s="3" t="s">
        <v>2006</v>
      </c>
      <c r="AY51" s="19" t="s">
        <v>114</v>
      </c>
      <c r="AZ51" s="19" t="s">
        <v>114</v>
      </c>
      <c r="BA51" s="19" t="s">
        <v>114</v>
      </c>
      <c r="BB51" s="19" t="s">
        <v>114</v>
      </c>
      <c r="BC51" s="19" t="s">
        <v>114</v>
      </c>
      <c r="BD51" s="19" t="s">
        <v>114</v>
      </c>
      <c r="BE51" s="19" t="s">
        <v>114</v>
      </c>
      <c r="BF51" s="19" t="s">
        <v>114</v>
      </c>
      <c r="BG51" s="19" t="s">
        <v>114</v>
      </c>
      <c r="BH51" s="19" t="s">
        <v>114</v>
      </c>
      <c r="BI51" s="19" t="s">
        <v>114</v>
      </c>
      <c r="BJ51" s="19" t="s">
        <v>114</v>
      </c>
      <c r="BK51" s="19" t="s">
        <v>114</v>
      </c>
      <c r="BL51" s="19" t="s">
        <v>114</v>
      </c>
      <c r="BM51" s="19" t="s">
        <v>114</v>
      </c>
      <c r="BN51" s="19" t="s">
        <v>114</v>
      </c>
      <c r="BO51" s="19" t="s">
        <v>114</v>
      </c>
      <c r="BP51" s="19" t="s">
        <v>114</v>
      </c>
      <c r="BQ51" s="19" t="s">
        <v>114</v>
      </c>
      <c r="BR51" s="19" t="s">
        <v>114</v>
      </c>
      <c r="BS51" s="19" t="s">
        <v>114</v>
      </c>
      <c r="BT51" s="19" t="s">
        <v>114</v>
      </c>
      <c r="BU51" s="19" t="s">
        <v>114</v>
      </c>
      <c r="BV51" s="19" t="s">
        <v>114</v>
      </c>
      <c r="BW51" s="19" t="s">
        <v>114</v>
      </c>
      <c r="BX51" s="19" t="s">
        <v>114</v>
      </c>
      <c r="BY51" s="19" t="s">
        <v>114</v>
      </c>
      <c r="BZ51" s="21" t="s">
        <v>114</v>
      </c>
      <c r="CA51" s="21" t="s">
        <v>114</v>
      </c>
      <c r="CB51" s="21" t="s">
        <v>114</v>
      </c>
      <c r="CC51" s="21" t="s">
        <v>114</v>
      </c>
      <c r="CD51" s="21" t="s">
        <v>114</v>
      </c>
      <c r="CE51" s="21" t="s">
        <v>114</v>
      </c>
      <c r="CF51" s="19" t="s">
        <v>114</v>
      </c>
      <c r="CG51" s="19">
        <v>98300</v>
      </c>
      <c r="CH51" s="19" t="s">
        <v>114</v>
      </c>
      <c r="CI51" s="21">
        <v>98302</v>
      </c>
      <c r="CJ51" s="21" t="s">
        <v>114</v>
      </c>
      <c r="CK51" s="21" t="s">
        <v>114</v>
      </c>
      <c r="CL51" s="21" t="s">
        <v>114</v>
      </c>
      <c r="CM51" s="21" t="s">
        <v>114</v>
      </c>
      <c r="CN51" s="21" t="s">
        <v>114</v>
      </c>
      <c r="CO51" s="21" t="s">
        <v>114</v>
      </c>
      <c r="CP51" s="21" t="s">
        <v>114</v>
      </c>
      <c r="CQ51" s="21" t="s">
        <v>114</v>
      </c>
      <c r="CR51" s="21" t="s">
        <v>114</v>
      </c>
      <c r="CS51" s="21" t="s">
        <v>114</v>
      </c>
      <c r="CT51" s="21" t="s">
        <v>114</v>
      </c>
      <c r="CU51" s="21" t="s">
        <v>114</v>
      </c>
      <c r="CV51" s="21">
        <v>98424</v>
      </c>
      <c r="CW51" s="21" t="s">
        <v>114</v>
      </c>
      <c r="CX51" s="21" t="s">
        <v>114</v>
      </c>
      <c r="CY51" s="21" t="s">
        <v>114</v>
      </c>
      <c r="CZ51" s="21" t="s">
        <v>114</v>
      </c>
      <c r="DA51" s="21" t="s">
        <v>114</v>
      </c>
      <c r="DB51" s="21" t="s">
        <v>114</v>
      </c>
      <c r="DC51" s="21" t="s">
        <v>114</v>
      </c>
      <c r="DD51" s="21" t="s">
        <v>114</v>
      </c>
      <c r="DE51" s="21" t="s">
        <v>114</v>
      </c>
      <c r="DF51" s="19" t="s">
        <v>114</v>
      </c>
      <c r="DG51" s="19" t="s">
        <v>114</v>
      </c>
      <c r="DH51" s="19" t="s">
        <v>114</v>
      </c>
      <c r="DI51" s="19" t="s">
        <v>114</v>
      </c>
      <c r="DJ51" s="19" t="s">
        <v>114</v>
      </c>
      <c r="DK51" s="19" t="s">
        <v>114</v>
      </c>
      <c r="DL51" s="19" t="s">
        <v>114</v>
      </c>
      <c r="DM51" s="19" t="s">
        <v>114</v>
      </c>
      <c r="DN51" s="19" t="s">
        <v>114</v>
      </c>
      <c r="DO51" s="19" t="s">
        <v>114</v>
      </c>
    </row>
    <row r="52" spans="1:119" hidden="1" x14ac:dyDescent="0.45">
      <c r="A52" s="2" t="s">
        <v>198</v>
      </c>
      <c r="B52" t="s">
        <v>199</v>
      </c>
      <c r="C52" s="2">
        <v>51</v>
      </c>
      <c r="D52" s="6">
        <v>401</v>
      </c>
      <c r="E52" s="2" t="s">
        <v>200</v>
      </c>
      <c r="F52" t="s">
        <v>200</v>
      </c>
      <c r="G52" t="s">
        <v>2021</v>
      </c>
      <c r="H52" s="2" t="s">
        <v>201</v>
      </c>
      <c r="I52" s="2" t="s">
        <v>200</v>
      </c>
      <c r="J52" s="2">
        <v>142</v>
      </c>
      <c r="K52" t="s">
        <v>100</v>
      </c>
      <c r="L52" s="2">
        <v>145</v>
      </c>
      <c r="M52" t="s">
        <v>202</v>
      </c>
      <c r="P52" s="2" t="s">
        <v>203</v>
      </c>
      <c r="Q52" s="2" t="s">
        <v>129</v>
      </c>
      <c r="R52" s="4">
        <v>747</v>
      </c>
      <c r="S52" s="4" t="s">
        <v>1446</v>
      </c>
      <c r="T52" s="2">
        <v>145</v>
      </c>
      <c r="U52" t="s">
        <v>202</v>
      </c>
      <c r="V52" t="s">
        <v>2456</v>
      </c>
      <c r="W52" t="s">
        <v>2456</v>
      </c>
      <c r="X52" t="s">
        <v>2440</v>
      </c>
      <c r="Y52" t="s">
        <v>202</v>
      </c>
      <c r="Z52" t="s">
        <v>1939</v>
      </c>
      <c r="AA52" s="3" t="s">
        <v>2755</v>
      </c>
      <c r="AB52" s="3" t="s">
        <v>2873</v>
      </c>
      <c r="AC52" s="2" t="s">
        <v>138</v>
      </c>
      <c r="AD52" s="4" t="s">
        <v>1891</v>
      </c>
      <c r="AE52" t="s">
        <v>104</v>
      </c>
      <c r="AF52" t="s">
        <v>1885</v>
      </c>
      <c r="AG52" t="s">
        <v>1884</v>
      </c>
      <c r="AH52" t="s">
        <v>105</v>
      </c>
      <c r="AI52" s="3" t="s">
        <v>105</v>
      </c>
      <c r="AJ52" s="3" t="s">
        <v>106</v>
      </c>
      <c r="AK52" s="3" t="s">
        <v>107</v>
      </c>
      <c r="AL52" s="5" t="s">
        <v>204</v>
      </c>
      <c r="AM52" s="5" t="s">
        <v>109</v>
      </c>
      <c r="AN52" t="s">
        <v>110</v>
      </c>
      <c r="AO52" s="3" t="s">
        <v>119</v>
      </c>
      <c r="AP52" s="3" t="s">
        <v>26</v>
      </c>
      <c r="AQ52" s="3" t="s">
        <v>111</v>
      </c>
      <c r="AR52" s="3" t="s">
        <v>112</v>
      </c>
      <c r="AS52" s="3" t="s">
        <v>112</v>
      </c>
      <c r="AT52" s="3" t="s">
        <v>113</v>
      </c>
      <c r="AU52" s="3" t="s">
        <v>2303</v>
      </c>
      <c r="AV52" s="3" t="s">
        <v>2302</v>
      </c>
      <c r="AW52" s="3" t="s">
        <v>2301</v>
      </c>
      <c r="AX52" s="3" t="s">
        <v>2006</v>
      </c>
      <c r="AY52" s="19" t="s">
        <v>114</v>
      </c>
      <c r="AZ52" s="19" t="s">
        <v>114</v>
      </c>
      <c r="BA52" s="19" t="s">
        <v>114</v>
      </c>
      <c r="BB52" s="19" t="s">
        <v>114</v>
      </c>
      <c r="BC52" s="19" t="s">
        <v>114</v>
      </c>
      <c r="BD52" s="19" t="s">
        <v>114</v>
      </c>
      <c r="BE52" s="19" t="s">
        <v>114</v>
      </c>
      <c r="BF52" s="19" t="s">
        <v>114</v>
      </c>
      <c r="BG52" s="19" t="s">
        <v>114</v>
      </c>
      <c r="BH52" s="19" t="s">
        <v>114</v>
      </c>
      <c r="BI52" s="19" t="s">
        <v>114</v>
      </c>
      <c r="BJ52" s="19" t="s">
        <v>114</v>
      </c>
      <c r="BK52" s="19" t="s">
        <v>114</v>
      </c>
      <c r="BL52" s="19" t="s">
        <v>114</v>
      </c>
      <c r="BM52" s="19" t="s">
        <v>114</v>
      </c>
      <c r="BN52" s="19" t="s">
        <v>114</v>
      </c>
      <c r="BO52" s="19" t="s">
        <v>114</v>
      </c>
      <c r="BP52" s="19" t="s">
        <v>114</v>
      </c>
      <c r="BQ52" s="19" t="s">
        <v>114</v>
      </c>
      <c r="BR52" s="19" t="s">
        <v>114</v>
      </c>
      <c r="BS52" s="19" t="s">
        <v>114</v>
      </c>
      <c r="BT52" s="19" t="s">
        <v>114</v>
      </c>
      <c r="BU52" s="19" t="s">
        <v>114</v>
      </c>
      <c r="BV52" s="19" t="s">
        <v>114</v>
      </c>
      <c r="BW52" s="19" t="s">
        <v>114</v>
      </c>
      <c r="BX52" s="19" t="s">
        <v>114</v>
      </c>
      <c r="BY52" s="19" t="s">
        <v>114</v>
      </c>
      <c r="BZ52" s="21">
        <v>98200</v>
      </c>
      <c r="CA52" s="21">
        <v>98201</v>
      </c>
      <c r="CB52" s="21">
        <v>98202</v>
      </c>
      <c r="CC52" s="21" t="s">
        <v>114</v>
      </c>
      <c r="CD52" s="21" t="s">
        <v>114</v>
      </c>
      <c r="CE52" s="21" t="s">
        <v>114</v>
      </c>
      <c r="CF52" s="19">
        <v>98206</v>
      </c>
      <c r="CG52" s="19" t="s">
        <v>114</v>
      </c>
      <c r="CH52" s="19" t="s">
        <v>114</v>
      </c>
      <c r="CI52" s="21" t="s">
        <v>114</v>
      </c>
      <c r="CJ52" s="21">
        <v>98400</v>
      </c>
      <c r="CK52" s="21" t="s">
        <v>114</v>
      </c>
      <c r="CL52" s="21" t="s">
        <v>114</v>
      </c>
      <c r="CM52" s="21" t="s">
        <v>114</v>
      </c>
      <c r="CN52" s="21" t="s">
        <v>114</v>
      </c>
      <c r="CO52" s="21" t="s">
        <v>114</v>
      </c>
      <c r="CP52" s="21">
        <v>98412</v>
      </c>
      <c r="CQ52" s="21">
        <v>98417</v>
      </c>
      <c r="CR52" s="21" t="s">
        <v>114</v>
      </c>
      <c r="CS52" s="21" t="s">
        <v>114</v>
      </c>
      <c r="CT52" s="21" t="s">
        <v>114</v>
      </c>
      <c r="CU52" s="21" t="s">
        <v>114</v>
      </c>
      <c r="CV52" s="21" t="s">
        <v>114</v>
      </c>
      <c r="CW52" s="21" t="s">
        <v>114</v>
      </c>
      <c r="CX52" s="21" t="s">
        <v>114</v>
      </c>
      <c r="CY52" s="21" t="s">
        <v>114</v>
      </c>
      <c r="CZ52" s="21" t="s">
        <v>114</v>
      </c>
      <c r="DA52" s="21">
        <v>98434</v>
      </c>
      <c r="DB52" s="21" t="s">
        <v>114</v>
      </c>
      <c r="DC52" s="21" t="s">
        <v>114</v>
      </c>
      <c r="DD52" s="21">
        <v>98437</v>
      </c>
      <c r="DE52" s="21" t="s">
        <v>114</v>
      </c>
      <c r="DF52" s="19" t="s">
        <v>114</v>
      </c>
      <c r="DG52" s="19" t="s">
        <v>114</v>
      </c>
      <c r="DH52" s="19" t="s">
        <v>114</v>
      </c>
      <c r="DI52" s="19" t="s">
        <v>114</v>
      </c>
      <c r="DJ52" s="19" t="s">
        <v>114</v>
      </c>
      <c r="DK52" s="19" t="s">
        <v>114</v>
      </c>
      <c r="DL52" s="19" t="s">
        <v>114</v>
      </c>
      <c r="DM52" s="19" t="s">
        <v>114</v>
      </c>
      <c r="DN52" s="19" t="s">
        <v>114</v>
      </c>
      <c r="DO52" s="19" t="s">
        <v>114</v>
      </c>
    </row>
    <row r="53" spans="1:119" hidden="1" x14ac:dyDescent="0.45">
      <c r="A53" s="2" t="s">
        <v>225</v>
      </c>
      <c r="B53" t="s">
        <v>226</v>
      </c>
      <c r="C53" s="2">
        <v>31</v>
      </c>
      <c r="D53" s="6">
        <v>402</v>
      </c>
      <c r="E53" s="2" t="s">
        <v>227</v>
      </c>
      <c r="F53" t="s">
        <v>227</v>
      </c>
      <c r="G53" t="s">
        <v>2023</v>
      </c>
      <c r="H53" s="2" t="s">
        <v>228</v>
      </c>
      <c r="I53" s="2" t="s">
        <v>229</v>
      </c>
      <c r="J53" s="2">
        <v>142</v>
      </c>
      <c r="K53" t="s">
        <v>100</v>
      </c>
      <c r="L53" s="2">
        <v>145</v>
      </c>
      <c r="M53" t="s">
        <v>202</v>
      </c>
      <c r="P53" s="2" t="s">
        <v>203</v>
      </c>
      <c r="Q53" s="2" t="s">
        <v>129</v>
      </c>
      <c r="R53" s="4">
        <v>747</v>
      </c>
      <c r="S53" s="4" t="s">
        <v>1446</v>
      </c>
      <c r="T53" s="2">
        <v>145</v>
      </c>
      <c r="U53" t="s">
        <v>202</v>
      </c>
      <c r="V53" t="s">
        <v>2454</v>
      </c>
      <c r="W53" t="s">
        <v>2454</v>
      </c>
      <c r="X53" t="s">
        <v>2440</v>
      </c>
      <c r="Y53" t="s">
        <v>202</v>
      </c>
      <c r="Z53" t="s">
        <v>1939</v>
      </c>
      <c r="AA53" s="3" t="s">
        <v>2755</v>
      </c>
      <c r="AB53" s="3" t="s">
        <v>2873</v>
      </c>
      <c r="AC53" s="2" t="s">
        <v>138</v>
      </c>
      <c r="AD53" s="4" t="s">
        <v>1891</v>
      </c>
      <c r="AE53" t="s">
        <v>104</v>
      </c>
      <c r="AF53" t="s">
        <v>1885</v>
      </c>
      <c r="AG53" t="s">
        <v>1884</v>
      </c>
      <c r="AH53" t="s">
        <v>105</v>
      </c>
      <c r="AI53" s="3" t="s">
        <v>105</v>
      </c>
      <c r="AJ53" s="3" t="s">
        <v>106</v>
      </c>
      <c r="AK53" s="3" t="s">
        <v>107</v>
      </c>
      <c r="AL53" s="5" t="s">
        <v>230</v>
      </c>
      <c r="AM53" s="5" t="s">
        <v>109</v>
      </c>
      <c r="AN53" t="s">
        <v>110</v>
      </c>
      <c r="AO53" s="3" t="s">
        <v>119</v>
      </c>
      <c r="AP53" s="3" t="s">
        <v>26</v>
      </c>
      <c r="AQ53" s="3" t="s">
        <v>111</v>
      </c>
      <c r="AR53" s="3" t="s">
        <v>112</v>
      </c>
      <c r="AS53" s="3" t="s">
        <v>112</v>
      </c>
      <c r="AT53" s="3" t="s">
        <v>113</v>
      </c>
      <c r="AU53" s="3" t="s">
        <v>2303</v>
      </c>
      <c r="AV53" s="3" t="s">
        <v>2302</v>
      </c>
      <c r="AW53" s="3" t="s">
        <v>2301</v>
      </c>
      <c r="AX53" s="3" t="s">
        <v>2006</v>
      </c>
      <c r="AY53" s="19" t="s">
        <v>114</v>
      </c>
      <c r="AZ53" s="19" t="s">
        <v>114</v>
      </c>
      <c r="BA53" s="19" t="s">
        <v>114</v>
      </c>
      <c r="BB53" s="19" t="s">
        <v>114</v>
      </c>
      <c r="BC53" s="19" t="s">
        <v>114</v>
      </c>
      <c r="BD53" s="19" t="s">
        <v>114</v>
      </c>
      <c r="BE53" s="19" t="s">
        <v>114</v>
      </c>
      <c r="BF53" s="19" t="s">
        <v>114</v>
      </c>
      <c r="BG53" s="19" t="s">
        <v>114</v>
      </c>
      <c r="BH53" s="19" t="s">
        <v>114</v>
      </c>
      <c r="BI53" s="19" t="s">
        <v>114</v>
      </c>
      <c r="BJ53" s="19" t="s">
        <v>114</v>
      </c>
      <c r="BK53" s="19" t="s">
        <v>114</v>
      </c>
      <c r="BL53" s="19" t="s">
        <v>114</v>
      </c>
      <c r="BM53" s="19" t="s">
        <v>114</v>
      </c>
      <c r="BN53" s="19" t="s">
        <v>114</v>
      </c>
      <c r="BO53" s="19" t="s">
        <v>114</v>
      </c>
      <c r="BP53" s="19" t="s">
        <v>114</v>
      </c>
      <c r="BQ53" s="19" t="s">
        <v>114</v>
      </c>
      <c r="BR53" s="19" t="s">
        <v>114</v>
      </c>
      <c r="BS53" s="19" t="s">
        <v>114</v>
      </c>
      <c r="BT53" s="19" t="s">
        <v>114</v>
      </c>
      <c r="BU53" s="19" t="s">
        <v>114</v>
      </c>
      <c r="BV53" s="19" t="s">
        <v>114</v>
      </c>
      <c r="BW53" s="19" t="s">
        <v>114</v>
      </c>
      <c r="BX53" s="19" t="s">
        <v>114</v>
      </c>
      <c r="BY53" s="19" t="s">
        <v>114</v>
      </c>
      <c r="BZ53" s="21">
        <v>98200</v>
      </c>
      <c r="CA53" s="21">
        <v>98201</v>
      </c>
      <c r="CB53" s="21">
        <v>98202</v>
      </c>
      <c r="CC53" s="21" t="s">
        <v>114</v>
      </c>
      <c r="CD53" s="21" t="s">
        <v>114</v>
      </c>
      <c r="CE53" s="21" t="s">
        <v>114</v>
      </c>
      <c r="CF53" s="19" t="s">
        <v>114</v>
      </c>
      <c r="CG53" s="19" t="s">
        <v>114</v>
      </c>
      <c r="CH53" s="19" t="s">
        <v>114</v>
      </c>
      <c r="CI53" s="21" t="s">
        <v>114</v>
      </c>
      <c r="CJ53" s="21">
        <v>98400</v>
      </c>
      <c r="CK53" s="21" t="s">
        <v>114</v>
      </c>
      <c r="CL53" s="21" t="s">
        <v>114</v>
      </c>
      <c r="CM53" s="21">
        <v>98407</v>
      </c>
      <c r="CN53" s="21" t="s">
        <v>114</v>
      </c>
      <c r="CO53" s="21" t="s">
        <v>114</v>
      </c>
      <c r="CP53" s="21">
        <v>98412</v>
      </c>
      <c r="CQ53" s="21">
        <v>98417</v>
      </c>
      <c r="CR53" s="21" t="s">
        <v>114</v>
      </c>
      <c r="CS53" s="21" t="s">
        <v>114</v>
      </c>
      <c r="CT53" s="21" t="s">
        <v>114</v>
      </c>
      <c r="CU53" s="21" t="s">
        <v>114</v>
      </c>
      <c r="CV53" s="21" t="s">
        <v>114</v>
      </c>
      <c r="CW53" s="21" t="s">
        <v>114</v>
      </c>
      <c r="CX53" s="21" t="s">
        <v>114</v>
      </c>
      <c r="CY53" s="21" t="s">
        <v>114</v>
      </c>
      <c r="CZ53" s="21" t="s">
        <v>114</v>
      </c>
      <c r="DA53" s="21">
        <v>98434</v>
      </c>
      <c r="DB53" s="21" t="s">
        <v>114</v>
      </c>
      <c r="DC53" s="21" t="s">
        <v>114</v>
      </c>
      <c r="DD53" s="21">
        <v>98437</v>
      </c>
      <c r="DE53" s="21" t="s">
        <v>114</v>
      </c>
      <c r="DF53" s="19" t="s">
        <v>114</v>
      </c>
      <c r="DG53" s="19" t="s">
        <v>114</v>
      </c>
      <c r="DH53" s="19" t="s">
        <v>114</v>
      </c>
      <c r="DI53" s="19" t="s">
        <v>114</v>
      </c>
      <c r="DJ53" s="19" t="s">
        <v>114</v>
      </c>
      <c r="DK53" s="19" t="s">
        <v>114</v>
      </c>
      <c r="DL53" s="19" t="s">
        <v>114</v>
      </c>
      <c r="DM53" s="19" t="s">
        <v>114</v>
      </c>
      <c r="DN53" s="19" t="s">
        <v>114</v>
      </c>
      <c r="DO53" s="19" t="s">
        <v>114</v>
      </c>
    </row>
    <row r="54" spans="1:119" hidden="1" x14ac:dyDescent="0.45">
      <c r="A54" s="2" t="s">
        <v>625</v>
      </c>
      <c r="B54" t="s">
        <v>626</v>
      </c>
      <c r="C54" s="2">
        <v>268</v>
      </c>
      <c r="D54" s="6">
        <v>403</v>
      </c>
      <c r="E54" s="2" t="s">
        <v>627</v>
      </c>
      <c r="F54" t="s">
        <v>627</v>
      </c>
      <c r="G54" t="s">
        <v>627</v>
      </c>
      <c r="H54" s="2" t="s">
        <v>628</v>
      </c>
      <c r="I54" s="2" t="s">
        <v>627</v>
      </c>
      <c r="J54" s="2">
        <v>142</v>
      </c>
      <c r="K54" t="s">
        <v>100</v>
      </c>
      <c r="L54" s="2">
        <v>145</v>
      </c>
      <c r="M54" t="s">
        <v>202</v>
      </c>
      <c r="P54" s="2" t="s">
        <v>203</v>
      </c>
      <c r="Q54" s="2" t="s">
        <v>129</v>
      </c>
      <c r="R54" s="4">
        <v>747</v>
      </c>
      <c r="S54" s="4" t="s">
        <v>1446</v>
      </c>
      <c r="T54" s="2">
        <v>145</v>
      </c>
      <c r="U54" t="s">
        <v>202</v>
      </c>
      <c r="V54" t="s">
        <v>2456</v>
      </c>
      <c r="W54" t="s">
        <v>2456</v>
      </c>
      <c r="X54" t="s">
        <v>2440</v>
      </c>
      <c r="Y54" t="s">
        <v>202</v>
      </c>
      <c r="Z54" t="s">
        <v>1939</v>
      </c>
      <c r="AA54" s="3" t="s">
        <v>2755</v>
      </c>
      <c r="AB54" s="3" t="s">
        <v>2873</v>
      </c>
      <c r="AC54" s="2" t="s">
        <v>138</v>
      </c>
      <c r="AD54" s="4" t="s">
        <v>1891</v>
      </c>
      <c r="AE54" t="s">
        <v>104</v>
      </c>
      <c r="AF54" t="s">
        <v>1885</v>
      </c>
      <c r="AG54" t="s">
        <v>1884</v>
      </c>
      <c r="AH54" t="s">
        <v>105</v>
      </c>
      <c r="AI54" s="3" t="s">
        <v>105</v>
      </c>
      <c r="AJ54" s="3" t="s">
        <v>106</v>
      </c>
      <c r="AK54" s="3" t="s">
        <v>107</v>
      </c>
      <c r="AL54" s="5" t="s">
        <v>629</v>
      </c>
      <c r="AM54" s="5" t="s">
        <v>109</v>
      </c>
      <c r="AN54" t="s">
        <v>110</v>
      </c>
      <c r="AO54" s="3" t="s">
        <v>119</v>
      </c>
      <c r="AP54" s="3" t="s">
        <v>120</v>
      </c>
      <c r="AQ54" s="3" t="s">
        <v>111</v>
      </c>
      <c r="AR54" s="3" t="s">
        <v>112</v>
      </c>
      <c r="AS54" s="3" t="s">
        <v>112</v>
      </c>
      <c r="AT54" s="3" t="s">
        <v>113</v>
      </c>
      <c r="AU54" s="3" t="s">
        <v>2303</v>
      </c>
      <c r="AV54" s="3" t="s">
        <v>2302</v>
      </c>
      <c r="AW54" s="3" t="s">
        <v>2301</v>
      </c>
      <c r="AX54" s="3" t="s">
        <v>2006</v>
      </c>
      <c r="AY54" s="19" t="s">
        <v>114</v>
      </c>
      <c r="AZ54" s="19" t="s">
        <v>114</v>
      </c>
      <c r="BA54" s="19" t="s">
        <v>114</v>
      </c>
      <c r="BB54" s="19" t="s">
        <v>114</v>
      </c>
      <c r="BC54" s="19" t="s">
        <v>114</v>
      </c>
      <c r="BD54" s="19" t="s">
        <v>114</v>
      </c>
      <c r="BE54" s="19" t="s">
        <v>114</v>
      </c>
      <c r="BF54" s="19" t="s">
        <v>114</v>
      </c>
      <c r="BG54" s="19" t="s">
        <v>114</v>
      </c>
      <c r="BH54" s="19" t="s">
        <v>114</v>
      </c>
      <c r="BI54" s="19" t="s">
        <v>114</v>
      </c>
      <c r="BJ54" s="19" t="s">
        <v>114</v>
      </c>
      <c r="BK54" s="19" t="s">
        <v>114</v>
      </c>
      <c r="BL54" s="19" t="s">
        <v>114</v>
      </c>
      <c r="BM54" s="19" t="s">
        <v>114</v>
      </c>
      <c r="BN54" s="19" t="s">
        <v>114</v>
      </c>
      <c r="BO54" s="19" t="s">
        <v>114</v>
      </c>
      <c r="BP54" s="19" t="s">
        <v>114</v>
      </c>
      <c r="BQ54" s="19" t="s">
        <v>114</v>
      </c>
      <c r="BR54" s="19" t="s">
        <v>114</v>
      </c>
      <c r="BS54" s="19" t="s">
        <v>114</v>
      </c>
      <c r="BT54" s="19" t="s">
        <v>114</v>
      </c>
      <c r="BU54" s="19" t="s">
        <v>114</v>
      </c>
      <c r="BV54" s="19" t="s">
        <v>114</v>
      </c>
      <c r="BW54" s="19" t="s">
        <v>114</v>
      </c>
      <c r="BX54" s="19" t="s">
        <v>114</v>
      </c>
      <c r="BY54" s="19" t="s">
        <v>114</v>
      </c>
      <c r="BZ54" s="21">
        <v>98200</v>
      </c>
      <c r="CA54" s="21" t="s">
        <v>114</v>
      </c>
      <c r="CB54" s="21">
        <v>98202</v>
      </c>
      <c r="CC54" s="21" t="s">
        <v>114</v>
      </c>
      <c r="CD54" s="21" t="s">
        <v>114</v>
      </c>
      <c r="CE54" s="21" t="s">
        <v>114</v>
      </c>
      <c r="CF54" s="19" t="s">
        <v>114</v>
      </c>
      <c r="CG54" s="19" t="s">
        <v>114</v>
      </c>
      <c r="CH54" s="19" t="s">
        <v>114</v>
      </c>
      <c r="CI54" s="21" t="s">
        <v>114</v>
      </c>
      <c r="CJ54" s="21">
        <v>98400</v>
      </c>
      <c r="CK54" s="21" t="s">
        <v>114</v>
      </c>
      <c r="CL54" s="21" t="s">
        <v>114</v>
      </c>
      <c r="CM54" s="21" t="s">
        <v>114</v>
      </c>
      <c r="CN54" s="21" t="s">
        <v>114</v>
      </c>
      <c r="CO54" s="21" t="s">
        <v>114</v>
      </c>
      <c r="CP54" s="21" t="s">
        <v>114</v>
      </c>
      <c r="CQ54" s="21">
        <v>98417</v>
      </c>
      <c r="CR54" s="21" t="s">
        <v>114</v>
      </c>
      <c r="CS54" s="21" t="s">
        <v>114</v>
      </c>
      <c r="CT54" s="21" t="s">
        <v>114</v>
      </c>
      <c r="CU54" s="21" t="s">
        <v>114</v>
      </c>
      <c r="CV54" s="21" t="s">
        <v>114</v>
      </c>
      <c r="CW54" s="21" t="s">
        <v>114</v>
      </c>
      <c r="CX54" s="21" t="s">
        <v>114</v>
      </c>
      <c r="CY54" s="21" t="s">
        <v>114</v>
      </c>
      <c r="CZ54" s="21" t="s">
        <v>114</v>
      </c>
      <c r="DA54" s="21" t="s">
        <v>114</v>
      </c>
      <c r="DB54" s="21" t="s">
        <v>114</v>
      </c>
      <c r="DC54" s="21" t="s">
        <v>114</v>
      </c>
      <c r="DD54" s="21">
        <v>98437</v>
      </c>
      <c r="DE54" s="21" t="s">
        <v>114</v>
      </c>
      <c r="DF54" s="19" t="s">
        <v>114</v>
      </c>
      <c r="DG54" s="19" t="s">
        <v>114</v>
      </c>
      <c r="DH54" s="19" t="s">
        <v>114</v>
      </c>
      <c r="DI54" s="19" t="s">
        <v>114</v>
      </c>
      <c r="DJ54" s="19" t="s">
        <v>114</v>
      </c>
      <c r="DK54" s="19" t="s">
        <v>114</v>
      </c>
      <c r="DL54" s="19" t="s">
        <v>114</v>
      </c>
      <c r="DM54" s="19" t="s">
        <v>114</v>
      </c>
      <c r="DN54" s="19" t="s">
        <v>114</v>
      </c>
      <c r="DO54" s="19" t="s">
        <v>114</v>
      </c>
    </row>
    <row r="55" spans="1:119" hidden="1" x14ac:dyDescent="0.45">
      <c r="A55" s="2" t="s">
        <v>779</v>
      </c>
      <c r="B55" t="s">
        <v>780</v>
      </c>
      <c r="C55" s="2">
        <v>398</v>
      </c>
      <c r="D55" s="6">
        <v>213</v>
      </c>
      <c r="E55" s="2" t="s">
        <v>781</v>
      </c>
      <c r="F55" t="s">
        <v>781</v>
      </c>
      <c r="G55" t="s">
        <v>2087</v>
      </c>
      <c r="H55" s="2" t="s">
        <v>781</v>
      </c>
      <c r="I55" s="2" t="s">
        <v>782</v>
      </c>
      <c r="J55" s="2">
        <v>142</v>
      </c>
      <c r="K55" t="s">
        <v>100</v>
      </c>
      <c r="L55" s="2">
        <v>143</v>
      </c>
      <c r="M55" t="s">
        <v>387</v>
      </c>
      <c r="P55" s="2" t="s">
        <v>100</v>
      </c>
      <c r="Q55" s="2" t="s">
        <v>129</v>
      </c>
      <c r="R55" s="4">
        <v>62</v>
      </c>
      <c r="S55" s="4" t="s">
        <v>388</v>
      </c>
      <c r="T55" s="4">
        <v>143</v>
      </c>
      <c r="U55" s="4" t="s">
        <v>387</v>
      </c>
      <c r="V55" t="s">
        <v>2454</v>
      </c>
      <c r="W55" t="s">
        <v>2454</v>
      </c>
      <c r="X55" t="s">
        <v>2440</v>
      </c>
      <c r="Y55" t="s">
        <v>387</v>
      </c>
      <c r="Z55" t="s">
        <v>387</v>
      </c>
      <c r="AA55" s="3" t="s">
        <v>2755</v>
      </c>
      <c r="AB55" s="3" t="s">
        <v>2873</v>
      </c>
      <c r="AC55" s="2" t="s">
        <v>138</v>
      </c>
      <c r="AD55" s="4" t="s">
        <v>1891</v>
      </c>
      <c r="AE55" t="s">
        <v>104</v>
      </c>
      <c r="AF55" t="s">
        <v>1885</v>
      </c>
      <c r="AG55" t="s">
        <v>1884</v>
      </c>
      <c r="AH55" t="s">
        <v>105</v>
      </c>
      <c r="AI55" s="3" t="s">
        <v>105</v>
      </c>
      <c r="AJ55" s="3" t="s">
        <v>106</v>
      </c>
      <c r="AK55" s="3" t="s">
        <v>107</v>
      </c>
      <c r="AL55" s="5" t="s">
        <v>783</v>
      </c>
      <c r="AM55" s="5" t="s">
        <v>109</v>
      </c>
      <c r="AN55" t="s">
        <v>110</v>
      </c>
      <c r="AO55" s="3" t="s">
        <v>119</v>
      </c>
      <c r="AP55" s="3" t="s">
        <v>26</v>
      </c>
      <c r="AQ55" s="3" t="s">
        <v>111</v>
      </c>
      <c r="AR55" s="3" t="s">
        <v>112</v>
      </c>
      <c r="AS55" s="3" t="s">
        <v>112</v>
      </c>
      <c r="AT55" s="3" t="s">
        <v>113</v>
      </c>
      <c r="AU55" s="3" t="s">
        <v>2303</v>
      </c>
      <c r="AV55" s="3" t="s">
        <v>2302</v>
      </c>
      <c r="AW55" s="3" t="s">
        <v>2301</v>
      </c>
      <c r="AX55" s="3" t="s">
        <v>2006</v>
      </c>
      <c r="AY55" s="19" t="s">
        <v>114</v>
      </c>
      <c r="AZ55" s="19" t="s">
        <v>114</v>
      </c>
      <c r="BA55" s="19" t="s">
        <v>114</v>
      </c>
      <c r="BB55" s="19" t="s">
        <v>114</v>
      </c>
      <c r="BC55" s="19" t="s">
        <v>114</v>
      </c>
      <c r="BD55" s="19" t="s">
        <v>114</v>
      </c>
      <c r="BE55" s="19" t="s">
        <v>114</v>
      </c>
      <c r="BF55" s="19" t="s">
        <v>114</v>
      </c>
      <c r="BG55" s="19" t="s">
        <v>114</v>
      </c>
      <c r="BH55" s="19" t="s">
        <v>114</v>
      </c>
      <c r="BI55" s="19" t="s">
        <v>114</v>
      </c>
      <c r="BJ55" s="19" t="s">
        <v>114</v>
      </c>
      <c r="BK55" s="19" t="s">
        <v>114</v>
      </c>
      <c r="BL55" s="19" t="s">
        <v>114</v>
      </c>
      <c r="BM55" s="19" t="s">
        <v>114</v>
      </c>
      <c r="BN55" s="19" t="s">
        <v>114</v>
      </c>
      <c r="BO55" s="19" t="s">
        <v>114</v>
      </c>
      <c r="BP55" s="19" t="s">
        <v>114</v>
      </c>
      <c r="BQ55" s="19" t="s">
        <v>114</v>
      </c>
      <c r="BR55" s="19" t="s">
        <v>114</v>
      </c>
      <c r="BS55" s="19" t="s">
        <v>114</v>
      </c>
      <c r="BT55" s="19" t="s">
        <v>114</v>
      </c>
      <c r="BU55" s="19" t="s">
        <v>114</v>
      </c>
      <c r="BV55" s="19" t="s">
        <v>114</v>
      </c>
      <c r="BW55" s="19" t="s">
        <v>114</v>
      </c>
      <c r="BX55" s="19" t="s">
        <v>114</v>
      </c>
      <c r="BY55" s="19" t="s">
        <v>114</v>
      </c>
      <c r="BZ55" s="21">
        <v>98200</v>
      </c>
      <c r="CA55" s="21">
        <v>98201</v>
      </c>
      <c r="CB55" s="21">
        <v>98202</v>
      </c>
      <c r="CC55" s="21" t="s">
        <v>114</v>
      </c>
      <c r="CD55" s="21" t="s">
        <v>114</v>
      </c>
      <c r="CE55" s="21" t="s">
        <v>114</v>
      </c>
      <c r="CF55" s="19">
        <v>98206</v>
      </c>
      <c r="CG55" s="19" t="s">
        <v>114</v>
      </c>
      <c r="CH55" s="19" t="s">
        <v>114</v>
      </c>
      <c r="CI55" s="21" t="s">
        <v>114</v>
      </c>
      <c r="CJ55" s="21">
        <v>98400</v>
      </c>
      <c r="CK55" s="21" t="s">
        <v>114</v>
      </c>
      <c r="CL55" s="21" t="s">
        <v>114</v>
      </c>
      <c r="CM55" s="21">
        <v>98407</v>
      </c>
      <c r="CN55" s="21" t="s">
        <v>114</v>
      </c>
      <c r="CO55" s="21" t="s">
        <v>114</v>
      </c>
      <c r="CP55" s="21">
        <v>98412</v>
      </c>
      <c r="CQ55" s="21">
        <v>98417</v>
      </c>
      <c r="CR55" s="21" t="s">
        <v>114</v>
      </c>
      <c r="CS55" s="21" t="s">
        <v>114</v>
      </c>
      <c r="CT55" s="21" t="s">
        <v>114</v>
      </c>
      <c r="CU55" s="21" t="s">
        <v>114</v>
      </c>
      <c r="CV55" s="21" t="s">
        <v>114</v>
      </c>
      <c r="CW55" s="21" t="s">
        <v>114</v>
      </c>
      <c r="CX55" s="21" t="s">
        <v>114</v>
      </c>
      <c r="CY55" s="21" t="s">
        <v>114</v>
      </c>
      <c r="CZ55" s="21" t="s">
        <v>114</v>
      </c>
      <c r="DA55" s="21">
        <v>98434</v>
      </c>
      <c r="DB55" s="21" t="s">
        <v>114</v>
      </c>
      <c r="DC55" s="21" t="s">
        <v>114</v>
      </c>
      <c r="DD55" s="21">
        <v>98437</v>
      </c>
      <c r="DE55" s="21" t="s">
        <v>114</v>
      </c>
      <c r="DF55" s="19" t="s">
        <v>114</v>
      </c>
      <c r="DG55" s="19" t="s">
        <v>114</v>
      </c>
      <c r="DH55" s="19" t="s">
        <v>114</v>
      </c>
      <c r="DI55" s="19" t="s">
        <v>114</v>
      </c>
      <c r="DJ55" s="19" t="s">
        <v>114</v>
      </c>
      <c r="DK55" s="19" t="s">
        <v>114</v>
      </c>
      <c r="DL55" s="19" t="s">
        <v>114</v>
      </c>
      <c r="DM55" s="19" t="s">
        <v>114</v>
      </c>
      <c r="DN55" s="19" t="s">
        <v>114</v>
      </c>
      <c r="DO55" s="19" t="s">
        <v>114</v>
      </c>
    </row>
    <row r="56" spans="1:119" hidden="1" x14ac:dyDescent="0.45">
      <c r="A56" s="2" t="s">
        <v>798</v>
      </c>
      <c r="B56" t="s">
        <v>799</v>
      </c>
      <c r="C56" s="2">
        <v>417</v>
      </c>
      <c r="D56" s="6">
        <v>216</v>
      </c>
      <c r="E56" s="2" t="s">
        <v>800</v>
      </c>
      <c r="F56" t="s">
        <v>800</v>
      </c>
      <c r="G56" t="s">
        <v>2091</v>
      </c>
      <c r="H56" s="2" t="s">
        <v>801</v>
      </c>
      <c r="I56" s="2" t="s">
        <v>802</v>
      </c>
      <c r="J56" s="2">
        <v>142</v>
      </c>
      <c r="K56" t="s">
        <v>100</v>
      </c>
      <c r="L56" s="2">
        <v>143</v>
      </c>
      <c r="M56" t="s">
        <v>387</v>
      </c>
      <c r="P56" s="2" t="s">
        <v>100</v>
      </c>
      <c r="Q56" s="2" t="s">
        <v>129</v>
      </c>
      <c r="R56" s="4">
        <v>62</v>
      </c>
      <c r="S56" s="4" t="s">
        <v>388</v>
      </c>
      <c r="T56" s="4">
        <v>143</v>
      </c>
      <c r="U56" s="4" t="s">
        <v>387</v>
      </c>
      <c r="V56" t="s">
        <v>2454</v>
      </c>
      <c r="W56" t="s">
        <v>2454</v>
      </c>
      <c r="X56" t="s">
        <v>2440</v>
      </c>
      <c r="Y56" t="s">
        <v>387</v>
      </c>
      <c r="Z56" t="s">
        <v>387</v>
      </c>
      <c r="AA56" s="3" t="s">
        <v>2755</v>
      </c>
      <c r="AB56" s="3" t="s">
        <v>2873</v>
      </c>
      <c r="AC56" s="2" t="s">
        <v>168</v>
      </c>
      <c r="AD56" s="4" t="s">
        <v>1891</v>
      </c>
      <c r="AE56" t="s">
        <v>104</v>
      </c>
      <c r="AF56" t="s">
        <v>1885</v>
      </c>
      <c r="AG56" t="s">
        <v>1884</v>
      </c>
      <c r="AH56" t="s">
        <v>105</v>
      </c>
      <c r="AI56" s="3" t="s">
        <v>105</v>
      </c>
      <c r="AJ56" s="3" t="s">
        <v>106</v>
      </c>
      <c r="AK56" s="3" t="s">
        <v>107</v>
      </c>
      <c r="AL56" s="5" t="s">
        <v>803</v>
      </c>
      <c r="AM56" s="5" t="s">
        <v>109</v>
      </c>
      <c r="AN56" t="s">
        <v>110</v>
      </c>
      <c r="AO56" s="3" t="s">
        <v>119</v>
      </c>
      <c r="AP56" s="3" t="s">
        <v>26</v>
      </c>
      <c r="AQ56" s="3" t="s">
        <v>111</v>
      </c>
      <c r="AR56" s="3" t="s">
        <v>112</v>
      </c>
      <c r="AS56" s="3" t="s">
        <v>112</v>
      </c>
      <c r="AT56" s="3" t="s">
        <v>113</v>
      </c>
      <c r="AU56" s="3" t="s">
        <v>2303</v>
      </c>
      <c r="AV56" s="3" t="s">
        <v>2302</v>
      </c>
      <c r="AW56" s="3" t="s">
        <v>2301</v>
      </c>
      <c r="AX56" s="3" t="s">
        <v>2006</v>
      </c>
      <c r="AY56" s="19" t="s">
        <v>114</v>
      </c>
      <c r="AZ56" s="19" t="s">
        <v>114</v>
      </c>
      <c r="BA56" s="19" t="s">
        <v>114</v>
      </c>
      <c r="BB56" s="19" t="s">
        <v>114</v>
      </c>
      <c r="BC56" s="19" t="s">
        <v>114</v>
      </c>
      <c r="BD56" s="19" t="s">
        <v>114</v>
      </c>
      <c r="BE56" s="19" t="s">
        <v>114</v>
      </c>
      <c r="BF56" s="19" t="s">
        <v>114</v>
      </c>
      <c r="BG56" s="19" t="s">
        <v>114</v>
      </c>
      <c r="BH56" s="19" t="s">
        <v>114</v>
      </c>
      <c r="BI56" s="19" t="s">
        <v>114</v>
      </c>
      <c r="BJ56" s="19" t="s">
        <v>114</v>
      </c>
      <c r="BK56" s="19" t="s">
        <v>114</v>
      </c>
      <c r="BL56" s="19" t="s">
        <v>114</v>
      </c>
      <c r="BM56" s="19" t="s">
        <v>114</v>
      </c>
      <c r="BN56" s="19" t="s">
        <v>114</v>
      </c>
      <c r="BO56" s="19" t="s">
        <v>114</v>
      </c>
      <c r="BP56" s="19" t="s">
        <v>114</v>
      </c>
      <c r="BQ56" s="19" t="s">
        <v>114</v>
      </c>
      <c r="BR56" s="19" t="s">
        <v>114</v>
      </c>
      <c r="BS56" s="19" t="s">
        <v>114</v>
      </c>
      <c r="BT56" s="19" t="s">
        <v>114</v>
      </c>
      <c r="BU56" s="19" t="s">
        <v>114</v>
      </c>
      <c r="BV56" s="19" t="s">
        <v>114</v>
      </c>
      <c r="BW56" s="19" t="s">
        <v>114</v>
      </c>
      <c r="BX56" s="19" t="s">
        <v>114</v>
      </c>
      <c r="BY56" s="19" t="s">
        <v>114</v>
      </c>
      <c r="BZ56" s="21">
        <v>98200</v>
      </c>
      <c r="CA56" s="21">
        <v>98201</v>
      </c>
      <c r="CB56" s="21">
        <v>98202</v>
      </c>
      <c r="CC56" s="21" t="s">
        <v>114</v>
      </c>
      <c r="CD56" s="21" t="s">
        <v>114</v>
      </c>
      <c r="CE56" s="21" t="s">
        <v>114</v>
      </c>
      <c r="CF56" s="19">
        <v>98206</v>
      </c>
      <c r="CG56" s="19" t="s">
        <v>114</v>
      </c>
      <c r="CH56" s="19" t="s">
        <v>114</v>
      </c>
      <c r="CI56" s="21" t="s">
        <v>114</v>
      </c>
      <c r="CJ56" s="21">
        <v>98400</v>
      </c>
      <c r="CK56" s="21" t="s">
        <v>114</v>
      </c>
      <c r="CL56" s="21" t="s">
        <v>114</v>
      </c>
      <c r="CM56" s="21">
        <v>98407</v>
      </c>
      <c r="CN56" s="21" t="s">
        <v>114</v>
      </c>
      <c r="CO56" s="21" t="s">
        <v>114</v>
      </c>
      <c r="CP56" s="21">
        <v>98412</v>
      </c>
      <c r="CQ56" s="21">
        <v>98417</v>
      </c>
      <c r="CR56" s="21" t="s">
        <v>114</v>
      </c>
      <c r="CS56" s="21" t="s">
        <v>114</v>
      </c>
      <c r="CT56" s="21" t="s">
        <v>114</v>
      </c>
      <c r="CU56" s="21" t="s">
        <v>114</v>
      </c>
      <c r="CV56" s="21" t="s">
        <v>114</v>
      </c>
      <c r="CW56" s="21" t="s">
        <v>114</v>
      </c>
      <c r="CX56" s="21" t="s">
        <v>114</v>
      </c>
      <c r="CY56" s="21" t="s">
        <v>114</v>
      </c>
      <c r="CZ56" s="21" t="s">
        <v>114</v>
      </c>
      <c r="DA56" s="21">
        <v>98434</v>
      </c>
      <c r="DB56" s="21" t="s">
        <v>114</v>
      </c>
      <c r="DC56" s="21" t="s">
        <v>114</v>
      </c>
      <c r="DD56" s="21" t="s">
        <v>114</v>
      </c>
      <c r="DE56" s="21">
        <v>98438</v>
      </c>
      <c r="DF56" s="19" t="s">
        <v>114</v>
      </c>
      <c r="DG56" s="19" t="s">
        <v>114</v>
      </c>
      <c r="DH56" s="19" t="s">
        <v>114</v>
      </c>
      <c r="DI56" s="19" t="s">
        <v>114</v>
      </c>
      <c r="DJ56" s="19" t="s">
        <v>114</v>
      </c>
      <c r="DK56" s="19" t="s">
        <v>114</v>
      </c>
      <c r="DL56" s="19" t="s">
        <v>114</v>
      </c>
      <c r="DM56" s="19" t="s">
        <v>114</v>
      </c>
      <c r="DN56" s="19" t="s">
        <v>114</v>
      </c>
      <c r="DO56" s="19" t="s">
        <v>114</v>
      </c>
    </row>
    <row r="57" spans="1:119" hidden="1" x14ac:dyDescent="0.45">
      <c r="A57" s="2" t="s">
        <v>918</v>
      </c>
      <c r="B57" t="s">
        <v>919</v>
      </c>
      <c r="C57" s="2">
        <v>496</v>
      </c>
      <c r="D57" s="6">
        <v>220</v>
      </c>
      <c r="E57" s="2" t="s">
        <v>920</v>
      </c>
      <c r="F57" t="s">
        <v>920</v>
      </c>
      <c r="G57" t="s">
        <v>920</v>
      </c>
      <c r="H57" s="2" t="s">
        <v>921</v>
      </c>
      <c r="I57" s="2" t="s">
        <v>920</v>
      </c>
      <c r="J57" s="2">
        <v>142</v>
      </c>
      <c r="K57" t="s">
        <v>100</v>
      </c>
      <c r="L57" s="2">
        <v>30</v>
      </c>
      <c r="M57" t="s">
        <v>407</v>
      </c>
      <c r="P57" s="2" t="s">
        <v>100</v>
      </c>
      <c r="Q57" s="2" t="s">
        <v>155</v>
      </c>
      <c r="R57" s="4">
        <v>753</v>
      </c>
      <c r="S57" s="4" t="s">
        <v>525</v>
      </c>
      <c r="T57" s="4">
        <v>30</v>
      </c>
      <c r="U57" s="4" t="s">
        <v>407</v>
      </c>
      <c r="V57" t="s">
        <v>2461</v>
      </c>
      <c r="W57" t="s">
        <v>2461</v>
      </c>
      <c r="X57" t="s">
        <v>2443</v>
      </c>
      <c r="Y57" t="s">
        <v>407</v>
      </c>
      <c r="Z57" t="s">
        <v>1933</v>
      </c>
      <c r="AA57" s="3" t="s">
        <v>2755</v>
      </c>
      <c r="AB57" s="3" t="s">
        <v>2873</v>
      </c>
      <c r="AC57" s="2" t="s">
        <v>168</v>
      </c>
      <c r="AD57" s="4" t="s">
        <v>1891</v>
      </c>
      <c r="AE57" t="s">
        <v>104</v>
      </c>
      <c r="AF57" t="s">
        <v>1885</v>
      </c>
      <c r="AG57" t="s">
        <v>1884</v>
      </c>
      <c r="AH57" t="s">
        <v>105</v>
      </c>
      <c r="AI57" s="3" t="s">
        <v>105</v>
      </c>
      <c r="AJ57" s="3" t="s">
        <v>106</v>
      </c>
      <c r="AK57" s="3" t="s">
        <v>107</v>
      </c>
      <c r="AL57" s="5" t="s">
        <v>922</v>
      </c>
      <c r="AM57" s="5" t="s">
        <v>109</v>
      </c>
      <c r="AN57" t="s">
        <v>110</v>
      </c>
      <c r="AO57" s="3" t="s">
        <v>119</v>
      </c>
      <c r="AP57" s="3" t="s">
        <v>26</v>
      </c>
      <c r="AQ57" s="3" t="s">
        <v>111</v>
      </c>
      <c r="AR57" s="3" t="s">
        <v>112</v>
      </c>
      <c r="AS57" s="3" t="s">
        <v>112</v>
      </c>
      <c r="AT57" s="3" t="s">
        <v>113</v>
      </c>
      <c r="AU57" s="3" t="s">
        <v>2303</v>
      </c>
      <c r="AV57" s="3" t="s">
        <v>2302</v>
      </c>
      <c r="AW57" s="3" t="s">
        <v>2301</v>
      </c>
      <c r="AX57" s="3" t="s">
        <v>2006</v>
      </c>
      <c r="AY57" s="19" t="s">
        <v>114</v>
      </c>
      <c r="AZ57" s="19" t="s">
        <v>114</v>
      </c>
      <c r="BA57" s="19" t="s">
        <v>114</v>
      </c>
      <c r="BB57" s="19" t="s">
        <v>114</v>
      </c>
      <c r="BC57" s="19" t="s">
        <v>114</v>
      </c>
      <c r="BD57" s="19" t="s">
        <v>114</v>
      </c>
      <c r="BE57" s="19" t="s">
        <v>114</v>
      </c>
      <c r="BF57" s="19" t="s">
        <v>114</v>
      </c>
      <c r="BG57" s="19" t="s">
        <v>114</v>
      </c>
      <c r="BH57" s="19" t="s">
        <v>114</v>
      </c>
      <c r="BI57" s="19" t="s">
        <v>114</v>
      </c>
      <c r="BJ57" s="19" t="s">
        <v>114</v>
      </c>
      <c r="BK57" s="19" t="s">
        <v>114</v>
      </c>
      <c r="BL57" s="19" t="s">
        <v>114</v>
      </c>
      <c r="BM57" s="19" t="s">
        <v>114</v>
      </c>
      <c r="BN57" s="19" t="s">
        <v>114</v>
      </c>
      <c r="BO57" s="19" t="s">
        <v>114</v>
      </c>
      <c r="BP57" s="19" t="s">
        <v>114</v>
      </c>
      <c r="BQ57" s="19" t="s">
        <v>114</v>
      </c>
      <c r="BR57" s="19" t="s">
        <v>114</v>
      </c>
      <c r="BS57" s="19" t="s">
        <v>114</v>
      </c>
      <c r="BT57" s="19" t="s">
        <v>114</v>
      </c>
      <c r="BU57" s="19" t="s">
        <v>114</v>
      </c>
      <c r="BV57" s="19" t="s">
        <v>114</v>
      </c>
      <c r="BW57" s="19" t="s">
        <v>114</v>
      </c>
      <c r="BX57" s="19" t="s">
        <v>114</v>
      </c>
      <c r="BY57" s="19" t="s">
        <v>114</v>
      </c>
      <c r="BZ57" s="21" t="s">
        <v>114</v>
      </c>
      <c r="CA57" s="21" t="s">
        <v>114</v>
      </c>
      <c r="CB57" s="21" t="s">
        <v>114</v>
      </c>
      <c r="CC57" s="21" t="s">
        <v>114</v>
      </c>
      <c r="CD57" s="21" t="s">
        <v>114</v>
      </c>
      <c r="CE57" s="21" t="s">
        <v>114</v>
      </c>
      <c r="CF57" s="19" t="s">
        <v>114</v>
      </c>
      <c r="CG57" s="19" t="s">
        <v>114</v>
      </c>
      <c r="CH57" s="19" t="s">
        <v>114</v>
      </c>
      <c r="CI57" s="21" t="s">
        <v>114</v>
      </c>
      <c r="CJ57" s="21">
        <v>98400</v>
      </c>
      <c r="CK57" s="21" t="s">
        <v>114</v>
      </c>
      <c r="CL57" s="21" t="s">
        <v>114</v>
      </c>
      <c r="CM57" s="21" t="s">
        <v>114</v>
      </c>
      <c r="CN57" s="21">
        <v>98408</v>
      </c>
      <c r="CO57" s="21" t="s">
        <v>114</v>
      </c>
      <c r="CP57" s="21">
        <v>98412</v>
      </c>
      <c r="CQ57" s="21" t="s">
        <v>114</v>
      </c>
      <c r="CR57" s="21" t="s">
        <v>114</v>
      </c>
      <c r="CS57" s="21" t="s">
        <v>114</v>
      </c>
      <c r="CT57" s="21" t="s">
        <v>114</v>
      </c>
      <c r="CU57" s="21" t="s">
        <v>114</v>
      </c>
      <c r="CV57" s="21" t="s">
        <v>114</v>
      </c>
      <c r="CW57" s="21" t="s">
        <v>114</v>
      </c>
      <c r="CX57" s="21" t="s">
        <v>114</v>
      </c>
      <c r="CY57" s="21" t="s">
        <v>114</v>
      </c>
      <c r="CZ57" s="21" t="s">
        <v>114</v>
      </c>
      <c r="DA57" s="21">
        <v>98434</v>
      </c>
      <c r="DB57" s="21" t="s">
        <v>114</v>
      </c>
      <c r="DC57" s="21" t="s">
        <v>114</v>
      </c>
      <c r="DD57" s="21" t="s">
        <v>114</v>
      </c>
      <c r="DE57" s="21">
        <v>98438</v>
      </c>
      <c r="DF57" s="19" t="s">
        <v>114</v>
      </c>
      <c r="DG57" s="19" t="s">
        <v>114</v>
      </c>
      <c r="DH57" s="19" t="s">
        <v>114</v>
      </c>
      <c r="DI57" s="19" t="s">
        <v>114</v>
      </c>
      <c r="DJ57" s="19" t="s">
        <v>114</v>
      </c>
      <c r="DK57" s="19" t="s">
        <v>114</v>
      </c>
      <c r="DL57" s="19" t="s">
        <v>114</v>
      </c>
      <c r="DM57" s="19" t="s">
        <v>114</v>
      </c>
      <c r="DN57" s="19" t="s">
        <v>114</v>
      </c>
      <c r="DO57" s="19" t="s">
        <v>114</v>
      </c>
    </row>
    <row r="58" spans="1:119" hidden="1" x14ac:dyDescent="0.45">
      <c r="A58" s="2" t="s">
        <v>1316</v>
      </c>
      <c r="B58" t="s">
        <v>1317</v>
      </c>
      <c r="C58" s="2">
        <v>762</v>
      </c>
      <c r="D58" s="6">
        <v>227</v>
      </c>
      <c r="E58" s="2" t="s">
        <v>1318</v>
      </c>
      <c r="F58" t="s">
        <v>1318</v>
      </c>
      <c r="G58" t="s">
        <v>2157</v>
      </c>
      <c r="H58" s="2" t="s">
        <v>1319</v>
      </c>
      <c r="I58" s="2" t="s">
        <v>1320</v>
      </c>
      <c r="J58" s="2">
        <v>142</v>
      </c>
      <c r="K58" t="s">
        <v>100</v>
      </c>
      <c r="L58" s="2">
        <v>143</v>
      </c>
      <c r="M58" t="s">
        <v>387</v>
      </c>
      <c r="P58" s="2" t="s">
        <v>100</v>
      </c>
      <c r="Q58" s="2" t="s">
        <v>129</v>
      </c>
      <c r="R58" s="4">
        <v>62</v>
      </c>
      <c r="S58" s="4" t="s">
        <v>388</v>
      </c>
      <c r="T58" s="4">
        <v>143</v>
      </c>
      <c r="U58" s="4" t="s">
        <v>387</v>
      </c>
      <c r="V58" t="s">
        <v>2454</v>
      </c>
      <c r="W58" t="s">
        <v>2454</v>
      </c>
      <c r="X58" t="s">
        <v>2440</v>
      </c>
      <c r="Y58" t="s">
        <v>387</v>
      </c>
      <c r="Z58" t="s">
        <v>387</v>
      </c>
      <c r="AA58" s="3" t="s">
        <v>2755</v>
      </c>
      <c r="AB58" s="3" t="s">
        <v>2873</v>
      </c>
      <c r="AC58" s="4" t="s">
        <v>168</v>
      </c>
      <c r="AD58" s="4" t="s">
        <v>1891</v>
      </c>
      <c r="AE58" t="s">
        <v>104</v>
      </c>
      <c r="AF58" t="s">
        <v>1885</v>
      </c>
      <c r="AG58" t="s">
        <v>1884</v>
      </c>
      <c r="AH58" t="s">
        <v>105</v>
      </c>
      <c r="AI58" s="3" t="s">
        <v>105</v>
      </c>
      <c r="AJ58" s="3" t="s">
        <v>106</v>
      </c>
      <c r="AK58" s="3" t="s">
        <v>107</v>
      </c>
      <c r="AL58" s="5" t="s">
        <v>1321</v>
      </c>
      <c r="AM58" s="5" t="s">
        <v>109</v>
      </c>
      <c r="AN58" t="s">
        <v>110</v>
      </c>
      <c r="AO58" s="3" t="s">
        <v>119</v>
      </c>
      <c r="AP58" s="3" t="s">
        <v>26</v>
      </c>
      <c r="AQ58" s="3" t="s">
        <v>111</v>
      </c>
      <c r="AR58" s="3" t="s">
        <v>112</v>
      </c>
      <c r="AS58" s="3" t="s">
        <v>112</v>
      </c>
      <c r="AT58" s="3" t="s">
        <v>113</v>
      </c>
      <c r="AU58" s="3" t="s">
        <v>2303</v>
      </c>
      <c r="AV58" s="3" t="s">
        <v>2302</v>
      </c>
      <c r="AW58" s="3" t="s">
        <v>2301</v>
      </c>
      <c r="AX58" s="3" t="s">
        <v>2006</v>
      </c>
      <c r="AY58" s="19" t="s">
        <v>114</v>
      </c>
      <c r="AZ58" s="19" t="s">
        <v>114</v>
      </c>
      <c r="BA58" s="19" t="s">
        <v>114</v>
      </c>
      <c r="BB58" s="19" t="s">
        <v>114</v>
      </c>
      <c r="BC58" s="19" t="s">
        <v>114</v>
      </c>
      <c r="BD58" s="19" t="s">
        <v>114</v>
      </c>
      <c r="BE58" s="19" t="s">
        <v>114</v>
      </c>
      <c r="BF58" s="19" t="s">
        <v>114</v>
      </c>
      <c r="BG58" s="19" t="s">
        <v>114</v>
      </c>
      <c r="BH58" s="19" t="s">
        <v>114</v>
      </c>
      <c r="BI58" s="19" t="s">
        <v>114</v>
      </c>
      <c r="BJ58" s="19" t="s">
        <v>114</v>
      </c>
      <c r="BK58" s="19" t="s">
        <v>114</v>
      </c>
      <c r="BL58" s="19" t="s">
        <v>114</v>
      </c>
      <c r="BM58" s="19" t="s">
        <v>114</v>
      </c>
      <c r="BN58" s="19" t="s">
        <v>114</v>
      </c>
      <c r="BO58" s="19" t="s">
        <v>114</v>
      </c>
      <c r="BP58" s="19" t="s">
        <v>114</v>
      </c>
      <c r="BQ58" s="19" t="s">
        <v>114</v>
      </c>
      <c r="BR58" s="19" t="s">
        <v>114</v>
      </c>
      <c r="BS58" s="19" t="s">
        <v>114</v>
      </c>
      <c r="BT58" s="19" t="s">
        <v>114</v>
      </c>
      <c r="BU58" s="19" t="s">
        <v>114</v>
      </c>
      <c r="BV58" s="19" t="s">
        <v>114</v>
      </c>
      <c r="BW58" s="19" t="s">
        <v>114</v>
      </c>
      <c r="BX58" s="19" t="s">
        <v>114</v>
      </c>
      <c r="BY58" s="19" t="s">
        <v>114</v>
      </c>
      <c r="BZ58" s="21">
        <v>98200</v>
      </c>
      <c r="CA58" s="21">
        <v>98201</v>
      </c>
      <c r="CB58" s="21">
        <v>98202</v>
      </c>
      <c r="CC58" s="21" t="s">
        <v>114</v>
      </c>
      <c r="CD58" s="21" t="s">
        <v>114</v>
      </c>
      <c r="CE58" s="21" t="s">
        <v>114</v>
      </c>
      <c r="CF58" s="19" t="s">
        <v>114</v>
      </c>
      <c r="CG58" s="19" t="s">
        <v>114</v>
      </c>
      <c r="CH58" s="19" t="s">
        <v>114</v>
      </c>
      <c r="CI58" s="21" t="s">
        <v>114</v>
      </c>
      <c r="CJ58" s="21">
        <v>98400</v>
      </c>
      <c r="CK58" s="21" t="s">
        <v>114</v>
      </c>
      <c r="CL58" s="21" t="s">
        <v>114</v>
      </c>
      <c r="CM58" s="21">
        <v>98407</v>
      </c>
      <c r="CN58" s="21" t="s">
        <v>114</v>
      </c>
      <c r="CO58" s="21" t="s">
        <v>114</v>
      </c>
      <c r="CP58" s="21">
        <v>98412</v>
      </c>
      <c r="CQ58" s="21">
        <v>98417</v>
      </c>
      <c r="CR58" s="21" t="s">
        <v>114</v>
      </c>
      <c r="CS58" s="21" t="s">
        <v>114</v>
      </c>
      <c r="CT58" s="21" t="s">
        <v>114</v>
      </c>
      <c r="CU58" s="21" t="s">
        <v>114</v>
      </c>
      <c r="CV58" s="21" t="s">
        <v>114</v>
      </c>
      <c r="CW58" s="21" t="s">
        <v>114</v>
      </c>
      <c r="CX58" s="21" t="s">
        <v>114</v>
      </c>
      <c r="CY58" s="21" t="s">
        <v>114</v>
      </c>
      <c r="CZ58" s="21" t="s">
        <v>114</v>
      </c>
      <c r="DA58" s="21">
        <v>98434</v>
      </c>
      <c r="DB58" s="21" t="s">
        <v>114</v>
      </c>
      <c r="DC58" s="21" t="s">
        <v>114</v>
      </c>
      <c r="DD58" s="21" t="s">
        <v>114</v>
      </c>
      <c r="DE58" s="21">
        <v>98438</v>
      </c>
      <c r="DF58" s="19" t="s">
        <v>114</v>
      </c>
      <c r="DG58" s="19" t="s">
        <v>114</v>
      </c>
      <c r="DH58" s="19" t="s">
        <v>114</v>
      </c>
      <c r="DI58" s="19" t="s">
        <v>114</v>
      </c>
      <c r="DJ58" s="19" t="s">
        <v>114</v>
      </c>
      <c r="DK58" s="19" t="s">
        <v>114</v>
      </c>
      <c r="DL58" s="19" t="s">
        <v>114</v>
      </c>
      <c r="DM58" s="19" t="s">
        <v>114</v>
      </c>
      <c r="DN58" s="19" t="s">
        <v>114</v>
      </c>
      <c r="DO58" s="19" t="s">
        <v>114</v>
      </c>
    </row>
    <row r="59" spans="1:119" hidden="1" x14ac:dyDescent="0.45">
      <c r="A59" s="2" t="s">
        <v>1358</v>
      </c>
      <c r="B59" t="s">
        <v>1359</v>
      </c>
      <c r="C59" s="2">
        <v>795</v>
      </c>
      <c r="D59" s="6">
        <v>230</v>
      </c>
      <c r="E59" s="2" t="s">
        <v>1360</v>
      </c>
      <c r="F59" t="s">
        <v>1360</v>
      </c>
      <c r="G59" t="s">
        <v>1360</v>
      </c>
      <c r="H59" s="2" t="s">
        <v>1361</v>
      </c>
      <c r="I59" s="2" t="s">
        <v>1362</v>
      </c>
      <c r="J59" s="2">
        <v>142</v>
      </c>
      <c r="K59" t="s">
        <v>100</v>
      </c>
      <c r="L59" s="2">
        <v>143</v>
      </c>
      <c r="M59" t="s">
        <v>387</v>
      </c>
      <c r="P59" s="2" t="s">
        <v>100</v>
      </c>
      <c r="Q59" s="2" t="s">
        <v>129</v>
      </c>
      <c r="R59" s="4">
        <v>62</v>
      </c>
      <c r="S59" s="4" t="s">
        <v>388</v>
      </c>
      <c r="T59" s="4">
        <v>143</v>
      </c>
      <c r="U59" s="4" t="s">
        <v>387</v>
      </c>
      <c r="V59" t="s">
        <v>2454</v>
      </c>
      <c r="W59" t="s">
        <v>2454</v>
      </c>
      <c r="X59" t="s">
        <v>2440</v>
      </c>
      <c r="Y59" t="s">
        <v>387</v>
      </c>
      <c r="Z59" t="s">
        <v>387</v>
      </c>
      <c r="AA59" s="3" t="s">
        <v>2755</v>
      </c>
      <c r="AB59" s="3" t="s">
        <v>2873</v>
      </c>
      <c r="AC59" s="2" t="s">
        <v>138</v>
      </c>
      <c r="AD59" s="4" t="s">
        <v>1891</v>
      </c>
      <c r="AE59" t="s">
        <v>104</v>
      </c>
      <c r="AF59" t="s">
        <v>1885</v>
      </c>
      <c r="AG59" t="s">
        <v>1884</v>
      </c>
      <c r="AH59" t="s">
        <v>105</v>
      </c>
      <c r="AI59" s="3" t="s">
        <v>105</v>
      </c>
      <c r="AJ59" s="3" t="s">
        <v>106</v>
      </c>
      <c r="AK59" s="3" t="s">
        <v>107</v>
      </c>
      <c r="AL59" s="5" t="s">
        <v>1363</v>
      </c>
      <c r="AM59" s="5" t="s">
        <v>109</v>
      </c>
      <c r="AN59" t="s">
        <v>110</v>
      </c>
      <c r="AO59" s="3" t="s">
        <v>119</v>
      </c>
      <c r="AP59" s="3" t="s">
        <v>26</v>
      </c>
      <c r="AQ59" s="3" t="s">
        <v>111</v>
      </c>
      <c r="AR59" s="3" t="s">
        <v>112</v>
      </c>
      <c r="AS59" s="3" t="s">
        <v>112</v>
      </c>
      <c r="AT59" s="3" t="s">
        <v>113</v>
      </c>
      <c r="AU59" s="3" t="s">
        <v>2303</v>
      </c>
      <c r="AV59" s="3" t="s">
        <v>2302</v>
      </c>
      <c r="AW59" s="3" t="s">
        <v>2301</v>
      </c>
      <c r="AX59" s="3" t="s">
        <v>2006</v>
      </c>
      <c r="AY59" s="19" t="s">
        <v>114</v>
      </c>
      <c r="AZ59" s="19" t="s">
        <v>114</v>
      </c>
      <c r="BA59" s="19" t="s">
        <v>114</v>
      </c>
      <c r="BB59" s="19" t="s">
        <v>114</v>
      </c>
      <c r="BC59" s="19" t="s">
        <v>114</v>
      </c>
      <c r="BD59" s="19" t="s">
        <v>114</v>
      </c>
      <c r="BE59" s="19" t="s">
        <v>114</v>
      </c>
      <c r="BF59" s="19" t="s">
        <v>114</v>
      </c>
      <c r="BG59" s="19" t="s">
        <v>114</v>
      </c>
      <c r="BH59" s="19" t="s">
        <v>114</v>
      </c>
      <c r="BI59" s="19" t="s">
        <v>114</v>
      </c>
      <c r="BJ59" s="19" t="s">
        <v>114</v>
      </c>
      <c r="BK59" s="19" t="s">
        <v>114</v>
      </c>
      <c r="BL59" s="19" t="s">
        <v>114</v>
      </c>
      <c r="BM59" s="19" t="s">
        <v>114</v>
      </c>
      <c r="BN59" s="19" t="s">
        <v>114</v>
      </c>
      <c r="BO59" s="19" t="s">
        <v>114</v>
      </c>
      <c r="BP59" s="19" t="s">
        <v>114</v>
      </c>
      <c r="BQ59" s="19" t="s">
        <v>114</v>
      </c>
      <c r="BR59" s="19" t="s">
        <v>114</v>
      </c>
      <c r="BS59" s="19" t="s">
        <v>114</v>
      </c>
      <c r="BT59" s="19" t="s">
        <v>114</v>
      </c>
      <c r="BU59" s="19" t="s">
        <v>114</v>
      </c>
      <c r="BV59" s="19" t="s">
        <v>114</v>
      </c>
      <c r="BW59" s="19" t="s">
        <v>114</v>
      </c>
      <c r="BX59" s="19" t="s">
        <v>114</v>
      </c>
      <c r="BY59" s="19" t="s">
        <v>114</v>
      </c>
      <c r="BZ59" s="21">
        <v>98200</v>
      </c>
      <c r="CA59" s="21">
        <v>98201</v>
      </c>
      <c r="CB59" s="21">
        <v>98202</v>
      </c>
      <c r="CC59" s="21" t="s">
        <v>114</v>
      </c>
      <c r="CD59" s="21" t="s">
        <v>114</v>
      </c>
      <c r="CE59" s="21" t="s">
        <v>114</v>
      </c>
      <c r="CF59" s="19" t="s">
        <v>114</v>
      </c>
      <c r="CG59" s="19" t="s">
        <v>114</v>
      </c>
      <c r="CH59" s="19" t="s">
        <v>114</v>
      </c>
      <c r="CI59" s="21" t="s">
        <v>114</v>
      </c>
      <c r="CJ59" s="21">
        <v>98400</v>
      </c>
      <c r="CK59" s="21" t="s">
        <v>114</v>
      </c>
      <c r="CL59" s="21" t="s">
        <v>114</v>
      </c>
      <c r="CM59" s="21">
        <v>98407</v>
      </c>
      <c r="CN59" s="21" t="s">
        <v>114</v>
      </c>
      <c r="CO59" s="21" t="s">
        <v>114</v>
      </c>
      <c r="CP59" s="21">
        <v>98412</v>
      </c>
      <c r="CQ59" s="21">
        <v>98417</v>
      </c>
      <c r="CR59" s="21" t="s">
        <v>114</v>
      </c>
      <c r="CS59" s="21" t="s">
        <v>114</v>
      </c>
      <c r="CT59" s="21" t="s">
        <v>114</v>
      </c>
      <c r="CU59" s="21" t="s">
        <v>114</v>
      </c>
      <c r="CV59" s="21" t="s">
        <v>114</v>
      </c>
      <c r="CW59" s="21" t="s">
        <v>114</v>
      </c>
      <c r="CX59" s="21" t="s">
        <v>114</v>
      </c>
      <c r="CY59" s="21" t="s">
        <v>114</v>
      </c>
      <c r="CZ59" s="21" t="s">
        <v>114</v>
      </c>
      <c r="DA59" s="21">
        <v>98434</v>
      </c>
      <c r="DB59" s="21" t="s">
        <v>114</v>
      </c>
      <c r="DC59" s="21" t="s">
        <v>114</v>
      </c>
      <c r="DD59" s="21">
        <v>98437</v>
      </c>
      <c r="DE59" s="21" t="s">
        <v>114</v>
      </c>
      <c r="DF59" s="19" t="s">
        <v>114</v>
      </c>
      <c r="DG59" s="19" t="s">
        <v>114</v>
      </c>
      <c r="DH59" s="19" t="s">
        <v>114</v>
      </c>
      <c r="DI59" s="19" t="s">
        <v>114</v>
      </c>
      <c r="DJ59" s="19" t="s">
        <v>114</v>
      </c>
      <c r="DK59" s="19" t="s">
        <v>114</v>
      </c>
      <c r="DL59" s="19" t="s">
        <v>114</v>
      </c>
      <c r="DM59" s="19" t="s">
        <v>114</v>
      </c>
      <c r="DN59" s="19" t="s">
        <v>114</v>
      </c>
      <c r="DO59" s="19" t="s">
        <v>114</v>
      </c>
    </row>
    <row r="60" spans="1:119" hidden="1" x14ac:dyDescent="0.45">
      <c r="A60" s="2" t="s">
        <v>1421</v>
      </c>
      <c r="B60" t="s">
        <v>1422</v>
      </c>
      <c r="C60" s="2">
        <v>860</v>
      </c>
      <c r="D60" s="6">
        <v>231</v>
      </c>
      <c r="E60" s="2" t="s">
        <v>1423</v>
      </c>
      <c r="F60" t="s">
        <v>1423</v>
      </c>
      <c r="G60" t="s">
        <v>2171</v>
      </c>
      <c r="H60" s="2" t="s">
        <v>1424</v>
      </c>
      <c r="I60" s="2" t="s">
        <v>1425</v>
      </c>
      <c r="J60" s="2">
        <v>142</v>
      </c>
      <c r="K60" t="s">
        <v>100</v>
      </c>
      <c r="L60" s="2">
        <v>143</v>
      </c>
      <c r="M60" t="s">
        <v>387</v>
      </c>
      <c r="P60" s="2" t="s">
        <v>100</v>
      </c>
      <c r="Q60" s="2" t="s">
        <v>129</v>
      </c>
      <c r="R60" s="4">
        <v>62</v>
      </c>
      <c r="S60" s="4" t="s">
        <v>388</v>
      </c>
      <c r="T60" s="4">
        <v>143</v>
      </c>
      <c r="U60" s="4" t="s">
        <v>387</v>
      </c>
      <c r="V60" t="s">
        <v>2454</v>
      </c>
      <c r="W60" t="s">
        <v>2454</v>
      </c>
      <c r="X60" t="s">
        <v>2440</v>
      </c>
      <c r="Y60" t="s">
        <v>387</v>
      </c>
      <c r="Z60" t="s">
        <v>387</v>
      </c>
      <c r="AA60" s="3" t="s">
        <v>2755</v>
      </c>
      <c r="AB60" s="3" t="s">
        <v>2873</v>
      </c>
      <c r="AC60" s="2" t="s">
        <v>168</v>
      </c>
      <c r="AD60" s="4" t="s">
        <v>1891</v>
      </c>
      <c r="AE60" t="s">
        <v>104</v>
      </c>
      <c r="AF60" t="s">
        <v>1885</v>
      </c>
      <c r="AG60" t="s">
        <v>1884</v>
      </c>
      <c r="AH60" t="s">
        <v>105</v>
      </c>
      <c r="AI60" s="3" t="s">
        <v>105</v>
      </c>
      <c r="AJ60" s="3" t="s">
        <v>106</v>
      </c>
      <c r="AK60" s="3" t="s">
        <v>107</v>
      </c>
      <c r="AL60" s="5" t="s">
        <v>1426</v>
      </c>
      <c r="AM60" s="5" t="s">
        <v>109</v>
      </c>
      <c r="AN60" t="s">
        <v>110</v>
      </c>
      <c r="AO60" s="3" t="s">
        <v>119</v>
      </c>
      <c r="AP60" s="3" t="s">
        <v>26</v>
      </c>
      <c r="AQ60" s="3" t="s">
        <v>111</v>
      </c>
      <c r="AR60" s="3" t="s">
        <v>112</v>
      </c>
      <c r="AS60" s="3" t="s">
        <v>112</v>
      </c>
      <c r="AT60" s="3" t="s">
        <v>113</v>
      </c>
      <c r="AU60" s="3" t="s">
        <v>2303</v>
      </c>
      <c r="AV60" s="3" t="s">
        <v>2302</v>
      </c>
      <c r="AW60" s="3" t="s">
        <v>2301</v>
      </c>
      <c r="AX60" s="3" t="s">
        <v>2006</v>
      </c>
      <c r="AY60" s="19" t="s">
        <v>114</v>
      </c>
      <c r="AZ60" s="19" t="s">
        <v>114</v>
      </c>
      <c r="BA60" s="19" t="s">
        <v>114</v>
      </c>
      <c r="BB60" s="19" t="s">
        <v>114</v>
      </c>
      <c r="BC60" s="19" t="s">
        <v>114</v>
      </c>
      <c r="BD60" s="19" t="s">
        <v>114</v>
      </c>
      <c r="BE60" s="19" t="s">
        <v>114</v>
      </c>
      <c r="BF60" s="19" t="s">
        <v>114</v>
      </c>
      <c r="BG60" s="19" t="s">
        <v>114</v>
      </c>
      <c r="BH60" s="19" t="s">
        <v>114</v>
      </c>
      <c r="BI60" s="19" t="s">
        <v>114</v>
      </c>
      <c r="BJ60" s="19" t="s">
        <v>114</v>
      </c>
      <c r="BK60" s="19" t="s">
        <v>114</v>
      </c>
      <c r="BL60" s="19" t="s">
        <v>114</v>
      </c>
      <c r="BM60" s="19" t="s">
        <v>114</v>
      </c>
      <c r="BN60" s="19" t="s">
        <v>114</v>
      </c>
      <c r="BO60" s="19" t="s">
        <v>114</v>
      </c>
      <c r="BP60" s="19" t="s">
        <v>114</v>
      </c>
      <c r="BQ60" s="19" t="s">
        <v>114</v>
      </c>
      <c r="BR60" s="19" t="s">
        <v>114</v>
      </c>
      <c r="BS60" s="19" t="s">
        <v>114</v>
      </c>
      <c r="BT60" s="19" t="s">
        <v>114</v>
      </c>
      <c r="BU60" s="19" t="s">
        <v>114</v>
      </c>
      <c r="BV60" s="19" t="s">
        <v>114</v>
      </c>
      <c r="BW60" s="19" t="s">
        <v>114</v>
      </c>
      <c r="BX60" s="19" t="s">
        <v>114</v>
      </c>
      <c r="BY60" s="19" t="s">
        <v>114</v>
      </c>
      <c r="BZ60" s="21">
        <v>98200</v>
      </c>
      <c r="CA60" s="21">
        <v>98201</v>
      </c>
      <c r="CB60" s="21">
        <v>98202</v>
      </c>
      <c r="CC60" s="21" t="s">
        <v>114</v>
      </c>
      <c r="CD60" s="21" t="s">
        <v>114</v>
      </c>
      <c r="CE60" s="21" t="s">
        <v>114</v>
      </c>
      <c r="CF60" s="19" t="s">
        <v>114</v>
      </c>
      <c r="CG60" s="19" t="s">
        <v>114</v>
      </c>
      <c r="CH60" s="19" t="s">
        <v>114</v>
      </c>
      <c r="CI60" s="21" t="s">
        <v>114</v>
      </c>
      <c r="CJ60" s="21">
        <v>98400</v>
      </c>
      <c r="CK60" s="21" t="s">
        <v>114</v>
      </c>
      <c r="CL60" s="21" t="s">
        <v>114</v>
      </c>
      <c r="CM60" s="21">
        <v>98407</v>
      </c>
      <c r="CN60" s="21" t="s">
        <v>114</v>
      </c>
      <c r="CO60" s="21" t="s">
        <v>114</v>
      </c>
      <c r="CP60" s="21">
        <v>98412</v>
      </c>
      <c r="CQ60" s="21">
        <v>98417</v>
      </c>
      <c r="CR60" s="21" t="s">
        <v>114</v>
      </c>
      <c r="CS60" s="21" t="s">
        <v>114</v>
      </c>
      <c r="CT60" s="21" t="s">
        <v>114</v>
      </c>
      <c r="CU60" s="21" t="s">
        <v>114</v>
      </c>
      <c r="CV60" s="21" t="s">
        <v>114</v>
      </c>
      <c r="CW60" s="21" t="s">
        <v>114</v>
      </c>
      <c r="CX60" s="21" t="s">
        <v>114</v>
      </c>
      <c r="CY60" s="21" t="s">
        <v>114</v>
      </c>
      <c r="CZ60" s="21" t="s">
        <v>114</v>
      </c>
      <c r="DA60" s="21">
        <v>98434</v>
      </c>
      <c r="DB60" s="21" t="s">
        <v>114</v>
      </c>
      <c r="DC60" s="21" t="s">
        <v>114</v>
      </c>
      <c r="DD60" s="21" t="s">
        <v>114</v>
      </c>
      <c r="DE60" s="21">
        <v>98438</v>
      </c>
      <c r="DF60" s="19" t="s">
        <v>114</v>
      </c>
      <c r="DG60" s="19" t="s">
        <v>114</v>
      </c>
      <c r="DH60" s="19" t="s">
        <v>114</v>
      </c>
      <c r="DI60" s="19" t="s">
        <v>114</v>
      </c>
      <c r="DJ60" s="19" t="s">
        <v>114</v>
      </c>
      <c r="DK60" s="19" t="s">
        <v>114</v>
      </c>
      <c r="DL60" s="19" t="s">
        <v>114</v>
      </c>
      <c r="DM60" s="19" t="s">
        <v>114</v>
      </c>
      <c r="DN60" s="19" t="s">
        <v>114</v>
      </c>
      <c r="DO60" s="19" t="s">
        <v>114</v>
      </c>
    </row>
    <row r="61" spans="1:119" hidden="1" x14ac:dyDescent="0.45">
      <c r="A61" s="2" t="s">
        <v>398</v>
      </c>
      <c r="B61" t="s">
        <v>399</v>
      </c>
      <c r="C61" s="2">
        <v>152</v>
      </c>
      <c r="D61" s="6">
        <v>904</v>
      </c>
      <c r="E61" s="2" t="s">
        <v>400</v>
      </c>
      <c r="F61" t="s">
        <v>400</v>
      </c>
      <c r="G61" t="s">
        <v>2041</v>
      </c>
      <c r="H61" s="2" t="s">
        <v>401</v>
      </c>
      <c r="I61" s="2" t="s">
        <v>400</v>
      </c>
      <c r="J61" s="2">
        <v>19</v>
      </c>
      <c r="K61" t="s">
        <v>157</v>
      </c>
      <c r="L61" s="2">
        <v>419</v>
      </c>
      <c r="M61" t="s">
        <v>174</v>
      </c>
      <c r="N61">
        <v>5</v>
      </c>
      <c r="O61" t="s">
        <v>196</v>
      </c>
      <c r="P61" s="2" t="s">
        <v>196</v>
      </c>
      <c r="Q61" s="2" t="s">
        <v>177</v>
      </c>
      <c r="R61" s="2">
        <v>419</v>
      </c>
      <c r="S61" s="2" t="s">
        <v>174</v>
      </c>
      <c r="T61" s="2">
        <v>419</v>
      </c>
      <c r="U61" s="4" t="s">
        <v>174</v>
      </c>
      <c r="V61" t="s">
        <v>2455</v>
      </c>
      <c r="W61" t="s">
        <v>2455</v>
      </c>
      <c r="X61" t="s">
        <v>2440</v>
      </c>
      <c r="Y61" t="s">
        <v>196</v>
      </c>
      <c r="Z61" t="s">
        <v>2468</v>
      </c>
      <c r="AA61" s="3" t="s">
        <v>400</v>
      </c>
      <c r="AB61" s="3" t="s">
        <v>399</v>
      </c>
      <c r="AC61" s="2" t="s">
        <v>130</v>
      </c>
      <c r="AD61" s="4" t="s">
        <v>1891</v>
      </c>
      <c r="AE61" t="s">
        <v>104</v>
      </c>
      <c r="AF61" t="s">
        <v>1886</v>
      </c>
      <c r="AG61" t="s">
        <v>1884</v>
      </c>
      <c r="AH61" s="3" t="s">
        <v>18</v>
      </c>
      <c r="AI61" s="3" t="s">
        <v>372</v>
      </c>
      <c r="AJ61" s="3" t="s">
        <v>106</v>
      </c>
      <c r="AK61" s="3" t="s">
        <v>107</v>
      </c>
      <c r="AL61" s="5" t="s">
        <v>402</v>
      </c>
      <c r="AM61" s="5" t="s">
        <v>109</v>
      </c>
      <c r="AN61" t="s">
        <v>110</v>
      </c>
      <c r="AO61" s="3" t="s">
        <v>119</v>
      </c>
      <c r="AP61" s="3" t="s">
        <v>120</v>
      </c>
      <c r="AQ61" s="3" t="s">
        <v>111</v>
      </c>
      <c r="AR61" s="3" t="s">
        <v>112</v>
      </c>
      <c r="AS61" s="3" t="s">
        <v>112</v>
      </c>
      <c r="AT61" s="3" t="s">
        <v>113</v>
      </c>
      <c r="AU61" s="3" t="s">
        <v>2303</v>
      </c>
      <c r="AV61" s="3" t="s">
        <v>2302</v>
      </c>
      <c r="AW61" s="3" t="s">
        <v>2301</v>
      </c>
      <c r="AX61" s="3" t="s">
        <v>2006</v>
      </c>
      <c r="AY61" s="19" t="s">
        <v>114</v>
      </c>
      <c r="AZ61" s="19" t="s">
        <v>114</v>
      </c>
      <c r="BA61" s="19" t="s">
        <v>114</v>
      </c>
      <c r="BB61" s="19" t="s">
        <v>114</v>
      </c>
      <c r="BC61" s="19" t="s">
        <v>114</v>
      </c>
      <c r="BD61" s="19" t="s">
        <v>114</v>
      </c>
      <c r="BE61" s="19" t="s">
        <v>114</v>
      </c>
      <c r="BF61" s="19" t="s">
        <v>114</v>
      </c>
      <c r="BG61" s="19" t="s">
        <v>114</v>
      </c>
      <c r="BH61" s="19" t="s">
        <v>114</v>
      </c>
      <c r="BI61" s="19" t="s">
        <v>114</v>
      </c>
      <c r="BJ61" s="19" t="s">
        <v>114</v>
      </c>
      <c r="BK61" s="19" t="s">
        <v>114</v>
      </c>
      <c r="BL61" s="19" t="s">
        <v>114</v>
      </c>
      <c r="BM61" s="19" t="s">
        <v>114</v>
      </c>
      <c r="BN61" s="19" t="s">
        <v>114</v>
      </c>
      <c r="BO61" s="19" t="s">
        <v>114</v>
      </c>
      <c r="BP61" s="19" t="s">
        <v>114</v>
      </c>
      <c r="BQ61" s="19" t="s">
        <v>114</v>
      </c>
      <c r="BR61" s="19" t="s">
        <v>114</v>
      </c>
      <c r="BS61" s="19" t="s">
        <v>114</v>
      </c>
      <c r="BT61" s="19" t="s">
        <v>114</v>
      </c>
      <c r="BU61" s="19" t="s">
        <v>114</v>
      </c>
      <c r="BV61" s="19" t="s">
        <v>114</v>
      </c>
      <c r="BW61" s="19" t="s">
        <v>114</v>
      </c>
      <c r="BX61" s="19" t="s">
        <v>114</v>
      </c>
      <c r="BY61" s="19" t="s">
        <v>114</v>
      </c>
      <c r="BZ61" s="21" t="s">
        <v>114</v>
      </c>
      <c r="CA61" s="21" t="s">
        <v>114</v>
      </c>
      <c r="CB61" s="21" t="s">
        <v>114</v>
      </c>
      <c r="CC61" s="21" t="s">
        <v>114</v>
      </c>
      <c r="CD61" s="21" t="s">
        <v>114</v>
      </c>
      <c r="CE61" s="21" t="s">
        <v>114</v>
      </c>
      <c r="CF61" s="19" t="s">
        <v>114</v>
      </c>
      <c r="CG61" s="19">
        <v>98300</v>
      </c>
      <c r="CH61" s="19" t="s">
        <v>114</v>
      </c>
      <c r="CI61" s="21">
        <v>98302</v>
      </c>
      <c r="CJ61" s="21" t="s">
        <v>114</v>
      </c>
      <c r="CK61" s="21" t="s">
        <v>114</v>
      </c>
      <c r="CL61" s="21" t="s">
        <v>114</v>
      </c>
      <c r="CM61" s="21" t="s">
        <v>114</v>
      </c>
      <c r="CN61" s="21" t="s">
        <v>114</v>
      </c>
      <c r="CO61" s="21" t="s">
        <v>114</v>
      </c>
      <c r="CP61" s="21" t="s">
        <v>114</v>
      </c>
      <c r="CQ61" s="21" t="s">
        <v>114</v>
      </c>
      <c r="CR61" s="21" t="s">
        <v>114</v>
      </c>
      <c r="CS61" s="21" t="s">
        <v>114</v>
      </c>
      <c r="CT61" s="21" t="s">
        <v>114</v>
      </c>
      <c r="CU61" s="21" t="s">
        <v>114</v>
      </c>
      <c r="CV61" s="21">
        <v>98424</v>
      </c>
      <c r="CW61" s="21" t="s">
        <v>114</v>
      </c>
      <c r="CX61" s="21" t="s">
        <v>114</v>
      </c>
      <c r="CY61" s="21" t="s">
        <v>114</v>
      </c>
      <c r="CZ61" s="21" t="s">
        <v>114</v>
      </c>
      <c r="DA61" s="21" t="s">
        <v>114</v>
      </c>
      <c r="DB61" s="21" t="s">
        <v>114</v>
      </c>
      <c r="DC61" s="21" t="s">
        <v>114</v>
      </c>
      <c r="DD61" s="21" t="s">
        <v>114</v>
      </c>
      <c r="DE61" s="21" t="s">
        <v>114</v>
      </c>
      <c r="DF61" s="19" t="s">
        <v>114</v>
      </c>
      <c r="DG61" s="19" t="s">
        <v>114</v>
      </c>
      <c r="DH61" s="19" t="s">
        <v>114</v>
      </c>
      <c r="DI61" s="19" t="s">
        <v>114</v>
      </c>
      <c r="DJ61" s="19" t="s">
        <v>114</v>
      </c>
      <c r="DK61" s="19" t="s">
        <v>114</v>
      </c>
      <c r="DL61" s="19" t="s">
        <v>114</v>
      </c>
      <c r="DM61" s="19" t="s">
        <v>114</v>
      </c>
      <c r="DN61" s="19" t="s">
        <v>114</v>
      </c>
      <c r="DO61" s="19" t="s">
        <v>114</v>
      </c>
    </row>
    <row r="62" spans="1:119" hidden="1" x14ac:dyDescent="0.45">
      <c r="A62" s="2" t="s">
        <v>403</v>
      </c>
      <c r="B62" t="s">
        <v>404</v>
      </c>
      <c r="C62" s="2">
        <v>156</v>
      </c>
      <c r="D62" s="6">
        <v>206</v>
      </c>
      <c r="E62" s="2" t="s">
        <v>405</v>
      </c>
      <c r="F62" t="s">
        <v>405</v>
      </c>
      <c r="G62" t="s">
        <v>2042</v>
      </c>
      <c r="H62" s="2" t="s">
        <v>406</v>
      </c>
      <c r="I62" s="2" t="s">
        <v>405</v>
      </c>
      <c r="J62" s="2">
        <v>142</v>
      </c>
      <c r="K62" t="s">
        <v>100</v>
      </c>
      <c r="L62" s="2">
        <v>30</v>
      </c>
      <c r="M62" t="s">
        <v>407</v>
      </c>
      <c r="P62" s="2" t="s">
        <v>100</v>
      </c>
      <c r="Q62" s="2" t="s">
        <v>155</v>
      </c>
      <c r="R62" s="4">
        <v>753</v>
      </c>
      <c r="S62" s="4" t="s">
        <v>525</v>
      </c>
      <c r="T62" s="4">
        <v>30</v>
      </c>
      <c r="U62" s="4" t="s">
        <v>407</v>
      </c>
      <c r="V62" t="s">
        <v>2461</v>
      </c>
      <c r="W62" t="s">
        <v>2461</v>
      </c>
      <c r="X62" t="s">
        <v>2443</v>
      </c>
      <c r="Y62" t="s">
        <v>407</v>
      </c>
      <c r="Z62" t="s">
        <v>405</v>
      </c>
      <c r="AA62" s="3" t="s">
        <v>405</v>
      </c>
      <c r="AB62" s="3" t="s">
        <v>404</v>
      </c>
      <c r="AC62" s="2" t="s">
        <v>138</v>
      </c>
      <c r="AD62" s="4" t="s">
        <v>1891</v>
      </c>
      <c r="AE62" t="s">
        <v>104</v>
      </c>
      <c r="AF62" t="s">
        <v>1885</v>
      </c>
      <c r="AG62" t="s">
        <v>1884</v>
      </c>
      <c r="AH62" t="s">
        <v>105</v>
      </c>
      <c r="AI62" s="3" t="s">
        <v>105</v>
      </c>
      <c r="AJ62" s="3" t="s">
        <v>106</v>
      </c>
      <c r="AK62" s="3" t="s">
        <v>107</v>
      </c>
      <c r="AL62" s="5" t="s">
        <v>408</v>
      </c>
      <c r="AM62" s="5" t="s">
        <v>404</v>
      </c>
      <c r="AO62" s="3" t="s">
        <v>119</v>
      </c>
      <c r="AP62" s="3" t="s">
        <v>120</v>
      </c>
      <c r="AQ62" s="3" t="s">
        <v>111</v>
      </c>
      <c r="AR62" s="3" t="s">
        <v>112</v>
      </c>
      <c r="AS62" s="3" t="s">
        <v>112</v>
      </c>
      <c r="AT62" s="3" t="s">
        <v>113</v>
      </c>
      <c r="AU62" s="3" t="s">
        <v>2303</v>
      </c>
      <c r="AV62" s="3" t="s">
        <v>2302</v>
      </c>
      <c r="AW62" s="3" t="s">
        <v>2300</v>
      </c>
      <c r="AX62" s="3" t="s">
        <v>2006</v>
      </c>
      <c r="AY62" s="19" t="s">
        <v>114</v>
      </c>
      <c r="AZ62" s="19" t="s">
        <v>114</v>
      </c>
      <c r="BA62" s="19" t="s">
        <v>114</v>
      </c>
      <c r="BB62" s="19" t="s">
        <v>114</v>
      </c>
      <c r="BC62" s="19" t="s">
        <v>114</v>
      </c>
      <c r="BD62" s="19" t="s">
        <v>114</v>
      </c>
      <c r="BE62" s="19" t="s">
        <v>114</v>
      </c>
      <c r="BF62" s="19" t="s">
        <v>114</v>
      </c>
      <c r="BG62" s="19" t="s">
        <v>114</v>
      </c>
      <c r="BH62" s="19" t="s">
        <v>114</v>
      </c>
      <c r="BI62" s="19" t="s">
        <v>114</v>
      </c>
      <c r="BJ62" s="19" t="s">
        <v>114</v>
      </c>
      <c r="BK62" s="19" t="s">
        <v>114</v>
      </c>
      <c r="BL62" s="19" t="s">
        <v>114</v>
      </c>
      <c r="BM62" s="19" t="s">
        <v>114</v>
      </c>
      <c r="BN62" s="19" t="s">
        <v>114</v>
      </c>
      <c r="BO62" s="19" t="s">
        <v>114</v>
      </c>
      <c r="BP62" s="19" t="s">
        <v>114</v>
      </c>
      <c r="BQ62" s="19" t="s">
        <v>114</v>
      </c>
      <c r="BR62" s="19" t="s">
        <v>114</v>
      </c>
      <c r="BS62" s="19" t="s">
        <v>114</v>
      </c>
      <c r="BT62" s="19" t="s">
        <v>114</v>
      </c>
      <c r="BU62" s="19" t="s">
        <v>114</v>
      </c>
      <c r="BV62" s="19" t="s">
        <v>114</v>
      </c>
      <c r="BW62" s="19" t="s">
        <v>114</v>
      </c>
      <c r="BX62" s="19" t="s">
        <v>114</v>
      </c>
      <c r="BY62" s="19" t="s">
        <v>114</v>
      </c>
      <c r="BZ62" s="21" t="s">
        <v>114</v>
      </c>
      <c r="CA62" s="21" t="s">
        <v>114</v>
      </c>
      <c r="CB62" s="21" t="s">
        <v>114</v>
      </c>
      <c r="CC62" s="21" t="s">
        <v>114</v>
      </c>
      <c r="CD62" s="21" t="s">
        <v>114</v>
      </c>
      <c r="CE62" s="21" t="s">
        <v>114</v>
      </c>
      <c r="CF62" s="19" t="s">
        <v>114</v>
      </c>
      <c r="CG62" s="19" t="s">
        <v>114</v>
      </c>
      <c r="CH62" s="19" t="s">
        <v>114</v>
      </c>
      <c r="CI62" s="21" t="s">
        <v>114</v>
      </c>
      <c r="CJ62" s="21">
        <v>98400</v>
      </c>
      <c r="CK62" s="21" t="s">
        <v>114</v>
      </c>
      <c r="CL62" s="21" t="s">
        <v>114</v>
      </c>
      <c r="CM62" s="21" t="s">
        <v>114</v>
      </c>
      <c r="CN62" s="21">
        <v>98408</v>
      </c>
      <c r="CO62" s="21" t="s">
        <v>114</v>
      </c>
      <c r="CP62" s="21" t="s">
        <v>114</v>
      </c>
      <c r="CQ62" s="21" t="s">
        <v>114</v>
      </c>
      <c r="CR62" s="21" t="s">
        <v>114</v>
      </c>
      <c r="CS62" s="21" t="s">
        <v>114</v>
      </c>
      <c r="CT62" s="21" t="s">
        <v>114</v>
      </c>
      <c r="CU62" s="21" t="s">
        <v>114</v>
      </c>
      <c r="CV62" s="21" t="s">
        <v>114</v>
      </c>
      <c r="CW62" s="21" t="s">
        <v>114</v>
      </c>
      <c r="CX62" s="21" t="s">
        <v>114</v>
      </c>
      <c r="CY62" s="21" t="s">
        <v>114</v>
      </c>
      <c r="CZ62" s="21" t="s">
        <v>114</v>
      </c>
      <c r="DA62" s="21" t="s">
        <v>114</v>
      </c>
      <c r="DB62" s="21" t="s">
        <v>114</v>
      </c>
      <c r="DC62" s="21" t="s">
        <v>114</v>
      </c>
      <c r="DD62" s="21">
        <v>98437</v>
      </c>
      <c r="DE62" s="21" t="s">
        <v>114</v>
      </c>
      <c r="DF62" s="19" t="s">
        <v>114</v>
      </c>
      <c r="DG62" s="19" t="s">
        <v>114</v>
      </c>
      <c r="DH62" s="19" t="s">
        <v>114</v>
      </c>
      <c r="DI62" s="19" t="s">
        <v>114</v>
      </c>
      <c r="DJ62" s="19" t="s">
        <v>114</v>
      </c>
      <c r="DK62" s="19" t="s">
        <v>114</v>
      </c>
      <c r="DL62" s="19" t="s">
        <v>114</v>
      </c>
      <c r="DM62" s="19" t="s">
        <v>114</v>
      </c>
      <c r="DN62" s="19" t="s">
        <v>114</v>
      </c>
      <c r="DO62" s="19" t="s">
        <v>114</v>
      </c>
    </row>
    <row r="63" spans="1:119" hidden="1" x14ac:dyDescent="0.45">
      <c r="A63" s="2" t="s">
        <v>409</v>
      </c>
      <c r="B63" t="s">
        <v>410</v>
      </c>
      <c r="C63" s="2">
        <v>344</v>
      </c>
      <c r="D63" s="6">
        <v>207</v>
      </c>
      <c r="E63" s="2" t="s">
        <v>1588</v>
      </c>
      <c r="F63" t="s">
        <v>412</v>
      </c>
      <c r="H63" s="2" t="s">
        <v>413</v>
      </c>
      <c r="I63" s="2" t="s">
        <v>414</v>
      </c>
      <c r="J63" s="2">
        <v>142</v>
      </c>
      <c r="K63" t="s">
        <v>100</v>
      </c>
      <c r="L63" s="2">
        <v>30</v>
      </c>
      <c r="M63" t="s">
        <v>407</v>
      </c>
      <c r="P63" s="2" t="s">
        <v>100</v>
      </c>
      <c r="Q63" s="2" t="s">
        <v>155</v>
      </c>
      <c r="R63" s="4">
        <v>753</v>
      </c>
      <c r="S63" s="4" t="s">
        <v>525</v>
      </c>
      <c r="T63" s="4">
        <v>30</v>
      </c>
      <c r="U63" s="4" t="s">
        <v>407</v>
      </c>
      <c r="V63" t="s">
        <v>2461</v>
      </c>
      <c r="W63" t="s">
        <v>2461</v>
      </c>
      <c r="X63" t="s">
        <v>2443</v>
      </c>
      <c r="Y63" t="s">
        <v>407</v>
      </c>
      <c r="Z63" t="s">
        <v>405</v>
      </c>
      <c r="AA63" s="3" t="s">
        <v>405</v>
      </c>
      <c r="AB63" s="3" t="s">
        <v>404</v>
      </c>
      <c r="AC63" s="2" t="s">
        <v>130</v>
      </c>
      <c r="AD63" s="4" t="s">
        <v>1891</v>
      </c>
      <c r="AE63" t="s">
        <v>104</v>
      </c>
      <c r="AF63" t="s">
        <v>1886</v>
      </c>
      <c r="AG63" t="s">
        <v>1884</v>
      </c>
      <c r="AH63" t="s">
        <v>105</v>
      </c>
      <c r="AI63" s="3" t="s">
        <v>105</v>
      </c>
      <c r="AJ63" s="3" t="s">
        <v>106</v>
      </c>
      <c r="AK63" s="3" t="s">
        <v>107</v>
      </c>
      <c r="AL63" s="5" t="s">
        <v>415</v>
      </c>
      <c r="AM63" s="5" t="s">
        <v>109</v>
      </c>
      <c r="AO63" s="3" t="s">
        <v>119</v>
      </c>
      <c r="AP63" s="3" t="s">
        <v>120</v>
      </c>
      <c r="AQ63" s="3" t="s">
        <v>111</v>
      </c>
      <c r="AR63" s="3" t="s">
        <v>112</v>
      </c>
      <c r="AS63" s="3" t="s">
        <v>112</v>
      </c>
      <c r="AT63" s="3" t="s">
        <v>113</v>
      </c>
      <c r="AU63" s="3" t="s">
        <v>2303</v>
      </c>
      <c r="AV63" s="3" t="s">
        <v>2302</v>
      </c>
      <c r="AW63" s="3" t="s">
        <v>2300</v>
      </c>
      <c r="AX63" s="3" t="s">
        <v>2006</v>
      </c>
      <c r="AY63" s="19" t="s">
        <v>114</v>
      </c>
      <c r="AZ63" s="19" t="s">
        <v>114</v>
      </c>
      <c r="BA63" s="19" t="s">
        <v>114</v>
      </c>
      <c r="BB63" s="19" t="s">
        <v>114</v>
      </c>
      <c r="BC63" s="19" t="s">
        <v>114</v>
      </c>
      <c r="BD63" s="19" t="s">
        <v>114</v>
      </c>
      <c r="BE63" s="19" t="s">
        <v>114</v>
      </c>
      <c r="BF63" s="19" t="s">
        <v>114</v>
      </c>
      <c r="BG63" s="19" t="s">
        <v>114</v>
      </c>
      <c r="BH63" s="19" t="s">
        <v>114</v>
      </c>
      <c r="BI63" s="19" t="s">
        <v>114</v>
      </c>
      <c r="BJ63" s="19" t="s">
        <v>114</v>
      </c>
      <c r="BK63" s="19" t="s">
        <v>114</v>
      </c>
      <c r="BL63" s="19" t="s">
        <v>114</v>
      </c>
      <c r="BM63" s="19" t="s">
        <v>114</v>
      </c>
      <c r="BN63" s="19" t="s">
        <v>114</v>
      </c>
      <c r="BO63" s="19" t="s">
        <v>114</v>
      </c>
      <c r="BP63" s="19" t="s">
        <v>114</v>
      </c>
      <c r="BQ63" s="19" t="s">
        <v>114</v>
      </c>
      <c r="BR63" s="19" t="s">
        <v>114</v>
      </c>
      <c r="BS63" s="19" t="s">
        <v>114</v>
      </c>
      <c r="BT63" s="19" t="s">
        <v>114</v>
      </c>
      <c r="BU63" s="19" t="s">
        <v>114</v>
      </c>
      <c r="BV63" s="19" t="s">
        <v>114</v>
      </c>
      <c r="BW63" s="19" t="s">
        <v>114</v>
      </c>
      <c r="BX63" s="19" t="s">
        <v>114</v>
      </c>
      <c r="BY63" s="19" t="s">
        <v>114</v>
      </c>
      <c r="BZ63" s="21" t="s">
        <v>114</v>
      </c>
      <c r="CA63" s="21" t="s">
        <v>114</v>
      </c>
      <c r="CB63" s="21" t="s">
        <v>114</v>
      </c>
      <c r="CC63" s="21" t="s">
        <v>114</v>
      </c>
      <c r="CD63" s="21" t="s">
        <v>114</v>
      </c>
      <c r="CE63" s="21" t="s">
        <v>114</v>
      </c>
      <c r="CF63" s="19" t="s">
        <v>114</v>
      </c>
      <c r="CG63" s="19" t="s">
        <v>114</v>
      </c>
      <c r="CH63" s="19" t="s">
        <v>114</v>
      </c>
      <c r="CI63" s="21" t="s">
        <v>114</v>
      </c>
      <c r="CJ63" s="21">
        <v>98400</v>
      </c>
      <c r="CK63" s="21" t="s">
        <v>114</v>
      </c>
      <c r="CL63" s="21" t="s">
        <v>114</v>
      </c>
      <c r="CM63" s="21" t="s">
        <v>114</v>
      </c>
      <c r="CN63" s="21">
        <v>98408</v>
      </c>
      <c r="CO63" s="21" t="s">
        <v>114</v>
      </c>
      <c r="CP63" s="21" t="s">
        <v>114</v>
      </c>
      <c r="CQ63" s="21" t="s">
        <v>114</v>
      </c>
      <c r="CR63" s="21" t="s">
        <v>114</v>
      </c>
      <c r="CS63" s="21" t="s">
        <v>114</v>
      </c>
      <c r="CT63" s="21" t="s">
        <v>114</v>
      </c>
      <c r="CU63" s="21" t="s">
        <v>114</v>
      </c>
      <c r="CV63" s="21" t="s">
        <v>114</v>
      </c>
      <c r="CW63" s="21" t="s">
        <v>114</v>
      </c>
      <c r="CX63" s="21" t="s">
        <v>114</v>
      </c>
      <c r="CY63" s="21" t="s">
        <v>114</v>
      </c>
      <c r="CZ63" s="21" t="s">
        <v>114</v>
      </c>
      <c r="DA63" s="21" t="s">
        <v>114</v>
      </c>
      <c r="DB63" s="21" t="s">
        <v>114</v>
      </c>
      <c r="DC63" s="21">
        <v>98436</v>
      </c>
      <c r="DD63" s="21" t="s">
        <v>114</v>
      </c>
      <c r="DE63" s="21" t="s">
        <v>114</v>
      </c>
      <c r="DF63" s="19" t="s">
        <v>114</v>
      </c>
      <c r="DG63" s="19" t="s">
        <v>114</v>
      </c>
      <c r="DH63" s="19" t="s">
        <v>114</v>
      </c>
      <c r="DI63" s="19" t="s">
        <v>114</v>
      </c>
      <c r="DJ63" s="19" t="s">
        <v>114</v>
      </c>
      <c r="DK63" s="19" t="s">
        <v>114</v>
      </c>
      <c r="DL63" s="19" t="s">
        <v>114</v>
      </c>
      <c r="DM63" s="19" t="s">
        <v>114</v>
      </c>
      <c r="DN63" s="19" t="s">
        <v>114</v>
      </c>
      <c r="DO63" s="19" t="s">
        <v>114</v>
      </c>
    </row>
    <row r="64" spans="1:119" hidden="1" x14ac:dyDescent="0.45">
      <c r="A64" s="2" t="s">
        <v>416</v>
      </c>
      <c r="B64" t="s">
        <v>417</v>
      </c>
      <c r="C64" s="2">
        <v>446</v>
      </c>
      <c r="D64" s="6">
        <v>208</v>
      </c>
      <c r="E64" s="2" t="s">
        <v>1590</v>
      </c>
      <c r="F64" s="3" t="s">
        <v>419</v>
      </c>
      <c r="H64" s="2" t="s">
        <v>420</v>
      </c>
      <c r="I64" s="2" t="s">
        <v>421</v>
      </c>
      <c r="J64" s="2">
        <v>142</v>
      </c>
      <c r="K64" t="s">
        <v>100</v>
      </c>
      <c r="L64" s="2">
        <v>30</v>
      </c>
      <c r="M64" t="s">
        <v>407</v>
      </c>
      <c r="P64" s="2" t="s">
        <v>100</v>
      </c>
      <c r="Q64" s="2" t="s">
        <v>155</v>
      </c>
      <c r="R64" s="4">
        <v>753</v>
      </c>
      <c r="S64" s="4" t="s">
        <v>525</v>
      </c>
      <c r="T64" s="4">
        <v>30</v>
      </c>
      <c r="U64" s="4" t="s">
        <v>407</v>
      </c>
      <c r="V64" t="s">
        <v>2461</v>
      </c>
      <c r="W64" t="s">
        <v>2461</v>
      </c>
      <c r="X64" t="s">
        <v>2443</v>
      </c>
      <c r="Y64" t="s">
        <v>407</v>
      </c>
      <c r="Z64" s="3" t="s">
        <v>405</v>
      </c>
      <c r="AA64" s="3" t="s">
        <v>405</v>
      </c>
      <c r="AB64" s="3" t="s">
        <v>404</v>
      </c>
      <c r="AC64" s="2" t="s">
        <v>130</v>
      </c>
      <c r="AD64" s="4" t="s">
        <v>1891</v>
      </c>
      <c r="AE64" t="s">
        <v>104</v>
      </c>
      <c r="AF64" t="s">
        <v>1886</v>
      </c>
      <c r="AG64" t="s">
        <v>1884</v>
      </c>
      <c r="AH64" t="s">
        <v>105</v>
      </c>
      <c r="AI64" s="3" t="s">
        <v>105</v>
      </c>
      <c r="AJ64" s="3" t="s">
        <v>106</v>
      </c>
      <c r="AK64" s="3" t="s">
        <v>107</v>
      </c>
      <c r="AL64" s="5" t="s">
        <v>422</v>
      </c>
      <c r="AM64" s="5" t="s">
        <v>109</v>
      </c>
      <c r="AO64" s="3" t="s">
        <v>119</v>
      </c>
      <c r="AP64" s="3" t="s">
        <v>120</v>
      </c>
      <c r="AQ64" s="3" t="s">
        <v>111</v>
      </c>
      <c r="AR64" s="3" t="s">
        <v>112</v>
      </c>
      <c r="AS64" s="3" t="s">
        <v>112</v>
      </c>
      <c r="AT64" s="3" t="s">
        <v>113</v>
      </c>
      <c r="AU64" s="3" t="s">
        <v>2303</v>
      </c>
      <c r="AV64" s="3" t="s">
        <v>2302</v>
      </c>
      <c r="AW64" s="3" t="s">
        <v>2301</v>
      </c>
      <c r="AX64" t="s">
        <v>282</v>
      </c>
      <c r="AY64" s="19" t="s">
        <v>114</v>
      </c>
      <c r="AZ64" s="19" t="s">
        <v>114</v>
      </c>
      <c r="BA64" s="19" t="s">
        <v>114</v>
      </c>
      <c r="BB64" s="19" t="s">
        <v>114</v>
      </c>
      <c r="BC64" s="19" t="s">
        <v>114</v>
      </c>
      <c r="BD64" s="19" t="s">
        <v>114</v>
      </c>
      <c r="BE64" s="19" t="s">
        <v>114</v>
      </c>
      <c r="BF64" s="19" t="s">
        <v>114</v>
      </c>
      <c r="BG64" s="19" t="s">
        <v>114</v>
      </c>
      <c r="BH64" s="19" t="s">
        <v>114</v>
      </c>
      <c r="BI64" s="19" t="s">
        <v>114</v>
      </c>
      <c r="BJ64" s="19" t="s">
        <v>114</v>
      </c>
      <c r="BK64" s="19" t="s">
        <v>114</v>
      </c>
      <c r="BL64" s="19" t="s">
        <v>114</v>
      </c>
      <c r="BM64" s="19" t="s">
        <v>114</v>
      </c>
      <c r="BN64" s="19" t="s">
        <v>114</v>
      </c>
      <c r="BO64" s="19" t="s">
        <v>114</v>
      </c>
      <c r="BP64" s="19" t="s">
        <v>114</v>
      </c>
      <c r="BQ64" s="19" t="s">
        <v>114</v>
      </c>
      <c r="BR64" s="19" t="s">
        <v>114</v>
      </c>
      <c r="BS64" s="19" t="s">
        <v>114</v>
      </c>
      <c r="BT64" s="19" t="s">
        <v>114</v>
      </c>
      <c r="BU64" s="19" t="s">
        <v>114</v>
      </c>
      <c r="BV64" s="19" t="s">
        <v>114</v>
      </c>
      <c r="BW64" s="19" t="s">
        <v>114</v>
      </c>
      <c r="BX64" s="19" t="s">
        <v>114</v>
      </c>
      <c r="BY64" s="19" t="s">
        <v>114</v>
      </c>
      <c r="BZ64" s="21" t="s">
        <v>114</v>
      </c>
      <c r="CA64" s="21" t="s">
        <v>114</v>
      </c>
      <c r="CB64" s="21" t="s">
        <v>114</v>
      </c>
      <c r="CC64" s="21" t="s">
        <v>114</v>
      </c>
      <c r="CD64" s="21" t="s">
        <v>114</v>
      </c>
      <c r="CE64" s="21" t="s">
        <v>114</v>
      </c>
      <c r="CF64" s="19" t="s">
        <v>114</v>
      </c>
      <c r="CG64" s="19" t="s">
        <v>114</v>
      </c>
      <c r="CH64" s="19" t="s">
        <v>114</v>
      </c>
      <c r="CI64" s="21" t="s">
        <v>114</v>
      </c>
      <c r="CJ64" s="21">
        <v>98400</v>
      </c>
      <c r="CK64" s="21" t="s">
        <v>114</v>
      </c>
      <c r="CL64" s="21" t="s">
        <v>114</v>
      </c>
      <c r="CM64" s="21" t="s">
        <v>114</v>
      </c>
      <c r="CN64" s="21">
        <v>98408</v>
      </c>
      <c r="CO64" s="21" t="s">
        <v>114</v>
      </c>
      <c r="CP64" s="21" t="s">
        <v>114</v>
      </c>
      <c r="CQ64" s="21" t="s">
        <v>114</v>
      </c>
      <c r="CR64" s="21" t="s">
        <v>114</v>
      </c>
      <c r="CS64" s="21" t="s">
        <v>114</v>
      </c>
      <c r="CT64" s="21" t="s">
        <v>114</v>
      </c>
      <c r="CU64" s="21" t="s">
        <v>114</v>
      </c>
      <c r="CV64" s="21" t="s">
        <v>114</v>
      </c>
      <c r="CW64" s="21" t="s">
        <v>114</v>
      </c>
      <c r="CX64" s="21" t="s">
        <v>114</v>
      </c>
      <c r="CY64" s="21" t="s">
        <v>114</v>
      </c>
      <c r="CZ64" s="21" t="s">
        <v>114</v>
      </c>
      <c r="DA64" s="21" t="s">
        <v>114</v>
      </c>
      <c r="DB64" s="21" t="s">
        <v>114</v>
      </c>
      <c r="DC64" s="21">
        <v>98436</v>
      </c>
      <c r="DD64" s="21" t="s">
        <v>114</v>
      </c>
      <c r="DE64" s="21" t="s">
        <v>114</v>
      </c>
      <c r="DF64" s="19" t="s">
        <v>114</v>
      </c>
      <c r="DG64" s="19" t="s">
        <v>114</v>
      </c>
      <c r="DH64" s="19" t="s">
        <v>114</v>
      </c>
      <c r="DI64" s="19" t="s">
        <v>114</v>
      </c>
      <c r="DJ64" s="19" t="s">
        <v>114</v>
      </c>
      <c r="DK64" s="19" t="s">
        <v>114</v>
      </c>
      <c r="DL64" s="19" t="s">
        <v>114</v>
      </c>
      <c r="DM64" s="19" t="s">
        <v>114</v>
      </c>
      <c r="DN64" s="19" t="s">
        <v>114</v>
      </c>
      <c r="DO64" s="19" t="s">
        <v>114</v>
      </c>
    </row>
    <row r="65" spans="1:119" hidden="1" x14ac:dyDescent="0.45">
      <c r="A65" s="2" t="s">
        <v>423</v>
      </c>
      <c r="B65" t="s">
        <v>424</v>
      </c>
      <c r="C65" s="2">
        <v>158</v>
      </c>
      <c r="D65" s="6">
        <v>209</v>
      </c>
      <c r="E65" s="2" t="s">
        <v>425</v>
      </c>
      <c r="F65" t="s">
        <v>425</v>
      </c>
      <c r="H65" s="2" t="s">
        <v>426</v>
      </c>
      <c r="I65" s="2" t="s">
        <v>427</v>
      </c>
      <c r="J65" s="2">
        <v>142</v>
      </c>
      <c r="K65" t="s">
        <v>100</v>
      </c>
      <c r="L65" s="2">
        <v>30</v>
      </c>
      <c r="M65" t="s">
        <v>407</v>
      </c>
      <c r="P65" s="2" t="s">
        <v>100</v>
      </c>
      <c r="Q65" s="2" t="s">
        <v>155</v>
      </c>
      <c r="R65" s="4">
        <v>753</v>
      </c>
      <c r="S65" s="4" t="s">
        <v>525</v>
      </c>
      <c r="T65" s="4">
        <v>30</v>
      </c>
      <c r="U65" s="4" t="s">
        <v>407</v>
      </c>
      <c r="V65" t="s">
        <v>2463</v>
      </c>
      <c r="W65" t="s">
        <v>2463</v>
      </c>
      <c r="X65" t="s">
        <v>2443</v>
      </c>
      <c r="Y65" t="s">
        <v>407</v>
      </c>
      <c r="Z65" t="s">
        <v>1933</v>
      </c>
      <c r="AA65" s="3" t="s">
        <v>405</v>
      </c>
      <c r="AB65" s="3" t="s">
        <v>404</v>
      </c>
      <c r="AC65" s="2" t="s">
        <v>130</v>
      </c>
      <c r="AD65" s="4" t="s">
        <v>1891</v>
      </c>
      <c r="AE65" t="s">
        <v>104</v>
      </c>
      <c r="AF65" t="s">
        <v>1886</v>
      </c>
      <c r="AG65" t="s">
        <v>1884</v>
      </c>
      <c r="AH65" t="s">
        <v>105</v>
      </c>
      <c r="AI65" s="3" t="s">
        <v>105</v>
      </c>
      <c r="AJ65" s="3" t="s">
        <v>106</v>
      </c>
      <c r="AK65" s="3" t="s">
        <v>107</v>
      </c>
      <c r="AL65" s="5" t="s">
        <v>428</v>
      </c>
      <c r="AM65" s="5" t="s">
        <v>109</v>
      </c>
      <c r="AO65" s="3" t="s">
        <v>119</v>
      </c>
      <c r="AP65" s="3" t="s">
        <v>120</v>
      </c>
      <c r="AQ65" s="3" t="s">
        <v>111</v>
      </c>
      <c r="AR65" s="3" t="s">
        <v>112</v>
      </c>
      <c r="AS65" s="3" t="s">
        <v>112</v>
      </c>
      <c r="AT65" s="3" t="s">
        <v>113</v>
      </c>
      <c r="AU65" s="3" t="s">
        <v>2303</v>
      </c>
      <c r="AV65" s="3" t="s">
        <v>2302</v>
      </c>
      <c r="AW65" s="3" t="s">
        <v>2301</v>
      </c>
      <c r="AX65" s="3" t="s">
        <v>2006</v>
      </c>
      <c r="AY65" s="19" t="s">
        <v>114</v>
      </c>
      <c r="AZ65" s="19" t="s">
        <v>114</v>
      </c>
      <c r="BA65" s="19" t="s">
        <v>114</v>
      </c>
      <c r="BB65" s="19" t="s">
        <v>114</v>
      </c>
      <c r="BC65" s="19" t="s">
        <v>114</v>
      </c>
      <c r="BD65" s="19" t="s">
        <v>114</v>
      </c>
      <c r="BE65" s="19" t="s">
        <v>114</v>
      </c>
      <c r="BF65" s="19" t="s">
        <v>114</v>
      </c>
      <c r="BG65" s="19" t="s">
        <v>114</v>
      </c>
      <c r="BH65" s="19" t="s">
        <v>114</v>
      </c>
      <c r="BI65" s="19" t="s">
        <v>114</v>
      </c>
      <c r="BJ65" s="19" t="s">
        <v>114</v>
      </c>
      <c r="BK65" s="19" t="s">
        <v>114</v>
      </c>
      <c r="BL65" s="19" t="s">
        <v>114</v>
      </c>
      <c r="BM65" s="19" t="s">
        <v>114</v>
      </c>
      <c r="BN65" s="19" t="s">
        <v>114</v>
      </c>
      <c r="BO65" s="19" t="s">
        <v>114</v>
      </c>
      <c r="BP65" s="19" t="s">
        <v>114</v>
      </c>
      <c r="BQ65" s="19" t="s">
        <v>114</v>
      </c>
      <c r="BR65" s="19" t="s">
        <v>114</v>
      </c>
      <c r="BS65" s="19" t="s">
        <v>114</v>
      </c>
      <c r="BT65" s="19" t="s">
        <v>114</v>
      </c>
      <c r="BU65" s="19" t="s">
        <v>114</v>
      </c>
      <c r="BV65" s="19" t="s">
        <v>114</v>
      </c>
      <c r="BW65" s="19" t="s">
        <v>114</v>
      </c>
      <c r="BX65" s="19" t="s">
        <v>114</v>
      </c>
      <c r="BY65" s="19" t="s">
        <v>114</v>
      </c>
      <c r="BZ65" s="21" t="s">
        <v>114</v>
      </c>
      <c r="CA65" s="21" t="s">
        <v>114</v>
      </c>
      <c r="CB65" s="21" t="s">
        <v>114</v>
      </c>
      <c r="CC65" s="21" t="s">
        <v>114</v>
      </c>
      <c r="CD65" s="21" t="s">
        <v>114</v>
      </c>
      <c r="CE65" s="21" t="s">
        <v>114</v>
      </c>
      <c r="CF65" s="19" t="s">
        <v>114</v>
      </c>
      <c r="CG65" s="19" t="s">
        <v>114</v>
      </c>
      <c r="CH65" s="19" t="s">
        <v>114</v>
      </c>
      <c r="CI65" s="21" t="s">
        <v>114</v>
      </c>
      <c r="CJ65" s="21" t="s">
        <v>114</v>
      </c>
      <c r="CK65" s="21" t="s">
        <v>114</v>
      </c>
      <c r="CL65" s="21" t="s">
        <v>114</v>
      </c>
      <c r="CM65" s="21" t="s">
        <v>114</v>
      </c>
      <c r="CN65" s="21" t="s">
        <v>114</v>
      </c>
      <c r="CO65" s="21" t="s">
        <v>114</v>
      </c>
      <c r="CP65" s="21" t="s">
        <v>114</v>
      </c>
      <c r="CQ65" s="21" t="s">
        <v>114</v>
      </c>
      <c r="CR65" s="21" t="s">
        <v>114</v>
      </c>
      <c r="CS65" s="21" t="s">
        <v>114</v>
      </c>
      <c r="CT65" s="21" t="s">
        <v>114</v>
      </c>
      <c r="CU65" s="21" t="s">
        <v>114</v>
      </c>
      <c r="CV65" s="21" t="s">
        <v>114</v>
      </c>
      <c r="CW65" s="21" t="s">
        <v>114</v>
      </c>
      <c r="CX65" s="21">
        <v>98426</v>
      </c>
      <c r="CY65" s="21" t="s">
        <v>114</v>
      </c>
      <c r="CZ65" s="21" t="s">
        <v>114</v>
      </c>
      <c r="DA65" s="21" t="s">
        <v>114</v>
      </c>
      <c r="DB65" s="21" t="s">
        <v>114</v>
      </c>
      <c r="DC65" s="21" t="s">
        <v>114</v>
      </c>
      <c r="DD65" s="21" t="s">
        <v>114</v>
      </c>
      <c r="DE65" s="21" t="s">
        <v>114</v>
      </c>
      <c r="DF65" s="19" t="s">
        <v>114</v>
      </c>
      <c r="DG65" s="19" t="s">
        <v>114</v>
      </c>
      <c r="DH65" s="19" t="s">
        <v>114</v>
      </c>
      <c r="DI65" s="19" t="s">
        <v>114</v>
      </c>
      <c r="DJ65" s="19" t="s">
        <v>114</v>
      </c>
      <c r="DK65" s="19" t="s">
        <v>114</v>
      </c>
      <c r="DL65" s="19" t="s">
        <v>114</v>
      </c>
      <c r="DM65" s="19" t="s">
        <v>114</v>
      </c>
      <c r="DN65" s="19" t="s">
        <v>114</v>
      </c>
      <c r="DO65" s="19" t="s">
        <v>114</v>
      </c>
    </row>
    <row r="66" spans="1:119" x14ac:dyDescent="0.45">
      <c r="A66" s="4"/>
      <c r="B66" s="3" t="s">
        <v>115</v>
      </c>
      <c r="C66" s="4">
        <v>2</v>
      </c>
      <c r="D66" s="7">
        <v>100</v>
      </c>
      <c r="E66" s="4" t="s">
        <v>116</v>
      </c>
      <c r="F66" t="s">
        <v>116</v>
      </c>
      <c r="H66" s="2" t="s">
        <v>117</v>
      </c>
      <c r="I66" s="2" t="s">
        <v>116</v>
      </c>
      <c r="J66" s="2">
        <v>2</v>
      </c>
      <c r="K66" t="s">
        <v>116</v>
      </c>
      <c r="L66" s="2">
        <v>2</v>
      </c>
      <c r="M66" t="s">
        <v>116</v>
      </c>
      <c r="P66" s="4" t="s">
        <v>116</v>
      </c>
      <c r="Q66" s="2"/>
      <c r="R66" s="4"/>
      <c r="S66" s="4"/>
      <c r="T66" s="4"/>
      <c r="U66" s="4"/>
      <c r="V66" t="e">
        <v>#N/A</v>
      </c>
      <c r="W66" t="e">
        <v>#N/A</v>
      </c>
      <c r="X66" t="e">
        <v>#N/A</v>
      </c>
      <c r="AA66" t="s">
        <v>2511</v>
      </c>
      <c r="AB66" t="s">
        <v>282</v>
      </c>
      <c r="AC66" s="4" t="s">
        <v>1888</v>
      </c>
      <c r="AD66" s="4" t="s">
        <v>1888</v>
      </c>
      <c r="AE66" t="s">
        <v>158</v>
      </c>
      <c r="AF66" t="s">
        <v>1886</v>
      </c>
      <c r="AG66" s="3" t="s">
        <v>158</v>
      </c>
      <c r="AH66" t="s">
        <v>105</v>
      </c>
      <c r="AI66" s="3" t="s">
        <v>105</v>
      </c>
      <c r="AJ66" s="3" t="s">
        <v>106</v>
      </c>
      <c r="AK66" s="3" t="s">
        <v>118</v>
      </c>
      <c r="AL66" s="5"/>
      <c r="AM66" s="5" t="s">
        <v>109</v>
      </c>
      <c r="AO66" s="3" t="s">
        <v>119</v>
      </c>
      <c r="AP66" s="3" t="s">
        <v>120</v>
      </c>
      <c r="AQ66" s="3" t="s">
        <v>111</v>
      </c>
      <c r="AR66" s="3" t="s">
        <v>112</v>
      </c>
      <c r="AS66" s="3" t="s">
        <v>112</v>
      </c>
      <c r="AT66" s="3" t="s">
        <v>113</v>
      </c>
      <c r="AU66" s="3" t="s">
        <v>2303</v>
      </c>
      <c r="AV66" s="3" t="s">
        <v>2302</v>
      </c>
      <c r="AW66" s="3" t="s">
        <v>2301</v>
      </c>
      <c r="AX66" t="s">
        <v>282</v>
      </c>
      <c r="AY66" s="19" t="s">
        <v>114</v>
      </c>
      <c r="AZ66" s="19" t="s">
        <v>114</v>
      </c>
      <c r="BA66" s="19" t="s">
        <v>114</v>
      </c>
      <c r="BB66" s="19" t="s">
        <v>114</v>
      </c>
      <c r="BC66" s="19" t="s">
        <v>114</v>
      </c>
      <c r="BD66" s="19" t="s">
        <v>114</v>
      </c>
      <c r="BE66" s="19" t="s">
        <v>114</v>
      </c>
      <c r="BF66" s="19" t="s">
        <v>114</v>
      </c>
      <c r="BG66" s="19" t="s">
        <v>114</v>
      </c>
      <c r="BH66" s="19" t="s">
        <v>114</v>
      </c>
      <c r="BI66" s="19" t="s">
        <v>114</v>
      </c>
      <c r="BJ66" s="19" t="s">
        <v>114</v>
      </c>
      <c r="BK66" s="19" t="s">
        <v>114</v>
      </c>
      <c r="BL66" s="19" t="s">
        <v>114</v>
      </c>
      <c r="BM66" s="19" t="s">
        <v>114</v>
      </c>
      <c r="BN66" s="19" t="s">
        <v>114</v>
      </c>
      <c r="BO66" s="19" t="s">
        <v>114</v>
      </c>
      <c r="BP66" s="19" t="s">
        <v>114</v>
      </c>
      <c r="BQ66" s="19" t="s">
        <v>114</v>
      </c>
      <c r="BR66" s="19" t="s">
        <v>114</v>
      </c>
      <c r="BS66" s="19" t="s">
        <v>114</v>
      </c>
      <c r="BT66" s="19" t="s">
        <v>114</v>
      </c>
      <c r="BU66" s="19" t="s">
        <v>114</v>
      </c>
      <c r="BV66" s="19" t="s">
        <v>114</v>
      </c>
      <c r="BW66" s="19" t="s">
        <v>114</v>
      </c>
      <c r="BX66" s="19" t="s">
        <v>114</v>
      </c>
      <c r="BY66" s="19" t="s">
        <v>114</v>
      </c>
      <c r="BZ66" s="21" t="s">
        <v>114</v>
      </c>
      <c r="CA66" s="21" t="s">
        <v>114</v>
      </c>
      <c r="CB66" s="21" t="s">
        <v>114</v>
      </c>
      <c r="CC66" s="21" t="s">
        <v>114</v>
      </c>
      <c r="CD66" s="21" t="s">
        <v>114</v>
      </c>
      <c r="CE66" s="21" t="s">
        <v>114</v>
      </c>
      <c r="CF66" s="19" t="s">
        <v>114</v>
      </c>
      <c r="CG66" s="19" t="s">
        <v>114</v>
      </c>
      <c r="CH66" s="19" t="s">
        <v>114</v>
      </c>
      <c r="CI66" s="21" t="s">
        <v>114</v>
      </c>
      <c r="CJ66" s="21" t="s">
        <v>114</v>
      </c>
      <c r="CK66" s="21" t="s">
        <v>114</v>
      </c>
      <c r="CL66" s="21" t="s">
        <v>114</v>
      </c>
      <c r="CM66" s="21" t="s">
        <v>114</v>
      </c>
      <c r="CN66" s="21" t="s">
        <v>114</v>
      </c>
      <c r="CO66" s="21" t="s">
        <v>114</v>
      </c>
      <c r="CP66" s="21" t="s">
        <v>114</v>
      </c>
      <c r="CQ66" s="21" t="s">
        <v>114</v>
      </c>
      <c r="CR66" s="21" t="s">
        <v>114</v>
      </c>
      <c r="CS66" s="21" t="s">
        <v>114</v>
      </c>
      <c r="CT66" s="21" t="s">
        <v>114</v>
      </c>
      <c r="CU66" s="21" t="s">
        <v>114</v>
      </c>
      <c r="CV66" s="21" t="s">
        <v>114</v>
      </c>
      <c r="CW66" s="21" t="s">
        <v>114</v>
      </c>
      <c r="CX66" s="21" t="s">
        <v>114</v>
      </c>
      <c r="CY66" s="21" t="s">
        <v>114</v>
      </c>
      <c r="CZ66" s="21" t="s">
        <v>114</v>
      </c>
      <c r="DA66" s="21" t="s">
        <v>114</v>
      </c>
      <c r="DB66" s="21" t="s">
        <v>114</v>
      </c>
      <c r="DC66" s="21" t="s">
        <v>114</v>
      </c>
      <c r="DD66" s="21" t="s">
        <v>114</v>
      </c>
      <c r="DE66" s="21" t="s">
        <v>114</v>
      </c>
      <c r="DF66" s="19" t="s">
        <v>114</v>
      </c>
      <c r="DG66" s="19" t="s">
        <v>114</v>
      </c>
      <c r="DH66" s="19" t="s">
        <v>114</v>
      </c>
      <c r="DI66" s="19" t="s">
        <v>114</v>
      </c>
      <c r="DJ66" s="19" t="s">
        <v>114</v>
      </c>
      <c r="DK66" s="19" t="s">
        <v>114</v>
      </c>
      <c r="DL66" s="19" t="s">
        <v>114</v>
      </c>
      <c r="DM66" s="19" t="s">
        <v>114</v>
      </c>
      <c r="DN66" s="19" t="s">
        <v>114</v>
      </c>
      <c r="DO66" s="19" t="s">
        <v>114</v>
      </c>
    </row>
    <row r="67" spans="1:119" x14ac:dyDescent="0.45">
      <c r="A67" s="2"/>
      <c r="B67" t="s">
        <v>2309</v>
      </c>
      <c r="C67" s="2">
        <v>19</v>
      </c>
      <c r="D67" s="6"/>
      <c r="E67" s="2"/>
      <c r="F67" s="2" t="s">
        <v>157</v>
      </c>
      <c r="H67" s="2"/>
      <c r="J67" s="2">
        <v>19</v>
      </c>
      <c r="K67" t="s">
        <v>157</v>
      </c>
      <c r="L67" s="2">
        <v>19</v>
      </c>
      <c r="M67" t="s">
        <v>157</v>
      </c>
      <c r="P67" s="2"/>
      <c r="Q67" s="2"/>
      <c r="R67" s="2"/>
      <c r="S67" s="2"/>
      <c r="T67" s="2"/>
      <c r="U67" s="2"/>
      <c r="V67" t="e">
        <v>#N/A</v>
      </c>
      <c r="W67" t="e">
        <v>#N/A</v>
      </c>
      <c r="X67" t="e">
        <v>#N/A</v>
      </c>
      <c r="AA67" t="s">
        <v>2511</v>
      </c>
      <c r="AB67" t="s">
        <v>282</v>
      </c>
      <c r="AC67" s="2" t="s">
        <v>1888</v>
      </c>
      <c r="AD67" s="2" t="s">
        <v>1888</v>
      </c>
      <c r="AE67" t="s">
        <v>158</v>
      </c>
      <c r="AF67" t="s">
        <v>1886</v>
      </c>
      <c r="AG67" t="s">
        <v>158</v>
      </c>
      <c r="AK67" t="s">
        <v>118</v>
      </c>
      <c r="AL67" s="5"/>
      <c r="AO67" s="3" t="s">
        <v>119</v>
      </c>
      <c r="AP67" s="3" t="s">
        <v>120</v>
      </c>
      <c r="AQ67" s="3" t="s">
        <v>111</v>
      </c>
      <c r="AR67" s="3" t="s">
        <v>112</v>
      </c>
      <c r="AS67" s="3" t="s">
        <v>112</v>
      </c>
      <c r="AU67" s="3" t="s">
        <v>2303</v>
      </c>
      <c r="AV67" s="3" t="s">
        <v>2302</v>
      </c>
      <c r="AW67" s="3" t="s">
        <v>2301</v>
      </c>
      <c r="AX67" s="3" t="s">
        <v>2006</v>
      </c>
      <c r="AY67" s="19" t="s">
        <v>114</v>
      </c>
      <c r="AZ67" s="19" t="s">
        <v>114</v>
      </c>
      <c r="BA67" s="19" t="s">
        <v>114</v>
      </c>
      <c r="BB67" s="19" t="s">
        <v>114</v>
      </c>
      <c r="BC67" s="19" t="s">
        <v>114</v>
      </c>
      <c r="BD67" s="19" t="s">
        <v>114</v>
      </c>
      <c r="BE67" s="19" t="s">
        <v>114</v>
      </c>
      <c r="BF67" s="19" t="s">
        <v>114</v>
      </c>
      <c r="BG67" s="19" t="s">
        <v>114</v>
      </c>
      <c r="BH67" s="19" t="s">
        <v>114</v>
      </c>
      <c r="BI67" s="19" t="s">
        <v>114</v>
      </c>
      <c r="BJ67" s="19" t="s">
        <v>114</v>
      </c>
      <c r="BK67" s="19" t="s">
        <v>114</v>
      </c>
      <c r="BL67" s="19" t="s">
        <v>114</v>
      </c>
      <c r="BM67" s="19" t="s">
        <v>114</v>
      </c>
      <c r="BN67" s="19" t="s">
        <v>114</v>
      </c>
      <c r="BO67" s="19" t="s">
        <v>114</v>
      </c>
      <c r="BP67" s="19" t="s">
        <v>114</v>
      </c>
      <c r="BQ67" s="19" t="s">
        <v>114</v>
      </c>
      <c r="BR67" s="19" t="s">
        <v>114</v>
      </c>
      <c r="BS67" s="19" t="s">
        <v>114</v>
      </c>
      <c r="BT67" s="19" t="s">
        <v>114</v>
      </c>
      <c r="BU67" s="19" t="s">
        <v>114</v>
      </c>
      <c r="BV67" s="19" t="s">
        <v>114</v>
      </c>
      <c r="BW67" s="19" t="s">
        <v>114</v>
      </c>
      <c r="BX67" s="19" t="s">
        <v>114</v>
      </c>
      <c r="BY67" s="19" t="s">
        <v>114</v>
      </c>
      <c r="BZ67" s="21" t="s">
        <v>114</v>
      </c>
      <c r="CA67" s="21" t="s">
        <v>114</v>
      </c>
      <c r="CB67" s="21" t="s">
        <v>114</v>
      </c>
      <c r="CC67" s="21" t="s">
        <v>114</v>
      </c>
      <c r="CD67" s="21" t="s">
        <v>114</v>
      </c>
      <c r="CE67" s="21" t="s">
        <v>114</v>
      </c>
      <c r="CF67" s="19" t="s">
        <v>114</v>
      </c>
      <c r="CG67" s="19" t="s">
        <v>114</v>
      </c>
      <c r="CH67" s="19" t="s">
        <v>114</v>
      </c>
      <c r="CI67" s="21" t="s">
        <v>114</v>
      </c>
      <c r="CJ67" s="21" t="s">
        <v>114</v>
      </c>
      <c r="CK67" s="21" t="s">
        <v>114</v>
      </c>
      <c r="CL67" s="21" t="s">
        <v>114</v>
      </c>
      <c r="CM67" s="21" t="s">
        <v>114</v>
      </c>
      <c r="CN67" s="21" t="s">
        <v>114</v>
      </c>
      <c r="CO67" s="21" t="s">
        <v>114</v>
      </c>
      <c r="CP67" s="21" t="s">
        <v>114</v>
      </c>
      <c r="CQ67" s="21" t="s">
        <v>114</v>
      </c>
      <c r="CR67" s="21" t="s">
        <v>114</v>
      </c>
      <c r="CS67" s="21" t="s">
        <v>114</v>
      </c>
      <c r="CT67" s="21" t="s">
        <v>114</v>
      </c>
      <c r="CU67" s="21" t="s">
        <v>114</v>
      </c>
      <c r="CV67" s="21" t="s">
        <v>114</v>
      </c>
      <c r="CW67" s="21" t="s">
        <v>114</v>
      </c>
      <c r="CX67" s="21" t="s">
        <v>114</v>
      </c>
      <c r="CY67" s="21" t="s">
        <v>114</v>
      </c>
      <c r="CZ67" s="21" t="s">
        <v>114</v>
      </c>
      <c r="DA67" s="21" t="s">
        <v>114</v>
      </c>
      <c r="DB67" s="21" t="s">
        <v>114</v>
      </c>
      <c r="DC67" s="21" t="s">
        <v>114</v>
      </c>
      <c r="DD67" s="21" t="s">
        <v>114</v>
      </c>
      <c r="DE67" s="21" t="s">
        <v>114</v>
      </c>
      <c r="DF67" s="19" t="s">
        <v>114</v>
      </c>
      <c r="DG67" s="19" t="s">
        <v>114</v>
      </c>
      <c r="DH67" s="19" t="s">
        <v>114</v>
      </c>
      <c r="DI67" s="19" t="s">
        <v>114</v>
      </c>
      <c r="DJ67" s="19" t="s">
        <v>114</v>
      </c>
      <c r="DK67" s="19" t="s">
        <v>114</v>
      </c>
      <c r="DL67" s="19" t="s">
        <v>114</v>
      </c>
      <c r="DM67" s="19" t="s">
        <v>114</v>
      </c>
      <c r="DN67" s="19" t="s">
        <v>114</v>
      </c>
      <c r="DO67" s="19" t="s">
        <v>114</v>
      </c>
    </row>
    <row r="68" spans="1:119" x14ac:dyDescent="0.45">
      <c r="A68" s="2" t="s">
        <v>180</v>
      </c>
      <c r="B68" t="s">
        <v>181</v>
      </c>
      <c r="C68" s="2">
        <v>10</v>
      </c>
      <c r="D68" s="6">
        <v>997</v>
      </c>
      <c r="E68" s="2" t="s">
        <v>182</v>
      </c>
      <c r="F68" t="s">
        <v>182</v>
      </c>
      <c r="H68" s="2" t="s">
        <v>183</v>
      </c>
      <c r="I68" s="2" t="s">
        <v>184</v>
      </c>
      <c r="J68" s="2">
        <v>10</v>
      </c>
      <c r="K68" s="3" t="s">
        <v>182</v>
      </c>
      <c r="L68" s="4">
        <v>10</v>
      </c>
      <c r="M68" s="3" t="s">
        <v>182</v>
      </c>
      <c r="N68" s="3"/>
      <c r="O68" s="3"/>
      <c r="P68" s="2" t="s">
        <v>185</v>
      </c>
      <c r="Q68" s="2"/>
      <c r="R68" s="2"/>
      <c r="S68" s="2"/>
      <c r="T68" s="2"/>
      <c r="U68" s="2"/>
      <c r="V68" t="e">
        <v>#N/A</v>
      </c>
      <c r="W68" t="e">
        <v>#N/A</v>
      </c>
      <c r="X68" t="s">
        <v>2440</v>
      </c>
      <c r="AA68" t="s">
        <v>2511</v>
      </c>
      <c r="AB68" t="s">
        <v>282</v>
      </c>
      <c r="AC68" s="2" t="s">
        <v>1888</v>
      </c>
      <c r="AD68" s="2" t="s">
        <v>1888</v>
      </c>
      <c r="AE68" t="s">
        <v>158</v>
      </c>
      <c r="AF68" t="s">
        <v>1886</v>
      </c>
      <c r="AG68" t="s">
        <v>158</v>
      </c>
      <c r="AH68" t="s">
        <v>105</v>
      </c>
      <c r="AI68" s="3" t="s">
        <v>105</v>
      </c>
      <c r="AJ68" s="3" t="s">
        <v>106</v>
      </c>
      <c r="AK68" s="3" t="s">
        <v>118</v>
      </c>
      <c r="AL68" s="5"/>
      <c r="AM68" s="5" t="s">
        <v>109</v>
      </c>
      <c r="AO68" s="3" t="s">
        <v>119</v>
      </c>
      <c r="AP68" s="3" t="s">
        <v>120</v>
      </c>
      <c r="AQ68" s="3" t="s">
        <v>111</v>
      </c>
      <c r="AR68" s="3" t="s">
        <v>112</v>
      </c>
      <c r="AS68" s="3" t="s">
        <v>112</v>
      </c>
      <c r="AT68" s="3" t="s">
        <v>113</v>
      </c>
      <c r="AU68" s="3" t="s">
        <v>2303</v>
      </c>
      <c r="AV68" s="3" t="s">
        <v>2302</v>
      </c>
      <c r="AW68" s="3" t="s">
        <v>2301</v>
      </c>
      <c r="AX68" s="3" t="s">
        <v>282</v>
      </c>
      <c r="AY68" s="19" t="s">
        <v>114</v>
      </c>
      <c r="AZ68" s="19" t="s">
        <v>114</v>
      </c>
      <c r="BA68" s="19" t="s">
        <v>114</v>
      </c>
      <c r="BB68" s="19" t="s">
        <v>114</v>
      </c>
      <c r="BC68" s="19" t="s">
        <v>114</v>
      </c>
      <c r="BD68" s="19" t="s">
        <v>114</v>
      </c>
      <c r="BE68" s="19" t="s">
        <v>114</v>
      </c>
      <c r="BF68" s="19" t="s">
        <v>114</v>
      </c>
      <c r="BG68" s="19" t="s">
        <v>114</v>
      </c>
      <c r="BH68" s="19" t="s">
        <v>114</v>
      </c>
      <c r="BI68" s="19" t="s">
        <v>114</v>
      </c>
      <c r="BJ68" s="19" t="s">
        <v>114</v>
      </c>
      <c r="BK68" s="19" t="s">
        <v>114</v>
      </c>
      <c r="BL68" s="19" t="s">
        <v>114</v>
      </c>
      <c r="BM68" s="19" t="s">
        <v>114</v>
      </c>
      <c r="BN68" s="19" t="s">
        <v>114</v>
      </c>
      <c r="BO68" s="19" t="s">
        <v>114</v>
      </c>
      <c r="BP68" s="19" t="s">
        <v>114</v>
      </c>
      <c r="BQ68" s="19" t="s">
        <v>114</v>
      </c>
      <c r="BR68" s="19" t="s">
        <v>114</v>
      </c>
      <c r="BS68" s="19" t="s">
        <v>114</v>
      </c>
      <c r="BT68" s="19" t="s">
        <v>114</v>
      </c>
      <c r="BU68" s="19" t="s">
        <v>114</v>
      </c>
      <c r="BV68" s="19" t="s">
        <v>114</v>
      </c>
      <c r="BW68" s="19" t="s">
        <v>114</v>
      </c>
      <c r="BX68" s="19" t="s">
        <v>114</v>
      </c>
      <c r="BY68" s="19" t="s">
        <v>114</v>
      </c>
      <c r="BZ68" s="21" t="s">
        <v>114</v>
      </c>
      <c r="CA68" s="21" t="s">
        <v>114</v>
      </c>
      <c r="CB68" s="21" t="s">
        <v>114</v>
      </c>
      <c r="CC68" s="21" t="s">
        <v>114</v>
      </c>
      <c r="CD68" s="21" t="s">
        <v>114</v>
      </c>
      <c r="CE68" s="21" t="s">
        <v>114</v>
      </c>
      <c r="CF68" s="19" t="s">
        <v>114</v>
      </c>
      <c r="CG68" s="19" t="s">
        <v>114</v>
      </c>
      <c r="CH68" s="19" t="s">
        <v>114</v>
      </c>
      <c r="CI68" s="21" t="s">
        <v>114</v>
      </c>
      <c r="CJ68" s="21" t="s">
        <v>114</v>
      </c>
      <c r="CK68" s="21" t="s">
        <v>114</v>
      </c>
      <c r="CL68" s="21" t="s">
        <v>114</v>
      </c>
      <c r="CM68" s="21" t="s">
        <v>114</v>
      </c>
      <c r="CN68" s="21" t="s">
        <v>114</v>
      </c>
      <c r="CO68" s="21" t="s">
        <v>114</v>
      </c>
      <c r="CP68" s="21" t="s">
        <v>114</v>
      </c>
      <c r="CQ68" s="21" t="s">
        <v>114</v>
      </c>
      <c r="CR68" s="21" t="s">
        <v>114</v>
      </c>
      <c r="CS68" s="21" t="s">
        <v>114</v>
      </c>
      <c r="CT68" s="21" t="s">
        <v>114</v>
      </c>
      <c r="CU68" s="21" t="s">
        <v>114</v>
      </c>
      <c r="CV68" s="21" t="s">
        <v>114</v>
      </c>
      <c r="CW68" s="21" t="s">
        <v>114</v>
      </c>
      <c r="CX68" s="21">
        <v>98426</v>
      </c>
      <c r="CY68" s="21" t="s">
        <v>114</v>
      </c>
      <c r="CZ68" s="21" t="s">
        <v>114</v>
      </c>
      <c r="DA68" s="21" t="s">
        <v>114</v>
      </c>
      <c r="DB68" s="21" t="s">
        <v>114</v>
      </c>
      <c r="DC68" s="21" t="s">
        <v>114</v>
      </c>
      <c r="DD68" s="21" t="s">
        <v>114</v>
      </c>
      <c r="DE68" s="21" t="s">
        <v>114</v>
      </c>
      <c r="DF68" s="19" t="s">
        <v>114</v>
      </c>
      <c r="DG68" s="19" t="s">
        <v>114</v>
      </c>
      <c r="DH68" s="19" t="s">
        <v>114</v>
      </c>
      <c r="DI68" s="19" t="s">
        <v>114</v>
      </c>
      <c r="DJ68" s="19" t="s">
        <v>114</v>
      </c>
      <c r="DK68" s="19" t="s">
        <v>114</v>
      </c>
      <c r="DL68" s="19" t="s">
        <v>114</v>
      </c>
      <c r="DM68" s="19" t="s">
        <v>114</v>
      </c>
      <c r="DN68" s="19" t="s">
        <v>114</v>
      </c>
      <c r="DO68" s="19" t="s">
        <v>114</v>
      </c>
    </row>
    <row r="69" spans="1:119" x14ac:dyDescent="0.45">
      <c r="A69" s="2"/>
      <c r="B69" s="5" t="s">
        <v>209</v>
      </c>
      <c r="C69" s="2">
        <v>142</v>
      </c>
      <c r="D69" s="6">
        <v>200</v>
      </c>
      <c r="E69" s="2" t="s">
        <v>100</v>
      </c>
      <c r="F69" s="5" t="s">
        <v>100</v>
      </c>
      <c r="H69" s="8" t="s">
        <v>210</v>
      </c>
      <c r="I69" s="2" t="s">
        <v>100</v>
      </c>
      <c r="J69" s="2">
        <v>142</v>
      </c>
      <c r="K69" t="s">
        <v>100</v>
      </c>
      <c r="L69" s="2">
        <v>142</v>
      </c>
      <c r="M69" t="s">
        <v>100</v>
      </c>
      <c r="P69" s="2" t="s">
        <v>100</v>
      </c>
      <c r="Q69" s="2" t="s">
        <v>155</v>
      </c>
      <c r="R69" s="4"/>
      <c r="S69" s="4"/>
      <c r="T69" s="4"/>
      <c r="U69" s="4"/>
      <c r="V69" t="e">
        <v>#N/A</v>
      </c>
      <c r="W69" t="e">
        <v>#N/A</v>
      </c>
      <c r="X69" t="e">
        <v>#N/A</v>
      </c>
      <c r="AA69" t="s">
        <v>2511</v>
      </c>
      <c r="AB69" t="s">
        <v>282</v>
      </c>
      <c r="AC69" s="2" t="s">
        <v>1888</v>
      </c>
      <c r="AD69" s="2" t="s">
        <v>1888</v>
      </c>
      <c r="AE69" t="s">
        <v>158</v>
      </c>
      <c r="AF69" t="s">
        <v>1886</v>
      </c>
      <c r="AG69" t="s">
        <v>158</v>
      </c>
      <c r="AK69" s="3" t="s">
        <v>118</v>
      </c>
      <c r="AL69" s="5"/>
      <c r="AM69" s="5" t="s">
        <v>109</v>
      </c>
      <c r="AO69" s="3" t="s">
        <v>119</v>
      </c>
      <c r="AP69" s="3" t="s">
        <v>120</v>
      </c>
      <c r="AQ69" s="3" t="s">
        <v>111</v>
      </c>
      <c r="AR69" s="3" t="s">
        <v>112</v>
      </c>
      <c r="AS69" s="3" t="s">
        <v>112</v>
      </c>
      <c r="AT69" s="3" t="s">
        <v>113</v>
      </c>
      <c r="AU69" s="3" t="s">
        <v>2303</v>
      </c>
      <c r="AV69" s="3" t="s">
        <v>2302</v>
      </c>
      <c r="AW69" s="3" t="s">
        <v>2301</v>
      </c>
      <c r="AX69" s="3" t="s">
        <v>2006</v>
      </c>
      <c r="AY69" s="19" t="s">
        <v>114</v>
      </c>
      <c r="AZ69" s="19" t="s">
        <v>114</v>
      </c>
      <c r="BA69" s="19" t="s">
        <v>114</v>
      </c>
      <c r="BB69" s="19" t="s">
        <v>114</v>
      </c>
      <c r="BC69" s="19" t="s">
        <v>114</v>
      </c>
      <c r="BD69" s="19" t="s">
        <v>114</v>
      </c>
      <c r="BE69" s="19" t="s">
        <v>114</v>
      </c>
      <c r="BF69" s="19" t="s">
        <v>114</v>
      </c>
      <c r="BG69" s="19" t="s">
        <v>114</v>
      </c>
      <c r="BH69" s="19" t="s">
        <v>114</v>
      </c>
      <c r="BI69" s="19" t="s">
        <v>114</v>
      </c>
      <c r="BJ69" s="19" t="s">
        <v>114</v>
      </c>
      <c r="BK69" s="19" t="s">
        <v>114</v>
      </c>
      <c r="BL69" s="19" t="s">
        <v>114</v>
      </c>
      <c r="BM69" s="19" t="s">
        <v>114</v>
      </c>
      <c r="BN69" s="19" t="s">
        <v>114</v>
      </c>
      <c r="BO69" s="19" t="s">
        <v>114</v>
      </c>
      <c r="BP69" s="19" t="s">
        <v>114</v>
      </c>
      <c r="BQ69" s="19" t="s">
        <v>114</v>
      </c>
      <c r="BR69" s="19" t="s">
        <v>114</v>
      </c>
      <c r="BS69" s="19" t="s">
        <v>114</v>
      </c>
      <c r="BT69" s="19" t="s">
        <v>114</v>
      </c>
      <c r="BU69" s="19" t="s">
        <v>114</v>
      </c>
      <c r="BV69" s="19" t="s">
        <v>114</v>
      </c>
      <c r="BW69" s="19" t="s">
        <v>114</v>
      </c>
      <c r="BX69" s="19" t="s">
        <v>114</v>
      </c>
      <c r="BY69" s="19" t="s">
        <v>114</v>
      </c>
      <c r="BZ69" s="21" t="s">
        <v>114</v>
      </c>
      <c r="CA69" s="21" t="s">
        <v>114</v>
      </c>
      <c r="CB69" s="21" t="s">
        <v>114</v>
      </c>
      <c r="CC69" s="21" t="s">
        <v>114</v>
      </c>
      <c r="CD69" s="21" t="s">
        <v>114</v>
      </c>
      <c r="CE69" s="21" t="s">
        <v>114</v>
      </c>
      <c r="CF69" s="19" t="s">
        <v>114</v>
      </c>
      <c r="CG69" s="19" t="s">
        <v>114</v>
      </c>
      <c r="CH69" s="19" t="s">
        <v>114</v>
      </c>
      <c r="CI69" s="21" t="s">
        <v>114</v>
      </c>
      <c r="CJ69" s="21" t="s">
        <v>114</v>
      </c>
      <c r="CK69" s="21" t="s">
        <v>114</v>
      </c>
      <c r="CL69" s="21" t="s">
        <v>114</v>
      </c>
      <c r="CM69" s="21" t="s">
        <v>114</v>
      </c>
      <c r="CN69" s="21" t="s">
        <v>114</v>
      </c>
      <c r="CO69" s="21" t="s">
        <v>114</v>
      </c>
      <c r="CP69" s="21" t="s">
        <v>114</v>
      </c>
      <c r="CQ69" s="21" t="s">
        <v>114</v>
      </c>
      <c r="CR69" s="21" t="s">
        <v>114</v>
      </c>
      <c r="CS69" s="21" t="s">
        <v>114</v>
      </c>
      <c r="CT69" s="21" t="s">
        <v>114</v>
      </c>
      <c r="CU69" s="21" t="s">
        <v>114</v>
      </c>
      <c r="CV69" s="21" t="s">
        <v>114</v>
      </c>
      <c r="CW69" s="21" t="s">
        <v>114</v>
      </c>
      <c r="CX69" s="21" t="s">
        <v>114</v>
      </c>
      <c r="CY69" s="21" t="s">
        <v>114</v>
      </c>
      <c r="CZ69" s="21" t="s">
        <v>114</v>
      </c>
      <c r="DA69" s="21" t="s">
        <v>114</v>
      </c>
      <c r="DB69" s="21" t="s">
        <v>114</v>
      </c>
      <c r="DC69" s="21" t="s">
        <v>114</v>
      </c>
      <c r="DD69" s="21" t="s">
        <v>114</v>
      </c>
      <c r="DE69" s="21" t="s">
        <v>114</v>
      </c>
      <c r="DF69" s="19" t="s">
        <v>114</v>
      </c>
      <c r="DG69" s="19" t="s">
        <v>114</v>
      </c>
      <c r="DH69" s="19" t="s">
        <v>114</v>
      </c>
      <c r="DI69" s="19" t="s">
        <v>114</v>
      </c>
      <c r="DJ69" s="19" t="s">
        <v>114</v>
      </c>
      <c r="DK69" s="19" t="s">
        <v>114</v>
      </c>
      <c r="DL69" s="19" t="s">
        <v>114</v>
      </c>
      <c r="DM69" s="19" t="s">
        <v>114</v>
      </c>
      <c r="DN69" s="19" t="s">
        <v>114</v>
      </c>
      <c r="DO69" s="19" t="s">
        <v>114</v>
      </c>
    </row>
    <row r="70" spans="1:119" x14ac:dyDescent="0.45">
      <c r="A70" s="2"/>
      <c r="B70" t="s">
        <v>2310</v>
      </c>
      <c r="C70" s="2">
        <v>53</v>
      </c>
      <c r="D70" s="6"/>
      <c r="E70" s="2"/>
      <c r="F70" s="2" t="s">
        <v>215</v>
      </c>
      <c r="H70" s="2"/>
      <c r="J70" s="2">
        <v>9</v>
      </c>
      <c r="K70" t="s">
        <v>153</v>
      </c>
      <c r="L70" s="2">
        <v>53</v>
      </c>
      <c r="M70" s="2" t="s">
        <v>215</v>
      </c>
      <c r="N70" s="2"/>
      <c r="O70" s="2"/>
      <c r="P70" s="2" t="s">
        <v>153</v>
      </c>
      <c r="Q70" s="2" t="s">
        <v>155</v>
      </c>
      <c r="R70" s="2">
        <v>9</v>
      </c>
      <c r="S70" s="4" t="s">
        <v>153</v>
      </c>
      <c r="T70" s="2">
        <v>53</v>
      </c>
      <c r="U70" s="2" t="s">
        <v>215</v>
      </c>
      <c r="V70" t="e">
        <v>#N/A</v>
      </c>
      <c r="W70" t="e">
        <v>#N/A</v>
      </c>
      <c r="X70" t="e">
        <v>#N/A</v>
      </c>
      <c r="AA70" t="s">
        <v>2511</v>
      </c>
      <c r="AB70" t="s">
        <v>282</v>
      </c>
      <c r="AC70" s="2" t="s">
        <v>1888</v>
      </c>
      <c r="AD70" s="2" t="s">
        <v>1888</v>
      </c>
      <c r="AE70" t="s">
        <v>158</v>
      </c>
      <c r="AF70" t="s">
        <v>1886</v>
      </c>
      <c r="AG70" t="s">
        <v>158</v>
      </c>
      <c r="AK70" t="s">
        <v>218</v>
      </c>
      <c r="AL70" s="5"/>
      <c r="AO70" s="3" t="s">
        <v>119</v>
      </c>
      <c r="AP70" s="3" t="s">
        <v>120</v>
      </c>
      <c r="AQ70" s="3" t="s">
        <v>111</v>
      </c>
      <c r="AR70" s="3" t="s">
        <v>112</v>
      </c>
      <c r="AS70" s="3" t="s">
        <v>112</v>
      </c>
      <c r="AU70" s="3" t="s">
        <v>2303</v>
      </c>
      <c r="AV70" s="3" t="s">
        <v>2302</v>
      </c>
      <c r="AW70" s="3" t="s">
        <v>2301</v>
      </c>
      <c r="AX70" s="3" t="s">
        <v>2006</v>
      </c>
      <c r="AY70" s="19" t="s">
        <v>114</v>
      </c>
      <c r="AZ70" s="19" t="s">
        <v>114</v>
      </c>
      <c r="BA70" s="19" t="s">
        <v>114</v>
      </c>
      <c r="BB70" s="19" t="s">
        <v>114</v>
      </c>
      <c r="BC70" s="19" t="s">
        <v>114</v>
      </c>
      <c r="BD70" s="19" t="s">
        <v>114</v>
      </c>
      <c r="BE70" s="19" t="s">
        <v>114</v>
      </c>
      <c r="BF70" s="19" t="s">
        <v>114</v>
      </c>
      <c r="BG70" s="19" t="s">
        <v>114</v>
      </c>
      <c r="BH70" s="19" t="s">
        <v>114</v>
      </c>
      <c r="BI70" s="19" t="s">
        <v>114</v>
      </c>
      <c r="BJ70" s="19" t="s">
        <v>114</v>
      </c>
      <c r="BK70" s="19" t="s">
        <v>114</v>
      </c>
      <c r="BL70" s="19" t="s">
        <v>114</v>
      </c>
      <c r="BM70" s="19" t="s">
        <v>114</v>
      </c>
      <c r="BN70" s="19" t="s">
        <v>114</v>
      </c>
      <c r="BO70" s="19" t="s">
        <v>114</v>
      </c>
      <c r="BP70" s="19" t="s">
        <v>114</v>
      </c>
      <c r="BQ70" s="19" t="s">
        <v>114</v>
      </c>
      <c r="BR70" s="19" t="s">
        <v>114</v>
      </c>
      <c r="BS70" s="19" t="s">
        <v>114</v>
      </c>
      <c r="BT70" s="19" t="s">
        <v>114</v>
      </c>
      <c r="BU70" s="19" t="s">
        <v>114</v>
      </c>
      <c r="BV70" s="19" t="s">
        <v>114</v>
      </c>
      <c r="BW70" s="19" t="s">
        <v>114</v>
      </c>
      <c r="BX70" s="19" t="s">
        <v>114</v>
      </c>
      <c r="BY70" s="19" t="s">
        <v>114</v>
      </c>
      <c r="BZ70" s="21" t="s">
        <v>114</v>
      </c>
      <c r="CA70" s="21" t="s">
        <v>114</v>
      </c>
      <c r="CB70" s="21" t="s">
        <v>114</v>
      </c>
      <c r="CC70" s="21" t="s">
        <v>114</v>
      </c>
      <c r="CD70" s="21" t="s">
        <v>114</v>
      </c>
      <c r="CE70" s="21" t="s">
        <v>114</v>
      </c>
      <c r="CF70" s="19" t="s">
        <v>114</v>
      </c>
      <c r="CG70" s="19" t="s">
        <v>114</v>
      </c>
      <c r="CH70" s="19" t="s">
        <v>114</v>
      </c>
      <c r="CI70" s="21" t="s">
        <v>114</v>
      </c>
      <c r="CJ70" s="21" t="s">
        <v>114</v>
      </c>
      <c r="CK70" s="21" t="s">
        <v>114</v>
      </c>
      <c r="CL70" s="21" t="s">
        <v>114</v>
      </c>
      <c r="CM70" s="21" t="s">
        <v>114</v>
      </c>
      <c r="CN70" s="21" t="s">
        <v>114</v>
      </c>
      <c r="CO70" s="21" t="s">
        <v>114</v>
      </c>
      <c r="CP70" s="21" t="s">
        <v>114</v>
      </c>
      <c r="CQ70" s="21" t="s">
        <v>114</v>
      </c>
      <c r="CR70" s="21" t="s">
        <v>114</v>
      </c>
      <c r="CS70" s="21" t="s">
        <v>114</v>
      </c>
      <c r="CT70" s="21" t="s">
        <v>114</v>
      </c>
      <c r="CU70" s="21" t="s">
        <v>114</v>
      </c>
      <c r="CV70" s="21" t="s">
        <v>114</v>
      </c>
      <c r="CW70" s="21" t="s">
        <v>114</v>
      </c>
      <c r="CX70" s="21" t="s">
        <v>114</v>
      </c>
      <c r="CY70" s="21" t="s">
        <v>114</v>
      </c>
      <c r="CZ70" s="21" t="s">
        <v>114</v>
      </c>
      <c r="DA70" s="21" t="s">
        <v>114</v>
      </c>
      <c r="DB70" s="21" t="s">
        <v>114</v>
      </c>
      <c r="DC70" s="21" t="s">
        <v>114</v>
      </c>
      <c r="DD70" s="21" t="s">
        <v>114</v>
      </c>
      <c r="DE70" s="21" t="s">
        <v>114</v>
      </c>
      <c r="DF70" s="19" t="s">
        <v>114</v>
      </c>
      <c r="DG70" s="19" t="s">
        <v>114</v>
      </c>
      <c r="DH70" s="19" t="s">
        <v>114</v>
      </c>
      <c r="DI70" s="19" t="s">
        <v>114</v>
      </c>
      <c r="DJ70" s="19" t="s">
        <v>114</v>
      </c>
      <c r="DK70" s="19" t="s">
        <v>114</v>
      </c>
      <c r="DL70" s="19" t="s">
        <v>114</v>
      </c>
      <c r="DM70" s="19" t="s">
        <v>114</v>
      </c>
      <c r="DN70" s="19" t="s">
        <v>114</v>
      </c>
      <c r="DO70" s="19" t="s">
        <v>114</v>
      </c>
    </row>
    <row r="71" spans="1:119" x14ac:dyDescent="0.45">
      <c r="A71" s="2"/>
      <c r="B71" t="s">
        <v>2311</v>
      </c>
      <c r="C71" s="2">
        <v>29</v>
      </c>
      <c r="D71" s="6"/>
      <c r="E71" s="2"/>
      <c r="F71" s="2" t="s">
        <v>175</v>
      </c>
      <c r="H71" s="2"/>
      <c r="J71" s="2">
        <v>19</v>
      </c>
      <c r="K71" t="s">
        <v>157</v>
      </c>
      <c r="L71" s="2">
        <v>419</v>
      </c>
      <c r="M71" t="s">
        <v>174</v>
      </c>
      <c r="N71" s="2">
        <v>29</v>
      </c>
      <c r="O71" s="2" t="s">
        <v>175</v>
      </c>
      <c r="P71" s="2" t="s">
        <v>176</v>
      </c>
      <c r="Q71" s="2" t="s">
        <v>177</v>
      </c>
      <c r="R71" s="4"/>
      <c r="S71" s="2"/>
      <c r="T71" s="2"/>
      <c r="U71" s="2"/>
      <c r="V71" t="e">
        <v>#N/A</v>
      </c>
      <c r="W71" t="e">
        <v>#N/A</v>
      </c>
      <c r="X71" t="e">
        <v>#N/A</v>
      </c>
      <c r="AA71" t="s">
        <v>2511</v>
      </c>
      <c r="AB71" t="s">
        <v>282</v>
      </c>
      <c r="AC71" s="2" t="s">
        <v>1888</v>
      </c>
      <c r="AD71" s="2" t="s">
        <v>1888</v>
      </c>
      <c r="AE71" t="s">
        <v>158</v>
      </c>
      <c r="AF71" t="s">
        <v>1886</v>
      </c>
      <c r="AG71" t="s">
        <v>158</v>
      </c>
      <c r="AK71" t="s">
        <v>218</v>
      </c>
      <c r="AL71" s="5"/>
      <c r="AO71" s="3" t="s">
        <v>119</v>
      </c>
      <c r="AP71" s="3" t="s">
        <v>120</v>
      </c>
      <c r="AQ71" s="3" t="s">
        <v>111</v>
      </c>
      <c r="AR71" s="3" t="s">
        <v>112</v>
      </c>
      <c r="AS71" s="3" t="s">
        <v>112</v>
      </c>
      <c r="AU71" s="3" t="s">
        <v>2303</v>
      </c>
      <c r="AV71" s="3" t="s">
        <v>2302</v>
      </c>
      <c r="AW71" s="3" t="s">
        <v>2301</v>
      </c>
      <c r="AX71" t="s">
        <v>282</v>
      </c>
      <c r="AY71" s="19" t="s">
        <v>114</v>
      </c>
      <c r="AZ71" s="19" t="s">
        <v>114</v>
      </c>
      <c r="BA71" s="19" t="s">
        <v>114</v>
      </c>
      <c r="BB71" s="19" t="s">
        <v>114</v>
      </c>
      <c r="BC71" s="19" t="s">
        <v>114</v>
      </c>
      <c r="BD71" s="19" t="s">
        <v>114</v>
      </c>
      <c r="BE71" s="19" t="s">
        <v>114</v>
      </c>
      <c r="BF71" s="19" t="s">
        <v>114</v>
      </c>
      <c r="BG71" s="19" t="s">
        <v>114</v>
      </c>
      <c r="BH71" s="19" t="s">
        <v>114</v>
      </c>
      <c r="BI71" s="19" t="s">
        <v>114</v>
      </c>
      <c r="BJ71" s="19" t="s">
        <v>114</v>
      </c>
      <c r="BK71" s="19" t="s">
        <v>114</v>
      </c>
      <c r="BL71" s="19" t="s">
        <v>114</v>
      </c>
      <c r="BM71" s="19" t="s">
        <v>114</v>
      </c>
      <c r="BN71" s="19" t="s">
        <v>114</v>
      </c>
      <c r="BO71" s="19" t="s">
        <v>114</v>
      </c>
      <c r="BP71" s="19" t="s">
        <v>114</v>
      </c>
      <c r="BQ71" s="19" t="s">
        <v>114</v>
      </c>
      <c r="BR71" s="19" t="s">
        <v>114</v>
      </c>
      <c r="BS71" s="19" t="s">
        <v>114</v>
      </c>
      <c r="BT71" s="19" t="s">
        <v>114</v>
      </c>
      <c r="BU71" s="19" t="s">
        <v>114</v>
      </c>
      <c r="BV71" s="19" t="s">
        <v>114</v>
      </c>
      <c r="BW71" s="19" t="s">
        <v>114</v>
      </c>
      <c r="BX71" s="19" t="s">
        <v>114</v>
      </c>
      <c r="BY71" s="19" t="s">
        <v>114</v>
      </c>
      <c r="BZ71" s="21" t="s">
        <v>114</v>
      </c>
      <c r="CA71" s="21" t="s">
        <v>114</v>
      </c>
      <c r="CB71" s="21" t="s">
        <v>114</v>
      </c>
      <c r="CC71" s="21" t="s">
        <v>114</v>
      </c>
      <c r="CD71" s="21" t="s">
        <v>114</v>
      </c>
      <c r="CE71" s="21" t="s">
        <v>114</v>
      </c>
      <c r="CF71" s="19" t="s">
        <v>114</v>
      </c>
      <c r="CG71" s="19" t="s">
        <v>114</v>
      </c>
      <c r="CH71" s="19" t="s">
        <v>114</v>
      </c>
      <c r="CI71" s="21" t="s">
        <v>114</v>
      </c>
      <c r="CJ71" s="21" t="s">
        <v>114</v>
      </c>
      <c r="CK71" s="21" t="s">
        <v>114</v>
      </c>
      <c r="CL71" s="21" t="s">
        <v>114</v>
      </c>
      <c r="CM71" s="21" t="s">
        <v>114</v>
      </c>
      <c r="CN71" s="21" t="s">
        <v>114</v>
      </c>
      <c r="CO71" s="21" t="s">
        <v>114</v>
      </c>
      <c r="CP71" s="21" t="s">
        <v>114</v>
      </c>
      <c r="CQ71" s="21" t="s">
        <v>114</v>
      </c>
      <c r="CR71" s="21" t="s">
        <v>114</v>
      </c>
      <c r="CS71" s="21" t="s">
        <v>114</v>
      </c>
      <c r="CT71" s="21" t="s">
        <v>114</v>
      </c>
      <c r="CU71" s="21" t="s">
        <v>114</v>
      </c>
      <c r="CV71" s="21" t="s">
        <v>114</v>
      </c>
      <c r="CW71" s="21" t="s">
        <v>114</v>
      </c>
      <c r="CX71" s="21" t="s">
        <v>114</v>
      </c>
      <c r="CY71" s="21" t="s">
        <v>114</v>
      </c>
      <c r="CZ71" s="21" t="s">
        <v>114</v>
      </c>
      <c r="DA71" s="21" t="s">
        <v>114</v>
      </c>
      <c r="DB71" s="21" t="s">
        <v>114</v>
      </c>
      <c r="DC71" s="21" t="s">
        <v>114</v>
      </c>
      <c r="DD71" s="21" t="s">
        <v>114</v>
      </c>
      <c r="DE71" s="21" t="s">
        <v>114</v>
      </c>
      <c r="DF71" s="19" t="s">
        <v>114</v>
      </c>
      <c r="DG71" s="19" t="s">
        <v>114</v>
      </c>
      <c r="DH71" s="19" t="s">
        <v>114</v>
      </c>
      <c r="DI71" s="19" t="s">
        <v>114</v>
      </c>
      <c r="DJ71" s="19" t="s">
        <v>114</v>
      </c>
      <c r="DK71" s="19" t="s">
        <v>114</v>
      </c>
      <c r="DL71" s="19" t="s">
        <v>114</v>
      </c>
      <c r="DM71" s="19" t="s">
        <v>114</v>
      </c>
      <c r="DN71" s="19" t="s">
        <v>114</v>
      </c>
      <c r="DO71" s="19" t="s">
        <v>114</v>
      </c>
    </row>
    <row r="72" spans="1:119" x14ac:dyDescent="0.45">
      <c r="A72" s="2"/>
      <c r="B72" t="s">
        <v>2312</v>
      </c>
      <c r="C72" s="2">
        <v>13</v>
      </c>
      <c r="D72" s="6"/>
      <c r="E72" s="2"/>
      <c r="F72" s="2" t="s">
        <v>267</v>
      </c>
      <c r="H72" s="2"/>
      <c r="J72" s="2">
        <v>19</v>
      </c>
      <c r="K72" t="s">
        <v>157</v>
      </c>
      <c r="L72" s="2">
        <v>419</v>
      </c>
      <c r="M72" t="s">
        <v>174</v>
      </c>
      <c r="N72" s="2">
        <v>13</v>
      </c>
      <c r="O72" s="2" t="s">
        <v>267</v>
      </c>
      <c r="P72" s="2" t="s">
        <v>176</v>
      </c>
      <c r="Q72" s="2" t="s">
        <v>177</v>
      </c>
      <c r="R72" s="4"/>
      <c r="S72" s="2"/>
      <c r="T72" s="2"/>
      <c r="U72" s="2"/>
      <c r="V72" t="e">
        <v>#N/A</v>
      </c>
      <c r="W72" t="e">
        <v>#N/A</v>
      </c>
      <c r="X72" t="e">
        <v>#N/A</v>
      </c>
      <c r="AA72" t="s">
        <v>2511</v>
      </c>
      <c r="AB72" t="s">
        <v>282</v>
      </c>
      <c r="AC72" s="2" t="s">
        <v>1888</v>
      </c>
      <c r="AD72" s="2" t="s">
        <v>1888</v>
      </c>
      <c r="AE72" t="s">
        <v>158</v>
      </c>
      <c r="AF72" t="s">
        <v>1886</v>
      </c>
      <c r="AG72" t="s">
        <v>158</v>
      </c>
      <c r="AK72" t="s">
        <v>218</v>
      </c>
      <c r="AL72" s="5"/>
      <c r="AO72" s="3" t="s">
        <v>119</v>
      </c>
      <c r="AP72" s="3" t="s">
        <v>120</v>
      </c>
      <c r="AQ72" s="3" t="s">
        <v>111</v>
      </c>
      <c r="AR72" s="3" t="s">
        <v>112</v>
      </c>
      <c r="AS72" s="3" t="s">
        <v>112</v>
      </c>
      <c r="AU72" s="3" t="s">
        <v>2303</v>
      </c>
      <c r="AV72" s="3" t="s">
        <v>2302</v>
      </c>
      <c r="AW72" s="3" t="s">
        <v>2301</v>
      </c>
      <c r="AX72" t="s">
        <v>282</v>
      </c>
      <c r="AY72" s="19" t="s">
        <v>114</v>
      </c>
      <c r="AZ72" s="19" t="s">
        <v>114</v>
      </c>
      <c r="BA72" s="19" t="s">
        <v>114</v>
      </c>
      <c r="BB72" s="19" t="s">
        <v>114</v>
      </c>
      <c r="BC72" s="19" t="s">
        <v>114</v>
      </c>
      <c r="BD72" s="19" t="s">
        <v>114</v>
      </c>
      <c r="BE72" s="19" t="s">
        <v>114</v>
      </c>
      <c r="BF72" s="19" t="s">
        <v>114</v>
      </c>
      <c r="BG72" s="19" t="s">
        <v>114</v>
      </c>
      <c r="BH72" s="19" t="s">
        <v>114</v>
      </c>
      <c r="BI72" s="19" t="s">
        <v>114</v>
      </c>
      <c r="BJ72" s="19" t="s">
        <v>114</v>
      </c>
      <c r="BK72" s="19" t="s">
        <v>114</v>
      </c>
      <c r="BL72" s="19" t="s">
        <v>114</v>
      </c>
      <c r="BM72" s="19" t="s">
        <v>114</v>
      </c>
      <c r="BN72" s="19" t="s">
        <v>114</v>
      </c>
      <c r="BO72" s="19" t="s">
        <v>114</v>
      </c>
      <c r="BP72" s="19" t="s">
        <v>114</v>
      </c>
      <c r="BQ72" s="19" t="s">
        <v>114</v>
      </c>
      <c r="BR72" s="19" t="s">
        <v>114</v>
      </c>
      <c r="BS72" s="19" t="s">
        <v>114</v>
      </c>
      <c r="BT72" s="19" t="s">
        <v>114</v>
      </c>
      <c r="BU72" s="19" t="s">
        <v>114</v>
      </c>
      <c r="BV72" s="19" t="s">
        <v>114</v>
      </c>
      <c r="BW72" s="19" t="s">
        <v>114</v>
      </c>
      <c r="BX72" s="19" t="s">
        <v>114</v>
      </c>
      <c r="BY72" s="19" t="s">
        <v>114</v>
      </c>
      <c r="BZ72" s="21" t="s">
        <v>114</v>
      </c>
      <c r="CA72" s="21" t="s">
        <v>114</v>
      </c>
      <c r="CB72" s="21" t="s">
        <v>114</v>
      </c>
      <c r="CC72" s="21" t="s">
        <v>114</v>
      </c>
      <c r="CD72" s="21" t="s">
        <v>114</v>
      </c>
      <c r="CE72" s="21" t="s">
        <v>114</v>
      </c>
      <c r="CF72" s="19" t="s">
        <v>114</v>
      </c>
      <c r="CG72" s="19" t="s">
        <v>114</v>
      </c>
      <c r="CH72" s="19" t="s">
        <v>114</v>
      </c>
      <c r="CI72" s="21" t="s">
        <v>114</v>
      </c>
      <c r="CJ72" s="21" t="s">
        <v>114</v>
      </c>
      <c r="CK72" s="21" t="s">
        <v>114</v>
      </c>
      <c r="CL72" s="21" t="s">
        <v>114</v>
      </c>
      <c r="CM72" s="21" t="s">
        <v>114</v>
      </c>
      <c r="CN72" s="21" t="s">
        <v>114</v>
      </c>
      <c r="CO72" s="21" t="s">
        <v>114</v>
      </c>
      <c r="CP72" s="21" t="s">
        <v>114</v>
      </c>
      <c r="CQ72" s="21" t="s">
        <v>114</v>
      </c>
      <c r="CR72" s="21" t="s">
        <v>114</v>
      </c>
      <c r="CS72" s="21" t="s">
        <v>114</v>
      </c>
      <c r="CT72" s="21" t="s">
        <v>114</v>
      </c>
      <c r="CU72" s="21" t="s">
        <v>114</v>
      </c>
      <c r="CV72" s="21" t="s">
        <v>114</v>
      </c>
      <c r="CW72" s="21" t="s">
        <v>114</v>
      </c>
      <c r="CX72" s="21" t="s">
        <v>114</v>
      </c>
      <c r="CY72" s="21" t="s">
        <v>114</v>
      </c>
      <c r="CZ72" s="21" t="s">
        <v>114</v>
      </c>
      <c r="DA72" s="21" t="s">
        <v>114</v>
      </c>
      <c r="DB72" s="21" t="s">
        <v>114</v>
      </c>
      <c r="DC72" s="21" t="s">
        <v>114</v>
      </c>
      <c r="DD72" s="21" t="s">
        <v>114</v>
      </c>
      <c r="DE72" s="21" t="s">
        <v>114</v>
      </c>
      <c r="DF72" s="19" t="s">
        <v>114</v>
      </c>
      <c r="DG72" s="19" t="s">
        <v>114</v>
      </c>
      <c r="DH72" s="19" t="s">
        <v>114</v>
      </c>
      <c r="DI72" s="19" t="s">
        <v>114</v>
      </c>
      <c r="DJ72" s="19" t="s">
        <v>114</v>
      </c>
      <c r="DK72" s="19" t="s">
        <v>114</v>
      </c>
      <c r="DL72" s="19" t="s">
        <v>114</v>
      </c>
      <c r="DM72" s="19" t="s">
        <v>114</v>
      </c>
      <c r="DN72" s="19" t="s">
        <v>114</v>
      </c>
      <c r="DO72" s="19" t="s">
        <v>114</v>
      </c>
    </row>
    <row r="73" spans="1:119" x14ac:dyDescent="0.45">
      <c r="A73" s="2"/>
      <c r="B73" s="5" t="s">
        <v>385</v>
      </c>
      <c r="C73" s="2">
        <v>99902</v>
      </c>
      <c r="D73" s="6">
        <v>300</v>
      </c>
      <c r="E73" s="2" t="s">
        <v>1878</v>
      </c>
      <c r="F73" s="5" t="s">
        <v>176</v>
      </c>
      <c r="H73" s="8"/>
      <c r="I73" s="2" t="s">
        <v>386</v>
      </c>
      <c r="J73" s="2">
        <v>19</v>
      </c>
      <c r="K73" t="s">
        <v>157</v>
      </c>
      <c r="L73" s="2">
        <v>419</v>
      </c>
      <c r="M73" t="s">
        <v>174</v>
      </c>
      <c r="P73" s="2" t="s">
        <v>176</v>
      </c>
      <c r="Q73" s="2" t="s">
        <v>177</v>
      </c>
      <c r="R73" s="4">
        <v>419</v>
      </c>
      <c r="S73" s="4" t="s">
        <v>174</v>
      </c>
      <c r="T73" s="2">
        <v>419</v>
      </c>
      <c r="U73" s="4" t="s">
        <v>174</v>
      </c>
      <c r="V73" t="e">
        <v>#N/A</v>
      </c>
      <c r="W73" t="e">
        <v>#N/A</v>
      </c>
      <c r="X73" t="e">
        <v>#N/A</v>
      </c>
      <c r="AA73" t="s">
        <v>2511</v>
      </c>
      <c r="AB73" t="s">
        <v>282</v>
      </c>
      <c r="AC73" s="2" t="s">
        <v>1888</v>
      </c>
      <c r="AD73" s="2" t="s">
        <v>1888</v>
      </c>
      <c r="AE73" t="s">
        <v>158</v>
      </c>
      <c r="AF73" t="s">
        <v>1886</v>
      </c>
      <c r="AG73" t="s">
        <v>158</v>
      </c>
      <c r="AK73" t="s">
        <v>218</v>
      </c>
      <c r="AL73" s="5"/>
      <c r="AM73" s="5" t="s">
        <v>109</v>
      </c>
      <c r="AO73" s="3" t="s">
        <v>119</v>
      </c>
      <c r="AP73" s="3" t="s">
        <v>120</v>
      </c>
      <c r="AQ73" s="3" t="s">
        <v>111</v>
      </c>
      <c r="AR73" s="3" t="s">
        <v>112</v>
      </c>
      <c r="AS73" s="3" t="s">
        <v>112</v>
      </c>
      <c r="AT73" s="3" t="s">
        <v>113</v>
      </c>
      <c r="AU73" s="3" t="s">
        <v>2303</v>
      </c>
      <c r="AV73" s="3" t="s">
        <v>2302</v>
      </c>
      <c r="AW73" s="3" t="s">
        <v>2301</v>
      </c>
      <c r="AX73" t="s">
        <v>282</v>
      </c>
      <c r="AY73" s="19" t="s">
        <v>114</v>
      </c>
      <c r="AZ73" s="19" t="s">
        <v>114</v>
      </c>
      <c r="BA73" s="19" t="s">
        <v>114</v>
      </c>
      <c r="BB73" s="19" t="s">
        <v>114</v>
      </c>
      <c r="BC73" s="19" t="s">
        <v>114</v>
      </c>
      <c r="BD73" s="19" t="s">
        <v>114</v>
      </c>
      <c r="BE73" s="19" t="s">
        <v>114</v>
      </c>
      <c r="BF73" s="19" t="s">
        <v>114</v>
      </c>
      <c r="BG73" s="19" t="s">
        <v>114</v>
      </c>
      <c r="BH73" s="19" t="s">
        <v>114</v>
      </c>
      <c r="BI73" s="19" t="s">
        <v>114</v>
      </c>
      <c r="BJ73" s="19" t="s">
        <v>114</v>
      </c>
      <c r="BK73" s="19" t="s">
        <v>114</v>
      </c>
      <c r="BL73" s="19" t="s">
        <v>114</v>
      </c>
      <c r="BM73" s="19" t="s">
        <v>114</v>
      </c>
      <c r="BN73" s="19" t="s">
        <v>114</v>
      </c>
      <c r="BO73" s="19" t="s">
        <v>114</v>
      </c>
      <c r="BP73" s="19" t="s">
        <v>114</v>
      </c>
      <c r="BQ73" s="19" t="s">
        <v>114</v>
      </c>
      <c r="BR73" s="19" t="s">
        <v>114</v>
      </c>
      <c r="BS73" s="19" t="s">
        <v>114</v>
      </c>
      <c r="BT73" s="19" t="s">
        <v>114</v>
      </c>
      <c r="BU73" s="19" t="s">
        <v>114</v>
      </c>
      <c r="BV73" s="19" t="s">
        <v>114</v>
      </c>
      <c r="BW73" s="19" t="s">
        <v>114</v>
      </c>
      <c r="BX73" s="19" t="s">
        <v>114</v>
      </c>
      <c r="BY73" s="19" t="s">
        <v>114</v>
      </c>
      <c r="BZ73" s="21" t="s">
        <v>114</v>
      </c>
      <c r="CA73" s="21" t="s">
        <v>114</v>
      </c>
      <c r="CB73" s="21" t="s">
        <v>114</v>
      </c>
      <c r="CC73" s="21" t="s">
        <v>114</v>
      </c>
      <c r="CD73" s="21" t="s">
        <v>114</v>
      </c>
      <c r="CE73" s="21" t="s">
        <v>114</v>
      </c>
      <c r="CF73" s="19" t="s">
        <v>114</v>
      </c>
      <c r="CG73" s="19" t="s">
        <v>114</v>
      </c>
      <c r="CH73" s="19" t="s">
        <v>114</v>
      </c>
      <c r="CI73" s="21" t="s">
        <v>114</v>
      </c>
      <c r="CJ73" s="21" t="s">
        <v>114</v>
      </c>
      <c r="CK73" s="21" t="s">
        <v>114</v>
      </c>
      <c r="CL73" s="21" t="s">
        <v>114</v>
      </c>
      <c r="CM73" s="21" t="s">
        <v>114</v>
      </c>
      <c r="CN73" s="21" t="s">
        <v>114</v>
      </c>
      <c r="CO73" s="21" t="s">
        <v>114</v>
      </c>
      <c r="CP73" s="21" t="s">
        <v>114</v>
      </c>
      <c r="CQ73" s="21" t="s">
        <v>114</v>
      </c>
      <c r="CR73" s="21" t="s">
        <v>114</v>
      </c>
      <c r="CS73" s="21" t="s">
        <v>114</v>
      </c>
      <c r="CT73" s="21" t="s">
        <v>114</v>
      </c>
      <c r="CU73" s="21" t="s">
        <v>114</v>
      </c>
      <c r="CV73" s="21" t="s">
        <v>114</v>
      </c>
      <c r="CW73" s="21" t="s">
        <v>114</v>
      </c>
      <c r="CX73" s="21" t="s">
        <v>114</v>
      </c>
      <c r="CY73" s="21" t="s">
        <v>114</v>
      </c>
      <c r="CZ73" s="21" t="s">
        <v>114</v>
      </c>
      <c r="DA73" s="21" t="s">
        <v>114</v>
      </c>
      <c r="DB73" s="21" t="s">
        <v>114</v>
      </c>
      <c r="DC73" s="21" t="s">
        <v>114</v>
      </c>
      <c r="DD73" s="21" t="s">
        <v>114</v>
      </c>
      <c r="DE73" s="21" t="s">
        <v>114</v>
      </c>
      <c r="DF73" s="19" t="s">
        <v>114</v>
      </c>
      <c r="DG73" s="19" t="s">
        <v>114</v>
      </c>
      <c r="DH73" s="19" t="s">
        <v>114</v>
      </c>
      <c r="DI73" s="19" t="s">
        <v>114</v>
      </c>
      <c r="DJ73" s="19" t="s">
        <v>114</v>
      </c>
      <c r="DK73" s="19" t="s">
        <v>114</v>
      </c>
      <c r="DL73" s="19" t="s">
        <v>114</v>
      </c>
      <c r="DM73" s="19" t="s">
        <v>114</v>
      </c>
      <c r="DN73" s="19" t="s">
        <v>114</v>
      </c>
      <c r="DO73" s="19" t="s">
        <v>114</v>
      </c>
    </row>
    <row r="74" spans="1:119" x14ac:dyDescent="0.45">
      <c r="A74" s="2"/>
      <c r="B74" t="s">
        <v>2313</v>
      </c>
      <c r="C74" s="2">
        <v>143</v>
      </c>
      <c r="D74" s="6"/>
      <c r="E74" s="2"/>
      <c r="F74" s="2" t="s">
        <v>387</v>
      </c>
      <c r="H74" s="2"/>
      <c r="J74" s="2">
        <v>142</v>
      </c>
      <c r="K74" t="s">
        <v>100</v>
      </c>
      <c r="L74" s="2">
        <v>143</v>
      </c>
      <c r="M74" t="s">
        <v>387</v>
      </c>
      <c r="P74" s="2" t="s">
        <v>100</v>
      </c>
      <c r="Q74" s="2"/>
      <c r="R74" s="2">
        <v>62</v>
      </c>
      <c r="S74" s="4" t="s">
        <v>388</v>
      </c>
      <c r="T74" s="4">
        <v>143</v>
      </c>
      <c r="U74" s="4" t="s">
        <v>387</v>
      </c>
      <c r="V74" t="e">
        <v>#N/A</v>
      </c>
      <c r="W74" t="e">
        <v>#N/A</v>
      </c>
      <c r="X74" t="e">
        <v>#N/A</v>
      </c>
      <c r="AA74" t="s">
        <v>2511</v>
      </c>
      <c r="AB74" t="s">
        <v>282</v>
      </c>
      <c r="AC74" s="2" t="s">
        <v>1888</v>
      </c>
      <c r="AD74" s="2" t="s">
        <v>1888</v>
      </c>
      <c r="AE74" t="s">
        <v>158</v>
      </c>
      <c r="AF74" t="s">
        <v>1886</v>
      </c>
      <c r="AG74" t="s">
        <v>158</v>
      </c>
      <c r="AK74" t="s">
        <v>218</v>
      </c>
      <c r="AL74" s="5"/>
      <c r="AO74" s="3" t="s">
        <v>119</v>
      </c>
      <c r="AP74" s="3" t="s">
        <v>120</v>
      </c>
      <c r="AQ74" s="3" t="s">
        <v>111</v>
      </c>
      <c r="AR74" s="3" t="s">
        <v>112</v>
      </c>
      <c r="AS74" s="3" t="s">
        <v>112</v>
      </c>
      <c r="AU74" s="3" t="s">
        <v>2303</v>
      </c>
      <c r="AV74" s="3" t="s">
        <v>2302</v>
      </c>
      <c r="AW74" s="3" t="s">
        <v>2301</v>
      </c>
      <c r="AX74" s="3" t="s">
        <v>2006</v>
      </c>
      <c r="AY74" s="19" t="s">
        <v>114</v>
      </c>
      <c r="AZ74" s="19" t="s">
        <v>114</v>
      </c>
      <c r="BA74" s="19" t="s">
        <v>114</v>
      </c>
      <c r="BB74" s="19" t="s">
        <v>114</v>
      </c>
      <c r="BC74" s="19" t="s">
        <v>114</v>
      </c>
      <c r="BD74" s="19" t="s">
        <v>114</v>
      </c>
      <c r="BE74" s="19" t="s">
        <v>114</v>
      </c>
      <c r="BF74" s="19" t="s">
        <v>114</v>
      </c>
      <c r="BG74" s="19" t="s">
        <v>114</v>
      </c>
      <c r="BH74" s="19" t="s">
        <v>114</v>
      </c>
      <c r="BI74" s="19" t="s">
        <v>114</v>
      </c>
      <c r="BJ74" s="19" t="s">
        <v>114</v>
      </c>
      <c r="BK74" s="19" t="s">
        <v>114</v>
      </c>
      <c r="BL74" s="19" t="s">
        <v>114</v>
      </c>
      <c r="BM74" s="19" t="s">
        <v>114</v>
      </c>
      <c r="BN74" s="19" t="s">
        <v>114</v>
      </c>
      <c r="BO74" s="19" t="s">
        <v>114</v>
      </c>
      <c r="BP74" s="19" t="s">
        <v>114</v>
      </c>
      <c r="BQ74" s="19" t="s">
        <v>114</v>
      </c>
      <c r="BR74" s="19" t="s">
        <v>114</v>
      </c>
      <c r="BS74" s="19" t="s">
        <v>114</v>
      </c>
      <c r="BT74" s="19" t="s">
        <v>114</v>
      </c>
      <c r="BU74" s="19" t="s">
        <v>114</v>
      </c>
      <c r="BV74" s="19" t="s">
        <v>114</v>
      </c>
      <c r="BW74" s="19" t="s">
        <v>114</v>
      </c>
      <c r="BX74" s="19" t="s">
        <v>114</v>
      </c>
      <c r="BY74" s="19" t="s">
        <v>114</v>
      </c>
      <c r="BZ74" s="21" t="s">
        <v>114</v>
      </c>
      <c r="CA74" s="21" t="s">
        <v>114</v>
      </c>
      <c r="CB74" s="21" t="s">
        <v>114</v>
      </c>
      <c r="CC74" s="21" t="s">
        <v>114</v>
      </c>
      <c r="CD74" s="21" t="s">
        <v>114</v>
      </c>
      <c r="CE74" s="21" t="s">
        <v>114</v>
      </c>
      <c r="CF74" s="19" t="s">
        <v>114</v>
      </c>
      <c r="CG74" s="19" t="s">
        <v>114</v>
      </c>
      <c r="CH74" s="19" t="s">
        <v>114</v>
      </c>
      <c r="CI74" s="21" t="s">
        <v>114</v>
      </c>
      <c r="CJ74" s="21" t="s">
        <v>114</v>
      </c>
      <c r="CK74" s="21" t="s">
        <v>114</v>
      </c>
      <c r="CL74" s="21" t="s">
        <v>114</v>
      </c>
      <c r="CM74" s="21" t="s">
        <v>114</v>
      </c>
      <c r="CN74" s="21" t="s">
        <v>114</v>
      </c>
      <c r="CO74" s="21" t="s">
        <v>114</v>
      </c>
      <c r="CP74" s="21" t="s">
        <v>114</v>
      </c>
      <c r="CQ74" s="21" t="s">
        <v>114</v>
      </c>
      <c r="CR74" s="21" t="s">
        <v>114</v>
      </c>
      <c r="CS74" s="21" t="s">
        <v>114</v>
      </c>
      <c r="CT74" s="21" t="s">
        <v>114</v>
      </c>
      <c r="CU74" s="21" t="s">
        <v>114</v>
      </c>
      <c r="CV74" s="21" t="s">
        <v>114</v>
      </c>
      <c r="CW74" s="21" t="s">
        <v>114</v>
      </c>
      <c r="CX74" s="21" t="s">
        <v>114</v>
      </c>
      <c r="CY74" s="21" t="s">
        <v>114</v>
      </c>
      <c r="CZ74" s="21" t="s">
        <v>114</v>
      </c>
      <c r="DA74" s="21" t="s">
        <v>114</v>
      </c>
      <c r="DB74" s="21" t="s">
        <v>114</v>
      </c>
      <c r="DC74" s="21" t="s">
        <v>114</v>
      </c>
      <c r="DD74" s="21" t="s">
        <v>114</v>
      </c>
      <c r="DE74" s="21" t="s">
        <v>114</v>
      </c>
      <c r="DF74" s="19" t="s">
        <v>114</v>
      </c>
      <c r="DG74" s="19" t="s">
        <v>114</v>
      </c>
      <c r="DH74" s="19" t="s">
        <v>114</v>
      </c>
      <c r="DI74" s="19" t="s">
        <v>114</v>
      </c>
      <c r="DJ74" s="19" t="s">
        <v>114</v>
      </c>
      <c r="DK74" s="19" t="s">
        <v>114</v>
      </c>
      <c r="DL74" s="19" t="s">
        <v>114</v>
      </c>
      <c r="DM74" s="19" t="s">
        <v>114</v>
      </c>
      <c r="DN74" s="19" t="s">
        <v>114</v>
      </c>
      <c r="DO74" s="19" t="s">
        <v>114</v>
      </c>
    </row>
    <row r="75" spans="1:119" x14ac:dyDescent="0.45">
      <c r="A75" s="2"/>
      <c r="B75" t="s">
        <v>2314</v>
      </c>
      <c r="C75" s="2">
        <v>62</v>
      </c>
      <c r="D75" s="6"/>
      <c r="E75" s="2"/>
      <c r="F75" s="2" t="s">
        <v>388</v>
      </c>
      <c r="H75" s="2"/>
      <c r="J75" s="2">
        <v>142</v>
      </c>
      <c r="K75" s="2" t="s">
        <v>100</v>
      </c>
      <c r="L75" s="2"/>
      <c r="P75" s="2" t="s">
        <v>100</v>
      </c>
      <c r="Q75" s="2"/>
      <c r="R75" s="2">
        <v>1</v>
      </c>
      <c r="S75" s="2"/>
      <c r="T75" s="2"/>
      <c r="U75" s="2"/>
      <c r="V75" t="e">
        <v>#N/A</v>
      </c>
      <c r="W75" t="e">
        <v>#N/A</v>
      </c>
      <c r="X75" t="e">
        <v>#N/A</v>
      </c>
      <c r="AA75" t="s">
        <v>2511</v>
      </c>
      <c r="AB75" t="s">
        <v>282</v>
      </c>
      <c r="AC75" s="2" t="s">
        <v>1888</v>
      </c>
      <c r="AD75" s="2" t="s">
        <v>1888</v>
      </c>
      <c r="AE75" t="s">
        <v>158</v>
      </c>
      <c r="AF75" t="s">
        <v>1886</v>
      </c>
      <c r="AG75" t="s">
        <v>158</v>
      </c>
      <c r="AK75" t="s">
        <v>389</v>
      </c>
      <c r="AL75" s="5"/>
      <c r="AO75" s="3" t="s">
        <v>119</v>
      </c>
      <c r="AP75" s="3" t="s">
        <v>120</v>
      </c>
      <c r="AQ75" s="3" t="s">
        <v>111</v>
      </c>
      <c r="AR75" s="3" t="s">
        <v>112</v>
      </c>
      <c r="AS75" s="3" t="s">
        <v>112</v>
      </c>
      <c r="AU75" s="3" t="s">
        <v>2303</v>
      </c>
      <c r="AV75" s="3" t="s">
        <v>2302</v>
      </c>
      <c r="AW75" s="3" t="s">
        <v>2301</v>
      </c>
      <c r="AX75" s="3" t="s">
        <v>2006</v>
      </c>
      <c r="AY75" s="19" t="s">
        <v>114</v>
      </c>
      <c r="AZ75" s="19" t="s">
        <v>114</v>
      </c>
      <c r="BA75" s="19" t="s">
        <v>114</v>
      </c>
      <c r="BB75" s="19" t="s">
        <v>114</v>
      </c>
      <c r="BC75" s="19" t="s">
        <v>114</v>
      </c>
      <c r="BD75" s="19" t="s">
        <v>114</v>
      </c>
      <c r="BE75" s="19" t="s">
        <v>114</v>
      </c>
      <c r="BF75" s="19" t="s">
        <v>114</v>
      </c>
      <c r="BG75" s="19" t="s">
        <v>114</v>
      </c>
      <c r="BH75" s="19" t="s">
        <v>114</v>
      </c>
      <c r="BI75" s="19" t="s">
        <v>114</v>
      </c>
      <c r="BJ75" s="19" t="s">
        <v>114</v>
      </c>
      <c r="BK75" s="19" t="s">
        <v>114</v>
      </c>
      <c r="BL75" s="19" t="s">
        <v>114</v>
      </c>
      <c r="BM75" s="19" t="s">
        <v>114</v>
      </c>
      <c r="BN75" s="19" t="s">
        <v>114</v>
      </c>
      <c r="BO75" s="19" t="s">
        <v>114</v>
      </c>
      <c r="BP75" s="19" t="s">
        <v>114</v>
      </c>
      <c r="BQ75" s="19" t="s">
        <v>114</v>
      </c>
      <c r="BR75" s="19" t="s">
        <v>114</v>
      </c>
      <c r="BS75" s="19" t="s">
        <v>114</v>
      </c>
      <c r="BT75" s="19" t="s">
        <v>114</v>
      </c>
      <c r="BU75" s="19" t="s">
        <v>114</v>
      </c>
      <c r="BV75" s="19" t="s">
        <v>114</v>
      </c>
      <c r="BW75" s="19" t="s">
        <v>114</v>
      </c>
      <c r="BX75" s="19" t="s">
        <v>114</v>
      </c>
      <c r="BY75" s="19" t="s">
        <v>114</v>
      </c>
      <c r="BZ75" s="21" t="s">
        <v>114</v>
      </c>
      <c r="CA75" s="21" t="s">
        <v>114</v>
      </c>
      <c r="CB75" s="21" t="s">
        <v>114</v>
      </c>
      <c r="CC75" s="21" t="s">
        <v>114</v>
      </c>
      <c r="CD75" s="21" t="s">
        <v>114</v>
      </c>
      <c r="CE75" s="21" t="s">
        <v>114</v>
      </c>
      <c r="CF75" s="19" t="s">
        <v>114</v>
      </c>
      <c r="CG75" s="19" t="s">
        <v>114</v>
      </c>
      <c r="CH75" s="19" t="s">
        <v>114</v>
      </c>
      <c r="CI75" s="21" t="s">
        <v>114</v>
      </c>
      <c r="CJ75" s="21" t="s">
        <v>114</v>
      </c>
      <c r="CK75" s="21" t="s">
        <v>114</v>
      </c>
      <c r="CL75" s="21" t="s">
        <v>114</v>
      </c>
      <c r="CM75" s="21" t="s">
        <v>114</v>
      </c>
      <c r="CN75" s="21" t="s">
        <v>114</v>
      </c>
      <c r="CO75" s="21" t="s">
        <v>114</v>
      </c>
      <c r="CP75" s="21" t="s">
        <v>114</v>
      </c>
      <c r="CQ75" s="21" t="s">
        <v>114</v>
      </c>
      <c r="CR75" s="21" t="s">
        <v>114</v>
      </c>
      <c r="CS75" s="21" t="s">
        <v>114</v>
      </c>
      <c r="CT75" s="21" t="s">
        <v>114</v>
      </c>
      <c r="CU75" s="21" t="s">
        <v>114</v>
      </c>
      <c r="CV75" s="21" t="s">
        <v>114</v>
      </c>
      <c r="CW75" s="21" t="s">
        <v>114</v>
      </c>
      <c r="CX75" s="21" t="s">
        <v>114</v>
      </c>
      <c r="CY75" s="21" t="s">
        <v>114</v>
      </c>
      <c r="CZ75" s="21" t="s">
        <v>114</v>
      </c>
      <c r="DA75" s="21" t="s">
        <v>114</v>
      </c>
      <c r="DB75" s="21" t="s">
        <v>114</v>
      </c>
      <c r="DC75" s="21" t="s">
        <v>114</v>
      </c>
      <c r="DD75" s="21" t="s">
        <v>114</v>
      </c>
      <c r="DE75" s="21" t="s">
        <v>114</v>
      </c>
      <c r="DF75" s="19" t="s">
        <v>114</v>
      </c>
      <c r="DG75" s="19" t="s">
        <v>114</v>
      </c>
      <c r="DH75" s="19" t="s">
        <v>114</v>
      </c>
      <c r="DI75" s="19" t="s">
        <v>114</v>
      </c>
      <c r="DJ75" s="19" t="s">
        <v>114</v>
      </c>
      <c r="DK75" s="19" t="s">
        <v>114</v>
      </c>
      <c r="DL75" s="19" t="s">
        <v>114</v>
      </c>
      <c r="DM75" s="19" t="s">
        <v>114</v>
      </c>
      <c r="DN75" s="19" t="s">
        <v>114</v>
      </c>
      <c r="DO75" s="19" t="s">
        <v>114</v>
      </c>
    </row>
    <row r="76" spans="1:119" x14ac:dyDescent="0.45">
      <c r="A76" s="4"/>
      <c r="B76" t="s">
        <v>2339</v>
      </c>
      <c r="C76" s="4">
        <v>514</v>
      </c>
      <c r="D76" s="7"/>
      <c r="E76" s="4" t="s">
        <v>2187</v>
      </c>
      <c r="F76" s="4" t="s">
        <v>2187</v>
      </c>
      <c r="G76" s="4" t="s">
        <v>2187</v>
      </c>
      <c r="H76" s="2"/>
      <c r="J76" s="4">
        <v>514</v>
      </c>
      <c r="K76" s="4" t="s">
        <v>2187</v>
      </c>
      <c r="L76" s="4">
        <v>514</v>
      </c>
      <c r="M76" s="4" t="s">
        <v>2187</v>
      </c>
      <c r="N76" s="4">
        <v>514</v>
      </c>
      <c r="O76" s="4" t="s">
        <v>2187</v>
      </c>
      <c r="P76" s="4" t="s">
        <v>2187</v>
      </c>
      <c r="Q76" s="4"/>
      <c r="R76" s="4">
        <v>514</v>
      </c>
      <c r="S76" s="4" t="s">
        <v>2187</v>
      </c>
      <c r="T76" s="4">
        <v>514</v>
      </c>
      <c r="U76" s="4" t="s">
        <v>2187</v>
      </c>
      <c r="V76" t="e">
        <v>#N/A</v>
      </c>
      <c r="W76" t="e">
        <v>#N/A</v>
      </c>
      <c r="X76" t="e">
        <v>#N/A</v>
      </c>
      <c r="AA76" t="s">
        <v>2511</v>
      </c>
      <c r="AB76" t="s">
        <v>282</v>
      </c>
      <c r="AC76" s="4" t="s">
        <v>1888</v>
      </c>
      <c r="AD76" s="2" t="s">
        <v>1888</v>
      </c>
      <c r="AE76" t="s">
        <v>158</v>
      </c>
      <c r="AF76" t="s">
        <v>1886</v>
      </c>
      <c r="AG76" s="3" t="s">
        <v>1887</v>
      </c>
      <c r="AJ76" s="3"/>
      <c r="AK76" t="s">
        <v>2005</v>
      </c>
      <c r="AL76" s="5"/>
      <c r="AO76" s="3" t="s">
        <v>119</v>
      </c>
      <c r="AP76" s="3" t="s">
        <v>120</v>
      </c>
      <c r="AQ76" s="3" t="s">
        <v>111</v>
      </c>
      <c r="AR76" s="3" t="s">
        <v>112</v>
      </c>
      <c r="AS76" s="3" t="s">
        <v>112</v>
      </c>
      <c r="AT76" s="3" t="s">
        <v>113</v>
      </c>
      <c r="AU76" s="3" t="s">
        <v>2303</v>
      </c>
      <c r="AV76" s="3" t="s">
        <v>2302</v>
      </c>
      <c r="AW76" s="3" t="s">
        <v>2301</v>
      </c>
      <c r="AX76" s="3" t="s">
        <v>2006</v>
      </c>
      <c r="AY76" s="19" t="s">
        <v>114</v>
      </c>
      <c r="AZ76" s="19"/>
      <c r="BA76" s="19" t="s">
        <v>114</v>
      </c>
      <c r="BB76" s="19" t="s">
        <v>114</v>
      </c>
      <c r="BC76" s="19" t="s">
        <v>114</v>
      </c>
      <c r="BD76" s="19" t="s">
        <v>114</v>
      </c>
      <c r="BE76" s="19" t="s">
        <v>114</v>
      </c>
      <c r="BF76" s="19" t="s">
        <v>114</v>
      </c>
      <c r="BG76" s="19" t="s">
        <v>114</v>
      </c>
      <c r="BH76" s="19" t="s">
        <v>114</v>
      </c>
      <c r="BI76" s="19" t="s">
        <v>114</v>
      </c>
      <c r="BJ76" s="19" t="s">
        <v>114</v>
      </c>
      <c r="BK76" s="19" t="s">
        <v>114</v>
      </c>
      <c r="BL76" s="19" t="s">
        <v>114</v>
      </c>
      <c r="BM76" s="19" t="s">
        <v>114</v>
      </c>
      <c r="BN76" s="19" t="s">
        <v>114</v>
      </c>
      <c r="BO76" s="19" t="s">
        <v>114</v>
      </c>
      <c r="BP76" s="19" t="s">
        <v>114</v>
      </c>
      <c r="BQ76" s="19" t="s">
        <v>114</v>
      </c>
      <c r="BR76" s="19" t="s">
        <v>114</v>
      </c>
      <c r="BS76" s="19" t="s">
        <v>114</v>
      </c>
      <c r="BT76" s="19" t="s">
        <v>114</v>
      </c>
      <c r="BU76" s="19" t="s">
        <v>114</v>
      </c>
      <c r="BV76" s="19" t="s">
        <v>114</v>
      </c>
      <c r="BW76" s="19" t="s">
        <v>114</v>
      </c>
      <c r="BX76" s="19" t="s">
        <v>114</v>
      </c>
      <c r="BY76" s="19" t="s">
        <v>114</v>
      </c>
      <c r="BZ76" s="21" t="s">
        <v>114</v>
      </c>
      <c r="CA76" s="21" t="s">
        <v>114</v>
      </c>
      <c r="CB76" s="21" t="s">
        <v>114</v>
      </c>
      <c r="CC76" s="21" t="s">
        <v>114</v>
      </c>
      <c r="CD76" s="21" t="s">
        <v>114</v>
      </c>
      <c r="CE76" s="21" t="s">
        <v>114</v>
      </c>
      <c r="CF76" s="19" t="s">
        <v>114</v>
      </c>
      <c r="CG76" s="19" t="s">
        <v>114</v>
      </c>
      <c r="CH76" s="19" t="s">
        <v>114</v>
      </c>
      <c r="CI76" s="21" t="s">
        <v>114</v>
      </c>
      <c r="CJ76" s="21" t="s">
        <v>114</v>
      </c>
      <c r="CK76" s="21" t="s">
        <v>114</v>
      </c>
      <c r="CL76" s="21" t="s">
        <v>114</v>
      </c>
      <c r="CM76" s="21" t="s">
        <v>114</v>
      </c>
      <c r="CN76" s="21" t="s">
        <v>114</v>
      </c>
      <c r="CO76" s="21" t="s">
        <v>114</v>
      </c>
      <c r="CP76" s="21" t="s">
        <v>114</v>
      </c>
      <c r="CQ76" s="21" t="s">
        <v>114</v>
      </c>
      <c r="CR76" s="21" t="s">
        <v>114</v>
      </c>
      <c r="CS76" s="21" t="s">
        <v>114</v>
      </c>
      <c r="CT76" s="21" t="s">
        <v>114</v>
      </c>
      <c r="CU76" s="21" t="s">
        <v>114</v>
      </c>
      <c r="CV76" s="21" t="s">
        <v>114</v>
      </c>
      <c r="CW76" s="21" t="s">
        <v>114</v>
      </c>
      <c r="CX76" s="21" t="s">
        <v>114</v>
      </c>
      <c r="CY76" s="21" t="s">
        <v>114</v>
      </c>
      <c r="CZ76" s="21" t="s">
        <v>114</v>
      </c>
      <c r="DA76" s="21" t="s">
        <v>114</v>
      </c>
      <c r="DB76" s="21" t="s">
        <v>114</v>
      </c>
      <c r="DC76" s="21" t="s">
        <v>114</v>
      </c>
      <c r="DD76" s="21" t="s">
        <v>114</v>
      </c>
      <c r="DE76" s="21" t="s">
        <v>114</v>
      </c>
      <c r="DF76" s="19" t="s">
        <v>114</v>
      </c>
      <c r="DG76" s="19" t="s">
        <v>114</v>
      </c>
      <c r="DH76" s="19" t="s">
        <v>114</v>
      </c>
      <c r="DI76" s="19" t="s">
        <v>114</v>
      </c>
      <c r="DJ76" s="19" t="s">
        <v>114</v>
      </c>
      <c r="DK76" s="19" t="s">
        <v>114</v>
      </c>
      <c r="DL76" s="19" t="s">
        <v>114</v>
      </c>
      <c r="DM76" s="19" t="s">
        <v>114</v>
      </c>
      <c r="DN76" s="19" t="s">
        <v>114</v>
      </c>
      <c r="DO76" s="19" t="s">
        <v>114</v>
      </c>
    </row>
    <row r="77" spans="1:119" x14ac:dyDescent="0.45">
      <c r="A77" s="4"/>
      <c r="B77" t="s">
        <v>2340</v>
      </c>
      <c r="C77" s="4">
        <v>515</v>
      </c>
      <c r="D77" s="7"/>
      <c r="E77" s="4" t="s">
        <v>2186</v>
      </c>
      <c r="F77" s="4" t="s">
        <v>2186</v>
      </c>
      <c r="G77" s="4" t="s">
        <v>2186</v>
      </c>
      <c r="H77" s="2"/>
      <c r="J77">
        <v>515</v>
      </c>
      <c r="K77" s="4" t="s">
        <v>2186</v>
      </c>
      <c r="L77">
        <v>515</v>
      </c>
      <c r="M77" s="4" t="s">
        <v>2186</v>
      </c>
      <c r="N77">
        <v>515</v>
      </c>
      <c r="O77" s="4" t="s">
        <v>2186</v>
      </c>
      <c r="P77" s="4" t="s">
        <v>2186</v>
      </c>
      <c r="Q77" s="4"/>
      <c r="R77">
        <v>515</v>
      </c>
      <c r="S77" s="4" t="s">
        <v>2186</v>
      </c>
      <c r="T77">
        <v>515</v>
      </c>
      <c r="U77" s="4" t="s">
        <v>2186</v>
      </c>
      <c r="V77" t="e">
        <v>#N/A</v>
      </c>
      <c r="W77" t="e">
        <v>#N/A</v>
      </c>
      <c r="X77" t="e">
        <v>#N/A</v>
      </c>
      <c r="AA77" t="s">
        <v>2511</v>
      </c>
      <c r="AB77" t="s">
        <v>282</v>
      </c>
      <c r="AC77" s="2" t="s">
        <v>1888</v>
      </c>
      <c r="AD77" s="2" t="s">
        <v>1888</v>
      </c>
      <c r="AE77" t="s">
        <v>158</v>
      </c>
      <c r="AF77" t="s">
        <v>1886</v>
      </c>
      <c r="AG77" s="3" t="s">
        <v>1887</v>
      </c>
      <c r="AJ77" s="3"/>
      <c r="AK77" t="s">
        <v>2005</v>
      </c>
      <c r="AL77" s="5"/>
      <c r="AO77" s="3" t="s">
        <v>119</v>
      </c>
      <c r="AP77" s="3" t="s">
        <v>120</v>
      </c>
      <c r="AQ77" s="3" t="s">
        <v>111</v>
      </c>
      <c r="AR77" s="3" t="s">
        <v>112</v>
      </c>
      <c r="AS77" s="3" t="s">
        <v>112</v>
      </c>
      <c r="AT77" s="3" t="s">
        <v>113</v>
      </c>
      <c r="AU77" s="3" t="s">
        <v>2303</v>
      </c>
      <c r="AV77" s="3" t="s">
        <v>2302</v>
      </c>
      <c r="AW77" s="3" t="s">
        <v>2301</v>
      </c>
      <c r="AX77" s="3" t="s">
        <v>2006</v>
      </c>
      <c r="AY77" s="19" t="s">
        <v>114</v>
      </c>
      <c r="AZ77" s="19"/>
      <c r="BA77" s="19" t="s">
        <v>114</v>
      </c>
      <c r="BB77" s="19" t="s">
        <v>114</v>
      </c>
      <c r="BC77" s="19" t="s">
        <v>114</v>
      </c>
      <c r="BD77" s="19" t="s">
        <v>114</v>
      </c>
      <c r="BE77" s="19" t="s">
        <v>114</v>
      </c>
      <c r="BF77" s="19" t="s">
        <v>114</v>
      </c>
      <c r="BG77" s="19" t="s">
        <v>114</v>
      </c>
      <c r="BH77" s="19" t="s">
        <v>114</v>
      </c>
      <c r="BI77" s="19" t="s">
        <v>114</v>
      </c>
      <c r="BJ77" s="19" t="s">
        <v>114</v>
      </c>
      <c r="BK77" s="19" t="s">
        <v>114</v>
      </c>
      <c r="BL77" s="19" t="s">
        <v>114</v>
      </c>
      <c r="BM77" s="19" t="s">
        <v>114</v>
      </c>
      <c r="BN77" s="19" t="s">
        <v>114</v>
      </c>
      <c r="BO77" s="19" t="s">
        <v>114</v>
      </c>
      <c r="BP77" s="19" t="s">
        <v>114</v>
      </c>
      <c r="BQ77" s="19" t="s">
        <v>114</v>
      </c>
      <c r="BR77" s="19" t="s">
        <v>114</v>
      </c>
      <c r="BS77" s="19" t="s">
        <v>114</v>
      </c>
      <c r="BT77" s="19" t="s">
        <v>114</v>
      </c>
      <c r="BU77" s="19" t="s">
        <v>114</v>
      </c>
      <c r="BV77" s="19" t="s">
        <v>114</v>
      </c>
      <c r="BW77" s="19" t="s">
        <v>114</v>
      </c>
      <c r="BX77" s="19" t="s">
        <v>114</v>
      </c>
      <c r="BY77" s="19" t="s">
        <v>114</v>
      </c>
      <c r="BZ77" s="21" t="s">
        <v>114</v>
      </c>
      <c r="CA77" s="21" t="s">
        <v>114</v>
      </c>
      <c r="CB77" s="21" t="s">
        <v>114</v>
      </c>
      <c r="CC77" s="21" t="s">
        <v>114</v>
      </c>
      <c r="CD77" s="21" t="s">
        <v>114</v>
      </c>
      <c r="CE77" s="21" t="s">
        <v>114</v>
      </c>
      <c r="CF77" s="19" t="s">
        <v>114</v>
      </c>
      <c r="CG77" s="19" t="s">
        <v>114</v>
      </c>
      <c r="CH77" s="19" t="s">
        <v>114</v>
      </c>
      <c r="CI77" s="21" t="s">
        <v>114</v>
      </c>
      <c r="CJ77" s="21" t="s">
        <v>114</v>
      </c>
      <c r="CK77" s="21" t="s">
        <v>114</v>
      </c>
      <c r="CL77" s="21" t="s">
        <v>114</v>
      </c>
      <c r="CM77" s="21" t="s">
        <v>114</v>
      </c>
      <c r="CN77" s="21" t="s">
        <v>114</v>
      </c>
      <c r="CO77" s="21" t="s">
        <v>114</v>
      </c>
      <c r="CP77" s="21" t="s">
        <v>114</v>
      </c>
      <c r="CQ77" s="21" t="s">
        <v>114</v>
      </c>
      <c r="CR77" s="21" t="s">
        <v>114</v>
      </c>
      <c r="CS77" s="21" t="s">
        <v>114</v>
      </c>
      <c r="CT77" s="21" t="s">
        <v>114</v>
      </c>
      <c r="CU77" s="21" t="s">
        <v>114</v>
      </c>
      <c r="CV77" s="21" t="s">
        <v>114</v>
      </c>
      <c r="CW77" s="21" t="s">
        <v>114</v>
      </c>
      <c r="CX77" s="21" t="s">
        <v>114</v>
      </c>
      <c r="CY77" s="21" t="s">
        <v>114</v>
      </c>
      <c r="CZ77" s="21" t="s">
        <v>114</v>
      </c>
      <c r="DA77" s="21" t="s">
        <v>114</v>
      </c>
      <c r="DB77" s="21" t="s">
        <v>114</v>
      </c>
      <c r="DC77" s="21" t="s">
        <v>114</v>
      </c>
      <c r="DD77" s="21" t="s">
        <v>114</v>
      </c>
      <c r="DE77" s="21" t="s">
        <v>114</v>
      </c>
      <c r="DF77" s="19" t="s">
        <v>114</v>
      </c>
      <c r="DG77" s="19" t="s">
        <v>114</v>
      </c>
      <c r="DH77" s="19" t="s">
        <v>114</v>
      </c>
      <c r="DI77" s="19" t="s">
        <v>114</v>
      </c>
      <c r="DJ77" s="19" t="s">
        <v>114</v>
      </c>
      <c r="DK77" s="19" t="s">
        <v>114</v>
      </c>
      <c r="DL77" s="19" t="s">
        <v>114</v>
      </c>
      <c r="DM77" s="19" t="s">
        <v>114</v>
      </c>
      <c r="DN77" s="19" t="s">
        <v>114</v>
      </c>
      <c r="DO77" s="19" t="s">
        <v>114</v>
      </c>
    </row>
    <row r="78" spans="1:119" x14ac:dyDescent="0.45">
      <c r="A78" s="2"/>
      <c r="B78" t="s">
        <v>2315</v>
      </c>
      <c r="C78" s="2">
        <v>14</v>
      </c>
      <c r="D78" s="6"/>
      <c r="E78" s="2"/>
      <c r="F78" s="2" t="s">
        <v>328</v>
      </c>
      <c r="H78" s="2"/>
      <c r="J78" s="2">
        <v>2</v>
      </c>
      <c r="K78" t="s">
        <v>116</v>
      </c>
      <c r="L78" s="2">
        <v>202</v>
      </c>
      <c r="M78" t="s">
        <v>166</v>
      </c>
      <c r="N78">
        <v>14</v>
      </c>
      <c r="O78" s="2" t="s">
        <v>328</v>
      </c>
      <c r="P78" s="2" t="s">
        <v>116</v>
      </c>
      <c r="Q78" s="2" t="s">
        <v>166</v>
      </c>
      <c r="R78" s="2"/>
      <c r="S78" s="2"/>
      <c r="T78" s="2"/>
      <c r="U78" s="2"/>
      <c r="V78" t="e">
        <v>#N/A</v>
      </c>
      <c r="W78" t="e">
        <v>#N/A</v>
      </c>
      <c r="X78" t="e">
        <v>#N/A</v>
      </c>
      <c r="AA78" t="s">
        <v>2511</v>
      </c>
      <c r="AB78" t="s">
        <v>282</v>
      </c>
      <c r="AC78" s="2" t="s">
        <v>1888</v>
      </c>
      <c r="AD78" s="2" t="s">
        <v>1888</v>
      </c>
      <c r="AE78" t="s">
        <v>158</v>
      </c>
      <c r="AF78" t="s">
        <v>1886</v>
      </c>
      <c r="AG78" t="s">
        <v>158</v>
      </c>
      <c r="AK78" t="s">
        <v>218</v>
      </c>
      <c r="AL78" s="5"/>
      <c r="AO78" s="3" t="s">
        <v>119</v>
      </c>
      <c r="AP78" s="3" t="s">
        <v>120</v>
      </c>
      <c r="AQ78" s="3" t="s">
        <v>111</v>
      </c>
      <c r="AR78" s="3" t="s">
        <v>112</v>
      </c>
      <c r="AS78" s="3" t="s">
        <v>112</v>
      </c>
      <c r="AU78" s="3" t="s">
        <v>2303</v>
      </c>
      <c r="AV78" s="3" t="s">
        <v>2302</v>
      </c>
      <c r="AW78" s="3" t="s">
        <v>2301</v>
      </c>
      <c r="AX78" t="s">
        <v>282</v>
      </c>
      <c r="AY78" s="19" t="s">
        <v>114</v>
      </c>
      <c r="AZ78" s="19" t="s">
        <v>114</v>
      </c>
      <c r="BA78" s="19" t="s">
        <v>114</v>
      </c>
      <c r="BB78" s="19" t="s">
        <v>114</v>
      </c>
      <c r="BC78" s="19" t="s">
        <v>114</v>
      </c>
      <c r="BD78" s="19" t="s">
        <v>114</v>
      </c>
      <c r="BE78" s="19" t="s">
        <v>114</v>
      </c>
      <c r="BF78" s="19" t="s">
        <v>114</v>
      </c>
      <c r="BG78" s="19" t="s">
        <v>114</v>
      </c>
      <c r="BH78" s="19" t="s">
        <v>114</v>
      </c>
      <c r="BI78" s="19" t="s">
        <v>114</v>
      </c>
      <c r="BJ78" s="19" t="s">
        <v>114</v>
      </c>
      <c r="BK78" s="19" t="s">
        <v>114</v>
      </c>
      <c r="BL78" s="19" t="s">
        <v>114</v>
      </c>
      <c r="BM78" s="19" t="s">
        <v>114</v>
      </c>
      <c r="BN78" s="19" t="s">
        <v>114</v>
      </c>
      <c r="BO78" s="19" t="s">
        <v>114</v>
      </c>
      <c r="BP78" s="19" t="s">
        <v>114</v>
      </c>
      <c r="BQ78" s="19" t="s">
        <v>114</v>
      </c>
      <c r="BR78" s="19" t="s">
        <v>114</v>
      </c>
      <c r="BS78" s="19" t="s">
        <v>114</v>
      </c>
      <c r="BT78" s="19" t="s">
        <v>114</v>
      </c>
      <c r="BU78" s="19" t="s">
        <v>114</v>
      </c>
      <c r="BV78" s="19" t="s">
        <v>114</v>
      </c>
      <c r="BW78" s="19" t="s">
        <v>114</v>
      </c>
      <c r="BX78" s="19" t="s">
        <v>114</v>
      </c>
      <c r="BY78" s="19" t="s">
        <v>114</v>
      </c>
      <c r="BZ78" s="21" t="s">
        <v>114</v>
      </c>
      <c r="CA78" s="21" t="s">
        <v>114</v>
      </c>
      <c r="CB78" s="21" t="s">
        <v>114</v>
      </c>
      <c r="CC78" s="21" t="s">
        <v>114</v>
      </c>
      <c r="CD78" s="21" t="s">
        <v>114</v>
      </c>
      <c r="CE78" s="21" t="s">
        <v>114</v>
      </c>
      <c r="CF78" s="19" t="s">
        <v>114</v>
      </c>
      <c r="CG78" s="19" t="s">
        <v>114</v>
      </c>
      <c r="CH78" s="19" t="s">
        <v>114</v>
      </c>
      <c r="CI78" s="21" t="s">
        <v>114</v>
      </c>
      <c r="CJ78" s="21" t="s">
        <v>114</v>
      </c>
      <c r="CK78" s="21" t="s">
        <v>114</v>
      </c>
      <c r="CL78" s="21" t="s">
        <v>114</v>
      </c>
      <c r="CM78" s="21" t="s">
        <v>114</v>
      </c>
      <c r="CN78" s="21" t="s">
        <v>114</v>
      </c>
      <c r="CO78" s="21" t="s">
        <v>114</v>
      </c>
      <c r="CP78" s="21" t="s">
        <v>114</v>
      </c>
      <c r="CQ78" s="21" t="s">
        <v>114</v>
      </c>
      <c r="CR78" s="21" t="s">
        <v>114</v>
      </c>
      <c r="CS78" s="21" t="s">
        <v>114</v>
      </c>
      <c r="CT78" s="21" t="s">
        <v>114</v>
      </c>
      <c r="CU78" s="21" t="s">
        <v>114</v>
      </c>
      <c r="CV78" s="21" t="s">
        <v>114</v>
      </c>
      <c r="CW78" s="21" t="s">
        <v>114</v>
      </c>
      <c r="CX78" s="21" t="s">
        <v>114</v>
      </c>
      <c r="CY78" s="21" t="s">
        <v>114</v>
      </c>
      <c r="CZ78" s="21" t="s">
        <v>114</v>
      </c>
      <c r="DA78" s="21" t="s">
        <v>114</v>
      </c>
      <c r="DB78" s="21" t="s">
        <v>114</v>
      </c>
      <c r="DC78" s="21" t="s">
        <v>114</v>
      </c>
      <c r="DD78" s="21" t="s">
        <v>114</v>
      </c>
      <c r="DE78" s="21" t="s">
        <v>114</v>
      </c>
      <c r="DF78" s="19" t="s">
        <v>114</v>
      </c>
      <c r="DG78" s="19" t="s">
        <v>114</v>
      </c>
      <c r="DH78" s="19" t="s">
        <v>114</v>
      </c>
      <c r="DI78" s="19" t="s">
        <v>114</v>
      </c>
      <c r="DJ78" s="19" t="s">
        <v>114</v>
      </c>
      <c r="DK78" s="19" t="s">
        <v>114</v>
      </c>
      <c r="DL78" s="19" t="s">
        <v>114</v>
      </c>
      <c r="DM78" s="19" t="s">
        <v>114</v>
      </c>
      <c r="DN78" s="19" t="s">
        <v>114</v>
      </c>
      <c r="DO78" s="19" t="s">
        <v>114</v>
      </c>
    </row>
    <row r="79" spans="1:119" x14ac:dyDescent="0.45">
      <c r="A79" s="2"/>
      <c r="B79" t="s">
        <v>2316</v>
      </c>
      <c r="C79" s="2">
        <v>30</v>
      </c>
      <c r="D79" s="6"/>
      <c r="E79" s="2"/>
      <c r="F79" s="2" t="s">
        <v>407</v>
      </c>
      <c r="H79" s="2"/>
      <c r="J79" s="2">
        <v>142</v>
      </c>
      <c r="K79" t="s">
        <v>100</v>
      </c>
      <c r="L79" s="2">
        <v>30</v>
      </c>
      <c r="M79" t="s">
        <v>407</v>
      </c>
      <c r="P79" s="2" t="s">
        <v>100</v>
      </c>
      <c r="Q79" s="2"/>
      <c r="R79" s="2">
        <v>753</v>
      </c>
      <c r="S79" s="4" t="s">
        <v>525</v>
      </c>
      <c r="T79" s="4">
        <v>30</v>
      </c>
      <c r="U79" s="4" t="s">
        <v>407</v>
      </c>
      <c r="V79" t="e">
        <v>#N/A</v>
      </c>
      <c r="W79" t="e">
        <v>#N/A</v>
      </c>
      <c r="X79" t="e">
        <v>#N/A</v>
      </c>
      <c r="AA79" t="s">
        <v>2511</v>
      </c>
      <c r="AB79" t="s">
        <v>282</v>
      </c>
      <c r="AC79" s="2" t="s">
        <v>1888</v>
      </c>
      <c r="AD79" s="2" t="s">
        <v>1888</v>
      </c>
      <c r="AE79" t="s">
        <v>158</v>
      </c>
      <c r="AF79" t="s">
        <v>1886</v>
      </c>
      <c r="AG79" t="s">
        <v>158</v>
      </c>
      <c r="AK79" t="s">
        <v>218</v>
      </c>
      <c r="AL79" s="5"/>
      <c r="AO79" s="3" t="s">
        <v>119</v>
      </c>
      <c r="AP79" s="3" t="s">
        <v>120</v>
      </c>
      <c r="AQ79" s="3" t="s">
        <v>111</v>
      </c>
      <c r="AR79" s="3" t="s">
        <v>112</v>
      </c>
      <c r="AS79" s="3" t="s">
        <v>112</v>
      </c>
      <c r="AU79" s="3" t="s">
        <v>2303</v>
      </c>
      <c r="AV79" s="3" t="s">
        <v>2302</v>
      </c>
      <c r="AW79" s="3" t="s">
        <v>2301</v>
      </c>
      <c r="AX79" s="3" t="s">
        <v>2006</v>
      </c>
      <c r="AY79" s="19" t="s">
        <v>114</v>
      </c>
      <c r="AZ79" s="19" t="s">
        <v>114</v>
      </c>
      <c r="BA79" s="19" t="s">
        <v>114</v>
      </c>
      <c r="BB79" s="19" t="s">
        <v>114</v>
      </c>
      <c r="BC79" s="19" t="s">
        <v>114</v>
      </c>
      <c r="BD79" s="19" t="s">
        <v>114</v>
      </c>
      <c r="BE79" s="19" t="s">
        <v>114</v>
      </c>
      <c r="BF79" s="19" t="s">
        <v>114</v>
      </c>
      <c r="BG79" s="19" t="s">
        <v>114</v>
      </c>
      <c r="BH79" s="19" t="s">
        <v>114</v>
      </c>
      <c r="BI79" s="19" t="s">
        <v>114</v>
      </c>
      <c r="BJ79" s="19" t="s">
        <v>114</v>
      </c>
      <c r="BK79" s="19" t="s">
        <v>114</v>
      </c>
      <c r="BL79" s="19" t="s">
        <v>114</v>
      </c>
      <c r="BM79" s="19" t="s">
        <v>114</v>
      </c>
      <c r="BN79" s="19" t="s">
        <v>114</v>
      </c>
      <c r="BO79" s="19" t="s">
        <v>114</v>
      </c>
      <c r="BP79" s="19" t="s">
        <v>114</v>
      </c>
      <c r="BQ79" s="19" t="s">
        <v>114</v>
      </c>
      <c r="BR79" s="19" t="s">
        <v>114</v>
      </c>
      <c r="BS79" s="19" t="s">
        <v>114</v>
      </c>
      <c r="BT79" s="19" t="s">
        <v>114</v>
      </c>
      <c r="BU79" s="19" t="s">
        <v>114</v>
      </c>
      <c r="BV79" s="19" t="s">
        <v>114</v>
      </c>
      <c r="BW79" s="19" t="s">
        <v>114</v>
      </c>
      <c r="BX79" s="19" t="s">
        <v>114</v>
      </c>
      <c r="BY79" s="19" t="s">
        <v>114</v>
      </c>
      <c r="BZ79" s="21" t="s">
        <v>114</v>
      </c>
      <c r="CA79" s="21" t="s">
        <v>114</v>
      </c>
      <c r="CB79" s="21" t="s">
        <v>114</v>
      </c>
      <c r="CC79" s="21" t="s">
        <v>114</v>
      </c>
      <c r="CD79" s="21" t="s">
        <v>114</v>
      </c>
      <c r="CE79" s="21" t="s">
        <v>114</v>
      </c>
      <c r="CF79" s="19" t="s">
        <v>114</v>
      </c>
      <c r="CG79" s="19" t="s">
        <v>114</v>
      </c>
      <c r="CH79" s="19" t="s">
        <v>114</v>
      </c>
      <c r="CI79" s="21" t="s">
        <v>114</v>
      </c>
      <c r="CJ79" s="21" t="s">
        <v>114</v>
      </c>
      <c r="CK79" s="21" t="s">
        <v>114</v>
      </c>
      <c r="CL79" s="21" t="s">
        <v>114</v>
      </c>
      <c r="CM79" s="21" t="s">
        <v>114</v>
      </c>
      <c r="CN79" s="21" t="s">
        <v>114</v>
      </c>
      <c r="CO79" s="21" t="s">
        <v>114</v>
      </c>
      <c r="CP79" s="21" t="s">
        <v>114</v>
      </c>
      <c r="CQ79" s="21" t="s">
        <v>114</v>
      </c>
      <c r="CR79" s="21" t="s">
        <v>114</v>
      </c>
      <c r="CS79" s="21" t="s">
        <v>114</v>
      </c>
      <c r="CT79" s="21" t="s">
        <v>114</v>
      </c>
      <c r="CU79" s="21" t="s">
        <v>114</v>
      </c>
      <c r="CV79" s="21" t="s">
        <v>114</v>
      </c>
      <c r="CW79" s="21" t="s">
        <v>114</v>
      </c>
      <c r="CX79" s="21" t="s">
        <v>114</v>
      </c>
      <c r="CY79" s="21" t="s">
        <v>114</v>
      </c>
      <c r="CZ79" s="21" t="s">
        <v>114</v>
      </c>
      <c r="DA79" s="21" t="s">
        <v>114</v>
      </c>
      <c r="DB79" s="21" t="s">
        <v>114</v>
      </c>
      <c r="DC79" s="21" t="s">
        <v>114</v>
      </c>
      <c r="DD79" s="21" t="s">
        <v>114</v>
      </c>
      <c r="DE79" s="21" t="s">
        <v>114</v>
      </c>
      <c r="DF79" s="19" t="s">
        <v>114</v>
      </c>
      <c r="DG79" s="19" t="s">
        <v>114</v>
      </c>
      <c r="DH79" s="19" t="s">
        <v>114</v>
      </c>
      <c r="DI79" s="19" t="s">
        <v>114</v>
      </c>
      <c r="DJ79" s="19" t="s">
        <v>114</v>
      </c>
      <c r="DK79" s="19" t="s">
        <v>114</v>
      </c>
      <c r="DL79" s="19" t="s">
        <v>114</v>
      </c>
      <c r="DM79" s="19" t="s">
        <v>114</v>
      </c>
      <c r="DN79" s="19" t="s">
        <v>114</v>
      </c>
      <c r="DO79" s="19" t="s">
        <v>114</v>
      </c>
    </row>
    <row r="80" spans="1:119" x14ac:dyDescent="0.45">
      <c r="A80" s="2"/>
      <c r="B80" t="s">
        <v>2317</v>
      </c>
      <c r="C80" s="2">
        <v>753</v>
      </c>
      <c r="D80" s="6"/>
      <c r="E80" s="2"/>
      <c r="F80" s="2" t="s">
        <v>525</v>
      </c>
      <c r="H80" s="2"/>
      <c r="J80" s="2">
        <v>142</v>
      </c>
      <c r="K80" s="2" t="s">
        <v>100</v>
      </c>
      <c r="L80" s="2"/>
      <c r="P80" s="2" t="s">
        <v>100</v>
      </c>
      <c r="Q80" s="2"/>
      <c r="R80" s="2">
        <v>1</v>
      </c>
      <c r="S80" s="2"/>
      <c r="T80" s="2"/>
      <c r="U80" s="2"/>
      <c r="V80" t="e">
        <v>#N/A</v>
      </c>
      <c r="W80" t="e">
        <v>#N/A</v>
      </c>
      <c r="X80" t="e">
        <v>#N/A</v>
      </c>
      <c r="AA80" t="s">
        <v>2511</v>
      </c>
      <c r="AB80" t="s">
        <v>282</v>
      </c>
      <c r="AC80" s="2" t="s">
        <v>1888</v>
      </c>
      <c r="AD80" s="2" t="s">
        <v>1888</v>
      </c>
      <c r="AE80" t="s">
        <v>158</v>
      </c>
      <c r="AF80" t="s">
        <v>1886</v>
      </c>
      <c r="AG80" t="s">
        <v>158</v>
      </c>
      <c r="AK80" t="s">
        <v>389</v>
      </c>
      <c r="AL80" s="5"/>
      <c r="AO80" s="3" t="s">
        <v>119</v>
      </c>
      <c r="AP80" s="3" t="s">
        <v>120</v>
      </c>
      <c r="AQ80" s="3" t="s">
        <v>111</v>
      </c>
      <c r="AR80" s="3" t="s">
        <v>112</v>
      </c>
      <c r="AS80" s="3" t="s">
        <v>112</v>
      </c>
      <c r="AU80" s="3" t="s">
        <v>2303</v>
      </c>
      <c r="AV80" s="3" t="s">
        <v>2302</v>
      </c>
      <c r="AW80" s="3" t="s">
        <v>2301</v>
      </c>
      <c r="AX80" s="3" t="s">
        <v>2006</v>
      </c>
      <c r="AY80" s="19" t="s">
        <v>114</v>
      </c>
      <c r="AZ80" s="19" t="s">
        <v>114</v>
      </c>
      <c r="BA80" s="19" t="s">
        <v>114</v>
      </c>
      <c r="BB80" s="19" t="s">
        <v>114</v>
      </c>
      <c r="BC80" s="19" t="s">
        <v>114</v>
      </c>
      <c r="BD80" s="19" t="s">
        <v>114</v>
      </c>
      <c r="BE80" s="19" t="s">
        <v>114</v>
      </c>
      <c r="BF80" s="19" t="s">
        <v>114</v>
      </c>
      <c r="BG80" s="19" t="s">
        <v>114</v>
      </c>
      <c r="BH80" s="19" t="s">
        <v>114</v>
      </c>
      <c r="BI80" s="19" t="s">
        <v>114</v>
      </c>
      <c r="BJ80" s="19" t="s">
        <v>114</v>
      </c>
      <c r="BK80" s="19" t="s">
        <v>114</v>
      </c>
      <c r="BL80" s="19" t="s">
        <v>114</v>
      </c>
      <c r="BM80" s="19" t="s">
        <v>114</v>
      </c>
      <c r="BN80" s="19" t="s">
        <v>114</v>
      </c>
      <c r="BO80" s="19" t="s">
        <v>114</v>
      </c>
      <c r="BP80" s="19" t="s">
        <v>114</v>
      </c>
      <c r="BQ80" s="19" t="s">
        <v>114</v>
      </c>
      <c r="BR80" s="19" t="s">
        <v>114</v>
      </c>
      <c r="BS80" s="19" t="s">
        <v>114</v>
      </c>
      <c r="BT80" s="19" t="s">
        <v>114</v>
      </c>
      <c r="BU80" s="19" t="s">
        <v>114</v>
      </c>
      <c r="BV80" s="19" t="s">
        <v>114</v>
      </c>
      <c r="BW80" s="19" t="s">
        <v>114</v>
      </c>
      <c r="BX80" s="19" t="s">
        <v>114</v>
      </c>
      <c r="BY80" s="19" t="s">
        <v>114</v>
      </c>
      <c r="BZ80" s="21" t="s">
        <v>114</v>
      </c>
      <c r="CA80" s="21" t="s">
        <v>114</v>
      </c>
      <c r="CB80" s="21" t="s">
        <v>114</v>
      </c>
      <c r="CC80" s="21" t="s">
        <v>114</v>
      </c>
      <c r="CD80" s="21" t="s">
        <v>114</v>
      </c>
      <c r="CE80" s="21" t="s">
        <v>114</v>
      </c>
      <c r="CF80" s="19" t="s">
        <v>114</v>
      </c>
      <c r="CG80" s="19" t="s">
        <v>114</v>
      </c>
      <c r="CH80" s="19" t="s">
        <v>114</v>
      </c>
      <c r="CI80" s="21" t="s">
        <v>114</v>
      </c>
      <c r="CJ80" s="21" t="s">
        <v>114</v>
      </c>
      <c r="CK80" s="21" t="s">
        <v>114</v>
      </c>
      <c r="CL80" s="21" t="s">
        <v>114</v>
      </c>
      <c r="CM80" s="21" t="s">
        <v>114</v>
      </c>
      <c r="CN80" s="21" t="s">
        <v>114</v>
      </c>
      <c r="CO80" s="21" t="s">
        <v>114</v>
      </c>
      <c r="CP80" s="21" t="s">
        <v>114</v>
      </c>
      <c r="CQ80" s="21" t="s">
        <v>114</v>
      </c>
      <c r="CR80" s="21" t="s">
        <v>114</v>
      </c>
      <c r="CS80" s="21" t="s">
        <v>114</v>
      </c>
      <c r="CT80" s="21" t="s">
        <v>114</v>
      </c>
      <c r="CU80" s="21" t="s">
        <v>114</v>
      </c>
      <c r="CV80" s="21" t="s">
        <v>114</v>
      </c>
      <c r="CW80" s="21" t="s">
        <v>114</v>
      </c>
      <c r="CX80" s="21" t="s">
        <v>114</v>
      </c>
      <c r="CY80" s="21" t="s">
        <v>114</v>
      </c>
      <c r="CZ80" s="21" t="s">
        <v>114</v>
      </c>
      <c r="DA80" s="21" t="s">
        <v>114</v>
      </c>
      <c r="DB80" s="21" t="s">
        <v>114</v>
      </c>
      <c r="DC80" s="21" t="s">
        <v>114</v>
      </c>
      <c r="DD80" s="21" t="s">
        <v>114</v>
      </c>
      <c r="DE80" s="21" t="s">
        <v>114</v>
      </c>
      <c r="DF80" s="19" t="s">
        <v>114</v>
      </c>
      <c r="DG80" s="19" t="s">
        <v>114</v>
      </c>
      <c r="DH80" s="19" t="s">
        <v>114</v>
      </c>
      <c r="DI80" s="19" t="s">
        <v>114</v>
      </c>
      <c r="DJ80" s="19" t="s">
        <v>114</v>
      </c>
      <c r="DK80" s="19" t="s">
        <v>114</v>
      </c>
      <c r="DL80" s="19" t="s">
        <v>114</v>
      </c>
      <c r="DM80" s="19" t="s">
        <v>114</v>
      </c>
      <c r="DN80" s="19" t="s">
        <v>114</v>
      </c>
      <c r="DO80" s="19" t="s">
        <v>114</v>
      </c>
    </row>
    <row r="81" spans="1:119" x14ac:dyDescent="0.45">
      <c r="A81" s="2"/>
      <c r="B81" t="s">
        <v>2318</v>
      </c>
      <c r="C81" s="2">
        <v>151</v>
      </c>
      <c r="D81" s="6"/>
      <c r="E81" s="2"/>
      <c r="F81" s="2" t="s">
        <v>256</v>
      </c>
      <c r="H81" s="2"/>
      <c r="J81" s="2">
        <v>150</v>
      </c>
      <c r="K81" t="s">
        <v>127</v>
      </c>
      <c r="L81" s="2">
        <v>151</v>
      </c>
      <c r="M81" s="2" t="s">
        <v>256</v>
      </c>
      <c r="N81" s="2"/>
      <c r="O81" s="2"/>
      <c r="P81" s="2" t="s">
        <v>127</v>
      </c>
      <c r="Q81" s="2" t="s">
        <v>129</v>
      </c>
      <c r="R81" s="2"/>
      <c r="S81" s="2"/>
      <c r="T81" s="2"/>
      <c r="U81" s="2"/>
      <c r="V81" t="e">
        <v>#N/A</v>
      </c>
      <c r="W81" t="e">
        <v>#N/A</v>
      </c>
      <c r="X81" t="e">
        <v>#N/A</v>
      </c>
      <c r="AA81" t="s">
        <v>2511</v>
      </c>
      <c r="AB81" t="s">
        <v>282</v>
      </c>
      <c r="AC81" s="2" t="s">
        <v>1888</v>
      </c>
      <c r="AD81" s="2" t="s">
        <v>1888</v>
      </c>
      <c r="AE81" t="s">
        <v>158</v>
      </c>
      <c r="AF81" t="s">
        <v>1886</v>
      </c>
      <c r="AG81" t="s">
        <v>158</v>
      </c>
      <c r="AK81" t="s">
        <v>218</v>
      </c>
      <c r="AL81" s="5"/>
      <c r="AO81" s="3" t="s">
        <v>119</v>
      </c>
      <c r="AP81" s="3" t="s">
        <v>120</v>
      </c>
      <c r="AQ81" s="3" t="s">
        <v>111</v>
      </c>
      <c r="AR81" s="3" t="s">
        <v>112</v>
      </c>
      <c r="AS81" s="3" t="s">
        <v>112</v>
      </c>
      <c r="AU81" s="3" t="s">
        <v>2303</v>
      </c>
      <c r="AV81" s="3" t="s">
        <v>2302</v>
      </c>
      <c r="AW81" s="3" t="s">
        <v>2301</v>
      </c>
      <c r="AX81" s="3" t="s">
        <v>2006</v>
      </c>
      <c r="AY81" s="19" t="s">
        <v>114</v>
      </c>
      <c r="AZ81" s="19" t="s">
        <v>114</v>
      </c>
      <c r="BA81" s="19" t="s">
        <v>114</v>
      </c>
      <c r="BB81" s="19" t="s">
        <v>114</v>
      </c>
      <c r="BC81" s="19" t="s">
        <v>114</v>
      </c>
      <c r="BD81" s="19" t="s">
        <v>114</v>
      </c>
      <c r="BE81" s="19" t="s">
        <v>114</v>
      </c>
      <c r="BF81" s="19" t="s">
        <v>114</v>
      </c>
      <c r="BG81" s="19" t="s">
        <v>114</v>
      </c>
      <c r="BH81" s="19" t="s">
        <v>114</v>
      </c>
      <c r="BI81" s="19" t="s">
        <v>114</v>
      </c>
      <c r="BJ81" s="19" t="s">
        <v>114</v>
      </c>
      <c r="BK81" s="19" t="s">
        <v>114</v>
      </c>
      <c r="BL81" s="19" t="s">
        <v>114</v>
      </c>
      <c r="BM81" s="19" t="s">
        <v>114</v>
      </c>
      <c r="BN81" s="19" t="s">
        <v>114</v>
      </c>
      <c r="BO81" s="19" t="s">
        <v>114</v>
      </c>
      <c r="BP81" s="19" t="s">
        <v>114</v>
      </c>
      <c r="BQ81" s="19" t="s">
        <v>114</v>
      </c>
      <c r="BR81" s="19" t="s">
        <v>114</v>
      </c>
      <c r="BS81" s="19" t="s">
        <v>114</v>
      </c>
      <c r="BT81" s="19" t="s">
        <v>114</v>
      </c>
      <c r="BU81" s="19" t="s">
        <v>114</v>
      </c>
      <c r="BV81" s="19" t="s">
        <v>114</v>
      </c>
      <c r="BW81" s="19" t="s">
        <v>114</v>
      </c>
      <c r="BX81" s="19" t="s">
        <v>114</v>
      </c>
      <c r="BY81" s="19" t="s">
        <v>114</v>
      </c>
      <c r="BZ81" s="21" t="s">
        <v>114</v>
      </c>
      <c r="CA81" s="21" t="s">
        <v>114</v>
      </c>
      <c r="CB81" s="21" t="s">
        <v>114</v>
      </c>
      <c r="CC81" s="21" t="s">
        <v>114</v>
      </c>
      <c r="CD81" s="21" t="s">
        <v>114</v>
      </c>
      <c r="CE81" s="21" t="s">
        <v>114</v>
      </c>
      <c r="CF81" s="19" t="s">
        <v>114</v>
      </c>
      <c r="CG81" s="19" t="s">
        <v>114</v>
      </c>
      <c r="CH81" s="19" t="s">
        <v>114</v>
      </c>
      <c r="CI81" s="21" t="s">
        <v>114</v>
      </c>
      <c r="CJ81" s="21" t="s">
        <v>114</v>
      </c>
      <c r="CK81" s="21" t="s">
        <v>114</v>
      </c>
      <c r="CL81" s="21" t="s">
        <v>114</v>
      </c>
      <c r="CM81" s="21" t="s">
        <v>114</v>
      </c>
      <c r="CN81" s="21" t="s">
        <v>114</v>
      </c>
      <c r="CO81" s="21" t="s">
        <v>114</v>
      </c>
      <c r="CP81" s="21" t="s">
        <v>114</v>
      </c>
      <c r="CQ81" s="21" t="s">
        <v>114</v>
      </c>
      <c r="CR81" s="21" t="s">
        <v>114</v>
      </c>
      <c r="CS81" s="21" t="s">
        <v>114</v>
      </c>
      <c r="CT81" s="21" t="s">
        <v>114</v>
      </c>
      <c r="CU81" s="21" t="s">
        <v>114</v>
      </c>
      <c r="CV81" s="21" t="s">
        <v>114</v>
      </c>
      <c r="CW81" s="21" t="s">
        <v>114</v>
      </c>
      <c r="CX81" s="21" t="s">
        <v>114</v>
      </c>
      <c r="CY81" s="21" t="s">
        <v>114</v>
      </c>
      <c r="CZ81" s="21" t="s">
        <v>114</v>
      </c>
      <c r="DA81" s="21" t="s">
        <v>114</v>
      </c>
      <c r="DB81" s="21" t="s">
        <v>114</v>
      </c>
      <c r="DC81" s="21" t="s">
        <v>114</v>
      </c>
      <c r="DD81" s="21" t="s">
        <v>114</v>
      </c>
      <c r="DE81" s="21" t="s">
        <v>114</v>
      </c>
      <c r="DF81" s="19" t="s">
        <v>114</v>
      </c>
      <c r="DG81" s="19" t="s">
        <v>114</v>
      </c>
      <c r="DH81" s="19" t="s">
        <v>114</v>
      </c>
      <c r="DI81" s="19" t="s">
        <v>114</v>
      </c>
      <c r="DJ81" s="19" t="s">
        <v>114</v>
      </c>
      <c r="DK81" s="19" t="s">
        <v>114</v>
      </c>
      <c r="DL81" s="19" t="s">
        <v>114</v>
      </c>
      <c r="DM81" s="19" t="s">
        <v>114</v>
      </c>
      <c r="DN81" s="19" t="s">
        <v>114</v>
      </c>
      <c r="DO81" s="19" t="s">
        <v>114</v>
      </c>
    </row>
    <row r="82" spans="1:119" x14ac:dyDescent="0.45">
      <c r="A82" s="2"/>
      <c r="B82" s="5" t="s">
        <v>564</v>
      </c>
      <c r="C82" s="2">
        <v>99903</v>
      </c>
      <c r="D82" s="6">
        <v>400</v>
      </c>
      <c r="E82" s="2" t="s">
        <v>203</v>
      </c>
      <c r="F82" s="5" t="s">
        <v>203</v>
      </c>
      <c r="H82" s="8"/>
      <c r="I82" s="2" t="s">
        <v>203</v>
      </c>
      <c r="J82" s="2"/>
      <c r="K82" t="s">
        <v>127</v>
      </c>
      <c r="L82" s="2"/>
      <c r="P82" s="2" t="s">
        <v>203</v>
      </c>
      <c r="Q82" s="2" t="s">
        <v>129</v>
      </c>
      <c r="R82" s="2">
        <v>513</v>
      </c>
      <c r="S82" s="2" t="s">
        <v>1000</v>
      </c>
      <c r="T82" s="2"/>
      <c r="U82" s="2"/>
      <c r="V82" t="e">
        <v>#N/A</v>
      </c>
      <c r="W82" t="e">
        <v>#N/A</v>
      </c>
      <c r="X82" t="e">
        <v>#N/A</v>
      </c>
      <c r="AA82" t="s">
        <v>2511</v>
      </c>
      <c r="AB82" t="s">
        <v>282</v>
      </c>
      <c r="AC82" s="2" t="s">
        <v>1888</v>
      </c>
      <c r="AD82" s="2" t="s">
        <v>1888</v>
      </c>
      <c r="AE82" t="s">
        <v>158</v>
      </c>
      <c r="AF82" t="s">
        <v>1886</v>
      </c>
      <c r="AG82" t="s">
        <v>158</v>
      </c>
      <c r="AK82" t="s">
        <v>218</v>
      </c>
      <c r="AL82" s="5"/>
      <c r="AM82" s="5" t="s">
        <v>109</v>
      </c>
      <c r="AO82" s="3" t="s">
        <v>119</v>
      </c>
      <c r="AP82" s="3" t="s">
        <v>120</v>
      </c>
      <c r="AQ82" s="3" t="s">
        <v>111</v>
      </c>
      <c r="AR82" s="3" t="s">
        <v>112</v>
      </c>
      <c r="AS82" s="3" t="s">
        <v>112</v>
      </c>
      <c r="AT82" s="3" t="s">
        <v>113</v>
      </c>
      <c r="AU82" s="3" t="s">
        <v>2303</v>
      </c>
      <c r="AV82" s="3" t="s">
        <v>2302</v>
      </c>
      <c r="AW82" s="3" t="s">
        <v>2301</v>
      </c>
      <c r="AX82" s="3" t="s">
        <v>2006</v>
      </c>
      <c r="AY82" s="19" t="s">
        <v>114</v>
      </c>
      <c r="AZ82" s="19" t="s">
        <v>114</v>
      </c>
      <c r="BA82" s="19" t="s">
        <v>114</v>
      </c>
      <c r="BB82" s="19" t="s">
        <v>114</v>
      </c>
      <c r="BC82" s="19" t="s">
        <v>114</v>
      </c>
      <c r="BD82" s="19" t="s">
        <v>114</v>
      </c>
      <c r="BE82" s="19" t="s">
        <v>114</v>
      </c>
      <c r="BF82" s="19" t="s">
        <v>114</v>
      </c>
      <c r="BG82" s="19" t="s">
        <v>114</v>
      </c>
      <c r="BH82" s="19" t="s">
        <v>114</v>
      </c>
      <c r="BI82" s="19" t="s">
        <v>114</v>
      </c>
      <c r="BJ82" s="19" t="s">
        <v>114</v>
      </c>
      <c r="BK82" s="19" t="s">
        <v>114</v>
      </c>
      <c r="BL82" s="19" t="s">
        <v>114</v>
      </c>
      <c r="BM82" s="19" t="s">
        <v>114</v>
      </c>
      <c r="BN82" s="19" t="s">
        <v>114</v>
      </c>
      <c r="BO82" s="19" t="s">
        <v>114</v>
      </c>
      <c r="BP82" s="19" t="s">
        <v>114</v>
      </c>
      <c r="BQ82" s="19" t="s">
        <v>114</v>
      </c>
      <c r="BR82" s="19" t="s">
        <v>114</v>
      </c>
      <c r="BS82" s="19" t="s">
        <v>114</v>
      </c>
      <c r="BT82" s="19" t="s">
        <v>114</v>
      </c>
      <c r="BU82" s="19" t="s">
        <v>114</v>
      </c>
      <c r="BV82" s="19" t="s">
        <v>114</v>
      </c>
      <c r="BW82" s="19" t="s">
        <v>114</v>
      </c>
      <c r="BX82" s="19" t="s">
        <v>114</v>
      </c>
      <c r="BY82" s="19" t="s">
        <v>114</v>
      </c>
      <c r="BZ82" s="21" t="s">
        <v>114</v>
      </c>
      <c r="CA82" s="21" t="s">
        <v>114</v>
      </c>
      <c r="CB82" s="21" t="s">
        <v>114</v>
      </c>
      <c r="CC82" s="21" t="s">
        <v>114</v>
      </c>
      <c r="CD82" s="21" t="s">
        <v>114</v>
      </c>
      <c r="CE82" s="21" t="s">
        <v>114</v>
      </c>
      <c r="CF82" s="19" t="s">
        <v>114</v>
      </c>
      <c r="CG82" s="19" t="s">
        <v>114</v>
      </c>
      <c r="CH82" s="19" t="s">
        <v>114</v>
      </c>
      <c r="CI82" s="21" t="s">
        <v>114</v>
      </c>
      <c r="CJ82" s="21" t="s">
        <v>114</v>
      </c>
      <c r="CK82" s="21" t="s">
        <v>114</v>
      </c>
      <c r="CL82" s="21" t="s">
        <v>114</v>
      </c>
      <c r="CM82" s="21" t="s">
        <v>114</v>
      </c>
      <c r="CN82" s="21" t="s">
        <v>114</v>
      </c>
      <c r="CO82" s="21" t="s">
        <v>114</v>
      </c>
      <c r="CP82" s="21" t="s">
        <v>114</v>
      </c>
      <c r="CQ82" s="21" t="s">
        <v>114</v>
      </c>
      <c r="CR82" s="21" t="s">
        <v>114</v>
      </c>
      <c r="CS82" s="21" t="s">
        <v>114</v>
      </c>
      <c r="CT82" s="21" t="s">
        <v>114</v>
      </c>
      <c r="CU82" s="21" t="s">
        <v>114</v>
      </c>
      <c r="CV82" s="21" t="s">
        <v>114</v>
      </c>
      <c r="CW82" s="21" t="s">
        <v>114</v>
      </c>
      <c r="CX82" s="21" t="s">
        <v>114</v>
      </c>
      <c r="CY82" s="21" t="s">
        <v>114</v>
      </c>
      <c r="CZ82" s="21" t="s">
        <v>114</v>
      </c>
      <c r="DA82" s="21" t="s">
        <v>114</v>
      </c>
      <c r="DB82" s="21" t="s">
        <v>114</v>
      </c>
      <c r="DC82" s="21" t="s">
        <v>114</v>
      </c>
      <c r="DD82" s="21" t="s">
        <v>114</v>
      </c>
      <c r="DE82" s="21" t="s">
        <v>114</v>
      </c>
      <c r="DF82" s="19" t="s">
        <v>114</v>
      </c>
      <c r="DG82" s="19" t="s">
        <v>114</v>
      </c>
      <c r="DH82" s="19" t="s">
        <v>114</v>
      </c>
      <c r="DI82" s="19" t="s">
        <v>114</v>
      </c>
      <c r="DJ82" s="19" t="s">
        <v>114</v>
      </c>
      <c r="DK82" s="19" t="s">
        <v>114</v>
      </c>
      <c r="DL82" s="19" t="s">
        <v>114</v>
      </c>
      <c r="DM82" s="19" t="s">
        <v>114</v>
      </c>
      <c r="DN82" s="19" t="s">
        <v>114</v>
      </c>
      <c r="DO82" s="19" t="s">
        <v>114</v>
      </c>
    </row>
    <row r="83" spans="1:119" x14ac:dyDescent="0.45">
      <c r="A83" s="2"/>
      <c r="B83" s="5" t="s">
        <v>565</v>
      </c>
      <c r="C83" s="2">
        <v>150</v>
      </c>
      <c r="D83" s="6">
        <v>500</v>
      </c>
      <c r="E83" s="2" t="s">
        <v>127</v>
      </c>
      <c r="F83" s="5" t="s">
        <v>127</v>
      </c>
      <c r="H83" s="8" t="s">
        <v>127</v>
      </c>
      <c r="I83" s="2" t="s">
        <v>566</v>
      </c>
      <c r="J83" s="2">
        <v>150</v>
      </c>
      <c r="K83" t="s">
        <v>127</v>
      </c>
      <c r="L83" s="2">
        <v>150</v>
      </c>
      <c r="M83" t="s">
        <v>127</v>
      </c>
      <c r="P83" s="2" t="s">
        <v>127</v>
      </c>
      <c r="Q83" s="2" t="s">
        <v>129</v>
      </c>
      <c r="R83" s="4"/>
      <c r="S83" s="4"/>
      <c r="T83" s="4"/>
      <c r="U83" s="4"/>
      <c r="V83" t="e">
        <v>#N/A</v>
      </c>
      <c r="W83" t="e">
        <v>#N/A</v>
      </c>
      <c r="X83" t="e">
        <v>#N/A</v>
      </c>
      <c r="AA83" t="s">
        <v>2511</v>
      </c>
      <c r="AB83" t="s">
        <v>282</v>
      </c>
      <c r="AC83" s="2" t="s">
        <v>1888</v>
      </c>
      <c r="AD83" s="2" t="s">
        <v>1888</v>
      </c>
      <c r="AE83" t="s">
        <v>158</v>
      </c>
      <c r="AF83" t="s">
        <v>1886</v>
      </c>
      <c r="AG83" t="s">
        <v>158</v>
      </c>
      <c r="AK83" s="3" t="s">
        <v>118</v>
      </c>
      <c r="AL83" s="5"/>
      <c r="AM83" s="5" t="s">
        <v>109</v>
      </c>
      <c r="AO83" s="3" t="s">
        <v>119</v>
      </c>
      <c r="AP83" s="3" t="s">
        <v>120</v>
      </c>
      <c r="AQ83" s="3" t="s">
        <v>111</v>
      </c>
      <c r="AR83" s="3" t="s">
        <v>112</v>
      </c>
      <c r="AS83" s="3" t="s">
        <v>112</v>
      </c>
      <c r="AT83" s="3" t="s">
        <v>113</v>
      </c>
      <c r="AU83" s="3" t="s">
        <v>2303</v>
      </c>
      <c r="AV83" s="3" t="s">
        <v>2302</v>
      </c>
      <c r="AW83" s="3" t="s">
        <v>2301</v>
      </c>
      <c r="AX83" s="3" t="s">
        <v>2006</v>
      </c>
      <c r="AY83" s="19" t="s">
        <v>114</v>
      </c>
      <c r="AZ83" s="19" t="s">
        <v>114</v>
      </c>
      <c r="BA83" s="19" t="s">
        <v>114</v>
      </c>
      <c r="BB83" s="19" t="s">
        <v>114</v>
      </c>
      <c r="BC83" s="19" t="s">
        <v>114</v>
      </c>
      <c r="BD83" s="19" t="s">
        <v>114</v>
      </c>
      <c r="BE83" s="19" t="s">
        <v>114</v>
      </c>
      <c r="BF83" s="19" t="s">
        <v>114</v>
      </c>
      <c r="BG83" s="19" t="s">
        <v>114</v>
      </c>
      <c r="BH83" s="19" t="s">
        <v>114</v>
      </c>
      <c r="BI83" s="19" t="s">
        <v>114</v>
      </c>
      <c r="BJ83" s="19" t="s">
        <v>114</v>
      </c>
      <c r="BK83" s="19" t="s">
        <v>114</v>
      </c>
      <c r="BL83" s="19" t="s">
        <v>114</v>
      </c>
      <c r="BM83" s="19" t="s">
        <v>114</v>
      </c>
      <c r="BN83" s="19" t="s">
        <v>114</v>
      </c>
      <c r="BO83" s="19" t="s">
        <v>114</v>
      </c>
      <c r="BP83" s="19" t="s">
        <v>114</v>
      </c>
      <c r="BQ83" s="19" t="s">
        <v>114</v>
      </c>
      <c r="BR83" s="19" t="s">
        <v>114</v>
      </c>
      <c r="BS83" s="19" t="s">
        <v>114</v>
      </c>
      <c r="BT83" s="19" t="s">
        <v>114</v>
      </c>
      <c r="BU83" s="19" t="s">
        <v>114</v>
      </c>
      <c r="BV83" s="19" t="s">
        <v>114</v>
      </c>
      <c r="BW83" s="19" t="s">
        <v>114</v>
      </c>
      <c r="BX83" s="19" t="s">
        <v>114</v>
      </c>
      <c r="BY83" s="19" t="s">
        <v>114</v>
      </c>
      <c r="BZ83" s="21" t="s">
        <v>114</v>
      </c>
      <c r="CA83" s="21" t="s">
        <v>114</v>
      </c>
      <c r="CB83" s="21" t="s">
        <v>114</v>
      </c>
      <c r="CC83" s="21" t="s">
        <v>114</v>
      </c>
      <c r="CD83" s="21" t="s">
        <v>114</v>
      </c>
      <c r="CE83" s="21" t="s">
        <v>114</v>
      </c>
      <c r="CF83" s="19" t="s">
        <v>114</v>
      </c>
      <c r="CG83" s="19" t="s">
        <v>114</v>
      </c>
      <c r="CH83" s="19" t="s">
        <v>114</v>
      </c>
      <c r="CI83" s="21" t="s">
        <v>114</v>
      </c>
      <c r="CJ83" s="21" t="s">
        <v>114</v>
      </c>
      <c r="CK83" s="21" t="s">
        <v>114</v>
      </c>
      <c r="CL83" s="21" t="s">
        <v>114</v>
      </c>
      <c r="CM83" s="21" t="s">
        <v>114</v>
      </c>
      <c r="CN83" s="21" t="s">
        <v>114</v>
      </c>
      <c r="CO83" s="21" t="s">
        <v>114</v>
      </c>
      <c r="CP83" s="21" t="s">
        <v>114</v>
      </c>
      <c r="CQ83" s="21" t="s">
        <v>114</v>
      </c>
      <c r="CR83" s="21" t="s">
        <v>114</v>
      </c>
      <c r="CS83" s="21" t="s">
        <v>114</v>
      </c>
      <c r="CT83" s="21" t="s">
        <v>114</v>
      </c>
      <c r="CU83" s="21" t="s">
        <v>114</v>
      </c>
      <c r="CV83" s="21" t="s">
        <v>114</v>
      </c>
      <c r="CW83" s="21" t="s">
        <v>114</v>
      </c>
      <c r="CX83" s="21" t="s">
        <v>114</v>
      </c>
      <c r="CY83" s="21" t="s">
        <v>114</v>
      </c>
      <c r="CZ83" s="21" t="s">
        <v>114</v>
      </c>
      <c r="DA83" s="21" t="s">
        <v>114</v>
      </c>
      <c r="DB83" s="21" t="s">
        <v>114</v>
      </c>
      <c r="DC83" s="21" t="s">
        <v>114</v>
      </c>
      <c r="DD83" s="21" t="s">
        <v>114</v>
      </c>
      <c r="DE83" s="21" t="s">
        <v>114</v>
      </c>
      <c r="DF83" s="19" t="s">
        <v>114</v>
      </c>
      <c r="DG83" s="19" t="s">
        <v>114</v>
      </c>
      <c r="DH83" s="19" t="s">
        <v>114</v>
      </c>
      <c r="DI83" s="19" t="s">
        <v>114</v>
      </c>
      <c r="DJ83" s="19" t="s">
        <v>114</v>
      </c>
      <c r="DK83" s="19" t="s">
        <v>114</v>
      </c>
      <c r="DL83" s="19" t="s">
        <v>114</v>
      </c>
      <c r="DM83" s="19" t="s">
        <v>114</v>
      </c>
      <c r="DN83" s="19" t="s">
        <v>114</v>
      </c>
      <c r="DO83" s="19" t="s">
        <v>114</v>
      </c>
    </row>
    <row r="84" spans="1:119" x14ac:dyDescent="0.45">
      <c r="A84" s="2"/>
      <c r="B84" t="s">
        <v>567</v>
      </c>
      <c r="C84" s="4">
        <v>777</v>
      </c>
      <c r="D84" s="18"/>
      <c r="E84" s="2"/>
      <c r="F84" s="2" t="s">
        <v>568</v>
      </c>
      <c r="H84" s="2"/>
      <c r="J84" s="2"/>
      <c r="L84" s="2"/>
      <c r="M84" s="2" t="s">
        <v>568</v>
      </c>
      <c r="O84" s="2"/>
      <c r="P84" s="2"/>
      <c r="Q84" s="2"/>
      <c r="R84" s="2"/>
      <c r="S84" s="2"/>
      <c r="T84" s="2"/>
      <c r="U84" s="2"/>
      <c r="V84" t="e">
        <v>#N/A</v>
      </c>
      <c r="W84" t="e">
        <v>#N/A</v>
      </c>
      <c r="X84" t="e">
        <v>#N/A</v>
      </c>
      <c r="AA84" t="s">
        <v>2511</v>
      </c>
      <c r="AB84" t="s">
        <v>282</v>
      </c>
      <c r="AC84" s="2" t="s">
        <v>1888</v>
      </c>
      <c r="AD84" s="2" t="s">
        <v>1888</v>
      </c>
      <c r="AE84" t="s">
        <v>158</v>
      </c>
      <c r="AF84" t="s">
        <v>1886</v>
      </c>
      <c r="AG84" t="s">
        <v>158</v>
      </c>
      <c r="AK84" t="s">
        <v>2005</v>
      </c>
      <c r="AL84" s="5"/>
      <c r="AO84" s="3" t="s">
        <v>119</v>
      </c>
      <c r="AP84" s="3" t="s">
        <v>120</v>
      </c>
      <c r="AQ84" s="3" t="s">
        <v>111</v>
      </c>
      <c r="AR84" s="3" t="s">
        <v>112</v>
      </c>
      <c r="AS84" s="3" t="s">
        <v>112</v>
      </c>
      <c r="AT84" s="3" t="s">
        <v>113</v>
      </c>
      <c r="AU84" s="3" t="s">
        <v>2303</v>
      </c>
      <c r="AV84" s="3" t="s">
        <v>2302</v>
      </c>
      <c r="AW84" s="3" t="s">
        <v>2301</v>
      </c>
      <c r="AX84" s="3" t="s">
        <v>2006</v>
      </c>
      <c r="AY84" s="19" t="s">
        <v>114</v>
      </c>
      <c r="AZ84" s="19" t="s">
        <v>114</v>
      </c>
      <c r="BA84" s="19" t="s">
        <v>114</v>
      </c>
      <c r="BB84" s="19" t="s">
        <v>114</v>
      </c>
      <c r="BC84" s="19" t="s">
        <v>114</v>
      </c>
      <c r="BD84" s="19" t="s">
        <v>114</v>
      </c>
      <c r="BE84" s="19" t="s">
        <v>114</v>
      </c>
      <c r="BF84" s="19" t="s">
        <v>114</v>
      </c>
      <c r="BG84" s="19" t="s">
        <v>114</v>
      </c>
      <c r="BH84" s="19" t="s">
        <v>114</v>
      </c>
      <c r="BI84" s="19" t="s">
        <v>114</v>
      </c>
      <c r="BJ84" s="19" t="s">
        <v>114</v>
      </c>
      <c r="BK84" s="19" t="s">
        <v>114</v>
      </c>
      <c r="BL84" s="19" t="s">
        <v>114</v>
      </c>
      <c r="BM84" s="19" t="s">
        <v>114</v>
      </c>
      <c r="BN84" s="19" t="s">
        <v>114</v>
      </c>
      <c r="BO84" s="19" t="s">
        <v>114</v>
      </c>
      <c r="BP84" s="19" t="s">
        <v>114</v>
      </c>
      <c r="BQ84" s="19" t="s">
        <v>114</v>
      </c>
      <c r="BR84" s="19" t="s">
        <v>114</v>
      </c>
      <c r="BS84" s="19" t="s">
        <v>114</v>
      </c>
      <c r="BT84" s="19" t="s">
        <v>114</v>
      </c>
      <c r="BU84" s="19" t="s">
        <v>114</v>
      </c>
      <c r="BV84" s="19" t="s">
        <v>114</v>
      </c>
      <c r="BW84" s="19" t="s">
        <v>114</v>
      </c>
      <c r="BX84" s="19" t="s">
        <v>114</v>
      </c>
      <c r="BY84" s="19" t="s">
        <v>114</v>
      </c>
      <c r="BZ84" s="21" t="s">
        <v>114</v>
      </c>
      <c r="CA84" s="21" t="s">
        <v>114</v>
      </c>
      <c r="CB84" s="21" t="s">
        <v>114</v>
      </c>
      <c r="CC84" s="21" t="s">
        <v>114</v>
      </c>
      <c r="CD84" s="21" t="s">
        <v>114</v>
      </c>
      <c r="CE84" s="21" t="s">
        <v>114</v>
      </c>
      <c r="CF84" s="19" t="s">
        <v>114</v>
      </c>
      <c r="CG84" s="19" t="s">
        <v>114</v>
      </c>
      <c r="CH84" s="19" t="s">
        <v>114</v>
      </c>
      <c r="CI84" s="21" t="s">
        <v>114</v>
      </c>
      <c r="CJ84" s="21" t="s">
        <v>114</v>
      </c>
      <c r="CK84" s="21" t="s">
        <v>114</v>
      </c>
      <c r="CL84" s="21" t="s">
        <v>114</v>
      </c>
      <c r="CM84" s="21" t="s">
        <v>114</v>
      </c>
      <c r="CN84" s="21" t="s">
        <v>114</v>
      </c>
      <c r="CO84" s="21" t="s">
        <v>114</v>
      </c>
      <c r="CP84" s="21" t="s">
        <v>114</v>
      </c>
      <c r="CQ84" s="21" t="s">
        <v>114</v>
      </c>
      <c r="CR84" s="21" t="s">
        <v>114</v>
      </c>
      <c r="CS84" s="21" t="s">
        <v>114</v>
      </c>
      <c r="CT84" s="21" t="s">
        <v>114</v>
      </c>
      <c r="CU84" s="21" t="s">
        <v>114</v>
      </c>
      <c r="CV84" s="21" t="s">
        <v>114</v>
      </c>
      <c r="CW84" s="21" t="s">
        <v>114</v>
      </c>
      <c r="CX84" s="21" t="s">
        <v>114</v>
      </c>
      <c r="CY84" s="21" t="s">
        <v>114</v>
      </c>
      <c r="CZ84" s="21" t="s">
        <v>114</v>
      </c>
      <c r="DA84" s="21" t="s">
        <v>114</v>
      </c>
      <c r="DB84" s="21" t="s">
        <v>114</v>
      </c>
      <c r="DC84" s="21" t="s">
        <v>114</v>
      </c>
      <c r="DD84" s="21" t="s">
        <v>114</v>
      </c>
      <c r="DE84" s="21" t="s">
        <v>114</v>
      </c>
      <c r="DF84" s="19" t="s">
        <v>114</v>
      </c>
      <c r="DG84" s="19" t="s">
        <v>114</v>
      </c>
      <c r="DH84" s="19" t="s">
        <v>114</v>
      </c>
      <c r="DI84" s="19" t="s">
        <v>114</v>
      </c>
      <c r="DJ84" s="19" t="s">
        <v>114</v>
      </c>
      <c r="DK84" s="19" t="s">
        <v>114</v>
      </c>
      <c r="DL84" s="19" t="s">
        <v>114</v>
      </c>
      <c r="DM84" s="19" t="s">
        <v>114</v>
      </c>
      <c r="DN84" s="19" t="s">
        <v>114</v>
      </c>
      <c r="DO84" s="19" t="s">
        <v>114</v>
      </c>
    </row>
    <row r="85" spans="1:119" x14ac:dyDescent="0.45">
      <c r="A85" s="2"/>
      <c r="B85" s="5" t="s">
        <v>569</v>
      </c>
      <c r="C85" s="2">
        <v>99906</v>
      </c>
      <c r="D85" s="6">
        <v>590</v>
      </c>
      <c r="E85" s="2" t="s">
        <v>1882</v>
      </c>
      <c r="F85" s="5" t="s">
        <v>571</v>
      </c>
      <c r="H85" s="8"/>
      <c r="I85" s="2" t="s">
        <v>572</v>
      </c>
      <c r="J85" s="2"/>
      <c r="K85" t="s">
        <v>127</v>
      </c>
      <c r="L85" s="2"/>
      <c r="P85" s="2" t="s">
        <v>127</v>
      </c>
      <c r="Q85" s="2" t="s">
        <v>129</v>
      </c>
      <c r="R85" s="2">
        <v>513</v>
      </c>
      <c r="S85" s="2" t="s">
        <v>1000</v>
      </c>
      <c r="T85" s="2">
        <v>150</v>
      </c>
      <c r="U85" s="2" t="s">
        <v>127</v>
      </c>
      <c r="V85" t="e">
        <v>#N/A</v>
      </c>
      <c r="W85" t="e">
        <v>#N/A</v>
      </c>
      <c r="X85" t="e">
        <v>#N/A</v>
      </c>
      <c r="AA85" t="s">
        <v>2511</v>
      </c>
      <c r="AB85" t="s">
        <v>282</v>
      </c>
      <c r="AC85" s="2" t="s">
        <v>1888</v>
      </c>
      <c r="AD85" s="2" t="s">
        <v>1888</v>
      </c>
      <c r="AE85" t="s">
        <v>131</v>
      </c>
      <c r="AF85" t="s">
        <v>1886</v>
      </c>
      <c r="AG85" s="3" t="s">
        <v>1887</v>
      </c>
      <c r="AK85" s="3" t="s">
        <v>2005</v>
      </c>
      <c r="AL85" s="5" t="s">
        <v>132</v>
      </c>
      <c r="AM85" s="5" t="s">
        <v>569</v>
      </c>
      <c r="AO85" s="3" t="s">
        <v>119</v>
      </c>
      <c r="AP85" s="3" t="s">
        <v>120</v>
      </c>
      <c r="AQ85" s="3" t="s">
        <v>111</v>
      </c>
      <c r="AR85" s="3" t="s">
        <v>112</v>
      </c>
      <c r="AS85" s="3" t="s">
        <v>112</v>
      </c>
      <c r="AT85" s="3" t="s">
        <v>113</v>
      </c>
      <c r="AU85" s="3" t="s">
        <v>2303</v>
      </c>
      <c r="AV85" s="3" t="s">
        <v>2302</v>
      </c>
      <c r="AW85" s="3" t="s">
        <v>2301</v>
      </c>
      <c r="AX85" s="3" t="s">
        <v>282</v>
      </c>
      <c r="AY85" s="19" t="s">
        <v>114</v>
      </c>
      <c r="AZ85" s="19" t="s">
        <v>114</v>
      </c>
      <c r="BA85" s="19" t="s">
        <v>114</v>
      </c>
      <c r="BB85" s="19" t="s">
        <v>114</v>
      </c>
      <c r="BC85" s="19" t="s">
        <v>114</v>
      </c>
      <c r="BD85" s="19" t="s">
        <v>114</v>
      </c>
      <c r="BE85" s="19" t="s">
        <v>114</v>
      </c>
      <c r="BF85" s="19" t="s">
        <v>114</v>
      </c>
      <c r="BG85" s="19" t="s">
        <v>114</v>
      </c>
      <c r="BH85" s="19" t="s">
        <v>114</v>
      </c>
      <c r="BI85" s="19" t="s">
        <v>114</v>
      </c>
      <c r="BJ85" s="19" t="s">
        <v>114</v>
      </c>
      <c r="BK85" s="19" t="s">
        <v>114</v>
      </c>
      <c r="BL85" s="19" t="s">
        <v>114</v>
      </c>
      <c r="BM85" s="19" t="s">
        <v>114</v>
      </c>
      <c r="BN85" s="19" t="s">
        <v>114</v>
      </c>
      <c r="BO85" s="19" t="s">
        <v>114</v>
      </c>
      <c r="BP85" s="19" t="s">
        <v>114</v>
      </c>
      <c r="BQ85" s="19" t="s">
        <v>114</v>
      </c>
      <c r="BR85" s="19" t="s">
        <v>114</v>
      </c>
      <c r="BS85" s="19" t="s">
        <v>114</v>
      </c>
      <c r="BT85" s="19" t="s">
        <v>114</v>
      </c>
      <c r="BU85" s="19" t="s">
        <v>114</v>
      </c>
      <c r="BV85" s="19" t="s">
        <v>114</v>
      </c>
      <c r="BW85" s="19" t="s">
        <v>114</v>
      </c>
      <c r="BX85" s="19" t="s">
        <v>114</v>
      </c>
      <c r="BY85" s="19" t="s">
        <v>114</v>
      </c>
      <c r="BZ85" s="21" t="s">
        <v>114</v>
      </c>
      <c r="CA85" s="21" t="s">
        <v>114</v>
      </c>
      <c r="CB85" s="21" t="s">
        <v>114</v>
      </c>
      <c r="CC85" s="21" t="s">
        <v>114</v>
      </c>
      <c r="CD85" s="21" t="s">
        <v>114</v>
      </c>
      <c r="CE85" s="21" t="s">
        <v>114</v>
      </c>
      <c r="CF85" s="19" t="s">
        <v>114</v>
      </c>
      <c r="CG85" s="19" t="s">
        <v>114</v>
      </c>
      <c r="CH85" s="19" t="s">
        <v>114</v>
      </c>
      <c r="CI85" s="21" t="s">
        <v>114</v>
      </c>
      <c r="CJ85" s="21" t="s">
        <v>114</v>
      </c>
      <c r="CK85" s="21" t="s">
        <v>114</v>
      </c>
      <c r="CL85" s="21" t="s">
        <v>114</v>
      </c>
      <c r="CM85" s="21" t="s">
        <v>114</v>
      </c>
      <c r="CN85" s="21" t="s">
        <v>114</v>
      </c>
      <c r="CO85" s="21" t="s">
        <v>114</v>
      </c>
      <c r="CP85" s="21" t="s">
        <v>114</v>
      </c>
      <c r="CQ85" s="21" t="s">
        <v>114</v>
      </c>
      <c r="CR85" s="21" t="s">
        <v>114</v>
      </c>
      <c r="CS85" s="21" t="s">
        <v>114</v>
      </c>
      <c r="CT85" s="21" t="s">
        <v>114</v>
      </c>
      <c r="CU85" s="21" t="s">
        <v>114</v>
      </c>
      <c r="CV85" s="21" t="s">
        <v>114</v>
      </c>
      <c r="CW85" s="21" t="s">
        <v>114</v>
      </c>
      <c r="CX85" s="21" t="s">
        <v>114</v>
      </c>
      <c r="CY85" s="21" t="s">
        <v>114</v>
      </c>
      <c r="CZ85" s="21" t="s">
        <v>114</v>
      </c>
      <c r="DA85" s="21" t="s">
        <v>114</v>
      </c>
      <c r="DB85" s="21" t="s">
        <v>114</v>
      </c>
      <c r="DC85" s="21" t="s">
        <v>114</v>
      </c>
      <c r="DD85" s="21" t="s">
        <v>114</v>
      </c>
      <c r="DE85" s="21" t="s">
        <v>114</v>
      </c>
      <c r="DF85" s="19" t="s">
        <v>114</v>
      </c>
      <c r="DG85" s="19" t="s">
        <v>114</v>
      </c>
      <c r="DH85" s="19" t="s">
        <v>114</v>
      </c>
      <c r="DI85" s="19" t="s">
        <v>114</v>
      </c>
      <c r="DJ85" s="19" t="s">
        <v>114</v>
      </c>
      <c r="DK85" s="19" t="s">
        <v>114</v>
      </c>
      <c r="DL85" s="19" t="s">
        <v>114</v>
      </c>
      <c r="DM85" s="19" t="s">
        <v>114</v>
      </c>
      <c r="DN85" s="19" t="s">
        <v>114</v>
      </c>
      <c r="DO85" s="19" t="s">
        <v>114</v>
      </c>
    </row>
    <row r="86" spans="1:119" x14ac:dyDescent="0.45">
      <c r="A86" s="4"/>
      <c r="B86" s="5" t="s">
        <v>2001</v>
      </c>
      <c r="C86" s="4">
        <v>99905</v>
      </c>
      <c r="D86" s="7">
        <v>590</v>
      </c>
      <c r="E86" s="4" t="s">
        <v>1632</v>
      </c>
      <c r="F86" s="4" t="s">
        <v>570</v>
      </c>
      <c r="H86" s="8"/>
      <c r="I86" s="2" t="s">
        <v>572</v>
      </c>
      <c r="J86" s="2"/>
      <c r="K86" t="s">
        <v>127</v>
      </c>
      <c r="L86" s="2"/>
      <c r="O86" s="4"/>
      <c r="P86" s="4" t="s">
        <v>127</v>
      </c>
      <c r="Q86" s="4" t="s">
        <v>129</v>
      </c>
      <c r="R86" s="4">
        <v>513</v>
      </c>
      <c r="S86" s="4" t="s">
        <v>1000</v>
      </c>
      <c r="T86" s="4">
        <v>150</v>
      </c>
      <c r="U86" s="4" t="s">
        <v>127</v>
      </c>
      <c r="V86" t="e">
        <v>#N/A</v>
      </c>
      <c r="W86" t="e">
        <v>#N/A</v>
      </c>
      <c r="X86" t="e">
        <v>#N/A</v>
      </c>
      <c r="AA86" t="s">
        <v>2511</v>
      </c>
      <c r="AB86" t="s">
        <v>282</v>
      </c>
      <c r="AC86" s="4" t="s">
        <v>1888</v>
      </c>
      <c r="AD86" s="2" t="s">
        <v>1888</v>
      </c>
      <c r="AE86" t="s">
        <v>131</v>
      </c>
      <c r="AF86" t="s">
        <v>1886</v>
      </c>
      <c r="AG86" s="3" t="s">
        <v>1887</v>
      </c>
      <c r="AJ86" s="3"/>
      <c r="AK86" s="3" t="s">
        <v>2005</v>
      </c>
      <c r="AL86" s="5" t="s">
        <v>132</v>
      </c>
      <c r="AM86" s="5" t="s">
        <v>569</v>
      </c>
      <c r="AO86" s="3" t="s">
        <v>119</v>
      </c>
      <c r="AP86" s="3" t="s">
        <v>120</v>
      </c>
      <c r="AQ86" s="3" t="s">
        <v>111</v>
      </c>
      <c r="AR86" s="3" t="s">
        <v>112</v>
      </c>
      <c r="AS86" s="3" t="s">
        <v>112</v>
      </c>
      <c r="AT86" s="3" t="s">
        <v>113</v>
      </c>
      <c r="AU86" s="3" t="s">
        <v>2303</v>
      </c>
      <c r="AV86" s="3" t="s">
        <v>2302</v>
      </c>
      <c r="AW86" s="3" t="s">
        <v>2301</v>
      </c>
      <c r="AX86" s="3" t="s">
        <v>282</v>
      </c>
      <c r="AY86" s="19" t="s">
        <v>114</v>
      </c>
      <c r="AZ86" s="19" t="s">
        <v>114</v>
      </c>
      <c r="BA86" s="19" t="s">
        <v>114</v>
      </c>
      <c r="BB86" s="19" t="s">
        <v>114</v>
      </c>
      <c r="BC86" s="19" t="s">
        <v>114</v>
      </c>
      <c r="BD86" s="19" t="s">
        <v>114</v>
      </c>
      <c r="BE86" s="19" t="s">
        <v>114</v>
      </c>
      <c r="BF86" s="19" t="s">
        <v>114</v>
      </c>
      <c r="BG86" s="19" t="s">
        <v>114</v>
      </c>
      <c r="BH86" s="19" t="s">
        <v>114</v>
      </c>
      <c r="BI86" s="19" t="s">
        <v>114</v>
      </c>
      <c r="BJ86" s="19" t="s">
        <v>114</v>
      </c>
      <c r="BK86" s="19" t="s">
        <v>114</v>
      </c>
      <c r="BL86" s="19" t="s">
        <v>114</v>
      </c>
      <c r="BM86" s="19" t="s">
        <v>114</v>
      </c>
      <c r="BN86" s="19" t="s">
        <v>114</v>
      </c>
      <c r="BO86" s="19" t="s">
        <v>114</v>
      </c>
      <c r="BP86" s="19" t="s">
        <v>114</v>
      </c>
      <c r="BQ86" s="19" t="s">
        <v>114</v>
      </c>
      <c r="BR86" s="19" t="s">
        <v>114</v>
      </c>
      <c r="BS86" s="19" t="s">
        <v>114</v>
      </c>
      <c r="BT86" s="19" t="s">
        <v>114</v>
      </c>
      <c r="BU86" s="19" t="s">
        <v>114</v>
      </c>
      <c r="BV86" s="19" t="s">
        <v>114</v>
      </c>
      <c r="BW86" s="19" t="s">
        <v>114</v>
      </c>
      <c r="BX86" s="19" t="s">
        <v>114</v>
      </c>
      <c r="BY86" s="19" t="s">
        <v>114</v>
      </c>
      <c r="BZ86" s="21" t="s">
        <v>114</v>
      </c>
      <c r="CA86" s="21" t="s">
        <v>114</v>
      </c>
      <c r="CB86" s="21" t="s">
        <v>114</v>
      </c>
      <c r="CC86" s="21" t="s">
        <v>114</v>
      </c>
      <c r="CD86" s="21" t="s">
        <v>114</v>
      </c>
      <c r="CE86" s="21" t="s">
        <v>114</v>
      </c>
      <c r="CF86" s="19" t="s">
        <v>114</v>
      </c>
      <c r="CG86" s="19" t="s">
        <v>114</v>
      </c>
      <c r="CH86" s="19" t="s">
        <v>114</v>
      </c>
      <c r="CI86" s="21" t="s">
        <v>114</v>
      </c>
      <c r="CJ86" s="21" t="s">
        <v>114</v>
      </c>
      <c r="CK86" s="21" t="s">
        <v>114</v>
      </c>
      <c r="CL86" s="21" t="s">
        <v>114</v>
      </c>
      <c r="CM86" s="21" t="s">
        <v>114</v>
      </c>
      <c r="CN86" s="21" t="s">
        <v>114</v>
      </c>
      <c r="CO86" s="21" t="s">
        <v>114</v>
      </c>
      <c r="CP86" s="21" t="s">
        <v>114</v>
      </c>
      <c r="CQ86" s="21" t="s">
        <v>114</v>
      </c>
      <c r="CR86" s="21" t="s">
        <v>114</v>
      </c>
      <c r="CS86" s="21" t="s">
        <v>114</v>
      </c>
      <c r="CT86" s="21" t="s">
        <v>114</v>
      </c>
      <c r="CU86" s="21" t="s">
        <v>114</v>
      </c>
      <c r="CV86" s="21" t="s">
        <v>114</v>
      </c>
      <c r="CW86" s="21" t="s">
        <v>114</v>
      </c>
      <c r="CX86" s="21" t="s">
        <v>114</v>
      </c>
      <c r="CY86" s="21" t="s">
        <v>114</v>
      </c>
      <c r="CZ86" s="21" t="s">
        <v>114</v>
      </c>
      <c r="DA86" s="21" t="s">
        <v>114</v>
      </c>
      <c r="DB86" s="21" t="s">
        <v>114</v>
      </c>
      <c r="DC86" s="21" t="s">
        <v>114</v>
      </c>
      <c r="DD86" s="21" t="s">
        <v>114</v>
      </c>
      <c r="DE86" s="21" t="s">
        <v>114</v>
      </c>
      <c r="DF86" s="19" t="s">
        <v>114</v>
      </c>
      <c r="DG86" s="19" t="s">
        <v>114</v>
      </c>
      <c r="DH86" s="19" t="s">
        <v>114</v>
      </c>
      <c r="DI86" s="19" t="s">
        <v>114</v>
      </c>
      <c r="DJ86" s="19" t="s">
        <v>114</v>
      </c>
      <c r="DK86" s="19" t="s">
        <v>114</v>
      </c>
      <c r="DL86" s="19" t="s">
        <v>114</v>
      </c>
      <c r="DM86" s="19" t="s">
        <v>114</v>
      </c>
      <c r="DN86" s="19" t="s">
        <v>114</v>
      </c>
      <c r="DO86" s="19" t="s">
        <v>114</v>
      </c>
    </row>
    <row r="87" spans="1:119" x14ac:dyDescent="0.45">
      <c r="A87" s="2"/>
      <c r="B87" s="5" t="s">
        <v>2300</v>
      </c>
      <c r="C87" s="2">
        <v>99912</v>
      </c>
      <c r="D87" s="6"/>
      <c r="E87" s="2" t="s">
        <v>2306</v>
      </c>
      <c r="F87" s="2" t="s">
        <v>2306</v>
      </c>
      <c r="H87" s="8"/>
      <c r="I87" s="2"/>
      <c r="J87" s="2"/>
      <c r="K87" s="3"/>
      <c r="L87" s="2"/>
      <c r="O87" s="2"/>
      <c r="P87" s="2"/>
      <c r="Q87" s="2"/>
      <c r="R87" s="2"/>
      <c r="S87" s="2"/>
      <c r="T87" s="4"/>
      <c r="U87" s="4"/>
      <c r="V87" t="e">
        <v>#N/A</v>
      </c>
      <c r="W87" t="e">
        <v>#N/A</v>
      </c>
      <c r="X87" t="e">
        <v>#N/A</v>
      </c>
      <c r="AA87" t="s">
        <v>2511</v>
      </c>
      <c r="AB87" t="s">
        <v>282</v>
      </c>
      <c r="AC87" s="2" t="s">
        <v>1888</v>
      </c>
      <c r="AD87" s="2" t="s">
        <v>1888</v>
      </c>
      <c r="AE87" t="s">
        <v>158</v>
      </c>
      <c r="AF87" t="s">
        <v>1886</v>
      </c>
      <c r="AG87" s="3" t="s">
        <v>1887</v>
      </c>
      <c r="AH87" t="s">
        <v>1888</v>
      </c>
      <c r="AI87" t="s">
        <v>1888</v>
      </c>
      <c r="AJ87" t="s">
        <v>1888</v>
      </c>
      <c r="AK87" t="s">
        <v>2005</v>
      </c>
      <c r="AL87" s="5"/>
      <c r="AM87" s="5"/>
      <c r="AO87" s="3" t="s">
        <v>119</v>
      </c>
      <c r="AP87" t="s">
        <v>120</v>
      </c>
      <c r="AQ87" s="3" t="s">
        <v>111</v>
      </c>
      <c r="AR87" s="3" t="s">
        <v>112</v>
      </c>
      <c r="AS87" s="3" t="s">
        <v>112</v>
      </c>
      <c r="AT87" s="3" t="s">
        <v>113</v>
      </c>
      <c r="AU87" s="3" t="s">
        <v>2303</v>
      </c>
      <c r="AV87" s="3" t="s">
        <v>2302</v>
      </c>
      <c r="AW87" s="3" t="s">
        <v>2301</v>
      </c>
      <c r="AX87" s="3" t="s">
        <v>2006</v>
      </c>
      <c r="AY87" s="19" t="s">
        <v>114</v>
      </c>
      <c r="AZ87" s="19" t="s">
        <v>114</v>
      </c>
      <c r="BA87" s="19" t="s">
        <v>114</v>
      </c>
      <c r="BB87" s="19" t="s">
        <v>114</v>
      </c>
      <c r="BC87" s="19" t="s">
        <v>114</v>
      </c>
      <c r="BD87" s="19" t="s">
        <v>114</v>
      </c>
      <c r="BE87" s="19" t="s">
        <v>114</v>
      </c>
      <c r="BF87" s="19" t="s">
        <v>114</v>
      </c>
      <c r="BG87" s="19" t="s">
        <v>114</v>
      </c>
      <c r="BH87" s="19" t="s">
        <v>114</v>
      </c>
      <c r="BI87" s="19" t="s">
        <v>114</v>
      </c>
      <c r="BJ87" s="19" t="s">
        <v>114</v>
      </c>
      <c r="BK87" s="19" t="s">
        <v>114</v>
      </c>
      <c r="BL87" s="19" t="s">
        <v>114</v>
      </c>
      <c r="BM87" s="19" t="s">
        <v>114</v>
      </c>
      <c r="BN87" s="19" t="s">
        <v>114</v>
      </c>
      <c r="BO87" s="19" t="s">
        <v>114</v>
      </c>
      <c r="BP87" s="19" t="s">
        <v>114</v>
      </c>
      <c r="BQ87" s="19" t="s">
        <v>114</v>
      </c>
      <c r="BR87" s="19" t="s">
        <v>114</v>
      </c>
      <c r="BS87" s="19" t="s">
        <v>114</v>
      </c>
      <c r="BT87" s="19" t="s">
        <v>114</v>
      </c>
      <c r="BU87" s="19" t="s">
        <v>114</v>
      </c>
      <c r="BV87" s="19" t="s">
        <v>114</v>
      </c>
      <c r="BW87" s="19" t="s">
        <v>114</v>
      </c>
      <c r="BX87" s="19" t="s">
        <v>114</v>
      </c>
      <c r="BY87" s="19" t="s">
        <v>114</v>
      </c>
      <c r="BZ87" s="21" t="s">
        <v>114</v>
      </c>
      <c r="CA87" s="21" t="s">
        <v>114</v>
      </c>
      <c r="CB87" s="21" t="s">
        <v>114</v>
      </c>
      <c r="CC87" s="21" t="s">
        <v>114</v>
      </c>
      <c r="CD87" s="21" t="s">
        <v>114</v>
      </c>
      <c r="CE87" s="21" t="s">
        <v>114</v>
      </c>
      <c r="CF87" s="19" t="s">
        <v>114</v>
      </c>
      <c r="CG87" s="19" t="s">
        <v>114</v>
      </c>
      <c r="CH87" s="19" t="s">
        <v>114</v>
      </c>
      <c r="CI87" s="21" t="s">
        <v>114</v>
      </c>
      <c r="CJ87" s="21" t="s">
        <v>114</v>
      </c>
      <c r="CK87" s="21" t="s">
        <v>114</v>
      </c>
      <c r="CL87" s="21" t="s">
        <v>114</v>
      </c>
      <c r="CM87" s="21" t="s">
        <v>114</v>
      </c>
      <c r="CN87" s="21" t="s">
        <v>114</v>
      </c>
      <c r="CO87" s="21" t="s">
        <v>114</v>
      </c>
      <c r="CP87" s="21" t="s">
        <v>114</v>
      </c>
      <c r="CQ87" s="21" t="s">
        <v>114</v>
      </c>
      <c r="CR87" s="21" t="s">
        <v>114</v>
      </c>
      <c r="CS87" s="21" t="s">
        <v>114</v>
      </c>
      <c r="CT87" s="21" t="s">
        <v>114</v>
      </c>
      <c r="CU87" s="21" t="s">
        <v>114</v>
      </c>
      <c r="CV87" s="21" t="s">
        <v>114</v>
      </c>
      <c r="CW87" s="21" t="s">
        <v>114</v>
      </c>
      <c r="CX87" s="21" t="s">
        <v>114</v>
      </c>
      <c r="CY87" s="21" t="s">
        <v>114</v>
      </c>
      <c r="CZ87" s="21" t="s">
        <v>114</v>
      </c>
      <c r="DA87" s="21" t="s">
        <v>114</v>
      </c>
      <c r="DB87" s="21" t="s">
        <v>114</v>
      </c>
      <c r="DC87" s="21" t="s">
        <v>114</v>
      </c>
      <c r="DD87" s="21" t="s">
        <v>114</v>
      </c>
      <c r="DE87" s="21" t="s">
        <v>114</v>
      </c>
      <c r="DF87" s="19" t="s">
        <v>114</v>
      </c>
      <c r="DG87" s="19" t="s">
        <v>114</v>
      </c>
      <c r="DH87" s="19" t="s">
        <v>114</v>
      </c>
      <c r="DI87" s="19" t="s">
        <v>114</v>
      </c>
      <c r="DJ87" s="19" t="s">
        <v>114</v>
      </c>
      <c r="DK87" s="19" t="s">
        <v>114</v>
      </c>
      <c r="DL87" s="19" t="s">
        <v>114</v>
      </c>
      <c r="DM87" s="19" t="s">
        <v>114</v>
      </c>
      <c r="DN87" s="19" t="s">
        <v>114</v>
      </c>
      <c r="DO87" s="19" t="s">
        <v>114</v>
      </c>
    </row>
    <row r="88" spans="1:119" x14ac:dyDescent="0.45">
      <c r="A88" s="2"/>
      <c r="B88" s="5" t="s">
        <v>2305</v>
      </c>
      <c r="C88" s="2">
        <v>99914</v>
      </c>
      <c r="D88" s="6"/>
      <c r="E88" s="2" t="s">
        <v>2308</v>
      </c>
      <c r="F88" s="2" t="s">
        <v>2308</v>
      </c>
      <c r="H88" s="8"/>
      <c r="I88" s="2"/>
      <c r="J88" s="2"/>
      <c r="K88" s="3"/>
      <c r="L88" s="2"/>
      <c r="O88" s="2"/>
      <c r="P88" s="2"/>
      <c r="Q88" s="2"/>
      <c r="R88" s="2"/>
      <c r="S88" s="2"/>
      <c r="T88" s="4"/>
      <c r="U88" s="4"/>
      <c r="V88" t="e">
        <v>#N/A</v>
      </c>
      <c r="W88" t="e">
        <v>#N/A</v>
      </c>
      <c r="X88" t="e">
        <v>#N/A</v>
      </c>
      <c r="AA88" t="s">
        <v>2511</v>
      </c>
      <c r="AB88" t="s">
        <v>282</v>
      </c>
      <c r="AC88" s="2" t="s">
        <v>1888</v>
      </c>
      <c r="AD88" s="2" t="s">
        <v>1888</v>
      </c>
      <c r="AE88" t="s">
        <v>158</v>
      </c>
      <c r="AF88" t="s">
        <v>1886</v>
      </c>
      <c r="AG88" s="3" t="s">
        <v>1887</v>
      </c>
      <c r="AH88" t="s">
        <v>1888</v>
      </c>
      <c r="AI88" t="s">
        <v>1888</v>
      </c>
      <c r="AJ88" t="s">
        <v>1888</v>
      </c>
      <c r="AK88" t="s">
        <v>2005</v>
      </c>
      <c r="AL88" s="5"/>
      <c r="AM88" s="5"/>
      <c r="AO88" s="3" t="s">
        <v>119</v>
      </c>
      <c r="AP88" t="s">
        <v>120</v>
      </c>
      <c r="AQ88" s="3" t="s">
        <v>111</v>
      </c>
      <c r="AR88" s="3" t="s">
        <v>112</v>
      </c>
      <c r="AS88" s="3" t="s">
        <v>112</v>
      </c>
      <c r="AT88" s="3" t="s">
        <v>113</v>
      </c>
      <c r="AU88" s="3" t="s">
        <v>2303</v>
      </c>
      <c r="AV88" s="3" t="s">
        <v>2302</v>
      </c>
      <c r="AW88" s="3" t="s">
        <v>2301</v>
      </c>
      <c r="AX88" s="3" t="s">
        <v>2006</v>
      </c>
      <c r="AY88" s="19" t="s">
        <v>114</v>
      </c>
      <c r="AZ88" s="19" t="s">
        <v>114</v>
      </c>
      <c r="BA88" s="19" t="s">
        <v>114</v>
      </c>
      <c r="BB88" s="19" t="s">
        <v>114</v>
      </c>
      <c r="BC88" s="19" t="s">
        <v>114</v>
      </c>
      <c r="BD88" s="19" t="s">
        <v>114</v>
      </c>
      <c r="BE88" s="19" t="s">
        <v>114</v>
      </c>
      <c r="BF88" s="19" t="s">
        <v>114</v>
      </c>
      <c r="BG88" s="19" t="s">
        <v>114</v>
      </c>
      <c r="BH88" s="19" t="s">
        <v>114</v>
      </c>
      <c r="BI88" s="19" t="s">
        <v>114</v>
      </c>
      <c r="BJ88" s="19" t="s">
        <v>114</v>
      </c>
      <c r="BK88" s="19" t="s">
        <v>114</v>
      </c>
      <c r="BL88" s="19" t="s">
        <v>114</v>
      </c>
      <c r="BM88" s="19" t="s">
        <v>114</v>
      </c>
      <c r="BN88" s="19" t="s">
        <v>114</v>
      </c>
      <c r="BO88" s="19" t="s">
        <v>114</v>
      </c>
      <c r="BP88" s="19" t="s">
        <v>114</v>
      </c>
      <c r="BQ88" s="19" t="s">
        <v>114</v>
      </c>
      <c r="BR88" s="19" t="s">
        <v>114</v>
      </c>
      <c r="BS88" s="19" t="s">
        <v>114</v>
      </c>
      <c r="BT88" s="19" t="s">
        <v>114</v>
      </c>
      <c r="BU88" s="19" t="s">
        <v>114</v>
      </c>
      <c r="BV88" s="19" t="s">
        <v>114</v>
      </c>
      <c r="BW88" s="19" t="s">
        <v>114</v>
      </c>
      <c r="BX88" s="19" t="s">
        <v>114</v>
      </c>
      <c r="BY88" s="19" t="s">
        <v>114</v>
      </c>
      <c r="BZ88" s="21" t="s">
        <v>114</v>
      </c>
      <c r="CA88" s="21" t="s">
        <v>114</v>
      </c>
      <c r="CB88" s="21" t="s">
        <v>114</v>
      </c>
      <c r="CC88" s="21" t="s">
        <v>114</v>
      </c>
      <c r="CD88" s="21" t="s">
        <v>114</v>
      </c>
      <c r="CE88" s="21" t="s">
        <v>114</v>
      </c>
      <c r="CF88" s="19" t="s">
        <v>114</v>
      </c>
      <c r="CG88" s="19" t="s">
        <v>114</v>
      </c>
      <c r="CH88" s="19" t="s">
        <v>114</v>
      </c>
      <c r="CI88" s="21" t="s">
        <v>114</v>
      </c>
      <c r="CJ88" s="21" t="s">
        <v>114</v>
      </c>
      <c r="CK88" s="21" t="s">
        <v>114</v>
      </c>
      <c r="CL88" s="21" t="s">
        <v>114</v>
      </c>
      <c r="CM88" s="21" t="s">
        <v>114</v>
      </c>
      <c r="CN88" s="21" t="s">
        <v>114</v>
      </c>
      <c r="CO88" s="21" t="s">
        <v>114</v>
      </c>
      <c r="CP88" s="21" t="s">
        <v>114</v>
      </c>
      <c r="CQ88" s="21" t="s">
        <v>114</v>
      </c>
      <c r="CR88" s="21" t="s">
        <v>114</v>
      </c>
      <c r="CS88" s="21" t="s">
        <v>114</v>
      </c>
      <c r="CT88" s="21" t="s">
        <v>114</v>
      </c>
      <c r="CU88" s="21" t="s">
        <v>114</v>
      </c>
      <c r="CV88" s="21" t="s">
        <v>114</v>
      </c>
      <c r="CW88" s="21" t="s">
        <v>114</v>
      </c>
      <c r="CX88" s="21" t="s">
        <v>114</v>
      </c>
      <c r="CY88" s="21" t="s">
        <v>114</v>
      </c>
      <c r="CZ88" s="21" t="s">
        <v>114</v>
      </c>
      <c r="DA88" s="21" t="s">
        <v>114</v>
      </c>
      <c r="DB88" s="21" t="s">
        <v>114</v>
      </c>
      <c r="DC88" s="21" t="s">
        <v>114</v>
      </c>
      <c r="DD88" s="21" t="s">
        <v>114</v>
      </c>
      <c r="DE88" s="21" t="s">
        <v>114</v>
      </c>
      <c r="DF88" s="19" t="s">
        <v>114</v>
      </c>
      <c r="DG88" s="19" t="s">
        <v>114</v>
      </c>
      <c r="DH88" s="19" t="s">
        <v>114</v>
      </c>
      <c r="DI88" s="19" t="s">
        <v>114</v>
      </c>
      <c r="DJ88" s="19" t="s">
        <v>114</v>
      </c>
      <c r="DK88" s="19" t="s">
        <v>114</v>
      </c>
      <c r="DL88" s="19" t="s">
        <v>114</v>
      </c>
      <c r="DM88" s="19" t="s">
        <v>114</v>
      </c>
      <c r="DN88" s="19" t="s">
        <v>114</v>
      </c>
      <c r="DO88" s="19" t="s">
        <v>114</v>
      </c>
    </row>
    <row r="89" spans="1:119" x14ac:dyDescent="0.45">
      <c r="A89" s="2"/>
      <c r="B89" s="5" t="s">
        <v>2304</v>
      </c>
      <c r="C89" s="2">
        <v>99913</v>
      </c>
      <c r="D89" s="6"/>
      <c r="E89" s="2" t="s">
        <v>2307</v>
      </c>
      <c r="F89" s="2" t="s">
        <v>2307</v>
      </c>
      <c r="H89" s="8"/>
      <c r="I89" s="2"/>
      <c r="J89" s="2"/>
      <c r="K89" s="3"/>
      <c r="L89" s="2"/>
      <c r="O89" s="2"/>
      <c r="P89" s="2"/>
      <c r="Q89" s="2"/>
      <c r="R89" s="2"/>
      <c r="S89" s="2"/>
      <c r="T89" s="4"/>
      <c r="U89" s="4"/>
      <c r="V89" t="e">
        <v>#N/A</v>
      </c>
      <c r="W89" t="e">
        <v>#N/A</v>
      </c>
      <c r="X89" t="e">
        <v>#N/A</v>
      </c>
      <c r="AA89" t="s">
        <v>2511</v>
      </c>
      <c r="AB89" t="s">
        <v>282</v>
      </c>
      <c r="AC89" s="2" t="s">
        <v>1888</v>
      </c>
      <c r="AD89" s="2" t="s">
        <v>1888</v>
      </c>
      <c r="AE89" t="s">
        <v>158</v>
      </c>
      <c r="AF89" t="s">
        <v>1886</v>
      </c>
      <c r="AG89" s="3" t="s">
        <v>1887</v>
      </c>
      <c r="AH89" t="s">
        <v>1888</v>
      </c>
      <c r="AI89" t="s">
        <v>1888</v>
      </c>
      <c r="AJ89" t="s">
        <v>1888</v>
      </c>
      <c r="AK89" t="s">
        <v>2005</v>
      </c>
      <c r="AL89" s="5"/>
      <c r="AM89" s="5"/>
      <c r="AO89" s="3" t="s">
        <v>119</v>
      </c>
      <c r="AP89" t="s">
        <v>120</v>
      </c>
      <c r="AQ89" s="3" t="s">
        <v>111</v>
      </c>
      <c r="AR89" s="3" t="s">
        <v>112</v>
      </c>
      <c r="AS89" s="3" t="s">
        <v>112</v>
      </c>
      <c r="AT89" s="3" t="s">
        <v>113</v>
      </c>
      <c r="AU89" s="3" t="s">
        <v>2303</v>
      </c>
      <c r="AV89" s="3" t="s">
        <v>2302</v>
      </c>
      <c r="AW89" s="3" t="s">
        <v>2301</v>
      </c>
      <c r="AX89" s="3" t="s">
        <v>2006</v>
      </c>
      <c r="AY89" s="19" t="s">
        <v>114</v>
      </c>
      <c r="AZ89" s="19" t="s">
        <v>114</v>
      </c>
      <c r="BA89" s="19" t="s">
        <v>114</v>
      </c>
      <c r="BB89" s="19" t="s">
        <v>114</v>
      </c>
      <c r="BC89" s="19" t="s">
        <v>114</v>
      </c>
      <c r="BD89" s="19" t="s">
        <v>114</v>
      </c>
      <c r="BE89" s="19" t="s">
        <v>114</v>
      </c>
      <c r="BF89" s="19" t="s">
        <v>114</v>
      </c>
      <c r="BG89" s="19" t="s">
        <v>114</v>
      </c>
      <c r="BH89" s="19" t="s">
        <v>114</v>
      </c>
      <c r="BI89" s="19" t="s">
        <v>114</v>
      </c>
      <c r="BJ89" s="19" t="s">
        <v>114</v>
      </c>
      <c r="BK89" s="19" t="s">
        <v>114</v>
      </c>
      <c r="BL89" s="19" t="s">
        <v>114</v>
      </c>
      <c r="BM89" s="19" t="s">
        <v>114</v>
      </c>
      <c r="BN89" s="19" t="s">
        <v>114</v>
      </c>
      <c r="BO89" s="19" t="s">
        <v>114</v>
      </c>
      <c r="BP89" s="19" t="s">
        <v>114</v>
      </c>
      <c r="BQ89" s="19" t="s">
        <v>114</v>
      </c>
      <c r="BR89" s="19" t="s">
        <v>114</v>
      </c>
      <c r="BS89" s="19" t="s">
        <v>114</v>
      </c>
      <c r="BT89" s="19" t="s">
        <v>114</v>
      </c>
      <c r="BU89" s="19" t="s">
        <v>114</v>
      </c>
      <c r="BV89" s="19" t="s">
        <v>114</v>
      </c>
      <c r="BW89" s="19" t="s">
        <v>114</v>
      </c>
      <c r="BX89" s="19" t="s">
        <v>114</v>
      </c>
      <c r="BY89" s="19" t="s">
        <v>114</v>
      </c>
      <c r="BZ89" s="21" t="s">
        <v>114</v>
      </c>
      <c r="CA89" s="21" t="s">
        <v>114</v>
      </c>
      <c r="CB89" s="21" t="s">
        <v>114</v>
      </c>
      <c r="CC89" s="21" t="s">
        <v>114</v>
      </c>
      <c r="CD89" s="21" t="s">
        <v>114</v>
      </c>
      <c r="CE89" s="21" t="s">
        <v>114</v>
      </c>
      <c r="CF89" s="19" t="s">
        <v>114</v>
      </c>
      <c r="CG89" s="19" t="s">
        <v>114</v>
      </c>
      <c r="CH89" s="19" t="s">
        <v>114</v>
      </c>
      <c r="CI89" s="21" t="s">
        <v>114</v>
      </c>
      <c r="CJ89" s="21" t="s">
        <v>114</v>
      </c>
      <c r="CK89" s="21" t="s">
        <v>114</v>
      </c>
      <c r="CL89" s="21" t="s">
        <v>114</v>
      </c>
      <c r="CM89" s="21" t="s">
        <v>114</v>
      </c>
      <c r="CN89" s="21" t="s">
        <v>114</v>
      </c>
      <c r="CO89" s="21" t="s">
        <v>114</v>
      </c>
      <c r="CP89" s="21" t="s">
        <v>114</v>
      </c>
      <c r="CQ89" s="21" t="s">
        <v>114</v>
      </c>
      <c r="CR89" s="21" t="s">
        <v>114</v>
      </c>
      <c r="CS89" s="21" t="s">
        <v>114</v>
      </c>
      <c r="CT89" s="21" t="s">
        <v>114</v>
      </c>
      <c r="CU89" s="21" t="s">
        <v>114</v>
      </c>
      <c r="CV89" s="21" t="s">
        <v>114</v>
      </c>
      <c r="CW89" s="21" t="s">
        <v>114</v>
      </c>
      <c r="CX89" s="21" t="s">
        <v>114</v>
      </c>
      <c r="CY89" s="21" t="s">
        <v>114</v>
      </c>
      <c r="CZ89" s="21" t="s">
        <v>114</v>
      </c>
      <c r="DA89" s="21" t="s">
        <v>114</v>
      </c>
      <c r="DB89" s="21" t="s">
        <v>114</v>
      </c>
      <c r="DC89" s="21" t="s">
        <v>114</v>
      </c>
      <c r="DD89" s="21" t="s">
        <v>114</v>
      </c>
      <c r="DE89" s="21" t="s">
        <v>114</v>
      </c>
      <c r="DF89" s="19" t="s">
        <v>114</v>
      </c>
      <c r="DG89" s="19" t="s">
        <v>114</v>
      </c>
      <c r="DH89" s="19" t="s">
        <v>114</v>
      </c>
      <c r="DI89" s="19" t="s">
        <v>114</v>
      </c>
      <c r="DJ89" s="19" t="s">
        <v>114</v>
      </c>
      <c r="DK89" s="19" t="s">
        <v>114</v>
      </c>
      <c r="DL89" s="19" t="s">
        <v>114</v>
      </c>
      <c r="DM89" s="19" t="s">
        <v>114</v>
      </c>
      <c r="DN89" s="19" t="s">
        <v>114</v>
      </c>
      <c r="DO89" s="19" t="s">
        <v>114</v>
      </c>
    </row>
    <row r="90" spans="1:119" x14ac:dyDescent="0.45">
      <c r="A90" s="4"/>
      <c r="B90" s="3" t="s">
        <v>2294</v>
      </c>
      <c r="C90" s="4">
        <v>99911</v>
      </c>
      <c r="D90" s="7"/>
      <c r="E90" s="4" t="s">
        <v>2295</v>
      </c>
      <c r="F90" s="4" t="s">
        <v>2296</v>
      </c>
      <c r="H90" s="4"/>
      <c r="I90" s="3"/>
      <c r="J90" s="2">
        <v>99909</v>
      </c>
      <c r="K90" t="s">
        <v>185</v>
      </c>
      <c r="L90" s="2">
        <v>99909</v>
      </c>
      <c r="M90" t="s">
        <v>185</v>
      </c>
      <c r="N90" s="2">
        <v>99909</v>
      </c>
      <c r="O90" t="s">
        <v>185</v>
      </c>
      <c r="P90" s="4" t="s">
        <v>185</v>
      </c>
      <c r="Q90" s="4"/>
      <c r="R90" s="4">
        <v>99909</v>
      </c>
      <c r="S90" s="4" t="s">
        <v>185</v>
      </c>
      <c r="T90" s="4">
        <v>99909</v>
      </c>
      <c r="U90" s="4" t="s">
        <v>185</v>
      </c>
      <c r="V90" t="e">
        <v>#N/A</v>
      </c>
      <c r="W90" t="e">
        <v>#N/A</v>
      </c>
      <c r="X90" t="e">
        <v>#N/A</v>
      </c>
      <c r="AA90" t="s">
        <v>2511</v>
      </c>
      <c r="AB90" t="s">
        <v>282</v>
      </c>
      <c r="AC90" s="2" t="s">
        <v>1888</v>
      </c>
      <c r="AD90" s="2" t="s">
        <v>1888</v>
      </c>
      <c r="AE90" t="s">
        <v>158</v>
      </c>
      <c r="AF90" t="s">
        <v>1886</v>
      </c>
      <c r="AG90" t="s">
        <v>158</v>
      </c>
      <c r="AJ90" s="3"/>
      <c r="AK90" t="s">
        <v>2005</v>
      </c>
      <c r="AL90" s="5"/>
      <c r="AM90" s="5" t="s">
        <v>109</v>
      </c>
      <c r="AO90" s="3" t="s">
        <v>119</v>
      </c>
      <c r="AP90" t="s">
        <v>120</v>
      </c>
      <c r="AQ90" s="3" t="s">
        <v>111</v>
      </c>
      <c r="AR90" t="s">
        <v>112</v>
      </c>
      <c r="AS90" t="s">
        <v>112</v>
      </c>
      <c r="AT90" s="3" t="s">
        <v>113</v>
      </c>
      <c r="AU90" s="3" t="s">
        <v>2303</v>
      </c>
      <c r="AV90" s="3" t="s">
        <v>2302</v>
      </c>
      <c r="AW90" s="3" t="s">
        <v>2301</v>
      </c>
      <c r="AX90" t="s">
        <v>282</v>
      </c>
      <c r="AY90" s="19" t="s">
        <v>114</v>
      </c>
      <c r="AZ90" s="19"/>
      <c r="BA90" s="19" t="s">
        <v>114</v>
      </c>
      <c r="BB90" s="19" t="s">
        <v>114</v>
      </c>
      <c r="BC90" s="19" t="s">
        <v>114</v>
      </c>
      <c r="BD90" s="19" t="s">
        <v>114</v>
      </c>
      <c r="BE90" s="19" t="s">
        <v>114</v>
      </c>
      <c r="BF90" s="19" t="s">
        <v>114</v>
      </c>
      <c r="BG90" s="19" t="s">
        <v>114</v>
      </c>
      <c r="BH90" s="19" t="s">
        <v>114</v>
      </c>
      <c r="BI90" s="19" t="s">
        <v>114</v>
      </c>
      <c r="BJ90" s="19" t="s">
        <v>114</v>
      </c>
      <c r="BK90" s="19" t="s">
        <v>114</v>
      </c>
      <c r="BL90" s="19" t="s">
        <v>114</v>
      </c>
      <c r="BM90" s="19" t="s">
        <v>114</v>
      </c>
      <c r="BN90" s="19" t="s">
        <v>114</v>
      </c>
      <c r="BO90" s="19" t="s">
        <v>114</v>
      </c>
      <c r="BP90" s="19" t="s">
        <v>114</v>
      </c>
      <c r="BQ90" s="19" t="s">
        <v>114</v>
      </c>
      <c r="BR90" s="19" t="s">
        <v>114</v>
      </c>
      <c r="BS90" s="19" t="s">
        <v>114</v>
      </c>
      <c r="BT90" s="19" t="s">
        <v>114</v>
      </c>
      <c r="BU90" s="19" t="s">
        <v>114</v>
      </c>
      <c r="BV90" s="19" t="s">
        <v>114</v>
      </c>
      <c r="BW90" s="19" t="s">
        <v>114</v>
      </c>
      <c r="BX90" s="19" t="s">
        <v>114</v>
      </c>
      <c r="BY90" s="19" t="s">
        <v>114</v>
      </c>
      <c r="BZ90" s="21" t="s">
        <v>114</v>
      </c>
      <c r="CA90" s="21" t="s">
        <v>114</v>
      </c>
      <c r="CB90" s="21" t="s">
        <v>114</v>
      </c>
      <c r="CC90" s="21" t="s">
        <v>114</v>
      </c>
      <c r="CD90" s="21" t="s">
        <v>114</v>
      </c>
      <c r="CE90" s="21" t="s">
        <v>114</v>
      </c>
      <c r="CF90" s="19" t="s">
        <v>114</v>
      </c>
      <c r="CG90" s="19" t="s">
        <v>114</v>
      </c>
      <c r="CH90" s="19" t="s">
        <v>114</v>
      </c>
      <c r="CI90" s="21" t="s">
        <v>114</v>
      </c>
      <c r="CJ90" s="21" t="s">
        <v>114</v>
      </c>
      <c r="CK90" s="21" t="s">
        <v>114</v>
      </c>
      <c r="CL90" s="21" t="s">
        <v>114</v>
      </c>
      <c r="CM90" s="21" t="s">
        <v>114</v>
      </c>
      <c r="CN90" s="21" t="s">
        <v>114</v>
      </c>
      <c r="CO90" s="21" t="s">
        <v>114</v>
      </c>
      <c r="CP90" s="21" t="s">
        <v>114</v>
      </c>
      <c r="CQ90" s="21" t="s">
        <v>114</v>
      </c>
      <c r="CR90" s="21" t="s">
        <v>114</v>
      </c>
      <c r="CS90" s="21" t="s">
        <v>114</v>
      </c>
      <c r="CT90" s="21" t="s">
        <v>114</v>
      </c>
      <c r="CU90" s="21" t="s">
        <v>114</v>
      </c>
      <c r="CV90" s="21" t="s">
        <v>114</v>
      </c>
      <c r="CW90" s="21" t="s">
        <v>114</v>
      </c>
      <c r="CX90" s="21" t="s">
        <v>114</v>
      </c>
      <c r="CY90" s="21" t="s">
        <v>114</v>
      </c>
      <c r="CZ90" s="21" t="s">
        <v>114</v>
      </c>
      <c r="DA90" s="21" t="s">
        <v>114</v>
      </c>
      <c r="DB90" s="21" t="s">
        <v>114</v>
      </c>
      <c r="DC90" s="21" t="s">
        <v>114</v>
      </c>
      <c r="DD90" s="21" t="s">
        <v>114</v>
      </c>
      <c r="DE90" s="21" t="s">
        <v>114</v>
      </c>
      <c r="DF90" s="19" t="s">
        <v>114</v>
      </c>
      <c r="DG90" s="19" t="s">
        <v>114</v>
      </c>
      <c r="DH90" s="19" t="s">
        <v>114</v>
      </c>
      <c r="DI90" s="19" t="s">
        <v>114</v>
      </c>
      <c r="DJ90" s="19" t="s">
        <v>114</v>
      </c>
      <c r="DK90" s="19" t="s">
        <v>114</v>
      </c>
      <c r="DL90" s="19" t="s">
        <v>114</v>
      </c>
      <c r="DM90" s="19" t="s">
        <v>114</v>
      </c>
      <c r="DN90" s="19" t="s">
        <v>114</v>
      </c>
      <c r="DO90" s="19" t="s">
        <v>114</v>
      </c>
    </row>
    <row r="91" spans="1:119" x14ac:dyDescent="0.45">
      <c r="A91" s="4"/>
      <c r="B91" s="3" t="s">
        <v>20</v>
      </c>
      <c r="C91" s="4">
        <v>99901</v>
      </c>
      <c r="D91" s="7"/>
      <c r="E91" s="4" t="s">
        <v>2002</v>
      </c>
      <c r="F91" s="4" t="s">
        <v>2002</v>
      </c>
      <c r="H91" s="4" t="s">
        <v>2004</v>
      </c>
      <c r="I91" s="3" t="s">
        <v>2003</v>
      </c>
      <c r="J91" s="2">
        <v>99909</v>
      </c>
      <c r="K91" t="s">
        <v>185</v>
      </c>
      <c r="L91" s="2">
        <v>99909</v>
      </c>
      <c r="M91" t="s">
        <v>185</v>
      </c>
      <c r="N91" s="2">
        <v>99909</v>
      </c>
      <c r="O91" t="s">
        <v>185</v>
      </c>
      <c r="P91" s="4" t="s">
        <v>185</v>
      </c>
      <c r="Q91" s="4"/>
      <c r="R91" s="4">
        <v>99909</v>
      </c>
      <c r="S91" s="4" t="s">
        <v>185</v>
      </c>
      <c r="T91" s="4">
        <v>99909</v>
      </c>
      <c r="U91" s="4" t="s">
        <v>185</v>
      </c>
      <c r="V91" t="e">
        <v>#N/A</v>
      </c>
      <c r="W91" t="e">
        <v>#N/A</v>
      </c>
      <c r="X91" t="e">
        <v>#N/A</v>
      </c>
      <c r="AA91" t="s">
        <v>2511</v>
      </c>
      <c r="AB91" t="s">
        <v>282</v>
      </c>
      <c r="AC91" s="2" t="s">
        <v>1888</v>
      </c>
      <c r="AD91" s="2" t="s">
        <v>1888</v>
      </c>
      <c r="AE91" s="3" t="s">
        <v>131</v>
      </c>
      <c r="AF91" t="s">
        <v>1886</v>
      </c>
      <c r="AG91" t="s">
        <v>158</v>
      </c>
      <c r="AJ91" s="3" t="s">
        <v>20</v>
      </c>
      <c r="AK91" t="s">
        <v>2005</v>
      </c>
      <c r="AL91" s="5"/>
      <c r="AM91" s="5" t="s">
        <v>109</v>
      </c>
      <c r="AO91" s="3" t="s">
        <v>119</v>
      </c>
      <c r="AP91" t="s">
        <v>120</v>
      </c>
      <c r="AQ91" s="3" t="s">
        <v>111</v>
      </c>
      <c r="AR91" t="s">
        <v>112</v>
      </c>
      <c r="AS91" t="s">
        <v>112</v>
      </c>
      <c r="AT91" s="3" t="s">
        <v>113</v>
      </c>
      <c r="AU91" s="3" t="s">
        <v>2303</v>
      </c>
      <c r="AV91" s="3" t="s">
        <v>2302</v>
      </c>
      <c r="AW91" s="3" t="s">
        <v>2301</v>
      </c>
      <c r="AX91" t="s">
        <v>282</v>
      </c>
      <c r="AY91" s="19" t="s">
        <v>114</v>
      </c>
      <c r="AZ91" s="19"/>
      <c r="BA91" s="19" t="s">
        <v>114</v>
      </c>
      <c r="BB91" s="19" t="s">
        <v>114</v>
      </c>
      <c r="BC91" s="19" t="s">
        <v>114</v>
      </c>
      <c r="BD91" s="19" t="s">
        <v>114</v>
      </c>
      <c r="BE91" s="19" t="s">
        <v>114</v>
      </c>
      <c r="BF91" s="19" t="s">
        <v>114</v>
      </c>
      <c r="BG91" s="19" t="s">
        <v>114</v>
      </c>
      <c r="BH91" s="19" t="s">
        <v>114</v>
      </c>
      <c r="BI91" s="19" t="s">
        <v>114</v>
      </c>
      <c r="BJ91" s="19" t="s">
        <v>114</v>
      </c>
      <c r="BK91" s="19" t="s">
        <v>114</v>
      </c>
      <c r="BL91" s="19" t="s">
        <v>114</v>
      </c>
      <c r="BM91" s="19" t="s">
        <v>114</v>
      </c>
      <c r="BN91" s="19" t="s">
        <v>114</v>
      </c>
      <c r="BO91" s="19" t="s">
        <v>114</v>
      </c>
      <c r="BP91" s="19" t="s">
        <v>114</v>
      </c>
      <c r="BQ91" s="19" t="s">
        <v>114</v>
      </c>
      <c r="BR91" s="19" t="s">
        <v>114</v>
      </c>
      <c r="BS91" s="19" t="s">
        <v>114</v>
      </c>
      <c r="BT91" s="19" t="s">
        <v>114</v>
      </c>
      <c r="BU91" s="19" t="s">
        <v>114</v>
      </c>
      <c r="BV91" s="19" t="s">
        <v>114</v>
      </c>
      <c r="BW91" s="19" t="s">
        <v>114</v>
      </c>
      <c r="BX91" s="19" t="s">
        <v>114</v>
      </c>
      <c r="BY91" s="19" t="s">
        <v>114</v>
      </c>
      <c r="BZ91" s="21" t="s">
        <v>114</v>
      </c>
      <c r="CA91" s="21" t="s">
        <v>114</v>
      </c>
      <c r="CB91" s="21" t="s">
        <v>114</v>
      </c>
      <c r="CC91" s="21" t="s">
        <v>114</v>
      </c>
      <c r="CD91" s="21" t="s">
        <v>114</v>
      </c>
      <c r="CE91" s="21" t="s">
        <v>114</v>
      </c>
      <c r="CF91" s="19" t="s">
        <v>114</v>
      </c>
      <c r="CG91" s="19" t="s">
        <v>114</v>
      </c>
      <c r="CH91" s="19" t="s">
        <v>114</v>
      </c>
      <c r="CI91" s="21" t="s">
        <v>114</v>
      </c>
      <c r="CJ91" s="21" t="s">
        <v>114</v>
      </c>
      <c r="CK91" s="21" t="s">
        <v>114</v>
      </c>
      <c r="CL91" s="21" t="s">
        <v>114</v>
      </c>
      <c r="CM91" s="21" t="s">
        <v>114</v>
      </c>
      <c r="CN91" s="21" t="s">
        <v>114</v>
      </c>
      <c r="CO91" s="21" t="s">
        <v>114</v>
      </c>
      <c r="CP91" s="21" t="s">
        <v>114</v>
      </c>
      <c r="CQ91" s="21" t="s">
        <v>114</v>
      </c>
      <c r="CR91" s="21" t="s">
        <v>114</v>
      </c>
      <c r="CS91" s="21" t="s">
        <v>114</v>
      </c>
      <c r="CT91" s="21" t="s">
        <v>114</v>
      </c>
      <c r="CU91" s="21" t="s">
        <v>114</v>
      </c>
      <c r="CV91" s="21" t="s">
        <v>114</v>
      </c>
      <c r="CW91" s="21" t="s">
        <v>114</v>
      </c>
      <c r="CX91" s="21" t="s">
        <v>114</v>
      </c>
      <c r="CY91" s="21" t="s">
        <v>114</v>
      </c>
      <c r="CZ91" s="21" t="s">
        <v>114</v>
      </c>
      <c r="DA91" s="21" t="s">
        <v>114</v>
      </c>
      <c r="DB91" s="21" t="s">
        <v>114</v>
      </c>
      <c r="DC91" s="21" t="s">
        <v>114</v>
      </c>
      <c r="DD91" s="21" t="s">
        <v>114</v>
      </c>
      <c r="DE91" s="21" t="s">
        <v>114</v>
      </c>
      <c r="DF91" s="19" t="s">
        <v>114</v>
      </c>
      <c r="DG91" s="19" t="s">
        <v>114</v>
      </c>
      <c r="DH91" s="19" t="s">
        <v>114</v>
      </c>
      <c r="DI91" s="19" t="s">
        <v>114</v>
      </c>
      <c r="DJ91" s="19" t="s">
        <v>114</v>
      </c>
      <c r="DK91" s="19" t="s">
        <v>114</v>
      </c>
      <c r="DL91" s="19" t="s">
        <v>114</v>
      </c>
      <c r="DM91" s="19" t="s">
        <v>114</v>
      </c>
      <c r="DN91" s="19" t="s">
        <v>114</v>
      </c>
      <c r="DO91" s="19" t="s">
        <v>114</v>
      </c>
    </row>
    <row r="92" spans="1:119" x14ac:dyDescent="0.45">
      <c r="A92" s="2"/>
      <c r="B92" t="s">
        <v>2319</v>
      </c>
      <c r="C92" s="2">
        <v>432</v>
      </c>
      <c r="D92" s="6"/>
      <c r="E92" s="2"/>
      <c r="F92" s="2" t="s">
        <v>804</v>
      </c>
      <c r="H92" s="2"/>
      <c r="J92" s="2"/>
      <c r="L92" s="2"/>
      <c r="P92" s="2"/>
      <c r="Q92" s="2" t="s">
        <v>2188</v>
      </c>
      <c r="R92" s="2"/>
      <c r="S92" s="2"/>
      <c r="T92" s="2"/>
      <c r="U92" s="2"/>
      <c r="V92" t="e">
        <v>#N/A</v>
      </c>
      <c r="W92" t="e">
        <v>#N/A</v>
      </c>
      <c r="X92" t="e">
        <v>#N/A</v>
      </c>
      <c r="AA92" t="s">
        <v>2511</v>
      </c>
      <c r="AB92" t="s">
        <v>282</v>
      </c>
      <c r="AC92" s="2" t="s">
        <v>1888</v>
      </c>
      <c r="AD92" s="2" t="s">
        <v>1888</v>
      </c>
      <c r="AE92" t="s">
        <v>158</v>
      </c>
      <c r="AF92" t="s">
        <v>1886</v>
      </c>
      <c r="AG92" t="s">
        <v>158</v>
      </c>
      <c r="AK92" t="s">
        <v>389</v>
      </c>
      <c r="AL92" s="5"/>
      <c r="AO92" s="3" t="s">
        <v>119</v>
      </c>
      <c r="AP92" s="3" t="s">
        <v>120</v>
      </c>
      <c r="AQ92" s="3" t="s">
        <v>111</v>
      </c>
      <c r="AR92" s="3" t="s">
        <v>112</v>
      </c>
      <c r="AS92" s="3" t="s">
        <v>112</v>
      </c>
      <c r="AU92" s="3" t="s">
        <v>2303</v>
      </c>
      <c r="AV92" s="3" t="s">
        <v>2302</v>
      </c>
      <c r="AW92" s="3" t="s">
        <v>2301</v>
      </c>
      <c r="AX92" t="s">
        <v>282</v>
      </c>
      <c r="AY92" s="19" t="s">
        <v>114</v>
      </c>
      <c r="AZ92" s="19" t="s">
        <v>114</v>
      </c>
      <c r="BA92" s="19" t="s">
        <v>114</v>
      </c>
      <c r="BB92" s="19" t="s">
        <v>114</v>
      </c>
      <c r="BC92" s="19" t="s">
        <v>114</v>
      </c>
      <c r="BD92" s="19" t="s">
        <v>114</v>
      </c>
      <c r="BE92" s="19" t="s">
        <v>114</v>
      </c>
      <c r="BF92" s="19" t="s">
        <v>114</v>
      </c>
      <c r="BG92" s="19" t="s">
        <v>114</v>
      </c>
      <c r="BH92" s="19" t="s">
        <v>114</v>
      </c>
      <c r="BI92" s="19" t="s">
        <v>114</v>
      </c>
      <c r="BJ92" s="19" t="s">
        <v>114</v>
      </c>
      <c r="BK92" s="19" t="s">
        <v>114</v>
      </c>
      <c r="BL92" s="19" t="s">
        <v>114</v>
      </c>
      <c r="BM92" s="19" t="s">
        <v>114</v>
      </c>
      <c r="BN92" s="19" t="s">
        <v>114</v>
      </c>
      <c r="BO92" s="19" t="s">
        <v>114</v>
      </c>
      <c r="BP92" s="19" t="s">
        <v>114</v>
      </c>
      <c r="BQ92" s="19" t="s">
        <v>114</v>
      </c>
      <c r="BR92" s="19" t="s">
        <v>114</v>
      </c>
      <c r="BS92" s="19" t="s">
        <v>114</v>
      </c>
      <c r="BT92" s="19" t="s">
        <v>114</v>
      </c>
      <c r="BU92" s="19" t="s">
        <v>114</v>
      </c>
      <c r="BV92" s="19" t="s">
        <v>114</v>
      </c>
      <c r="BW92" s="19" t="s">
        <v>114</v>
      </c>
      <c r="BX92" s="19" t="s">
        <v>114</v>
      </c>
      <c r="BY92" s="19" t="s">
        <v>114</v>
      </c>
      <c r="BZ92" s="21" t="s">
        <v>114</v>
      </c>
      <c r="CA92" s="21" t="s">
        <v>114</v>
      </c>
      <c r="CB92" s="21" t="s">
        <v>114</v>
      </c>
      <c r="CC92" s="21" t="s">
        <v>114</v>
      </c>
      <c r="CD92" s="21" t="s">
        <v>114</v>
      </c>
      <c r="CE92" s="21" t="s">
        <v>114</v>
      </c>
      <c r="CF92" s="19" t="s">
        <v>114</v>
      </c>
      <c r="CG92" s="19" t="s">
        <v>114</v>
      </c>
      <c r="CH92" s="19" t="s">
        <v>114</v>
      </c>
      <c r="CI92" s="21" t="s">
        <v>114</v>
      </c>
      <c r="CJ92" s="21" t="s">
        <v>114</v>
      </c>
      <c r="CK92" s="21" t="s">
        <v>114</v>
      </c>
      <c r="CL92" s="21" t="s">
        <v>114</v>
      </c>
      <c r="CM92" s="21" t="s">
        <v>114</v>
      </c>
      <c r="CN92" s="21" t="s">
        <v>114</v>
      </c>
      <c r="CO92" s="21" t="s">
        <v>114</v>
      </c>
      <c r="CP92" s="21" t="s">
        <v>114</v>
      </c>
      <c r="CQ92" s="21" t="s">
        <v>114</v>
      </c>
      <c r="CR92" s="21" t="s">
        <v>114</v>
      </c>
      <c r="CS92" s="21" t="s">
        <v>114</v>
      </c>
      <c r="CT92" s="21" t="s">
        <v>114</v>
      </c>
      <c r="CU92" s="21" t="s">
        <v>114</v>
      </c>
      <c r="CV92" s="21" t="s">
        <v>114</v>
      </c>
      <c r="CW92" s="21" t="s">
        <v>114</v>
      </c>
      <c r="CX92" s="21" t="s">
        <v>114</v>
      </c>
      <c r="CY92" s="21" t="s">
        <v>114</v>
      </c>
      <c r="CZ92" s="21" t="s">
        <v>114</v>
      </c>
      <c r="DA92" s="21" t="s">
        <v>114</v>
      </c>
      <c r="DB92" s="21" t="s">
        <v>114</v>
      </c>
      <c r="DC92" s="21" t="s">
        <v>114</v>
      </c>
      <c r="DD92" s="21" t="s">
        <v>114</v>
      </c>
      <c r="DE92" s="21" t="s">
        <v>114</v>
      </c>
      <c r="DF92" s="19" t="s">
        <v>114</v>
      </c>
      <c r="DG92" s="19" t="s">
        <v>114</v>
      </c>
      <c r="DH92" s="19" t="s">
        <v>114</v>
      </c>
      <c r="DI92" s="19" t="s">
        <v>114</v>
      </c>
      <c r="DJ92" s="19" t="s">
        <v>114</v>
      </c>
      <c r="DK92" s="19" t="s">
        <v>114</v>
      </c>
      <c r="DL92" s="19" t="s">
        <v>114</v>
      </c>
      <c r="DM92" s="19" t="s">
        <v>114</v>
      </c>
      <c r="DN92" s="19" t="s">
        <v>114</v>
      </c>
      <c r="DO92" s="19" t="s">
        <v>114</v>
      </c>
    </row>
    <row r="93" spans="1:119" x14ac:dyDescent="0.45">
      <c r="A93" s="2"/>
      <c r="B93" t="s">
        <v>2320</v>
      </c>
      <c r="C93" s="2">
        <v>419</v>
      </c>
      <c r="D93" s="6"/>
      <c r="E93" s="2"/>
      <c r="F93" t="s">
        <v>174</v>
      </c>
      <c r="H93" s="2"/>
      <c r="J93" s="2">
        <v>19</v>
      </c>
      <c r="K93" s="3" t="s">
        <v>157</v>
      </c>
      <c r="L93" s="2">
        <v>419</v>
      </c>
      <c r="M93" t="s">
        <v>174</v>
      </c>
      <c r="N93" s="2"/>
      <c r="P93" s="2" t="s">
        <v>176</v>
      </c>
      <c r="Q93" s="2"/>
      <c r="R93" s="4"/>
      <c r="S93" s="2"/>
      <c r="T93" s="2"/>
      <c r="U93" s="2"/>
      <c r="V93" t="e">
        <v>#N/A</v>
      </c>
      <c r="W93" t="e">
        <v>#N/A</v>
      </c>
      <c r="X93" t="e">
        <v>#N/A</v>
      </c>
      <c r="AA93" t="s">
        <v>2511</v>
      </c>
      <c r="AB93" t="s">
        <v>282</v>
      </c>
      <c r="AC93" s="2" t="s">
        <v>1888</v>
      </c>
      <c r="AD93" s="2" t="s">
        <v>1888</v>
      </c>
      <c r="AE93" t="s">
        <v>158</v>
      </c>
      <c r="AF93" t="s">
        <v>1886</v>
      </c>
      <c r="AG93" t="s">
        <v>158</v>
      </c>
      <c r="AK93" t="s">
        <v>218</v>
      </c>
      <c r="AL93" s="5"/>
      <c r="AO93" s="3" t="s">
        <v>119</v>
      </c>
      <c r="AP93" s="3" t="s">
        <v>120</v>
      </c>
      <c r="AQ93" s="3" t="s">
        <v>111</v>
      </c>
      <c r="AR93" s="3" t="s">
        <v>112</v>
      </c>
      <c r="AS93" s="3" t="s">
        <v>112</v>
      </c>
      <c r="AU93" s="3" t="s">
        <v>2303</v>
      </c>
      <c r="AV93" s="3" t="s">
        <v>2302</v>
      </c>
      <c r="AW93" s="3" t="s">
        <v>2301</v>
      </c>
      <c r="AX93" t="s">
        <v>282</v>
      </c>
      <c r="AY93" s="19" t="s">
        <v>114</v>
      </c>
      <c r="AZ93" s="19" t="s">
        <v>114</v>
      </c>
      <c r="BA93" s="19" t="s">
        <v>114</v>
      </c>
      <c r="BB93" s="19" t="s">
        <v>114</v>
      </c>
      <c r="BC93" s="19" t="s">
        <v>114</v>
      </c>
      <c r="BD93" s="19" t="s">
        <v>114</v>
      </c>
      <c r="BE93" s="19" t="s">
        <v>114</v>
      </c>
      <c r="BF93" s="19" t="s">
        <v>114</v>
      </c>
      <c r="BG93" s="19" t="s">
        <v>114</v>
      </c>
      <c r="BH93" s="19" t="s">
        <v>114</v>
      </c>
      <c r="BI93" s="19" t="s">
        <v>114</v>
      </c>
      <c r="BJ93" s="19" t="s">
        <v>114</v>
      </c>
      <c r="BK93" s="19" t="s">
        <v>114</v>
      </c>
      <c r="BL93" s="19" t="s">
        <v>114</v>
      </c>
      <c r="BM93" s="19" t="s">
        <v>114</v>
      </c>
      <c r="BN93" s="19" t="s">
        <v>114</v>
      </c>
      <c r="BO93" s="19" t="s">
        <v>114</v>
      </c>
      <c r="BP93" s="19" t="s">
        <v>114</v>
      </c>
      <c r="BQ93" s="19" t="s">
        <v>114</v>
      </c>
      <c r="BR93" s="19" t="s">
        <v>114</v>
      </c>
      <c r="BS93" s="19" t="s">
        <v>114</v>
      </c>
      <c r="BT93" s="19" t="s">
        <v>114</v>
      </c>
      <c r="BU93" s="19" t="s">
        <v>114</v>
      </c>
      <c r="BV93" s="19" t="s">
        <v>114</v>
      </c>
      <c r="BW93" s="19" t="s">
        <v>114</v>
      </c>
      <c r="BX93" s="19" t="s">
        <v>114</v>
      </c>
      <c r="BY93" s="19" t="s">
        <v>114</v>
      </c>
      <c r="BZ93" s="21" t="s">
        <v>114</v>
      </c>
      <c r="CA93" s="21" t="s">
        <v>114</v>
      </c>
      <c r="CB93" s="21" t="s">
        <v>114</v>
      </c>
      <c r="CC93" s="21" t="s">
        <v>114</v>
      </c>
      <c r="CD93" s="21" t="s">
        <v>114</v>
      </c>
      <c r="CE93" s="21" t="s">
        <v>114</v>
      </c>
      <c r="CF93" s="19" t="s">
        <v>114</v>
      </c>
      <c r="CG93" s="19" t="s">
        <v>114</v>
      </c>
      <c r="CH93" s="19" t="s">
        <v>114</v>
      </c>
      <c r="CI93" s="21" t="s">
        <v>114</v>
      </c>
      <c r="CJ93" s="21" t="s">
        <v>114</v>
      </c>
      <c r="CK93" s="21" t="s">
        <v>114</v>
      </c>
      <c r="CL93" s="21" t="s">
        <v>114</v>
      </c>
      <c r="CM93" s="21" t="s">
        <v>114</v>
      </c>
      <c r="CN93" s="21" t="s">
        <v>114</v>
      </c>
      <c r="CO93" s="21" t="s">
        <v>114</v>
      </c>
      <c r="CP93" s="21" t="s">
        <v>114</v>
      </c>
      <c r="CQ93" s="21" t="s">
        <v>114</v>
      </c>
      <c r="CR93" s="21" t="s">
        <v>114</v>
      </c>
      <c r="CS93" s="21" t="s">
        <v>114</v>
      </c>
      <c r="CT93" s="21" t="s">
        <v>114</v>
      </c>
      <c r="CU93" s="21" t="s">
        <v>114</v>
      </c>
      <c r="CV93" s="21" t="s">
        <v>114</v>
      </c>
      <c r="CW93" s="21" t="s">
        <v>114</v>
      </c>
      <c r="CX93" s="21" t="s">
        <v>114</v>
      </c>
      <c r="CY93" s="21" t="s">
        <v>114</v>
      </c>
      <c r="CZ93" s="21" t="s">
        <v>114</v>
      </c>
      <c r="DA93" s="21" t="s">
        <v>114</v>
      </c>
      <c r="DB93" s="21" t="s">
        <v>114</v>
      </c>
      <c r="DC93" s="21" t="s">
        <v>114</v>
      </c>
      <c r="DD93" s="21" t="s">
        <v>114</v>
      </c>
      <c r="DE93" s="21" t="s">
        <v>114</v>
      </c>
      <c r="DF93" s="19" t="s">
        <v>114</v>
      </c>
      <c r="DG93" s="19" t="s">
        <v>114</v>
      </c>
      <c r="DH93" s="19" t="s">
        <v>114</v>
      </c>
      <c r="DI93" s="19" t="s">
        <v>114</v>
      </c>
      <c r="DJ93" s="19" t="s">
        <v>114</v>
      </c>
      <c r="DK93" s="19" t="s">
        <v>114</v>
      </c>
      <c r="DL93" s="19" t="s">
        <v>114</v>
      </c>
      <c r="DM93" s="19" t="s">
        <v>114</v>
      </c>
      <c r="DN93" s="19" t="s">
        <v>114</v>
      </c>
      <c r="DO93" s="19" t="s">
        <v>114</v>
      </c>
    </row>
    <row r="94" spans="1:119" x14ac:dyDescent="0.45">
      <c r="A94" s="2"/>
      <c r="B94" t="s">
        <v>25</v>
      </c>
      <c r="C94" s="2">
        <v>199</v>
      </c>
      <c r="D94" s="6"/>
      <c r="E94" s="2"/>
      <c r="F94" s="2" t="s">
        <v>816</v>
      </c>
      <c r="H94" s="2"/>
      <c r="J94" s="2"/>
      <c r="L94" s="2"/>
      <c r="P94" s="2"/>
      <c r="Q94" s="2"/>
      <c r="R94" s="2"/>
      <c r="S94" s="2"/>
      <c r="T94" s="2"/>
      <c r="U94" s="2"/>
      <c r="V94" t="e">
        <v>#N/A</v>
      </c>
      <c r="W94" t="e">
        <v>#N/A</v>
      </c>
      <c r="X94" t="e">
        <v>#N/A</v>
      </c>
      <c r="AA94" t="s">
        <v>2511</v>
      </c>
      <c r="AB94" t="s">
        <v>282</v>
      </c>
      <c r="AC94" s="2" t="s">
        <v>1888</v>
      </c>
      <c r="AD94" s="2" t="s">
        <v>1888</v>
      </c>
      <c r="AE94" t="s">
        <v>158</v>
      </c>
      <c r="AF94" t="s">
        <v>1886</v>
      </c>
      <c r="AG94" t="s">
        <v>158</v>
      </c>
      <c r="AK94" t="s">
        <v>389</v>
      </c>
      <c r="AL94" s="5"/>
      <c r="AO94" s="3" t="s">
        <v>119</v>
      </c>
      <c r="AP94" s="3" t="s">
        <v>120</v>
      </c>
      <c r="AQ94" s="3" t="s">
        <v>111</v>
      </c>
      <c r="AR94" s="3" t="s">
        <v>112</v>
      </c>
      <c r="AS94" s="3" t="s">
        <v>112</v>
      </c>
      <c r="AU94" s="3" t="s">
        <v>2303</v>
      </c>
      <c r="AV94" s="3" t="s">
        <v>2302</v>
      </c>
      <c r="AW94" s="3" t="s">
        <v>2301</v>
      </c>
      <c r="AX94" t="s">
        <v>282</v>
      </c>
      <c r="AY94" s="19" t="s">
        <v>114</v>
      </c>
      <c r="AZ94" s="19" t="s">
        <v>114</v>
      </c>
      <c r="BA94" s="19" t="s">
        <v>114</v>
      </c>
      <c r="BB94" s="19" t="s">
        <v>114</v>
      </c>
      <c r="BC94" s="19" t="s">
        <v>114</v>
      </c>
      <c r="BD94" s="19" t="s">
        <v>114</v>
      </c>
      <c r="BE94" s="19" t="s">
        <v>114</v>
      </c>
      <c r="BF94" s="19" t="s">
        <v>114</v>
      </c>
      <c r="BG94" s="19" t="s">
        <v>114</v>
      </c>
      <c r="BH94" s="19" t="s">
        <v>114</v>
      </c>
      <c r="BI94" s="19" t="s">
        <v>114</v>
      </c>
      <c r="BJ94" s="19" t="s">
        <v>114</v>
      </c>
      <c r="BK94" s="19" t="s">
        <v>114</v>
      </c>
      <c r="BL94" s="19" t="s">
        <v>114</v>
      </c>
      <c r="BM94" s="19" t="s">
        <v>114</v>
      </c>
      <c r="BN94" s="19" t="s">
        <v>114</v>
      </c>
      <c r="BO94" s="19" t="s">
        <v>114</v>
      </c>
      <c r="BP94" s="19" t="s">
        <v>114</v>
      </c>
      <c r="BQ94" s="19" t="s">
        <v>114</v>
      </c>
      <c r="BR94" s="19" t="s">
        <v>114</v>
      </c>
      <c r="BS94" s="19" t="s">
        <v>114</v>
      </c>
      <c r="BT94" s="19" t="s">
        <v>114</v>
      </c>
      <c r="BU94" s="19" t="s">
        <v>114</v>
      </c>
      <c r="BV94" s="19" t="s">
        <v>114</v>
      </c>
      <c r="BW94" s="19" t="s">
        <v>114</v>
      </c>
      <c r="BX94" s="19" t="s">
        <v>114</v>
      </c>
      <c r="BY94" s="19" t="s">
        <v>114</v>
      </c>
      <c r="BZ94" s="21" t="s">
        <v>114</v>
      </c>
      <c r="CA94" s="21" t="s">
        <v>114</v>
      </c>
      <c r="CB94" s="21" t="s">
        <v>114</v>
      </c>
      <c r="CC94" s="21" t="s">
        <v>114</v>
      </c>
      <c r="CD94" s="21" t="s">
        <v>114</v>
      </c>
      <c r="CE94" s="21" t="s">
        <v>114</v>
      </c>
      <c r="CF94" s="19" t="s">
        <v>114</v>
      </c>
      <c r="CG94" s="19" t="s">
        <v>114</v>
      </c>
      <c r="CH94" s="19" t="s">
        <v>114</v>
      </c>
      <c r="CI94" s="21" t="s">
        <v>114</v>
      </c>
      <c r="CJ94" s="21" t="s">
        <v>114</v>
      </c>
      <c r="CK94" s="21" t="s">
        <v>114</v>
      </c>
      <c r="CL94" s="21" t="s">
        <v>114</v>
      </c>
      <c r="CM94" s="21" t="s">
        <v>114</v>
      </c>
      <c r="CN94" s="21" t="s">
        <v>114</v>
      </c>
      <c r="CO94" s="21" t="s">
        <v>114</v>
      </c>
      <c r="CP94" s="21" t="s">
        <v>114</v>
      </c>
      <c r="CQ94" s="21" t="s">
        <v>114</v>
      </c>
      <c r="CR94" s="21" t="s">
        <v>114</v>
      </c>
      <c r="CS94" s="21" t="s">
        <v>114</v>
      </c>
      <c r="CT94" s="21" t="s">
        <v>114</v>
      </c>
      <c r="CU94" s="21" t="s">
        <v>114</v>
      </c>
      <c r="CV94" s="21" t="s">
        <v>114</v>
      </c>
      <c r="CW94" s="21" t="s">
        <v>114</v>
      </c>
      <c r="CX94" s="21" t="s">
        <v>114</v>
      </c>
      <c r="CY94" s="21" t="s">
        <v>114</v>
      </c>
      <c r="CZ94" s="21" t="s">
        <v>114</v>
      </c>
      <c r="DA94" s="21" t="s">
        <v>114</v>
      </c>
      <c r="DB94" s="21" t="s">
        <v>114</v>
      </c>
      <c r="DC94" s="21" t="s">
        <v>114</v>
      </c>
      <c r="DD94" s="21" t="s">
        <v>114</v>
      </c>
      <c r="DE94" s="21" t="s">
        <v>114</v>
      </c>
      <c r="DF94" s="19" t="s">
        <v>114</v>
      </c>
      <c r="DG94" s="19" t="s">
        <v>114</v>
      </c>
      <c r="DH94" s="19" t="s">
        <v>114</v>
      </c>
      <c r="DI94" s="19" t="s">
        <v>114</v>
      </c>
      <c r="DJ94" s="19" t="s">
        <v>114</v>
      </c>
      <c r="DK94" s="19" t="s">
        <v>114</v>
      </c>
      <c r="DL94" s="19" t="s">
        <v>114</v>
      </c>
      <c r="DM94" s="19" t="s">
        <v>114</v>
      </c>
      <c r="DN94" s="19" t="s">
        <v>114</v>
      </c>
      <c r="DO94" s="19" t="s">
        <v>114</v>
      </c>
    </row>
    <row r="95" spans="1:119" x14ac:dyDescent="0.45">
      <c r="A95" s="2"/>
      <c r="B95" t="s">
        <v>2321</v>
      </c>
      <c r="C95" s="2">
        <v>54</v>
      </c>
      <c r="D95" s="6"/>
      <c r="E95" s="2"/>
      <c r="F95" s="2" t="s">
        <v>588</v>
      </c>
      <c r="H95" s="2"/>
      <c r="J95" s="2">
        <v>9</v>
      </c>
      <c r="K95" t="s">
        <v>153</v>
      </c>
      <c r="L95" s="2">
        <v>54</v>
      </c>
      <c r="M95" t="s">
        <v>588</v>
      </c>
      <c r="P95" s="2" t="s">
        <v>153</v>
      </c>
      <c r="Q95" s="2" t="s">
        <v>155</v>
      </c>
      <c r="R95" s="2"/>
      <c r="S95" s="2"/>
      <c r="T95" s="2"/>
      <c r="U95" s="2"/>
      <c r="V95" t="e">
        <v>#N/A</v>
      </c>
      <c r="W95" t="e">
        <v>#N/A</v>
      </c>
      <c r="X95" t="e">
        <v>#N/A</v>
      </c>
      <c r="AA95" t="s">
        <v>2511</v>
      </c>
      <c r="AB95" t="s">
        <v>282</v>
      </c>
      <c r="AC95" s="2" t="s">
        <v>1888</v>
      </c>
      <c r="AD95" s="2" t="s">
        <v>1888</v>
      </c>
      <c r="AE95" t="s">
        <v>158</v>
      </c>
      <c r="AF95" t="s">
        <v>1886</v>
      </c>
      <c r="AG95" t="s">
        <v>158</v>
      </c>
      <c r="AK95" t="s">
        <v>218</v>
      </c>
      <c r="AL95" s="5"/>
      <c r="AO95" s="3" t="s">
        <v>119</v>
      </c>
      <c r="AP95" s="3" t="s">
        <v>120</v>
      </c>
      <c r="AQ95" s="3" t="s">
        <v>111</v>
      </c>
      <c r="AR95" s="3" t="s">
        <v>112</v>
      </c>
      <c r="AS95" s="3" t="s">
        <v>112</v>
      </c>
      <c r="AU95" s="3" t="s">
        <v>2303</v>
      </c>
      <c r="AV95" s="3" t="s">
        <v>2302</v>
      </c>
      <c r="AW95" s="3" t="s">
        <v>2301</v>
      </c>
      <c r="AX95" t="s">
        <v>282</v>
      </c>
      <c r="AY95" s="19" t="s">
        <v>114</v>
      </c>
      <c r="AZ95" s="19" t="s">
        <v>114</v>
      </c>
      <c r="BA95" s="19" t="s">
        <v>114</v>
      </c>
      <c r="BB95" s="19" t="s">
        <v>114</v>
      </c>
      <c r="BC95" s="19" t="s">
        <v>114</v>
      </c>
      <c r="BD95" s="19" t="s">
        <v>114</v>
      </c>
      <c r="BE95" s="19" t="s">
        <v>114</v>
      </c>
      <c r="BF95" s="19" t="s">
        <v>114</v>
      </c>
      <c r="BG95" s="19" t="s">
        <v>114</v>
      </c>
      <c r="BH95" s="19" t="s">
        <v>114</v>
      </c>
      <c r="BI95" s="19" t="s">
        <v>114</v>
      </c>
      <c r="BJ95" s="19" t="s">
        <v>114</v>
      </c>
      <c r="BK95" s="19" t="s">
        <v>114</v>
      </c>
      <c r="BL95" s="19" t="s">
        <v>114</v>
      </c>
      <c r="BM95" s="19" t="s">
        <v>114</v>
      </c>
      <c r="BN95" s="19" t="s">
        <v>114</v>
      </c>
      <c r="BO95" s="19" t="s">
        <v>114</v>
      </c>
      <c r="BP95" s="19" t="s">
        <v>114</v>
      </c>
      <c r="BQ95" s="19" t="s">
        <v>114</v>
      </c>
      <c r="BR95" s="19" t="s">
        <v>114</v>
      </c>
      <c r="BS95" s="19" t="s">
        <v>114</v>
      </c>
      <c r="BT95" s="19" t="s">
        <v>114</v>
      </c>
      <c r="BU95" s="19" t="s">
        <v>114</v>
      </c>
      <c r="BV95" s="19" t="s">
        <v>114</v>
      </c>
      <c r="BW95" s="19" t="s">
        <v>114</v>
      </c>
      <c r="BX95" s="19" t="s">
        <v>114</v>
      </c>
      <c r="BY95" s="19" t="s">
        <v>114</v>
      </c>
      <c r="BZ95" s="21" t="s">
        <v>114</v>
      </c>
      <c r="CA95" s="21" t="s">
        <v>114</v>
      </c>
      <c r="CB95" s="21" t="s">
        <v>114</v>
      </c>
      <c r="CC95" s="21" t="s">
        <v>114</v>
      </c>
      <c r="CD95" s="21" t="s">
        <v>114</v>
      </c>
      <c r="CE95" s="21" t="s">
        <v>114</v>
      </c>
      <c r="CF95" s="19" t="s">
        <v>114</v>
      </c>
      <c r="CG95" s="19" t="s">
        <v>114</v>
      </c>
      <c r="CH95" s="19" t="s">
        <v>114</v>
      </c>
      <c r="CI95" s="21" t="s">
        <v>114</v>
      </c>
      <c r="CJ95" s="21" t="s">
        <v>114</v>
      </c>
      <c r="CK95" s="21" t="s">
        <v>114</v>
      </c>
      <c r="CL95" s="21" t="s">
        <v>114</v>
      </c>
      <c r="CM95" s="21" t="s">
        <v>114</v>
      </c>
      <c r="CN95" s="21" t="s">
        <v>114</v>
      </c>
      <c r="CO95" s="21" t="s">
        <v>114</v>
      </c>
      <c r="CP95" s="21" t="s">
        <v>114</v>
      </c>
      <c r="CQ95" s="21" t="s">
        <v>114</v>
      </c>
      <c r="CR95" s="21" t="s">
        <v>114</v>
      </c>
      <c r="CS95" s="21" t="s">
        <v>114</v>
      </c>
      <c r="CT95" s="21" t="s">
        <v>114</v>
      </c>
      <c r="CU95" s="21" t="s">
        <v>114</v>
      </c>
      <c r="CV95" s="21" t="s">
        <v>114</v>
      </c>
      <c r="CW95" s="21" t="s">
        <v>114</v>
      </c>
      <c r="CX95" s="21" t="s">
        <v>114</v>
      </c>
      <c r="CY95" s="21" t="s">
        <v>114</v>
      </c>
      <c r="CZ95" s="21" t="s">
        <v>114</v>
      </c>
      <c r="DA95" s="21" t="s">
        <v>114</v>
      </c>
      <c r="DB95" s="21" t="s">
        <v>114</v>
      </c>
      <c r="DC95" s="21" t="s">
        <v>114</v>
      </c>
      <c r="DD95" s="21" t="s">
        <v>114</v>
      </c>
      <c r="DE95" s="21" t="s">
        <v>114</v>
      </c>
      <c r="DF95" s="19" t="s">
        <v>114</v>
      </c>
      <c r="DG95" s="19" t="s">
        <v>114</v>
      </c>
      <c r="DH95" s="19" t="s">
        <v>114</v>
      </c>
      <c r="DI95" s="19" t="s">
        <v>114</v>
      </c>
      <c r="DJ95" s="19" t="s">
        <v>114</v>
      </c>
      <c r="DK95" s="19" t="s">
        <v>114</v>
      </c>
      <c r="DL95" s="19" t="s">
        <v>114</v>
      </c>
      <c r="DM95" s="19" t="s">
        <v>114</v>
      </c>
      <c r="DN95" s="19" t="s">
        <v>114</v>
      </c>
      <c r="DO95" s="19" t="s">
        <v>114</v>
      </c>
    </row>
    <row r="96" spans="1:119" x14ac:dyDescent="0.45">
      <c r="A96" s="2"/>
      <c r="B96" t="s">
        <v>2322</v>
      </c>
      <c r="C96" s="2">
        <v>57</v>
      </c>
      <c r="D96" s="6"/>
      <c r="E96" s="2"/>
      <c r="F96" s="2" t="s">
        <v>665</v>
      </c>
      <c r="H96" s="2"/>
      <c r="J96" s="2">
        <v>9</v>
      </c>
      <c r="K96" t="s">
        <v>153</v>
      </c>
      <c r="L96" s="2">
        <v>57</v>
      </c>
      <c r="M96" t="s">
        <v>665</v>
      </c>
      <c r="P96" s="2" t="s">
        <v>153</v>
      </c>
      <c r="Q96" s="2" t="s">
        <v>155</v>
      </c>
      <c r="R96" s="2"/>
      <c r="S96" s="2"/>
      <c r="T96" s="2"/>
      <c r="U96" s="2"/>
      <c r="V96" t="e">
        <v>#N/A</v>
      </c>
      <c r="W96" t="e">
        <v>#N/A</v>
      </c>
      <c r="X96" t="e">
        <v>#N/A</v>
      </c>
      <c r="AA96" t="s">
        <v>2511</v>
      </c>
      <c r="AB96" t="s">
        <v>282</v>
      </c>
      <c r="AC96" s="2" t="s">
        <v>1888</v>
      </c>
      <c r="AD96" s="2" t="s">
        <v>1888</v>
      </c>
      <c r="AE96" t="s">
        <v>158</v>
      </c>
      <c r="AF96" t="s">
        <v>1886</v>
      </c>
      <c r="AG96" t="s">
        <v>158</v>
      </c>
      <c r="AK96" t="s">
        <v>218</v>
      </c>
      <c r="AL96" s="5"/>
      <c r="AO96" s="3" t="s">
        <v>119</v>
      </c>
      <c r="AP96" s="3" t="s">
        <v>120</v>
      </c>
      <c r="AQ96" s="3" t="s">
        <v>111</v>
      </c>
      <c r="AR96" s="3" t="s">
        <v>112</v>
      </c>
      <c r="AS96" s="3" t="s">
        <v>112</v>
      </c>
      <c r="AU96" s="3" t="s">
        <v>2303</v>
      </c>
      <c r="AV96" s="3" t="s">
        <v>2302</v>
      </c>
      <c r="AW96" s="3" t="s">
        <v>2301</v>
      </c>
      <c r="AX96" t="s">
        <v>282</v>
      </c>
      <c r="AY96" s="19" t="s">
        <v>114</v>
      </c>
      <c r="AZ96" s="19" t="s">
        <v>114</v>
      </c>
      <c r="BA96" s="19" t="s">
        <v>114</v>
      </c>
      <c r="BB96" s="19" t="s">
        <v>114</v>
      </c>
      <c r="BC96" s="19" t="s">
        <v>114</v>
      </c>
      <c r="BD96" s="19" t="s">
        <v>114</v>
      </c>
      <c r="BE96" s="19" t="s">
        <v>114</v>
      </c>
      <c r="BF96" s="19" t="s">
        <v>114</v>
      </c>
      <c r="BG96" s="19" t="s">
        <v>114</v>
      </c>
      <c r="BH96" s="19" t="s">
        <v>114</v>
      </c>
      <c r="BI96" s="19" t="s">
        <v>114</v>
      </c>
      <c r="BJ96" s="19" t="s">
        <v>114</v>
      </c>
      <c r="BK96" s="19" t="s">
        <v>114</v>
      </c>
      <c r="BL96" s="19" t="s">
        <v>114</v>
      </c>
      <c r="BM96" s="19" t="s">
        <v>114</v>
      </c>
      <c r="BN96" s="19" t="s">
        <v>114</v>
      </c>
      <c r="BO96" s="19" t="s">
        <v>114</v>
      </c>
      <c r="BP96" s="19" t="s">
        <v>114</v>
      </c>
      <c r="BQ96" s="19" t="s">
        <v>114</v>
      </c>
      <c r="BR96" s="19" t="s">
        <v>114</v>
      </c>
      <c r="BS96" s="19" t="s">
        <v>114</v>
      </c>
      <c r="BT96" s="19" t="s">
        <v>114</v>
      </c>
      <c r="BU96" s="19" t="s">
        <v>114</v>
      </c>
      <c r="BV96" s="19" t="s">
        <v>114</v>
      </c>
      <c r="BW96" s="19" t="s">
        <v>114</v>
      </c>
      <c r="BX96" s="19" t="s">
        <v>114</v>
      </c>
      <c r="BY96" s="19" t="s">
        <v>114</v>
      </c>
      <c r="BZ96" s="21" t="s">
        <v>114</v>
      </c>
      <c r="CA96" s="21" t="s">
        <v>114</v>
      </c>
      <c r="CB96" s="21" t="s">
        <v>114</v>
      </c>
      <c r="CC96" s="21" t="s">
        <v>114</v>
      </c>
      <c r="CD96" s="21" t="s">
        <v>114</v>
      </c>
      <c r="CE96" s="21" t="s">
        <v>114</v>
      </c>
      <c r="CF96" s="19" t="s">
        <v>114</v>
      </c>
      <c r="CG96" s="19" t="s">
        <v>114</v>
      </c>
      <c r="CH96" s="19" t="s">
        <v>114</v>
      </c>
      <c r="CI96" s="21" t="s">
        <v>114</v>
      </c>
      <c r="CJ96" s="21" t="s">
        <v>114</v>
      </c>
      <c r="CK96" s="21" t="s">
        <v>114</v>
      </c>
      <c r="CL96" s="21" t="s">
        <v>114</v>
      </c>
      <c r="CM96" s="21" t="s">
        <v>114</v>
      </c>
      <c r="CN96" s="21" t="s">
        <v>114</v>
      </c>
      <c r="CO96" s="21" t="s">
        <v>114</v>
      </c>
      <c r="CP96" s="21" t="s">
        <v>114</v>
      </c>
      <c r="CQ96" s="21" t="s">
        <v>114</v>
      </c>
      <c r="CR96" s="21" t="s">
        <v>114</v>
      </c>
      <c r="CS96" s="21" t="s">
        <v>114</v>
      </c>
      <c r="CT96" s="21" t="s">
        <v>114</v>
      </c>
      <c r="CU96" s="21" t="s">
        <v>114</v>
      </c>
      <c r="CV96" s="21" t="s">
        <v>114</v>
      </c>
      <c r="CW96" s="21" t="s">
        <v>114</v>
      </c>
      <c r="CX96" s="21" t="s">
        <v>114</v>
      </c>
      <c r="CY96" s="21" t="s">
        <v>114</v>
      </c>
      <c r="CZ96" s="21" t="s">
        <v>114</v>
      </c>
      <c r="DA96" s="21" t="s">
        <v>114</v>
      </c>
      <c r="DB96" s="21" t="s">
        <v>114</v>
      </c>
      <c r="DC96" s="21" t="s">
        <v>114</v>
      </c>
      <c r="DD96" s="21" t="s">
        <v>114</v>
      </c>
      <c r="DE96" s="21" t="s">
        <v>114</v>
      </c>
      <c r="DF96" s="19" t="s">
        <v>114</v>
      </c>
      <c r="DG96" s="19" t="s">
        <v>114</v>
      </c>
      <c r="DH96" s="19" t="s">
        <v>114</v>
      </c>
      <c r="DI96" s="19" t="s">
        <v>114</v>
      </c>
      <c r="DJ96" s="19" t="s">
        <v>114</v>
      </c>
      <c r="DK96" s="19" t="s">
        <v>114</v>
      </c>
      <c r="DL96" s="19" t="s">
        <v>114</v>
      </c>
      <c r="DM96" s="19" t="s">
        <v>114</v>
      </c>
      <c r="DN96" s="19" t="s">
        <v>114</v>
      </c>
      <c r="DO96" s="19" t="s">
        <v>114</v>
      </c>
    </row>
    <row r="97" spans="1:119" x14ac:dyDescent="0.45">
      <c r="A97" s="2"/>
      <c r="B97" t="s">
        <v>2323</v>
      </c>
      <c r="C97" s="2">
        <v>17</v>
      </c>
      <c r="D97" s="6"/>
      <c r="E97" s="2"/>
      <c r="F97" s="2" t="s">
        <v>167</v>
      </c>
      <c r="H97" s="2"/>
      <c r="J97" s="2">
        <v>2</v>
      </c>
      <c r="K97" t="s">
        <v>116</v>
      </c>
      <c r="L97" s="2">
        <v>202</v>
      </c>
      <c r="M97" t="s">
        <v>166</v>
      </c>
      <c r="N97">
        <v>17</v>
      </c>
      <c r="O97" s="2" t="s">
        <v>167</v>
      </c>
      <c r="P97" s="2" t="s">
        <v>116</v>
      </c>
      <c r="Q97" s="2" t="s">
        <v>166</v>
      </c>
      <c r="R97" s="2"/>
      <c r="S97" s="2"/>
      <c r="T97" s="2"/>
      <c r="U97" s="2"/>
      <c r="V97" t="e">
        <v>#N/A</v>
      </c>
      <c r="W97" t="e">
        <v>#N/A</v>
      </c>
      <c r="X97" t="e">
        <v>#N/A</v>
      </c>
      <c r="AA97" t="s">
        <v>2511</v>
      </c>
      <c r="AB97" t="s">
        <v>282</v>
      </c>
      <c r="AC97" s="2" t="s">
        <v>1888</v>
      </c>
      <c r="AD97" s="2" t="s">
        <v>1888</v>
      </c>
      <c r="AE97" t="s">
        <v>158</v>
      </c>
      <c r="AF97" t="s">
        <v>1886</v>
      </c>
      <c r="AG97" t="s">
        <v>158</v>
      </c>
      <c r="AK97" t="s">
        <v>218</v>
      </c>
      <c r="AL97" s="5"/>
      <c r="AO97" s="3" t="s">
        <v>119</v>
      </c>
      <c r="AP97" s="3" t="s">
        <v>120</v>
      </c>
      <c r="AQ97" s="3" t="s">
        <v>111</v>
      </c>
      <c r="AR97" s="3" t="s">
        <v>112</v>
      </c>
      <c r="AS97" s="3" t="s">
        <v>112</v>
      </c>
      <c r="AU97" s="3" t="s">
        <v>2303</v>
      </c>
      <c r="AV97" s="3" t="s">
        <v>2302</v>
      </c>
      <c r="AW97" s="3" t="s">
        <v>2301</v>
      </c>
      <c r="AX97" t="s">
        <v>282</v>
      </c>
      <c r="AY97" s="19" t="s">
        <v>114</v>
      </c>
      <c r="AZ97" s="19" t="s">
        <v>114</v>
      </c>
      <c r="BA97" s="19" t="s">
        <v>114</v>
      </c>
      <c r="BB97" s="19" t="s">
        <v>114</v>
      </c>
      <c r="BC97" s="19" t="s">
        <v>114</v>
      </c>
      <c r="BD97" s="19" t="s">
        <v>114</v>
      </c>
      <c r="BE97" s="19" t="s">
        <v>114</v>
      </c>
      <c r="BF97" s="19" t="s">
        <v>114</v>
      </c>
      <c r="BG97" s="19" t="s">
        <v>114</v>
      </c>
      <c r="BH97" s="19" t="s">
        <v>114</v>
      </c>
      <c r="BI97" s="19" t="s">
        <v>114</v>
      </c>
      <c r="BJ97" s="19" t="s">
        <v>114</v>
      </c>
      <c r="BK97" s="19" t="s">
        <v>114</v>
      </c>
      <c r="BL97" s="19" t="s">
        <v>114</v>
      </c>
      <c r="BM97" s="19" t="s">
        <v>114</v>
      </c>
      <c r="BN97" s="19" t="s">
        <v>114</v>
      </c>
      <c r="BO97" s="19" t="s">
        <v>114</v>
      </c>
      <c r="BP97" s="19" t="s">
        <v>114</v>
      </c>
      <c r="BQ97" s="19" t="s">
        <v>114</v>
      </c>
      <c r="BR97" s="19" t="s">
        <v>114</v>
      </c>
      <c r="BS97" s="19" t="s">
        <v>114</v>
      </c>
      <c r="BT97" s="19" t="s">
        <v>114</v>
      </c>
      <c r="BU97" s="19" t="s">
        <v>114</v>
      </c>
      <c r="BV97" s="19" t="s">
        <v>114</v>
      </c>
      <c r="BW97" s="19" t="s">
        <v>114</v>
      </c>
      <c r="BX97" s="19" t="s">
        <v>114</v>
      </c>
      <c r="BY97" s="19" t="s">
        <v>114</v>
      </c>
      <c r="BZ97" s="21" t="s">
        <v>114</v>
      </c>
      <c r="CA97" s="21" t="s">
        <v>114</v>
      </c>
      <c r="CB97" s="21" t="s">
        <v>114</v>
      </c>
      <c r="CC97" s="21" t="s">
        <v>114</v>
      </c>
      <c r="CD97" s="21" t="s">
        <v>114</v>
      </c>
      <c r="CE97" s="21" t="s">
        <v>114</v>
      </c>
      <c r="CF97" s="19" t="s">
        <v>114</v>
      </c>
      <c r="CG97" s="19" t="s">
        <v>114</v>
      </c>
      <c r="CH97" s="19" t="s">
        <v>114</v>
      </c>
      <c r="CI97" s="21" t="s">
        <v>114</v>
      </c>
      <c r="CJ97" s="21" t="s">
        <v>114</v>
      </c>
      <c r="CK97" s="21" t="s">
        <v>114</v>
      </c>
      <c r="CL97" s="21" t="s">
        <v>114</v>
      </c>
      <c r="CM97" s="21" t="s">
        <v>114</v>
      </c>
      <c r="CN97" s="21" t="s">
        <v>114</v>
      </c>
      <c r="CO97" s="21" t="s">
        <v>114</v>
      </c>
      <c r="CP97" s="21" t="s">
        <v>114</v>
      </c>
      <c r="CQ97" s="21" t="s">
        <v>114</v>
      </c>
      <c r="CR97" s="21" t="s">
        <v>114</v>
      </c>
      <c r="CS97" s="21" t="s">
        <v>114</v>
      </c>
      <c r="CT97" s="21" t="s">
        <v>114</v>
      </c>
      <c r="CU97" s="21" t="s">
        <v>114</v>
      </c>
      <c r="CV97" s="21" t="s">
        <v>114</v>
      </c>
      <c r="CW97" s="21" t="s">
        <v>114</v>
      </c>
      <c r="CX97" s="21" t="s">
        <v>114</v>
      </c>
      <c r="CY97" s="21" t="s">
        <v>114</v>
      </c>
      <c r="CZ97" s="21" t="s">
        <v>114</v>
      </c>
      <c r="DA97" s="21" t="s">
        <v>114</v>
      </c>
      <c r="DB97" s="21" t="s">
        <v>114</v>
      </c>
      <c r="DC97" s="21" t="s">
        <v>114</v>
      </c>
      <c r="DD97" s="21" t="s">
        <v>114</v>
      </c>
      <c r="DE97" s="21" t="s">
        <v>114</v>
      </c>
      <c r="DF97" s="19" t="s">
        <v>114</v>
      </c>
      <c r="DG97" s="19" t="s">
        <v>114</v>
      </c>
      <c r="DH97" s="19" t="s">
        <v>114</v>
      </c>
      <c r="DI97" s="19" t="s">
        <v>114</v>
      </c>
      <c r="DJ97" s="19" t="s">
        <v>114</v>
      </c>
      <c r="DK97" s="19" t="s">
        <v>114</v>
      </c>
      <c r="DL97" s="19" t="s">
        <v>114</v>
      </c>
      <c r="DM97" s="19" t="s">
        <v>114</v>
      </c>
      <c r="DN97" s="19" t="s">
        <v>114</v>
      </c>
      <c r="DO97" s="19" t="s">
        <v>114</v>
      </c>
    </row>
    <row r="98" spans="1:119" x14ac:dyDescent="0.45">
      <c r="A98" s="4"/>
      <c r="B98" s="3" t="s">
        <v>912</v>
      </c>
      <c r="C98" s="2">
        <v>99907</v>
      </c>
      <c r="D98" s="7">
        <v>600</v>
      </c>
      <c r="E98" s="4" t="s">
        <v>240</v>
      </c>
      <c r="F98" s="3" t="s">
        <v>240</v>
      </c>
      <c r="H98" s="4"/>
      <c r="I98" s="2" t="s">
        <v>913</v>
      </c>
      <c r="J98" s="2">
        <v>142</v>
      </c>
      <c r="K98" t="s">
        <v>100</v>
      </c>
      <c r="L98" s="4"/>
      <c r="M98" s="3" t="s">
        <v>240</v>
      </c>
      <c r="N98" s="3"/>
      <c r="O98" s="3"/>
      <c r="P98" s="4" t="s">
        <v>240</v>
      </c>
      <c r="Q98" s="4" t="s">
        <v>146</v>
      </c>
      <c r="R98" s="2">
        <v>747</v>
      </c>
      <c r="S98" s="2" t="s">
        <v>1446</v>
      </c>
      <c r="T98" s="2"/>
      <c r="U98" s="2"/>
      <c r="V98" t="e">
        <v>#N/A</v>
      </c>
      <c r="W98" t="e">
        <v>#N/A</v>
      </c>
      <c r="X98" t="e">
        <v>#N/A</v>
      </c>
      <c r="AA98" t="s">
        <v>2511</v>
      </c>
      <c r="AB98" t="s">
        <v>282</v>
      </c>
      <c r="AC98" s="4" t="s">
        <v>1888</v>
      </c>
      <c r="AD98" s="4" t="s">
        <v>1888</v>
      </c>
      <c r="AE98" t="s">
        <v>158</v>
      </c>
      <c r="AF98" t="s">
        <v>1886</v>
      </c>
      <c r="AG98" t="s">
        <v>158</v>
      </c>
      <c r="AH98" t="s">
        <v>105</v>
      </c>
      <c r="AI98" s="3" t="s">
        <v>105</v>
      </c>
      <c r="AJ98" s="3" t="s">
        <v>106</v>
      </c>
      <c r="AK98" s="3" t="s">
        <v>118</v>
      </c>
      <c r="AL98" s="5"/>
      <c r="AM98" s="5" t="s">
        <v>109</v>
      </c>
      <c r="AO98" s="3" t="s">
        <v>119</v>
      </c>
      <c r="AP98" s="3" t="s">
        <v>120</v>
      </c>
      <c r="AQ98" s="3" t="s">
        <v>111</v>
      </c>
      <c r="AR98" s="3" t="s">
        <v>112</v>
      </c>
      <c r="AS98" s="3" t="s">
        <v>112</v>
      </c>
      <c r="AT98" s="3" t="s">
        <v>113</v>
      </c>
      <c r="AU98" s="3" t="s">
        <v>2303</v>
      </c>
      <c r="AV98" s="3" t="s">
        <v>2302</v>
      </c>
      <c r="AW98" s="3" t="s">
        <v>2301</v>
      </c>
      <c r="AX98" t="s">
        <v>282</v>
      </c>
      <c r="AY98" s="19" t="s">
        <v>114</v>
      </c>
      <c r="AZ98" s="19" t="s">
        <v>114</v>
      </c>
      <c r="BA98" s="19" t="s">
        <v>114</v>
      </c>
      <c r="BB98" s="19" t="s">
        <v>114</v>
      </c>
      <c r="BC98" s="19" t="s">
        <v>114</v>
      </c>
      <c r="BD98" s="19" t="s">
        <v>114</v>
      </c>
      <c r="BE98" s="19" t="s">
        <v>114</v>
      </c>
      <c r="BF98" s="19" t="s">
        <v>114</v>
      </c>
      <c r="BG98" s="19" t="s">
        <v>114</v>
      </c>
      <c r="BH98" s="19" t="s">
        <v>114</v>
      </c>
      <c r="BI98" s="19" t="s">
        <v>114</v>
      </c>
      <c r="BJ98" s="19" t="s">
        <v>114</v>
      </c>
      <c r="BK98" s="19" t="s">
        <v>114</v>
      </c>
      <c r="BL98" s="19" t="s">
        <v>114</v>
      </c>
      <c r="BM98" s="19" t="s">
        <v>114</v>
      </c>
      <c r="BN98" s="19" t="s">
        <v>114</v>
      </c>
      <c r="BO98" s="19" t="s">
        <v>114</v>
      </c>
      <c r="BP98" s="19" t="s">
        <v>114</v>
      </c>
      <c r="BQ98" s="19" t="s">
        <v>114</v>
      </c>
      <c r="BR98" s="19" t="s">
        <v>114</v>
      </c>
      <c r="BS98" s="19" t="s">
        <v>114</v>
      </c>
      <c r="BT98" s="19" t="s">
        <v>114</v>
      </c>
      <c r="BU98" s="19" t="s">
        <v>114</v>
      </c>
      <c r="BV98" s="19" t="s">
        <v>114</v>
      </c>
      <c r="BW98" s="19" t="s">
        <v>114</v>
      </c>
      <c r="BX98" s="19" t="s">
        <v>114</v>
      </c>
      <c r="BY98" s="19" t="s">
        <v>114</v>
      </c>
      <c r="BZ98" s="21" t="s">
        <v>114</v>
      </c>
      <c r="CA98" s="21" t="s">
        <v>114</v>
      </c>
      <c r="CB98" s="21" t="s">
        <v>114</v>
      </c>
      <c r="CC98" s="21" t="s">
        <v>114</v>
      </c>
      <c r="CD98" s="21" t="s">
        <v>114</v>
      </c>
      <c r="CE98" s="21" t="s">
        <v>114</v>
      </c>
      <c r="CF98" s="19" t="s">
        <v>114</v>
      </c>
      <c r="CG98" s="19" t="s">
        <v>114</v>
      </c>
      <c r="CH98" s="19" t="s">
        <v>114</v>
      </c>
      <c r="CI98" s="21" t="s">
        <v>114</v>
      </c>
      <c r="CJ98" s="21" t="s">
        <v>114</v>
      </c>
      <c r="CK98" s="21" t="s">
        <v>114</v>
      </c>
      <c r="CL98" s="21" t="s">
        <v>114</v>
      </c>
      <c r="CM98" s="21" t="s">
        <v>114</v>
      </c>
      <c r="CN98" s="21" t="s">
        <v>114</v>
      </c>
      <c r="CO98" s="21" t="s">
        <v>114</v>
      </c>
      <c r="CP98" s="21" t="s">
        <v>114</v>
      </c>
      <c r="CQ98" s="21" t="s">
        <v>114</v>
      </c>
      <c r="CR98" s="21" t="s">
        <v>114</v>
      </c>
      <c r="CS98" s="21" t="s">
        <v>114</v>
      </c>
      <c r="CT98" s="21" t="s">
        <v>114</v>
      </c>
      <c r="CU98" s="21" t="s">
        <v>114</v>
      </c>
      <c r="CV98" s="21" t="s">
        <v>114</v>
      </c>
      <c r="CW98" s="21" t="s">
        <v>114</v>
      </c>
      <c r="CX98" s="21" t="s">
        <v>114</v>
      </c>
      <c r="CY98" s="21" t="s">
        <v>114</v>
      </c>
      <c r="CZ98" s="21" t="s">
        <v>114</v>
      </c>
      <c r="DA98" s="21" t="s">
        <v>114</v>
      </c>
      <c r="DB98" s="21" t="s">
        <v>114</v>
      </c>
      <c r="DC98" s="21" t="s">
        <v>114</v>
      </c>
      <c r="DD98" s="21" t="s">
        <v>114</v>
      </c>
      <c r="DE98" s="21" t="s">
        <v>114</v>
      </c>
      <c r="DF98" s="19" t="s">
        <v>114</v>
      </c>
      <c r="DG98" s="19" t="s">
        <v>114</v>
      </c>
      <c r="DH98" s="19" t="s">
        <v>114</v>
      </c>
      <c r="DI98" s="19" t="s">
        <v>114</v>
      </c>
      <c r="DJ98" s="19" t="s">
        <v>114</v>
      </c>
      <c r="DK98" s="19" t="s">
        <v>114</v>
      </c>
      <c r="DL98" s="19" t="s">
        <v>114</v>
      </c>
      <c r="DM98" s="19" t="s">
        <v>114</v>
      </c>
      <c r="DN98" s="19" t="s">
        <v>114</v>
      </c>
      <c r="DO98" s="19" t="s">
        <v>114</v>
      </c>
    </row>
    <row r="99" spans="1:119" x14ac:dyDescent="0.45">
      <c r="A99" s="2"/>
      <c r="B99" s="5" t="s">
        <v>940</v>
      </c>
      <c r="C99" s="2">
        <v>99909</v>
      </c>
      <c r="D99" s="6">
        <v>999</v>
      </c>
      <c r="E99" s="2" t="s">
        <v>185</v>
      </c>
      <c r="F99" s="5" t="s">
        <v>185</v>
      </c>
      <c r="H99" s="8" t="s">
        <v>941</v>
      </c>
      <c r="I99" s="2" t="s">
        <v>185</v>
      </c>
      <c r="J99" s="2">
        <v>99909</v>
      </c>
      <c r="K99" t="s">
        <v>185</v>
      </c>
      <c r="L99" s="2">
        <v>99909</v>
      </c>
      <c r="M99" t="s">
        <v>185</v>
      </c>
      <c r="N99" s="2">
        <v>99909</v>
      </c>
      <c r="O99" t="s">
        <v>185</v>
      </c>
      <c r="P99" s="2" t="s">
        <v>185</v>
      </c>
      <c r="Q99" s="2"/>
      <c r="R99" s="4">
        <v>99909</v>
      </c>
      <c r="S99" s="2" t="s">
        <v>185</v>
      </c>
      <c r="T99" s="4">
        <v>99909</v>
      </c>
      <c r="U99" s="2" t="s">
        <v>185</v>
      </c>
      <c r="V99" t="e">
        <v>#N/A</v>
      </c>
      <c r="W99" t="e">
        <v>#N/A</v>
      </c>
      <c r="X99" t="e">
        <v>#N/A</v>
      </c>
      <c r="AA99" t="s">
        <v>2511</v>
      </c>
      <c r="AB99" t="s">
        <v>282</v>
      </c>
      <c r="AC99" s="2" t="s">
        <v>1888</v>
      </c>
      <c r="AD99" s="2" t="s">
        <v>1888</v>
      </c>
      <c r="AE99" t="s">
        <v>158</v>
      </c>
      <c r="AF99" t="s">
        <v>1886</v>
      </c>
      <c r="AG99" s="3" t="s">
        <v>1887</v>
      </c>
      <c r="AK99" t="s">
        <v>942</v>
      </c>
      <c r="AL99" s="5"/>
      <c r="AM99" s="5" t="s">
        <v>109</v>
      </c>
      <c r="AO99" s="3" t="s">
        <v>119</v>
      </c>
      <c r="AP99" s="3" t="s">
        <v>120</v>
      </c>
      <c r="AQ99" s="3" t="s">
        <v>111</v>
      </c>
      <c r="AR99" s="3" t="s">
        <v>112</v>
      </c>
      <c r="AS99" s="3" t="s">
        <v>112</v>
      </c>
      <c r="AT99" s="3" t="s">
        <v>113</v>
      </c>
      <c r="AU99" s="3" t="s">
        <v>2303</v>
      </c>
      <c r="AV99" s="3" t="s">
        <v>2302</v>
      </c>
      <c r="AW99" s="3" t="s">
        <v>2301</v>
      </c>
      <c r="AX99" s="3" t="s">
        <v>2006</v>
      </c>
      <c r="AY99" s="19" t="s">
        <v>114</v>
      </c>
      <c r="AZ99" s="19" t="s">
        <v>114</v>
      </c>
      <c r="BA99" s="19" t="s">
        <v>114</v>
      </c>
      <c r="BB99" s="19" t="s">
        <v>114</v>
      </c>
      <c r="BC99" s="19" t="s">
        <v>114</v>
      </c>
      <c r="BD99" s="19" t="s">
        <v>114</v>
      </c>
      <c r="BE99" s="19" t="s">
        <v>114</v>
      </c>
      <c r="BF99" s="19" t="s">
        <v>114</v>
      </c>
      <c r="BG99" s="19" t="s">
        <v>114</v>
      </c>
      <c r="BH99" s="19" t="s">
        <v>114</v>
      </c>
      <c r="BI99" s="19" t="s">
        <v>114</v>
      </c>
      <c r="BJ99" s="19" t="s">
        <v>114</v>
      </c>
      <c r="BK99" s="19" t="s">
        <v>114</v>
      </c>
      <c r="BL99" s="19" t="s">
        <v>114</v>
      </c>
      <c r="BM99" s="19" t="s">
        <v>114</v>
      </c>
      <c r="BN99" s="19" t="s">
        <v>114</v>
      </c>
      <c r="BO99" s="19" t="s">
        <v>114</v>
      </c>
      <c r="BP99" s="19" t="s">
        <v>114</v>
      </c>
      <c r="BQ99" s="19" t="s">
        <v>114</v>
      </c>
      <c r="BR99" s="19" t="s">
        <v>114</v>
      </c>
      <c r="BS99" s="19" t="s">
        <v>114</v>
      </c>
      <c r="BT99" s="19" t="s">
        <v>114</v>
      </c>
      <c r="BU99" s="19" t="s">
        <v>114</v>
      </c>
      <c r="BV99" s="19" t="s">
        <v>114</v>
      </c>
      <c r="BW99" s="19" t="s">
        <v>114</v>
      </c>
      <c r="BX99" s="19" t="s">
        <v>114</v>
      </c>
      <c r="BY99" s="19" t="s">
        <v>114</v>
      </c>
      <c r="BZ99" s="21" t="s">
        <v>114</v>
      </c>
      <c r="CA99" s="21" t="s">
        <v>114</v>
      </c>
      <c r="CB99" s="21" t="s">
        <v>114</v>
      </c>
      <c r="CC99" s="21" t="s">
        <v>114</v>
      </c>
      <c r="CD99" s="21" t="s">
        <v>114</v>
      </c>
      <c r="CE99" s="21" t="s">
        <v>114</v>
      </c>
      <c r="CF99" s="19" t="s">
        <v>114</v>
      </c>
      <c r="CG99" s="19" t="s">
        <v>114</v>
      </c>
      <c r="CH99" s="19" t="s">
        <v>114</v>
      </c>
      <c r="CI99" s="21" t="s">
        <v>114</v>
      </c>
      <c r="CJ99" s="21" t="s">
        <v>114</v>
      </c>
      <c r="CK99" s="21" t="s">
        <v>114</v>
      </c>
      <c r="CL99" s="21" t="s">
        <v>114</v>
      </c>
      <c r="CM99" s="21" t="s">
        <v>114</v>
      </c>
      <c r="CN99" s="21" t="s">
        <v>114</v>
      </c>
      <c r="CO99" s="21" t="s">
        <v>114</v>
      </c>
      <c r="CP99" s="21" t="s">
        <v>114</v>
      </c>
      <c r="CQ99" s="21" t="s">
        <v>114</v>
      </c>
      <c r="CR99" s="21" t="s">
        <v>114</v>
      </c>
      <c r="CS99" s="21" t="s">
        <v>114</v>
      </c>
      <c r="CT99" s="21" t="s">
        <v>114</v>
      </c>
      <c r="CU99" s="21" t="s">
        <v>114</v>
      </c>
      <c r="CV99" s="21" t="s">
        <v>114</v>
      </c>
      <c r="CW99" s="21" t="s">
        <v>114</v>
      </c>
      <c r="CX99" s="21" t="s">
        <v>114</v>
      </c>
      <c r="CY99" s="21" t="s">
        <v>114</v>
      </c>
      <c r="CZ99" s="21" t="s">
        <v>114</v>
      </c>
      <c r="DA99" s="21" t="s">
        <v>114</v>
      </c>
      <c r="DB99" s="21" t="s">
        <v>114</v>
      </c>
      <c r="DC99" s="21" t="s">
        <v>114</v>
      </c>
      <c r="DD99" s="21" t="s">
        <v>114</v>
      </c>
      <c r="DE99" s="21" t="s">
        <v>114</v>
      </c>
      <c r="DF99" s="19" t="s">
        <v>114</v>
      </c>
      <c r="DG99" s="19" t="s">
        <v>114</v>
      </c>
      <c r="DH99" s="19" t="s">
        <v>114</v>
      </c>
      <c r="DI99" s="19" t="s">
        <v>114</v>
      </c>
      <c r="DJ99" s="19" t="s">
        <v>114</v>
      </c>
      <c r="DK99" s="19" t="s">
        <v>114</v>
      </c>
      <c r="DL99" s="19" t="s">
        <v>114</v>
      </c>
      <c r="DM99" s="19" t="s">
        <v>114</v>
      </c>
      <c r="DN99" s="19" t="s">
        <v>114</v>
      </c>
      <c r="DO99" s="19" t="s">
        <v>114</v>
      </c>
    </row>
    <row r="100" spans="1:119" x14ac:dyDescent="0.45">
      <c r="A100" s="4"/>
      <c r="B100" t="s">
        <v>2297</v>
      </c>
      <c r="C100" s="2">
        <v>99910</v>
      </c>
      <c r="D100" s="7"/>
      <c r="E100" s="4"/>
      <c r="F100" s="3" t="s">
        <v>178</v>
      </c>
      <c r="H100" s="4"/>
      <c r="I100" s="2"/>
      <c r="J100" s="2">
        <v>19</v>
      </c>
      <c r="K100" s="3" t="s">
        <v>157</v>
      </c>
      <c r="L100" s="4"/>
      <c r="M100" s="3" t="s">
        <v>178</v>
      </c>
      <c r="P100" s="4"/>
      <c r="Q100" s="4"/>
      <c r="R100" s="2"/>
      <c r="S100" s="2"/>
      <c r="T100" s="2"/>
      <c r="U100" s="2"/>
      <c r="V100" t="e">
        <v>#N/A</v>
      </c>
      <c r="W100" t="e">
        <v>#N/A</v>
      </c>
      <c r="X100" t="e">
        <v>#N/A</v>
      </c>
      <c r="AA100" t="s">
        <v>2511</v>
      </c>
      <c r="AB100" t="s">
        <v>282</v>
      </c>
      <c r="AC100" s="2" t="s">
        <v>1888</v>
      </c>
      <c r="AD100" s="4" t="s">
        <v>1888</v>
      </c>
      <c r="AE100" t="s">
        <v>158</v>
      </c>
      <c r="AF100" t="s">
        <v>1886</v>
      </c>
      <c r="AG100" t="s">
        <v>158</v>
      </c>
      <c r="AH100" t="s">
        <v>105</v>
      </c>
      <c r="AI100" s="3" t="s">
        <v>178</v>
      </c>
      <c r="AJ100" t="s">
        <v>106</v>
      </c>
      <c r="AK100" s="3" t="s">
        <v>992</v>
      </c>
      <c r="AL100" s="5"/>
      <c r="AM100" s="5" t="s">
        <v>109</v>
      </c>
      <c r="AO100" s="3" t="s">
        <v>119</v>
      </c>
      <c r="AP100" s="3" t="s">
        <v>120</v>
      </c>
      <c r="AQ100" s="3" t="s">
        <v>111</v>
      </c>
      <c r="AR100" s="3" t="s">
        <v>112</v>
      </c>
      <c r="AS100" s="3" t="s">
        <v>112</v>
      </c>
      <c r="AT100" s="3" t="s">
        <v>113</v>
      </c>
      <c r="AU100" s="3" t="s">
        <v>2303</v>
      </c>
      <c r="AV100" s="3" t="s">
        <v>2302</v>
      </c>
      <c r="AW100" s="3" t="s">
        <v>2301</v>
      </c>
      <c r="AX100" t="s">
        <v>282</v>
      </c>
      <c r="AY100" s="19" t="s">
        <v>114</v>
      </c>
      <c r="AZ100" s="19" t="s">
        <v>114</v>
      </c>
      <c r="BA100" s="19" t="s">
        <v>114</v>
      </c>
      <c r="BB100" s="19" t="s">
        <v>114</v>
      </c>
      <c r="BC100" s="19" t="s">
        <v>114</v>
      </c>
      <c r="BD100" s="19" t="s">
        <v>114</v>
      </c>
      <c r="BE100" s="19" t="s">
        <v>114</v>
      </c>
      <c r="BF100" s="19" t="s">
        <v>114</v>
      </c>
      <c r="BG100" s="19" t="s">
        <v>114</v>
      </c>
      <c r="BH100" s="19" t="s">
        <v>114</v>
      </c>
      <c r="BI100" s="19" t="s">
        <v>114</v>
      </c>
      <c r="BJ100" s="19" t="s">
        <v>114</v>
      </c>
      <c r="BK100" s="19" t="s">
        <v>114</v>
      </c>
      <c r="BL100" s="19" t="s">
        <v>114</v>
      </c>
      <c r="BM100" s="19" t="s">
        <v>114</v>
      </c>
      <c r="BN100" s="19" t="s">
        <v>114</v>
      </c>
      <c r="BO100" s="19" t="s">
        <v>114</v>
      </c>
      <c r="BP100" s="19" t="s">
        <v>114</v>
      </c>
      <c r="BQ100" s="19" t="s">
        <v>114</v>
      </c>
      <c r="BR100" s="19" t="s">
        <v>114</v>
      </c>
      <c r="BS100" s="19" t="s">
        <v>114</v>
      </c>
      <c r="BT100" s="19" t="s">
        <v>114</v>
      </c>
      <c r="BU100" s="19" t="s">
        <v>114</v>
      </c>
      <c r="BV100" s="19" t="s">
        <v>114</v>
      </c>
      <c r="BW100" s="19" t="s">
        <v>114</v>
      </c>
      <c r="BX100" s="19" t="s">
        <v>114</v>
      </c>
      <c r="BY100" s="19" t="s">
        <v>114</v>
      </c>
      <c r="BZ100" s="21" t="s">
        <v>114</v>
      </c>
      <c r="CA100" s="21" t="s">
        <v>114</v>
      </c>
      <c r="CB100" s="21" t="s">
        <v>114</v>
      </c>
      <c r="CC100" s="21" t="s">
        <v>114</v>
      </c>
      <c r="CD100" s="21" t="s">
        <v>114</v>
      </c>
      <c r="CE100" s="21" t="s">
        <v>114</v>
      </c>
      <c r="CF100" s="19" t="s">
        <v>114</v>
      </c>
      <c r="CG100" s="19" t="s">
        <v>114</v>
      </c>
      <c r="CH100" s="19" t="s">
        <v>114</v>
      </c>
      <c r="CI100" s="21" t="s">
        <v>114</v>
      </c>
      <c r="CJ100" s="21" t="s">
        <v>114</v>
      </c>
      <c r="CK100" s="21" t="s">
        <v>114</v>
      </c>
      <c r="CL100" s="21" t="s">
        <v>114</v>
      </c>
      <c r="CM100" s="21" t="s">
        <v>114</v>
      </c>
      <c r="CN100" s="21" t="s">
        <v>114</v>
      </c>
      <c r="CO100" s="21" t="s">
        <v>114</v>
      </c>
      <c r="CP100" s="21" t="s">
        <v>114</v>
      </c>
      <c r="CQ100" s="21" t="s">
        <v>114</v>
      </c>
      <c r="CR100" s="21" t="s">
        <v>114</v>
      </c>
      <c r="CS100" s="21" t="s">
        <v>114</v>
      </c>
      <c r="CT100" s="21" t="s">
        <v>114</v>
      </c>
      <c r="CU100" s="21" t="s">
        <v>114</v>
      </c>
      <c r="CV100" s="21" t="s">
        <v>114</v>
      </c>
      <c r="CW100" s="21" t="s">
        <v>114</v>
      </c>
      <c r="CX100" s="21" t="s">
        <v>114</v>
      </c>
      <c r="CY100" s="21" t="s">
        <v>114</v>
      </c>
      <c r="CZ100" s="21" t="s">
        <v>114</v>
      </c>
      <c r="DA100" s="21" t="s">
        <v>114</v>
      </c>
      <c r="DB100" s="21" t="s">
        <v>114</v>
      </c>
      <c r="DC100" s="21" t="s">
        <v>114</v>
      </c>
      <c r="DD100" s="21" t="s">
        <v>114</v>
      </c>
      <c r="DE100" s="21" t="s">
        <v>114</v>
      </c>
      <c r="DF100" s="19" t="s">
        <v>114</v>
      </c>
      <c r="DG100" s="19" t="s">
        <v>114</v>
      </c>
      <c r="DH100" s="19" t="s">
        <v>114</v>
      </c>
      <c r="DI100" s="19" t="s">
        <v>114</v>
      </c>
      <c r="DJ100" s="19" t="s">
        <v>114</v>
      </c>
      <c r="DK100" s="19" t="s">
        <v>114</v>
      </c>
      <c r="DL100" s="19" t="s">
        <v>114</v>
      </c>
      <c r="DM100" s="19" t="s">
        <v>114</v>
      </c>
      <c r="DN100" s="19" t="s">
        <v>114</v>
      </c>
      <c r="DO100" s="19" t="s">
        <v>114</v>
      </c>
    </row>
    <row r="101" spans="1:119" x14ac:dyDescent="0.45">
      <c r="A101" s="2"/>
      <c r="B101" t="s">
        <v>2324</v>
      </c>
      <c r="C101" s="2">
        <v>15</v>
      </c>
      <c r="D101" s="6"/>
      <c r="E101" s="2"/>
      <c r="F101" s="2" t="s">
        <v>145</v>
      </c>
      <c r="H101" s="2"/>
      <c r="J101" s="2">
        <v>2</v>
      </c>
      <c r="K101" t="s">
        <v>116</v>
      </c>
      <c r="L101" s="2">
        <v>15</v>
      </c>
      <c r="M101" t="s">
        <v>145</v>
      </c>
      <c r="P101" s="2" t="s">
        <v>116</v>
      </c>
      <c r="Q101" s="2"/>
      <c r="R101" s="2">
        <v>747</v>
      </c>
      <c r="S101" s="4" t="s">
        <v>1446</v>
      </c>
      <c r="T101" s="2">
        <v>15</v>
      </c>
      <c r="U101" t="s">
        <v>145</v>
      </c>
      <c r="V101" t="e">
        <v>#N/A</v>
      </c>
      <c r="W101" t="e">
        <v>#N/A</v>
      </c>
      <c r="X101" t="e">
        <v>#N/A</v>
      </c>
      <c r="AA101" t="s">
        <v>2511</v>
      </c>
      <c r="AB101" t="s">
        <v>282</v>
      </c>
      <c r="AC101" s="2" t="s">
        <v>1888</v>
      </c>
      <c r="AD101" s="2" t="s">
        <v>1888</v>
      </c>
      <c r="AE101" t="s">
        <v>158</v>
      </c>
      <c r="AF101" t="s">
        <v>1886</v>
      </c>
      <c r="AG101" t="s">
        <v>158</v>
      </c>
      <c r="AK101" t="s">
        <v>218</v>
      </c>
      <c r="AL101" s="5"/>
      <c r="AO101" s="3" t="s">
        <v>119</v>
      </c>
      <c r="AP101" s="3" t="s">
        <v>120</v>
      </c>
      <c r="AQ101" s="3" t="s">
        <v>111</v>
      </c>
      <c r="AR101" s="3" t="s">
        <v>112</v>
      </c>
      <c r="AS101" s="3" t="s">
        <v>112</v>
      </c>
      <c r="AU101" s="3" t="s">
        <v>2303</v>
      </c>
      <c r="AV101" s="3" t="s">
        <v>2302</v>
      </c>
      <c r="AW101" s="3" t="s">
        <v>2301</v>
      </c>
      <c r="AX101" t="s">
        <v>282</v>
      </c>
      <c r="AY101" s="19" t="s">
        <v>114</v>
      </c>
      <c r="AZ101" s="19" t="s">
        <v>114</v>
      </c>
      <c r="BA101" s="19" t="s">
        <v>114</v>
      </c>
      <c r="BB101" s="19" t="s">
        <v>114</v>
      </c>
      <c r="BC101" s="19" t="s">
        <v>114</v>
      </c>
      <c r="BD101" s="19" t="s">
        <v>114</v>
      </c>
      <c r="BE101" s="19" t="s">
        <v>114</v>
      </c>
      <c r="BF101" s="19" t="s">
        <v>114</v>
      </c>
      <c r="BG101" s="19" t="s">
        <v>114</v>
      </c>
      <c r="BH101" s="19" t="s">
        <v>114</v>
      </c>
      <c r="BI101" s="19" t="s">
        <v>114</v>
      </c>
      <c r="BJ101" s="19" t="s">
        <v>114</v>
      </c>
      <c r="BK101" s="19" t="s">
        <v>114</v>
      </c>
      <c r="BL101" s="19" t="s">
        <v>114</v>
      </c>
      <c r="BM101" s="19" t="s">
        <v>114</v>
      </c>
      <c r="BN101" s="19" t="s">
        <v>114</v>
      </c>
      <c r="BO101" s="19" t="s">
        <v>114</v>
      </c>
      <c r="BP101" s="19" t="s">
        <v>114</v>
      </c>
      <c r="BQ101" s="19" t="s">
        <v>114</v>
      </c>
      <c r="BR101" s="19" t="s">
        <v>114</v>
      </c>
      <c r="BS101" s="19" t="s">
        <v>114</v>
      </c>
      <c r="BT101" s="19" t="s">
        <v>114</v>
      </c>
      <c r="BU101" s="19" t="s">
        <v>114</v>
      </c>
      <c r="BV101" s="19" t="s">
        <v>114</v>
      </c>
      <c r="BW101" s="19" t="s">
        <v>114</v>
      </c>
      <c r="BX101" s="19" t="s">
        <v>114</v>
      </c>
      <c r="BY101" s="19" t="s">
        <v>114</v>
      </c>
      <c r="BZ101" s="21" t="s">
        <v>114</v>
      </c>
      <c r="CA101" s="21" t="s">
        <v>114</v>
      </c>
      <c r="CB101" s="21" t="s">
        <v>114</v>
      </c>
      <c r="CC101" s="21" t="s">
        <v>114</v>
      </c>
      <c r="CD101" s="21" t="s">
        <v>114</v>
      </c>
      <c r="CE101" s="21" t="s">
        <v>114</v>
      </c>
      <c r="CF101" s="19" t="s">
        <v>114</v>
      </c>
      <c r="CG101" s="19" t="s">
        <v>114</v>
      </c>
      <c r="CH101" s="19" t="s">
        <v>114</v>
      </c>
      <c r="CI101" s="21" t="s">
        <v>114</v>
      </c>
      <c r="CJ101" s="21" t="s">
        <v>114</v>
      </c>
      <c r="CK101" s="21" t="s">
        <v>114</v>
      </c>
      <c r="CL101" s="21" t="s">
        <v>114</v>
      </c>
      <c r="CM101" s="21" t="s">
        <v>114</v>
      </c>
      <c r="CN101" s="21" t="s">
        <v>114</v>
      </c>
      <c r="CO101" s="21" t="s">
        <v>114</v>
      </c>
      <c r="CP101" s="21" t="s">
        <v>114</v>
      </c>
      <c r="CQ101" s="21" t="s">
        <v>114</v>
      </c>
      <c r="CR101" s="21" t="s">
        <v>114</v>
      </c>
      <c r="CS101" s="21" t="s">
        <v>114</v>
      </c>
      <c r="CT101" s="21" t="s">
        <v>114</v>
      </c>
      <c r="CU101" s="21" t="s">
        <v>114</v>
      </c>
      <c r="CV101" s="21" t="s">
        <v>114</v>
      </c>
      <c r="CW101" s="21" t="s">
        <v>114</v>
      </c>
      <c r="CX101" s="21" t="s">
        <v>114</v>
      </c>
      <c r="CY101" s="21" t="s">
        <v>114</v>
      </c>
      <c r="CZ101" s="21" t="s">
        <v>114</v>
      </c>
      <c r="DA101" s="21" t="s">
        <v>114</v>
      </c>
      <c r="DB101" s="21" t="s">
        <v>114</v>
      </c>
      <c r="DC101" s="21" t="s">
        <v>114</v>
      </c>
      <c r="DD101" s="21" t="s">
        <v>114</v>
      </c>
      <c r="DE101" s="21" t="s">
        <v>114</v>
      </c>
      <c r="DF101" s="19" t="s">
        <v>114</v>
      </c>
      <c r="DG101" s="19" t="s">
        <v>114</v>
      </c>
      <c r="DH101" s="19" t="s">
        <v>114</v>
      </c>
      <c r="DI101" s="19" t="s">
        <v>114</v>
      </c>
      <c r="DJ101" s="19" t="s">
        <v>114</v>
      </c>
      <c r="DK101" s="19" t="s">
        <v>114</v>
      </c>
      <c r="DL101" s="19" t="s">
        <v>114</v>
      </c>
      <c r="DM101" s="19" t="s">
        <v>114</v>
      </c>
      <c r="DN101" s="19" t="s">
        <v>114</v>
      </c>
      <c r="DO101" s="19" t="s">
        <v>114</v>
      </c>
    </row>
    <row r="102" spans="1:119" x14ac:dyDescent="0.45">
      <c r="A102" s="2"/>
      <c r="B102" s="5" t="s">
        <v>998</v>
      </c>
      <c r="C102" s="2">
        <v>21</v>
      </c>
      <c r="D102" s="6">
        <v>700</v>
      </c>
      <c r="E102" s="2" t="s">
        <v>1880</v>
      </c>
      <c r="F102" s="5" t="s">
        <v>279</v>
      </c>
      <c r="H102" s="8"/>
      <c r="I102" s="2" t="s">
        <v>999</v>
      </c>
      <c r="J102" s="2">
        <v>19</v>
      </c>
      <c r="K102" t="s">
        <v>157</v>
      </c>
      <c r="L102" s="2">
        <v>21</v>
      </c>
      <c r="M102" t="s">
        <v>279</v>
      </c>
      <c r="N102" s="2"/>
      <c r="P102" s="2" t="s">
        <v>280</v>
      </c>
      <c r="Q102" s="2" t="s">
        <v>280</v>
      </c>
      <c r="R102" s="2"/>
      <c r="S102" s="2"/>
      <c r="T102" s="2"/>
      <c r="U102" s="2"/>
      <c r="V102" t="e">
        <v>#N/A</v>
      </c>
      <c r="W102" t="e">
        <v>#N/A</v>
      </c>
      <c r="X102" t="e">
        <v>#N/A</v>
      </c>
      <c r="AA102" t="s">
        <v>2511</v>
      </c>
      <c r="AB102" t="s">
        <v>282</v>
      </c>
      <c r="AC102" s="2" t="s">
        <v>1888</v>
      </c>
      <c r="AD102" s="2" t="s">
        <v>1888</v>
      </c>
      <c r="AE102" t="s">
        <v>158</v>
      </c>
      <c r="AF102" t="s">
        <v>1886</v>
      </c>
      <c r="AG102" t="s">
        <v>158</v>
      </c>
      <c r="AK102" t="s">
        <v>218</v>
      </c>
      <c r="AL102" s="5"/>
      <c r="AM102" s="5" t="s">
        <v>109</v>
      </c>
      <c r="AO102" s="3" t="s">
        <v>119</v>
      </c>
      <c r="AP102" s="3" t="s">
        <v>120</v>
      </c>
      <c r="AQ102" s="3" t="s">
        <v>111</v>
      </c>
      <c r="AR102" s="3" t="s">
        <v>112</v>
      </c>
      <c r="AS102" s="3" t="s">
        <v>112</v>
      </c>
      <c r="AT102" s="3" t="s">
        <v>113</v>
      </c>
      <c r="AU102" s="3" t="s">
        <v>2303</v>
      </c>
      <c r="AV102" s="3" t="s">
        <v>2302</v>
      </c>
      <c r="AW102" s="3" t="s">
        <v>2301</v>
      </c>
      <c r="AX102" s="3" t="s">
        <v>2006</v>
      </c>
      <c r="AY102" s="19" t="s">
        <v>114</v>
      </c>
      <c r="AZ102" s="19" t="s">
        <v>114</v>
      </c>
      <c r="BA102" s="19" t="s">
        <v>114</v>
      </c>
      <c r="BB102" s="19" t="s">
        <v>114</v>
      </c>
      <c r="BC102" s="19" t="s">
        <v>114</v>
      </c>
      <c r="BD102" s="19" t="s">
        <v>114</v>
      </c>
      <c r="BE102" s="19" t="s">
        <v>114</v>
      </c>
      <c r="BF102" s="19" t="s">
        <v>114</v>
      </c>
      <c r="BG102" s="19" t="s">
        <v>114</v>
      </c>
      <c r="BH102" s="19" t="s">
        <v>114</v>
      </c>
      <c r="BI102" s="19" t="s">
        <v>114</v>
      </c>
      <c r="BJ102" s="19" t="s">
        <v>114</v>
      </c>
      <c r="BK102" s="19" t="s">
        <v>114</v>
      </c>
      <c r="BL102" s="19" t="s">
        <v>114</v>
      </c>
      <c r="BM102" s="19" t="s">
        <v>114</v>
      </c>
      <c r="BN102" s="19" t="s">
        <v>114</v>
      </c>
      <c r="BO102" s="19" t="s">
        <v>114</v>
      </c>
      <c r="BP102" s="19" t="s">
        <v>114</v>
      </c>
      <c r="BQ102" s="19" t="s">
        <v>114</v>
      </c>
      <c r="BR102" s="19" t="s">
        <v>114</v>
      </c>
      <c r="BS102" s="19" t="s">
        <v>114</v>
      </c>
      <c r="BT102" s="19" t="s">
        <v>114</v>
      </c>
      <c r="BU102" s="19" t="s">
        <v>114</v>
      </c>
      <c r="BV102" s="19" t="s">
        <v>114</v>
      </c>
      <c r="BW102" s="19" t="s">
        <v>114</v>
      </c>
      <c r="BX102" s="19" t="s">
        <v>114</v>
      </c>
      <c r="BY102" s="19" t="s">
        <v>114</v>
      </c>
      <c r="BZ102" s="21" t="s">
        <v>114</v>
      </c>
      <c r="CA102" s="21" t="s">
        <v>114</v>
      </c>
      <c r="CB102" s="21" t="s">
        <v>114</v>
      </c>
      <c r="CC102" s="21" t="s">
        <v>114</v>
      </c>
      <c r="CD102" s="21" t="s">
        <v>114</v>
      </c>
      <c r="CE102" s="21" t="s">
        <v>114</v>
      </c>
      <c r="CF102" s="19" t="s">
        <v>114</v>
      </c>
      <c r="CG102" s="19" t="s">
        <v>114</v>
      </c>
      <c r="CH102" s="19" t="s">
        <v>114</v>
      </c>
      <c r="CI102" s="21" t="s">
        <v>114</v>
      </c>
      <c r="CJ102" s="21" t="s">
        <v>114</v>
      </c>
      <c r="CK102" s="21" t="s">
        <v>114</v>
      </c>
      <c r="CL102" s="21" t="s">
        <v>114</v>
      </c>
      <c r="CM102" s="21" t="s">
        <v>114</v>
      </c>
      <c r="CN102" s="21" t="s">
        <v>114</v>
      </c>
      <c r="CO102" s="21" t="s">
        <v>114</v>
      </c>
      <c r="CP102" s="21" t="s">
        <v>114</v>
      </c>
      <c r="CQ102" s="21" t="s">
        <v>114</v>
      </c>
      <c r="CR102" s="21" t="s">
        <v>114</v>
      </c>
      <c r="CS102" s="21" t="s">
        <v>114</v>
      </c>
      <c r="CT102" s="21" t="s">
        <v>114</v>
      </c>
      <c r="CU102" s="21" t="s">
        <v>114</v>
      </c>
      <c r="CV102" s="21" t="s">
        <v>114</v>
      </c>
      <c r="CW102" s="21" t="s">
        <v>114</v>
      </c>
      <c r="CX102" s="21" t="s">
        <v>114</v>
      </c>
      <c r="CY102" s="21" t="s">
        <v>114</v>
      </c>
      <c r="CZ102" s="21" t="s">
        <v>114</v>
      </c>
      <c r="DA102" s="21" t="s">
        <v>114</v>
      </c>
      <c r="DB102" s="21" t="s">
        <v>114</v>
      </c>
      <c r="DC102" s="21" t="s">
        <v>114</v>
      </c>
      <c r="DD102" s="21" t="s">
        <v>114</v>
      </c>
      <c r="DE102" s="21" t="s">
        <v>114</v>
      </c>
      <c r="DF102" s="19" t="s">
        <v>114</v>
      </c>
      <c r="DG102" s="19" t="s">
        <v>114</v>
      </c>
      <c r="DH102" s="19" t="s">
        <v>114</v>
      </c>
      <c r="DI102" s="19" t="s">
        <v>114</v>
      </c>
      <c r="DJ102" s="19" t="s">
        <v>114</v>
      </c>
      <c r="DK102" s="19" t="s">
        <v>114</v>
      </c>
      <c r="DL102" s="19" t="s">
        <v>114</v>
      </c>
      <c r="DM102" s="19" t="s">
        <v>114</v>
      </c>
      <c r="DN102" s="19" t="s">
        <v>114</v>
      </c>
      <c r="DO102" s="19" t="s">
        <v>114</v>
      </c>
    </row>
    <row r="103" spans="1:119" x14ac:dyDescent="0.45">
      <c r="A103" s="2"/>
      <c r="B103" t="s">
        <v>2325</v>
      </c>
      <c r="C103" s="2">
        <v>513</v>
      </c>
      <c r="D103" s="6"/>
      <c r="E103" s="2"/>
      <c r="F103" s="2" t="s">
        <v>1000</v>
      </c>
      <c r="H103" s="2"/>
      <c r="J103" s="2"/>
      <c r="L103" s="2"/>
      <c r="P103" s="2"/>
      <c r="Q103" s="2"/>
      <c r="R103" s="2">
        <v>1</v>
      </c>
      <c r="S103" s="2"/>
      <c r="T103" s="2"/>
      <c r="U103" s="2"/>
      <c r="V103" t="e">
        <v>#N/A</v>
      </c>
      <c r="W103" t="e">
        <v>#N/A</v>
      </c>
      <c r="X103" t="e">
        <v>#N/A</v>
      </c>
      <c r="AA103" t="s">
        <v>2511</v>
      </c>
      <c r="AB103" t="s">
        <v>282</v>
      </c>
      <c r="AC103" s="2" t="s">
        <v>1888</v>
      </c>
      <c r="AD103" s="2" t="s">
        <v>1888</v>
      </c>
      <c r="AE103" t="s">
        <v>158</v>
      </c>
      <c r="AF103" t="s">
        <v>1886</v>
      </c>
      <c r="AG103" t="s">
        <v>158</v>
      </c>
      <c r="AK103" t="s">
        <v>389</v>
      </c>
      <c r="AL103" s="5"/>
      <c r="AO103" s="3" t="s">
        <v>119</v>
      </c>
      <c r="AP103" s="3" t="s">
        <v>120</v>
      </c>
      <c r="AQ103" s="3" t="s">
        <v>111</v>
      </c>
      <c r="AR103" s="3" t="s">
        <v>112</v>
      </c>
      <c r="AS103" s="3" t="s">
        <v>112</v>
      </c>
      <c r="AU103" s="3" t="s">
        <v>2303</v>
      </c>
      <c r="AV103" s="3" t="s">
        <v>2302</v>
      </c>
      <c r="AW103" s="3" t="s">
        <v>2301</v>
      </c>
      <c r="AX103" s="3" t="s">
        <v>2006</v>
      </c>
      <c r="AY103" s="19" t="s">
        <v>114</v>
      </c>
      <c r="AZ103" s="19" t="s">
        <v>114</v>
      </c>
      <c r="BA103" s="19" t="s">
        <v>114</v>
      </c>
      <c r="BB103" s="19" t="s">
        <v>114</v>
      </c>
      <c r="BC103" s="19" t="s">
        <v>114</v>
      </c>
      <c r="BD103" s="19" t="s">
        <v>114</v>
      </c>
      <c r="BE103" s="19" t="s">
        <v>114</v>
      </c>
      <c r="BF103" s="19" t="s">
        <v>114</v>
      </c>
      <c r="BG103" s="19" t="s">
        <v>114</v>
      </c>
      <c r="BH103" s="19" t="s">
        <v>114</v>
      </c>
      <c r="BI103" s="19" t="s">
        <v>114</v>
      </c>
      <c r="BJ103" s="19" t="s">
        <v>114</v>
      </c>
      <c r="BK103" s="19" t="s">
        <v>114</v>
      </c>
      <c r="BL103" s="19" t="s">
        <v>114</v>
      </c>
      <c r="BM103" s="19" t="s">
        <v>114</v>
      </c>
      <c r="BN103" s="19" t="s">
        <v>114</v>
      </c>
      <c r="BO103" s="19" t="s">
        <v>114</v>
      </c>
      <c r="BP103" s="19" t="s">
        <v>114</v>
      </c>
      <c r="BQ103" s="19" t="s">
        <v>114</v>
      </c>
      <c r="BR103" s="19" t="s">
        <v>114</v>
      </c>
      <c r="BS103" s="19" t="s">
        <v>114</v>
      </c>
      <c r="BT103" s="19" t="s">
        <v>114</v>
      </c>
      <c r="BU103" s="19" t="s">
        <v>114</v>
      </c>
      <c r="BV103" s="19" t="s">
        <v>114</v>
      </c>
      <c r="BW103" s="19" t="s">
        <v>114</v>
      </c>
      <c r="BX103" s="19" t="s">
        <v>114</v>
      </c>
      <c r="BY103" s="19" t="s">
        <v>114</v>
      </c>
      <c r="BZ103" s="21" t="s">
        <v>114</v>
      </c>
      <c r="CA103" s="21" t="s">
        <v>114</v>
      </c>
      <c r="CB103" s="21" t="s">
        <v>114</v>
      </c>
      <c r="CC103" s="21" t="s">
        <v>114</v>
      </c>
      <c r="CD103" s="21" t="s">
        <v>114</v>
      </c>
      <c r="CE103" s="21" t="s">
        <v>114</v>
      </c>
      <c r="CF103" s="19" t="s">
        <v>114</v>
      </c>
      <c r="CG103" s="19" t="s">
        <v>114</v>
      </c>
      <c r="CH103" s="19" t="s">
        <v>114</v>
      </c>
      <c r="CI103" s="21" t="s">
        <v>114</v>
      </c>
      <c r="CJ103" s="21" t="s">
        <v>114</v>
      </c>
      <c r="CK103" s="21" t="s">
        <v>114</v>
      </c>
      <c r="CL103" s="21" t="s">
        <v>114</v>
      </c>
      <c r="CM103" s="21" t="s">
        <v>114</v>
      </c>
      <c r="CN103" s="21" t="s">
        <v>114</v>
      </c>
      <c r="CO103" s="21" t="s">
        <v>114</v>
      </c>
      <c r="CP103" s="21" t="s">
        <v>114</v>
      </c>
      <c r="CQ103" s="21" t="s">
        <v>114</v>
      </c>
      <c r="CR103" s="21" t="s">
        <v>114</v>
      </c>
      <c r="CS103" s="21" t="s">
        <v>114</v>
      </c>
      <c r="CT103" s="21" t="s">
        <v>114</v>
      </c>
      <c r="CU103" s="21" t="s">
        <v>114</v>
      </c>
      <c r="CV103" s="21" t="s">
        <v>114</v>
      </c>
      <c r="CW103" s="21" t="s">
        <v>114</v>
      </c>
      <c r="CX103" s="21" t="s">
        <v>114</v>
      </c>
      <c r="CY103" s="21" t="s">
        <v>114</v>
      </c>
      <c r="CZ103" s="21" t="s">
        <v>114</v>
      </c>
      <c r="DA103" s="21" t="s">
        <v>114</v>
      </c>
      <c r="DB103" s="21" t="s">
        <v>114</v>
      </c>
      <c r="DC103" s="21" t="s">
        <v>114</v>
      </c>
      <c r="DD103" s="21" t="s">
        <v>114</v>
      </c>
      <c r="DE103" s="21" t="s">
        <v>114</v>
      </c>
      <c r="DF103" s="19" t="s">
        <v>114</v>
      </c>
      <c r="DG103" s="19" t="s">
        <v>114</v>
      </c>
      <c r="DH103" s="19" t="s">
        <v>114</v>
      </c>
      <c r="DI103" s="19" t="s">
        <v>114</v>
      </c>
      <c r="DJ103" s="19" t="s">
        <v>114</v>
      </c>
      <c r="DK103" s="19" t="s">
        <v>114</v>
      </c>
      <c r="DL103" s="19" t="s">
        <v>114</v>
      </c>
      <c r="DM103" s="19" t="s">
        <v>114</v>
      </c>
      <c r="DN103" s="19" t="s">
        <v>114</v>
      </c>
      <c r="DO103" s="19" t="s">
        <v>114</v>
      </c>
    </row>
    <row r="104" spans="1:119" x14ac:dyDescent="0.45">
      <c r="A104" s="2"/>
      <c r="B104" t="s">
        <v>2326</v>
      </c>
      <c r="C104" s="2">
        <v>154</v>
      </c>
      <c r="D104" s="6"/>
      <c r="E104" s="2"/>
      <c r="F104" s="2" t="s">
        <v>128</v>
      </c>
      <c r="H104" s="2"/>
      <c r="J104" s="2">
        <v>150</v>
      </c>
      <c r="K104" t="s">
        <v>127</v>
      </c>
      <c r="L104" s="2">
        <v>154</v>
      </c>
      <c r="M104" s="2" t="s">
        <v>128</v>
      </c>
      <c r="N104" s="2"/>
      <c r="O104" s="2"/>
      <c r="P104" s="2" t="s">
        <v>127</v>
      </c>
      <c r="Q104" s="2"/>
      <c r="R104" s="2"/>
      <c r="S104" s="2"/>
      <c r="T104" s="2"/>
      <c r="U104" s="2"/>
      <c r="V104" t="e">
        <v>#N/A</v>
      </c>
      <c r="W104" t="e">
        <v>#N/A</v>
      </c>
      <c r="X104" t="e">
        <v>#N/A</v>
      </c>
      <c r="AA104" t="s">
        <v>2511</v>
      </c>
      <c r="AB104" t="s">
        <v>282</v>
      </c>
      <c r="AC104" s="2" t="s">
        <v>1888</v>
      </c>
      <c r="AD104" s="2" t="s">
        <v>1888</v>
      </c>
      <c r="AE104" t="s">
        <v>158</v>
      </c>
      <c r="AF104" t="s">
        <v>1886</v>
      </c>
      <c r="AG104" t="s">
        <v>158</v>
      </c>
      <c r="AK104" t="s">
        <v>218</v>
      </c>
      <c r="AL104" s="5"/>
      <c r="AO104" s="3" t="s">
        <v>119</v>
      </c>
      <c r="AP104" s="3" t="s">
        <v>120</v>
      </c>
      <c r="AQ104" s="3" t="s">
        <v>111</v>
      </c>
      <c r="AR104" s="3" t="s">
        <v>112</v>
      </c>
      <c r="AS104" s="3" t="s">
        <v>112</v>
      </c>
      <c r="AU104" s="3" t="s">
        <v>2303</v>
      </c>
      <c r="AV104" s="3" t="s">
        <v>2302</v>
      </c>
      <c r="AW104" s="3" t="s">
        <v>2301</v>
      </c>
      <c r="AX104" s="3" t="s">
        <v>2006</v>
      </c>
      <c r="AY104" s="19" t="s">
        <v>114</v>
      </c>
      <c r="AZ104" s="19" t="s">
        <v>114</v>
      </c>
      <c r="BA104" s="19" t="s">
        <v>114</v>
      </c>
      <c r="BB104" s="19" t="s">
        <v>114</v>
      </c>
      <c r="BC104" s="19" t="s">
        <v>114</v>
      </c>
      <c r="BD104" s="19" t="s">
        <v>114</v>
      </c>
      <c r="BE104" s="19" t="s">
        <v>114</v>
      </c>
      <c r="BF104" s="19" t="s">
        <v>114</v>
      </c>
      <c r="BG104" s="19" t="s">
        <v>114</v>
      </c>
      <c r="BH104" s="19" t="s">
        <v>114</v>
      </c>
      <c r="BI104" s="19" t="s">
        <v>114</v>
      </c>
      <c r="BJ104" s="19" t="s">
        <v>114</v>
      </c>
      <c r="BK104" s="19" t="s">
        <v>114</v>
      </c>
      <c r="BL104" s="19" t="s">
        <v>114</v>
      </c>
      <c r="BM104" s="19" t="s">
        <v>114</v>
      </c>
      <c r="BN104" s="19" t="s">
        <v>114</v>
      </c>
      <c r="BO104" s="19" t="s">
        <v>114</v>
      </c>
      <c r="BP104" s="19" t="s">
        <v>114</v>
      </c>
      <c r="BQ104" s="19" t="s">
        <v>114</v>
      </c>
      <c r="BR104" s="19" t="s">
        <v>114</v>
      </c>
      <c r="BS104" s="19" t="s">
        <v>114</v>
      </c>
      <c r="BT104" s="19" t="s">
        <v>114</v>
      </c>
      <c r="BU104" s="19" t="s">
        <v>114</v>
      </c>
      <c r="BV104" s="19" t="s">
        <v>114</v>
      </c>
      <c r="BW104" s="19" t="s">
        <v>114</v>
      </c>
      <c r="BX104" s="19" t="s">
        <v>114</v>
      </c>
      <c r="BY104" s="19" t="s">
        <v>114</v>
      </c>
      <c r="BZ104" s="21" t="s">
        <v>114</v>
      </c>
      <c r="CA104" s="21" t="s">
        <v>114</v>
      </c>
      <c r="CB104" s="21" t="s">
        <v>114</v>
      </c>
      <c r="CC104" s="21" t="s">
        <v>114</v>
      </c>
      <c r="CD104" s="21" t="s">
        <v>114</v>
      </c>
      <c r="CE104" s="21" t="s">
        <v>114</v>
      </c>
      <c r="CF104" s="19" t="s">
        <v>114</v>
      </c>
      <c r="CG104" s="19" t="s">
        <v>114</v>
      </c>
      <c r="CH104" s="19" t="s">
        <v>114</v>
      </c>
      <c r="CI104" s="21" t="s">
        <v>114</v>
      </c>
      <c r="CJ104" s="21" t="s">
        <v>114</v>
      </c>
      <c r="CK104" s="21" t="s">
        <v>114</v>
      </c>
      <c r="CL104" s="21" t="s">
        <v>114</v>
      </c>
      <c r="CM104" s="21" t="s">
        <v>114</v>
      </c>
      <c r="CN104" s="21" t="s">
        <v>114</v>
      </c>
      <c r="CO104" s="21" t="s">
        <v>114</v>
      </c>
      <c r="CP104" s="21" t="s">
        <v>114</v>
      </c>
      <c r="CQ104" s="21" t="s">
        <v>114</v>
      </c>
      <c r="CR104" s="21" t="s">
        <v>114</v>
      </c>
      <c r="CS104" s="21" t="s">
        <v>114</v>
      </c>
      <c r="CT104" s="21" t="s">
        <v>114</v>
      </c>
      <c r="CU104" s="21" t="s">
        <v>114</v>
      </c>
      <c r="CV104" s="21" t="s">
        <v>114</v>
      </c>
      <c r="CW104" s="21" t="s">
        <v>114</v>
      </c>
      <c r="CX104" s="21" t="s">
        <v>114</v>
      </c>
      <c r="CY104" s="21" t="s">
        <v>114</v>
      </c>
      <c r="CZ104" s="21" t="s">
        <v>114</v>
      </c>
      <c r="DA104" s="21" t="s">
        <v>114</v>
      </c>
      <c r="DB104" s="21" t="s">
        <v>114</v>
      </c>
      <c r="DC104" s="21" t="s">
        <v>114</v>
      </c>
      <c r="DD104" s="21" t="s">
        <v>114</v>
      </c>
      <c r="DE104" s="21" t="s">
        <v>114</v>
      </c>
      <c r="DF104" s="19" t="s">
        <v>114</v>
      </c>
      <c r="DG104" s="19" t="s">
        <v>114</v>
      </c>
      <c r="DH104" s="19" t="s">
        <v>114</v>
      </c>
      <c r="DI104" s="19" t="s">
        <v>114</v>
      </c>
      <c r="DJ104" s="19" t="s">
        <v>114</v>
      </c>
      <c r="DK104" s="19" t="s">
        <v>114</v>
      </c>
      <c r="DL104" s="19" t="s">
        <v>114</v>
      </c>
      <c r="DM104" s="19" t="s">
        <v>114</v>
      </c>
      <c r="DN104" s="19" t="s">
        <v>114</v>
      </c>
      <c r="DO104" s="19" t="s">
        <v>114</v>
      </c>
    </row>
    <row r="105" spans="1:119" x14ac:dyDescent="0.45">
      <c r="A105" s="2"/>
      <c r="B105" t="s">
        <v>1011</v>
      </c>
      <c r="C105" s="2">
        <v>9</v>
      </c>
      <c r="D105" s="6"/>
      <c r="E105" s="2"/>
      <c r="F105" s="2" t="s">
        <v>153</v>
      </c>
      <c r="H105" s="2"/>
      <c r="J105" s="2">
        <v>9</v>
      </c>
      <c r="K105" t="s">
        <v>153</v>
      </c>
      <c r="L105" s="2">
        <v>9</v>
      </c>
      <c r="M105" t="s">
        <v>153</v>
      </c>
      <c r="P105" s="2" t="s">
        <v>153</v>
      </c>
      <c r="Q105" s="2" t="s">
        <v>155</v>
      </c>
      <c r="R105" s="2">
        <v>1</v>
      </c>
      <c r="S105" s="2"/>
      <c r="T105" s="2"/>
      <c r="U105" s="2"/>
      <c r="V105" t="e">
        <v>#N/A</v>
      </c>
      <c r="W105" t="e">
        <v>#N/A</v>
      </c>
      <c r="X105" t="e">
        <v>#N/A</v>
      </c>
      <c r="AA105" t="s">
        <v>2511</v>
      </c>
      <c r="AB105" t="s">
        <v>282</v>
      </c>
      <c r="AC105" s="2" t="s">
        <v>1888</v>
      </c>
      <c r="AD105" s="2" t="s">
        <v>1888</v>
      </c>
      <c r="AE105" t="s">
        <v>158</v>
      </c>
      <c r="AF105" t="s">
        <v>1886</v>
      </c>
      <c r="AG105" t="s">
        <v>158</v>
      </c>
      <c r="AK105" t="s">
        <v>118</v>
      </c>
      <c r="AL105" s="5"/>
      <c r="AO105" s="3" t="s">
        <v>119</v>
      </c>
      <c r="AP105" s="3" t="s">
        <v>120</v>
      </c>
      <c r="AQ105" s="3" t="s">
        <v>111</v>
      </c>
      <c r="AR105" s="3" t="s">
        <v>112</v>
      </c>
      <c r="AS105" s="3" t="s">
        <v>112</v>
      </c>
      <c r="AT105" s="3" t="s">
        <v>113</v>
      </c>
      <c r="AU105" s="3" t="s">
        <v>2303</v>
      </c>
      <c r="AV105" s="3" t="s">
        <v>2302</v>
      </c>
      <c r="AW105" s="3" t="s">
        <v>2301</v>
      </c>
      <c r="AX105" s="3" t="s">
        <v>2006</v>
      </c>
      <c r="AY105" s="19" t="s">
        <v>114</v>
      </c>
      <c r="AZ105" s="19" t="s">
        <v>114</v>
      </c>
      <c r="BA105" s="19" t="s">
        <v>114</v>
      </c>
      <c r="BB105" s="19" t="s">
        <v>114</v>
      </c>
      <c r="BC105" s="19" t="s">
        <v>114</v>
      </c>
      <c r="BD105" s="19" t="s">
        <v>114</v>
      </c>
      <c r="BE105" s="19" t="s">
        <v>114</v>
      </c>
      <c r="BF105" s="19" t="s">
        <v>114</v>
      </c>
      <c r="BG105" s="19" t="s">
        <v>114</v>
      </c>
      <c r="BH105" s="19" t="s">
        <v>114</v>
      </c>
      <c r="BI105" s="19" t="s">
        <v>114</v>
      </c>
      <c r="BJ105" s="19" t="s">
        <v>114</v>
      </c>
      <c r="BK105" s="19" t="s">
        <v>114</v>
      </c>
      <c r="BL105" s="19" t="s">
        <v>114</v>
      </c>
      <c r="BM105" s="19" t="s">
        <v>114</v>
      </c>
      <c r="BN105" s="19" t="s">
        <v>114</v>
      </c>
      <c r="BO105" s="19" t="s">
        <v>114</v>
      </c>
      <c r="BP105" s="19" t="s">
        <v>114</v>
      </c>
      <c r="BQ105" s="19" t="s">
        <v>114</v>
      </c>
      <c r="BR105" s="19" t="s">
        <v>114</v>
      </c>
      <c r="BS105" s="19" t="s">
        <v>114</v>
      </c>
      <c r="BT105" s="19" t="s">
        <v>114</v>
      </c>
      <c r="BU105" s="19" t="s">
        <v>114</v>
      </c>
      <c r="BV105" s="19" t="s">
        <v>114</v>
      </c>
      <c r="BW105" s="19" t="s">
        <v>114</v>
      </c>
      <c r="BX105" s="19" t="s">
        <v>114</v>
      </c>
      <c r="BY105" s="19" t="s">
        <v>114</v>
      </c>
      <c r="BZ105" s="21" t="s">
        <v>114</v>
      </c>
      <c r="CA105" s="21" t="s">
        <v>114</v>
      </c>
      <c r="CB105" s="21" t="s">
        <v>114</v>
      </c>
      <c r="CC105" s="21" t="s">
        <v>114</v>
      </c>
      <c r="CD105" s="21" t="s">
        <v>114</v>
      </c>
      <c r="CE105" s="21" t="s">
        <v>114</v>
      </c>
      <c r="CF105" s="19" t="s">
        <v>114</v>
      </c>
      <c r="CG105" s="19" t="s">
        <v>114</v>
      </c>
      <c r="CH105" s="19" t="s">
        <v>114</v>
      </c>
      <c r="CI105" s="21" t="s">
        <v>114</v>
      </c>
      <c r="CJ105" s="21" t="s">
        <v>114</v>
      </c>
      <c r="CK105" s="21" t="s">
        <v>114</v>
      </c>
      <c r="CL105" s="21" t="s">
        <v>114</v>
      </c>
      <c r="CM105" s="21" t="s">
        <v>114</v>
      </c>
      <c r="CN105" s="21" t="s">
        <v>114</v>
      </c>
      <c r="CO105" s="21" t="s">
        <v>114</v>
      </c>
      <c r="CP105" s="21" t="s">
        <v>114</v>
      </c>
      <c r="CQ105" s="21" t="s">
        <v>114</v>
      </c>
      <c r="CR105" s="21" t="s">
        <v>114</v>
      </c>
      <c r="CS105" s="21" t="s">
        <v>114</v>
      </c>
      <c r="CT105" s="21" t="s">
        <v>114</v>
      </c>
      <c r="CU105" s="21" t="s">
        <v>114</v>
      </c>
      <c r="CV105" s="21" t="s">
        <v>114</v>
      </c>
      <c r="CW105" s="21" t="s">
        <v>114</v>
      </c>
      <c r="CX105" s="21" t="s">
        <v>114</v>
      </c>
      <c r="CY105" s="21" t="s">
        <v>114</v>
      </c>
      <c r="CZ105" s="21" t="s">
        <v>114</v>
      </c>
      <c r="DA105" s="21" t="s">
        <v>114</v>
      </c>
      <c r="DB105" s="21" t="s">
        <v>114</v>
      </c>
      <c r="DC105" s="21" t="s">
        <v>114</v>
      </c>
      <c r="DD105" s="21" t="s">
        <v>114</v>
      </c>
      <c r="DE105" s="21" t="s">
        <v>114</v>
      </c>
      <c r="DF105" s="19" t="s">
        <v>114</v>
      </c>
      <c r="DG105" s="19" t="s">
        <v>114</v>
      </c>
      <c r="DH105" s="19" t="s">
        <v>114</v>
      </c>
      <c r="DI105" s="19" t="s">
        <v>114</v>
      </c>
      <c r="DJ105" s="19" t="s">
        <v>114</v>
      </c>
      <c r="DK105" s="19" t="s">
        <v>114</v>
      </c>
      <c r="DL105" s="19" t="s">
        <v>114</v>
      </c>
      <c r="DM105" s="19" t="s">
        <v>114</v>
      </c>
      <c r="DN105" s="19" t="s">
        <v>114</v>
      </c>
      <c r="DO105" s="19" t="s">
        <v>114</v>
      </c>
    </row>
    <row r="106" spans="1:119" x14ac:dyDescent="0.45">
      <c r="A106" s="2"/>
      <c r="B106" t="s">
        <v>2327</v>
      </c>
      <c r="C106" s="2">
        <v>543</v>
      </c>
      <c r="D106" s="6"/>
      <c r="E106" s="2"/>
      <c r="F106" s="2" t="s">
        <v>1012</v>
      </c>
      <c r="H106" s="2"/>
      <c r="J106" s="2">
        <v>9</v>
      </c>
      <c r="K106" t="s">
        <v>153</v>
      </c>
      <c r="L106" s="2"/>
      <c r="P106" t="s">
        <v>153</v>
      </c>
      <c r="Q106" s="2"/>
      <c r="R106" s="2">
        <v>9</v>
      </c>
      <c r="S106" s="2" t="s">
        <v>153</v>
      </c>
      <c r="T106" s="2">
        <v>543</v>
      </c>
      <c r="U106" s="2" t="s">
        <v>1012</v>
      </c>
      <c r="V106" t="e">
        <v>#N/A</v>
      </c>
      <c r="W106" t="e">
        <v>#N/A</v>
      </c>
      <c r="X106" t="e">
        <v>#N/A</v>
      </c>
      <c r="AA106" t="s">
        <v>2511</v>
      </c>
      <c r="AB106" t="s">
        <v>282</v>
      </c>
      <c r="AC106" s="2" t="s">
        <v>1888</v>
      </c>
      <c r="AD106" s="2" t="s">
        <v>1888</v>
      </c>
      <c r="AE106" t="s">
        <v>158</v>
      </c>
      <c r="AF106" t="s">
        <v>1886</v>
      </c>
      <c r="AG106" t="s">
        <v>158</v>
      </c>
      <c r="AK106" t="s">
        <v>389</v>
      </c>
      <c r="AL106" s="5"/>
      <c r="AO106" s="3" t="s">
        <v>119</v>
      </c>
      <c r="AP106" s="3" t="s">
        <v>120</v>
      </c>
      <c r="AQ106" s="3" t="s">
        <v>111</v>
      </c>
      <c r="AR106" s="3" t="s">
        <v>112</v>
      </c>
      <c r="AS106" s="3" t="s">
        <v>112</v>
      </c>
      <c r="AU106" s="3" t="s">
        <v>2303</v>
      </c>
      <c r="AV106" s="3" t="s">
        <v>2302</v>
      </c>
      <c r="AW106" s="3" t="s">
        <v>2301</v>
      </c>
      <c r="AX106" s="3" t="s">
        <v>2006</v>
      </c>
      <c r="AY106" s="19" t="s">
        <v>114</v>
      </c>
      <c r="AZ106" s="19" t="s">
        <v>114</v>
      </c>
      <c r="BA106" s="19" t="s">
        <v>114</v>
      </c>
      <c r="BB106" s="19" t="s">
        <v>114</v>
      </c>
      <c r="BC106" s="19" t="s">
        <v>114</v>
      </c>
      <c r="BD106" s="19" t="s">
        <v>114</v>
      </c>
      <c r="BE106" s="19" t="s">
        <v>114</v>
      </c>
      <c r="BF106" s="19" t="s">
        <v>114</v>
      </c>
      <c r="BG106" s="19" t="s">
        <v>114</v>
      </c>
      <c r="BH106" s="19" t="s">
        <v>114</v>
      </c>
      <c r="BI106" s="19" t="s">
        <v>114</v>
      </c>
      <c r="BJ106" s="19" t="s">
        <v>114</v>
      </c>
      <c r="BK106" s="19" t="s">
        <v>114</v>
      </c>
      <c r="BL106" s="19" t="s">
        <v>114</v>
      </c>
      <c r="BM106" s="19" t="s">
        <v>114</v>
      </c>
      <c r="BN106" s="19" t="s">
        <v>114</v>
      </c>
      <c r="BO106" s="19" t="s">
        <v>114</v>
      </c>
      <c r="BP106" s="19" t="s">
        <v>114</v>
      </c>
      <c r="BQ106" s="19" t="s">
        <v>114</v>
      </c>
      <c r="BR106" s="19" t="s">
        <v>114</v>
      </c>
      <c r="BS106" s="19" t="s">
        <v>114</v>
      </c>
      <c r="BT106" s="19" t="s">
        <v>114</v>
      </c>
      <c r="BU106" s="19" t="s">
        <v>114</v>
      </c>
      <c r="BV106" s="19" t="s">
        <v>114</v>
      </c>
      <c r="BW106" s="19" t="s">
        <v>114</v>
      </c>
      <c r="BX106" s="19" t="s">
        <v>114</v>
      </c>
      <c r="BY106" s="19" t="s">
        <v>114</v>
      </c>
      <c r="BZ106" s="21" t="s">
        <v>114</v>
      </c>
      <c r="CA106" s="21" t="s">
        <v>114</v>
      </c>
      <c r="CB106" s="21" t="s">
        <v>114</v>
      </c>
      <c r="CC106" s="21" t="s">
        <v>114</v>
      </c>
      <c r="CD106" s="21" t="s">
        <v>114</v>
      </c>
      <c r="CE106" s="21" t="s">
        <v>114</v>
      </c>
      <c r="CF106" s="19" t="s">
        <v>114</v>
      </c>
      <c r="CG106" s="19" t="s">
        <v>114</v>
      </c>
      <c r="CH106" s="19" t="s">
        <v>114</v>
      </c>
      <c r="CI106" s="21" t="s">
        <v>114</v>
      </c>
      <c r="CJ106" s="21" t="s">
        <v>114</v>
      </c>
      <c r="CK106" s="21" t="s">
        <v>114</v>
      </c>
      <c r="CL106" s="21" t="s">
        <v>114</v>
      </c>
      <c r="CM106" s="21" t="s">
        <v>114</v>
      </c>
      <c r="CN106" s="21" t="s">
        <v>114</v>
      </c>
      <c r="CO106" s="21" t="s">
        <v>114</v>
      </c>
      <c r="CP106" s="21" t="s">
        <v>114</v>
      </c>
      <c r="CQ106" s="21" t="s">
        <v>114</v>
      </c>
      <c r="CR106" s="21" t="s">
        <v>114</v>
      </c>
      <c r="CS106" s="21" t="s">
        <v>114</v>
      </c>
      <c r="CT106" s="21" t="s">
        <v>114</v>
      </c>
      <c r="CU106" s="21" t="s">
        <v>114</v>
      </c>
      <c r="CV106" s="21" t="s">
        <v>114</v>
      </c>
      <c r="CW106" s="21" t="s">
        <v>114</v>
      </c>
      <c r="CX106" s="21" t="s">
        <v>114</v>
      </c>
      <c r="CY106" s="21" t="s">
        <v>114</v>
      </c>
      <c r="CZ106" s="21" t="s">
        <v>114</v>
      </c>
      <c r="DA106" s="21" t="s">
        <v>114</v>
      </c>
      <c r="DB106" s="21" t="s">
        <v>114</v>
      </c>
      <c r="DC106" s="21" t="s">
        <v>114</v>
      </c>
      <c r="DD106" s="21" t="s">
        <v>114</v>
      </c>
      <c r="DE106" s="21" t="s">
        <v>114</v>
      </c>
      <c r="DF106" s="19" t="s">
        <v>114</v>
      </c>
      <c r="DG106" s="19" t="s">
        <v>114</v>
      </c>
      <c r="DH106" s="19" t="s">
        <v>114</v>
      </c>
      <c r="DI106" s="19" t="s">
        <v>114</v>
      </c>
      <c r="DJ106" s="19" t="s">
        <v>114</v>
      </c>
      <c r="DK106" s="19" t="s">
        <v>114</v>
      </c>
      <c r="DL106" s="19" t="s">
        <v>114</v>
      </c>
      <c r="DM106" s="19" t="s">
        <v>114</v>
      </c>
      <c r="DN106" s="19" t="s">
        <v>114</v>
      </c>
      <c r="DO106" s="19" t="s">
        <v>114</v>
      </c>
    </row>
    <row r="107" spans="1:119" x14ac:dyDescent="0.45">
      <c r="A107" s="2"/>
      <c r="B107" t="s">
        <v>2328</v>
      </c>
      <c r="C107" s="2">
        <v>61</v>
      </c>
      <c r="D107" s="6"/>
      <c r="E107" s="2"/>
      <c r="F107" s="2" t="s">
        <v>154</v>
      </c>
      <c r="H107" s="2"/>
      <c r="J107" s="2">
        <v>9</v>
      </c>
      <c r="K107" t="s">
        <v>153</v>
      </c>
      <c r="L107" s="2">
        <v>61</v>
      </c>
      <c r="M107" t="s">
        <v>154</v>
      </c>
      <c r="P107" s="2" t="s">
        <v>153</v>
      </c>
      <c r="Q107" s="2" t="s">
        <v>155</v>
      </c>
      <c r="R107" s="2"/>
      <c r="S107" s="2"/>
      <c r="T107" s="2"/>
      <c r="U107" s="2"/>
      <c r="V107" t="e">
        <v>#N/A</v>
      </c>
      <c r="W107" t="e">
        <v>#N/A</v>
      </c>
      <c r="X107" t="e">
        <v>#N/A</v>
      </c>
      <c r="AA107" t="s">
        <v>2511</v>
      </c>
      <c r="AB107" t="s">
        <v>282</v>
      </c>
      <c r="AC107" s="2" t="s">
        <v>1888</v>
      </c>
      <c r="AD107" s="2" t="s">
        <v>1888</v>
      </c>
      <c r="AE107" t="s">
        <v>158</v>
      </c>
      <c r="AF107" t="s">
        <v>1886</v>
      </c>
      <c r="AG107" t="s">
        <v>158</v>
      </c>
      <c r="AK107" t="s">
        <v>218</v>
      </c>
      <c r="AL107" s="5"/>
      <c r="AO107" s="3" t="s">
        <v>119</v>
      </c>
      <c r="AP107" s="3" t="s">
        <v>120</v>
      </c>
      <c r="AQ107" s="3" t="s">
        <v>111</v>
      </c>
      <c r="AR107" s="3" t="s">
        <v>112</v>
      </c>
      <c r="AS107" s="3" t="s">
        <v>112</v>
      </c>
      <c r="AU107" s="3" t="s">
        <v>2303</v>
      </c>
      <c r="AV107" s="3" t="s">
        <v>2302</v>
      </c>
      <c r="AW107" s="3" t="s">
        <v>2301</v>
      </c>
      <c r="AX107" t="s">
        <v>282</v>
      </c>
      <c r="AY107" s="19" t="s">
        <v>114</v>
      </c>
      <c r="AZ107" s="19" t="s">
        <v>114</v>
      </c>
      <c r="BA107" s="19" t="s">
        <v>114</v>
      </c>
      <c r="BB107" s="19" t="s">
        <v>114</v>
      </c>
      <c r="BC107" s="19" t="s">
        <v>114</v>
      </c>
      <c r="BD107" s="19" t="s">
        <v>114</v>
      </c>
      <c r="BE107" s="19" t="s">
        <v>114</v>
      </c>
      <c r="BF107" s="19" t="s">
        <v>114</v>
      </c>
      <c r="BG107" s="19" t="s">
        <v>114</v>
      </c>
      <c r="BH107" s="19" t="s">
        <v>114</v>
      </c>
      <c r="BI107" s="19" t="s">
        <v>114</v>
      </c>
      <c r="BJ107" s="19" t="s">
        <v>114</v>
      </c>
      <c r="BK107" s="19" t="s">
        <v>114</v>
      </c>
      <c r="BL107" s="19" t="s">
        <v>114</v>
      </c>
      <c r="BM107" s="19" t="s">
        <v>114</v>
      </c>
      <c r="BN107" s="19" t="s">
        <v>114</v>
      </c>
      <c r="BO107" s="19" t="s">
        <v>114</v>
      </c>
      <c r="BP107" s="19" t="s">
        <v>114</v>
      </c>
      <c r="BQ107" s="19" t="s">
        <v>114</v>
      </c>
      <c r="BR107" s="19" t="s">
        <v>114</v>
      </c>
      <c r="BS107" s="19" t="s">
        <v>114</v>
      </c>
      <c r="BT107" s="19" t="s">
        <v>114</v>
      </c>
      <c r="BU107" s="19" t="s">
        <v>114</v>
      </c>
      <c r="BV107" s="19" t="s">
        <v>114</v>
      </c>
      <c r="BW107" s="19" t="s">
        <v>114</v>
      </c>
      <c r="BX107" s="19" t="s">
        <v>114</v>
      </c>
      <c r="BY107" s="19" t="s">
        <v>114</v>
      </c>
      <c r="BZ107" s="21" t="s">
        <v>114</v>
      </c>
      <c r="CA107" s="21" t="s">
        <v>114</v>
      </c>
      <c r="CB107" s="21" t="s">
        <v>114</v>
      </c>
      <c r="CC107" s="21" t="s">
        <v>114</v>
      </c>
      <c r="CD107" s="21" t="s">
        <v>114</v>
      </c>
      <c r="CE107" s="21" t="s">
        <v>114</v>
      </c>
      <c r="CF107" s="19" t="s">
        <v>114</v>
      </c>
      <c r="CG107" s="19" t="s">
        <v>114</v>
      </c>
      <c r="CH107" s="19" t="s">
        <v>114</v>
      </c>
      <c r="CI107" s="21" t="s">
        <v>114</v>
      </c>
      <c r="CJ107" s="21" t="s">
        <v>114</v>
      </c>
      <c r="CK107" s="21" t="s">
        <v>114</v>
      </c>
      <c r="CL107" s="21" t="s">
        <v>114</v>
      </c>
      <c r="CM107" s="21" t="s">
        <v>114</v>
      </c>
      <c r="CN107" s="21" t="s">
        <v>114</v>
      </c>
      <c r="CO107" s="21" t="s">
        <v>114</v>
      </c>
      <c r="CP107" s="21" t="s">
        <v>114</v>
      </c>
      <c r="CQ107" s="21" t="s">
        <v>114</v>
      </c>
      <c r="CR107" s="21" t="s">
        <v>114</v>
      </c>
      <c r="CS107" s="21" t="s">
        <v>114</v>
      </c>
      <c r="CT107" s="21" t="s">
        <v>114</v>
      </c>
      <c r="CU107" s="21" t="s">
        <v>114</v>
      </c>
      <c r="CV107" s="21" t="s">
        <v>114</v>
      </c>
      <c r="CW107" s="21" t="s">
        <v>114</v>
      </c>
      <c r="CX107" s="21" t="s">
        <v>114</v>
      </c>
      <c r="CY107" s="21" t="s">
        <v>114</v>
      </c>
      <c r="CZ107" s="21" t="s">
        <v>114</v>
      </c>
      <c r="DA107" s="21" t="s">
        <v>114</v>
      </c>
      <c r="DB107" s="21" t="s">
        <v>114</v>
      </c>
      <c r="DC107" s="21" t="s">
        <v>114</v>
      </c>
      <c r="DD107" s="21" t="s">
        <v>114</v>
      </c>
      <c r="DE107" s="21" t="s">
        <v>114</v>
      </c>
      <c r="DF107" s="19" t="s">
        <v>114</v>
      </c>
      <c r="DG107" s="19" t="s">
        <v>114</v>
      </c>
      <c r="DH107" s="19" t="s">
        <v>114</v>
      </c>
      <c r="DI107" s="19" t="s">
        <v>114</v>
      </c>
      <c r="DJ107" s="19" t="s">
        <v>114</v>
      </c>
      <c r="DK107" s="19" t="s">
        <v>114</v>
      </c>
      <c r="DL107" s="19" t="s">
        <v>114</v>
      </c>
      <c r="DM107" s="19" t="s">
        <v>114</v>
      </c>
      <c r="DN107" s="19" t="s">
        <v>114</v>
      </c>
      <c r="DO107" s="19" t="s">
        <v>114</v>
      </c>
    </row>
    <row r="108" spans="1:119" hidden="1" x14ac:dyDescent="0.45">
      <c r="A108" s="2"/>
      <c r="B108" s="5" t="s">
        <v>1098</v>
      </c>
      <c r="C108">
        <v>99053</v>
      </c>
      <c r="D108" s="6">
        <v>389</v>
      </c>
      <c r="E108" s="2" t="s">
        <v>1743</v>
      </c>
      <c r="F108" s="5" t="s">
        <v>2407</v>
      </c>
      <c r="H108" s="8"/>
      <c r="I108" s="2" t="s">
        <v>1100</v>
      </c>
      <c r="J108" s="2">
        <v>19</v>
      </c>
      <c r="K108" t="s">
        <v>157</v>
      </c>
      <c r="L108" s="2">
        <v>419</v>
      </c>
      <c r="M108" t="s">
        <v>174</v>
      </c>
      <c r="N108">
        <v>13</v>
      </c>
      <c r="O108" s="3" t="s">
        <v>267</v>
      </c>
      <c r="P108" s="2" t="s">
        <v>176</v>
      </c>
      <c r="Q108" s="2" t="s">
        <v>177</v>
      </c>
      <c r="R108" s="4">
        <v>419</v>
      </c>
      <c r="S108" s="2" t="s">
        <v>174</v>
      </c>
      <c r="T108" s="2">
        <v>419</v>
      </c>
      <c r="U108" s="4" t="s">
        <v>174</v>
      </c>
      <c r="V108" t="e">
        <v>#N/A</v>
      </c>
      <c r="W108" t="e">
        <v>#N/A</v>
      </c>
      <c r="X108" t="e">
        <v>#N/A</v>
      </c>
      <c r="AA108" t="s">
        <v>2799</v>
      </c>
      <c r="AB108" t="s">
        <v>282</v>
      </c>
      <c r="AC108" s="2" t="s">
        <v>1888</v>
      </c>
      <c r="AD108" s="2" t="s">
        <v>1888</v>
      </c>
      <c r="AE108" t="s">
        <v>104</v>
      </c>
      <c r="AF108" t="s">
        <v>1885</v>
      </c>
      <c r="AG108" t="s">
        <v>158</v>
      </c>
      <c r="AK108" s="3" t="s">
        <v>1021</v>
      </c>
      <c r="AL108" s="5"/>
      <c r="AM108" s="5" t="s">
        <v>109</v>
      </c>
      <c r="AO108" s="3" t="s">
        <v>119</v>
      </c>
      <c r="AP108" s="3" t="s">
        <v>120</v>
      </c>
      <c r="AQ108" s="3" t="s">
        <v>111</v>
      </c>
      <c r="AR108" s="3" t="s">
        <v>112</v>
      </c>
      <c r="AS108" s="3" t="s">
        <v>112</v>
      </c>
      <c r="AT108" s="3" t="s">
        <v>113</v>
      </c>
      <c r="AU108" s="3" t="s">
        <v>2303</v>
      </c>
      <c r="AV108" s="3" t="s">
        <v>2302</v>
      </c>
      <c r="AW108" s="3" t="s">
        <v>2301</v>
      </c>
      <c r="AX108" t="s">
        <v>282</v>
      </c>
      <c r="AY108" s="19" t="s">
        <v>114</v>
      </c>
      <c r="AZ108" s="19" t="s">
        <v>114</v>
      </c>
      <c r="BA108" s="19" t="s">
        <v>114</v>
      </c>
      <c r="BB108" s="19" t="s">
        <v>114</v>
      </c>
      <c r="BC108" s="19" t="s">
        <v>114</v>
      </c>
      <c r="BD108" s="19" t="s">
        <v>114</v>
      </c>
      <c r="BE108" s="19" t="s">
        <v>114</v>
      </c>
      <c r="BF108" s="19" t="s">
        <v>114</v>
      </c>
      <c r="BG108" s="19" t="s">
        <v>114</v>
      </c>
      <c r="BH108" s="19" t="s">
        <v>114</v>
      </c>
      <c r="BI108" s="19" t="s">
        <v>114</v>
      </c>
      <c r="BJ108" s="19" t="s">
        <v>114</v>
      </c>
      <c r="BK108" s="19" t="s">
        <v>114</v>
      </c>
      <c r="BL108" s="19" t="s">
        <v>114</v>
      </c>
      <c r="BM108" s="19" t="s">
        <v>114</v>
      </c>
      <c r="BN108" s="19" t="s">
        <v>114</v>
      </c>
      <c r="BO108" s="19" t="s">
        <v>114</v>
      </c>
      <c r="BP108" s="19" t="s">
        <v>114</v>
      </c>
      <c r="BQ108" s="19" t="s">
        <v>114</v>
      </c>
      <c r="BR108" s="19" t="s">
        <v>114</v>
      </c>
      <c r="BS108" s="19" t="s">
        <v>114</v>
      </c>
      <c r="BT108" s="19" t="s">
        <v>114</v>
      </c>
      <c r="BU108" s="19" t="s">
        <v>114</v>
      </c>
      <c r="BV108" s="19" t="s">
        <v>114</v>
      </c>
      <c r="BW108" s="19" t="s">
        <v>114</v>
      </c>
      <c r="BX108" s="19" t="s">
        <v>114</v>
      </c>
      <c r="BY108" s="19" t="s">
        <v>114</v>
      </c>
      <c r="BZ108" s="21" t="s">
        <v>114</v>
      </c>
      <c r="CA108" s="21" t="s">
        <v>114</v>
      </c>
      <c r="CB108" s="21" t="s">
        <v>114</v>
      </c>
      <c r="CC108" s="21" t="s">
        <v>114</v>
      </c>
      <c r="CD108" s="21" t="s">
        <v>114</v>
      </c>
      <c r="CE108" s="21" t="s">
        <v>114</v>
      </c>
      <c r="CF108" s="19" t="s">
        <v>114</v>
      </c>
      <c r="CG108" s="19" t="s">
        <v>114</v>
      </c>
      <c r="CH108" s="19" t="s">
        <v>114</v>
      </c>
      <c r="CI108" s="21" t="s">
        <v>114</v>
      </c>
      <c r="CJ108" s="21" t="s">
        <v>114</v>
      </c>
      <c r="CK108" s="21" t="s">
        <v>114</v>
      </c>
      <c r="CL108" s="21" t="s">
        <v>114</v>
      </c>
      <c r="CM108" s="21" t="s">
        <v>114</v>
      </c>
      <c r="CN108" s="21" t="s">
        <v>114</v>
      </c>
      <c r="CO108" s="21" t="s">
        <v>114</v>
      </c>
      <c r="CP108" s="21" t="s">
        <v>114</v>
      </c>
      <c r="CQ108" s="21" t="s">
        <v>114</v>
      </c>
      <c r="CR108" s="21" t="s">
        <v>114</v>
      </c>
      <c r="CS108" s="21" t="s">
        <v>114</v>
      </c>
      <c r="CT108" s="21" t="s">
        <v>114</v>
      </c>
      <c r="CU108" s="21" t="s">
        <v>114</v>
      </c>
      <c r="CV108" s="21" t="s">
        <v>114</v>
      </c>
      <c r="CW108" s="21" t="s">
        <v>114</v>
      </c>
      <c r="CX108" s="21" t="s">
        <v>114</v>
      </c>
      <c r="CY108" s="21" t="s">
        <v>114</v>
      </c>
      <c r="CZ108" s="21" t="s">
        <v>114</v>
      </c>
      <c r="DA108" s="21" t="s">
        <v>114</v>
      </c>
      <c r="DB108" s="21" t="s">
        <v>114</v>
      </c>
      <c r="DC108" s="21" t="s">
        <v>114</v>
      </c>
      <c r="DD108" s="21" t="s">
        <v>114</v>
      </c>
      <c r="DE108" s="21" t="s">
        <v>114</v>
      </c>
      <c r="DF108" s="19" t="s">
        <v>114</v>
      </c>
      <c r="DG108" s="19" t="s">
        <v>114</v>
      </c>
      <c r="DH108" s="19" t="s">
        <v>114</v>
      </c>
      <c r="DI108" s="19" t="s">
        <v>114</v>
      </c>
      <c r="DJ108" s="19" t="s">
        <v>114</v>
      </c>
      <c r="DK108" s="19" t="s">
        <v>114</v>
      </c>
      <c r="DL108" s="19" t="s">
        <v>114</v>
      </c>
      <c r="DM108" s="19" t="s">
        <v>114</v>
      </c>
      <c r="DN108" s="19" t="s">
        <v>114</v>
      </c>
      <c r="DO108" s="19" t="s">
        <v>114</v>
      </c>
    </row>
    <row r="109" spans="1:119" hidden="1" x14ac:dyDescent="0.45">
      <c r="A109" s="2"/>
      <c r="B109" s="5" t="s">
        <v>1921</v>
      </c>
      <c r="C109" s="2">
        <v>99055</v>
      </c>
      <c r="D109" s="6">
        <v>291</v>
      </c>
      <c r="E109" s="2" t="s">
        <v>1926</v>
      </c>
      <c r="F109" s="2" t="s">
        <v>2408</v>
      </c>
      <c r="H109" s="8"/>
      <c r="I109" s="2" t="s">
        <v>1097</v>
      </c>
      <c r="J109" s="2">
        <v>142</v>
      </c>
      <c r="K109" t="s">
        <v>100</v>
      </c>
      <c r="L109" s="2">
        <v>143</v>
      </c>
      <c r="M109" t="s">
        <v>387</v>
      </c>
      <c r="O109" s="2"/>
      <c r="P109" s="2" t="s">
        <v>100</v>
      </c>
      <c r="Q109" s="2" t="s">
        <v>129</v>
      </c>
      <c r="R109" s="2">
        <v>62</v>
      </c>
      <c r="S109" s="2" t="s">
        <v>388</v>
      </c>
      <c r="T109" s="4">
        <v>143</v>
      </c>
      <c r="U109" s="4" t="s">
        <v>387</v>
      </c>
      <c r="V109" t="e">
        <v>#N/A</v>
      </c>
      <c r="W109" t="e">
        <v>#N/A</v>
      </c>
      <c r="X109" t="e">
        <v>#N/A</v>
      </c>
      <c r="AA109" t="s">
        <v>2755</v>
      </c>
      <c r="AB109" t="s">
        <v>282</v>
      </c>
      <c r="AC109" s="2" t="s">
        <v>1888</v>
      </c>
      <c r="AD109" s="2" t="s">
        <v>1888</v>
      </c>
      <c r="AE109" t="s">
        <v>104</v>
      </c>
      <c r="AF109" t="s">
        <v>1885</v>
      </c>
      <c r="AG109" t="s">
        <v>158</v>
      </c>
      <c r="AK109" s="3" t="s">
        <v>1021</v>
      </c>
      <c r="AL109" s="5"/>
      <c r="AM109" s="5" t="s">
        <v>109</v>
      </c>
      <c r="AO109" s="3" t="s">
        <v>119</v>
      </c>
      <c r="AP109" t="s">
        <v>120</v>
      </c>
      <c r="AQ109" s="3" t="s">
        <v>111</v>
      </c>
      <c r="AR109" s="3" t="s">
        <v>112</v>
      </c>
      <c r="AS109" s="3" t="s">
        <v>112</v>
      </c>
      <c r="AT109" s="3" t="s">
        <v>113</v>
      </c>
      <c r="AU109" s="3" t="s">
        <v>2303</v>
      </c>
      <c r="AV109" s="3" t="s">
        <v>2302</v>
      </c>
      <c r="AW109" s="3" t="s">
        <v>2301</v>
      </c>
      <c r="AX109" t="s">
        <v>282</v>
      </c>
      <c r="AY109" s="19" t="s">
        <v>114</v>
      </c>
      <c r="AZ109" s="19" t="s">
        <v>114</v>
      </c>
      <c r="BA109" s="19" t="s">
        <v>114</v>
      </c>
      <c r="BB109" s="19" t="s">
        <v>114</v>
      </c>
      <c r="BC109" s="19" t="s">
        <v>114</v>
      </c>
      <c r="BD109" s="19" t="s">
        <v>114</v>
      </c>
      <c r="BE109" s="19" t="s">
        <v>114</v>
      </c>
      <c r="BF109" s="19" t="s">
        <v>114</v>
      </c>
      <c r="BG109" s="19" t="s">
        <v>114</v>
      </c>
      <c r="BH109" s="19" t="s">
        <v>114</v>
      </c>
      <c r="BI109" s="19" t="s">
        <v>114</v>
      </c>
      <c r="BJ109" s="19" t="s">
        <v>114</v>
      </c>
      <c r="BK109" s="19" t="s">
        <v>114</v>
      </c>
      <c r="BL109" s="19" t="s">
        <v>114</v>
      </c>
      <c r="BM109" s="19" t="s">
        <v>114</v>
      </c>
      <c r="BN109" s="19" t="s">
        <v>114</v>
      </c>
      <c r="BO109" s="19" t="s">
        <v>114</v>
      </c>
      <c r="BP109" s="19" t="s">
        <v>114</v>
      </c>
      <c r="BQ109" s="19" t="s">
        <v>114</v>
      </c>
      <c r="BR109" s="19" t="s">
        <v>114</v>
      </c>
      <c r="BS109" s="19" t="s">
        <v>114</v>
      </c>
      <c r="BT109" s="19" t="s">
        <v>114</v>
      </c>
      <c r="BU109" s="19" t="s">
        <v>114</v>
      </c>
      <c r="BV109" s="19" t="s">
        <v>114</v>
      </c>
      <c r="BW109" s="19" t="s">
        <v>114</v>
      </c>
      <c r="BX109" s="19" t="s">
        <v>114</v>
      </c>
      <c r="BY109" s="19" t="s">
        <v>114</v>
      </c>
      <c r="BZ109" s="21" t="s">
        <v>114</v>
      </c>
      <c r="CA109" s="21" t="s">
        <v>114</v>
      </c>
      <c r="CB109" s="21" t="s">
        <v>114</v>
      </c>
      <c r="CC109" s="21" t="s">
        <v>114</v>
      </c>
      <c r="CD109" s="21" t="s">
        <v>114</v>
      </c>
      <c r="CE109" s="21" t="s">
        <v>114</v>
      </c>
      <c r="CF109" s="19" t="s">
        <v>114</v>
      </c>
      <c r="CG109" s="19" t="s">
        <v>114</v>
      </c>
      <c r="CH109" s="19" t="s">
        <v>114</v>
      </c>
      <c r="CI109" s="21" t="s">
        <v>114</v>
      </c>
      <c r="CJ109" s="21" t="s">
        <v>114</v>
      </c>
      <c r="CK109" s="21" t="s">
        <v>114</v>
      </c>
      <c r="CL109" s="21" t="s">
        <v>114</v>
      </c>
      <c r="CM109" s="21" t="s">
        <v>114</v>
      </c>
      <c r="CN109" s="21" t="s">
        <v>114</v>
      </c>
      <c r="CO109" s="21" t="s">
        <v>114</v>
      </c>
      <c r="CP109" s="21" t="s">
        <v>114</v>
      </c>
      <c r="CQ109" s="21" t="s">
        <v>114</v>
      </c>
      <c r="CR109" s="21" t="s">
        <v>114</v>
      </c>
      <c r="CS109" s="21" t="s">
        <v>114</v>
      </c>
      <c r="CT109" s="21" t="s">
        <v>114</v>
      </c>
      <c r="CU109" s="21" t="s">
        <v>114</v>
      </c>
      <c r="CV109" s="21" t="s">
        <v>114</v>
      </c>
      <c r="CW109" s="21" t="s">
        <v>114</v>
      </c>
      <c r="CX109" s="21" t="s">
        <v>114</v>
      </c>
      <c r="CY109" s="21" t="s">
        <v>114</v>
      </c>
      <c r="CZ109" s="21" t="s">
        <v>114</v>
      </c>
      <c r="DA109" s="21" t="s">
        <v>114</v>
      </c>
      <c r="DB109" s="21" t="s">
        <v>114</v>
      </c>
      <c r="DC109" s="21" t="s">
        <v>114</v>
      </c>
      <c r="DD109" s="21" t="s">
        <v>114</v>
      </c>
      <c r="DE109" s="21" t="s">
        <v>114</v>
      </c>
      <c r="DF109" s="19" t="s">
        <v>114</v>
      </c>
      <c r="DG109" s="19" t="s">
        <v>114</v>
      </c>
      <c r="DH109" s="19" t="s">
        <v>114</v>
      </c>
      <c r="DI109" s="19" t="s">
        <v>114</v>
      </c>
      <c r="DJ109" s="19" t="s">
        <v>114</v>
      </c>
      <c r="DK109" s="19" t="s">
        <v>114</v>
      </c>
      <c r="DL109" s="19" t="s">
        <v>114</v>
      </c>
      <c r="DM109" s="19" t="s">
        <v>114</v>
      </c>
      <c r="DN109" s="19" t="s">
        <v>114</v>
      </c>
      <c r="DO109" s="19" t="s">
        <v>114</v>
      </c>
    </row>
    <row r="110" spans="1:119" hidden="1" x14ac:dyDescent="0.45">
      <c r="A110" s="2"/>
      <c r="B110" s="5" t="s">
        <v>1924</v>
      </c>
      <c r="C110" s="2">
        <v>99035</v>
      </c>
      <c r="D110" s="6">
        <v>290</v>
      </c>
      <c r="E110" s="2" t="s">
        <v>1923</v>
      </c>
      <c r="F110" s="23" t="s">
        <v>2409</v>
      </c>
      <c r="H110" s="8"/>
      <c r="I110" s="2" t="s">
        <v>1097</v>
      </c>
      <c r="J110" s="2">
        <v>142</v>
      </c>
      <c r="K110" t="s">
        <v>100</v>
      </c>
      <c r="L110" s="2"/>
      <c r="O110" s="2"/>
      <c r="P110" s="2" t="s">
        <v>100</v>
      </c>
      <c r="Q110" s="2" t="s">
        <v>129</v>
      </c>
      <c r="R110" s="2">
        <v>62</v>
      </c>
      <c r="S110" s="2" t="s">
        <v>388</v>
      </c>
      <c r="T110" s="4">
        <v>34</v>
      </c>
      <c r="U110" s="4" t="s">
        <v>101</v>
      </c>
      <c r="V110" t="e">
        <v>#N/A</v>
      </c>
      <c r="W110" t="e">
        <v>#N/A</v>
      </c>
      <c r="X110" t="e">
        <v>#N/A</v>
      </c>
      <c r="AA110" t="s">
        <v>2511</v>
      </c>
      <c r="AB110" t="s">
        <v>282</v>
      </c>
      <c r="AC110" s="2" t="s">
        <v>1888</v>
      </c>
      <c r="AD110" s="2" t="s">
        <v>1888</v>
      </c>
      <c r="AE110" t="s">
        <v>104</v>
      </c>
      <c r="AF110" t="s">
        <v>1885</v>
      </c>
      <c r="AG110" t="s">
        <v>1884</v>
      </c>
      <c r="AK110" s="3" t="s">
        <v>1021</v>
      </c>
      <c r="AL110" s="5"/>
      <c r="AM110" s="5" t="s">
        <v>109</v>
      </c>
      <c r="AO110" s="3" t="s">
        <v>119</v>
      </c>
      <c r="AP110" t="s">
        <v>120</v>
      </c>
      <c r="AQ110" s="3" t="s">
        <v>111</v>
      </c>
      <c r="AR110" s="3" t="s">
        <v>112</v>
      </c>
      <c r="AS110" s="3" t="s">
        <v>112</v>
      </c>
      <c r="AT110" s="3" t="s">
        <v>113</v>
      </c>
      <c r="AU110" s="3" t="s">
        <v>2303</v>
      </c>
      <c r="AV110" s="3" t="s">
        <v>2302</v>
      </c>
      <c r="AW110" s="3" t="s">
        <v>2301</v>
      </c>
      <c r="AX110" t="s">
        <v>282</v>
      </c>
      <c r="AY110" s="19" t="s">
        <v>114</v>
      </c>
      <c r="AZ110" s="19" t="s">
        <v>114</v>
      </c>
      <c r="BA110" s="19" t="s">
        <v>114</v>
      </c>
      <c r="BB110" s="19" t="s">
        <v>114</v>
      </c>
      <c r="BC110" s="19" t="s">
        <v>114</v>
      </c>
      <c r="BD110" s="19" t="s">
        <v>114</v>
      </c>
      <c r="BE110" s="19" t="s">
        <v>114</v>
      </c>
      <c r="BF110" s="19" t="s">
        <v>114</v>
      </c>
      <c r="BG110" s="19" t="s">
        <v>114</v>
      </c>
      <c r="BH110" s="19" t="s">
        <v>114</v>
      </c>
      <c r="BI110" s="19" t="s">
        <v>114</v>
      </c>
      <c r="BJ110" s="19" t="s">
        <v>114</v>
      </c>
      <c r="BK110" s="19" t="s">
        <v>114</v>
      </c>
      <c r="BL110" s="19" t="s">
        <v>114</v>
      </c>
      <c r="BM110" s="19" t="s">
        <v>114</v>
      </c>
      <c r="BN110" s="19" t="s">
        <v>114</v>
      </c>
      <c r="BO110" s="19" t="s">
        <v>114</v>
      </c>
      <c r="BP110" s="19" t="s">
        <v>114</v>
      </c>
      <c r="BQ110" s="19" t="s">
        <v>114</v>
      </c>
      <c r="BR110" s="19" t="s">
        <v>114</v>
      </c>
      <c r="BS110" s="19" t="s">
        <v>114</v>
      </c>
      <c r="BT110" s="19" t="s">
        <v>114</v>
      </c>
      <c r="BU110" s="19" t="s">
        <v>114</v>
      </c>
      <c r="BV110" s="19" t="s">
        <v>114</v>
      </c>
      <c r="BW110" s="19" t="s">
        <v>114</v>
      </c>
      <c r="BX110" s="19" t="s">
        <v>114</v>
      </c>
      <c r="BY110" s="19" t="s">
        <v>114</v>
      </c>
      <c r="BZ110" s="21" t="s">
        <v>114</v>
      </c>
      <c r="CA110" s="21" t="s">
        <v>114</v>
      </c>
      <c r="CB110" s="21" t="s">
        <v>114</v>
      </c>
      <c r="CC110" s="21" t="s">
        <v>114</v>
      </c>
      <c r="CD110" s="21" t="s">
        <v>114</v>
      </c>
      <c r="CE110" s="21" t="s">
        <v>114</v>
      </c>
      <c r="CF110" s="19" t="s">
        <v>114</v>
      </c>
      <c r="CG110" s="19" t="s">
        <v>114</v>
      </c>
      <c r="CH110" s="19" t="s">
        <v>114</v>
      </c>
      <c r="CI110" s="21" t="s">
        <v>114</v>
      </c>
      <c r="CJ110" s="21" t="s">
        <v>114</v>
      </c>
      <c r="CK110" s="21" t="s">
        <v>114</v>
      </c>
      <c r="CL110" s="21" t="s">
        <v>114</v>
      </c>
      <c r="CM110" s="21" t="s">
        <v>114</v>
      </c>
      <c r="CN110" s="21" t="s">
        <v>114</v>
      </c>
      <c r="CO110" s="21" t="s">
        <v>114</v>
      </c>
      <c r="CP110" s="21" t="s">
        <v>114</v>
      </c>
      <c r="CQ110" s="21" t="s">
        <v>114</v>
      </c>
      <c r="CR110" s="21" t="s">
        <v>114</v>
      </c>
      <c r="CS110" s="21" t="s">
        <v>114</v>
      </c>
      <c r="CT110" s="21" t="s">
        <v>114</v>
      </c>
      <c r="CU110" s="21" t="s">
        <v>114</v>
      </c>
      <c r="CV110" s="21" t="s">
        <v>114</v>
      </c>
      <c r="CW110" s="21" t="s">
        <v>114</v>
      </c>
      <c r="CX110" s="21" t="s">
        <v>114</v>
      </c>
      <c r="CY110" s="21" t="s">
        <v>114</v>
      </c>
      <c r="CZ110" s="21" t="s">
        <v>114</v>
      </c>
      <c r="DA110" s="21" t="s">
        <v>114</v>
      </c>
      <c r="DB110" s="21" t="s">
        <v>114</v>
      </c>
      <c r="DC110" s="21" t="s">
        <v>114</v>
      </c>
      <c r="DD110" s="21" t="s">
        <v>114</v>
      </c>
      <c r="DE110" s="21" t="s">
        <v>114</v>
      </c>
      <c r="DF110" s="19" t="s">
        <v>114</v>
      </c>
      <c r="DG110" s="19" t="s">
        <v>114</v>
      </c>
      <c r="DH110" s="19" t="s">
        <v>114</v>
      </c>
      <c r="DI110" s="19" t="s">
        <v>114</v>
      </c>
      <c r="DJ110" s="19" t="s">
        <v>114</v>
      </c>
      <c r="DK110" s="19" t="s">
        <v>114</v>
      </c>
      <c r="DL110" s="19" t="s">
        <v>114</v>
      </c>
      <c r="DM110" s="19" t="s">
        <v>114</v>
      </c>
      <c r="DN110" s="19" t="s">
        <v>114</v>
      </c>
      <c r="DO110" s="19" t="s">
        <v>114</v>
      </c>
    </row>
    <row r="111" spans="1:119" hidden="1" x14ac:dyDescent="0.45">
      <c r="A111" s="2"/>
      <c r="B111" s="5" t="s">
        <v>1094</v>
      </c>
      <c r="C111">
        <v>99036</v>
      </c>
      <c r="D111" s="6">
        <v>289</v>
      </c>
      <c r="E111" s="2" t="s">
        <v>1095</v>
      </c>
      <c r="F111" s="22" t="s">
        <v>2406</v>
      </c>
      <c r="H111" s="8"/>
      <c r="I111" s="2" t="s">
        <v>1097</v>
      </c>
      <c r="J111" s="2">
        <v>142</v>
      </c>
      <c r="K111" t="s">
        <v>100</v>
      </c>
      <c r="L111" s="2"/>
      <c r="M111" t="s">
        <v>1095</v>
      </c>
      <c r="P111" s="2" t="s">
        <v>100</v>
      </c>
      <c r="Q111" s="2" t="s">
        <v>155</v>
      </c>
      <c r="R111" s="4">
        <v>753</v>
      </c>
      <c r="S111" s="4" t="s">
        <v>525</v>
      </c>
      <c r="T111" s="4">
        <v>35</v>
      </c>
      <c r="U111" s="4" t="s">
        <v>338</v>
      </c>
      <c r="V111" t="e">
        <v>#N/A</v>
      </c>
      <c r="W111" t="e">
        <v>#N/A</v>
      </c>
      <c r="X111" t="e">
        <v>#N/A</v>
      </c>
      <c r="AA111" t="s">
        <v>2511</v>
      </c>
      <c r="AB111" t="s">
        <v>282</v>
      </c>
      <c r="AC111" s="2" t="s">
        <v>1888</v>
      </c>
      <c r="AD111" s="2" t="s">
        <v>1888</v>
      </c>
      <c r="AE111" t="s">
        <v>104</v>
      </c>
      <c r="AF111" t="s">
        <v>1885</v>
      </c>
      <c r="AG111" t="s">
        <v>1884</v>
      </c>
      <c r="AK111" s="3" t="s">
        <v>1021</v>
      </c>
      <c r="AL111" s="5"/>
      <c r="AM111" s="5" t="s">
        <v>109</v>
      </c>
      <c r="AO111" s="3" t="s">
        <v>119</v>
      </c>
      <c r="AP111" s="3" t="s">
        <v>120</v>
      </c>
      <c r="AQ111" s="3" t="s">
        <v>111</v>
      </c>
      <c r="AR111" s="3" t="s">
        <v>112</v>
      </c>
      <c r="AS111" s="3" t="s">
        <v>112</v>
      </c>
      <c r="AT111" s="3" t="s">
        <v>113</v>
      </c>
      <c r="AU111" s="3" t="s">
        <v>2303</v>
      </c>
      <c r="AV111" s="3" t="s">
        <v>2302</v>
      </c>
      <c r="AW111" s="3" t="s">
        <v>2301</v>
      </c>
      <c r="AX111" t="s">
        <v>282</v>
      </c>
      <c r="AY111" s="19" t="s">
        <v>114</v>
      </c>
      <c r="AZ111" s="19" t="s">
        <v>114</v>
      </c>
      <c r="BA111" s="19" t="s">
        <v>114</v>
      </c>
      <c r="BB111" s="19" t="s">
        <v>114</v>
      </c>
      <c r="BC111" s="19" t="s">
        <v>114</v>
      </c>
      <c r="BD111" s="19" t="s">
        <v>114</v>
      </c>
      <c r="BE111" s="19" t="s">
        <v>114</v>
      </c>
      <c r="BF111" s="19" t="s">
        <v>114</v>
      </c>
      <c r="BG111" s="19" t="s">
        <v>114</v>
      </c>
      <c r="BH111" s="19" t="s">
        <v>114</v>
      </c>
      <c r="BI111" s="19" t="s">
        <v>114</v>
      </c>
      <c r="BJ111" s="19" t="s">
        <v>114</v>
      </c>
      <c r="BK111" s="19" t="s">
        <v>114</v>
      </c>
      <c r="BL111" s="19" t="s">
        <v>114</v>
      </c>
      <c r="BM111" s="19" t="s">
        <v>114</v>
      </c>
      <c r="BN111" s="19" t="s">
        <v>114</v>
      </c>
      <c r="BO111" s="19" t="s">
        <v>114</v>
      </c>
      <c r="BP111" s="19" t="s">
        <v>114</v>
      </c>
      <c r="BQ111" s="19" t="s">
        <v>114</v>
      </c>
      <c r="BR111" s="19" t="s">
        <v>114</v>
      </c>
      <c r="BS111" s="19" t="s">
        <v>114</v>
      </c>
      <c r="BT111" s="19" t="s">
        <v>114</v>
      </c>
      <c r="BU111" s="19" t="s">
        <v>114</v>
      </c>
      <c r="BV111" s="19" t="s">
        <v>114</v>
      </c>
      <c r="BW111" s="19" t="s">
        <v>114</v>
      </c>
      <c r="BX111" s="19" t="s">
        <v>114</v>
      </c>
      <c r="BY111" s="19" t="s">
        <v>114</v>
      </c>
      <c r="BZ111" s="21" t="s">
        <v>114</v>
      </c>
      <c r="CA111" s="21" t="s">
        <v>114</v>
      </c>
      <c r="CB111" s="21" t="s">
        <v>114</v>
      </c>
      <c r="CC111" s="21" t="s">
        <v>114</v>
      </c>
      <c r="CD111" s="21" t="s">
        <v>114</v>
      </c>
      <c r="CE111" s="21" t="s">
        <v>114</v>
      </c>
      <c r="CF111" s="19" t="s">
        <v>114</v>
      </c>
      <c r="CG111" s="19" t="s">
        <v>114</v>
      </c>
      <c r="CH111" s="19" t="s">
        <v>114</v>
      </c>
      <c r="CI111" s="21" t="s">
        <v>114</v>
      </c>
      <c r="CJ111" s="21" t="s">
        <v>114</v>
      </c>
      <c r="CK111" s="21" t="s">
        <v>114</v>
      </c>
      <c r="CL111" s="21" t="s">
        <v>114</v>
      </c>
      <c r="CM111" s="21" t="s">
        <v>114</v>
      </c>
      <c r="CN111" s="21" t="s">
        <v>114</v>
      </c>
      <c r="CO111" s="21" t="s">
        <v>114</v>
      </c>
      <c r="CP111" s="21" t="s">
        <v>114</v>
      </c>
      <c r="CQ111" s="21" t="s">
        <v>114</v>
      </c>
      <c r="CR111" s="21" t="s">
        <v>114</v>
      </c>
      <c r="CS111" s="21" t="s">
        <v>114</v>
      </c>
      <c r="CT111" s="21" t="s">
        <v>114</v>
      </c>
      <c r="CU111" s="21" t="s">
        <v>114</v>
      </c>
      <c r="CV111" s="21" t="s">
        <v>114</v>
      </c>
      <c r="CW111" s="21" t="s">
        <v>114</v>
      </c>
      <c r="CX111" s="21" t="s">
        <v>114</v>
      </c>
      <c r="CY111" s="21" t="s">
        <v>114</v>
      </c>
      <c r="CZ111" s="21" t="s">
        <v>114</v>
      </c>
      <c r="DA111" s="21" t="s">
        <v>114</v>
      </c>
      <c r="DB111" s="21" t="s">
        <v>114</v>
      </c>
      <c r="DC111" s="21" t="s">
        <v>114</v>
      </c>
      <c r="DD111" s="21" t="s">
        <v>114</v>
      </c>
      <c r="DE111" s="21" t="s">
        <v>114</v>
      </c>
      <c r="DF111" s="19" t="s">
        <v>114</v>
      </c>
      <c r="DG111" s="19" t="s">
        <v>114</v>
      </c>
      <c r="DH111" s="19" t="s">
        <v>114</v>
      </c>
      <c r="DI111" s="19" t="s">
        <v>114</v>
      </c>
      <c r="DJ111" s="19" t="s">
        <v>114</v>
      </c>
      <c r="DK111" s="19" t="s">
        <v>114</v>
      </c>
      <c r="DL111" s="19" t="s">
        <v>114</v>
      </c>
      <c r="DM111" s="19" t="s">
        <v>114</v>
      </c>
      <c r="DN111" s="19" t="s">
        <v>114</v>
      </c>
      <c r="DO111" s="19" t="s">
        <v>114</v>
      </c>
    </row>
    <row r="112" spans="1:119" hidden="1" x14ac:dyDescent="0.45">
      <c r="A112" s="2"/>
      <c r="B112" s="5" t="s">
        <v>1932</v>
      </c>
      <c r="C112" s="2">
        <v>99057</v>
      </c>
      <c r="D112" s="6">
        <v>289</v>
      </c>
      <c r="E112" s="2" t="s">
        <v>1933</v>
      </c>
      <c r="F112" s="2" t="s">
        <v>2410</v>
      </c>
      <c r="H112" s="8"/>
      <c r="I112" s="2" t="s">
        <v>1097</v>
      </c>
      <c r="J112" s="2">
        <v>142</v>
      </c>
      <c r="K112" t="s">
        <v>100</v>
      </c>
      <c r="L112" s="2">
        <v>30</v>
      </c>
      <c r="M112" t="s">
        <v>407</v>
      </c>
      <c r="O112" s="2"/>
      <c r="P112" s="2" t="s">
        <v>100</v>
      </c>
      <c r="Q112" s="2" t="s">
        <v>155</v>
      </c>
      <c r="R112" s="2">
        <v>753</v>
      </c>
      <c r="S112" s="2" t="s">
        <v>525</v>
      </c>
      <c r="T112" s="2">
        <v>30</v>
      </c>
      <c r="U112" t="s">
        <v>407</v>
      </c>
      <c r="V112" t="e">
        <v>#N/A</v>
      </c>
      <c r="W112" t="e">
        <v>#N/A</v>
      </c>
      <c r="X112" t="e">
        <v>#N/A</v>
      </c>
      <c r="AA112" t="s">
        <v>2511</v>
      </c>
      <c r="AB112" t="s">
        <v>282</v>
      </c>
      <c r="AC112" s="2" t="s">
        <v>1888</v>
      </c>
      <c r="AD112" s="2" t="s">
        <v>1888</v>
      </c>
      <c r="AE112" t="s">
        <v>104</v>
      </c>
      <c r="AF112" t="s">
        <v>1885</v>
      </c>
      <c r="AG112" t="s">
        <v>158</v>
      </c>
      <c r="AK112" s="3" t="s">
        <v>1021</v>
      </c>
      <c r="AL112" s="5"/>
      <c r="AM112" s="5" t="s">
        <v>109</v>
      </c>
      <c r="AO112" s="3" t="s">
        <v>119</v>
      </c>
      <c r="AP112" t="s">
        <v>120</v>
      </c>
      <c r="AQ112" s="3" t="s">
        <v>111</v>
      </c>
      <c r="AR112" s="3" t="s">
        <v>112</v>
      </c>
      <c r="AS112" s="3" t="s">
        <v>112</v>
      </c>
      <c r="AT112" s="3" t="s">
        <v>113</v>
      </c>
      <c r="AU112" s="3" t="s">
        <v>2303</v>
      </c>
      <c r="AV112" s="3" t="s">
        <v>2302</v>
      </c>
      <c r="AW112" s="3" t="s">
        <v>2301</v>
      </c>
      <c r="AX112" t="s">
        <v>282</v>
      </c>
      <c r="AY112" s="19" t="s">
        <v>114</v>
      </c>
      <c r="AZ112" s="19" t="s">
        <v>114</v>
      </c>
      <c r="BA112" s="19" t="s">
        <v>114</v>
      </c>
      <c r="BB112" s="19" t="s">
        <v>114</v>
      </c>
      <c r="BC112" s="19" t="s">
        <v>114</v>
      </c>
      <c r="BD112" s="19" t="s">
        <v>114</v>
      </c>
      <c r="BE112" s="19" t="s">
        <v>114</v>
      </c>
      <c r="BF112" s="19" t="s">
        <v>114</v>
      </c>
      <c r="BG112" s="19" t="s">
        <v>114</v>
      </c>
      <c r="BH112" s="19" t="s">
        <v>114</v>
      </c>
      <c r="BI112" s="19" t="s">
        <v>114</v>
      </c>
      <c r="BJ112" s="19" t="s">
        <v>114</v>
      </c>
      <c r="BK112" s="19" t="s">
        <v>114</v>
      </c>
      <c r="BL112" s="19" t="s">
        <v>114</v>
      </c>
      <c r="BM112" s="19" t="s">
        <v>114</v>
      </c>
      <c r="BN112" s="19" t="s">
        <v>114</v>
      </c>
      <c r="BO112" s="19" t="s">
        <v>114</v>
      </c>
      <c r="BP112" s="19" t="s">
        <v>114</v>
      </c>
      <c r="BQ112" s="19" t="s">
        <v>114</v>
      </c>
      <c r="BR112" s="19" t="s">
        <v>114</v>
      </c>
      <c r="BS112" s="19" t="s">
        <v>114</v>
      </c>
      <c r="BT112" s="19" t="s">
        <v>114</v>
      </c>
      <c r="BU112" s="19" t="s">
        <v>114</v>
      </c>
      <c r="BV112" s="19" t="s">
        <v>114</v>
      </c>
      <c r="BW112" s="19" t="s">
        <v>114</v>
      </c>
      <c r="BX112" s="19" t="s">
        <v>114</v>
      </c>
      <c r="BY112" s="19" t="s">
        <v>114</v>
      </c>
      <c r="BZ112" s="21" t="s">
        <v>114</v>
      </c>
      <c r="CA112" s="21" t="s">
        <v>114</v>
      </c>
      <c r="CB112" s="21" t="s">
        <v>114</v>
      </c>
      <c r="CC112" s="21" t="s">
        <v>114</v>
      </c>
      <c r="CD112" s="21" t="s">
        <v>114</v>
      </c>
      <c r="CE112" s="21" t="s">
        <v>114</v>
      </c>
      <c r="CF112" s="19" t="s">
        <v>114</v>
      </c>
      <c r="CG112" s="19" t="s">
        <v>114</v>
      </c>
      <c r="CH112" s="19" t="s">
        <v>114</v>
      </c>
      <c r="CI112" s="21" t="s">
        <v>114</v>
      </c>
      <c r="CJ112" s="21" t="s">
        <v>114</v>
      </c>
      <c r="CK112" s="21" t="s">
        <v>114</v>
      </c>
      <c r="CL112" s="21" t="s">
        <v>114</v>
      </c>
      <c r="CM112" s="21" t="s">
        <v>114</v>
      </c>
      <c r="CN112" s="21" t="s">
        <v>114</v>
      </c>
      <c r="CO112" s="21" t="s">
        <v>114</v>
      </c>
      <c r="CP112" s="21" t="s">
        <v>114</v>
      </c>
      <c r="CQ112" s="21" t="s">
        <v>114</v>
      </c>
      <c r="CR112" s="21" t="s">
        <v>114</v>
      </c>
      <c r="CS112" s="21" t="s">
        <v>114</v>
      </c>
      <c r="CT112" s="21" t="s">
        <v>114</v>
      </c>
      <c r="CU112" s="21" t="s">
        <v>114</v>
      </c>
      <c r="CV112" s="21" t="s">
        <v>114</v>
      </c>
      <c r="CW112" s="21" t="s">
        <v>114</v>
      </c>
      <c r="CX112" s="21" t="s">
        <v>114</v>
      </c>
      <c r="CY112" s="21" t="s">
        <v>114</v>
      </c>
      <c r="CZ112" s="21" t="s">
        <v>114</v>
      </c>
      <c r="DA112" s="21" t="s">
        <v>114</v>
      </c>
      <c r="DB112" s="21" t="s">
        <v>114</v>
      </c>
      <c r="DC112" s="21" t="s">
        <v>114</v>
      </c>
      <c r="DD112" s="21" t="s">
        <v>114</v>
      </c>
      <c r="DE112" s="21" t="s">
        <v>114</v>
      </c>
      <c r="DF112" s="19" t="s">
        <v>114</v>
      </c>
      <c r="DG112" s="19" t="s">
        <v>114</v>
      </c>
      <c r="DH112" s="19" t="s">
        <v>114</v>
      </c>
      <c r="DI112" s="19" t="s">
        <v>114</v>
      </c>
      <c r="DJ112" s="19" t="s">
        <v>114</v>
      </c>
      <c r="DK112" s="19" t="s">
        <v>114</v>
      </c>
      <c r="DL112" s="19" t="s">
        <v>114</v>
      </c>
      <c r="DM112" s="19" t="s">
        <v>114</v>
      </c>
      <c r="DN112" s="19" t="s">
        <v>114</v>
      </c>
      <c r="DO112" s="19" t="s">
        <v>114</v>
      </c>
    </row>
    <row r="113" spans="1:119" hidden="1" x14ac:dyDescent="0.45">
      <c r="A113" s="2"/>
      <c r="B113" s="5" t="s">
        <v>1018</v>
      </c>
      <c r="C113" s="2">
        <v>99904</v>
      </c>
      <c r="D113" s="6">
        <v>489</v>
      </c>
      <c r="E113" s="2" t="s">
        <v>1019</v>
      </c>
      <c r="F113" s="2" t="s">
        <v>2411</v>
      </c>
      <c r="H113" s="8"/>
      <c r="I113" s="2" t="s">
        <v>1020</v>
      </c>
      <c r="J113" s="2"/>
      <c r="K113" t="s">
        <v>127</v>
      </c>
      <c r="L113" s="2"/>
      <c r="P113" s="2" t="s">
        <v>203</v>
      </c>
      <c r="Q113" s="2" t="s">
        <v>129</v>
      </c>
      <c r="R113" s="2">
        <v>513</v>
      </c>
      <c r="S113" s="2" t="s">
        <v>1000</v>
      </c>
      <c r="T113" s="2">
        <v>150</v>
      </c>
      <c r="U113" s="2" t="s">
        <v>127</v>
      </c>
      <c r="V113" t="e">
        <v>#N/A</v>
      </c>
      <c r="W113" t="e">
        <v>#N/A</v>
      </c>
      <c r="X113" t="e">
        <v>#N/A</v>
      </c>
      <c r="AA113" t="s">
        <v>2511</v>
      </c>
      <c r="AB113" t="s">
        <v>282</v>
      </c>
      <c r="AC113" s="2" t="s">
        <v>1888</v>
      </c>
      <c r="AD113" s="2" t="s">
        <v>1888</v>
      </c>
      <c r="AE113" t="s">
        <v>158</v>
      </c>
      <c r="AF113" t="s">
        <v>1886</v>
      </c>
      <c r="AG113" t="s">
        <v>158</v>
      </c>
      <c r="AK113" s="3" t="s">
        <v>1021</v>
      </c>
      <c r="AL113" s="5"/>
      <c r="AM113" s="5" t="s">
        <v>109</v>
      </c>
      <c r="AO113" s="3" t="s">
        <v>119</v>
      </c>
      <c r="AP113" s="3" t="s">
        <v>120</v>
      </c>
      <c r="AQ113" s="3" t="s">
        <v>111</v>
      </c>
      <c r="AR113" s="3" t="s">
        <v>112</v>
      </c>
      <c r="AS113" s="3" t="s">
        <v>112</v>
      </c>
      <c r="AT113" s="3" t="s">
        <v>113</v>
      </c>
      <c r="AU113" s="3" t="s">
        <v>2303</v>
      </c>
      <c r="AV113" s="3" t="s">
        <v>2302</v>
      </c>
      <c r="AW113" s="3" t="s">
        <v>2301</v>
      </c>
      <c r="AX113" t="s">
        <v>282</v>
      </c>
      <c r="AY113" s="19" t="s">
        <v>114</v>
      </c>
      <c r="AZ113" s="19" t="s">
        <v>114</v>
      </c>
      <c r="BA113" s="19" t="s">
        <v>114</v>
      </c>
      <c r="BB113" s="19" t="s">
        <v>114</v>
      </c>
      <c r="BC113" s="19" t="s">
        <v>114</v>
      </c>
      <c r="BD113" s="19" t="s">
        <v>114</v>
      </c>
      <c r="BE113" s="19" t="s">
        <v>114</v>
      </c>
      <c r="BF113" s="19" t="s">
        <v>114</v>
      </c>
      <c r="BG113" s="19" t="s">
        <v>114</v>
      </c>
      <c r="BH113" s="19" t="s">
        <v>114</v>
      </c>
      <c r="BI113" s="19" t="s">
        <v>114</v>
      </c>
      <c r="BJ113" s="19" t="s">
        <v>114</v>
      </c>
      <c r="BK113" s="19" t="s">
        <v>114</v>
      </c>
      <c r="BL113" s="19" t="s">
        <v>114</v>
      </c>
      <c r="BM113" s="19" t="s">
        <v>114</v>
      </c>
      <c r="BN113" s="19" t="s">
        <v>114</v>
      </c>
      <c r="BO113" s="19" t="s">
        <v>114</v>
      </c>
      <c r="BP113" s="19" t="s">
        <v>114</v>
      </c>
      <c r="BQ113" s="19" t="s">
        <v>114</v>
      </c>
      <c r="BR113" s="19" t="s">
        <v>114</v>
      </c>
      <c r="BS113" s="19" t="s">
        <v>114</v>
      </c>
      <c r="BT113" s="19" t="s">
        <v>114</v>
      </c>
      <c r="BU113" s="19" t="s">
        <v>114</v>
      </c>
      <c r="BV113" s="19" t="s">
        <v>114</v>
      </c>
      <c r="BW113" s="19" t="s">
        <v>114</v>
      </c>
      <c r="BX113" s="19" t="s">
        <v>114</v>
      </c>
      <c r="BY113" s="19" t="s">
        <v>114</v>
      </c>
      <c r="BZ113" s="21" t="s">
        <v>114</v>
      </c>
      <c r="CA113" s="21" t="s">
        <v>114</v>
      </c>
      <c r="CB113" s="21" t="s">
        <v>114</v>
      </c>
      <c r="CC113" s="21" t="s">
        <v>114</v>
      </c>
      <c r="CD113" s="21" t="s">
        <v>114</v>
      </c>
      <c r="CE113" s="21" t="s">
        <v>114</v>
      </c>
      <c r="CF113" s="19" t="s">
        <v>114</v>
      </c>
      <c r="CG113" s="19" t="s">
        <v>114</v>
      </c>
      <c r="CH113" s="19" t="s">
        <v>114</v>
      </c>
      <c r="CI113" s="21" t="s">
        <v>114</v>
      </c>
      <c r="CJ113" s="21" t="s">
        <v>114</v>
      </c>
      <c r="CK113" s="21" t="s">
        <v>114</v>
      </c>
      <c r="CL113" s="21" t="s">
        <v>114</v>
      </c>
      <c r="CM113" s="21" t="s">
        <v>114</v>
      </c>
      <c r="CN113" s="21" t="s">
        <v>114</v>
      </c>
      <c r="CO113" s="21" t="s">
        <v>114</v>
      </c>
      <c r="CP113" s="21" t="s">
        <v>114</v>
      </c>
      <c r="CQ113" s="21" t="s">
        <v>114</v>
      </c>
      <c r="CR113" s="21" t="s">
        <v>114</v>
      </c>
      <c r="CS113" s="21" t="s">
        <v>114</v>
      </c>
      <c r="CT113" s="21" t="s">
        <v>114</v>
      </c>
      <c r="CU113" s="21" t="s">
        <v>114</v>
      </c>
      <c r="CV113" s="21" t="s">
        <v>114</v>
      </c>
      <c r="CW113" s="21" t="s">
        <v>114</v>
      </c>
      <c r="CX113" s="21" t="s">
        <v>114</v>
      </c>
      <c r="CY113" s="21" t="s">
        <v>114</v>
      </c>
      <c r="CZ113" s="21" t="s">
        <v>114</v>
      </c>
      <c r="DA113" s="21" t="s">
        <v>114</v>
      </c>
      <c r="DB113" s="21" t="s">
        <v>114</v>
      </c>
      <c r="DC113" s="21" t="s">
        <v>114</v>
      </c>
      <c r="DD113" s="21" t="s">
        <v>114</v>
      </c>
      <c r="DE113" s="21" t="s">
        <v>114</v>
      </c>
      <c r="DF113" s="19" t="s">
        <v>114</v>
      </c>
      <c r="DG113" s="19" t="s">
        <v>114</v>
      </c>
      <c r="DH113" s="19" t="s">
        <v>114</v>
      </c>
      <c r="DI113" s="19" t="s">
        <v>114</v>
      </c>
      <c r="DJ113" s="19" t="s">
        <v>114</v>
      </c>
      <c r="DK113" s="19" t="s">
        <v>114</v>
      </c>
      <c r="DL113" s="19" t="s">
        <v>114</v>
      </c>
      <c r="DM113" s="19" t="s">
        <v>114</v>
      </c>
      <c r="DN113" s="19" t="s">
        <v>114</v>
      </c>
      <c r="DO113" s="19" t="s">
        <v>114</v>
      </c>
    </row>
    <row r="114" spans="1:119" hidden="1" x14ac:dyDescent="0.45">
      <c r="A114" s="2"/>
      <c r="B114" s="5" t="s">
        <v>1892</v>
      </c>
      <c r="C114" s="2">
        <v>99051</v>
      </c>
      <c r="D114" s="6">
        <v>589</v>
      </c>
      <c r="E114" s="2" t="s">
        <v>1103</v>
      </c>
      <c r="F114" s="5" t="s">
        <v>2413</v>
      </c>
      <c r="H114" s="8"/>
      <c r="I114" s="2" t="s">
        <v>1105</v>
      </c>
      <c r="J114" s="2">
        <v>150</v>
      </c>
      <c r="K114" t="s">
        <v>127</v>
      </c>
      <c r="L114" s="2">
        <v>150</v>
      </c>
      <c r="M114" s="2" t="s">
        <v>127</v>
      </c>
      <c r="P114" s="2" t="s">
        <v>127</v>
      </c>
      <c r="Q114" s="2" t="s">
        <v>129</v>
      </c>
      <c r="R114" s="2">
        <v>513</v>
      </c>
      <c r="S114" s="2" t="s">
        <v>1000</v>
      </c>
      <c r="T114" s="2">
        <v>150</v>
      </c>
      <c r="U114" s="2" t="s">
        <v>127</v>
      </c>
      <c r="V114" t="e">
        <v>#N/A</v>
      </c>
      <c r="W114" t="e">
        <v>#N/A</v>
      </c>
      <c r="X114" t="e">
        <v>#N/A</v>
      </c>
      <c r="AA114" t="s">
        <v>2759</v>
      </c>
      <c r="AB114" t="s">
        <v>282</v>
      </c>
      <c r="AC114" s="2" t="s">
        <v>1888</v>
      </c>
      <c r="AD114" s="2" t="s">
        <v>1888</v>
      </c>
      <c r="AE114" t="s">
        <v>131</v>
      </c>
      <c r="AF114" s="3" t="s">
        <v>1886</v>
      </c>
      <c r="AG114" t="s">
        <v>158</v>
      </c>
      <c r="AK114" s="3" t="s">
        <v>1021</v>
      </c>
      <c r="AL114" s="5"/>
      <c r="AM114" s="5" t="s">
        <v>109</v>
      </c>
      <c r="AO114" s="3" t="s">
        <v>119</v>
      </c>
      <c r="AP114" s="3" t="s">
        <v>120</v>
      </c>
      <c r="AQ114" s="3" t="s">
        <v>111</v>
      </c>
      <c r="AR114" s="3" t="s">
        <v>112</v>
      </c>
      <c r="AS114" s="3" t="s">
        <v>112</v>
      </c>
      <c r="AT114" s="3" t="s">
        <v>113</v>
      </c>
      <c r="AU114" s="3" t="s">
        <v>2303</v>
      </c>
      <c r="AV114" s="3" t="s">
        <v>2302</v>
      </c>
      <c r="AW114" s="3" t="s">
        <v>2301</v>
      </c>
      <c r="AX114" t="s">
        <v>282</v>
      </c>
      <c r="AY114" s="19" t="s">
        <v>114</v>
      </c>
      <c r="AZ114" s="19" t="s">
        <v>114</v>
      </c>
      <c r="BA114" s="19" t="s">
        <v>114</v>
      </c>
      <c r="BB114" s="19" t="s">
        <v>114</v>
      </c>
      <c r="BC114" s="19" t="s">
        <v>114</v>
      </c>
      <c r="BD114" s="19" t="s">
        <v>114</v>
      </c>
      <c r="BE114" s="19" t="s">
        <v>114</v>
      </c>
      <c r="BF114" s="19" t="s">
        <v>114</v>
      </c>
      <c r="BG114" s="19" t="s">
        <v>114</v>
      </c>
      <c r="BH114" s="19" t="s">
        <v>114</v>
      </c>
      <c r="BI114" s="19" t="s">
        <v>114</v>
      </c>
      <c r="BJ114" s="19" t="s">
        <v>114</v>
      </c>
      <c r="BK114" s="19" t="s">
        <v>114</v>
      </c>
      <c r="BL114" s="19" t="s">
        <v>114</v>
      </c>
      <c r="BM114" s="19" t="s">
        <v>114</v>
      </c>
      <c r="BN114" s="19" t="s">
        <v>114</v>
      </c>
      <c r="BO114" s="19" t="s">
        <v>114</v>
      </c>
      <c r="BP114" s="19" t="s">
        <v>114</v>
      </c>
      <c r="BQ114" s="19" t="s">
        <v>114</v>
      </c>
      <c r="BR114" s="19" t="s">
        <v>114</v>
      </c>
      <c r="BS114" s="19" t="s">
        <v>114</v>
      </c>
      <c r="BT114" s="19" t="s">
        <v>114</v>
      </c>
      <c r="BU114" s="19" t="s">
        <v>114</v>
      </c>
      <c r="BV114" s="19" t="s">
        <v>114</v>
      </c>
      <c r="BW114" s="19" t="s">
        <v>114</v>
      </c>
      <c r="BX114" s="19" t="s">
        <v>114</v>
      </c>
      <c r="BY114" s="19" t="s">
        <v>114</v>
      </c>
      <c r="BZ114" s="21" t="s">
        <v>114</v>
      </c>
      <c r="CA114" s="21" t="s">
        <v>114</v>
      </c>
      <c r="CB114" s="21" t="s">
        <v>114</v>
      </c>
      <c r="CC114" s="21" t="s">
        <v>114</v>
      </c>
      <c r="CD114" s="21" t="s">
        <v>114</v>
      </c>
      <c r="CE114" s="21" t="s">
        <v>114</v>
      </c>
      <c r="CF114" s="19" t="s">
        <v>114</v>
      </c>
      <c r="CG114" s="19" t="s">
        <v>114</v>
      </c>
      <c r="CH114" s="19" t="s">
        <v>114</v>
      </c>
      <c r="CI114" s="21" t="s">
        <v>114</v>
      </c>
      <c r="CJ114" s="21" t="s">
        <v>114</v>
      </c>
      <c r="CK114" s="21" t="s">
        <v>114</v>
      </c>
      <c r="CL114" s="21" t="s">
        <v>114</v>
      </c>
      <c r="CM114" s="21" t="s">
        <v>114</v>
      </c>
      <c r="CN114" s="21" t="s">
        <v>114</v>
      </c>
      <c r="CO114" s="21" t="s">
        <v>114</v>
      </c>
      <c r="CP114" s="21" t="s">
        <v>114</v>
      </c>
      <c r="CQ114" s="21" t="s">
        <v>114</v>
      </c>
      <c r="CR114" s="21" t="s">
        <v>114</v>
      </c>
      <c r="CS114" s="21" t="s">
        <v>114</v>
      </c>
      <c r="CT114" s="21" t="s">
        <v>114</v>
      </c>
      <c r="CU114" s="21" t="s">
        <v>114</v>
      </c>
      <c r="CV114" s="21" t="s">
        <v>114</v>
      </c>
      <c r="CW114" s="21" t="s">
        <v>114</v>
      </c>
      <c r="CX114" s="21" t="s">
        <v>114</v>
      </c>
      <c r="CY114" s="21" t="s">
        <v>114</v>
      </c>
      <c r="CZ114" s="21" t="s">
        <v>114</v>
      </c>
      <c r="DA114" s="21" t="s">
        <v>114</v>
      </c>
      <c r="DB114" s="21" t="s">
        <v>114</v>
      </c>
      <c r="DC114" s="21" t="s">
        <v>114</v>
      </c>
      <c r="DD114" s="21" t="s">
        <v>114</v>
      </c>
      <c r="DE114" s="21" t="s">
        <v>114</v>
      </c>
      <c r="DF114" s="19" t="s">
        <v>114</v>
      </c>
      <c r="DG114" s="19" t="s">
        <v>114</v>
      </c>
      <c r="DH114" s="19" t="s">
        <v>114</v>
      </c>
      <c r="DI114" s="19" t="s">
        <v>114</v>
      </c>
      <c r="DJ114" s="19" t="s">
        <v>114</v>
      </c>
      <c r="DK114" s="19" t="s">
        <v>114</v>
      </c>
      <c r="DL114" s="19" t="s">
        <v>114</v>
      </c>
      <c r="DM114" s="19" t="s">
        <v>114</v>
      </c>
      <c r="DN114" s="19" t="s">
        <v>114</v>
      </c>
      <c r="DO114" s="19" t="s">
        <v>114</v>
      </c>
    </row>
    <row r="115" spans="1:119" hidden="1" x14ac:dyDescent="0.45">
      <c r="A115" s="2"/>
      <c r="B115" s="5" t="s">
        <v>1917</v>
      </c>
      <c r="C115" s="2">
        <v>99037</v>
      </c>
      <c r="D115" s="6">
        <v>389</v>
      </c>
      <c r="E115" s="2" t="s">
        <v>1930</v>
      </c>
      <c r="F115" s="23" t="s">
        <v>2414</v>
      </c>
      <c r="H115" s="8"/>
      <c r="I115" s="2" t="s">
        <v>1100</v>
      </c>
      <c r="J115" s="2">
        <v>19</v>
      </c>
      <c r="K115" t="s">
        <v>157</v>
      </c>
      <c r="L115" s="2">
        <v>419</v>
      </c>
      <c r="M115" t="s">
        <v>174</v>
      </c>
      <c r="O115" s="2"/>
      <c r="P115" s="4" t="s">
        <v>176</v>
      </c>
      <c r="Q115" s="2" t="s">
        <v>177</v>
      </c>
      <c r="R115" s="2">
        <v>419</v>
      </c>
      <c r="S115" s="2" t="s">
        <v>174</v>
      </c>
      <c r="T115" s="4">
        <v>419</v>
      </c>
      <c r="U115" s="4" t="s">
        <v>174</v>
      </c>
      <c r="V115" t="e">
        <v>#N/A</v>
      </c>
      <c r="W115" t="e">
        <v>#N/A</v>
      </c>
      <c r="X115" t="e">
        <v>#N/A</v>
      </c>
      <c r="AA115" t="s">
        <v>2511</v>
      </c>
      <c r="AB115" t="s">
        <v>282</v>
      </c>
      <c r="AC115" s="2" t="s">
        <v>1888</v>
      </c>
      <c r="AD115" s="2" t="s">
        <v>1888</v>
      </c>
      <c r="AE115" t="s">
        <v>104</v>
      </c>
      <c r="AF115" t="s">
        <v>1885</v>
      </c>
      <c r="AG115" t="s">
        <v>1884</v>
      </c>
      <c r="AK115" s="3" t="s">
        <v>1021</v>
      </c>
      <c r="AL115" s="5"/>
      <c r="AM115" s="5" t="s">
        <v>109</v>
      </c>
      <c r="AO115" s="3" t="s">
        <v>119</v>
      </c>
      <c r="AP115" t="s">
        <v>120</v>
      </c>
      <c r="AQ115" s="3" t="s">
        <v>111</v>
      </c>
      <c r="AR115" s="3" t="s">
        <v>112</v>
      </c>
      <c r="AS115" s="3" t="s">
        <v>112</v>
      </c>
      <c r="AT115" s="3" t="s">
        <v>113</v>
      </c>
      <c r="AU115" s="3" t="s">
        <v>2303</v>
      </c>
      <c r="AV115" s="3" t="s">
        <v>2302</v>
      </c>
      <c r="AW115" s="3" t="s">
        <v>2301</v>
      </c>
      <c r="AX115" t="s">
        <v>282</v>
      </c>
      <c r="AY115" s="19" t="s">
        <v>114</v>
      </c>
      <c r="AZ115" s="19" t="s">
        <v>114</v>
      </c>
      <c r="BA115" s="19" t="s">
        <v>114</v>
      </c>
      <c r="BB115" s="19" t="s">
        <v>114</v>
      </c>
      <c r="BC115" s="19" t="s">
        <v>114</v>
      </c>
      <c r="BD115" s="19" t="s">
        <v>114</v>
      </c>
      <c r="BE115" s="19" t="s">
        <v>114</v>
      </c>
      <c r="BF115" s="19" t="s">
        <v>114</v>
      </c>
      <c r="BG115" s="19" t="s">
        <v>114</v>
      </c>
      <c r="BH115" s="19" t="s">
        <v>114</v>
      </c>
      <c r="BI115" s="19" t="s">
        <v>114</v>
      </c>
      <c r="BJ115" s="19" t="s">
        <v>114</v>
      </c>
      <c r="BK115" s="19" t="s">
        <v>114</v>
      </c>
      <c r="BL115" s="19" t="s">
        <v>114</v>
      </c>
      <c r="BM115" s="19" t="s">
        <v>114</v>
      </c>
      <c r="BN115" s="19" t="s">
        <v>114</v>
      </c>
      <c r="BO115" s="19" t="s">
        <v>114</v>
      </c>
      <c r="BP115" s="19" t="s">
        <v>114</v>
      </c>
      <c r="BQ115" s="19" t="s">
        <v>114</v>
      </c>
      <c r="BR115" s="19" t="s">
        <v>114</v>
      </c>
      <c r="BS115" s="19" t="s">
        <v>114</v>
      </c>
      <c r="BT115" s="19" t="s">
        <v>114</v>
      </c>
      <c r="BU115" s="19" t="s">
        <v>114</v>
      </c>
      <c r="BV115" s="19" t="s">
        <v>114</v>
      </c>
      <c r="BW115" s="19" t="s">
        <v>114</v>
      </c>
      <c r="BX115" s="19" t="s">
        <v>114</v>
      </c>
      <c r="BY115" s="19" t="s">
        <v>114</v>
      </c>
      <c r="BZ115" s="21" t="s">
        <v>114</v>
      </c>
      <c r="CA115" s="21" t="s">
        <v>114</v>
      </c>
      <c r="CB115" s="21" t="s">
        <v>114</v>
      </c>
      <c r="CC115" s="21" t="s">
        <v>114</v>
      </c>
      <c r="CD115" s="21" t="s">
        <v>114</v>
      </c>
      <c r="CE115" s="21" t="s">
        <v>114</v>
      </c>
      <c r="CF115" s="19" t="s">
        <v>114</v>
      </c>
      <c r="CG115" s="19" t="s">
        <v>114</v>
      </c>
      <c r="CH115" s="19" t="s">
        <v>114</v>
      </c>
      <c r="CI115" s="21" t="s">
        <v>114</v>
      </c>
      <c r="CJ115" s="21" t="s">
        <v>114</v>
      </c>
      <c r="CK115" s="21" t="s">
        <v>114</v>
      </c>
      <c r="CL115" s="21" t="s">
        <v>114</v>
      </c>
      <c r="CM115" s="21" t="s">
        <v>114</v>
      </c>
      <c r="CN115" s="21" t="s">
        <v>114</v>
      </c>
      <c r="CO115" s="21" t="s">
        <v>114</v>
      </c>
      <c r="CP115" s="21" t="s">
        <v>114</v>
      </c>
      <c r="CQ115" s="21" t="s">
        <v>114</v>
      </c>
      <c r="CR115" s="21" t="s">
        <v>114</v>
      </c>
      <c r="CS115" s="21" t="s">
        <v>114</v>
      </c>
      <c r="CT115" s="21" t="s">
        <v>114</v>
      </c>
      <c r="CU115" s="21" t="s">
        <v>114</v>
      </c>
      <c r="CV115" s="21" t="s">
        <v>114</v>
      </c>
      <c r="CW115" s="21" t="s">
        <v>114</v>
      </c>
      <c r="CX115" s="21" t="s">
        <v>114</v>
      </c>
      <c r="CY115" s="21" t="s">
        <v>114</v>
      </c>
      <c r="CZ115" s="21" t="s">
        <v>114</v>
      </c>
      <c r="DA115" s="21" t="s">
        <v>114</v>
      </c>
      <c r="DB115" s="21" t="s">
        <v>114</v>
      </c>
      <c r="DC115" s="21" t="s">
        <v>114</v>
      </c>
      <c r="DD115" s="21" t="s">
        <v>114</v>
      </c>
      <c r="DE115" s="21" t="s">
        <v>114</v>
      </c>
      <c r="DF115" s="19" t="s">
        <v>114</v>
      </c>
      <c r="DG115" s="19" t="s">
        <v>114</v>
      </c>
      <c r="DH115" s="19" t="s">
        <v>114</v>
      </c>
      <c r="DI115" s="19" t="s">
        <v>114</v>
      </c>
      <c r="DJ115" s="19" t="s">
        <v>114</v>
      </c>
      <c r="DK115" s="19" t="s">
        <v>114</v>
      </c>
      <c r="DL115" s="19" t="s">
        <v>114</v>
      </c>
      <c r="DM115" s="19" t="s">
        <v>114</v>
      </c>
      <c r="DN115" s="19" t="s">
        <v>114</v>
      </c>
      <c r="DO115" s="19" t="s">
        <v>114</v>
      </c>
    </row>
    <row r="116" spans="1:119" hidden="1" x14ac:dyDescent="0.45">
      <c r="A116" s="2"/>
      <c r="B116" s="5" t="s">
        <v>1938</v>
      </c>
      <c r="C116" s="2">
        <v>99060</v>
      </c>
      <c r="D116" s="6">
        <v>691</v>
      </c>
      <c r="E116" s="2" t="s">
        <v>1940</v>
      </c>
      <c r="F116" s="2" t="s">
        <v>2417</v>
      </c>
      <c r="H116" s="8"/>
      <c r="I116" s="2" t="s">
        <v>1117</v>
      </c>
      <c r="J116" s="2">
        <v>2</v>
      </c>
      <c r="K116" t="s">
        <v>116</v>
      </c>
      <c r="L116" s="2">
        <v>15</v>
      </c>
      <c r="M116" t="s">
        <v>145</v>
      </c>
      <c r="N116" s="2">
        <v>15</v>
      </c>
      <c r="O116" t="s">
        <v>145</v>
      </c>
      <c r="P116" s="2" t="s">
        <v>240</v>
      </c>
      <c r="Q116" s="2" t="s">
        <v>146</v>
      </c>
      <c r="R116" s="2">
        <v>747</v>
      </c>
      <c r="S116" s="2" t="s">
        <v>1446</v>
      </c>
      <c r="T116" s="4">
        <v>15</v>
      </c>
      <c r="U116" s="4" t="s">
        <v>145</v>
      </c>
      <c r="V116" t="e">
        <v>#N/A</v>
      </c>
      <c r="W116" t="e">
        <v>#N/A</v>
      </c>
      <c r="X116" t="e">
        <v>#N/A</v>
      </c>
      <c r="AA116" t="s">
        <v>2511</v>
      </c>
      <c r="AB116" t="s">
        <v>282</v>
      </c>
      <c r="AC116" s="2" t="s">
        <v>1888</v>
      </c>
      <c r="AD116" s="2" t="s">
        <v>1888</v>
      </c>
      <c r="AE116" t="s">
        <v>104</v>
      </c>
      <c r="AF116" t="s">
        <v>1885</v>
      </c>
      <c r="AG116" t="s">
        <v>158</v>
      </c>
      <c r="AK116" s="3" t="s">
        <v>1021</v>
      </c>
      <c r="AL116" s="5"/>
      <c r="AM116" s="5" t="s">
        <v>109</v>
      </c>
      <c r="AO116" s="3" t="s">
        <v>119</v>
      </c>
      <c r="AP116" t="s">
        <v>120</v>
      </c>
      <c r="AQ116" s="3" t="s">
        <v>111</v>
      </c>
      <c r="AR116" s="3" t="s">
        <v>112</v>
      </c>
      <c r="AS116" s="3" t="s">
        <v>112</v>
      </c>
      <c r="AT116" s="3" t="s">
        <v>113</v>
      </c>
      <c r="AU116" s="3" t="s">
        <v>2303</v>
      </c>
      <c r="AV116" s="3" t="s">
        <v>2302</v>
      </c>
      <c r="AW116" s="3" t="s">
        <v>2301</v>
      </c>
      <c r="AX116" t="s">
        <v>282</v>
      </c>
      <c r="AY116" s="19" t="s">
        <v>114</v>
      </c>
      <c r="AZ116" s="19" t="s">
        <v>114</v>
      </c>
      <c r="BA116" s="19" t="s">
        <v>114</v>
      </c>
      <c r="BB116" s="19" t="s">
        <v>114</v>
      </c>
      <c r="BC116" s="19" t="s">
        <v>114</v>
      </c>
      <c r="BD116" s="19" t="s">
        <v>114</v>
      </c>
      <c r="BE116" s="19" t="s">
        <v>114</v>
      </c>
      <c r="BF116" s="19" t="s">
        <v>114</v>
      </c>
      <c r="BG116" s="19" t="s">
        <v>114</v>
      </c>
      <c r="BH116" s="19" t="s">
        <v>114</v>
      </c>
      <c r="BI116" s="19" t="s">
        <v>114</v>
      </c>
      <c r="BJ116" s="19" t="s">
        <v>114</v>
      </c>
      <c r="BK116" s="19" t="s">
        <v>114</v>
      </c>
      <c r="BL116" s="19" t="s">
        <v>114</v>
      </c>
      <c r="BM116" s="19" t="s">
        <v>114</v>
      </c>
      <c r="BN116" s="19" t="s">
        <v>114</v>
      </c>
      <c r="BO116" s="19" t="s">
        <v>114</v>
      </c>
      <c r="BP116" s="19" t="s">
        <v>114</v>
      </c>
      <c r="BQ116" s="19" t="s">
        <v>114</v>
      </c>
      <c r="BR116" s="19" t="s">
        <v>114</v>
      </c>
      <c r="BS116" s="19" t="s">
        <v>114</v>
      </c>
      <c r="BT116" s="19" t="s">
        <v>114</v>
      </c>
      <c r="BU116" s="19" t="s">
        <v>114</v>
      </c>
      <c r="BV116" s="19" t="s">
        <v>114</v>
      </c>
      <c r="BW116" s="19" t="s">
        <v>114</v>
      </c>
      <c r="BX116" s="19" t="s">
        <v>114</v>
      </c>
      <c r="BY116" s="19" t="s">
        <v>114</v>
      </c>
      <c r="BZ116" s="21" t="s">
        <v>114</v>
      </c>
      <c r="CA116" s="21" t="s">
        <v>114</v>
      </c>
      <c r="CB116" s="21" t="s">
        <v>114</v>
      </c>
      <c r="CC116" s="21" t="s">
        <v>114</v>
      </c>
      <c r="CD116" s="21" t="s">
        <v>114</v>
      </c>
      <c r="CE116" s="21" t="s">
        <v>114</v>
      </c>
      <c r="CF116" s="19" t="s">
        <v>114</v>
      </c>
      <c r="CG116" s="19" t="s">
        <v>114</v>
      </c>
      <c r="CH116" s="19" t="s">
        <v>114</v>
      </c>
      <c r="CI116" s="21" t="s">
        <v>114</v>
      </c>
      <c r="CJ116" s="21" t="s">
        <v>114</v>
      </c>
      <c r="CK116" s="21" t="s">
        <v>114</v>
      </c>
      <c r="CL116" s="21" t="s">
        <v>114</v>
      </c>
      <c r="CM116" s="21" t="s">
        <v>114</v>
      </c>
      <c r="CN116" s="21" t="s">
        <v>114</v>
      </c>
      <c r="CO116" s="21" t="s">
        <v>114</v>
      </c>
      <c r="CP116" s="21" t="s">
        <v>114</v>
      </c>
      <c r="CQ116" s="21" t="s">
        <v>114</v>
      </c>
      <c r="CR116" s="21" t="s">
        <v>114</v>
      </c>
      <c r="CS116" s="21" t="s">
        <v>114</v>
      </c>
      <c r="CT116" s="21" t="s">
        <v>114</v>
      </c>
      <c r="CU116" s="21" t="s">
        <v>114</v>
      </c>
      <c r="CV116" s="21" t="s">
        <v>114</v>
      </c>
      <c r="CW116" s="21" t="s">
        <v>114</v>
      </c>
      <c r="CX116" s="21" t="s">
        <v>114</v>
      </c>
      <c r="CY116" s="21" t="s">
        <v>114</v>
      </c>
      <c r="CZ116" s="21" t="s">
        <v>114</v>
      </c>
      <c r="DA116" s="21" t="s">
        <v>114</v>
      </c>
      <c r="DB116" s="21" t="s">
        <v>114</v>
      </c>
      <c r="DC116" s="21" t="s">
        <v>114</v>
      </c>
      <c r="DD116" s="21" t="s">
        <v>114</v>
      </c>
      <c r="DE116" s="21" t="s">
        <v>114</v>
      </c>
      <c r="DF116" s="19" t="s">
        <v>114</v>
      </c>
      <c r="DG116" s="19" t="s">
        <v>114</v>
      </c>
      <c r="DH116" s="19" t="s">
        <v>114</v>
      </c>
      <c r="DI116" s="19" t="s">
        <v>114</v>
      </c>
      <c r="DJ116" s="19" t="s">
        <v>114</v>
      </c>
      <c r="DK116" s="19" t="s">
        <v>114</v>
      </c>
      <c r="DL116" s="19" t="s">
        <v>114</v>
      </c>
      <c r="DM116" s="19" t="s">
        <v>114</v>
      </c>
      <c r="DN116" s="19" t="s">
        <v>114</v>
      </c>
      <c r="DO116" s="19" t="s">
        <v>114</v>
      </c>
    </row>
    <row r="117" spans="1:119" hidden="1" x14ac:dyDescent="0.45">
      <c r="A117" s="2"/>
      <c r="B117" s="5" t="s">
        <v>1106</v>
      </c>
      <c r="C117" s="2">
        <v>99052</v>
      </c>
      <c r="D117" s="6">
        <v>789</v>
      </c>
      <c r="E117" s="2" t="s">
        <v>1745</v>
      </c>
      <c r="F117" s="5" t="s">
        <v>2416</v>
      </c>
      <c r="H117" s="8"/>
      <c r="I117" s="2" t="s">
        <v>1107</v>
      </c>
      <c r="J117" s="2">
        <v>19</v>
      </c>
      <c r="K117" t="s">
        <v>157</v>
      </c>
      <c r="L117" s="2">
        <v>21</v>
      </c>
      <c r="M117" t="s">
        <v>279</v>
      </c>
      <c r="N117" s="2"/>
      <c r="P117" s="2" t="s">
        <v>280</v>
      </c>
      <c r="Q117" s="2" t="s">
        <v>280</v>
      </c>
      <c r="R117" s="2">
        <v>513</v>
      </c>
      <c r="S117" s="2" t="s">
        <v>1000</v>
      </c>
      <c r="T117" s="2">
        <v>21</v>
      </c>
      <c r="U117" s="4" t="s">
        <v>279</v>
      </c>
      <c r="V117" t="e">
        <v>#N/A</v>
      </c>
      <c r="W117" t="e">
        <v>#N/A</v>
      </c>
      <c r="X117" t="e">
        <v>#N/A</v>
      </c>
      <c r="AA117" t="s">
        <v>2511</v>
      </c>
      <c r="AB117" t="s">
        <v>282</v>
      </c>
      <c r="AC117" s="2" t="s">
        <v>1888</v>
      </c>
      <c r="AD117" s="2" t="s">
        <v>1888</v>
      </c>
      <c r="AE117" t="s">
        <v>131</v>
      </c>
      <c r="AF117" s="3" t="s">
        <v>1886</v>
      </c>
      <c r="AG117" t="s">
        <v>158</v>
      </c>
      <c r="AK117" s="3" t="s">
        <v>1021</v>
      </c>
      <c r="AL117" s="5"/>
      <c r="AM117" s="5" t="s">
        <v>109</v>
      </c>
      <c r="AO117" s="3" t="s">
        <v>119</v>
      </c>
      <c r="AP117" s="3" t="s">
        <v>120</v>
      </c>
      <c r="AQ117" s="3" t="s">
        <v>111</v>
      </c>
      <c r="AR117" s="3" t="s">
        <v>112</v>
      </c>
      <c r="AS117" s="3" t="s">
        <v>112</v>
      </c>
      <c r="AT117" s="3" t="s">
        <v>113</v>
      </c>
      <c r="AU117" s="3" t="s">
        <v>2303</v>
      </c>
      <c r="AV117" s="3" t="s">
        <v>2302</v>
      </c>
      <c r="AW117" s="3" t="s">
        <v>2301</v>
      </c>
      <c r="AX117" t="s">
        <v>282</v>
      </c>
      <c r="AY117" s="19" t="s">
        <v>114</v>
      </c>
      <c r="AZ117" s="19" t="s">
        <v>114</v>
      </c>
      <c r="BA117" s="19" t="s">
        <v>114</v>
      </c>
      <c r="BB117" s="19" t="s">
        <v>114</v>
      </c>
      <c r="BC117" s="19" t="s">
        <v>114</v>
      </c>
      <c r="BD117" s="19" t="s">
        <v>114</v>
      </c>
      <c r="BE117" s="19" t="s">
        <v>114</v>
      </c>
      <c r="BF117" s="19" t="s">
        <v>114</v>
      </c>
      <c r="BG117" s="19" t="s">
        <v>114</v>
      </c>
      <c r="BH117" s="19" t="s">
        <v>114</v>
      </c>
      <c r="BI117" s="19" t="s">
        <v>114</v>
      </c>
      <c r="BJ117" s="19" t="s">
        <v>114</v>
      </c>
      <c r="BK117" s="19" t="s">
        <v>114</v>
      </c>
      <c r="BL117" s="19" t="s">
        <v>114</v>
      </c>
      <c r="BM117" s="19" t="s">
        <v>114</v>
      </c>
      <c r="BN117" s="19" t="s">
        <v>114</v>
      </c>
      <c r="BO117" s="19" t="s">
        <v>114</v>
      </c>
      <c r="BP117" s="19" t="s">
        <v>114</v>
      </c>
      <c r="BQ117" s="19" t="s">
        <v>114</v>
      </c>
      <c r="BR117" s="19" t="s">
        <v>114</v>
      </c>
      <c r="BS117" s="19" t="s">
        <v>114</v>
      </c>
      <c r="BT117" s="19" t="s">
        <v>114</v>
      </c>
      <c r="BU117" s="19" t="s">
        <v>114</v>
      </c>
      <c r="BV117" s="19" t="s">
        <v>114</v>
      </c>
      <c r="BW117" s="19" t="s">
        <v>114</v>
      </c>
      <c r="BX117" s="19" t="s">
        <v>114</v>
      </c>
      <c r="BY117" s="19" t="s">
        <v>114</v>
      </c>
      <c r="BZ117" s="21" t="s">
        <v>114</v>
      </c>
      <c r="CA117" s="21" t="s">
        <v>114</v>
      </c>
      <c r="CB117" s="21" t="s">
        <v>114</v>
      </c>
      <c r="CC117" s="21" t="s">
        <v>114</v>
      </c>
      <c r="CD117" s="21" t="s">
        <v>114</v>
      </c>
      <c r="CE117" s="21" t="s">
        <v>114</v>
      </c>
      <c r="CF117" s="19" t="s">
        <v>114</v>
      </c>
      <c r="CG117" s="19" t="s">
        <v>114</v>
      </c>
      <c r="CH117" s="19" t="s">
        <v>114</v>
      </c>
      <c r="CI117" s="21" t="s">
        <v>114</v>
      </c>
      <c r="CJ117" s="21" t="s">
        <v>114</v>
      </c>
      <c r="CK117" s="21" t="s">
        <v>114</v>
      </c>
      <c r="CL117" s="21" t="s">
        <v>114</v>
      </c>
      <c r="CM117" s="21" t="s">
        <v>114</v>
      </c>
      <c r="CN117" s="21" t="s">
        <v>114</v>
      </c>
      <c r="CO117" s="21" t="s">
        <v>114</v>
      </c>
      <c r="CP117" s="21" t="s">
        <v>114</v>
      </c>
      <c r="CQ117" s="21" t="s">
        <v>114</v>
      </c>
      <c r="CR117" s="21" t="s">
        <v>114</v>
      </c>
      <c r="CS117" s="21" t="s">
        <v>114</v>
      </c>
      <c r="CT117" s="21" t="s">
        <v>114</v>
      </c>
      <c r="CU117" s="21" t="s">
        <v>114</v>
      </c>
      <c r="CV117" s="21" t="s">
        <v>114</v>
      </c>
      <c r="CW117" s="21" t="s">
        <v>114</v>
      </c>
      <c r="CX117" s="21" t="s">
        <v>114</v>
      </c>
      <c r="CY117" s="21" t="s">
        <v>114</v>
      </c>
      <c r="CZ117" s="21" t="s">
        <v>114</v>
      </c>
      <c r="DA117" s="21" t="s">
        <v>114</v>
      </c>
      <c r="DB117" s="21" t="s">
        <v>114</v>
      </c>
      <c r="DC117" s="21" t="s">
        <v>114</v>
      </c>
      <c r="DD117" s="21" t="s">
        <v>114</v>
      </c>
      <c r="DE117" s="21" t="s">
        <v>114</v>
      </c>
      <c r="DF117" s="19" t="s">
        <v>114</v>
      </c>
      <c r="DG117" s="19" t="s">
        <v>114</v>
      </c>
      <c r="DH117" s="19" t="s">
        <v>114</v>
      </c>
      <c r="DI117" s="19" t="s">
        <v>114</v>
      </c>
      <c r="DJ117" s="19" t="s">
        <v>114</v>
      </c>
      <c r="DK117" s="19" t="s">
        <v>114</v>
      </c>
      <c r="DL117" s="19" t="s">
        <v>114</v>
      </c>
      <c r="DM117" s="19" t="s">
        <v>114</v>
      </c>
      <c r="DN117" s="19" t="s">
        <v>114</v>
      </c>
      <c r="DO117" s="19" t="s">
        <v>114</v>
      </c>
    </row>
    <row r="118" spans="1:119" hidden="1" x14ac:dyDescent="0.45">
      <c r="A118" s="2"/>
      <c r="B118" s="5" t="s">
        <v>1943</v>
      </c>
      <c r="C118" s="2">
        <v>99050</v>
      </c>
      <c r="D118" s="6">
        <v>788</v>
      </c>
      <c r="E118" s="2" t="s">
        <v>1103</v>
      </c>
      <c r="F118" s="22" t="s">
        <v>2412</v>
      </c>
      <c r="H118" s="8"/>
      <c r="I118" s="2" t="s">
        <v>1107</v>
      </c>
      <c r="J118" s="2">
        <v>150</v>
      </c>
      <c r="K118" t="s">
        <v>127</v>
      </c>
      <c r="L118" s="2">
        <v>150</v>
      </c>
      <c r="M118" s="2" t="s">
        <v>127</v>
      </c>
      <c r="N118" s="2"/>
      <c r="P118" s="2" t="s">
        <v>127</v>
      </c>
      <c r="Q118" s="2" t="s">
        <v>129</v>
      </c>
      <c r="R118" s="2">
        <v>513</v>
      </c>
      <c r="S118" s="2" t="s">
        <v>1000</v>
      </c>
      <c r="T118" s="2">
        <v>150</v>
      </c>
      <c r="U118" s="2" t="s">
        <v>127</v>
      </c>
      <c r="V118" t="e">
        <v>#N/A</v>
      </c>
      <c r="W118" t="e">
        <v>#N/A</v>
      </c>
      <c r="X118" t="e">
        <v>#N/A</v>
      </c>
      <c r="AA118" t="s">
        <v>2511</v>
      </c>
      <c r="AB118" t="s">
        <v>282</v>
      </c>
      <c r="AC118" s="2" t="s">
        <v>1888</v>
      </c>
      <c r="AD118" s="2" t="s">
        <v>1888</v>
      </c>
      <c r="AE118" t="s">
        <v>131</v>
      </c>
      <c r="AF118" s="3" t="s">
        <v>1886</v>
      </c>
      <c r="AG118" t="s">
        <v>1884</v>
      </c>
      <c r="AK118" s="3" t="s">
        <v>1021</v>
      </c>
      <c r="AL118" s="5"/>
      <c r="AM118" s="5" t="s">
        <v>109</v>
      </c>
      <c r="AO118" s="3" t="s">
        <v>119</v>
      </c>
      <c r="AP118" s="3" t="s">
        <v>120</v>
      </c>
      <c r="AQ118" s="3" t="s">
        <v>111</v>
      </c>
      <c r="AR118" s="3" t="s">
        <v>112</v>
      </c>
      <c r="AS118" s="3" t="s">
        <v>112</v>
      </c>
      <c r="AT118" s="3" t="s">
        <v>113</v>
      </c>
      <c r="AU118" s="3" t="s">
        <v>2303</v>
      </c>
      <c r="AV118" s="3" t="s">
        <v>2302</v>
      </c>
      <c r="AW118" s="3" t="s">
        <v>2301</v>
      </c>
      <c r="AX118" t="s">
        <v>282</v>
      </c>
      <c r="AY118" s="19" t="s">
        <v>114</v>
      </c>
      <c r="AZ118" s="19" t="s">
        <v>114</v>
      </c>
      <c r="BA118" s="19" t="s">
        <v>114</v>
      </c>
      <c r="BB118" s="19" t="s">
        <v>114</v>
      </c>
      <c r="BC118" s="19" t="s">
        <v>114</v>
      </c>
      <c r="BD118" s="19" t="s">
        <v>114</v>
      </c>
      <c r="BE118" s="19" t="s">
        <v>114</v>
      </c>
      <c r="BF118" s="19" t="s">
        <v>114</v>
      </c>
      <c r="BG118" s="19" t="s">
        <v>114</v>
      </c>
      <c r="BH118" s="19" t="s">
        <v>114</v>
      </c>
      <c r="BI118" s="19" t="s">
        <v>114</v>
      </c>
      <c r="BJ118" s="19" t="s">
        <v>114</v>
      </c>
      <c r="BK118" s="19" t="s">
        <v>114</v>
      </c>
      <c r="BL118" s="19" t="s">
        <v>114</v>
      </c>
      <c r="BM118" s="19" t="s">
        <v>114</v>
      </c>
      <c r="BN118" s="19" t="s">
        <v>114</v>
      </c>
      <c r="BO118" s="19" t="s">
        <v>114</v>
      </c>
      <c r="BP118" s="19" t="s">
        <v>114</v>
      </c>
      <c r="BQ118" s="19" t="s">
        <v>114</v>
      </c>
      <c r="BR118" s="19" t="s">
        <v>114</v>
      </c>
      <c r="BS118" s="19" t="s">
        <v>114</v>
      </c>
      <c r="BT118" s="19" t="s">
        <v>114</v>
      </c>
      <c r="BU118" s="19" t="s">
        <v>114</v>
      </c>
      <c r="BV118" s="19" t="s">
        <v>114</v>
      </c>
      <c r="BW118" s="19" t="s">
        <v>114</v>
      </c>
      <c r="BX118" s="19" t="s">
        <v>114</v>
      </c>
      <c r="BY118" s="19" t="s">
        <v>114</v>
      </c>
      <c r="BZ118" s="21" t="s">
        <v>114</v>
      </c>
      <c r="CA118" s="21" t="s">
        <v>114</v>
      </c>
      <c r="CB118" s="21" t="s">
        <v>114</v>
      </c>
      <c r="CC118" s="21" t="s">
        <v>114</v>
      </c>
      <c r="CD118" s="21" t="s">
        <v>114</v>
      </c>
      <c r="CE118" s="21" t="s">
        <v>114</v>
      </c>
      <c r="CF118" s="19" t="s">
        <v>114</v>
      </c>
      <c r="CG118" s="19" t="s">
        <v>114</v>
      </c>
      <c r="CH118" s="19" t="s">
        <v>114</v>
      </c>
      <c r="CI118" s="21" t="s">
        <v>114</v>
      </c>
      <c r="CJ118" s="21" t="s">
        <v>114</v>
      </c>
      <c r="CK118" s="21" t="s">
        <v>114</v>
      </c>
      <c r="CL118" s="21" t="s">
        <v>114</v>
      </c>
      <c r="CM118" s="21" t="s">
        <v>114</v>
      </c>
      <c r="CN118" s="21" t="s">
        <v>114</v>
      </c>
      <c r="CO118" s="21" t="s">
        <v>114</v>
      </c>
      <c r="CP118" s="21" t="s">
        <v>114</v>
      </c>
      <c r="CQ118" s="21" t="s">
        <v>114</v>
      </c>
      <c r="CR118" s="21" t="s">
        <v>114</v>
      </c>
      <c r="CS118" s="21" t="s">
        <v>114</v>
      </c>
      <c r="CT118" s="21" t="s">
        <v>114</v>
      </c>
      <c r="CU118" s="21" t="s">
        <v>114</v>
      </c>
      <c r="CV118" s="21" t="s">
        <v>114</v>
      </c>
      <c r="CW118" s="21" t="s">
        <v>114</v>
      </c>
      <c r="CX118" s="21" t="s">
        <v>114</v>
      </c>
      <c r="CY118" s="21" t="s">
        <v>114</v>
      </c>
      <c r="CZ118" s="21" t="s">
        <v>114</v>
      </c>
      <c r="DA118" s="21" t="s">
        <v>114</v>
      </c>
      <c r="DB118" s="21" t="s">
        <v>114</v>
      </c>
      <c r="DC118" s="21" t="s">
        <v>114</v>
      </c>
      <c r="DD118" s="21" t="s">
        <v>114</v>
      </c>
      <c r="DE118" s="21" t="s">
        <v>114</v>
      </c>
      <c r="DF118" s="19" t="s">
        <v>114</v>
      </c>
      <c r="DG118" s="19" t="s">
        <v>114</v>
      </c>
      <c r="DH118" s="19" t="s">
        <v>114</v>
      </c>
      <c r="DI118" s="19" t="s">
        <v>114</v>
      </c>
      <c r="DJ118" s="19" t="s">
        <v>114</v>
      </c>
      <c r="DK118" s="19" t="s">
        <v>114</v>
      </c>
      <c r="DL118" s="19" t="s">
        <v>114</v>
      </c>
      <c r="DM118" s="19" t="s">
        <v>114</v>
      </c>
      <c r="DN118" s="19" t="s">
        <v>114</v>
      </c>
      <c r="DO118" s="19" t="s">
        <v>114</v>
      </c>
    </row>
    <row r="119" spans="1:119" hidden="1" x14ac:dyDescent="0.45">
      <c r="A119" s="2"/>
      <c r="B119" s="5" t="s">
        <v>1108</v>
      </c>
      <c r="C119">
        <v>99038</v>
      </c>
      <c r="D119" s="6">
        <v>889</v>
      </c>
      <c r="E119" s="2" t="s">
        <v>1109</v>
      </c>
      <c r="F119" s="22" t="s">
        <v>2418</v>
      </c>
      <c r="H119" s="8"/>
      <c r="I119" s="2" t="s">
        <v>1111</v>
      </c>
      <c r="J119" s="2">
        <v>9</v>
      </c>
      <c r="K119" t="s">
        <v>153</v>
      </c>
      <c r="L119" s="2"/>
      <c r="P119" s="2" t="s">
        <v>153</v>
      </c>
      <c r="Q119" s="2" t="s">
        <v>155</v>
      </c>
      <c r="R119" s="2">
        <v>9</v>
      </c>
      <c r="S119" s="4" t="s">
        <v>153</v>
      </c>
      <c r="T119" s="2">
        <v>543</v>
      </c>
      <c r="U119" s="4" t="s">
        <v>1012</v>
      </c>
      <c r="V119" t="e">
        <v>#N/A</v>
      </c>
      <c r="W119" t="e">
        <v>#N/A</v>
      </c>
      <c r="X119" t="e">
        <v>#N/A</v>
      </c>
      <c r="AA119" t="s">
        <v>2511</v>
      </c>
      <c r="AB119" t="s">
        <v>282</v>
      </c>
      <c r="AC119" s="2" t="s">
        <v>1888</v>
      </c>
      <c r="AD119" s="2" t="s">
        <v>1888</v>
      </c>
      <c r="AE119" t="s">
        <v>104</v>
      </c>
      <c r="AF119" t="s">
        <v>1885</v>
      </c>
      <c r="AG119" t="s">
        <v>1884</v>
      </c>
      <c r="AK119" s="3" t="s">
        <v>1021</v>
      </c>
      <c r="AL119" s="5"/>
      <c r="AM119" s="5" t="s">
        <v>109</v>
      </c>
      <c r="AO119" s="3" t="s">
        <v>119</v>
      </c>
      <c r="AP119" s="3" t="s">
        <v>120</v>
      </c>
      <c r="AQ119" s="3" t="s">
        <v>111</v>
      </c>
      <c r="AR119" s="3" t="s">
        <v>112</v>
      </c>
      <c r="AS119" s="3" t="s">
        <v>112</v>
      </c>
      <c r="AT119" s="3" t="s">
        <v>113</v>
      </c>
      <c r="AU119" s="3" t="s">
        <v>2303</v>
      </c>
      <c r="AV119" s="3" t="s">
        <v>2302</v>
      </c>
      <c r="AW119" s="3" t="s">
        <v>2301</v>
      </c>
      <c r="AX119" t="s">
        <v>282</v>
      </c>
      <c r="AY119" s="19" t="s">
        <v>114</v>
      </c>
      <c r="AZ119" s="19" t="s">
        <v>114</v>
      </c>
      <c r="BA119" s="19" t="s">
        <v>114</v>
      </c>
      <c r="BB119" s="19" t="s">
        <v>114</v>
      </c>
      <c r="BC119" s="19" t="s">
        <v>114</v>
      </c>
      <c r="BD119" s="19" t="s">
        <v>114</v>
      </c>
      <c r="BE119" s="19" t="s">
        <v>114</v>
      </c>
      <c r="BF119" s="19" t="s">
        <v>114</v>
      </c>
      <c r="BG119" s="19" t="s">
        <v>114</v>
      </c>
      <c r="BH119" s="19" t="s">
        <v>114</v>
      </c>
      <c r="BI119" s="19" t="s">
        <v>114</v>
      </c>
      <c r="BJ119" s="19" t="s">
        <v>114</v>
      </c>
      <c r="BK119" s="19" t="s">
        <v>114</v>
      </c>
      <c r="BL119" s="19" t="s">
        <v>114</v>
      </c>
      <c r="BM119" s="19" t="s">
        <v>114</v>
      </c>
      <c r="BN119" s="19" t="s">
        <v>114</v>
      </c>
      <c r="BO119" s="19" t="s">
        <v>114</v>
      </c>
      <c r="BP119" s="19" t="s">
        <v>114</v>
      </c>
      <c r="BQ119" s="19" t="s">
        <v>114</v>
      </c>
      <c r="BR119" s="19" t="s">
        <v>114</v>
      </c>
      <c r="BS119" s="19" t="s">
        <v>114</v>
      </c>
      <c r="BT119" s="19" t="s">
        <v>114</v>
      </c>
      <c r="BU119" s="19" t="s">
        <v>114</v>
      </c>
      <c r="BV119" s="19" t="s">
        <v>114</v>
      </c>
      <c r="BW119" s="19" t="s">
        <v>114</v>
      </c>
      <c r="BX119" s="19" t="s">
        <v>114</v>
      </c>
      <c r="BY119" s="19" t="s">
        <v>114</v>
      </c>
      <c r="BZ119" s="21" t="s">
        <v>114</v>
      </c>
      <c r="CA119" s="21" t="s">
        <v>114</v>
      </c>
      <c r="CB119" s="21" t="s">
        <v>114</v>
      </c>
      <c r="CC119" s="21" t="s">
        <v>114</v>
      </c>
      <c r="CD119" s="21" t="s">
        <v>114</v>
      </c>
      <c r="CE119" s="21" t="s">
        <v>114</v>
      </c>
      <c r="CF119" s="19" t="s">
        <v>114</v>
      </c>
      <c r="CG119" s="19" t="s">
        <v>114</v>
      </c>
      <c r="CH119" s="19" t="s">
        <v>114</v>
      </c>
      <c r="CI119" s="21" t="s">
        <v>114</v>
      </c>
      <c r="CJ119" s="21" t="s">
        <v>114</v>
      </c>
      <c r="CK119" s="21" t="s">
        <v>114</v>
      </c>
      <c r="CL119" s="21" t="s">
        <v>114</v>
      </c>
      <c r="CM119" s="21" t="s">
        <v>114</v>
      </c>
      <c r="CN119" s="21" t="s">
        <v>114</v>
      </c>
      <c r="CO119" s="21" t="s">
        <v>114</v>
      </c>
      <c r="CP119" s="21" t="s">
        <v>114</v>
      </c>
      <c r="CQ119" s="21" t="s">
        <v>114</v>
      </c>
      <c r="CR119" s="21" t="s">
        <v>114</v>
      </c>
      <c r="CS119" s="21" t="s">
        <v>114</v>
      </c>
      <c r="CT119" s="21" t="s">
        <v>114</v>
      </c>
      <c r="CU119" s="21" t="s">
        <v>114</v>
      </c>
      <c r="CV119" s="21" t="s">
        <v>114</v>
      </c>
      <c r="CW119" s="21" t="s">
        <v>114</v>
      </c>
      <c r="CX119" s="21" t="s">
        <v>114</v>
      </c>
      <c r="CY119" s="21" t="s">
        <v>114</v>
      </c>
      <c r="CZ119" s="21" t="s">
        <v>114</v>
      </c>
      <c r="DA119" s="21" t="s">
        <v>114</v>
      </c>
      <c r="DB119" s="21" t="s">
        <v>114</v>
      </c>
      <c r="DC119" s="21" t="s">
        <v>114</v>
      </c>
      <c r="DD119" s="21" t="s">
        <v>114</v>
      </c>
      <c r="DE119" s="21" t="s">
        <v>114</v>
      </c>
      <c r="DF119" s="19" t="s">
        <v>114</v>
      </c>
      <c r="DG119" s="19" t="s">
        <v>114</v>
      </c>
      <c r="DH119" s="19" t="s">
        <v>114</v>
      </c>
      <c r="DI119" s="19" t="s">
        <v>114</v>
      </c>
      <c r="DJ119" s="19" t="s">
        <v>114</v>
      </c>
      <c r="DK119" s="19" t="s">
        <v>114</v>
      </c>
      <c r="DL119" s="19" t="s">
        <v>114</v>
      </c>
      <c r="DM119" s="19" t="s">
        <v>114</v>
      </c>
      <c r="DN119" s="19" t="s">
        <v>114</v>
      </c>
      <c r="DO119" s="19" t="s">
        <v>114</v>
      </c>
    </row>
    <row r="120" spans="1:119" hidden="1" x14ac:dyDescent="0.45">
      <c r="A120" s="2"/>
      <c r="B120" s="5" t="s">
        <v>1101</v>
      </c>
      <c r="C120" s="2">
        <v>99054</v>
      </c>
      <c r="D120" s="6">
        <v>989</v>
      </c>
      <c r="E120" s="2" t="s">
        <v>1746</v>
      </c>
      <c r="F120" s="5" t="s">
        <v>2422</v>
      </c>
      <c r="H120" s="8"/>
      <c r="I120" s="2" t="s">
        <v>1102</v>
      </c>
      <c r="J120" s="2">
        <v>19</v>
      </c>
      <c r="K120" t="s">
        <v>157</v>
      </c>
      <c r="L120" s="2">
        <v>419</v>
      </c>
      <c r="M120" t="s">
        <v>174</v>
      </c>
      <c r="N120">
        <v>5</v>
      </c>
      <c r="O120" t="s">
        <v>196</v>
      </c>
      <c r="P120" s="2" t="s">
        <v>196</v>
      </c>
      <c r="Q120" s="2" t="s">
        <v>177</v>
      </c>
      <c r="R120" s="2">
        <v>419</v>
      </c>
      <c r="S120" s="2" t="s">
        <v>174</v>
      </c>
      <c r="T120" s="2">
        <v>419</v>
      </c>
      <c r="U120" s="4" t="s">
        <v>174</v>
      </c>
      <c r="V120" t="e">
        <v>#N/A</v>
      </c>
      <c r="W120" t="e">
        <v>#N/A</v>
      </c>
      <c r="X120" t="e">
        <v>#N/A</v>
      </c>
      <c r="AA120" t="s">
        <v>2511</v>
      </c>
      <c r="AB120" t="s">
        <v>282</v>
      </c>
      <c r="AC120" s="2" t="s">
        <v>1888</v>
      </c>
      <c r="AD120" s="2" t="s">
        <v>1888</v>
      </c>
      <c r="AE120" t="s">
        <v>104</v>
      </c>
      <c r="AF120" t="s">
        <v>1885</v>
      </c>
      <c r="AG120" t="s">
        <v>158</v>
      </c>
      <c r="AK120" s="3" t="s">
        <v>1021</v>
      </c>
      <c r="AL120" s="5"/>
      <c r="AM120" s="5" t="s">
        <v>109</v>
      </c>
      <c r="AO120" s="3" t="s">
        <v>119</v>
      </c>
      <c r="AP120" s="3" t="s">
        <v>120</v>
      </c>
      <c r="AQ120" s="3" t="s">
        <v>111</v>
      </c>
      <c r="AR120" s="3" t="s">
        <v>112</v>
      </c>
      <c r="AS120" s="3" t="s">
        <v>112</v>
      </c>
      <c r="AT120" s="3" t="s">
        <v>113</v>
      </c>
      <c r="AU120" s="3" t="s">
        <v>2303</v>
      </c>
      <c r="AV120" s="3" t="s">
        <v>2302</v>
      </c>
      <c r="AW120" s="3" t="s">
        <v>2301</v>
      </c>
      <c r="AX120" t="s">
        <v>282</v>
      </c>
      <c r="AY120" s="19" t="s">
        <v>114</v>
      </c>
      <c r="AZ120" s="19" t="s">
        <v>114</v>
      </c>
      <c r="BA120" s="19" t="s">
        <v>114</v>
      </c>
      <c r="BB120" s="19" t="s">
        <v>114</v>
      </c>
      <c r="BC120" s="19" t="s">
        <v>114</v>
      </c>
      <c r="BD120" s="19" t="s">
        <v>114</v>
      </c>
      <c r="BE120" s="19" t="s">
        <v>114</v>
      </c>
      <c r="BF120" s="19" t="s">
        <v>114</v>
      </c>
      <c r="BG120" s="19" t="s">
        <v>114</v>
      </c>
      <c r="BH120" s="19" t="s">
        <v>114</v>
      </c>
      <c r="BI120" s="19" t="s">
        <v>114</v>
      </c>
      <c r="BJ120" s="19" t="s">
        <v>114</v>
      </c>
      <c r="BK120" s="19" t="s">
        <v>114</v>
      </c>
      <c r="BL120" s="19" t="s">
        <v>114</v>
      </c>
      <c r="BM120" s="19" t="s">
        <v>114</v>
      </c>
      <c r="BN120" s="19" t="s">
        <v>114</v>
      </c>
      <c r="BO120" s="19" t="s">
        <v>114</v>
      </c>
      <c r="BP120" s="19" t="s">
        <v>114</v>
      </c>
      <c r="BQ120" s="19" t="s">
        <v>114</v>
      </c>
      <c r="BR120" s="19" t="s">
        <v>114</v>
      </c>
      <c r="BS120" s="19" t="s">
        <v>114</v>
      </c>
      <c r="BT120" s="19" t="s">
        <v>114</v>
      </c>
      <c r="BU120" s="19" t="s">
        <v>114</v>
      </c>
      <c r="BV120" s="19" t="s">
        <v>114</v>
      </c>
      <c r="BW120" s="19" t="s">
        <v>114</v>
      </c>
      <c r="BX120" s="19" t="s">
        <v>114</v>
      </c>
      <c r="BY120" s="19" t="s">
        <v>114</v>
      </c>
      <c r="BZ120" s="21" t="s">
        <v>114</v>
      </c>
      <c r="CA120" s="21" t="s">
        <v>114</v>
      </c>
      <c r="CB120" s="21" t="s">
        <v>114</v>
      </c>
      <c r="CC120" s="21" t="s">
        <v>114</v>
      </c>
      <c r="CD120" s="21" t="s">
        <v>114</v>
      </c>
      <c r="CE120" s="21" t="s">
        <v>114</v>
      </c>
      <c r="CF120" s="19" t="s">
        <v>114</v>
      </c>
      <c r="CG120" s="19" t="s">
        <v>114</v>
      </c>
      <c r="CH120" s="19" t="s">
        <v>114</v>
      </c>
      <c r="CI120" s="21" t="s">
        <v>114</v>
      </c>
      <c r="CJ120" s="21" t="s">
        <v>114</v>
      </c>
      <c r="CK120" s="21" t="s">
        <v>114</v>
      </c>
      <c r="CL120" s="21" t="s">
        <v>114</v>
      </c>
      <c r="CM120" s="21" t="s">
        <v>114</v>
      </c>
      <c r="CN120" s="21" t="s">
        <v>114</v>
      </c>
      <c r="CO120" s="21" t="s">
        <v>114</v>
      </c>
      <c r="CP120" s="21" t="s">
        <v>114</v>
      </c>
      <c r="CQ120" s="21" t="s">
        <v>114</v>
      </c>
      <c r="CR120" s="21" t="s">
        <v>114</v>
      </c>
      <c r="CS120" s="21" t="s">
        <v>114</v>
      </c>
      <c r="CT120" s="21" t="s">
        <v>114</v>
      </c>
      <c r="CU120" s="21" t="s">
        <v>114</v>
      </c>
      <c r="CV120" s="21" t="s">
        <v>114</v>
      </c>
      <c r="CW120" s="21" t="s">
        <v>114</v>
      </c>
      <c r="CX120" s="21" t="s">
        <v>114</v>
      </c>
      <c r="CY120" s="21" t="s">
        <v>114</v>
      </c>
      <c r="CZ120" s="21" t="s">
        <v>114</v>
      </c>
      <c r="DA120" s="21" t="s">
        <v>114</v>
      </c>
      <c r="DB120" s="21" t="s">
        <v>114</v>
      </c>
      <c r="DC120" s="21" t="s">
        <v>114</v>
      </c>
      <c r="DD120" s="21" t="s">
        <v>114</v>
      </c>
      <c r="DE120" s="21" t="s">
        <v>114</v>
      </c>
      <c r="DF120" s="19" t="s">
        <v>114</v>
      </c>
      <c r="DG120" s="19" t="s">
        <v>114</v>
      </c>
      <c r="DH120" s="19" t="s">
        <v>114</v>
      </c>
      <c r="DI120" s="19" t="s">
        <v>114</v>
      </c>
      <c r="DJ120" s="19" t="s">
        <v>114</v>
      </c>
      <c r="DK120" s="19" t="s">
        <v>114</v>
      </c>
      <c r="DL120" s="19" t="s">
        <v>114</v>
      </c>
      <c r="DM120" s="19" t="s">
        <v>114</v>
      </c>
      <c r="DN120" s="19" t="s">
        <v>114</v>
      </c>
      <c r="DO120" s="19" t="s">
        <v>114</v>
      </c>
    </row>
    <row r="121" spans="1:119" hidden="1" x14ac:dyDescent="0.45">
      <c r="A121" s="2"/>
      <c r="B121" s="5" t="s">
        <v>1931</v>
      </c>
      <c r="C121" s="2">
        <v>99058</v>
      </c>
      <c r="D121" s="6">
        <v>289</v>
      </c>
      <c r="E121" s="2" t="s">
        <v>1934</v>
      </c>
      <c r="F121" s="2" t="s">
        <v>2419</v>
      </c>
      <c r="H121" s="8"/>
      <c r="I121" s="2" t="s">
        <v>1097</v>
      </c>
      <c r="J121" s="2">
        <v>142</v>
      </c>
      <c r="K121" t="s">
        <v>100</v>
      </c>
      <c r="L121" s="2">
        <v>35</v>
      </c>
      <c r="M121" t="s">
        <v>338</v>
      </c>
      <c r="O121" s="2"/>
      <c r="P121" s="2" t="s">
        <v>100</v>
      </c>
      <c r="Q121" s="2" t="s">
        <v>155</v>
      </c>
      <c r="R121" s="2">
        <v>753</v>
      </c>
      <c r="S121" s="2" t="s">
        <v>525</v>
      </c>
      <c r="T121" s="2">
        <v>35</v>
      </c>
      <c r="U121" t="s">
        <v>338</v>
      </c>
      <c r="V121" t="e">
        <v>#N/A</v>
      </c>
      <c r="W121" t="e">
        <v>#N/A</v>
      </c>
      <c r="X121" t="e">
        <v>#N/A</v>
      </c>
      <c r="AA121" t="s">
        <v>2511</v>
      </c>
      <c r="AB121" t="s">
        <v>282</v>
      </c>
      <c r="AC121" s="2" t="s">
        <v>1888</v>
      </c>
      <c r="AD121" s="2" t="s">
        <v>1888</v>
      </c>
      <c r="AE121" t="s">
        <v>104</v>
      </c>
      <c r="AF121" t="s">
        <v>1885</v>
      </c>
      <c r="AG121" t="s">
        <v>158</v>
      </c>
      <c r="AK121" s="3" t="s">
        <v>1021</v>
      </c>
      <c r="AL121" s="5"/>
      <c r="AM121" s="5" t="s">
        <v>109</v>
      </c>
      <c r="AO121" s="3" t="s">
        <v>119</v>
      </c>
      <c r="AP121" t="s">
        <v>120</v>
      </c>
      <c r="AQ121" s="3" t="s">
        <v>111</v>
      </c>
      <c r="AR121" s="3" t="s">
        <v>112</v>
      </c>
      <c r="AS121" s="3" t="s">
        <v>112</v>
      </c>
      <c r="AT121" s="3" t="s">
        <v>113</v>
      </c>
      <c r="AU121" s="3" t="s">
        <v>2303</v>
      </c>
      <c r="AV121" s="3" t="s">
        <v>2302</v>
      </c>
      <c r="AW121" s="3" t="s">
        <v>2301</v>
      </c>
      <c r="AX121" t="s">
        <v>282</v>
      </c>
      <c r="AY121" s="19" t="s">
        <v>114</v>
      </c>
      <c r="AZ121" s="19" t="s">
        <v>114</v>
      </c>
      <c r="BA121" s="19" t="s">
        <v>114</v>
      </c>
      <c r="BB121" s="19" t="s">
        <v>114</v>
      </c>
      <c r="BC121" s="19" t="s">
        <v>114</v>
      </c>
      <c r="BD121" s="19" t="s">
        <v>114</v>
      </c>
      <c r="BE121" s="19" t="s">
        <v>114</v>
      </c>
      <c r="BF121" s="19" t="s">
        <v>114</v>
      </c>
      <c r="BG121" s="19" t="s">
        <v>114</v>
      </c>
      <c r="BH121" s="19" t="s">
        <v>114</v>
      </c>
      <c r="BI121" s="19" t="s">
        <v>114</v>
      </c>
      <c r="BJ121" s="19" t="s">
        <v>114</v>
      </c>
      <c r="BK121" s="19" t="s">
        <v>114</v>
      </c>
      <c r="BL121" s="19" t="s">
        <v>114</v>
      </c>
      <c r="BM121" s="19" t="s">
        <v>114</v>
      </c>
      <c r="BN121" s="19" t="s">
        <v>114</v>
      </c>
      <c r="BO121" s="19" t="s">
        <v>114</v>
      </c>
      <c r="BP121" s="19" t="s">
        <v>114</v>
      </c>
      <c r="BQ121" s="19" t="s">
        <v>114</v>
      </c>
      <c r="BR121" s="19" t="s">
        <v>114</v>
      </c>
      <c r="BS121" s="19" t="s">
        <v>114</v>
      </c>
      <c r="BT121" s="19" t="s">
        <v>114</v>
      </c>
      <c r="BU121" s="19" t="s">
        <v>114</v>
      </c>
      <c r="BV121" s="19" t="s">
        <v>114</v>
      </c>
      <c r="BW121" s="19" t="s">
        <v>114</v>
      </c>
      <c r="BX121" s="19" t="s">
        <v>114</v>
      </c>
      <c r="BY121" s="19" t="s">
        <v>114</v>
      </c>
      <c r="BZ121" s="21" t="s">
        <v>114</v>
      </c>
      <c r="CA121" s="21" t="s">
        <v>114</v>
      </c>
      <c r="CB121" s="21" t="s">
        <v>114</v>
      </c>
      <c r="CC121" s="21" t="s">
        <v>114</v>
      </c>
      <c r="CD121" s="21" t="s">
        <v>114</v>
      </c>
      <c r="CE121" s="21" t="s">
        <v>114</v>
      </c>
      <c r="CF121" s="19" t="s">
        <v>114</v>
      </c>
      <c r="CG121" s="19" t="s">
        <v>114</v>
      </c>
      <c r="CH121" s="19" t="s">
        <v>114</v>
      </c>
      <c r="CI121" s="21" t="s">
        <v>114</v>
      </c>
      <c r="CJ121" s="21" t="s">
        <v>114</v>
      </c>
      <c r="CK121" s="21" t="s">
        <v>114</v>
      </c>
      <c r="CL121" s="21" t="s">
        <v>114</v>
      </c>
      <c r="CM121" s="21" t="s">
        <v>114</v>
      </c>
      <c r="CN121" s="21" t="s">
        <v>114</v>
      </c>
      <c r="CO121" s="21" t="s">
        <v>114</v>
      </c>
      <c r="CP121" s="21" t="s">
        <v>114</v>
      </c>
      <c r="CQ121" s="21" t="s">
        <v>114</v>
      </c>
      <c r="CR121" s="21" t="s">
        <v>114</v>
      </c>
      <c r="CS121" s="21" t="s">
        <v>114</v>
      </c>
      <c r="CT121" s="21" t="s">
        <v>114</v>
      </c>
      <c r="CU121" s="21" t="s">
        <v>114</v>
      </c>
      <c r="CV121" s="21" t="s">
        <v>114</v>
      </c>
      <c r="CW121" s="21" t="s">
        <v>114</v>
      </c>
      <c r="CX121" s="21" t="s">
        <v>114</v>
      </c>
      <c r="CY121" s="21" t="s">
        <v>114</v>
      </c>
      <c r="CZ121" s="21" t="s">
        <v>114</v>
      </c>
      <c r="DA121" s="21" t="s">
        <v>114</v>
      </c>
      <c r="DB121" s="21" t="s">
        <v>114</v>
      </c>
      <c r="DC121" s="21" t="s">
        <v>114</v>
      </c>
      <c r="DD121" s="21" t="s">
        <v>114</v>
      </c>
      <c r="DE121" s="21" t="s">
        <v>114</v>
      </c>
      <c r="DF121" s="19" t="s">
        <v>114</v>
      </c>
      <c r="DG121" s="19" t="s">
        <v>114</v>
      </c>
      <c r="DH121" s="19" t="s">
        <v>114</v>
      </c>
      <c r="DI121" s="19" t="s">
        <v>114</v>
      </c>
      <c r="DJ121" s="19" t="s">
        <v>114</v>
      </c>
      <c r="DK121" s="19" t="s">
        <v>114</v>
      </c>
      <c r="DL121" s="19" t="s">
        <v>114</v>
      </c>
      <c r="DM121" s="19" t="s">
        <v>114</v>
      </c>
      <c r="DN121" s="19" t="s">
        <v>114</v>
      </c>
      <c r="DO121" s="19" t="s">
        <v>114</v>
      </c>
    </row>
    <row r="122" spans="1:119" hidden="1" x14ac:dyDescent="0.45">
      <c r="A122" s="2"/>
      <c r="B122" s="5" t="s">
        <v>1925</v>
      </c>
      <c r="C122" s="2">
        <v>99056</v>
      </c>
      <c r="D122" s="6">
        <v>292</v>
      </c>
      <c r="E122" s="2" t="s">
        <v>1927</v>
      </c>
      <c r="F122" s="2" t="s">
        <v>2420</v>
      </c>
      <c r="H122" s="8"/>
      <c r="I122" s="2" t="s">
        <v>1097</v>
      </c>
      <c r="J122" s="2">
        <v>142</v>
      </c>
      <c r="K122" t="s">
        <v>100</v>
      </c>
      <c r="L122" s="2">
        <v>34</v>
      </c>
      <c r="M122" t="s">
        <v>101</v>
      </c>
      <c r="O122" s="2"/>
      <c r="P122" s="2" t="s">
        <v>100</v>
      </c>
      <c r="Q122" s="2" t="s">
        <v>102</v>
      </c>
      <c r="R122" s="2">
        <v>62</v>
      </c>
      <c r="S122" s="2" t="s">
        <v>388</v>
      </c>
      <c r="T122" s="2">
        <v>34</v>
      </c>
      <c r="U122" t="s">
        <v>101</v>
      </c>
      <c r="V122" t="e">
        <v>#N/A</v>
      </c>
      <c r="W122" t="e">
        <v>#N/A</v>
      </c>
      <c r="X122" t="e">
        <v>#N/A</v>
      </c>
      <c r="AA122" t="s">
        <v>2511</v>
      </c>
      <c r="AB122" t="s">
        <v>282</v>
      </c>
      <c r="AC122" s="2" t="s">
        <v>1888</v>
      </c>
      <c r="AD122" s="2" t="s">
        <v>1888</v>
      </c>
      <c r="AE122" t="s">
        <v>104</v>
      </c>
      <c r="AF122" t="s">
        <v>1885</v>
      </c>
      <c r="AG122" t="s">
        <v>158</v>
      </c>
      <c r="AK122" s="3" t="s">
        <v>1021</v>
      </c>
      <c r="AL122" s="5"/>
      <c r="AM122" s="5" t="s">
        <v>109</v>
      </c>
      <c r="AO122" s="3" t="s">
        <v>119</v>
      </c>
      <c r="AP122" t="s">
        <v>120</v>
      </c>
      <c r="AQ122" s="3" t="s">
        <v>111</v>
      </c>
      <c r="AR122" s="3" t="s">
        <v>112</v>
      </c>
      <c r="AS122" s="3" t="s">
        <v>112</v>
      </c>
      <c r="AT122" s="3" t="s">
        <v>113</v>
      </c>
      <c r="AU122" s="3" t="s">
        <v>2303</v>
      </c>
      <c r="AV122" s="3" t="s">
        <v>2302</v>
      </c>
      <c r="AW122" s="3" t="s">
        <v>2301</v>
      </c>
      <c r="AX122" t="s">
        <v>282</v>
      </c>
      <c r="AY122" s="19" t="s">
        <v>114</v>
      </c>
      <c r="AZ122" s="19" t="s">
        <v>114</v>
      </c>
      <c r="BA122" s="19" t="s">
        <v>114</v>
      </c>
      <c r="BB122" s="19" t="s">
        <v>114</v>
      </c>
      <c r="BC122" s="19" t="s">
        <v>114</v>
      </c>
      <c r="BD122" s="19" t="s">
        <v>114</v>
      </c>
      <c r="BE122" s="19" t="s">
        <v>114</v>
      </c>
      <c r="BF122" s="19" t="s">
        <v>114</v>
      </c>
      <c r="BG122" s="19" t="s">
        <v>114</v>
      </c>
      <c r="BH122" s="19" t="s">
        <v>114</v>
      </c>
      <c r="BI122" s="19" t="s">
        <v>114</v>
      </c>
      <c r="BJ122" s="19" t="s">
        <v>114</v>
      </c>
      <c r="BK122" s="19" t="s">
        <v>114</v>
      </c>
      <c r="BL122" s="19" t="s">
        <v>114</v>
      </c>
      <c r="BM122" s="19" t="s">
        <v>114</v>
      </c>
      <c r="BN122" s="19" t="s">
        <v>114</v>
      </c>
      <c r="BO122" s="19" t="s">
        <v>114</v>
      </c>
      <c r="BP122" s="19" t="s">
        <v>114</v>
      </c>
      <c r="BQ122" s="19" t="s">
        <v>114</v>
      </c>
      <c r="BR122" s="19" t="s">
        <v>114</v>
      </c>
      <c r="BS122" s="19" t="s">
        <v>114</v>
      </c>
      <c r="BT122" s="19" t="s">
        <v>114</v>
      </c>
      <c r="BU122" s="19" t="s">
        <v>114</v>
      </c>
      <c r="BV122" s="19" t="s">
        <v>114</v>
      </c>
      <c r="BW122" s="19" t="s">
        <v>114</v>
      </c>
      <c r="BX122" s="19" t="s">
        <v>114</v>
      </c>
      <c r="BY122" s="19" t="s">
        <v>114</v>
      </c>
      <c r="BZ122" s="21" t="s">
        <v>114</v>
      </c>
      <c r="CA122" s="21" t="s">
        <v>114</v>
      </c>
      <c r="CB122" s="21" t="s">
        <v>114</v>
      </c>
      <c r="CC122" s="21" t="s">
        <v>114</v>
      </c>
      <c r="CD122" s="21" t="s">
        <v>114</v>
      </c>
      <c r="CE122" s="21" t="s">
        <v>114</v>
      </c>
      <c r="CF122" s="19" t="s">
        <v>114</v>
      </c>
      <c r="CG122" s="19" t="s">
        <v>114</v>
      </c>
      <c r="CH122" s="19" t="s">
        <v>114</v>
      </c>
      <c r="CI122" s="21" t="s">
        <v>114</v>
      </c>
      <c r="CJ122" s="21" t="s">
        <v>114</v>
      </c>
      <c r="CK122" s="21" t="s">
        <v>114</v>
      </c>
      <c r="CL122" s="21" t="s">
        <v>114</v>
      </c>
      <c r="CM122" s="21" t="s">
        <v>114</v>
      </c>
      <c r="CN122" s="21" t="s">
        <v>114</v>
      </c>
      <c r="CO122" s="21" t="s">
        <v>114</v>
      </c>
      <c r="CP122" s="21" t="s">
        <v>114</v>
      </c>
      <c r="CQ122" s="21" t="s">
        <v>114</v>
      </c>
      <c r="CR122" s="21" t="s">
        <v>114</v>
      </c>
      <c r="CS122" s="21" t="s">
        <v>114</v>
      </c>
      <c r="CT122" s="21" t="s">
        <v>114</v>
      </c>
      <c r="CU122" s="21" t="s">
        <v>114</v>
      </c>
      <c r="CV122" s="21" t="s">
        <v>114</v>
      </c>
      <c r="CW122" s="21" t="s">
        <v>114</v>
      </c>
      <c r="CX122" s="21" t="s">
        <v>114</v>
      </c>
      <c r="CY122" s="21" t="s">
        <v>114</v>
      </c>
      <c r="CZ122" s="21" t="s">
        <v>114</v>
      </c>
      <c r="DA122" s="21" t="s">
        <v>114</v>
      </c>
      <c r="DB122" s="21" t="s">
        <v>114</v>
      </c>
      <c r="DC122" s="21" t="s">
        <v>114</v>
      </c>
      <c r="DD122" s="21" t="s">
        <v>114</v>
      </c>
      <c r="DE122" s="21" t="s">
        <v>114</v>
      </c>
      <c r="DF122" s="19" t="s">
        <v>114</v>
      </c>
      <c r="DG122" s="19" t="s">
        <v>114</v>
      </c>
      <c r="DH122" s="19" t="s">
        <v>114</v>
      </c>
      <c r="DI122" s="19" t="s">
        <v>114</v>
      </c>
      <c r="DJ122" s="19" t="s">
        <v>114</v>
      </c>
      <c r="DK122" s="19" t="s">
        <v>114</v>
      </c>
      <c r="DL122" s="19" t="s">
        <v>114</v>
      </c>
      <c r="DM122" s="19" t="s">
        <v>114</v>
      </c>
      <c r="DN122" s="19" t="s">
        <v>114</v>
      </c>
      <c r="DO122" s="19" t="s">
        <v>114</v>
      </c>
    </row>
    <row r="123" spans="1:119" hidden="1" x14ac:dyDescent="0.45">
      <c r="A123" s="2"/>
      <c r="B123" s="5" t="s">
        <v>367</v>
      </c>
      <c r="C123">
        <v>99039</v>
      </c>
      <c r="D123" s="6">
        <v>189</v>
      </c>
      <c r="E123" s="2" t="s">
        <v>1112</v>
      </c>
      <c r="F123" s="22" t="s">
        <v>2405</v>
      </c>
      <c r="H123" s="8"/>
      <c r="I123" s="2" t="s">
        <v>1114</v>
      </c>
      <c r="J123" s="2">
        <v>2</v>
      </c>
      <c r="K123" t="s">
        <v>116</v>
      </c>
      <c r="L123" s="2">
        <v>202</v>
      </c>
      <c r="M123" t="s">
        <v>166</v>
      </c>
      <c r="N123">
        <v>99039</v>
      </c>
      <c r="O123" t="s">
        <v>1113</v>
      </c>
      <c r="P123" s="2" t="s">
        <v>116</v>
      </c>
      <c r="Q123" s="2" t="s">
        <v>166</v>
      </c>
      <c r="R123" s="4">
        <v>202</v>
      </c>
      <c r="S123" s="2" t="s">
        <v>166</v>
      </c>
      <c r="T123" s="2">
        <v>202</v>
      </c>
      <c r="U123" s="4" t="s">
        <v>166</v>
      </c>
      <c r="V123" t="e">
        <v>#N/A</v>
      </c>
      <c r="W123" t="e">
        <v>#N/A</v>
      </c>
      <c r="X123" t="e">
        <v>#N/A</v>
      </c>
      <c r="AA123" t="s">
        <v>2511</v>
      </c>
      <c r="AB123" t="s">
        <v>282</v>
      </c>
      <c r="AC123" s="2" t="s">
        <v>1888</v>
      </c>
      <c r="AD123" s="2" t="s">
        <v>1888</v>
      </c>
      <c r="AE123" t="s">
        <v>104</v>
      </c>
      <c r="AF123" t="s">
        <v>1885</v>
      </c>
      <c r="AG123" t="s">
        <v>1884</v>
      </c>
      <c r="AK123" s="3" t="s">
        <v>1021</v>
      </c>
      <c r="AL123" s="5"/>
      <c r="AM123" s="5" t="s">
        <v>109</v>
      </c>
      <c r="AO123" s="3" t="s">
        <v>119</v>
      </c>
      <c r="AP123" s="3" t="s">
        <v>120</v>
      </c>
      <c r="AQ123" s="3" t="s">
        <v>111</v>
      </c>
      <c r="AR123" s="3" t="s">
        <v>112</v>
      </c>
      <c r="AS123" s="3" t="s">
        <v>112</v>
      </c>
      <c r="AT123" s="3" t="s">
        <v>113</v>
      </c>
      <c r="AU123" s="3" t="s">
        <v>2303</v>
      </c>
      <c r="AV123" s="3" t="s">
        <v>2302</v>
      </c>
      <c r="AW123" s="3" t="s">
        <v>2301</v>
      </c>
      <c r="AX123" t="s">
        <v>282</v>
      </c>
      <c r="AY123" s="19" t="s">
        <v>114</v>
      </c>
      <c r="AZ123" s="19" t="s">
        <v>114</v>
      </c>
      <c r="BA123" s="19" t="s">
        <v>114</v>
      </c>
      <c r="BB123" s="19" t="s">
        <v>114</v>
      </c>
      <c r="BC123" s="19" t="s">
        <v>114</v>
      </c>
      <c r="BD123" s="19" t="s">
        <v>114</v>
      </c>
      <c r="BE123" s="19" t="s">
        <v>114</v>
      </c>
      <c r="BF123" s="19" t="s">
        <v>114</v>
      </c>
      <c r="BG123" s="19" t="s">
        <v>114</v>
      </c>
      <c r="BH123" s="19" t="s">
        <v>114</v>
      </c>
      <c r="BI123" s="19" t="s">
        <v>114</v>
      </c>
      <c r="BJ123" s="19" t="s">
        <v>114</v>
      </c>
      <c r="BK123" s="19" t="s">
        <v>114</v>
      </c>
      <c r="BL123" s="19" t="s">
        <v>114</v>
      </c>
      <c r="BM123" s="19" t="s">
        <v>114</v>
      </c>
      <c r="BN123" s="19" t="s">
        <v>114</v>
      </c>
      <c r="BO123" s="19" t="s">
        <v>114</v>
      </c>
      <c r="BP123" s="19" t="s">
        <v>114</v>
      </c>
      <c r="BQ123" s="19" t="s">
        <v>114</v>
      </c>
      <c r="BR123" s="19" t="s">
        <v>114</v>
      </c>
      <c r="BS123" s="19" t="s">
        <v>114</v>
      </c>
      <c r="BT123" s="19" t="s">
        <v>114</v>
      </c>
      <c r="BU123" s="19" t="s">
        <v>114</v>
      </c>
      <c r="BV123" s="19" t="s">
        <v>114</v>
      </c>
      <c r="BW123" s="19" t="s">
        <v>114</v>
      </c>
      <c r="BX123" s="19" t="s">
        <v>114</v>
      </c>
      <c r="BY123" s="19" t="s">
        <v>114</v>
      </c>
      <c r="BZ123" s="21" t="s">
        <v>114</v>
      </c>
      <c r="CA123" s="21" t="s">
        <v>114</v>
      </c>
      <c r="CB123" s="21" t="s">
        <v>114</v>
      </c>
      <c r="CC123" s="21" t="s">
        <v>114</v>
      </c>
      <c r="CD123" s="21" t="s">
        <v>114</v>
      </c>
      <c r="CE123" s="21" t="s">
        <v>114</v>
      </c>
      <c r="CF123" s="19" t="s">
        <v>114</v>
      </c>
      <c r="CG123" s="19" t="s">
        <v>114</v>
      </c>
      <c r="CH123" s="19" t="s">
        <v>114</v>
      </c>
      <c r="CI123" s="21" t="s">
        <v>114</v>
      </c>
      <c r="CJ123" s="21" t="s">
        <v>114</v>
      </c>
      <c r="CK123" s="21" t="s">
        <v>114</v>
      </c>
      <c r="CL123" s="21" t="s">
        <v>114</v>
      </c>
      <c r="CM123" s="21" t="s">
        <v>114</v>
      </c>
      <c r="CN123" s="21" t="s">
        <v>114</v>
      </c>
      <c r="CO123" s="21" t="s">
        <v>114</v>
      </c>
      <c r="CP123" s="21" t="s">
        <v>114</v>
      </c>
      <c r="CQ123" s="21" t="s">
        <v>114</v>
      </c>
      <c r="CR123" s="21" t="s">
        <v>114</v>
      </c>
      <c r="CS123" s="21" t="s">
        <v>114</v>
      </c>
      <c r="CT123" s="21" t="s">
        <v>114</v>
      </c>
      <c r="CU123" s="21" t="s">
        <v>114</v>
      </c>
      <c r="CV123" s="21" t="s">
        <v>114</v>
      </c>
      <c r="CW123" s="21" t="s">
        <v>114</v>
      </c>
      <c r="CX123" s="21" t="s">
        <v>114</v>
      </c>
      <c r="CY123" s="21" t="s">
        <v>114</v>
      </c>
      <c r="CZ123" s="21" t="s">
        <v>114</v>
      </c>
      <c r="DA123" s="21" t="s">
        <v>114</v>
      </c>
      <c r="DB123" s="21" t="s">
        <v>114</v>
      </c>
      <c r="DC123" s="21" t="s">
        <v>114</v>
      </c>
      <c r="DD123" s="21" t="s">
        <v>114</v>
      </c>
      <c r="DE123" s="21" t="s">
        <v>114</v>
      </c>
      <c r="DF123" s="19" t="s">
        <v>114</v>
      </c>
      <c r="DG123" s="19" t="s">
        <v>114</v>
      </c>
      <c r="DH123" s="19" t="s">
        <v>114</v>
      </c>
      <c r="DI123" s="19" t="s">
        <v>114</v>
      </c>
      <c r="DJ123" s="19" t="s">
        <v>114</v>
      </c>
      <c r="DK123" s="19" t="s">
        <v>114</v>
      </c>
      <c r="DL123" s="19" t="s">
        <v>114</v>
      </c>
      <c r="DM123" s="19" t="s">
        <v>114</v>
      </c>
      <c r="DN123" s="19" t="s">
        <v>114</v>
      </c>
      <c r="DO123" s="19" t="s">
        <v>114</v>
      </c>
    </row>
    <row r="124" spans="1:119" hidden="1" x14ac:dyDescent="0.45">
      <c r="A124" s="2"/>
      <c r="B124" s="5" t="s">
        <v>1937</v>
      </c>
      <c r="C124" s="2">
        <v>99059</v>
      </c>
      <c r="D124" s="6">
        <v>690</v>
      </c>
      <c r="E124" s="2" t="s">
        <v>1939</v>
      </c>
      <c r="F124" s="2" t="s">
        <v>2421</v>
      </c>
      <c r="H124" s="8"/>
      <c r="I124" s="2" t="s">
        <v>1117</v>
      </c>
      <c r="J124" s="2">
        <v>142</v>
      </c>
      <c r="K124" t="s">
        <v>100</v>
      </c>
      <c r="L124" s="2">
        <v>145</v>
      </c>
      <c r="M124" t="s">
        <v>202</v>
      </c>
      <c r="O124" s="2"/>
      <c r="P124" s="2" t="s">
        <v>240</v>
      </c>
      <c r="Q124" s="2" t="s">
        <v>146</v>
      </c>
      <c r="R124" s="2">
        <v>747</v>
      </c>
      <c r="S124" s="2" t="s">
        <v>1446</v>
      </c>
      <c r="T124" s="4">
        <v>145</v>
      </c>
      <c r="U124" s="4" t="s">
        <v>202</v>
      </c>
      <c r="V124" t="e">
        <v>#N/A</v>
      </c>
      <c r="W124" t="e">
        <v>#N/A</v>
      </c>
      <c r="X124" t="e">
        <v>#N/A</v>
      </c>
      <c r="AA124" t="s">
        <v>2511</v>
      </c>
      <c r="AB124" t="s">
        <v>282</v>
      </c>
      <c r="AC124" s="2" t="s">
        <v>1888</v>
      </c>
      <c r="AD124" s="2" t="s">
        <v>1888</v>
      </c>
      <c r="AE124" t="s">
        <v>104</v>
      </c>
      <c r="AF124" t="s">
        <v>1885</v>
      </c>
      <c r="AG124" t="s">
        <v>158</v>
      </c>
      <c r="AK124" s="3" t="s">
        <v>1021</v>
      </c>
      <c r="AL124" s="5"/>
      <c r="AM124" s="5" t="s">
        <v>109</v>
      </c>
      <c r="AO124" s="3" t="s">
        <v>119</v>
      </c>
      <c r="AP124" t="s">
        <v>120</v>
      </c>
      <c r="AQ124" s="3" t="s">
        <v>111</v>
      </c>
      <c r="AR124" s="3" t="s">
        <v>112</v>
      </c>
      <c r="AS124" s="3" t="s">
        <v>112</v>
      </c>
      <c r="AT124" s="3" t="s">
        <v>113</v>
      </c>
      <c r="AU124" s="3" t="s">
        <v>2303</v>
      </c>
      <c r="AV124" s="3" t="s">
        <v>2302</v>
      </c>
      <c r="AW124" s="3" t="s">
        <v>2301</v>
      </c>
      <c r="AX124" t="s">
        <v>282</v>
      </c>
      <c r="AY124" s="19" t="s">
        <v>114</v>
      </c>
      <c r="AZ124" s="19" t="s">
        <v>114</v>
      </c>
      <c r="BA124" s="19" t="s">
        <v>114</v>
      </c>
      <c r="BB124" s="19" t="s">
        <v>114</v>
      </c>
      <c r="BC124" s="19" t="s">
        <v>114</v>
      </c>
      <c r="BD124" s="19" t="s">
        <v>114</v>
      </c>
      <c r="BE124" s="19" t="s">
        <v>114</v>
      </c>
      <c r="BF124" s="19" t="s">
        <v>114</v>
      </c>
      <c r="BG124" s="19" t="s">
        <v>114</v>
      </c>
      <c r="BH124" s="19" t="s">
        <v>114</v>
      </c>
      <c r="BI124" s="19" t="s">
        <v>114</v>
      </c>
      <c r="BJ124" s="19" t="s">
        <v>114</v>
      </c>
      <c r="BK124" s="19" t="s">
        <v>114</v>
      </c>
      <c r="BL124" s="19" t="s">
        <v>114</v>
      </c>
      <c r="BM124" s="19" t="s">
        <v>114</v>
      </c>
      <c r="BN124" s="19" t="s">
        <v>114</v>
      </c>
      <c r="BO124" s="19" t="s">
        <v>114</v>
      </c>
      <c r="BP124" s="19" t="s">
        <v>114</v>
      </c>
      <c r="BQ124" s="19" t="s">
        <v>114</v>
      </c>
      <c r="BR124" s="19" t="s">
        <v>114</v>
      </c>
      <c r="BS124" s="19" t="s">
        <v>114</v>
      </c>
      <c r="BT124" s="19" t="s">
        <v>114</v>
      </c>
      <c r="BU124" s="19" t="s">
        <v>114</v>
      </c>
      <c r="BV124" s="19" t="s">
        <v>114</v>
      </c>
      <c r="BW124" s="19" t="s">
        <v>114</v>
      </c>
      <c r="BX124" s="19" t="s">
        <v>114</v>
      </c>
      <c r="BY124" s="19" t="s">
        <v>114</v>
      </c>
      <c r="BZ124" s="21" t="s">
        <v>114</v>
      </c>
      <c r="CA124" s="21" t="s">
        <v>114</v>
      </c>
      <c r="CB124" s="21" t="s">
        <v>114</v>
      </c>
      <c r="CC124" s="21" t="s">
        <v>114</v>
      </c>
      <c r="CD124" s="21" t="s">
        <v>114</v>
      </c>
      <c r="CE124" s="21" t="s">
        <v>114</v>
      </c>
      <c r="CF124" s="19" t="s">
        <v>114</v>
      </c>
      <c r="CG124" s="19" t="s">
        <v>114</v>
      </c>
      <c r="CH124" s="19" t="s">
        <v>114</v>
      </c>
      <c r="CI124" s="21" t="s">
        <v>114</v>
      </c>
      <c r="CJ124" s="21" t="s">
        <v>114</v>
      </c>
      <c r="CK124" s="21" t="s">
        <v>114</v>
      </c>
      <c r="CL124" s="21" t="s">
        <v>114</v>
      </c>
      <c r="CM124" s="21" t="s">
        <v>114</v>
      </c>
      <c r="CN124" s="21" t="s">
        <v>114</v>
      </c>
      <c r="CO124" s="21" t="s">
        <v>114</v>
      </c>
      <c r="CP124" s="21" t="s">
        <v>114</v>
      </c>
      <c r="CQ124" s="21" t="s">
        <v>114</v>
      </c>
      <c r="CR124" s="21" t="s">
        <v>114</v>
      </c>
      <c r="CS124" s="21" t="s">
        <v>114</v>
      </c>
      <c r="CT124" s="21" t="s">
        <v>114</v>
      </c>
      <c r="CU124" s="21" t="s">
        <v>114</v>
      </c>
      <c r="CV124" s="21" t="s">
        <v>114</v>
      </c>
      <c r="CW124" s="21" t="s">
        <v>114</v>
      </c>
      <c r="CX124" s="21" t="s">
        <v>114</v>
      </c>
      <c r="CY124" s="21" t="s">
        <v>114</v>
      </c>
      <c r="CZ124" s="21" t="s">
        <v>114</v>
      </c>
      <c r="DA124" s="21" t="s">
        <v>114</v>
      </c>
      <c r="DB124" s="21" t="s">
        <v>114</v>
      </c>
      <c r="DC124" s="21" t="s">
        <v>114</v>
      </c>
      <c r="DD124" s="21" t="s">
        <v>114</v>
      </c>
      <c r="DE124" s="21" t="s">
        <v>114</v>
      </c>
      <c r="DF124" s="19" t="s">
        <v>114</v>
      </c>
      <c r="DG124" s="19" t="s">
        <v>114</v>
      </c>
      <c r="DH124" s="19" t="s">
        <v>114</v>
      </c>
      <c r="DI124" s="19" t="s">
        <v>114</v>
      </c>
      <c r="DJ124" s="19" t="s">
        <v>114</v>
      </c>
      <c r="DK124" s="19" t="s">
        <v>114</v>
      </c>
      <c r="DL124" s="19" t="s">
        <v>114</v>
      </c>
      <c r="DM124" s="19" t="s">
        <v>114</v>
      </c>
      <c r="DN124" s="19" t="s">
        <v>114</v>
      </c>
      <c r="DO124" s="19" t="s">
        <v>114</v>
      </c>
    </row>
    <row r="125" spans="1:119" hidden="1" x14ac:dyDescent="0.45">
      <c r="A125" s="2"/>
      <c r="B125" s="5" t="s">
        <v>1115</v>
      </c>
      <c r="C125">
        <v>99040</v>
      </c>
      <c r="D125" s="6">
        <v>689</v>
      </c>
      <c r="E125" s="2" t="s">
        <v>1744</v>
      </c>
      <c r="F125" s="22" t="s">
        <v>2415</v>
      </c>
      <c r="H125" s="8"/>
      <c r="I125" s="2" t="s">
        <v>1117</v>
      </c>
      <c r="J125" s="2">
        <v>142</v>
      </c>
      <c r="K125" t="s">
        <v>100</v>
      </c>
      <c r="L125" s="2"/>
      <c r="P125" s="2" t="s">
        <v>240</v>
      </c>
      <c r="Q125" s="2" t="s">
        <v>146</v>
      </c>
      <c r="R125" s="2">
        <v>747</v>
      </c>
      <c r="S125" s="2" t="s">
        <v>1446</v>
      </c>
      <c r="T125" s="2">
        <v>15</v>
      </c>
      <c r="U125" t="s">
        <v>145</v>
      </c>
      <c r="V125" t="e">
        <v>#N/A</v>
      </c>
      <c r="W125" t="e">
        <v>#N/A</v>
      </c>
      <c r="X125" t="e">
        <v>#N/A</v>
      </c>
      <c r="AA125" t="s">
        <v>2511</v>
      </c>
      <c r="AB125" t="s">
        <v>282</v>
      </c>
      <c r="AC125" s="2" t="s">
        <v>1888</v>
      </c>
      <c r="AD125" s="2" t="s">
        <v>1888</v>
      </c>
      <c r="AE125" t="s">
        <v>104</v>
      </c>
      <c r="AF125" t="s">
        <v>1885</v>
      </c>
      <c r="AG125" t="s">
        <v>1884</v>
      </c>
      <c r="AK125" s="3" t="s">
        <v>1021</v>
      </c>
      <c r="AL125" s="5"/>
      <c r="AM125" s="5" t="s">
        <v>109</v>
      </c>
      <c r="AO125" s="3" t="s">
        <v>119</v>
      </c>
      <c r="AP125" s="3" t="s">
        <v>120</v>
      </c>
      <c r="AQ125" s="3" t="s">
        <v>111</v>
      </c>
      <c r="AR125" s="3" t="s">
        <v>112</v>
      </c>
      <c r="AS125" s="3" t="s">
        <v>112</v>
      </c>
      <c r="AT125" s="3" t="s">
        <v>113</v>
      </c>
      <c r="AU125" s="3" t="s">
        <v>2303</v>
      </c>
      <c r="AV125" s="3" t="s">
        <v>2302</v>
      </c>
      <c r="AW125" s="3" t="s">
        <v>2301</v>
      </c>
      <c r="AX125" t="s">
        <v>282</v>
      </c>
      <c r="AY125" s="19" t="s">
        <v>114</v>
      </c>
      <c r="AZ125" s="19" t="s">
        <v>114</v>
      </c>
      <c r="BA125" s="19" t="s">
        <v>114</v>
      </c>
      <c r="BB125" s="19" t="s">
        <v>114</v>
      </c>
      <c r="BC125" s="19" t="s">
        <v>114</v>
      </c>
      <c r="BD125" s="19" t="s">
        <v>114</v>
      </c>
      <c r="BE125" s="19" t="s">
        <v>114</v>
      </c>
      <c r="BF125" s="19" t="s">
        <v>114</v>
      </c>
      <c r="BG125" s="19" t="s">
        <v>114</v>
      </c>
      <c r="BH125" s="19" t="s">
        <v>114</v>
      </c>
      <c r="BI125" s="19" t="s">
        <v>114</v>
      </c>
      <c r="BJ125" s="19" t="s">
        <v>114</v>
      </c>
      <c r="BK125" s="19" t="s">
        <v>114</v>
      </c>
      <c r="BL125" s="19" t="s">
        <v>114</v>
      </c>
      <c r="BM125" s="19" t="s">
        <v>114</v>
      </c>
      <c r="BN125" s="19" t="s">
        <v>114</v>
      </c>
      <c r="BO125" s="19" t="s">
        <v>114</v>
      </c>
      <c r="BP125" s="19" t="s">
        <v>114</v>
      </c>
      <c r="BQ125" s="19" t="s">
        <v>114</v>
      </c>
      <c r="BR125" s="19" t="s">
        <v>114</v>
      </c>
      <c r="BS125" s="19" t="s">
        <v>114</v>
      </c>
      <c r="BT125" s="19" t="s">
        <v>114</v>
      </c>
      <c r="BU125" s="19" t="s">
        <v>114</v>
      </c>
      <c r="BV125" s="19" t="s">
        <v>114</v>
      </c>
      <c r="BW125" s="19" t="s">
        <v>114</v>
      </c>
      <c r="BX125" s="19" t="s">
        <v>114</v>
      </c>
      <c r="BY125" s="19" t="s">
        <v>114</v>
      </c>
      <c r="BZ125" s="21" t="s">
        <v>114</v>
      </c>
      <c r="CA125" s="21" t="s">
        <v>114</v>
      </c>
      <c r="CB125" s="21" t="s">
        <v>114</v>
      </c>
      <c r="CC125" s="21" t="s">
        <v>114</v>
      </c>
      <c r="CD125" s="21" t="s">
        <v>114</v>
      </c>
      <c r="CE125" s="21" t="s">
        <v>114</v>
      </c>
      <c r="CF125" s="19" t="s">
        <v>114</v>
      </c>
      <c r="CG125" s="19" t="s">
        <v>114</v>
      </c>
      <c r="CH125" s="19" t="s">
        <v>114</v>
      </c>
      <c r="CI125" s="21" t="s">
        <v>114</v>
      </c>
      <c r="CJ125" s="21" t="s">
        <v>114</v>
      </c>
      <c r="CK125" s="21" t="s">
        <v>114</v>
      </c>
      <c r="CL125" s="21" t="s">
        <v>114</v>
      </c>
      <c r="CM125" s="21" t="s">
        <v>114</v>
      </c>
      <c r="CN125" s="21" t="s">
        <v>114</v>
      </c>
      <c r="CO125" s="21" t="s">
        <v>114</v>
      </c>
      <c r="CP125" s="21" t="s">
        <v>114</v>
      </c>
      <c r="CQ125" s="21" t="s">
        <v>114</v>
      </c>
      <c r="CR125" s="21" t="s">
        <v>114</v>
      </c>
      <c r="CS125" s="21" t="s">
        <v>114</v>
      </c>
      <c r="CT125" s="21" t="s">
        <v>114</v>
      </c>
      <c r="CU125" s="21" t="s">
        <v>114</v>
      </c>
      <c r="CV125" s="21" t="s">
        <v>114</v>
      </c>
      <c r="CW125" s="21" t="s">
        <v>114</v>
      </c>
      <c r="CX125" s="21" t="s">
        <v>114</v>
      </c>
      <c r="CY125" s="21" t="s">
        <v>114</v>
      </c>
      <c r="CZ125" s="21" t="s">
        <v>114</v>
      </c>
      <c r="DA125" s="21" t="s">
        <v>114</v>
      </c>
      <c r="DB125" s="21" t="s">
        <v>114</v>
      </c>
      <c r="DC125" s="21" t="s">
        <v>114</v>
      </c>
      <c r="DD125" s="21" t="s">
        <v>114</v>
      </c>
      <c r="DE125" s="21" t="s">
        <v>114</v>
      </c>
      <c r="DF125" s="19" t="s">
        <v>114</v>
      </c>
      <c r="DG125" s="19" t="s">
        <v>114</v>
      </c>
      <c r="DH125" s="19" t="s">
        <v>114</v>
      </c>
      <c r="DI125" s="19" t="s">
        <v>114</v>
      </c>
      <c r="DJ125" s="19" t="s">
        <v>114</v>
      </c>
      <c r="DK125" s="19" t="s">
        <v>114</v>
      </c>
      <c r="DL125" s="19" t="s">
        <v>114</v>
      </c>
      <c r="DM125" s="19" t="s">
        <v>114</v>
      </c>
      <c r="DN125" s="19" t="s">
        <v>114</v>
      </c>
      <c r="DO125" s="19" t="s">
        <v>114</v>
      </c>
    </row>
    <row r="126" spans="1:119" x14ac:dyDescent="0.45">
      <c r="A126" s="2"/>
      <c r="B126" t="s">
        <v>2329</v>
      </c>
      <c r="C126" s="2">
        <v>722</v>
      </c>
      <c r="D126" s="6"/>
      <c r="E126" s="2"/>
      <c r="F126" s="2" t="s">
        <v>1239</v>
      </c>
      <c r="H126" s="2"/>
      <c r="J126" s="2"/>
      <c r="L126" s="2"/>
      <c r="P126" s="2"/>
      <c r="Q126" s="2"/>
      <c r="R126" s="2"/>
      <c r="S126" s="2"/>
      <c r="T126" s="2"/>
      <c r="U126" s="2"/>
      <c r="V126" t="e">
        <v>#N/A</v>
      </c>
      <c r="W126" t="e">
        <v>#N/A</v>
      </c>
      <c r="X126" t="e">
        <v>#N/A</v>
      </c>
      <c r="AA126" t="s">
        <v>2511</v>
      </c>
      <c r="AB126" t="s">
        <v>282</v>
      </c>
      <c r="AC126" s="2" t="s">
        <v>1888</v>
      </c>
      <c r="AD126" s="2" t="s">
        <v>1888</v>
      </c>
      <c r="AE126" t="s">
        <v>158</v>
      </c>
      <c r="AF126" t="s">
        <v>1886</v>
      </c>
      <c r="AG126" t="s">
        <v>158</v>
      </c>
      <c r="AK126" t="s">
        <v>389</v>
      </c>
      <c r="AL126" s="5"/>
      <c r="AO126" s="3" t="s">
        <v>119</v>
      </c>
      <c r="AP126" s="3" t="s">
        <v>120</v>
      </c>
      <c r="AQ126" s="3" t="s">
        <v>111</v>
      </c>
      <c r="AR126" s="3" t="s">
        <v>112</v>
      </c>
      <c r="AS126" s="3" t="s">
        <v>112</v>
      </c>
      <c r="AU126" s="3" t="s">
        <v>2303</v>
      </c>
      <c r="AV126" s="3" t="s">
        <v>2302</v>
      </c>
      <c r="AW126" s="3" t="s">
        <v>2301</v>
      </c>
      <c r="AX126" t="s">
        <v>282</v>
      </c>
      <c r="AY126" s="19" t="s">
        <v>114</v>
      </c>
      <c r="AZ126" s="19" t="s">
        <v>114</v>
      </c>
      <c r="BA126" s="19" t="s">
        <v>114</v>
      </c>
      <c r="BB126" s="19" t="s">
        <v>114</v>
      </c>
      <c r="BC126" s="19" t="s">
        <v>114</v>
      </c>
      <c r="BD126" s="19" t="s">
        <v>114</v>
      </c>
      <c r="BE126" s="19" t="s">
        <v>114</v>
      </c>
      <c r="BF126" s="19" t="s">
        <v>114</v>
      </c>
      <c r="BG126" s="19" t="s">
        <v>114</v>
      </c>
      <c r="BH126" s="19" t="s">
        <v>114</v>
      </c>
      <c r="BI126" s="19" t="s">
        <v>114</v>
      </c>
      <c r="BJ126" s="19" t="s">
        <v>114</v>
      </c>
      <c r="BK126" s="19" t="s">
        <v>114</v>
      </c>
      <c r="BL126" s="19" t="s">
        <v>114</v>
      </c>
      <c r="BM126" s="19" t="s">
        <v>114</v>
      </c>
      <c r="BN126" s="19" t="s">
        <v>114</v>
      </c>
      <c r="BO126" s="19" t="s">
        <v>114</v>
      </c>
      <c r="BP126" s="19" t="s">
        <v>114</v>
      </c>
      <c r="BQ126" s="19" t="s">
        <v>114</v>
      </c>
      <c r="BR126" s="19" t="s">
        <v>114</v>
      </c>
      <c r="BS126" s="19" t="s">
        <v>114</v>
      </c>
      <c r="BT126" s="19" t="s">
        <v>114</v>
      </c>
      <c r="BU126" s="19" t="s">
        <v>114</v>
      </c>
      <c r="BV126" s="19" t="s">
        <v>114</v>
      </c>
      <c r="BW126" s="19" t="s">
        <v>114</v>
      </c>
      <c r="BX126" s="19" t="s">
        <v>114</v>
      </c>
      <c r="BY126" s="19" t="s">
        <v>114</v>
      </c>
      <c r="BZ126" s="21" t="s">
        <v>114</v>
      </c>
      <c r="CA126" s="21" t="s">
        <v>114</v>
      </c>
      <c r="CB126" s="21" t="s">
        <v>114</v>
      </c>
      <c r="CC126" s="21" t="s">
        <v>114</v>
      </c>
      <c r="CD126" s="21" t="s">
        <v>114</v>
      </c>
      <c r="CE126" s="21" t="s">
        <v>114</v>
      </c>
      <c r="CF126" s="19" t="s">
        <v>114</v>
      </c>
      <c r="CG126" s="19" t="s">
        <v>114</v>
      </c>
      <c r="CH126" s="19" t="s">
        <v>114</v>
      </c>
      <c r="CI126" s="21" t="s">
        <v>114</v>
      </c>
      <c r="CJ126" s="21" t="s">
        <v>114</v>
      </c>
      <c r="CK126" s="21" t="s">
        <v>114</v>
      </c>
      <c r="CL126" s="21" t="s">
        <v>114</v>
      </c>
      <c r="CM126" s="21" t="s">
        <v>114</v>
      </c>
      <c r="CN126" s="21" t="s">
        <v>114</v>
      </c>
      <c r="CO126" s="21" t="s">
        <v>114</v>
      </c>
      <c r="CP126" s="21" t="s">
        <v>114</v>
      </c>
      <c r="CQ126" s="21" t="s">
        <v>114</v>
      </c>
      <c r="CR126" s="21" t="s">
        <v>114</v>
      </c>
      <c r="CS126" s="21" t="s">
        <v>114</v>
      </c>
      <c r="CT126" s="21" t="s">
        <v>114</v>
      </c>
      <c r="CU126" s="21" t="s">
        <v>114</v>
      </c>
      <c r="CV126" s="21" t="s">
        <v>114</v>
      </c>
      <c r="CW126" s="21" t="s">
        <v>114</v>
      </c>
      <c r="CX126" s="21" t="s">
        <v>114</v>
      </c>
      <c r="CY126" s="21" t="s">
        <v>114</v>
      </c>
      <c r="CZ126" s="21" t="s">
        <v>114</v>
      </c>
      <c r="DA126" s="21" t="s">
        <v>114</v>
      </c>
      <c r="DB126" s="21" t="s">
        <v>114</v>
      </c>
      <c r="DC126" s="21" t="s">
        <v>114</v>
      </c>
      <c r="DD126" s="21" t="s">
        <v>114</v>
      </c>
      <c r="DE126" s="21" t="s">
        <v>114</v>
      </c>
      <c r="DF126" s="19" t="s">
        <v>114</v>
      </c>
      <c r="DG126" s="19" t="s">
        <v>114</v>
      </c>
      <c r="DH126" s="19" t="s">
        <v>114</v>
      </c>
      <c r="DI126" s="19" t="s">
        <v>114</v>
      </c>
      <c r="DJ126" s="19" t="s">
        <v>114</v>
      </c>
      <c r="DK126" s="19" t="s">
        <v>114</v>
      </c>
      <c r="DL126" s="19" t="s">
        <v>114</v>
      </c>
      <c r="DM126" s="19" t="s">
        <v>114</v>
      </c>
      <c r="DN126" s="19" t="s">
        <v>114</v>
      </c>
      <c r="DO126" s="19" t="s">
        <v>114</v>
      </c>
    </row>
    <row r="127" spans="1:119" x14ac:dyDescent="0.45">
      <c r="A127" s="2"/>
      <c r="B127" s="5" t="s">
        <v>1257</v>
      </c>
      <c r="C127" s="2">
        <v>5</v>
      </c>
      <c r="D127" s="6">
        <v>900</v>
      </c>
      <c r="E127" s="2" t="s">
        <v>1881</v>
      </c>
      <c r="F127" s="5" t="s">
        <v>196</v>
      </c>
      <c r="H127" s="8">
        <v>0</v>
      </c>
      <c r="I127" s="2" t="s">
        <v>1258</v>
      </c>
      <c r="J127" s="2">
        <v>19</v>
      </c>
      <c r="K127" t="s">
        <v>157</v>
      </c>
      <c r="L127" s="2">
        <v>419</v>
      </c>
      <c r="M127" t="s">
        <v>174</v>
      </c>
      <c r="N127">
        <v>5</v>
      </c>
      <c r="O127" t="s">
        <v>196</v>
      </c>
      <c r="P127" s="2" t="s">
        <v>196</v>
      </c>
      <c r="Q127" s="2" t="s">
        <v>177</v>
      </c>
      <c r="R127" s="4"/>
      <c r="S127" s="2"/>
      <c r="T127" s="2"/>
      <c r="U127" s="2"/>
      <c r="V127" t="e">
        <v>#N/A</v>
      </c>
      <c r="W127" t="e">
        <v>#N/A</v>
      </c>
      <c r="X127" t="e">
        <v>#N/A</v>
      </c>
      <c r="AA127" t="s">
        <v>2511</v>
      </c>
      <c r="AB127" t="s">
        <v>282</v>
      </c>
      <c r="AC127" s="2" t="s">
        <v>1888</v>
      </c>
      <c r="AD127" s="2" t="s">
        <v>1888</v>
      </c>
      <c r="AE127" t="s">
        <v>158</v>
      </c>
      <c r="AF127" t="s">
        <v>1886</v>
      </c>
      <c r="AG127" t="s">
        <v>158</v>
      </c>
      <c r="AK127" t="s">
        <v>218</v>
      </c>
      <c r="AL127" s="5"/>
      <c r="AM127" s="5" t="s">
        <v>109</v>
      </c>
      <c r="AO127" s="3" t="s">
        <v>119</v>
      </c>
      <c r="AP127" s="3" t="s">
        <v>120</v>
      </c>
      <c r="AQ127" s="3" t="s">
        <v>111</v>
      </c>
      <c r="AR127" s="3" t="s">
        <v>112</v>
      </c>
      <c r="AS127" s="3" t="s">
        <v>112</v>
      </c>
      <c r="AT127" s="3" t="s">
        <v>113</v>
      </c>
      <c r="AU127" s="3" t="s">
        <v>2303</v>
      </c>
      <c r="AV127" s="3" t="s">
        <v>2302</v>
      </c>
      <c r="AW127" s="3" t="s">
        <v>2301</v>
      </c>
      <c r="AX127" t="s">
        <v>282</v>
      </c>
      <c r="AY127" s="19" t="s">
        <v>114</v>
      </c>
      <c r="AZ127" s="19" t="s">
        <v>114</v>
      </c>
      <c r="BA127" s="19" t="s">
        <v>114</v>
      </c>
      <c r="BB127" s="19" t="s">
        <v>114</v>
      </c>
      <c r="BC127" s="19" t="s">
        <v>114</v>
      </c>
      <c r="BD127" s="19" t="s">
        <v>114</v>
      </c>
      <c r="BE127" s="19" t="s">
        <v>114</v>
      </c>
      <c r="BF127" s="19" t="s">
        <v>114</v>
      </c>
      <c r="BG127" s="19" t="s">
        <v>114</v>
      </c>
      <c r="BH127" s="19" t="s">
        <v>114</v>
      </c>
      <c r="BI127" s="19" t="s">
        <v>114</v>
      </c>
      <c r="BJ127" s="19" t="s">
        <v>114</v>
      </c>
      <c r="BK127" s="19" t="s">
        <v>114</v>
      </c>
      <c r="BL127" s="19" t="s">
        <v>114</v>
      </c>
      <c r="BM127" s="19" t="s">
        <v>114</v>
      </c>
      <c r="BN127" s="19" t="s">
        <v>114</v>
      </c>
      <c r="BO127" s="19" t="s">
        <v>114</v>
      </c>
      <c r="BP127" s="19" t="s">
        <v>114</v>
      </c>
      <c r="BQ127" s="19" t="s">
        <v>114</v>
      </c>
      <c r="BR127" s="19" t="s">
        <v>114</v>
      </c>
      <c r="BS127" s="19" t="s">
        <v>114</v>
      </c>
      <c r="BT127" s="19" t="s">
        <v>114</v>
      </c>
      <c r="BU127" s="19" t="s">
        <v>114</v>
      </c>
      <c r="BV127" s="19" t="s">
        <v>114</v>
      </c>
      <c r="BW127" s="19" t="s">
        <v>114</v>
      </c>
      <c r="BX127" s="19" t="s">
        <v>114</v>
      </c>
      <c r="BY127" s="19" t="s">
        <v>114</v>
      </c>
      <c r="BZ127" s="21" t="s">
        <v>114</v>
      </c>
      <c r="CA127" s="21" t="s">
        <v>114</v>
      </c>
      <c r="CB127" s="21" t="s">
        <v>114</v>
      </c>
      <c r="CC127" s="21" t="s">
        <v>114</v>
      </c>
      <c r="CD127" s="21" t="s">
        <v>114</v>
      </c>
      <c r="CE127" s="21" t="s">
        <v>114</v>
      </c>
      <c r="CF127" s="19" t="s">
        <v>114</v>
      </c>
      <c r="CG127" s="19" t="s">
        <v>114</v>
      </c>
      <c r="CH127" s="19" t="s">
        <v>114</v>
      </c>
      <c r="CI127" s="21" t="s">
        <v>114</v>
      </c>
      <c r="CJ127" s="21" t="s">
        <v>114</v>
      </c>
      <c r="CK127" s="21" t="s">
        <v>114</v>
      </c>
      <c r="CL127" s="21" t="s">
        <v>114</v>
      </c>
      <c r="CM127" s="21" t="s">
        <v>114</v>
      </c>
      <c r="CN127" s="21" t="s">
        <v>114</v>
      </c>
      <c r="CO127" s="21" t="s">
        <v>114</v>
      </c>
      <c r="CP127" s="21" t="s">
        <v>114</v>
      </c>
      <c r="CQ127" s="21" t="s">
        <v>114</v>
      </c>
      <c r="CR127" s="21" t="s">
        <v>114</v>
      </c>
      <c r="CS127" s="21" t="s">
        <v>114</v>
      </c>
      <c r="CT127" s="21" t="s">
        <v>114</v>
      </c>
      <c r="CU127" s="21" t="s">
        <v>114</v>
      </c>
      <c r="CV127" s="21" t="s">
        <v>114</v>
      </c>
      <c r="CW127" s="21" t="s">
        <v>114</v>
      </c>
      <c r="CX127" s="21" t="s">
        <v>114</v>
      </c>
      <c r="CY127" s="21" t="s">
        <v>114</v>
      </c>
      <c r="CZ127" s="21" t="s">
        <v>114</v>
      </c>
      <c r="DA127" s="21" t="s">
        <v>114</v>
      </c>
      <c r="DB127" s="21" t="s">
        <v>114</v>
      </c>
      <c r="DC127" s="21" t="s">
        <v>114</v>
      </c>
      <c r="DD127" s="21" t="s">
        <v>114</v>
      </c>
      <c r="DE127" s="21" t="s">
        <v>114</v>
      </c>
      <c r="DF127" s="19" t="s">
        <v>114</v>
      </c>
      <c r="DG127" s="19" t="s">
        <v>114</v>
      </c>
      <c r="DH127" s="19" t="s">
        <v>114</v>
      </c>
      <c r="DI127" s="19" t="s">
        <v>114</v>
      </c>
      <c r="DJ127" s="19" t="s">
        <v>114</v>
      </c>
      <c r="DK127" s="19" t="s">
        <v>114</v>
      </c>
      <c r="DL127" s="19" t="s">
        <v>114</v>
      </c>
      <c r="DM127" s="19" t="s">
        <v>114</v>
      </c>
      <c r="DN127" s="19" t="s">
        <v>114</v>
      </c>
      <c r="DO127" s="19" t="s">
        <v>114</v>
      </c>
    </row>
    <row r="128" spans="1:119" x14ac:dyDescent="0.45">
      <c r="A128" s="2"/>
      <c r="B128" t="s">
        <v>2330</v>
      </c>
      <c r="C128" s="2">
        <v>35</v>
      </c>
      <c r="D128" s="6"/>
      <c r="E128" s="2"/>
      <c r="F128" s="2" t="s">
        <v>338</v>
      </c>
      <c r="H128" s="2"/>
      <c r="J128" s="2">
        <v>142</v>
      </c>
      <c r="K128" t="s">
        <v>100</v>
      </c>
      <c r="L128" s="2">
        <v>35</v>
      </c>
      <c r="M128" t="s">
        <v>338</v>
      </c>
      <c r="P128" s="2" t="s">
        <v>100</v>
      </c>
      <c r="Q128" s="2"/>
      <c r="R128" s="2">
        <v>753</v>
      </c>
      <c r="S128" s="4" t="s">
        <v>525</v>
      </c>
      <c r="T128" s="4">
        <v>35</v>
      </c>
      <c r="U128" s="4" t="s">
        <v>338</v>
      </c>
      <c r="V128" t="e">
        <v>#N/A</v>
      </c>
      <c r="W128" t="e">
        <v>#N/A</v>
      </c>
      <c r="X128" t="e">
        <v>#N/A</v>
      </c>
      <c r="AA128" t="s">
        <v>2511</v>
      </c>
      <c r="AB128" t="s">
        <v>282</v>
      </c>
      <c r="AC128" s="2" t="s">
        <v>1888</v>
      </c>
      <c r="AD128" s="2" t="s">
        <v>1888</v>
      </c>
      <c r="AE128" t="s">
        <v>158</v>
      </c>
      <c r="AF128" t="s">
        <v>1886</v>
      </c>
      <c r="AG128" t="s">
        <v>158</v>
      </c>
      <c r="AK128" t="s">
        <v>218</v>
      </c>
      <c r="AL128" s="5"/>
      <c r="AO128" s="3" t="s">
        <v>119</v>
      </c>
      <c r="AP128" s="3" t="s">
        <v>120</v>
      </c>
      <c r="AQ128" s="3" t="s">
        <v>111</v>
      </c>
      <c r="AR128" s="3" t="s">
        <v>112</v>
      </c>
      <c r="AS128" s="3" t="s">
        <v>112</v>
      </c>
      <c r="AU128" s="3" t="s">
        <v>2303</v>
      </c>
      <c r="AV128" s="3" t="s">
        <v>2302</v>
      </c>
      <c r="AW128" s="3" t="s">
        <v>2301</v>
      </c>
      <c r="AX128" s="3" t="s">
        <v>2006</v>
      </c>
      <c r="AY128" s="19" t="s">
        <v>114</v>
      </c>
      <c r="AZ128" s="19" t="s">
        <v>114</v>
      </c>
      <c r="BA128" s="19" t="s">
        <v>114</v>
      </c>
      <c r="BB128" s="19" t="s">
        <v>114</v>
      </c>
      <c r="BC128" s="19" t="s">
        <v>114</v>
      </c>
      <c r="BD128" s="19" t="s">
        <v>114</v>
      </c>
      <c r="BE128" s="19" t="s">
        <v>114</v>
      </c>
      <c r="BF128" s="19" t="s">
        <v>114</v>
      </c>
      <c r="BG128" s="19" t="s">
        <v>114</v>
      </c>
      <c r="BH128" s="19" t="s">
        <v>114</v>
      </c>
      <c r="BI128" s="19" t="s">
        <v>114</v>
      </c>
      <c r="BJ128" s="19" t="s">
        <v>114</v>
      </c>
      <c r="BK128" s="19" t="s">
        <v>114</v>
      </c>
      <c r="BL128" s="19" t="s">
        <v>114</v>
      </c>
      <c r="BM128" s="19" t="s">
        <v>114</v>
      </c>
      <c r="BN128" s="19" t="s">
        <v>114</v>
      </c>
      <c r="BO128" s="19" t="s">
        <v>114</v>
      </c>
      <c r="BP128" s="19" t="s">
        <v>114</v>
      </c>
      <c r="BQ128" s="19" t="s">
        <v>114</v>
      </c>
      <c r="BR128" s="19" t="s">
        <v>114</v>
      </c>
      <c r="BS128" s="19" t="s">
        <v>114</v>
      </c>
      <c r="BT128" s="19" t="s">
        <v>114</v>
      </c>
      <c r="BU128" s="19" t="s">
        <v>114</v>
      </c>
      <c r="BV128" s="19" t="s">
        <v>114</v>
      </c>
      <c r="BW128" s="19" t="s">
        <v>114</v>
      </c>
      <c r="BX128" s="19" t="s">
        <v>114</v>
      </c>
      <c r="BY128" s="19" t="s">
        <v>114</v>
      </c>
      <c r="BZ128" s="21" t="s">
        <v>114</v>
      </c>
      <c r="CA128" s="21" t="s">
        <v>114</v>
      </c>
      <c r="CB128" s="21" t="s">
        <v>114</v>
      </c>
      <c r="CC128" s="21" t="s">
        <v>114</v>
      </c>
      <c r="CD128" s="21" t="s">
        <v>114</v>
      </c>
      <c r="CE128" s="21" t="s">
        <v>114</v>
      </c>
      <c r="CF128" s="19" t="s">
        <v>114</v>
      </c>
      <c r="CG128" s="19" t="s">
        <v>114</v>
      </c>
      <c r="CH128" s="19" t="s">
        <v>114</v>
      </c>
      <c r="CI128" s="21" t="s">
        <v>114</v>
      </c>
      <c r="CJ128" s="21" t="s">
        <v>114</v>
      </c>
      <c r="CK128" s="21" t="s">
        <v>114</v>
      </c>
      <c r="CL128" s="21" t="s">
        <v>114</v>
      </c>
      <c r="CM128" s="21" t="s">
        <v>114</v>
      </c>
      <c r="CN128" s="21" t="s">
        <v>114</v>
      </c>
      <c r="CO128" s="21" t="s">
        <v>114</v>
      </c>
      <c r="CP128" s="21" t="s">
        <v>114</v>
      </c>
      <c r="CQ128" s="21" t="s">
        <v>114</v>
      </c>
      <c r="CR128" s="21" t="s">
        <v>114</v>
      </c>
      <c r="CS128" s="21" t="s">
        <v>114</v>
      </c>
      <c r="CT128" s="21" t="s">
        <v>114</v>
      </c>
      <c r="CU128" s="21" t="s">
        <v>114</v>
      </c>
      <c r="CV128" s="21" t="s">
        <v>114</v>
      </c>
      <c r="CW128" s="21" t="s">
        <v>114</v>
      </c>
      <c r="CX128" s="21" t="s">
        <v>114</v>
      </c>
      <c r="CY128" s="21" t="s">
        <v>114</v>
      </c>
      <c r="CZ128" s="21" t="s">
        <v>114</v>
      </c>
      <c r="DA128" s="21" t="s">
        <v>114</v>
      </c>
      <c r="DB128" s="21" t="s">
        <v>114</v>
      </c>
      <c r="DC128" s="21" t="s">
        <v>114</v>
      </c>
      <c r="DD128" s="21" t="s">
        <v>114</v>
      </c>
      <c r="DE128" s="21" t="s">
        <v>114</v>
      </c>
      <c r="DF128" s="19" t="s">
        <v>114</v>
      </c>
      <c r="DG128" s="19" t="s">
        <v>114</v>
      </c>
      <c r="DH128" s="19" t="s">
        <v>114</v>
      </c>
      <c r="DI128" s="19" t="s">
        <v>114</v>
      </c>
      <c r="DJ128" s="19" t="s">
        <v>114</v>
      </c>
      <c r="DK128" s="19" t="s">
        <v>114</v>
      </c>
      <c r="DL128" s="19" t="s">
        <v>114</v>
      </c>
      <c r="DM128" s="19" t="s">
        <v>114</v>
      </c>
      <c r="DN128" s="19" t="s">
        <v>114</v>
      </c>
      <c r="DO128" s="19" t="s">
        <v>114</v>
      </c>
    </row>
    <row r="129" spans="1:119" x14ac:dyDescent="0.45">
      <c r="A129" s="2"/>
      <c r="B129" t="s">
        <v>2331</v>
      </c>
      <c r="C129" s="2">
        <v>18</v>
      </c>
      <c r="D129" s="6"/>
      <c r="E129" s="2"/>
      <c r="F129" s="2" t="s">
        <v>309</v>
      </c>
      <c r="H129" s="2"/>
      <c r="J129" s="2">
        <v>2</v>
      </c>
      <c r="K129" t="s">
        <v>116</v>
      </c>
      <c r="L129" s="2">
        <v>202</v>
      </c>
      <c r="M129" t="s">
        <v>166</v>
      </c>
      <c r="N129">
        <v>18</v>
      </c>
      <c r="O129" s="2" t="s">
        <v>309</v>
      </c>
      <c r="P129" s="2" t="s">
        <v>116</v>
      </c>
      <c r="Q129" s="2" t="s">
        <v>166</v>
      </c>
      <c r="R129" s="2"/>
      <c r="S129" s="2"/>
      <c r="T129" s="2"/>
      <c r="U129" s="2"/>
      <c r="V129" t="e">
        <v>#N/A</v>
      </c>
      <c r="W129" t="e">
        <v>#N/A</v>
      </c>
      <c r="X129" t="e">
        <v>#N/A</v>
      </c>
      <c r="AA129" t="s">
        <v>2511</v>
      </c>
      <c r="AB129" t="s">
        <v>282</v>
      </c>
      <c r="AC129" s="2" t="s">
        <v>1888</v>
      </c>
      <c r="AD129" s="2" t="s">
        <v>1888</v>
      </c>
      <c r="AE129" t="s">
        <v>158</v>
      </c>
      <c r="AF129" t="s">
        <v>1886</v>
      </c>
      <c r="AG129" t="s">
        <v>158</v>
      </c>
      <c r="AK129" t="s">
        <v>218</v>
      </c>
      <c r="AL129" s="5"/>
      <c r="AO129" s="3" t="s">
        <v>119</v>
      </c>
      <c r="AP129" s="3" t="s">
        <v>120</v>
      </c>
      <c r="AQ129" s="3" t="s">
        <v>111</v>
      </c>
      <c r="AR129" s="3" t="s">
        <v>112</v>
      </c>
      <c r="AS129" s="3" t="s">
        <v>112</v>
      </c>
      <c r="AU129" s="3" t="s">
        <v>2303</v>
      </c>
      <c r="AV129" s="3" t="s">
        <v>2302</v>
      </c>
      <c r="AW129" s="3" t="s">
        <v>2301</v>
      </c>
      <c r="AX129" t="s">
        <v>282</v>
      </c>
      <c r="AY129" s="19" t="s">
        <v>114</v>
      </c>
      <c r="AZ129" s="19" t="s">
        <v>114</v>
      </c>
      <c r="BA129" s="19" t="s">
        <v>114</v>
      </c>
      <c r="BB129" s="19" t="s">
        <v>114</v>
      </c>
      <c r="BC129" s="19" t="s">
        <v>114</v>
      </c>
      <c r="BD129" s="19" t="s">
        <v>114</v>
      </c>
      <c r="BE129" s="19" t="s">
        <v>114</v>
      </c>
      <c r="BF129" s="19" t="s">
        <v>114</v>
      </c>
      <c r="BG129" s="19" t="s">
        <v>114</v>
      </c>
      <c r="BH129" s="19" t="s">
        <v>114</v>
      </c>
      <c r="BI129" s="19" t="s">
        <v>114</v>
      </c>
      <c r="BJ129" s="19" t="s">
        <v>114</v>
      </c>
      <c r="BK129" s="19" t="s">
        <v>114</v>
      </c>
      <c r="BL129" s="19" t="s">
        <v>114</v>
      </c>
      <c r="BM129" s="19" t="s">
        <v>114</v>
      </c>
      <c r="BN129" s="19" t="s">
        <v>114</v>
      </c>
      <c r="BO129" s="19" t="s">
        <v>114</v>
      </c>
      <c r="BP129" s="19" t="s">
        <v>114</v>
      </c>
      <c r="BQ129" s="19" t="s">
        <v>114</v>
      </c>
      <c r="BR129" s="19" t="s">
        <v>114</v>
      </c>
      <c r="BS129" s="19" t="s">
        <v>114</v>
      </c>
      <c r="BT129" s="19" t="s">
        <v>114</v>
      </c>
      <c r="BU129" s="19" t="s">
        <v>114</v>
      </c>
      <c r="BV129" s="19" t="s">
        <v>114</v>
      </c>
      <c r="BW129" s="19" t="s">
        <v>114</v>
      </c>
      <c r="BX129" s="19" t="s">
        <v>114</v>
      </c>
      <c r="BY129" s="19" t="s">
        <v>114</v>
      </c>
      <c r="BZ129" s="21" t="s">
        <v>114</v>
      </c>
      <c r="CA129" s="21" t="s">
        <v>114</v>
      </c>
      <c r="CB129" s="21" t="s">
        <v>114</v>
      </c>
      <c r="CC129" s="21" t="s">
        <v>114</v>
      </c>
      <c r="CD129" s="21" t="s">
        <v>114</v>
      </c>
      <c r="CE129" s="21" t="s">
        <v>114</v>
      </c>
      <c r="CF129" s="19" t="s">
        <v>114</v>
      </c>
      <c r="CG129" s="19" t="s">
        <v>114</v>
      </c>
      <c r="CH129" s="19" t="s">
        <v>114</v>
      </c>
      <c r="CI129" s="21" t="s">
        <v>114</v>
      </c>
      <c r="CJ129" s="21" t="s">
        <v>114</v>
      </c>
      <c r="CK129" s="21" t="s">
        <v>114</v>
      </c>
      <c r="CL129" s="21" t="s">
        <v>114</v>
      </c>
      <c r="CM129" s="21" t="s">
        <v>114</v>
      </c>
      <c r="CN129" s="21" t="s">
        <v>114</v>
      </c>
      <c r="CO129" s="21" t="s">
        <v>114</v>
      </c>
      <c r="CP129" s="21" t="s">
        <v>114</v>
      </c>
      <c r="CQ129" s="21" t="s">
        <v>114</v>
      </c>
      <c r="CR129" s="21" t="s">
        <v>114</v>
      </c>
      <c r="CS129" s="21" t="s">
        <v>114</v>
      </c>
      <c r="CT129" s="21" t="s">
        <v>114</v>
      </c>
      <c r="CU129" s="21" t="s">
        <v>114</v>
      </c>
      <c r="CV129" s="21" t="s">
        <v>114</v>
      </c>
      <c r="CW129" s="21" t="s">
        <v>114</v>
      </c>
      <c r="CX129" s="21" t="s">
        <v>114</v>
      </c>
      <c r="CY129" s="21" t="s">
        <v>114</v>
      </c>
      <c r="CZ129" s="21" t="s">
        <v>114</v>
      </c>
      <c r="DA129" s="21" t="s">
        <v>114</v>
      </c>
      <c r="DB129" s="21" t="s">
        <v>114</v>
      </c>
      <c r="DC129" s="21" t="s">
        <v>114</v>
      </c>
      <c r="DD129" s="21" t="s">
        <v>114</v>
      </c>
      <c r="DE129" s="21" t="s">
        <v>114</v>
      </c>
      <c r="DF129" s="19" t="s">
        <v>114</v>
      </c>
      <c r="DG129" s="19" t="s">
        <v>114</v>
      </c>
      <c r="DH129" s="19" t="s">
        <v>114</v>
      </c>
      <c r="DI129" s="19" t="s">
        <v>114</v>
      </c>
      <c r="DJ129" s="19" t="s">
        <v>114</v>
      </c>
      <c r="DK129" s="19" t="s">
        <v>114</v>
      </c>
      <c r="DL129" s="19" t="s">
        <v>114</v>
      </c>
      <c r="DM129" s="19" t="s">
        <v>114</v>
      </c>
      <c r="DN129" s="19" t="s">
        <v>114</v>
      </c>
      <c r="DO129" s="19" t="s">
        <v>114</v>
      </c>
    </row>
    <row r="130" spans="1:119" x14ac:dyDescent="0.45">
      <c r="A130" s="2"/>
      <c r="B130" t="s">
        <v>2332</v>
      </c>
      <c r="C130" s="2">
        <v>34</v>
      </c>
      <c r="D130" s="6"/>
      <c r="E130" s="2"/>
      <c r="F130" s="2" t="s">
        <v>101</v>
      </c>
      <c r="H130" s="2"/>
      <c r="J130" s="2">
        <v>142</v>
      </c>
      <c r="K130" t="s">
        <v>100</v>
      </c>
      <c r="L130" s="2">
        <v>34</v>
      </c>
      <c r="M130" t="s">
        <v>101</v>
      </c>
      <c r="P130" s="2" t="s">
        <v>100</v>
      </c>
      <c r="Q130" s="2" t="s">
        <v>102</v>
      </c>
      <c r="R130" s="2">
        <v>62</v>
      </c>
      <c r="S130" s="4" t="s">
        <v>388</v>
      </c>
      <c r="T130" s="2">
        <v>34</v>
      </c>
      <c r="U130" s="2" t="s">
        <v>101</v>
      </c>
      <c r="V130" t="e">
        <v>#N/A</v>
      </c>
      <c r="W130" t="e">
        <v>#N/A</v>
      </c>
      <c r="X130" t="e">
        <v>#N/A</v>
      </c>
      <c r="AA130" t="s">
        <v>2511</v>
      </c>
      <c r="AB130" t="s">
        <v>282</v>
      </c>
      <c r="AC130" s="2" t="s">
        <v>1888</v>
      </c>
      <c r="AD130" s="2" t="s">
        <v>1888</v>
      </c>
      <c r="AE130" t="s">
        <v>158</v>
      </c>
      <c r="AF130" t="s">
        <v>1886</v>
      </c>
      <c r="AG130" t="s">
        <v>158</v>
      </c>
      <c r="AK130" t="s">
        <v>218</v>
      </c>
      <c r="AL130" s="5"/>
      <c r="AO130" s="3" t="s">
        <v>119</v>
      </c>
      <c r="AP130" s="3" t="s">
        <v>120</v>
      </c>
      <c r="AQ130" s="3" t="s">
        <v>111</v>
      </c>
      <c r="AR130" s="3" t="s">
        <v>112</v>
      </c>
      <c r="AS130" s="3" t="s">
        <v>112</v>
      </c>
      <c r="AU130" s="3" t="s">
        <v>2303</v>
      </c>
      <c r="AV130" s="3" t="s">
        <v>2302</v>
      </c>
      <c r="AW130" s="3" t="s">
        <v>2301</v>
      </c>
      <c r="AX130" s="3" t="s">
        <v>2006</v>
      </c>
      <c r="AY130" s="19" t="s">
        <v>114</v>
      </c>
      <c r="AZ130" s="19" t="s">
        <v>114</v>
      </c>
      <c r="BA130" s="19" t="s">
        <v>114</v>
      </c>
      <c r="BB130" s="19" t="s">
        <v>114</v>
      </c>
      <c r="BC130" s="19" t="s">
        <v>114</v>
      </c>
      <c r="BD130" s="19" t="s">
        <v>114</v>
      </c>
      <c r="BE130" s="19" t="s">
        <v>114</v>
      </c>
      <c r="BF130" s="19" t="s">
        <v>114</v>
      </c>
      <c r="BG130" s="19" t="s">
        <v>114</v>
      </c>
      <c r="BH130" s="19" t="s">
        <v>114</v>
      </c>
      <c r="BI130" s="19" t="s">
        <v>114</v>
      </c>
      <c r="BJ130" s="19" t="s">
        <v>114</v>
      </c>
      <c r="BK130" s="19" t="s">
        <v>114</v>
      </c>
      <c r="BL130" s="19" t="s">
        <v>114</v>
      </c>
      <c r="BM130" s="19" t="s">
        <v>114</v>
      </c>
      <c r="BN130" s="19" t="s">
        <v>114</v>
      </c>
      <c r="BO130" s="19" t="s">
        <v>114</v>
      </c>
      <c r="BP130" s="19" t="s">
        <v>114</v>
      </c>
      <c r="BQ130" s="19" t="s">
        <v>114</v>
      </c>
      <c r="BR130" s="19" t="s">
        <v>114</v>
      </c>
      <c r="BS130" s="19" t="s">
        <v>114</v>
      </c>
      <c r="BT130" s="19" t="s">
        <v>114</v>
      </c>
      <c r="BU130" s="19" t="s">
        <v>114</v>
      </c>
      <c r="BV130" s="19" t="s">
        <v>114</v>
      </c>
      <c r="BW130" s="19" t="s">
        <v>114</v>
      </c>
      <c r="BX130" s="19" t="s">
        <v>114</v>
      </c>
      <c r="BY130" s="19" t="s">
        <v>114</v>
      </c>
      <c r="BZ130" s="21" t="s">
        <v>114</v>
      </c>
      <c r="CA130" s="21" t="s">
        <v>114</v>
      </c>
      <c r="CB130" s="21" t="s">
        <v>114</v>
      </c>
      <c r="CC130" s="21" t="s">
        <v>114</v>
      </c>
      <c r="CD130" s="21" t="s">
        <v>114</v>
      </c>
      <c r="CE130" s="21" t="s">
        <v>114</v>
      </c>
      <c r="CF130" s="19" t="s">
        <v>114</v>
      </c>
      <c r="CG130" s="19" t="s">
        <v>114</v>
      </c>
      <c r="CH130" s="19" t="s">
        <v>114</v>
      </c>
      <c r="CI130" s="21" t="s">
        <v>114</v>
      </c>
      <c r="CJ130" s="21" t="s">
        <v>114</v>
      </c>
      <c r="CK130" s="21" t="s">
        <v>114</v>
      </c>
      <c r="CL130" s="21" t="s">
        <v>114</v>
      </c>
      <c r="CM130" s="21" t="s">
        <v>114</v>
      </c>
      <c r="CN130" s="21" t="s">
        <v>114</v>
      </c>
      <c r="CO130" s="21" t="s">
        <v>114</v>
      </c>
      <c r="CP130" s="21" t="s">
        <v>114</v>
      </c>
      <c r="CQ130" s="21" t="s">
        <v>114</v>
      </c>
      <c r="CR130" s="21" t="s">
        <v>114</v>
      </c>
      <c r="CS130" s="21" t="s">
        <v>114</v>
      </c>
      <c r="CT130" s="21" t="s">
        <v>114</v>
      </c>
      <c r="CU130" s="21" t="s">
        <v>114</v>
      </c>
      <c r="CV130" s="21" t="s">
        <v>114</v>
      </c>
      <c r="CW130" s="21" t="s">
        <v>114</v>
      </c>
      <c r="CX130" s="21" t="s">
        <v>114</v>
      </c>
      <c r="CY130" s="21" t="s">
        <v>114</v>
      </c>
      <c r="CZ130" s="21" t="s">
        <v>114</v>
      </c>
      <c r="DA130" s="21" t="s">
        <v>114</v>
      </c>
      <c r="DB130" s="21" t="s">
        <v>114</v>
      </c>
      <c r="DC130" s="21" t="s">
        <v>114</v>
      </c>
      <c r="DD130" s="21" t="s">
        <v>114</v>
      </c>
      <c r="DE130" s="21" t="s">
        <v>114</v>
      </c>
      <c r="DF130" s="19" t="s">
        <v>114</v>
      </c>
      <c r="DG130" s="19" t="s">
        <v>114</v>
      </c>
      <c r="DH130" s="19" t="s">
        <v>114</v>
      </c>
      <c r="DI130" s="19" t="s">
        <v>114</v>
      </c>
      <c r="DJ130" s="19" t="s">
        <v>114</v>
      </c>
      <c r="DK130" s="19" t="s">
        <v>114</v>
      </c>
      <c r="DL130" s="19" t="s">
        <v>114</v>
      </c>
      <c r="DM130" s="19" t="s">
        <v>114</v>
      </c>
      <c r="DN130" s="19" t="s">
        <v>114</v>
      </c>
      <c r="DO130" s="19" t="s">
        <v>114</v>
      </c>
    </row>
    <row r="131" spans="1:119" x14ac:dyDescent="0.45">
      <c r="A131" s="2"/>
      <c r="B131" t="s">
        <v>2333</v>
      </c>
      <c r="C131" s="2">
        <v>39</v>
      </c>
      <c r="D131" s="6"/>
      <c r="E131" s="2"/>
      <c r="F131" s="2" t="s">
        <v>137</v>
      </c>
      <c r="H131" s="2"/>
      <c r="J131" s="2">
        <v>150</v>
      </c>
      <c r="K131" t="s">
        <v>127</v>
      </c>
      <c r="L131" s="2">
        <v>39</v>
      </c>
      <c r="M131" s="2" t="s">
        <v>137</v>
      </c>
      <c r="N131" s="2"/>
      <c r="O131" s="2"/>
      <c r="P131" s="2" t="s">
        <v>127</v>
      </c>
      <c r="Q131" s="2"/>
      <c r="R131" s="2"/>
      <c r="S131" s="2"/>
      <c r="T131" s="2"/>
      <c r="U131" s="2"/>
      <c r="V131" t="e">
        <v>#N/A</v>
      </c>
      <c r="W131" t="e">
        <v>#N/A</v>
      </c>
      <c r="X131" t="e">
        <v>#N/A</v>
      </c>
      <c r="AA131" t="s">
        <v>2511</v>
      </c>
      <c r="AB131" t="s">
        <v>282</v>
      </c>
      <c r="AC131" s="2" t="s">
        <v>1888</v>
      </c>
      <c r="AD131" s="2" t="s">
        <v>1888</v>
      </c>
      <c r="AE131" t="s">
        <v>158</v>
      </c>
      <c r="AF131" t="s">
        <v>1886</v>
      </c>
      <c r="AG131" t="s">
        <v>158</v>
      </c>
      <c r="AK131" t="s">
        <v>218</v>
      </c>
      <c r="AL131" s="5"/>
      <c r="AO131" s="3" t="s">
        <v>119</v>
      </c>
      <c r="AP131" s="3" t="s">
        <v>120</v>
      </c>
      <c r="AQ131" s="3" t="s">
        <v>111</v>
      </c>
      <c r="AR131" s="3" t="s">
        <v>112</v>
      </c>
      <c r="AS131" s="3" t="s">
        <v>112</v>
      </c>
      <c r="AU131" s="3" t="s">
        <v>2303</v>
      </c>
      <c r="AV131" s="3" t="s">
        <v>2302</v>
      </c>
      <c r="AW131" s="3" t="s">
        <v>2301</v>
      </c>
      <c r="AX131" s="3" t="s">
        <v>2006</v>
      </c>
      <c r="AY131" s="19" t="s">
        <v>114</v>
      </c>
      <c r="AZ131" s="19" t="s">
        <v>114</v>
      </c>
      <c r="BA131" s="19" t="s">
        <v>114</v>
      </c>
      <c r="BB131" s="19" t="s">
        <v>114</v>
      </c>
      <c r="BC131" s="19" t="s">
        <v>114</v>
      </c>
      <c r="BD131" s="19" t="s">
        <v>114</v>
      </c>
      <c r="BE131" s="19" t="s">
        <v>114</v>
      </c>
      <c r="BF131" s="19" t="s">
        <v>114</v>
      </c>
      <c r="BG131" s="19" t="s">
        <v>114</v>
      </c>
      <c r="BH131" s="19" t="s">
        <v>114</v>
      </c>
      <c r="BI131" s="19" t="s">
        <v>114</v>
      </c>
      <c r="BJ131" s="19" t="s">
        <v>114</v>
      </c>
      <c r="BK131" s="19" t="s">
        <v>114</v>
      </c>
      <c r="BL131" s="19" t="s">
        <v>114</v>
      </c>
      <c r="BM131" s="19" t="s">
        <v>114</v>
      </c>
      <c r="BN131" s="19" t="s">
        <v>114</v>
      </c>
      <c r="BO131" s="19" t="s">
        <v>114</v>
      </c>
      <c r="BP131" s="19" t="s">
        <v>114</v>
      </c>
      <c r="BQ131" s="19" t="s">
        <v>114</v>
      </c>
      <c r="BR131" s="19" t="s">
        <v>114</v>
      </c>
      <c r="BS131" s="19" t="s">
        <v>114</v>
      </c>
      <c r="BT131" s="19" t="s">
        <v>114</v>
      </c>
      <c r="BU131" s="19" t="s">
        <v>114</v>
      </c>
      <c r="BV131" s="19" t="s">
        <v>114</v>
      </c>
      <c r="BW131" s="19" t="s">
        <v>114</v>
      </c>
      <c r="BX131" s="19" t="s">
        <v>114</v>
      </c>
      <c r="BY131" s="19" t="s">
        <v>114</v>
      </c>
      <c r="BZ131" s="21" t="s">
        <v>114</v>
      </c>
      <c r="CA131" s="21" t="s">
        <v>114</v>
      </c>
      <c r="CB131" s="21" t="s">
        <v>114</v>
      </c>
      <c r="CC131" s="21" t="s">
        <v>114</v>
      </c>
      <c r="CD131" s="21" t="s">
        <v>114</v>
      </c>
      <c r="CE131" s="21" t="s">
        <v>114</v>
      </c>
      <c r="CF131" s="19" t="s">
        <v>114</v>
      </c>
      <c r="CG131" s="19" t="s">
        <v>114</v>
      </c>
      <c r="CH131" s="19" t="s">
        <v>114</v>
      </c>
      <c r="CI131" s="21" t="s">
        <v>114</v>
      </c>
      <c r="CJ131" s="21" t="s">
        <v>114</v>
      </c>
      <c r="CK131" s="21" t="s">
        <v>114</v>
      </c>
      <c r="CL131" s="21" t="s">
        <v>114</v>
      </c>
      <c r="CM131" s="21" t="s">
        <v>114</v>
      </c>
      <c r="CN131" s="21" t="s">
        <v>114</v>
      </c>
      <c r="CO131" s="21" t="s">
        <v>114</v>
      </c>
      <c r="CP131" s="21" t="s">
        <v>114</v>
      </c>
      <c r="CQ131" s="21" t="s">
        <v>114</v>
      </c>
      <c r="CR131" s="21" t="s">
        <v>114</v>
      </c>
      <c r="CS131" s="21" t="s">
        <v>114</v>
      </c>
      <c r="CT131" s="21" t="s">
        <v>114</v>
      </c>
      <c r="CU131" s="21" t="s">
        <v>114</v>
      </c>
      <c r="CV131" s="21" t="s">
        <v>114</v>
      </c>
      <c r="CW131" s="21" t="s">
        <v>114</v>
      </c>
      <c r="CX131" s="21" t="s">
        <v>114</v>
      </c>
      <c r="CY131" s="21" t="s">
        <v>114</v>
      </c>
      <c r="CZ131" s="21" t="s">
        <v>114</v>
      </c>
      <c r="DA131" s="21" t="s">
        <v>114</v>
      </c>
      <c r="DB131" s="21" t="s">
        <v>114</v>
      </c>
      <c r="DC131" s="21" t="s">
        <v>114</v>
      </c>
      <c r="DD131" s="21" t="s">
        <v>114</v>
      </c>
      <c r="DE131" s="21" t="s">
        <v>114</v>
      </c>
      <c r="DF131" s="19" t="s">
        <v>114</v>
      </c>
      <c r="DG131" s="19" t="s">
        <v>114</v>
      </c>
      <c r="DH131" s="19" t="s">
        <v>114</v>
      </c>
      <c r="DI131" s="19" t="s">
        <v>114</v>
      </c>
      <c r="DJ131" s="19" t="s">
        <v>114</v>
      </c>
      <c r="DK131" s="19" t="s">
        <v>114</v>
      </c>
      <c r="DL131" s="19" t="s">
        <v>114</v>
      </c>
      <c r="DM131" s="19" t="s">
        <v>114</v>
      </c>
      <c r="DN131" s="19" t="s">
        <v>114</v>
      </c>
      <c r="DO131" s="19" t="s">
        <v>114</v>
      </c>
    </row>
    <row r="132" spans="1:119" x14ac:dyDescent="0.45">
      <c r="A132" s="2"/>
      <c r="B132" t="s">
        <v>2334</v>
      </c>
      <c r="C132" s="2">
        <v>202</v>
      </c>
      <c r="D132" s="6"/>
      <c r="E132" s="2"/>
      <c r="F132" s="2" t="s">
        <v>166</v>
      </c>
      <c r="H132" s="2"/>
      <c r="J132" s="2">
        <v>2</v>
      </c>
      <c r="K132" t="s">
        <v>116</v>
      </c>
      <c r="L132" s="2">
        <v>202</v>
      </c>
      <c r="M132" t="s">
        <v>166</v>
      </c>
      <c r="P132" s="2" t="s">
        <v>116</v>
      </c>
      <c r="Q132" s="2"/>
      <c r="R132" s="2">
        <v>1</v>
      </c>
      <c r="S132" s="2"/>
      <c r="T132" s="2"/>
      <c r="U132" s="2"/>
      <c r="V132" t="e">
        <v>#N/A</v>
      </c>
      <c r="W132" t="e">
        <v>#N/A</v>
      </c>
      <c r="X132" t="e">
        <v>#N/A</v>
      </c>
      <c r="AA132" t="s">
        <v>2511</v>
      </c>
      <c r="AB132" t="s">
        <v>282</v>
      </c>
      <c r="AC132" s="2" t="s">
        <v>1888</v>
      </c>
      <c r="AD132" s="2" t="s">
        <v>1888</v>
      </c>
      <c r="AE132" t="s">
        <v>158</v>
      </c>
      <c r="AF132" t="s">
        <v>1886</v>
      </c>
      <c r="AG132" t="s">
        <v>158</v>
      </c>
      <c r="AK132" t="s">
        <v>218</v>
      </c>
      <c r="AL132" s="5"/>
      <c r="AO132" s="3" t="s">
        <v>119</v>
      </c>
      <c r="AP132" s="3" t="s">
        <v>120</v>
      </c>
      <c r="AQ132" s="3" t="s">
        <v>111</v>
      </c>
      <c r="AR132" s="3" t="s">
        <v>112</v>
      </c>
      <c r="AS132" s="3" t="s">
        <v>112</v>
      </c>
      <c r="AU132" s="3" t="s">
        <v>2303</v>
      </c>
      <c r="AV132" s="3" t="s">
        <v>2302</v>
      </c>
      <c r="AW132" s="3" t="s">
        <v>2301</v>
      </c>
      <c r="AX132" s="3" t="s">
        <v>2006</v>
      </c>
      <c r="AY132" s="19" t="s">
        <v>114</v>
      </c>
      <c r="AZ132" s="19" t="s">
        <v>114</v>
      </c>
      <c r="BA132" s="19" t="s">
        <v>114</v>
      </c>
      <c r="BB132" s="19" t="s">
        <v>114</v>
      </c>
      <c r="BC132" s="19" t="s">
        <v>114</v>
      </c>
      <c r="BD132" s="19" t="s">
        <v>114</v>
      </c>
      <c r="BE132" s="19" t="s">
        <v>114</v>
      </c>
      <c r="BF132" s="19" t="s">
        <v>114</v>
      </c>
      <c r="BG132" s="19" t="s">
        <v>114</v>
      </c>
      <c r="BH132" s="19" t="s">
        <v>114</v>
      </c>
      <c r="BI132" s="19" t="s">
        <v>114</v>
      </c>
      <c r="BJ132" s="19" t="s">
        <v>114</v>
      </c>
      <c r="BK132" s="19" t="s">
        <v>114</v>
      </c>
      <c r="BL132" s="19" t="s">
        <v>114</v>
      </c>
      <c r="BM132" s="19" t="s">
        <v>114</v>
      </c>
      <c r="BN132" s="19" t="s">
        <v>114</v>
      </c>
      <c r="BO132" s="19" t="s">
        <v>114</v>
      </c>
      <c r="BP132" s="19" t="s">
        <v>114</v>
      </c>
      <c r="BQ132" s="19" t="s">
        <v>114</v>
      </c>
      <c r="BR132" s="19" t="s">
        <v>114</v>
      </c>
      <c r="BS132" s="19" t="s">
        <v>114</v>
      </c>
      <c r="BT132" s="19" t="s">
        <v>114</v>
      </c>
      <c r="BU132" s="19" t="s">
        <v>114</v>
      </c>
      <c r="BV132" s="19" t="s">
        <v>114</v>
      </c>
      <c r="BW132" s="19" t="s">
        <v>114</v>
      </c>
      <c r="BX132" s="19" t="s">
        <v>114</v>
      </c>
      <c r="BY132" s="19" t="s">
        <v>114</v>
      </c>
      <c r="BZ132" s="21" t="s">
        <v>114</v>
      </c>
      <c r="CA132" s="21" t="s">
        <v>114</v>
      </c>
      <c r="CB132" s="21" t="s">
        <v>114</v>
      </c>
      <c r="CC132" s="21" t="s">
        <v>114</v>
      </c>
      <c r="CD132" s="21" t="s">
        <v>114</v>
      </c>
      <c r="CE132" s="21" t="s">
        <v>114</v>
      </c>
      <c r="CF132" s="19" t="s">
        <v>114</v>
      </c>
      <c r="CG132" s="19" t="s">
        <v>114</v>
      </c>
      <c r="CH132" s="19" t="s">
        <v>114</v>
      </c>
      <c r="CI132" s="21" t="s">
        <v>114</v>
      </c>
      <c r="CJ132" s="21" t="s">
        <v>114</v>
      </c>
      <c r="CK132" s="21" t="s">
        <v>114</v>
      </c>
      <c r="CL132" s="21" t="s">
        <v>114</v>
      </c>
      <c r="CM132" s="21" t="s">
        <v>114</v>
      </c>
      <c r="CN132" s="21" t="s">
        <v>114</v>
      </c>
      <c r="CO132" s="21" t="s">
        <v>114</v>
      </c>
      <c r="CP132" s="21" t="s">
        <v>114</v>
      </c>
      <c r="CQ132" s="21" t="s">
        <v>114</v>
      </c>
      <c r="CR132" s="21" t="s">
        <v>114</v>
      </c>
      <c r="CS132" s="21" t="s">
        <v>114</v>
      </c>
      <c r="CT132" s="21" t="s">
        <v>114</v>
      </c>
      <c r="CU132" s="21" t="s">
        <v>114</v>
      </c>
      <c r="CV132" s="21" t="s">
        <v>114</v>
      </c>
      <c r="CW132" s="21" t="s">
        <v>114</v>
      </c>
      <c r="CX132" s="21" t="s">
        <v>114</v>
      </c>
      <c r="CY132" s="21" t="s">
        <v>114</v>
      </c>
      <c r="CZ132" s="21" t="s">
        <v>114</v>
      </c>
      <c r="DA132" s="21" t="s">
        <v>114</v>
      </c>
      <c r="DB132" s="21" t="s">
        <v>114</v>
      </c>
      <c r="DC132" s="21" t="s">
        <v>114</v>
      </c>
      <c r="DD132" s="21" t="s">
        <v>114</v>
      </c>
      <c r="DE132" s="21" t="s">
        <v>114</v>
      </c>
      <c r="DF132" s="19" t="s">
        <v>114</v>
      </c>
      <c r="DG132" s="19" t="s">
        <v>114</v>
      </c>
      <c r="DH132" s="19" t="s">
        <v>114</v>
      </c>
      <c r="DI132" s="19" t="s">
        <v>114</v>
      </c>
      <c r="DJ132" s="19" t="s">
        <v>114</v>
      </c>
      <c r="DK132" s="19" t="s">
        <v>114</v>
      </c>
      <c r="DL132" s="19" t="s">
        <v>114</v>
      </c>
      <c r="DM132" s="19" t="s">
        <v>114</v>
      </c>
      <c r="DN132" s="19" t="s">
        <v>114</v>
      </c>
      <c r="DO132" s="19" t="s">
        <v>114</v>
      </c>
    </row>
    <row r="133" spans="1:119" x14ac:dyDescent="0.45">
      <c r="A133" s="2"/>
      <c r="B133" t="s">
        <v>1415</v>
      </c>
      <c r="C133" s="2">
        <v>99049</v>
      </c>
      <c r="D133" s="6">
        <v>998</v>
      </c>
      <c r="E133" s="2" t="s">
        <v>1883</v>
      </c>
      <c r="F133" s="4" t="s">
        <v>1916</v>
      </c>
      <c r="H133" s="2"/>
      <c r="J133" s="2"/>
      <c r="K133" s="4" t="s">
        <v>1916</v>
      </c>
      <c r="L133" s="2"/>
      <c r="O133" s="2"/>
      <c r="P133" s="4" t="s">
        <v>1916</v>
      </c>
      <c r="Q133" s="4" t="s">
        <v>1916</v>
      </c>
      <c r="R133" s="2">
        <v>99049</v>
      </c>
      <c r="S133" s="4" t="s">
        <v>1916</v>
      </c>
      <c r="T133" s="2">
        <v>99049</v>
      </c>
      <c r="U133" s="4" t="s">
        <v>1916</v>
      </c>
      <c r="V133" t="e">
        <v>#N/A</v>
      </c>
      <c r="W133" t="e">
        <v>#N/A</v>
      </c>
      <c r="X133" t="e">
        <v>#N/A</v>
      </c>
      <c r="AA133" t="s">
        <v>2511</v>
      </c>
      <c r="AB133" t="s">
        <v>282</v>
      </c>
      <c r="AC133" s="2" t="s">
        <v>1888</v>
      </c>
      <c r="AD133" s="2" t="s">
        <v>1888</v>
      </c>
      <c r="AE133" t="s">
        <v>104</v>
      </c>
      <c r="AF133" t="s">
        <v>1886</v>
      </c>
      <c r="AG133" t="s">
        <v>1884</v>
      </c>
      <c r="AK133" s="3" t="s">
        <v>2005</v>
      </c>
      <c r="AL133" s="5"/>
      <c r="AM133" t="s">
        <v>109</v>
      </c>
      <c r="AO133" s="3" t="s">
        <v>119</v>
      </c>
      <c r="AP133" s="3" t="s">
        <v>120</v>
      </c>
      <c r="AQ133" s="3" t="s">
        <v>111</v>
      </c>
      <c r="AR133" s="3" t="s">
        <v>112</v>
      </c>
      <c r="AS133" s="3" t="s">
        <v>112</v>
      </c>
      <c r="AU133" s="3" t="s">
        <v>2303</v>
      </c>
      <c r="AV133" s="3" t="s">
        <v>2302</v>
      </c>
      <c r="AW133" s="3" t="s">
        <v>2301</v>
      </c>
      <c r="AX133" t="s">
        <v>282</v>
      </c>
      <c r="AY133" s="19" t="s">
        <v>114</v>
      </c>
      <c r="AZ133" s="19" t="s">
        <v>114</v>
      </c>
      <c r="BA133" s="19" t="s">
        <v>114</v>
      </c>
      <c r="BB133" s="19" t="s">
        <v>114</v>
      </c>
      <c r="BC133" s="19" t="s">
        <v>114</v>
      </c>
      <c r="BD133" s="19" t="s">
        <v>114</v>
      </c>
      <c r="BE133" s="19" t="s">
        <v>114</v>
      </c>
      <c r="BF133" s="19" t="s">
        <v>114</v>
      </c>
      <c r="BG133" s="19" t="s">
        <v>114</v>
      </c>
      <c r="BH133" s="19" t="s">
        <v>114</v>
      </c>
      <c r="BI133" s="19" t="s">
        <v>114</v>
      </c>
      <c r="BJ133" s="19" t="s">
        <v>114</v>
      </c>
      <c r="BK133" s="19" t="s">
        <v>114</v>
      </c>
      <c r="BL133" s="19" t="s">
        <v>114</v>
      </c>
      <c r="BM133" s="19" t="s">
        <v>114</v>
      </c>
      <c r="BN133" s="19" t="s">
        <v>114</v>
      </c>
      <c r="BO133" s="19" t="s">
        <v>114</v>
      </c>
      <c r="BP133" s="19" t="s">
        <v>114</v>
      </c>
      <c r="BQ133" s="19" t="s">
        <v>114</v>
      </c>
      <c r="BR133" s="19" t="s">
        <v>114</v>
      </c>
      <c r="BS133" s="19" t="s">
        <v>114</v>
      </c>
      <c r="BT133" s="19" t="s">
        <v>114</v>
      </c>
      <c r="BU133" s="19" t="s">
        <v>114</v>
      </c>
      <c r="BV133" s="19" t="s">
        <v>114</v>
      </c>
      <c r="BW133" s="19" t="s">
        <v>114</v>
      </c>
      <c r="BX133" s="19" t="s">
        <v>114</v>
      </c>
      <c r="BY133" s="19" t="s">
        <v>114</v>
      </c>
      <c r="BZ133" s="21" t="s">
        <v>114</v>
      </c>
      <c r="CA133" s="21" t="s">
        <v>114</v>
      </c>
      <c r="CB133" s="21" t="s">
        <v>114</v>
      </c>
      <c r="CC133" s="21" t="s">
        <v>114</v>
      </c>
      <c r="CD133" s="21" t="s">
        <v>114</v>
      </c>
      <c r="CE133" s="21" t="s">
        <v>114</v>
      </c>
      <c r="CF133" s="19" t="s">
        <v>114</v>
      </c>
      <c r="CG133" s="19" t="s">
        <v>114</v>
      </c>
      <c r="CH133" s="19" t="s">
        <v>114</v>
      </c>
      <c r="CI133" s="21" t="s">
        <v>114</v>
      </c>
      <c r="CJ133" s="21" t="s">
        <v>114</v>
      </c>
      <c r="CK133" s="21" t="s">
        <v>114</v>
      </c>
      <c r="CL133" s="21" t="s">
        <v>114</v>
      </c>
      <c r="CM133" s="21" t="s">
        <v>114</v>
      </c>
      <c r="CN133" s="21" t="s">
        <v>114</v>
      </c>
      <c r="CO133" s="21" t="s">
        <v>114</v>
      </c>
      <c r="CP133" s="21" t="s">
        <v>114</v>
      </c>
      <c r="CQ133" s="21" t="s">
        <v>114</v>
      </c>
      <c r="CR133" s="21" t="s">
        <v>114</v>
      </c>
      <c r="CS133" s="21" t="s">
        <v>114</v>
      </c>
      <c r="CT133" s="21" t="s">
        <v>114</v>
      </c>
      <c r="CU133" s="21" t="s">
        <v>114</v>
      </c>
      <c r="CV133" s="21" t="s">
        <v>114</v>
      </c>
      <c r="CW133" s="21" t="s">
        <v>114</v>
      </c>
      <c r="CX133" s="21" t="s">
        <v>114</v>
      </c>
      <c r="CY133" s="21" t="s">
        <v>114</v>
      </c>
      <c r="CZ133" s="21" t="s">
        <v>114</v>
      </c>
      <c r="DA133" s="21" t="s">
        <v>114</v>
      </c>
      <c r="DB133" s="21" t="s">
        <v>114</v>
      </c>
      <c r="DC133" s="21" t="s">
        <v>114</v>
      </c>
      <c r="DD133" s="21" t="s">
        <v>114</v>
      </c>
      <c r="DE133" s="21" t="s">
        <v>114</v>
      </c>
      <c r="DF133" s="19" t="s">
        <v>114</v>
      </c>
      <c r="DG133" s="19" t="s">
        <v>114</v>
      </c>
      <c r="DH133" s="19" t="s">
        <v>114</v>
      </c>
      <c r="DI133" s="19" t="s">
        <v>114</v>
      </c>
      <c r="DJ133" s="19" t="s">
        <v>114</v>
      </c>
      <c r="DK133" s="19" t="s">
        <v>114</v>
      </c>
      <c r="DL133" s="19" t="s">
        <v>114</v>
      </c>
      <c r="DM133" s="19" t="s">
        <v>114</v>
      </c>
      <c r="DN133" s="19" t="s">
        <v>114</v>
      </c>
      <c r="DO133" s="19" t="s">
        <v>114</v>
      </c>
    </row>
    <row r="134" spans="1:119" x14ac:dyDescent="0.45">
      <c r="A134" s="2"/>
      <c r="B134" t="s">
        <v>2335</v>
      </c>
      <c r="C134" s="2">
        <v>11</v>
      </c>
      <c r="D134" s="6"/>
      <c r="E134" s="2"/>
      <c r="F134" s="2" t="s">
        <v>273</v>
      </c>
      <c r="H134" s="2"/>
      <c r="J134" s="2">
        <v>2</v>
      </c>
      <c r="K134" t="s">
        <v>116</v>
      </c>
      <c r="L134" s="2">
        <v>202</v>
      </c>
      <c r="M134" t="s">
        <v>166</v>
      </c>
      <c r="N134">
        <v>11</v>
      </c>
      <c r="O134" s="2" t="s">
        <v>273</v>
      </c>
      <c r="P134" s="2" t="s">
        <v>116</v>
      </c>
      <c r="Q134" s="2" t="s">
        <v>166</v>
      </c>
      <c r="R134" s="2"/>
      <c r="S134" s="2"/>
      <c r="T134" s="2"/>
      <c r="U134" s="2"/>
      <c r="V134" t="e">
        <v>#N/A</v>
      </c>
      <c r="W134" t="e">
        <v>#N/A</v>
      </c>
      <c r="X134" t="e">
        <v>#N/A</v>
      </c>
      <c r="AA134" t="s">
        <v>2511</v>
      </c>
      <c r="AB134" t="s">
        <v>282</v>
      </c>
      <c r="AC134" s="2" t="s">
        <v>1888</v>
      </c>
      <c r="AD134" s="2" t="s">
        <v>1888</v>
      </c>
      <c r="AE134" t="s">
        <v>158</v>
      </c>
      <c r="AF134" t="s">
        <v>1886</v>
      </c>
      <c r="AG134" t="s">
        <v>158</v>
      </c>
      <c r="AK134" t="s">
        <v>218</v>
      </c>
      <c r="AL134" s="5"/>
      <c r="AO134" s="3" t="s">
        <v>119</v>
      </c>
      <c r="AP134" s="3" t="s">
        <v>120</v>
      </c>
      <c r="AQ134" s="3" t="s">
        <v>111</v>
      </c>
      <c r="AR134" s="3" t="s">
        <v>112</v>
      </c>
      <c r="AS134" s="3" t="s">
        <v>112</v>
      </c>
      <c r="AU134" s="3" t="s">
        <v>2303</v>
      </c>
      <c r="AV134" s="3" t="s">
        <v>2302</v>
      </c>
      <c r="AW134" s="3" t="s">
        <v>2301</v>
      </c>
      <c r="AX134" t="s">
        <v>282</v>
      </c>
      <c r="AY134" s="19" t="s">
        <v>114</v>
      </c>
      <c r="AZ134" s="19" t="s">
        <v>114</v>
      </c>
      <c r="BA134" s="19" t="s">
        <v>114</v>
      </c>
      <c r="BB134" s="19" t="s">
        <v>114</v>
      </c>
      <c r="BC134" s="19" t="s">
        <v>114</v>
      </c>
      <c r="BD134" s="19" t="s">
        <v>114</v>
      </c>
      <c r="BE134" s="19" t="s">
        <v>114</v>
      </c>
      <c r="BF134" s="19" t="s">
        <v>114</v>
      </c>
      <c r="BG134" s="19" t="s">
        <v>114</v>
      </c>
      <c r="BH134" s="19" t="s">
        <v>114</v>
      </c>
      <c r="BI134" s="19" t="s">
        <v>114</v>
      </c>
      <c r="BJ134" s="19" t="s">
        <v>114</v>
      </c>
      <c r="BK134" s="19" t="s">
        <v>114</v>
      </c>
      <c r="BL134" s="19" t="s">
        <v>114</v>
      </c>
      <c r="BM134" s="19" t="s">
        <v>114</v>
      </c>
      <c r="BN134" s="19" t="s">
        <v>114</v>
      </c>
      <c r="BO134" s="19" t="s">
        <v>114</v>
      </c>
      <c r="BP134" s="19" t="s">
        <v>114</v>
      </c>
      <c r="BQ134" s="19" t="s">
        <v>114</v>
      </c>
      <c r="BR134" s="19" t="s">
        <v>114</v>
      </c>
      <c r="BS134" s="19" t="s">
        <v>114</v>
      </c>
      <c r="BT134" s="19" t="s">
        <v>114</v>
      </c>
      <c r="BU134" s="19" t="s">
        <v>114</v>
      </c>
      <c r="BV134" s="19" t="s">
        <v>114</v>
      </c>
      <c r="BW134" s="19" t="s">
        <v>114</v>
      </c>
      <c r="BX134" s="19" t="s">
        <v>114</v>
      </c>
      <c r="BY134" s="19" t="s">
        <v>114</v>
      </c>
      <c r="BZ134" s="21" t="s">
        <v>114</v>
      </c>
      <c r="CA134" s="21" t="s">
        <v>114</v>
      </c>
      <c r="CB134" s="21" t="s">
        <v>114</v>
      </c>
      <c r="CC134" s="21" t="s">
        <v>114</v>
      </c>
      <c r="CD134" s="21" t="s">
        <v>114</v>
      </c>
      <c r="CE134" s="21" t="s">
        <v>114</v>
      </c>
      <c r="CF134" s="19" t="s">
        <v>114</v>
      </c>
      <c r="CG134" s="19" t="s">
        <v>114</v>
      </c>
      <c r="CH134" s="19" t="s">
        <v>114</v>
      </c>
      <c r="CI134" s="21" t="s">
        <v>114</v>
      </c>
      <c r="CJ134" s="21" t="s">
        <v>114</v>
      </c>
      <c r="CK134" s="21" t="s">
        <v>114</v>
      </c>
      <c r="CL134" s="21" t="s">
        <v>114</v>
      </c>
      <c r="CM134" s="21" t="s">
        <v>114</v>
      </c>
      <c r="CN134" s="21" t="s">
        <v>114</v>
      </c>
      <c r="CO134" s="21" t="s">
        <v>114</v>
      </c>
      <c r="CP134" s="21" t="s">
        <v>114</v>
      </c>
      <c r="CQ134" s="21" t="s">
        <v>114</v>
      </c>
      <c r="CR134" s="21" t="s">
        <v>114</v>
      </c>
      <c r="CS134" s="21" t="s">
        <v>114</v>
      </c>
      <c r="CT134" s="21" t="s">
        <v>114</v>
      </c>
      <c r="CU134" s="21" t="s">
        <v>114</v>
      </c>
      <c r="CV134" s="21" t="s">
        <v>114</v>
      </c>
      <c r="CW134" s="21" t="s">
        <v>114</v>
      </c>
      <c r="CX134" s="21" t="s">
        <v>114</v>
      </c>
      <c r="CY134" s="21" t="s">
        <v>114</v>
      </c>
      <c r="CZ134" s="21" t="s">
        <v>114</v>
      </c>
      <c r="DA134" s="21" t="s">
        <v>114</v>
      </c>
      <c r="DB134" s="21" t="s">
        <v>114</v>
      </c>
      <c r="DC134" s="21" t="s">
        <v>114</v>
      </c>
      <c r="DD134" s="21" t="s">
        <v>114</v>
      </c>
      <c r="DE134" s="21" t="s">
        <v>114</v>
      </c>
      <c r="DF134" s="19" t="s">
        <v>114</v>
      </c>
      <c r="DG134" s="19" t="s">
        <v>114</v>
      </c>
      <c r="DH134" s="19" t="s">
        <v>114</v>
      </c>
      <c r="DI134" s="19" t="s">
        <v>114</v>
      </c>
      <c r="DJ134" s="19" t="s">
        <v>114</v>
      </c>
      <c r="DK134" s="19" t="s">
        <v>114</v>
      </c>
      <c r="DL134" s="19" t="s">
        <v>114</v>
      </c>
      <c r="DM134" s="19" t="s">
        <v>114</v>
      </c>
      <c r="DN134" s="19" t="s">
        <v>114</v>
      </c>
      <c r="DO134" s="19" t="s">
        <v>114</v>
      </c>
    </row>
    <row r="135" spans="1:119" x14ac:dyDescent="0.45">
      <c r="A135" s="2"/>
      <c r="B135" t="s">
        <v>2336</v>
      </c>
      <c r="C135" s="2">
        <v>145</v>
      </c>
      <c r="D135" s="6"/>
      <c r="E135" s="2"/>
      <c r="F135" s="2" t="s">
        <v>202</v>
      </c>
      <c r="H135" s="2"/>
      <c r="J135" s="2">
        <v>142</v>
      </c>
      <c r="K135" t="s">
        <v>100</v>
      </c>
      <c r="L135" s="2">
        <v>145</v>
      </c>
      <c r="M135" t="s">
        <v>202</v>
      </c>
      <c r="P135" s="2" t="s">
        <v>100</v>
      </c>
      <c r="Q135" s="2"/>
      <c r="R135" s="2">
        <v>747</v>
      </c>
      <c r="S135" s="2" t="s">
        <v>1446</v>
      </c>
      <c r="T135" s="2">
        <v>145</v>
      </c>
      <c r="U135" t="s">
        <v>202</v>
      </c>
      <c r="V135" t="e">
        <v>#N/A</v>
      </c>
      <c r="W135" t="e">
        <v>#N/A</v>
      </c>
      <c r="X135" t="e">
        <v>#N/A</v>
      </c>
      <c r="AA135" t="s">
        <v>2511</v>
      </c>
      <c r="AB135" t="s">
        <v>282</v>
      </c>
      <c r="AC135" s="2" t="s">
        <v>1888</v>
      </c>
      <c r="AD135" s="2" t="s">
        <v>1888</v>
      </c>
      <c r="AE135" t="s">
        <v>158</v>
      </c>
      <c r="AF135" t="s">
        <v>1886</v>
      </c>
      <c r="AG135" t="s">
        <v>158</v>
      </c>
      <c r="AK135" t="s">
        <v>218</v>
      </c>
      <c r="AL135" s="5"/>
      <c r="AO135" s="3" t="s">
        <v>119</v>
      </c>
      <c r="AP135" s="3" t="s">
        <v>120</v>
      </c>
      <c r="AQ135" s="3" t="s">
        <v>111</v>
      </c>
      <c r="AR135" s="3" t="s">
        <v>112</v>
      </c>
      <c r="AS135" s="3" t="s">
        <v>112</v>
      </c>
      <c r="AU135" s="3" t="s">
        <v>2303</v>
      </c>
      <c r="AV135" s="3" t="s">
        <v>2302</v>
      </c>
      <c r="AW135" s="3" t="s">
        <v>2301</v>
      </c>
      <c r="AX135" s="3" t="s">
        <v>2006</v>
      </c>
      <c r="AY135" s="19" t="s">
        <v>114</v>
      </c>
      <c r="AZ135" s="19" t="s">
        <v>114</v>
      </c>
      <c r="BA135" s="19" t="s">
        <v>114</v>
      </c>
      <c r="BB135" s="19" t="s">
        <v>114</v>
      </c>
      <c r="BC135" s="19" t="s">
        <v>114</v>
      </c>
      <c r="BD135" s="19" t="s">
        <v>114</v>
      </c>
      <c r="BE135" s="19" t="s">
        <v>114</v>
      </c>
      <c r="BF135" s="19" t="s">
        <v>114</v>
      </c>
      <c r="BG135" s="19" t="s">
        <v>114</v>
      </c>
      <c r="BH135" s="19" t="s">
        <v>114</v>
      </c>
      <c r="BI135" s="19" t="s">
        <v>114</v>
      </c>
      <c r="BJ135" s="19" t="s">
        <v>114</v>
      </c>
      <c r="BK135" s="19" t="s">
        <v>114</v>
      </c>
      <c r="BL135" s="19" t="s">
        <v>114</v>
      </c>
      <c r="BM135" s="19" t="s">
        <v>114</v>
      </c>
      <c r="BN135" s="19" t="s">
        <v>114</v>
      </c>
      <c r="BO135" s="19" t="s">
        <v>114</v>
      </c>
      <c r="BP135" s="19" t="s">
        <v>114</v>
      </c>
      <c r="BQ135" s="19" t="s">
        <v>114</v>
      </c>
      <c r="BR135" s="19" t="s">
        <v>114</v>
      </c>
      <c r="BS135" s="19" t="s">
        <v>114</v>
      </c>
      <c r="BT135" s="19" t="s">
        <v>114</v>
      </c>
      <c r="BU135" s="19" t="s">
        <v>114</v>
      </c>
      <c r="BV135" s="19" t="s">
        <v>114</v>
      </c>
      <c r="BW135" s="19" t="s">
        <v>114</v>
      </c>
      <c r="BX135" s="19" t="s">
        <v>114</v>
      </c>
      <c r="BY135" s="19" t="s">
        <v>114</v>
      </c>
      <c r="BZ135" s="21" t="s">
        <v>114</v>
      </c>
      <c r="CA135" s="21" t="s">
        <v>114</v>
      </c>
      <c r="CB135" s="21" t="s">
        <v>114</v>
      </c>
      <c r="CC135" s="21" t="s">
        <v>114</v>
      </c>
      <c r="CD135" s="21" t="s">
        <v>114</v>
      </c>
      <c r="CE135" s="21" t="s">
        <v>114</v>
      </c>
      <c r="CF135" s="19" t="s">
        <v>114</v>
      </c>
      <c r="CG135" s="19" t="s">
        <v>114</v>
      </c>
      <c r="CH135" s="19" t="s">
        <v>114</v>
      </c>
      <c r="CI135" s="21" t="s">
        <v>114</v>
      </c>
      <c r="CJ135" s="21" t="s">
        <v>114</v>
      </c>
      <c r="CK135" s="21" t="s">
        <v>114</v>
      </c>
      <c r="CL135" s="21" t="s">
        <v>114</v>
      </c>
      <c r="CM135" s="21" t="s">
        <v>114</v>
      </c>
      <c r="CN135" s="21" t="s">
        <v>114</v>
      </c>
      <c r="CO135" s="21" t="s">
        <v>114</v>
      </c>
      <c r="CP135" s="21" t="s">
        <v>114</v>
      </c>
      <c r="CQ135" s="21" t="s">
        <v>114</v>
      </c>
      <c r="CR135" s="21" t="s">
        <v>114</v>
      </c>
      <c r="CS135" s="21" t="s">
        <v>114</v>
      </c>
      <c r="CT135" s="21" t="s">
        <v>114</v>
      </c>
      <c r="CU135" s="21" t="s">
        <v>114</v>
      </c>
      <c r="CV135" s="21" t="s">
        <v>114</v>
      </c>
      <c r="CW135" s="21" t="s">
        <v>114</v>
      </c>
      <c r="CX135" s="21" t="s">
        <v>114</v>
      </c>
      <c r="CY135" s="21" t="s">
        <v>114</v>
      </c>
      <c r="CZ135" s="21" t="s">
        <v>114</v>
      </c>
      <c r="DA135" s="21" t="s">
        <v>114</v>
      </c>
      <c r="DB135" s="21" t="s">
        <v>114</v>
      </c>
      <c r="DC135" s="21" t="s">
        <v>114</v>
      </c>
      <c r="DD135" s="21" t="s">
        <v>114</v>
      </c>
      <c r="DE135" s="21" t="s">
        <v>114</v>
      </c>
      <c r="DF135" s="19" t="s">
        <v>114</v>
      </c>
      <c r="DG135" s="19" t="s">
        <v>114</v>
      </c>
      <c r="DH135" s="19" t="s">
        <v>114</v>
      </c>
      <c r="DI135" s="19" t="s">
        <v>114</v>
      </c>
      <c r="DJ135" s="19" t="s">
        <v>114</v>
      </c>
      <c r="DK135" s="19" t="s">
        <v>114</v>
      </c>
      <c r="DL135" s="19" t="s">
        <v>114</v>
      </c>
      <c r="DM135" s="19" t="s">
        <v>114</v>
      </c>
      <c r="DN135" s="19" t="s">
        <v>114</v>
      </c>
      <c r="DO135" s="19" t="s">
        <v>114</v>
      </c>
    </row>
    <row r="136" spans="1:119" x14ac:dyDescent="0.45">
      <c r="A136" s="2"/>
      <c r="B136" t="s">
        <v>2337</v>
      </c>
      <c r="C136" s="2">
        <v>747</v>
      </c>
      <c r="D136" s="6"/>
      <c r="E136" s="2"/>
      <c r="F136" s="2" t="s">
        <v>1446</v>
      </c>
      <c r="H136" s="2"/>
      <c r="J136" s="2"/>
      <c r="L136" s="2"/>
      <c r="P136" s="2"/>
      <c r="Q136" s="2"/>
      <c r="R136" s="2">
        <v>1</v>
      </c>
      <c r="S136" s="2"/>
      <c r="T136" s="2"/>
      <c r="U136" s="2"/>
      <c r="V136" t="e">
        <v>#N/A</v>
      </c>
      <c r="W136" t="e">
        <v>#N/A</v>
      </c>
      <c r="X136" t="e">
        <v>#N/A</v>
      </c>
      <c r="AA136" t="s">
        <v>2511</v>
      </c>
      <c r="AB136" t="s">
        <v>282</v>
      </c>
      <c r="AC136" s="2" t="s">
        <v>1888</v>
      </c>
      <c r="AD136" s="2" t="s">
        <v>1888</v>
      </c>
      <c r="AE136" t="s">
        <v>158</v>
      </c>
      <c r="AF136" t="s">
        <v>1886</v>
      </c>
      <c r="AG136" t="s">
        <v>158</v>
      </c>
      <c r="AK136" t="s">
        <v>389</v>
      </c>
      <c r="AL136" s="5"/>
      <c r="AO136" s="3" t="s">
        <v>119</v>
      </c>
      <c r="AP136" s="3" t="s">
        <v>120</v>
      </c>
      <c r="AQ136" s="3" t="s">
        <v>111</v>
      </c>
      <c r="AR136" s="3" t="s">
        <v>112</v>
      </c>
      <c r="AS136" s="3" t="s">
        <v>112</v>
      </c>
      <c r="AU136" s="3" t="s">
        <v>2303</v>
      </c>
      <c r="AV136" s="3" t="s">
        <v>2302</v>
      </c>
      <c r="AW136" s="3" t="s">
        <v>2301</v>
      </c>
      <c r="AX136" s="3" t="s">
        <v>2006</v>
      </c>
      <c r="AY136" s="19" t="s">
        <v>114</v>
      </c>
      <c r="AZ136" s="19" t="s">
        <v>114</v>
      </c>
      <c r="BA136" s="19" t="s">
        <v>114</v>
      </c>
      <c r="BB136" s="19" t="s">
        <v>114</v>
      </c>
      <c r="BC136" s="19" t="s">
        <v>114</v>
      </c>
      <c r="BD136" s="19" t="s">
        <v>114</v>
      </c>
      <c r="BE136" s="19" t="s">
        <v>114</v>
      </c>
      <c r="BF136" s="19" t="s">
        <v>114</v>
      </c>
      <c r="BG136" s="19" t="s">
        <v>114</v>
      </c>
      <c r="BH136" s="19" t="s">
        <v>114</v>
      </c>
      <c r="BI136" s="19" t="s">
        <v>114</v>
      </c>
      <c r="BJ136" s="19" t="s">
        <v>114</v>
      </c>
      <c r="BK136" s="19" t="s">
        <v>114</v>
      </c>
      <c r="BL136" s="19" t="s">
        <v>114</v>
      </c>
      <c r="BM136" s="19" t="s">
        <v>114</v>
      </c>
      <c r="BN136" s="19" t="s">
        <v>114</v>
      </c>
      <c r="BO136" s="19" t="s">
        <v>114</v>
      </c>
      <c r="BP136" s="19" t="s">
        <v>114</v>
      </c>
      <c r="BQ136" s="19" t="s">
        <v>114</v>
      </c>
      <c r="BR136" s="19" t="s">
        <v>114</v>
      </c>
      <c r="BS136" s="19" t="s">
        <v>114</v>
      </c>
      <c r="BT136" s="19" t="s">
        <v>114</v>
      </c>
      <c r="BU136" s="19" t="s">
        <v>114</v>
      </c>
      <c r="BV136" s="19" t="s">
        <v>114</v>
      </c>
      <c r="BW136" s="19" t="s">
        <v>114</v>
      </c>
      <c r="BX136" s="19" t="s">
        <v>114</v>
      </c>
      <c r="BY136" s="19" t="s">
        <v>114</v>
      </c>
      <c r="BZ136" s="21" t="s">
        <v>114</v>
      </c>
      <c r="CA136" s="21" t="s">
        <v>114</v>
      </c>
      <c r="CB136" s="21" t="s">
        <v>114</v>
      </c>
      <c r="CC136" s="21" t="s">
        <v>114</v>
      </c>
      <c r="CD136" s="21" t="s">
        <v>114</v>
      </c>
      <c r="CE136" s="21" t="s">
        <v>114</v>
      </c>
      <c r="CF136" s="19" t="s">
        <v>114</v>
      </c>
      <c r="CG136" s="19" t="s">
        <v>114</v>
      </c>
      <c r="CH136" s="19" t="s">
        <v>114</v>
      </c>
      <c r="CI136" s="21" t="s">
        <v>114</v>
      </c>
      <c r="CJ136" s="21" t="s">
        <v>114</v>
      </c>
      <c r="CK136" s="21" t="s">
        <v>114</v>
      </c>
      <c r="CL136" s="21" t="s">
        <v>114</v>
      </c>
      <c r="CM136" s="21" t="s">
        <v>114</v>
      </c>
      <c r="CN136" s="21" t="s">
        <v>114</v>
      </c>
      <c r="CO136" s="21" t="s">
        <v>114</v>
      </c>
      <c r="CP136" s="21" t="s">
        <v>114</v>
      </c>
      <c r="CQ136" s="21" t="s">
        <v>114</v>
      </c>
      <c r="CR136" s="21" t="s">
        <v>114</v>
      </c>
      <c r="CS136" s="21" t="s">
        <v>114</v>
      </c>
      <c r="CT136" s="21" t="s">
        <v>114</v>
      </c>
      <c r="CU136" s="21" t="s">
        <v>114</v>
      </c>
      <c r="CV136" s="21" t="s">
        <v>114</v>
      </c>
      <c r="CW136" s="21" t="s">
        <v>114</v>
      </c>
      <c r="CX136" s="21" t="s">
        <v>114</v>
      </c>
      <c r="CY136" s="21" t="s">
        <v>114</v>
      </c>
      <c r="CZ136" s="21" t="s">
        <v>114</v>
      </c>
      <c r="DA136" s="21" t="s">
        <v>114</v>
      </c>
      <c r="DB136" s="21" t="s">
        <v>114</v>
      </c>
      <c r="DC136" s="21" t="s">
        <v>114</v>
      </c>
      <c r="DD136" s="21" t="s">
        <v>114</v>
      </c>
      <c r="DE136" s="21" t="s">
        <v>114</v>
      </c>
      <c r="DF136" s="19" t="s">
        <v>114</v>
      </c>
      <c r="DG136" s="19" t="s">
        <v>114</v>
      </c>
      <c r="DH136" s="19" t="s">
        <v>114</v>
      </c>
      <c r="DI136" s="19" t="s">
        <v>114</v>
      </c>
      <c r="DJ136" s="19" t="s">
        <v>114</v>
      </c>
      <c r="DK136" s="19" t="s">
        <v>114</v>
      </c>
      <c r="DL136" s="19" t="s">
        <v>114</v>
      </c>
      <c r="DM136" s="19" t="s">
        <v>114</v>
      </c>
      <c r="DN136" s="19" t="s">
        <v>114</v>
      </c>
      <c r="DO136" s="19" t="s">
        <v>114</v>
      </c>
    </row>
    <row r="137" spans="1:119" x14ac:dyDescent="0.45">
      <c r="A137" s="2"/>
      <c r="B137" t="s">
        <v>2338</v>
      </c>
      <c r="C137" s="2">
        <v>155</v>
      </c>
      <c r="D137" s="6"/>
      <c r="E137" s="2"/>
      <c r="F137" s="2" t="s">
        <v>223</v>
      </c>
      <c r="H137" s="2"/>
      <c r="J137" s="2">
        <v>150</v>
      </c>
      <c r="K137" t="s">
        <v>127</v>
      </c>
      <c r="L137" s="2">
        <v>155</v>
      </c>
      <c r="M137" s="2" t="s">
        <v>223</v>
      </c>
      <c r="N137" s="2"/>
      <c r="O137" s="2"/>
      <c r="P137" s="2" t="s">
        <v>127</v>
      </c>
      <c r="Q137" s="2"/>
      <c r="R137" s="2"/>
      <c r="S137" s="2"/>
      <c r="T137" s="2"/>
      <c r="U137" s="2"/>
      <c r="V137" t="e">
        <v>#N/A</v>
      </c>
      <c r="W137" t="e">
        <v>#N/A</v>
      </c>
      <c r="X137" t="e">
        <v>#N/A</v>
      </c>
      <c r="AA137" t="s">
        <v>2511</v>
      </c>
      <c r="AB137" t="s">
        <v>282</v>
      </c>
      <c r="AC137" s="2" t="s">
        <v>1888</v>
      </c>
      <c r="AD137" s="2" t="s">
        <v>1888</v>
      </c>
      <c r="AE137" t="s">
        <v>158</v>
      </c>
      <c r="AF137" t="s">
        <v>1886</v>
      </c>
      <c r="AG137" t="s">
        <v>158</v>
      </c>
      <c r="AK137" t="s">
        <v>218</v>
      </c>
      <c r="AL137" s="5"/>
      <c r="AO137" s="3" t="s">
        <v>119</v>
      </c>
      <c r="AP137" s="3" t="s">
        <v>120</v>
      </c>
      <c r="AQ137" s="3" t="s">
        <v>111</v>
      </c>
      <c r="AR137" s="3" t="s">
        <v>112</v>
      </c>
      <c r="AS137" s="3" t="s">
        <v>112</v>
      </c>
      <c r="AU137" s="3" t="s">
        <v>2303</v>
      </c>
      <c r="AV137" s="3" t="s">
        <v>2302</v>
      </c>
      <c r="AW137" s="3" t="s">
        <v>2301</v>
      </c>
      <c r="AX137" t="s">
        <v>282</v>
      </c>
      <c r="AY137" s="19" t="s">
        <v>114</v>
      </c>
      <c r="AZ137" s="19" t="s">
        <v>114</v>
      </c>
      <c r="BA137" s="19" t="s">
        <v>114</v>
      </c>
      <c r="BB137" s="19" t="s">
        <v>114</v>
      </c>
      <c r="BC137" s="19" t="s">
        <v>114</v>
      </c>
      <c r="BD137" s="19" t="s">
        <v>114</v>
      </c>
      <c r="BE137" s="19" t="s">
        <v>114</v>
      </c>
      <c r="BF137" s="19" t="s">
        <v>114</v>
      </c>
      <c r="BG137" s="19" t="s">
        <v>114</v>
      </c>
      <c r="BH137" s="19" t="s">
        <v>114</v>
      </c>
      <c r="BI137" s="19" t="s">
        <v>114</v>
      </c>
      <c r="BJ137" s="19" t="s">
        <v>114</v>
      </c>
      <c r="BK137" s="19" t="s">
        <v>114</v>
      </c>
      <c r="BL137" s="19" t="s">
        <v>114</v>
      </c>
      <c r="BM137" s="19" t="s">
        <v>114</v>
      </c>
      <c r="BN137" s="19" t="s">
        <v>114</v>
      </c>
      <c r="BO137" s="19" t="s">
        <v>114</v>
      </c>
      <c r="BP137" s="19" t="s">
        <v>114</v>
      </c>
      <c r="BQ137" s="19" t="s">
        <v>114</v>
      </c>
      <c r="BR137" s="19" t="s">
        <v>114</v>
      </c>
      <c r="BS137" s="19" t="s">
        <v>114</v>
      </c>
      <c r="BT137" s="19" t="s">
        <v>114</v>
      </c>
      <c r="BU137" s="19" t="s">
        <v>114</v>
      </c>
      <c r="BV137" s="19" t="s">
        <v>114</v>
      </c>
      <c r="BW137" s="19" t="s">
        <v>114</v>
      </c>
      <c r="BX137" s="19" t="s">
        <v>114</v>
      </c>
      <c r="BY137" s="19" t="s">
        <v>114</v>
      </c>
      <c r="BZ137" s="21" t="s">
        <v>114</v>
      </c>
      <c r="CA137" s="21" t="s">
        <v>114</v>
      </c>
      <c r="CB137" s="21" t="s">
        <v>114</v>
      </c>
      <c r="CC137" s="21" t="s">
        <v>114</v>
      </c>
      <c r="CD137" s="21" t="s">
        <v>114</v>
      </c>
      <c r="CE137" s="21" t="s">
        <v>114</v>
      </c>
      <c r="CF137" s="19" t="s">
        <v>114</v>
      </c>
      <c r="CG137" s="19" t="s">
        <v>114</v>
      </c>
      <c r="CH137" s="19" t="s">
        <v>114</v>
      </c>
      <c r="CI137" s="21" t="s">
        <v>114</v>
      </c>
      <c r="CJ137" s="21" t="s">
        <v>114</v>
      </c>
      <c r="CK137" s="21" t="s">
        <v>114</v>
      </c>
      <c r="CL137" s="21" t="s">
        <v>114</v>
      </c>
      <c r="CM137" s="21" t="s">
        <v>114</v>
      </c>
      <c r="CN137" s="21" t="s">
        <v>114</v>
      </c>
      <c r="CO137" s="21" t="s">
        <v>114</v>
      </c>
      <c r="CP137" s="21" t="s">
        <v>114</v>
      </c>
      <c r="CQ137" s="21" t="s">
        <v>114</v>
      </c>
      <c r="CR137" s="21" t="s">
        <v>114</v>
      </c>
      <c r="CS137" s="21" t="s">
        <v>114</v>
      </c>
      <c r="CT137" s="21" t="s">
        <v>114</v>
      </c>
      <c r="CU137" s="21" t="s">
        <v>114</v>
      </c>
      <c r="CV137" s="21" t="s">
        <v>114</v>
      </c>
      <c r="CW137" s="21" t="s">
        <v>114</v>
      </c>
      <c r="CX137" s="21" t="s">
        <v>114</v>
      </c>
      <c r="CY137" s="21" t="s">
        <v>114</v>
      </c>
      <c r="CZ137" s="21" t="s">
        <v>114</v>
      </c>
      <c r="DA137" s="21" t="s">
        <v>114</v>
      </c>
      <c r="DB137" s="21" t="s">
        <v>114</v>
      </c>
      <c r="DC137" s="21" t="s">
        <v>114</v>
      </c>
      <c r="DD137" s="21" t="s">
        <v>114</v>
      </c>
      <c r="DE137" s="21" t="s">
        <v>114</v>
      </c>
      <c r="DF137" s="19" t="s">
        <v>114</v>
      </c>
      <c r="DG137" s="19" t="s">
        <v>114</v>
      </c>
      <c r="DH137" s="19" t="s">
        <v>114</v>
      </c>
      <c r="DI137" s="19" t="s">
        <v>114</v>
      </c>
      <c r="DJ137" s="19" t="s">
        <v>114</v>
      </c>
      <c r="DK137" s="19" t="s">
        <v>114</v>
      </c>
      <c r="DL137" s="19" t="s">
        <v>114</v>
      </c>
      <c r="DM137" s="19" t="s">
        <v>114</v>
      </c>
      <c r="DN137" s="19" t="s">
        <v>114</v>
      </c>
      <c r="DO137" s="19" t="s">
        <v>114</v>
      </c>
    </row>
    <row r="138" spans="1:119" x14ac:dyDescent="0.45">
      <c r="A138" s="4"/>
      <c r="B138" s="3" t="s">
        <v>1452</v>
      </c>
      <c r="C138" s="4">
        <v>1</v>
      </c>
      <c r="D138" s="7">
        <v>1</v>
      </c>
      <c r="E138" s="4" t="s">
        <v>1453</v>
      </c>
      <c r="F138" s="4" t="s">
        <v>1453</v>
      </c>
      <c r="H138" s="4" t="s">
        <v>1453</v>
      </c>
      <c r="I138" s="4" t="s">
        <v>1454</v>
      </c>
      <c r="J138" s="4">
        <v>1</v>
      </c>
      <c r="K138" s="4" t="s">
        <v>1453</v>
      </c>
      <c r="L138" s="4">
        <v>1</v>
      </c>
      <c r="M138" s="4" t="s">
        <v>1453</v>
      </c>
      <c r="N138" s="4"/>
      <c r="O138" s="4"/>
      <c r="P138" s="4" t="s">
        <v>1453</v>
      </c>
      <c r="Q138" s="4" t="s">
        <v>1453</v>
      </c>
      <c r="R138" s="4"/>
      <c r="S138" s="4"/>
      <c r="T138" s="4"/>
      <c r="U138" s="4"/>
      <c r="V138" t="e">
        <v>#N/A</v>
      </c>
      <c r="W138" t="e">
        <v>#N/A</v>
      </c>
      <c r="X138" t="e">
        <v>#N/A</v>
      </c>
      <c r="AA138" t="s">
        <v>2511</v>
      </c>
      <c r="AB138" t="s">
        <v>282</v>
      </c>
      <c r="AC138" s="4" t="s">
        <v>1888</v>
      </c>
      <c r="AD138" s="4" t="s">
        <v>1888</v>
      </c>
      <c r="AE138" t="s">
        <v>158</v>
      </c>
      <c r="AF138" t="s">
        <v>1886</v>
      </c>
      <c r="AG138" t="s">
        <v>158</v>
      </c>
      <c r="AJ138" s="3"/>
      <c r="AK138" t="s">
        <v>942</v>
      </c>
      <c r="AL138" s="5"/>
      <c r="AM138" s="5" t="s">
        <v>109</v>
      </c>
      <c r="AO138" s="3" t="s">
        <v>119</v>
      </c>
      <c r="AP138" s="3" t="s">
        <v>120</v>
      </c>
      <c r="AQ138" s="3" t="s">
        <v>111</v>
      </c>
      <c r="AR138" s="3" t="s">
        <v>112</v>
      </c>
      <c r="AS138" s="3" t="s">
        <v>112</v>
      </c>
      <c r="AT138" s="3" t="s">
        <v>113</v>
      </c>
      <c r="AU138" s="3" t="s">
        <v>2303</v>
      </c>
      <c r="AV138" s="3" t="s">
        <v>2302</v>
      </c>
      <c r="AW138" s="3" t="s">
        <v>2301</v>
      </c>
      <c r="AX138" s="3" t="s">
        <v>2006</v>
      </c>
      <c r="AY138" s="19" t="s">
        <v>114</v>
      </c>
      <c r="AZ138" s="19" t="s">
        <v>114</v>
      </c>
      <c r="BA138" s="19" t="s">
        <v>114</v>
      </c>
      <c r="BB138" s="19" t="s">
        <v>114</v>
      </c>
      <c r="BC138" s="19" t="s">
        <v>114</v>
      </c>
      <c r="BD138" s="19" t="s">
        <v>114</v>
      </c>
      <c r="BE138" s="19" t="s">
        <v>114</v>
      </c>
      <c r="BF138" s="19" t="s">
        <v>114</v>
      </c>
      <c r="BG138" s="19" t="s">
        <v>114</v>
      </c>
      <c r="BH138" s="19" t="s">
        <v>114</v>
      </c>
      <c r="BI138" s="19" t="s">
        <v>114</v>
      </c>
      <c r="BJ138" s="19" t="s">
        <v>114</v>
      </c>
      <c r="BK138" s="19" t="s">
        <v>114</v>
      </c>
      <c r="BL138" s="19" t="s">
        <v>114</v>
      </c>
      <c r="BM138" s="19" t="s">
        <v>114</v>
      </c>
      <c r="BN138" s="19" t="s">
        <v>114</v>
      </c>
      <c r="BO138" s="19" t="s">
        <v>114</v>
      </c>
      <c r="BP138" s="19" t="s">
        <v>114</v>
      </c>
      <c r="BQ138" s="19" t="s">
        <v>114</v>
      </c>
      <c r="BR138" s="19" t="s">
        <v>114</v>
      </c>
      <c r="BS138" s="19" t="s">
        <v>114</v>
      </c>
      <c r="BT138" s="19" t="s">
        <v>114</v>
      </c>
      <c r="BU138" s="19" t="s">
        <v>114</v>
      </c>
      <c r="BV138" s="19" t="s">
        <v>114</v>
      </c>
      <c r="BW138" s="19" t="s">
        <v>114</v>
      </c>
      <c r="BX138" s="19" t="s">
        <v>114</v>
      </c>
      <c r="BY138" s="19" t="s">
        <v>114</v>
      </c>
      <c r="BZ138" s="21" t="s">
        <v>114</v>
      </c>
      <c r="CA138" s="21" t="s">
        <v>114</v>
      </c>
      <c r="CB138" s="21" t="s">
        <v>114</v>
      </c>
      <c r="CC138" s="21" t="s">
        <v>114</v>
      </c>
      <c r="CD138" s="21" t="s">
        <v>114</v>
      </c>
      <c r="CE138" s="21" t="s">
        <v>114</v>
      </c>
      <c r="CF138" s="19" t="s">
        <v>114</v>
      </c>
      <c r="CG138" s="19" t="s">
        <v>114</v>
      </c>
      <c r="CH138" s="19" t="s">
        <v>114</v>
      </c>
      <c r="CI138" s="21" t="s">
        <v>114</v>
      </c>
      <c r="CJ138" s="21" t="s">
        <v>114</v>
      </c>
      <c r="CK138" s="21" t="s">
        <v>114</v>
      </c>
      <c r="CL138" s="21" t="s">
        <v>114</v>
      </c>
      <c r="CM138" s="21" t="s">
        <v>114</v>
      </c>
      <c r="CN138" s="21" t="s">
        <v>114</v>
      </c>
      <c r="CO138" s="21" t="s">
        <v>114</v>
      </c>
      <c r="CP138" s="21" t="s">
        <v>114</v>
      </c>
      <c r="CQ138" s="21" t="s">
        <v>114</v>
      </c>
      <c r="CR138" s="21" t="s">
        <v>114</v>
      </c>
      <c r="CS138" s="21" t="s">
        <v>114</v>
      </c>
      <c r="CT138" s="21" t="s">
        <v>114</v>
      </c>
      <c r="CU138" s="21" t="s">
        <v>114</v>
      </c>
      <c r="CV138" s="21" t="s">
        <v>114</v>
      </c>
      <c r="CW138" s="21" t="s">
        <v>114</v>
      </c>
      <c r="CX138" s="21" t="s">
        <v>114</v>
      </c>
      <c r="CY138" s="21" t="s">
        <v>114</v>
      </c>
      <c r="CZ138" s="21" t="s">
        <v>114</v>
      </c>
      <c r="DA138" s="21" t="s">
        <v>114</v>
      </c>
      <c r="DB138" s="21" t="s">
        <v>114</v>
      </c>
      <c r="DC138" s="21" t="s">
        <v>114</v>
      </c>
      <c r="DD138" s="21" t="s">
        <v>114</v>
      </c>
      <c r="DE138" s="21" t="s">
        <v>114</v>
      </c>
      <c r="DF138" s="19" t="s">
        <v>114</v>
      </c>
      <c r="DG138" s="19" t="s">
        <v>114</v>
      </c>
      <c r="DH138" s="19" t="s">
        <v>114</v>
      </c>
      <c r="DI138" s="19" t="s">
        <v>114</v>
      </c>
      <c r="DJ138" s="19" t="s">
        <v>114</v>
      </c>
      <c r="DK138" s="19" t="s">
        <v>114</v>
      </c>
      <c r="DL138" s="19" t="s">
        <v>114</v>
      </c>
      <c r="DM138" s="19" t="s">
        <v>114</v>
      </c>
      <c r="DN138" s="19" t="s">
        <v>114</v>
      </c>
      <c r="DO138" s="19" t="s">
        <v>114</v>
      </c>
    </row>
    <row r="139" spans="1:119" hidden="1" x14ac:dyDescent="0.45">
      <c r="A139" s="2" t="s">
        <v>323</v>
      </c>
      <c r="B139" t="s">
        <v>324</v>
      </c>
      <c r="C139" s="2">
        <v>86</v>
      </c>
      <c r="D139" s="6">
        <v>106</v>
      </c>
      <c r="E139" s="2" t="s">
        <v>1566</v>
      </c>
      <c r="F139" t="s">
        <v>325</v>
      </c>
      <c r="H139" s="2" t="s">
        <v>326</v>
      </c>
      <c r="I139" s="2" t="s">
        <v>327</v>
      </c>
      <c r="J139" s="2">
        <v>2</v>
      </c>
      <c r="K139" t="s">
        <v>116</v>
      </c>
      <c r="L139" s="2">
        <v>202</v>
      </c>
      <c r="M139" t="s">
        <v>166</v>
      </c>
      <c r="N139">
        <v>14</v>
      </c>
      <c r="O139" t="s">
        <v>328</v>
      </c>
      <c r="P139" s="2" t="s">
        <v>116</v>
      </c>
      <c r="Q139" s="2" t="s">
        <v>166</v>
      </c>
      <c r="R139" s="2">
        <v>202</v>
      </c>
      <c r="S139" s="4" t="s">
        <v>166</v>
      </c>
      <c r="T139" s="2">
        <v>202</v>
      </c>
      <c r="U139" s="4" t="s">
        <v>166</v>
      </c>
      <c r="V139" t="e">
        <v>#N/A</v>
      </c>
      <c r="W139" t="e">
        <v>#N/A</v>
      </c>
      <c r="X139" t="s">
        <v>2440</v>
      </c>
      <c r="Y139" t="s">
        <v>328</v>
      </c>
      <c r="Z139" t="s">
        <v>328</v>
      </c>
      <c r="AA139" s="3" t="s">
        <v>328</v>
      </c>
      <c r="AB139" s="3" t="s">
        <v>2874</v>
      </c>
      <c r="AC139" s="2" t="s">
        <v>1888</v>
      </c>
      <c r="AD139" s="2" t="s">
        <v>1888</v>
      </c>
      <c r="AE139" t="s">
        <v>104</v>
      </c>
      <c r="AF139" t="s">
        <v>1886</v>
      </c>
      <c r="AG139" s="3" t="s">
        <v>1887</v>
      </c>
      <c r="AH139" t="s">
        <v>105</v>
      </c>
      <c r="AI139" s="3" t="s">
        <v>105</v>
      </c>
      <c r="AJ139" s="3" t="s">
        <v>106</v>
      </c>
      <c r="AK139" s="3" t="s">
        <v>107</v>
      </c>
      <c r="AL139" s="5" t="s">
        <v>156</v>
      </c>
      <c r="AM139" s="5" t="s">
        <v>109</v>
      </c>
      <c r="AO139" s="3" t="s">
        <v>119</v>
      </c>
      <c r="AP139" s="3" t="s">
        <v>120</v>
      </c>
      <c r="AQ139" s="3" t="s">
        <v>111</v>
      </c>
      <c r="AR139" s="3" t="s">
        <v>112</v>
      </c>
      <c r="AS139" s="3" t="s">
        <v>112</v>
      </c>
      <c r="AT139" s="3" t="s">
        <v>113</v>
      </c>
      <c r="AU139" s="3" t="s">
        <v>2303</v>
      </c>
      <c r="AV139" s="3" t="s">
        <v>2302</v>
      </c>
      <c r="AW139" s="3" t="s">
        <v>2301</v>
      </c>
      <c r="AX139" s="3" t="s">
        <v>282</v>
      </c>
      <c r="AY139" s="19" t="s">
        <v>114</v>
      </c>
      <c r="AZ139" s="19" t="s">
        <v>114</v>
      </c>
      <c r="BA139" s="19" t="s">
        <v>114</v>
      </c>
      <c r="BB139" s="19" t="s">
        <v>114</v>
      </c>
      <c r="BC139" s="19" t="s">
        <v>114</v>
      </c>
      <c r="BD139" s="19" t="s">
        <v>114</v>
      </c>
      <c r="BE139" s="19" t="s">
        <v>114</v>
      </c>
      <c r="BF139" s="19" t="s">
        <v>114</v>
      </c>
      <c r="BG139" s="19" t="s">
        <v>114</v>
      </c>
      <c r="BH139" s="19" t="s">
        <v>114</v>
      </c>
      <c r="BI139" s="19" t="s">
        <v>114</v>
      </c>
      <c r="BJ139" s="19" t="s">
        <v>114</v>
      </c>
      <c r="BK139" s="19" t="s">
        <v>114</v>
      </c>
      <c r="BL139" s="19" t="s">
        <v>114</v>
      </c>
      <c r="BM139" s="19" t="s">
        <v>114</v>
      </c>
      <c r="BN139" s="19" t="s">
        <v>114</v>
      </c>
      <c r="BO139" s="19" t="s">
        <v>114</v>
      </c>
      <c r="BP139" s="19" t="s">
        <v>114</v>
      </c>
      <c r="BQ139" s="19" t="s">
        <v>114</v>
      </c>
      <c r="BR139" s="19" t="s">
        <v>114</v>
      </c>
      <c r="BS139" s="19" t="s">
        <v>114</v>
      </c>
      <c r="BT139" s="19" t="s">
        <v>114</v>
      </c>
      <c r="BU139" s="19" t="s">
        <v>114</v>
      </c>
      <c r="BV139" s="19" t="s">
        <v>114</v>
      </c>
      <c r="BW139" s="19" t="s">
        <v>114</v>
      </c>
      <c r="BX139" s="19" t="s">
        <v>114</v>
      </c>
      <c r="BY139" s="19" t="s">
        <v>114</v>
      </c>
      <c r="BZ139" s="21" t="s">
        <v>114</v>
      </c>
      <c r="CA139" s="21" t="s">
        <v>114</v>
      </c>
      <c r="CB139" s="21" t="s">
        <v>114</v>
      </c>
      <c r="CC139" s="21" t="s">
        <v>114</v>
      </c>
      <c r="CD139" s="21" t="s">
        <v>114</v>
      </c>
      <c r="CE139" s="21" t="s">
        <v>114</v>
      </c>
      <c r="CF139" s="19" t="s">
        <v>114</v>
      </c>
      <c r="CG139" s="19" t="s">
        <v>114</v>
      </c>
      <c r="CH139" s="19" t="s">
        <v>114</v>
      </c>
      <c r="CI139" s="21" t="s">
        <v>114</v>
      </c>
      <c r="CJ139" s="21" t="s">
        <v>114</v>
      </c>
      <c r="CK139" s="21" t="s">
        <v>114</v>
      </c>
      <c r="CL139" s="21" t="s">
        <v>114</v>
      </c>
      <c r="CM139" s="21" t="s">
        <v>114</v>
      </c>
      <c r="CN139" s="21" t="s">
        <v>114</v>
      </c>
      <c r="CO139" s="21" t="s">
        <v>114</v>
      </c>
      <c r="CP139" s="21" t="s">
        <v>114</v>
      </c>
      <c r="CQ139" s="21" t="s">
        <v>114</v>
      </c>
      <c r="CR139" s="21" t="s">
        <v>114</v>
      </c>
      <c r="CS139" s="21" t="s">
        <v>114</v>
      </c>
      <c r="CT139" s="21" t="s">
        <v>114</v>
      </c>
      <c r="CU139" s="21" t="s">
        <v>114</v>
      </c>
      <c r="CV139" s="21" t="s">
        <v>114</v>
      </c>
      <c r="CW139" s="21" t="s">
        <v>114</v>
      </c>
      <c r="CX139" s="21">
        <v>98426</v>
      </c>
      <c r="CY139" s="21" t="s">
        <v>114</v>
      </c>
      <c r="CZ139" s="21" t="s">
        <v>114</v>
      </c>
      <c r="DA139" s="21" t="s">
        <v>114</v>
      </c>
      <c r="DB139" s="21" t="s">
        <v>114</v>
      </c>
      <c r="DC139" s="21" t="s">
        <v>114</v>
      </c>
      <c r="DD139" s="21" t="s">
        <v>114</v>
      </c>
      <c r="DE139" s="21" t="s">
        <v>114</v>
      </c>
      <c r="DF139" s="19" t="s">
        <v>114</v>
      </c>
      <c r="DG139" s="19" t="s">
        <v>114</v>
      </c>
      <c r="DH139" s="19" t="s">
        <v>114</v>
      </c>
      <c r="DI139" s="19" t="s">
        <v>114</v>
      </c>
      <c r="DJ139" s="19" t="s">
        <v>114</v>
      </c>
      <c r="DK139" s="19" t="s">
        <v>114</v>
      </c>
      <c r="DL139" s="19" t="s">
        <v>114</v>
      </c>
      <c r="DM139" s="19" t="s">
        <v>114</v>
      </c>
      <c r="DN139" s="19" t="s">
        <v>114</v>
      </c>
      <c r="DO139" s="19" t="s">
        <v>114</v>
      </c>
    </row>
    <row r="140" spans="1:119" hidden="1" x14ac:dyDescent="0.45">
      <c r="A140" s="2" t="s">
        <v>348</v>
      </c>
      <c r="B140" t="s">
        <v>349</v>
      </c>
      <c r="C140" s="2">
        <v>108</v>
      </c>
      <c r="D140" s="6">
        <v>108</v>
      </c>
      <c r="E140" s="2" t="s">
        <v>350</v>
      </c>
      <c r="F140" t="s">
        <v>350</v>
      </c>
      <c r="G140" t="s">
        <v>2035</v>
      </c>
      <c r="H140" s="2" t="s">
        <v>350</v>
      </c>
      <c r="I140" s="2" t="s">
        <v>350</v>
      </c>
      <c r="J140" s="2">
        <v>2</v>
      </c>
      <c r="K140" t="s">
        <v>116</v>
      </c>
      <c r="L140" s="2">
        <v>202</v>
      </c>
      <c r="M140" t="s">
        <v>166</v>
      </c>
      <c r="N140">
        <v>14</v>
      </c>
      <c r="O140" t="s">
        <v>328</v>
      </c>
      <c r="P140" s="2" t="s">
        <v>116</v>
      </c>
      <c r="Q140" s="2" t="s">
        <v>166</v>
      </c>
      <c r="R140" s="2">
        <v>202</v>
      </c>
      <c r="S140" s="4" t="s">
        <v>166</v>
      </c>
      <c r="T140" s="2">
        <v>202</v>
      </c>
      <c r="U140" s="4" t="s">
        <v>166</v>
      </c>
      <c r="V140" t="s">
        <v>2457</v>
      </c>
      <c r="W140" t="s">
        <v>2457</v>
      </c>
      <c r="X140" t="s">
        <v>2440</v>
      </c>
      <c r="Y140" t="s">
        <v>328</v>
      </c>
      <c r="Z140" t="s">
        <v>328</v>
      </c>
      <c r="AA140" s="3" t="s">
        <v>328</v>
      </c>
      <c r="AB140" s="3" t="s">
        <v>2874</v>
      </c>
      <c r="AC140" s="2" t="s">
        <v>103</v>
      </c>
      <c r="AD140" s="2" t="s">
        <v>1890</v>
      </c>
      <c r="AE140" t="s">
        <v>104</v>
      </c>
      <c r="AF140" t="s">
        <v>1885</v>
      </c>
      <c r="AG140" t="s">
        <v>1884</v>
      </c>
      <c r="AH140" t="s">
        <v>105</v>
      </c>
      <c r="AI140" s="3" t="s">
        <v>105</v>
      </c>
      <c r="AJ140" s="3" t="s">
        <v>106</v>
      </c>
      <c r="AK140" s="3" t="s">
        <v>107</v>
      </c>
      <c r="AL140" s="5" t="s">
        <v>351</v>
      </c>
      <c r="AM140" s="5" t="s">
        <v>109</v>
      </c>
      <c r="AN140" t="s">
        <v>110</v>
      </c>
      <c r="AO140" t="s">
        <v>25</v>
      </c>
      <c r="AP140" s="3" t="s">
        <v>26</v>
      </c>
      <c r="AQ140" s="3" t="s">
        <v>111</v>
      </c>
      <c r="AR140" s="3" t="s">
        <v>112</v>
      </c>
      <c r="AS140" s="3" t="s">
        <v>112</v>
      </c>
      <c r="AT140" s="3" t="s">
        <v>113</v>
      </c>
      <c r="AU140" s="3" t="s">
        <v>2303</v>
      </c>
      <c r="AV140" s="3" t="s">
        <v>2302</v>
      </c>
      <c r="AW140" s="3" t="s">
        <v>2301</v>
      </c>
      <c r="AX140" s="3" t="s">
        <v>2006</v>
      </c>
      <c r="AY140" s="19">
        <v>98100</v>
      </c>
      <c r="AZ140" s="19" t="s">
        <v>114</v>
      </c>
      <c r="BA140" s="19">
        <v>98102</v>
      </c>
      <c r="BB140" s="19" t="s">
        <v>114</v>
      </c>
      <c r="BC140" s="19" t="s">
        <v>114</v>
      </c>
      <c r="BD140" s="19" t="s">
        <v>114</v>
      </c>
      <c r="BE140" s="19">
        <v>98106</v>
      </c>
      <c r="BF140" s="19">
        <v>98107</v>
      </c>
      <c r="BG140" s="19" t="s">
        <v>114</v>
      </c>
      <c r="BH140" s="19" t="s">
        <v>114</v>
      </c>
      <c r="BI140" s="19" t="s">
        <v>114</v>
      </c>
      <c r="BJ140" s="19" t="s">
        <v>114</v>
      </c>
      <c r="BK140" s="19" t="s">
        <v>114</v>
      </c>
      <c r="BL140" s="19">
        <v>98113</v>
      </c>
      <c r="BM140" s="19">
        <v>98114</v>
      </c>
      <c r="BN140" s="19" t="s">
        <v>114</v>
      </c>
      <c r="BO140" s="19">
        <v>98116</v>
      </c>
      <c r="BP140" s="19">
        <v>98117</v>
      </c>
      <c r="BQ140" s="19">
        <v>98118</v>
      </c>
      <c r="BR140" s="19" t="s">
        <v>114</v>
      </c>
      <c r="BS140" s="19">
        <v>98120</v>
      </c>
      <c r="BT140" s="19">
        <v>98121</v>
      </c>
      <c r="BU140" s="19" t="s">
        <v>114</v>
      </c>
      <c r="BV140" s="19" t="s">
        <v>114</v>
      </c>
      <c r="BW140" s="19" t="s">
        <v>114</v>
      </c>
      <c r="BX140" s="19" t="s">
        <v>114</v>
      </c>
      <c r="BY140" s="19">
        <v>98126</v>
      </c>
      <c r="BZ140" s="21" t="s">
        <v>114</v>
      </c>
      <c r="CA140" s="21" t="s">
        <v>114</v>
      </c>
      <c r="CB140" s="21" t="s">
        <v>114</v>
      </c>
      <c r="CC140" s="21" t="s">
        <v>114</v>
      </c>
      <c r="CD140" s="21" t="s">
        <v>114</v>
      </c>
      <c r="CE140" s="21" t="s">
        <v>114</v>
      </c>
      <c r="CF140" s="19" t="s">
        <v>114</v>
      </c>
      <c r="CG140" s="19" t="s">
        <v>114</v>
      </c>
      <c r="CH140" s="19" t="s">
        <v>114</v>
      </c>
      <c r="CI140" s="21" t="s">
        <v>114</v>
      </c>
      <c r="CJ140" s="21" t="s">
        <v>114</v>
      </c>
      <c r="CK140" s="21">
        <v>98405</v>
      </c>
      <c r="CL140" s="21" t="s">
        <v>114</v>
      </c>
      <c r="CM140" s="21" t="s">
        <v>114</v>
      </c>
      <c r="CN140" s="21" t="s">
        <v>114</v>
      </c>
      <c r="CO140" s="21" t="s">
        <v>114</v>
      </c>
      <c r="CP140" s="21" t="s">
        <v>114</v>
      </c>
      <c r="CQ140" s="21" t="s">
        <v>114</v>
      </c>
      <c r="CR140" s="21" t="s">
        <v>114</v>
      </c>
      <c r="CS140" s="21" t="s">
        <v>114</v>
      </c>
      <c r="CT140" s="21" t="s">
        <v>114</v>
      </c>
      <c r="CU140" s="21" t="s">
        <v>114</v>
      </c>
      <c r="CV140" s="21" t="s">
        <v>114</v>
      </c>
      <c r="CW140" s="21" t="s">
        <v>114</v>
      </c>
      <c r="CX140" s="21" t="s">
        <v>114</v>
      </c>
      <c r="CY140" s="21" t="s">
        <v>114</v>
      </c>
      <c r="CZ140" s="21" t="s">
        <v>114</v>
      </c>
      <c r="DA140" s="21" t="s">
        <v>114</v>
      </c>
      <c r="DB140" s="21" t="s">
        <v>114</v>
      </c>
      <c r="DC140" s="21" t="s">
        <v>114</v>
      </c>
      <c r="DD140" s="21" t="s">
        <v>114</v>
      </c>
      <c r="DE140" s="21" t="s">
        <v>114</v>
      </c>
      <c r="DF140" s="19" t="s">
        <v>114</v>
      </c>
      <c r="DG140" s="19" t="s">
        <v>114</v>
      </c>
      <c r="DH140" s="19" t="s">
        <v>114</v>
      </c>
      <c r="DI140" s="19" t="s">
        <v>114</v>
      </c>
      <c r="DJ140" s="19" t="s">
        <v>114</v>
      </c>
      <c r="DK140" s="19" t="s">
        <v>114</v>
      </c>
      <c r="DL140" s="19" t="s">
        <v>114</v>
      </c>
      <c r="DM140" s="19" t="s">
        <v>114</v>
      </c>
      <c r="DN140" s="19" t="s">
        <v>114</v>
      </c>
      <c r="DO140" s="19" t="s">
        <v>114</v>
      </c>
    </row>
    <row r="141" spans="1:119" hidden="1" x14ac:dyDescent="0.45">
      <c r="A141" s="2" t="s">
        <v>444</v>
      </c>
      <c r="B141" t="s">
        <v>445</v>
      </c>
      <c r="C141" s="2">
        <v>174</v>
      </c>
      <c r="D141" s="6">
        <v>113</v>
      </c>
      <c r="E141" s="2" t="s">
        <v>446</v>
      </c>
      <c r="F141" s="3" t="s">
        <v>2008</v>
      </c>
      <c r="G141" t="s">
        <v>2044</v>
      </c>
      <c r="H141" s="2" t="s">
        <v>447</v>
      </c>
      <c r="I141" s="2" t="s">
        <v>448</v>
      </c>
      <c r="J141" s="2">
        <v>2</v>
      </c>
      <c r="K141" t="s">
        <v>116</v>
      </c>
      <c r="L141" s="2">
        <v>202</v>
      </c>
      <c r="M141" t="s">
        <v>166</v>
      </c>
      <c r="N141">
        <v>14</v>
      </c>
      <c r="O141" t="s">
        <v>328</v>
      </c>
      <c r="P141" s="2" t="s">
        <v>116</v>
      </c>
      <c r="Q141" s="2" t="s">
        <v>166</v>
      </c>
      <c r="R141" s="2">
        <v>202</v>
      </c>
      <c r="S141" s="4" t="s">
        <v>166</v>
      </c>
      <c r="T141" s="2">
        <v>202</v>
      </c>
      <c r="U141" s="4" t="s">
        <v>166</v>
      </c>
      <c r="V141" t="s">
        <v>2457</v>
      </c>
      <c r="W141" t="s">
        <v>2457</v>
      </c>
      <c r="X141" t="s">
        <v>2440</v>
      </c>
      <c r="Y141" t="s">
        <v>328</v>
      </c>
      <c r="Z141" t="s">
        <v>328</v>
      </c>
      <c r="AA141" s="3" t="s">
        <v>328</v>
      </c>
      <c r="AB141" s="3" t="s">
        <v>2874</v>
      </c>
      <c r="AC141" s="2" t="s">
        <v>168</v>
      </c>
      <c r="AD141" s="2" t="s">
        <v>1890</v>
      </c>
      <c r="AE141" t="s">
        <v>104</v>
      </c>
      <c r="AF141" t="s">
        <v>1885</v>
      </c>
      <c r="AG141" t="s">
        <v>1884</v>
      </c>
      <c r="AH141" t="s">
        <v>105</v>
      </c>
      <c r="AI141" s="3" t="s">
        <v>105</v>
      </c>
      <c r="AJ141" s="3" t="s">
        <v>106</v>
      </c>
      <c r="AK141" s="3" t="s">
        <v>107</v>
      </c>
      <c r="AL141" s="5" t="s">
        <v>449</v>
      </c>
      <c r="AM141" s="5" t="s">
        <v>109</v>
      </c>
      <c r="AO141" t="s">
        <v>25</v>
      </c>
      <c r="AP141" s="3" t="s">
        <v>120</v>
      </c>
      <c r="AQ141" s="3" t="s">
        <v>27</v>
      </c>
      <c r="AR141" s="3" t="s">
        <v>112</v>
      </c>
      <c r="AS141" s="3" t="s">
        <v>112</v>
      </c>
      <c r="AT141" t="s">
        <v>191</v>
      </c>
      <c r="AU141" s="3" t="s">
        <v>2303</v>
      </c>
      <c r="AV141" s="3" t="s">
        <v>2302</v>
      </c>
      <c r="AW141" s="3" t="s">
        <v>2301</v>
      </c>
      <c r="AX141" s="3" t="s">
        <v>2006</v>
      </c>
      <c r="AY141" s="19">
        <v>98100</v>
      </c>
      <c r="AZ141" s="19" t="s">
        <v>114</v>
      </c>
      <c r="BA141" s="19">
        <v>98102</v>
      </c>
      <c r="BB141" s="19" t="s">
        <v>114</v>
      </c>
      <c r="BC141" s="19" t="s">
        <v>114</v>
      </c>
      <c r="BD141" s="19" t="s">
        <v>114</v>
      </c>
      <c r="BE141" s="19">
        <v>98106</v>
      </c>
      <c r="BF141" s="19" t="s">
        <v>114</v>
      </c>
      <c r="BG141" s="19" t="s">
        <v>114</v>
      </c>
      <c r="BH141" s="19" t="s">
        <v>114</v>
      </c>
      <c r="BI141" s="19">
        <v>98110</v>
      </c>
      <c r="BJ141" s="19" t="s">
        <v>114</v>
      </c>
      <c r="BK141" s="19">
        <v>98112</v>
      </c>
      <c r="BL141" s="19">
        <v>98113</v>
      </c>
      <c r="BM141" s="19" t="s">
        <v>114</v>
      </c>
      <c r="BN141" s="19">
        <v>98115</v>
      </c>
      <c r="BO141" s="19" t="s">
        <v>114</v>
      </c>
      <c r="BP141" s="19" t="s">
        <v>114</v>
      </c>
      <c r="BQ141" s="19">
        <v>98118</v>
      </c>
      <c r="BR141" s="19" t="s">
        <v>114</v>
      </c>
      <c r="BS141" s="19">
        <v>98120</v>
      </c>
      <c r="BT141" s="19">
        <v>98121</v>
      </c>
      <c r="BU141" s="19" t="s">
        <v>114</v>
      </c>
      <c r="BV141" s="19" t="s">
        <v>114</v>
      </c>
      <c r="BW141" s="19" t="s">
        <v>114</v>
      </c>
      <c r="BX141" s="19">
        <v>98125</v>
      </c>
      <c r="BY141" s="19">
        <v>98126</v>
      </c>
      <c r="BZ141" s="21" t="s">
        <v>114</v>
      </c>
      <c r="CA141" s="21" t="s">
        <v>114</v>
      </c>
      <c r="CB141" s="21" t="s">
        <v>114</v>
      </c>
      <c r="CC141" s="21" t="s">
        <v>114</v>
      </c>
      <c r="CD141" s="21" t="s">
        <v>114</v>
      </c>
      <c r="CE141" s="21" t="s">
        <v>114</v>
      </c>
      <c r="CF141" s="19" t="s">
        <v>114</v>
      </c>
      <c r="CG141" s="19" t="s">
        <v>114</v>
      </c>
      <c r="CH141" s="19" t="s">
        <v>114</v>
      </c>
      <c r="CI141" s="21" t="s">
        <v>114</v>
      </c>
      <c r="CJ141" s="21" t="s">
        <v>114</v>
      </c>
      <c r="CK141" s="21">
        <v>98405</v>
      </c>
      <c r="CL141" s="21" t="s">
        <v>114</v>
      </c>
      <c r="CM141" s="21" t="s">
        <v>114</v>
      </c>
      <c r="CN141" s="21" t="s">
        <v>114</v>
      </c>
      <c r="CO141" s="21" t="s">
        <v>114</v>
      </c>
      <c r="CP141" s="21" t="s">
        <v>114</v>
      </c>
      <c r="CQ141" s="21" t="s">
        <v>114</v>
      </c>
      <c r="CR141" s="21" t="s">
        <v>114</v>
      </c>
      <c r="CS141" s="21" t="s">
        <v>114</v>
      </c>
      <c r="CT141" s="21" t="s">
        <v>114</v>
      </c>
      <c r="CU141" s="21" t="s">
        <v>114</v>
      </c>
      <c r="CV141" s="21" t="s">
        <v>114</v>
      </c>
      <c r="CW141" s="21" t="s">
        <v>114</v>
      </c>
      <c r="CX141" s="21" t="s">
        <v>114</v>
      </c>
      <c r="CY141" s="21" t="s">
        <v>114</v>
      </c>
      <c r="CZ141" s="21" t="s">
        <v>114</v>
      </c>
      <c r="DA141" s="21" t="s">
        <v>114</v>
      </c>
      <c r="DB141" s="21" t="s">
        <v>114</v>
      </c>
      <c r="DC141" s="21" t="s">
        <v>114</v>
      </c>
      <c r="DD141" s="21" t="s">
        <v>114</v>
      </c>
      <c r="DE141" s="21" t="s">
        <v>114</v>
      </c>
      <c r="DF141" s="19" t="s">
        <v>114</v>
      </c>
      <c r="DG141" s="19">
        <v>98501</v>
      </c>
      <c r="DH141" s="19" t="s">
        <v>114</v>
      </c>
      <c r="DI141" s="19" t="s">
        <v>114</v>
      </c>
      <c r="DJ141" s="19" t="s">
        <v>114</v>
      </c>
      <c r="DK141" s="19">
        <v>98505</v>
      </c>
      <c r="DL141" s="19" t="s">
        <v>114</v>
      </c>
      <c r="DM141" s="19" t="s">
        <v>114</v>
      </c>
      <c r="DN141" s="19">
        <v>98508</v>
      </c>
      <c r="DO141" s="19" t="s">
        <v>114</v>
      </c>
    </row>
    <row r="142" spans="1:119" hidden="1" x14ac:dyDescent="0.45">
      <c r="A142" s="2" t="s">
        <v>511</v>
      </c>
      <c r="B142" t="s">
        <v>512</v>
      </c>
      <c r="C142" s="2">
        <v>262</v>
      </c>
      <c r="D142" s="6">
        <v>117</v>
      </c>
      <c r="E142" s="2" t="s">
        <v>513</v>
      </c>
      <c r="F142" t="s">
        <v>513</v>
      </c>
      <c r="G142" t="s">
        <v>2055</v>
      </c>
      <c r="H142" s="2" t="s">
        <v>513</v>
      </c>
      <c r="I142" s="2" t="s">
        <v>513</v>
      </c>
      <c r="J142" s="2">
        <v>2</v>
      </c>
      <c r="K142" t="s">
        <v>116</v>
      </c>
      <c r="L142" s="2">
        <v>202</v>
      </c>
      <c r="M142" t="s">
        <v>166</v>
      </c>
      <c r="N142">
        <v>14</v>
      </c>
      <c r="O142" t="s">
        <v>328</v>
      </c>
      <c r="P142" s="2" t="s">
        <v>116</v>
      </c>
      <c r="Q142" s="2" t="s">
        <v>146</v>
      </c>
      <c r="R142" s="2">
        <v>202</v>
      </c>
      <c r="S142" s="4" t="s">
        <v>166</v>
      </c>
      <c r="T142" s="2">
        <v>202</v>
      </c>
      <c r="U142" s="4" t="s">
        <v>166</v>
      </c>
      <c r="V142" t="s">
        <v>2457</v>
      </c>
      <c r="W142" t="s">
        <v>2457</v>
      </c>
      <c r="X142" t="s">
        <v>2440</v>
      </c>
      <c r="Y142" t="s">
        <v>328</v>
      </c>
      <c r="Z142" t="s">
        <v>328</v>
      </c>
      <c r="AA142" s="3" t="s">
        <v>328</v>
      </c>
      <c r="AB142" s="3" t="s">
        <v>2874</v>
      </c>
      <c r="AC142" s="2" t="s">
        <v>168</v>
      </c>
      <c r="AD142" s="4" t="s">
        <v>1891</v>
      </c>
      <c r="AE142" t="s">
        <v>104</v>
      </c>
      <c r="AF142" t="s">
        <v>1885</v>
      </c>
      <c r="AG142" t="s">
        <v>1884</v>
      </c>
      <c r="AH142" t="s">
        <v>105</v>
      </c>
      <c r="AI142" s="3" t="s">
        <v>105</v>
      </c>
      <c r="AJ142" s="3" t="s">
        <v>106</v>
      </c>
      <c r="AK142" s="3" t="s">
        <v>107</v>
      </c>
      <c r="AL142" s="5" t="s">
        <v>514</v>
      </c>
      <c r="AM142" s="5" t="s">
        <v>109</v>
      </c>
      <c r="AN142" t="s">
        <v>110</v>
      </c>
      <c r="AO142" t="s">
        <v>25</v>
      </c>
      <c r="AP142" s="3" t="s">
        <v>120</v>
      </c>
      <c r="AQ142" s="3" t="s">
        <v>111</v>
      </c>
      <c r="AR142" s="3" t="s">
        <v>112</v>
      </c>
      <c r="AS142" s="3" t="s">
        <v>112</v>
      </c>
      <c r="AT142" s="3" t="s">
        <v>113</v>
      </c>
      <c r="AU142" s="3" t="s">
        <v>2303</v>
      </c>
      <c r="AV142" s="3" t="s">
        <v>2302</v>
      </c>
      <c r="AW142" s="3" t="s">
        <v>2301</v>
      </c>
      <c r="AX142" s="3" t="s">
        <v>2006</v>
      </c>
      <c r="AY142" s="19">
        <v>98100</v>
      </c>
      <c r="AZ142" s="19" t="s">
        <v>114</v>
      </c>
      <c r="BA142" s="19">
        <v>98102</v>
      </c>
      <c r="BB142" s="19" t="s">
        <v>114</v>
      </c>
      <c r="BC142" s="19" t="s">
        <v>114</v>
      </c>
      <c r="BD142" s="19" t="s">
        <v>114</v>
      </c>
      <c r="BE142" s="19">
        <v>98106</v>
      </c>
      <c r="BF142" s="19" t="s">
        <v>114</v>
      </c>
      <c r="BG142" s="19" t="s">
        <v>114</v>
      </c>
      <c r="BH142" s="19">
        <v>98109</v>
      </c>
      <c r="BI142" s="19" t="s">
        <v>114</v>
      </c>
      <c r="BJ142" s="19" t="s">
        <v>114</v>
      </c>
      <c r="BK142" s="19">
        <v>98112</v>
      </c>
      <c r="BL142" s="19">
        <v>98113</v>
      </c>
      <c r="BM142" s="19" t="s">
        <v>114</v>
      </c>
      <c r="BN142" s="19" t="s">
        <v>114</v>
      </c>
      <c r="BO142" s="19" t="s">
        <v>114</v>
      </c>
      <c r="BP142" s="19" t="s">
        <v>114</v>
      </c>
      <c r="BQ142" s="19">
        <v>98118</v>
      </c>
      <c r="BR142" s="19">
        <v>98119</v>
      </c>
      <c r="BS142" s="19">
        <v>98120</v>
      </c>
      <c r="BT142" s="19">
        <v>98121</v>
      </c>
      <c r="BU142" s="19" t="s">
        <v>114</v>
      </c>
      <c r="BV142" s="19" t="s">
        <v>114</v>
      </c>
      <c r="BW142" s="19" t="s">
        <v>114</v>
      </c>
      <c r="BX142" s="19" t="s">
        <v>114</v>
      </c>
      <c r="BY142" s="19">
        <v>98126</v>
      </c>
      <c r="BZ142" s="21" t="s">
        <v>114</v>
      </c>
      <c r="CA142" s="21" t="s">
        <v>114</v>
      </c>
      <c r="CB142" s="21" t="s">
        <v>114</v>
      </c>
      <c r="CC142" s="21" t="s">
        <v>114</v>
      </c>
      <c r="CD142" s="21" t="s">
        <v>114</v>
      </c>
      <c r="CE142" s="21" t="s">
        <v>114</v>
      </c>
      <c r="CF142" s="19" t="s">
        <v>114</v>
      </c>
      <c r="CG142" s="19" t="s">
        <v>114</v>
      </c>
      <c r="CH142" s="19" t="s">
        <v>114</v>
      </c>
      <c r="CI142" s="21" t="s">
        <v>114</v>
      </c>
      <c r="CJ142" s="21" t="s">
        <v>114</v>
      </c>
      <c r="CK142" s="21">
        <v>98405</v>
      </c>
      <c r="CL142" s="21" t="s">
        <v>114</v>
      </c>
      <c r="CM142" s="21" t="s">
        <v>114</v>
      </c>
      <c r="CN142" s="21" t="s">
        <v>114</v>
      </c>
      <c r="CO142" s="21" t="s">
        <v>114</v>
      </c>
      <c r="CP142" s="21" t="s">
        <v>114</v>
      </c>
      <c r="CQ142" s="21" t="s">
        <v>114</v>
      </c>
      <c r="CR142" s="21" t="s">
        <v>114</v>
      </c>
      <c r="CS142" s="21" t="s">
        <v>114</v>
      </c>
      <c r="CT142" s="21" t="s">
        <v>114</v>
      </c>
      <c r="CU142" s="21" t="s">
        <v>114</v>
      </c>
      <c r="CV142" s="21" t="s">
        <v>114</v>
      </c>
      <c r="CW142" s="21" t="s">
        <v>114</v>
      </c>
      <c r="CX142" s="21" t="s">
        <v>114</v>
      </c>
      <c r="CY142" s="21" t="s">
        <v>114</v>
      </c>
      <c r="CZ142" s="21" t="s">
        <v>114</v>
      </c>
      <c r="DA142" s="21" t="s">
        <v>114</v>
      </c>
      <c r="DB142" s="21" t="s">
        <v>114</v>
      </c>
      <c r="DC142" s="21" t="s">
        <v>114</v>
      </c>
      <c r="DD142" s="21" t="s">
        <v>114</v>
      </c>
      <c r="DE142" s="21" t="s">
        <v>114</v>
      </c>
      <c r="DF142" s="19" t="s">
        <v>114</v>
      </c>
      <c r="DG142" s="19">
        <v>98501</v>
      </c>
      <c r="DH142" s="19" t="s">
        <v>114</v>
      </c>
      <c r="DI142" s="19" t="s">
        <v>114</v>
      </c>
      <c r="DJ142" s="19" t="s">
        <v>114</v>
      </c>
      <c r="DK142" s="19">
        <v>98505</v>
      </c>
      <c r="DL142" s="19" t="s">
        <v>114</v>
      </c>
      <c r="DM142" s="19" t="s">
        <v>114</v>
      </c>
      <c r="DN142" s="19">
        <v>98508</v>
      </c>
      <c r="DO142" s="19" t="s">
        <v>114</v>
      </c>
    </row>
    <row r="143" spans="1:119" hidden="1" x14ac:dyDescent="0.45">
      <c r="A143" s="2" t="s">
        <v>545</v>
      </c>
      <c r="B143" t="s">
        <v>546</v>
      </c>
      <c r="C143" s="2">
        <v>232</v>
      </c>
      <c r="D143" s="6">
        <v>120</v>
      </c>
      <c r="E143" s="2" t="s">
        <v>547</v>
      </c>
      <c r="F143" t="s">
        <v>547</v>
      </c>
      <c r="G143" t="s">
        <v>2062</v>
      </c>
      <c r="H143" s="2" t="s">
        <v>548</v>
      </c>
      <c r="I143" s="2" t="s">
        <v>547</v>
      </c>
      <c r="J143" s="2">
        <v>2</v>
      </c>
      <c r="K143" t="s">
        <v>116</v>
      </c>
      <c r="L143" s="2">
        <v>202</v>
      </c>
      <c r="M143" t="s">
        <v>166</v>
      </c>
      <c r="N143">
        <v>14</v>
      </c>
      <c r="O143" t="s">
        <v>328</v>
      </c>
      <c r="P143" s="2" t="s">
        <v>116</v>
      </c>
      <c r="Q143" s="2" t="s">
        <v>166</v>
      </c>
      <c r="R143" s="2">
        <v>202</v>
      </c>
      <c r="S143" s="4" t="s">
        <v>166</v>
      </c>
      <c r="T143" s="2">
        <v>202</v>
      </c>
      <c r="U143" s="4" t="s">
        <v>166</v>
      </c>
      <c r="V143" t="s">
        <v>2457</v>
      </c>
      <c r="W143" t="s">
        <v>2457</v>
      </c>
      <c r="X143" t="s">
        <v>2440</v>
      </c>
      <c r="Y143" t="s">
        <v>328</v>
      </c>
      <c r="Z143" t="s">
        <v>328</v>
      </c>
      <c r="AA143" s="3" t="s">
        <v>328</v>
      </c>
      <c r="AB143" s="3" t="s">
        <v>2874</v>
      </c>
      <c r="AC143" s="2" t="s">
        <v>103</v>
      </c>
      <c r="AD143" s="2" t="s">
        <v>1890</v>
      </c>
      <c r="AE143" t="s">
        <v>104</v>
      </c>
      <c r="AF143" t="s">
        <v>1885</v>
      </c>
      <c r="AG143" t="s">
        <v>1884</v>
      </c>
      <c r="AH143" t="s">
        <v>105</v>
      </c>
      <c r="AI143" s="3" t="s">
        <v>105</v>
      </c>
      <c r="AJ143" s="3" t="s">
        <v>106</v>
      </c>
      <c r="AK143" s="3" t="s">
        <v>107</v>
      </c>
      <c r="AL143" s="5" t="s">
        <v>549</v>
      </c>
      <c r="AM143" s="5" t="s">
        <v>109</v>
      </c>
      <c r="AO143" t="s">
        <v>25</v>
      </c>
      <c r="AP143" s="3" t="s">
        <v>120</v>
      </c>
      <c r="AQ143" s="3" t="s">
        <v>111</v>
      </c>
      <c r="AR143" s="3" t="s">
        <v>112</v>
      </c>
      <c r="AS143" s="3" t="s">
        <v>112</v>
      </c>
      <c r="AT143" s="3" t="s">
        <v>113</v>
      </c>
      <c r="AU143" s="3" t="s">
        <v>2303</v>
      </c>
      <c r="AV143" s="3" t="s">
        <v>2302</v>
      </c>
      <c r="AW143" s="3" t="s">
        <v>2301</v>
      </c>
      <c r="AX143" s="3" t="s">
        <v>2006</v>
      </c>
      <c r="AY143" s="19">
        <v>98100</v>
      </c>
      <c r="AZ143" s="19" t="s">
        <v>114</v>
      </c>
      <c r="BA143" s="19">
        <v>98102</v>
      </c>
      <c r="BB143" s="19" t="s">
        <v>114</v>
      </c>
      <c r="BC143" s="19" t="s">
        <v>114</v>
      </c>
      <c r="BD143" s="19" t="s">
        <v>114</v>
      </c>
      <c r="BE143" s="19">
        <v>98106</v>
      </c>
      <c r="BF143" s="19" t="s">
        <v>114</v>
      </c>
      <c r="BG143" s="19" t="s">
        <v>114</v>
      </c>
      <c r="BH143" s="19">
        <v>98109</v>
      </c>
      <c r="BI143" s="19" t="s">
        <v>114</v>
      </c>
      <c r="BJ143" s="19" t="s">
        <v>114</v>
      </c>
      <c r="BK143" s="19">
        <v>98112</v>
      </c>
      <c r="BL143" s="19">
        <v>98113</v>
      </c>
      <c r="BM143" s="19" t="s">
        <v>114</v>
      </c>
      <c r="BN143" s="19" t="s">
        <v>114</v>
      </c>
      <c r="BO143" s="19" t="s">
        <v>114</v>
      </c>
      <c r="BP143" s="19" t="s">
        <v>114</v>
      </c>
      <c r="BQ143" s="19">
        <v>98118</v>
      </c>
      <c r="BR143" s="19" t="s">
        <v>114</v>
      </c>
      <c r="BS143" s="19">
        <v>98120</v>
      </c>
      <c r="BT143" s="19">
        <v>98121</v>
      </c>
      <c r="BU143" s="19" t="s">
        <v>114</v>
      </c>
      <c r="BV143" s="19" t="s">
        <v>114</v>
      </c>
      <c r="BW143" s="19" t="s">
        <v>114</v>
      </c>
      <c r="BX143" s="19" t="s">
        <v>114</v>
      </c>
      <c r="BY143" s="19">
        <v>98126</v>
      </c>
      <c r="BZ143" s="21" t="s">
        <v>114</v>
      </c>
      <c r="CA143" s="21" t="s">
        <v>114</v>
      </c>
      <c r="CB143" s="21" t="s">
        <v>114</v>
      </c>
      <c r="CC143" s="21" t="s">
        <v>114</v>
      </c>
      <c r="CD143" s="21" t="s">
        <v>114</v>
      </c>
      <c r="CE143" s="21" t="s">
        <v>114</v>
      </c>
      <c r="CF143" s="19" t="s">
        <v>114</v>
      </c>
      <c r="CG143" s="19" t="s">
        <v>114</v>
      </c>
      <c r="CH143" s="19" t="s">
        <v>114</v>
      </c>
      <c r="CI143" s="21" t="s">
        <v>114</v>
      </c>
      <c r="CJ143" s="21" t="s">
        <v>114</v>
      </c>
      <c r="CK143" s="21">
        <v>98405</v>
      </c>
      <c r="CL143" s="21" t="s">
        <v>114</v>
      </c>
      <c r="CM143" s="21" t="s">
        <v>114</v>
      </c>
      <c r="CN143" s="21" t="s">
        <v>114</v>
      </c>
      <c r="CO143" s="21" t="s">
        <v>114</v>
      </c>
      <c r="CP143" s="21" t="s">
        <v>114</v>
      </c>
      <c r="CQ143" s="21" t="s">
        <v>114</v>
      </c>
      <c r="CR143" s="21" t="s">
        <v>114</v>
      </c>
      <c r="CS143" s="21" t="s">
        <v>114</v>
      </c>
      <c r="CT143" s="21" t="s">
        <v>114</v>
      </c>
      <c r="CU143" s="21" t="s">
        <v>114</v>
      </c>
      <c r="CV143" s="21" t="s">
        <v>114</v>
      </c>
      <c r="CW143" s="21" t="s">
        <v>114</v>
      </c>
      <c r="CX143" s="21" t="s">
        <v>114</v>
      </c>
      <c r="CY143" s="21" t="s">
        <v>114</v>
      </c>
      <c r="CZ143" s="21" t="s">
        <v>114</v>
      </c>
      <c r="DA143" s="21" t="s">
        <v>114</v>
      </c>
      <c r="DB143" s="21" t="s">
        <v>114</v>
      </c>
      <c r="DC143" s="21" t="s">
        <v>114</v>
      </c>
      <c r="DD143" s="21" t="s">
        <v>114</v>
      </c>
      <c r="DE143" s="21" t="s">
        <v>114</v>
      </c>
      <c r="DF143" s="19" t="s">
        <v>114</v>
      </c>
      <c r="DG143" s="19" t="s">
        <v>114</v>
      </c>
      <c r="DH143" s="19" t="s">
        <v>114</v>
      </c>
      <c r="DI143" s="19" t="s">
        <v>114</v>
      </c>
      <c r="DJ143" s="19" t="s">
        <v>114</v>
      </c>
      <c r="DK143" s="19" t="s">
        <v>114</v>
      </c>
      <c r="DL143" s="19" t="s">
        <v>114</v>
      </c>
      <c r="DM143" s="19" t="s">
        <v>114</v>
      </c>
      <c r="DN143" s="19" t="s">
        <v>114</v>
      </c>
      <c r="DO143" s="19" t="s">
        <v>114</v>
      </c>
    </row>
    <row r="144" spans="1:119" hidden="1" x14ac:dyDescent="0.45">
      <c r="A144" s="2" t="s">
        <v>558</v>
      </c>
      <c r="B144" t="s">
        <v>559</v>
      </c>
      <c r="C144" s="2">
        <v>231</v>
      </c>
      <c r="D144" s="6">
        <v>122</v>
      </c>
      <c r="E144" s="2" t="s">
        <v>560</v>
      </c>
      <c r="F144" t="s">
        <v>560</v>
      </c>
      <c r="G144" t="s">
        <v>2065</v>
      </c>
      <c r="H144" s="2" t="s">
        <v>561</v>
      </c>
      <c r="I144" s="2" t="s">
        <v>562</v>
      </c>
      <c r="J144" s="2">
        <v>2</v>
      </c>
      <c r="K144" t="s">
        <v>116</v>
      </c>
      <c r="L144" s="2">
        <v>202</v>
      </c>
      <c r="M144" t="s">
        <v>166</v>
      </c>
      <c r="N144">
        <v>14</v>
      </c>
      <c r="O144" t="s">
        <v>328</v>
      </c>
      <c r="P144" s="2" t="s">
        <v>116</v>
      </c>
      <c r="Q144" s="2" t="s">
        <v>166</v>
      </c>
      <c r="R144" s="2">
        <v>202</v>
      </c>
      <c r="S144" s="4" t="s">
        <v>166</v>
      </c>
      <c r="T144" s="2">
        <v>202</v>
      </c>
      <c r="U144" s="4" t="s">
        <v>166</v>
      </c>
      <c r="V144" t="s">
        <v>2457</v>
      </c>
      <c r="W144" t="s">
        <v>2457</v>
      </c>
      <c r="X144" t="s">
        <v>2440</v>
      </c>
      <c r="Y144" t="s">
        <v>328</v>
      </c>
      <c r="Z144" t="s">
        <v>328</v>
      </c>
      <c r="AA144" s="3" t="s">
        <v>328</v>
      </c>
      <c r="AB144" s="3" t="s">
        <v>2874</v>
      </c>
      <c r="AC144" s="2" t="s">
        <v>103</v>
      </c>
      <c r="AD144" s="2" t="s">
        <v>1890</v>
      </c>
      <c r="AE144" t="s">
        <v>104</v>
      </c>
      <c r="AF144" t="s">
        <v>1885</v>
      </c>
      <c r="AG144" t="s">
        <v>1884</v>
      </c>
      <c r="AH144" t="s">
        <v>105</v>
      </c>
      <c r="AI144" s="3" t="s">
        <v>105</v>
      </c>
      <c r="AJ144" s="3" t="s">
        <v>106</v>
      </c>
      <c r="AK144" s="3" t="s">
        <v>107</v>
      </c>
      <c r="AL144" s="5" t="s">
        <v>563</v>
      </c>
      <c r="AM144" s="5" t="s">
        <v>109</v>
      </c>
      <c r="AN144" t="s">
        <v>110</v>
      </c>
      <c r="AO144" t="s">
        <v>25</v>
      </c>
      <c r="AP144" s="3" t="s">
        <v>26</v>
      </c>
      <c r="AQ144" s="3" t="s">
        <v>111</v>
      </c>
      <c r="AR144" s="3" t="s">
        <v>112</v>
      </c>
      <c r="AS144" s="3" t="s">
        <v>112</v>
      </c>
      <c r="AT144" s="3" t="s">
        <v>113</v>
      </c>
      <c r="AU144" s="3" t="s">
        <v>2303</v>
      </c>
      <c r="AV144" s="3" t="s">
        <v>2302</v>
      </c>
      <c r="AW144" s="3" t="s">
        <v>2301</v>
      </c>
      <c r="AX144" s="3" t="s">
        <v>2006</v>
      </c>
      <c r="AY144" s="19">
        <v>98100</v>
      </c>
      <c r="AZ144" s="19" t="s">
        <v>114</v>
      </c>
      <c r="BA144" s="19">
        <v>98102</v>
      </c>
      <c r="BB144" s="19" t="s">
        <v>114</v>
      </c>
      <c r="BC144" s="19" t="s">
        <v>114</v>
      </c>
      <c r="BD144" s="19" t="s">
        <v>114</v>
      </c>
      <c r="BE144" s="19">
        <v>98106</v>
      </c>
      <c r="BF144" s="19" t="s">
        <v>114</v>
      </c>
      <c r="BG144" s="19" t="s">
        <v>114</v>
      </c>
      <c r="BH144" s="19">
        <v>98109</v>
      </c>
      <c r="BI144" s="19" t="s">
        <v>114</v>
      </c>
      <c r="BJ144" s="19" t="s">
        <v>114</v>
      </c>
      <c r="BK144" s="19" t="s">
        <v>114</v>
      </c>
      <c r="BL144" s="19">
        <v>98113</v>
      </c>
      <c r="BM144" s="19" t="s">
        <v>114</v>
      </c>
      <c r="BN144" s="19" t="s">
        <v>114</v>
      </c>
      <c r="BO144" s="19">
        <v>98116</v>
      </c>
      <c r="BP144" s="19">
        <v>98117</v>
      </c>
      <c r="BQ144" s="19">
        <v>98118</v>
      </c>
      <c r="BR144" s="19" t="s">
        <v>114</v>
      </c>
      <c r="BS144" s="19">
        <v>98120</v>
      </c>
      <c r="BT144" s="19">
        <v>98121</v>
      </c>
      <c r="BU144" s="19" t="s">
        <v>114</v>
      </c>
      <c r="BV144" s="19" t="s">
        <v>114</v>
      </c>
      <c r="BW144" s="19" t="s">
        <v>114</v>
      </c>
      <c r="BX144" s="19" t="s">
        <v>114</v>
      </c>
      <c r="BY144" s="19">
        <v>98126</v>
      </c>
      <c r="BZ144" s="21" t="s">
        <v>114</v>
      </c>
      <c r="CA144" s="21" t="s">
        <v>114</v>
      </c>
      <c r="CB144" s="21" t="s">
        <v>114</v>
      </c>
      <c r="CC144" s="21" t="s">
        <v>114</v>
      </c>
      <c r="CD144" s="21" t="s">
        <v>114</v>
      </c>
      <c r="CE144" s="21" t="s">
        <v>114</v>
      </c>
      <c r="CF144" s="19" t="s">
        <v>114</v>
      </c>
      <c r="CG144" s="19" t="s">
        <v>114</v>
      </c>
      <c r="CH144" s="19" t="s">
        <v>114</v>
      </c>
      <c r="CI144" s="21" t="s">
        <v>114</v>
      </c>
      <c r="CJ144" s="21" t="s">
        <v>114</v>
      </c>
      <c r="CK144" s="21">
        <v>98405</v>
      </c>
      <c r="CL144" s="21" t="s">
        <v>114</v>
      </c>
      <c r="CM144" s="21" t="s">
        <v>114</v>
      </c>
      <c r="CN144" s="21" t="s">
        <v>114</v>
      </c>
      <c r="CO144" s="21" t="s">
        <v>114</v>
      </c>
      <c r="CP144" s="21" t="s">
        <v>114</v>
      </c>
      <c r="CQ144" s="21" t="s">
        <v>114</v>
      </c>
      <c r="CR144" s="21" t="s">
        <v>114</v>
      </c>
      <c r="CS144" s="21" t="s">
        <v>114</v>
      </c>
      <c r="CT144" s="21" t="s">
        <v>114</v>
      </c>
      <c r="CU144" s="21" t="s">
        <v>114</v>
      </c>
      <c r="CV144" s="21" t="s">
        <v>114</v>
      </c>
      <c r="CW144" s="21" t="s">
        <v>114</v>
      </c>
      <c r="CX144" s="21" t="s">
        <v>114</v>
      </c>
      <c r="CY144" s="21" t="s">
        <v>114</v>
      </c>
      <c r="CZ144" s="21" t="s">
        <v>114</v>
      </c>
      <c r="DA144" s="21" t="s">
        <v>114</v>
      </c>
      <c r="DB144" s="21" t="s">
        <v>114</v>
      </c>
      <c r="DC144" s="21" t="s">
        <v>114</v>
      </c>
      <c r="DD144" s="21" t="s">
        <v>114</v>
      </c>
      <c r="DE144" s="21" t="s">
        <v>114</v>
      </c>
      <c r="DF144" s="19" t="s">
        <v>114</v>
      </c>
      <c r="DG144" s="19" t="s">
        <v>114</v>
      </c>
      <c r="DH144" s="19" t="s">
        <v>114</v>
      </c>
      <c r="DI144" s="19" t="s">
        <v>114</v>
      </c>
      <c r="DJ144" s="19" t="s">
        <v>114</v>
      </c>
      <c r="DK144" s="19" t="s">
        <v>114</v>
      </c>
      <c r="DL144" s="19" t="s">
        <v>114</v>
      </c>
      <c r="DM144" s="19" t="s">
        <v>114</v>
      </c>
      <c r="DN144" s="19" t="s">
        <v>114</v>
      </c>
      <c r="DO144" s="19" t="s">
        <v>114</v>
      </c>
    </row>
    <row r="145" spans="1:119" hidden="1" x14ac:dyDescent="0.45">
      <c r="A145" s="2" t="s">
        <v>610</v>
      </c>
      <c r="B145" t="s">
        <v>611</v>
      </c>
      <c r="C145" s="2">
        <v>260</v>
      </c>
      <c r="D145" s="6">
        <v>123</v>
      </c>
      <c r="E145" s="2" t="s">
        <v>1650</v>
      </c>
      <c r="F145" t="s">
        <v>613</v>
      </c>
      <c r="H145" s="2" t="s">
        <v>614</v>
      </c>
      <c r="I145" s="2" t="s">
        <v>615</v>
      </c>
      <c r="J145" s="2">
        <v>2</v>
      </c>
      <c r="K145" t="s">
        <v>116</v>
      </c>
      <c r="L145" s="2">
        <v>202</v>
      </c>
      <c r="M145" t="s">
        <v>166</v>
      </c>
      <c r="N145">
        <v>14</v>
      </c>
      <c r="O145" t="s">
        <v>328</v>
      </c>
      <c r="P145" s="2" t="s">
        <v>116</v>
      </c>
      <c r="Q145" s="2" t="s">
        <v>166</v>
      </c>
      <c r="R145" s="2">
        <v>202</v>
      </c>
      <c r="S145" s="4" t="s">
        <v>166</v>
      </c>
      <c r="T145" s="2">
        <v>202</v>
      </c>
      <c r="U145" s="4" t="s">
        <v>166</v>
      </c>
      <c r="V145" t="e">
        <v>#N/A</v>
      </c>
      <c r="W145" t="e">
        <v>#N/A</v>
      </c>
      <c r="X145" t="s">
        <v>2440</v>
      </c>
      <c r="Y145" t="s">
        <v>328</v>
      </c>
      <c r="Z145" t="s">
        <v>328</v>
      </c>
      <c r="AA145" s="3" t="s">
        <v>328</v>
      </c>
      <c r="AB145" s="3" t="s">
        <v>2874</v>
      </c>
      <c r="AC145" s="2" t="s">
        <v>1888</v>
      </c>
      <c r="AD145" s="2" t="s">
        <v>1888</v>
      </c>
      <c r="AE145" t="s">
        <v>104</v>
      </c>
      <c r="AF145" t="s">
        <v>1886</v>
      </c>
      <c r="AG145" s="3" t="s">
        <v>1887</v>
      </c>
      <c r="AH145" t="s">
        <v>105</v>
      </c>
      <c r="AI145" s="3" t="s">
        <v>105</v>
      </c>
      <c r="AJ145" s="3" t="s">
        <v>106</v>
      </c>
      <c r="AK145" s="3" t="s">
        <v>107</v>
      </c>
      <c r="AL145" s="5" t="s">
        <v>132</v>
      </c>
      <c r="AM145" s="5" t="s">
        <v>109</v>
      </c>
      <c r="AO145" s="3" t="s">
        <v>119</v>
      </c>
      <c r="AP145" s="3" t="s">
        <v>120</v>
      </c>
      <c r="AQ145" s="3" t="s">
        <v>111</v>
      </c>
      <c r="AR145" s="3" t="s">
        <v>112</v>
      </c>
      <c r="AS145" s="3" t="s">
        <v>112</v>
      </c>
      <c r="AT145" s="3" t="s">
        <v>113</v>
      </c>
      <c r="AU145" s="3" t="s">
        <v>2303</v>
      </c>
      <c r="AV145" s="3" t="s">
        <v>2302</v>
      </c>
      <c r="AW145" s="3" t="s">
        <v>2301</v>
      </c>
      <c r="AX145" t="s">
        <v>282</v>
      </c>
      <c r="AY145" s="19" t="s">
        <v>114</v>
      </c>
      <c r="AZ145" s="19" t="s">
        <v>114</v>
      </c>
      <c r="BA145" s="19" t="s">
        <v>114</v>
      </c>
      <c r="BB145" s="19" t="s">
        <v>114</v>
      </c>
      <c r="BC145" s="19" t="s">
        <v>114</v>
      </c>
      <c r="BD145" s="19" t="s">
        <v>114</v>
      </c>
      <c r="BE145" s="19" t="s">
        <v>114</v>
      </c>
      <c r="BF145" s="19" t="s">
        <v>114</v>
      </c>
      <c r="BG145" s="19" t="s">
        <v>114</v>
      </c>
      <c r="BH145" s="19" t="s">
        <v>114</v>
      </c>
      <c r="BI145" s="19" t="s">
        <v>114</v>
      </c>
      <c r="BJ145" s="19" t="s">
        <v>114</v>
      </c>
      <c r="BK145" s="19" t="s">
        <v>114</v>
      </c>
      <c r="BL145" s="19" t="s">
        <v>114</v>
      </c>
      <c r="BM145" s="19" t="s">
        <v>114</v>
      </c>
      <c r="BN145" s="19" t="s">
        <v>114</v>
      </c>
      <c r="BO145" s="19" t="s">
        <v>114</v>
      </c>
      <c r="BP145" s="19" t="s">
        <v>114</v>
      </c>
      <c r="BQ145" s="19" t="s">
        <v>114</v>
      </c>
      <c r="BR145" s="19" t="s">
        <v>114</v>
      </c>
      <c r="BS145" s="19" t="s">
        <v>114</v>
      </c>
      <c r="BT145" s="19" t="s">
        <v>114</v>
      </c>
      <c r="BU145" s="19" t="s">
        <v>114</v>
      </c>
      <c r="BV145" s="19" t="s">
        <v>114</v>
      </c>
      <c r="BW145" s="19" t="s">
        <v>114</v>
      </c>
      <c r="BX145" s="19" t="s">
        <v>114</v>
      </c>
      <c r="BY145" s="19" t="s">
        <v>114</v>
      </c>
      <c r="BZ145" s="21" t="s">
        <v>114</v>
      </c>
      <c r="CA145" s="21" t="s">
        <v>114</v>
      </c>
      <c r="CB145" s="21" t="s">
        <v>114</v>
      </c>
      <c r="CC145" s="21" t="s">
        <v>114</v>
      </c>
      <c r="CD145" s="21" t="s">
        <v>114</v>
      </c>
      <c r="CE145" s="21" t="s">
        <v>114</v>
      </c>
      <c r="CF145" s="19" t="s">
        <v>114</v>
      </c>
      <c r="CG145" s="19" t="s">
        <v>114</v>
      </c>
      <c r="CH145" s="19" t="s">
        <v>114</v>
      </c>
      <c r="CI145" s="21" t="s">
        <v>114</v>
      </c>
      <c r="CJ145" s="21" t="s">
        <v>114</v>
      </c>
      <c r="CK145" s="21" t="s">
        <v>114</v>
      </c>
      <c r="CL145" s="21" t="s">
        <v>114</v>
      </c>
      <c r="CM145" s="21" t="s">
        <v>114</v>
      </c>
      <c r="CN145" s="21" t="s">
        <v>114</v>
      </c>
      <c r="CO145" s="21" t="s">
        <v>114</v>
      </c>
      <c r="CP145" s="21" t="s">
        <v>114</v>
      </c>
      <c r="CQ145" s="21" t="s">
        <v>114</v>
      </c>
      <c r="CR145" s="21" t="s">
        <v>114</v>
      </c>
      <c r="CS145" s="21" t="s">
        <v>114</v>
      </c>
      <c r="CT145" s="21" t="s">
        <v>114</v>
      </c>
      <c r="CU145" s="21" t="s">
        <v>114</v>
      </c>
      <c r="CV145" s="21" t="s">
        <v>114</v>
      </c>
      <c r="CW145" s="21" t="s">
        <v>114</v>
      </c>
      <c r="CX145" s="21">
        <v>98426</v>
      </c>
      <c r="CY145" s="21" t="s">
        <v>114</v>
      </c>
      <c r="CZ145" s="21" t="s">
        <v>114</v>
      </c>
      <c r="DA145" s="21" t="s">
        <v>114</v>
      </c>
      <c r="DB145" s="21" t="s">
        <v>114</v>
      </c>
      <c r="DC145" s="21" t="s">
        <v>114</v>
      </c>
      <c r="DD145" s="21" t="s">
        <v>114</v>
      </c>
      <c r="DE145" s="21" t="s">
        <v>114</v>
      </c>
      <c r="DF145" s="19" t="s">
        <v>114</v>
      </c>
      <c r="DG145" s="19" t="s">
        <v>114</v>
      </c>
      <c r="DH145" s="19" t="s">
        <v>114</v>
      </c>
      <c r="DI145" s="19" t="s">
        <v>114</v>
      </c>
      <c r="DJ145" s="19" t="s">
        <v>114</v>
      </c>
      <c r="DK145" s="19" t="s">
        <v>114</v>
      </c>
      <c r="DL145" s="19" t="s">
        <v>114</v>
      </c>
      <c r="DM145" s="19" t="s">
        <v>114</v>
      </c>
      <c r="DN145" s="19" t="s">
        <v>114</v>
      </c>
      <c r="DO145" s="19" t="s">
        <v>114</v>
      </c>
    </row>
    <row r="146" spans="1:119" hidden="1" x14ac:dyDescent="0.45">
      <c r="A146" s="2" t="s">
        <v>784</v>
      </c>
      <c r="B146" t="s">
        <v>785</v>
      </c>
      <c r="C146" s="2">
        <v>404</v>
      </c>
      <c r="D146" s="6">
        <v>130</v>
      </c>
      <c r="E146" s="2" t="s">
        <v>786</v>
      </c>
      <c r="F146" t="s">
        <v>786</v>
      </c>
      <c r="G146" t="s">
        <v>2088</v>
      </c>
      <c r="H146" s="2" t="s">
        <v>786</v>
      </c>
      <c r="I146" s="2" t="s">
        <v>786</v>
      </c>
      <c r="J146" s="2">
        <v>2</v>
      </c>
      <c r="K146" t="s">
        <v>116</v>
      </c>
      <c r="L146" s="2">
        <v>202</v>
      </c>
      <c r="M146" t="s">
        <v>166</v>
      </c>
      <c r="N146">
        <v>14</v>
      </c>
      <c r="O146" t="s">
        <v>328</v>
      </c>
      <c r="P146" s="2" t="s">
        <v>116</v>
      </c>
      <c r="Q146" s="2" t="s">
        <v>166</v>
      </c>
      <c r="R146" s="2">
        <v>202</v>
      </c>
      <c r="S146" s="4" t="s">
        <v>166</v>
      </c>
      <c r="T146" s="2">
        <v>202</v>
      </c>
      <c r="U146" s="4" t="s">
        <v>166</v>
      </c>
      <c r="V146" t="s">
        <v>2457</v>
      </c>
      <c r="W146" t="s">
        <v>2457</v>
      </c>
      <c r="X146" t="s">
        <v>2440</v>
      </c>
      <c r="Y146" t="s">
        <v>328</v>
      </c>
      <c r="Z146" t="s">
        <v>328</v>
      </c>
      <c r="AA146" s="3" t="s">
        <v>328</v>
      </c>
      <c r="AB146" s="3" t="s">
        <v>2874</v>
      </c>
      <c r="AC146" s="2" t="s">
        <v>168</v>
      </c>
      <c r="AD146" s="4" t="s">
        <v>1891</v>
      </c>
      <c r="AE146" t="s">
        <v>104</v>
      </c>
      <c r="AF146" t="s">
        <v>1885</v>
      </c>
      <c r="AG146" t="s">
        <v>1884</v>
      </c>
      <c r="AH146" t="s">
        <v>105</v>
      </c>
      <c r="AI146" s="3" t="s">
        <v>105</v>
      </c>
      <c r="AJ146" s="3" t="s">
        <v>106</v>
      </c>
      <c r="AK146" s="3" t="s">
        <v>107</v>
      </c>
      <c r="AL146" s="5" t="s">
        <v>787</v>
      </c>
      <c r="AM146" s="5" t="s">
        <v>109</v>
      </c>
      <c r="AN146" t="s">
        <v>110</v>
      </c>
      <c r="AO146" s="3" t="s">
        <v>119</v>
      </c>
      <c r="AP146" s="3" t="s">
        <v>120</v>
      </c>
      <c r="AQ146" s="3" t="s">
        <v>111</v>
      </c>
      <c r="AR146" s="3" t="s">
        <v>112</v>
      </c>
      <c r="AS146" s="3" t="s">
        <v>112</v>
      </c>
      <c r="AT146" s="3" t="s">
        <v>113</v>
      </c>
      <c r="AU146" s="3" t="s">
        <v>2303</v>
      </c>
      <c r="AV146" s="3" t="s">
        <v>2302</v>
      </c>
      <c r="AW146" s="3" t="s">
        <v>2301</v>
      </c>
      <c r="AX146" s="3" t="s">
        <v>2006</v>
      </c>
      <c r="AY146" s="19">
        <v>98100</v>
      </c>
      <c r="AZ146" s="19" t="s">
        <v>114</v>
      </c>
      <c r="BA146" s="19">
        <v>98102</v>
      </c>
      <c r="BB146" s="19" t="s">
        <v>114</v>
      </c>
      <c r="BC146" s="19" t="s">
        <v>114</v>
      </c>
      <c r="BD146" s="19" t="s">
        <v>114</v>
      </c>
      <c r="BE146" s="19">
        <v>98106</v>
      </c>
      <c r="BF146" s="19" t="s">
        <v>114</v>
      </c>
      <c r="BG146" s="19" t="s">
        <v>114</v>
      </c>
      <c r="BH146" s="19">
        <v>98109</v>
      </c>
      <c r="BI146" s="19" t="s">
        <v>114</v>
      </c>
      <c r="BJ146" s="19" t="s">
        <v>114</v>
      </c>
      <c r="BK146" s="19" t="s">
        <v>114</v>
      </c>
      <c r="BL146" s="19">
        <v>98113</v>
      </c>
      <c r="BM146" s="19">
        <v>98114</v>
      </c>
      <c r="BN146" s="19" t="s">
        <v>114</v>
      </c>
      <c r="BO146" s="19" t="s">
        <v>114</v>
      </c>
      <c r="BP146" s="19" t="s">
        <v>114</v>
      </c>
      <c r="BQ146" s="19" t="s">
        <v>114</v>
      </c>
      <c r="BR146" s="19" t="s">
        <v>114</v>
      </c>
      <c r="BS146" s="19" t="s">
        <v>114</v>
      </c>
      <c r="BT146" s="19">
        <v>98121</v>
      </c>
      <c r="BU146" s="19" t="s">
        <v>114</v>
      </c>
      <c r="BV146" s="19" t="s">
        <v>114</v>
      </c>
      <c r="BW146" s="19" t="s">
        <v>114</v>
      </c>
      <c r="BX146" s="19" t="s">
        <v>114</v>
      </c>
      <c r="BY146" s="19">
        <v>98126</v>
      </c>
      <c r="BZ146" s="21" t="s">
        <v>114</v>
      </c>
      <c r="CA146" s="21" t="s">
        <v>114</v>
      </c>
      <c r="CB146" s="21" t="s">
        <v>114</v>
      </c>
      <c r="CC146" s="21" t="s">
        <v>114</v>
      </c>
      <c r="CD146" s="21" t="s">
        <v>114</v>
      </c>
      <c r="CE146" s="21" t="s">
        <v>114</v>
      </c>
      <c r="CF146" s="19" t="s">
        <v>114</v>
      </c>
      <c r="CG146" s="19" t="s">
        <v>114</v>
      </c>
      <c r="CH146" s="19" t="s">
        <v>114</v>
      </c>
      <c r="CI146" s="21" t="s">
        <v>114</v>
      </c>
      <c r="CJ146" s="21" t="s">
        <v>114</v>
      </c>
      <c r="CK146" s="21">
        <v>98405</v>
      </c>
      <c r="CL146" s="21" t="s">
        <v>114</v>
      </c>
      <c r="CM146" s="21" t="s">
        <v>114</v>
      </c>
      <c r="CN146" s="21" t="s">
        <v>114</v>
      </c>
      <c r="CO146" s="21" t="s">
        <v>114</v>
      </c>
      <c r="CP146" s="21" t="s">
        <v>114</v>
      </c>
      <c r="CQ146" s="21" t="s">
        <v>114</v>
      </c>
      <c r="CR146" s="21" t="s">
        <v>114</v>
      </c>
      <c r="CS146" s="21" t="s">
        <v>114</v>
      </c>
      <c r="CT146" s="21" t="s">
        <v>114</v>
      </c>
      <c r="CU146" s="21" t="s">
        <v>114</v>
      </c>
      <c r="CV146" s="21" t="s">
        <v>114</v>
      </c>
      <c r="CW146" s="21" t="s">
        <v>114</v>
      </c>
      <c r="CX146" s="21" t="s">
        <v>114</v>
      </c>
      <c r="CY146" s="21" t="s">
        <v>114</v>
      </c>
      <c r="CZ146" s="21" t="s">
        <v>114</v>
      </c>
      <c r="DA146" s="21" t="s">
        <v>114</v>
      </c>
      <c r="DB146" s="21" t="s">
        <v>114</v>
      </c>
      <c r="DC146" s="21" t="s">
        <v>114</v>
      </c>
      <c r="DD146" s="21" t="s">
        <v>114</v>
      </c>
      <c r="DE146" s="21" t="s">
        <v>114</v>
      </c>
      <c r="DF146" s="19" t="s">
        <v>114</v>
      </c>
      <c r="DG146" s="19" t="s">
        <v>114</v>
      </c>
      <c r="DH146" s="19" t="s">
        <v>114</v>
      </c>
      <c r="DI146" s="19" t="s">
        <v>114</v>
      </c>
      <c r="DJ146" s="19" t="s">
        <v>114</v>
      </c>
      <c r="DK146" s="19" t="s">
        <v>114</v>
      </c>
      <c r="DL146" s="19" t="s">
        <v>114</v>
      </c>
      <c r="DM146" s="19" t="s">
        <v>114</v>
      </c>
      <c r="DN146" s="19" t="s">
        <v>114</v>
      </c>
      <c r="DO146" s="19" t="s">
        <v>114</v>
      </c>
    </row>
    <row r="147" spans="1:119" hidden="1" x14ac:dyDescent="0.45">
      <c r="A147" s="2" t="s">
        <v>851</v>
      </c>
      <c r="B147" t="s">
        <v>852</v>
      </c>
      <c r="C147" s="2">
        <v>450</v>
      </c>
      <c r="D147" s="6">
        <v>134</v>
      </c>
      <c r="E147" s="2" t="s">
        <v>853</v>
      </c>
      <c r="F147" t="s">
        <v>853</v>
      </c>
      <c r="G147" t="s">
        <v>2101</v>
      </c>
      <c r="H147" s="2" t="s">
        <v>853</v>
      </c>
      <c r="I147" s="2" t="s">
        <v>853</v>
      </c>
      <c r="J147" s="2">
        <v>2</v>
      </c>
      <c r="K147" t="s">
        <v>116</v>
      </c>
      <c r="L147" s="2">
        <v>202</v>
      </c>
      <c r="M147" t="s">
        <v>166</v>
      </c>
      <c r="N147">
        <v>14</v>
      </c>
      <c r="O147" t="s">
        <v>328</v>
      </c>
      <c r="P147" s="2" t="s">
        <v>116</v>
      </c>
      <c r="Q147" s="2" t="s">
        <v>166</v>
      </c>
      <c r="R147" s="2">
        <v>202</v>
      </c>
      <c r="S147" s="4" t="s">
        <v>166</v>
      </c>
      <c r="T147" s="2">
        <v>202</v>
      </c>
      <c r="U147" s="4" t="s">
        <v>166</v>
      </c>
      <c r="V147" t="s">
        <v>2457</v>
      </c>
      <c r="W147" t="s">
        <v>2457</v>
      </c>
      <c r="X147" t="s">
        <v>2440</v>
      </c>
      <c r="Y147" t="s">
        <v>328</v>
      </c>
      <c r="Z147" t="s">
        <v>328</v>
      </c>
      <c r="AA147" s="3" t="s">
        <v>328</v>
      </c>
      <c r="AB147" s="3" t="s">
        <v>2874</v>
      </c>
      <c r="AC147" s="2" t="s">
        <v>103</v>
      </c>
      <c r="AD147" s="2" t="s">
        <v>1890</v>
      </c>
      <c r="AE147" t="s">
        <v>104</v>
      </c>
      <c r="AF147" t="s">
        <v>1885</v>
      </c>
      <c r="AG147" t="s">
        <v>1884</v>
      </c>
      <c r="AH147" t="s">
        <v>105</v>
      </c>
      <c r="AI147" s="3" t="s">
        <v>105</v>
      </c>
      <c r="AJ147" s="3" t="s">
        <v>106</v>
      </c>
      <c r="AK147" s="3" t="s">
        <v>107</v>
      </c>
      <c r="AL147" s="5" t="s">
        <v>854</v>
      </c>
      <c r="AM147" s="5" t="s">
        <v>109</v>
      </c>
      <c r="AN147" t="s">
        <v>110</v>
      </c>
      <c r="AO147" t="s">
        <v>25</v>
      </c>
      <c r="AP147" s="3" t="s">
        <v>120</v>
      </c>
      <c r="AQ147" s="3" t="s">
        <v>111</v>
      </c>
      <c r="AR147" s="3" t="s">
        <v>112</v>
      </c>
      <c r="AS147" s="3" t="s">
        <v>112</v>
      </c>
      <c r="AT147" s="3" t="s">
        <v>113</v>
      </c>
      <c r="AU147" s="3" t="s">
        <v>2303</v>
      </c>
      <c r="AV147" s="3" t="s">
        <v>2302</v>
      </c>
      <c r="AW147" s="3" t="s">
        <v>2301</v>
      </c>
      <c r="AX147" s="3" t="s">
        <v>2006</v>
      </c>
      <c r="AY147" s="19">
        <v>98100</v>
      </c>
      <c r="AZ147" s="19" t="s">
        <v>114</v>
      </c>
      <c r="BA147" s="19">
        <v>98102</v>
      </c>
      <c r="BB147" s="19" t="s">
        <v>114</v>
      </c>
      <c r="BC147" s="19" t="s">
        <v>114</v>
      </c>
      <c r="BD147" s="19" t="s">
        <v>114</v>
      </c>
      <c r="BE147" s="19">
        <v>98106</v>
      </c>
      <c r="BF147" s="19" t="s">
        <v>114</v>
      </c>
      <c r="BG147" s="19" t="s">
        <v>114</v>
      </c>
      <c r="BH147" s="19" t="s">
        <v>114</v>
      </c>
      <c r="BI147" s="19">
        <v>98110</v>
      </c>
      <c r="BJ147" s="19" t="s">
        <v>114</v>
      </c>
      <c r="BK147" s="19" t="s">
        <v>114</v>
      </c>
      <c r="BL147" s="19">
        <v>98113</v>
      </c>
      <c r="BM147" s="19" t="s">
        <v>114</v>
      </c>
      <c r="BN147" s="19">
        <v>98115</v>
      </c>
      <c r="BO147" s="19" t="s">
        <v>114</v>
      </c>
      <c r="BP147" s="19" t="s">
        <v>114</v>
      </c>
      <c r="BQ147" s="19">
        <v>98118</v>
      </c>
      <c r="BR147" s="19">
        <v>98119</v>
      </c>
      <c r="BS147" s="19">
        <v>98120</v>
      </c>
      <c r="BT147" s="19">
        <v>98121</v>
      </c>
      <c r="BU147" s="19" t="s">
        <v>114</v>
      </c>
      <c r="BV147" s="19" t="s">
        <v>114</v>
      </c>
      <c r="BW147" s="19" t="s">
        <v>114</v>
      </c>
      <c r="BX147" s="19" t="s">
        <v>114</v>
      </c>
      <c r="BY147" s="19">
        <v>98126</v>
      </c>
      <c r="BZ147" s="21" t="s">
        <v>114</v>
      </c>
      <c r="CA147" s="21" t="s">
        <v>114</v>
      </c>
      <c r="CB147" s="21" t="s">
        <v>114</v>
      </c>
      <c r="CC147" s="21" t="s">
        <v>114</v>
      </c>
      <c r="CD147" s="21" t="s">
        <v>114</v>
      </c>
      <c r="CE147" s="21" t="s">
        <v>114</v>
      </c>
      <c r="CF147" s="19" t="s">
        <v>114</v>
      </c>
      <c r="CG147" s="19" t="s">
        <v>114</v>
      </c>
      <c r="CH147" s="19" t="s">
        <v>114</v>
      </c>
      <c r="CI147" s="21" t="s">
        <v>114</v>
      </c>
      <c r="CJ147" s="21" t="s">
        <v>114</v>
      </c>
      <c r="CK147" s="21">
        <v>98405</v>
      </c>
      <c r="CL147" s="21" t="s">
        <v>114</v>
      </c>
      <c r="CM147" s="21" t="s">
        <v>114</v>
      </c>
      <c r="CN147" s="21" t="s">
        <v>114</v>
      </c>
      <c r="CO147" s="21" t="s">
        <v>114</v>
      </c>
      <c r="CP147" s="21" t="s">
        <v>114</v>
      </c>
      <c r="CQ147" s="21" t="s">
        <v>114</v>
      </c>
      <c r="CR147" s="21" t="s">
        <v>114</v>
      </c>
      <c r="CS147" s="21" t="s">
        <v>114</v>
      </c>
      <c r="CT147" s="21" t="s">
        <v>114</v>
      </c>
      <c r="CU147" s="21" t="s">
        <v>114</v>
      </c>
      <c r="CV147" s="21" t="s">
        <v>114</v>
      </c>
      <c r="CW147" s="21" t="s">
        <v>114</v>
      </c>
      <c r="CX147" s="21" t="s">
        <v>114</v>
      </c>
      <c r="CY147" s="21" t="s">
        <v>114</v>
      </c>
      <c r="CZ147" s="21" t="s">
        <v>114</v>
      </c>
      <c r="DA147" s="21" t="s">
        <v>114</v>
      </c>
      <c r="DB147" s="21" t="s">
        <v>114</v>
      </c>
      <c r="DC147" s="21" t="s">
        <v>114</v>
      </c>
      <c r="DD147" s="21" t="s">
        <v>114</v>
      </c>
      <c r="DE147" s="21" t="s">
        <v>114</v>
      </c>
      <c r="DF147" s="19" t="s">
        <v>114</v>
      </c>
      <c r="DG147" s="19" t="s">
        <v>114</v>
      </c>
      <c r="DH147" s="19" t="s">
        <v>114</v>
      </c>
      <c r="DI147" s="19" t="s">
        <v>114</v>
      </c>
      <c r="DJ147" s="19" t="s">
        <v>114</v>
      </c>
      <c r="DK147" s="19" t="s">
        <v>114</v>
      </c>
      <c r="DL147" s="19" t="s">
        <v>114</v>
      </c>
      <c r="DM147" s="19" t="s">
        <v>114</v>
      </c>
      <c r="DN147" s="19" t="s">
        <v>114</v>
      </c>
      <c r="DO147" s="19" t="s">
        <v>114</v>
      </c>
    </row>
    <row r="148" spans="1:119" hidden="1" x14ac:dyDescent="0.45">
      <c r="A148" s="2" t="s">
        <v>855</v>
      </c>
      <c r="B148" t="s">
        <v>856</v>
      </c>
      <c r="C148" s="2">
        <v>454</v>
      </c>
      <c r="D148" s="6">
        <v>135</v>
      </c>
      <c r="E148" s="2" t="s">
        <v>857</v>
      </c>
      <c r="F148" t="s">
        <v>857</v>
      </c>
      <c r="G148" t="s">
        <v>2102</v>
      </c>
      <c r="H148" s="2" t="s">
        <v>857</v>
      </c>
      <c r="I148" s="2" t="s">
        <v>857</v>
      </c>
      <c r="J148" s="2">
        <v>2</v>
      </c>
      <c r="K148" t="s">
        <v>116</v>
      </c>
      <c r="L148" s="2">
        <v>202</v>
      </c>
      <c r="M148" t="s">
        <v>166</v>
      </c>
      <c r="N148">
        <v>14</v>
      </c>
      <c r="O148" t="s">
        <v>328</v>
      </c>
      <c r="P148" s="2" t="s">
        <v>116</v>
      </c>
      <c r="Q148" s="2" t="s">
        <v>166</v>
      </c>
      <c r="R148" s="2">
        <v>202</v>
      </c>
      <c r="S148" s="4" t="s">
        <v>166</v>
      </c>
      <c r="T148" s="2">
        <v>202</v>
      </c>
      <c r="U148" s="4" t="s">
        <v>166</v>
      </c>
      <c r="V148" t="s">
        <v>2457</v>
      </c>
      <c r="W148" t="s">
        <v>2457</v>
      </c>
      <c r="X148" t="s">
        <v>2440</v>
      </c>
      <c r="Y148" t="s">
        <v>328</v>
      </c>
      <c r="Z148" t="s">
        <v>328</v>
      </c>
      <c r="AA148" s="3" t="s">
        <v>328</v>
      </c>
      <c r="AB148" s="3" t="s">
        <v>2874</v>
      </c>
      <c r="AC148" s="2" t="s">
        <v>103</v>
      </c>
      <c r="AD148" s="2" t="s">
        <v>1890</v>
      </c>
      <c r="AE148" t="s">
        <v>104</v>
      </c>
      <c r="AF148" t="s">
        <v>1885</v>
      </c>
      <c r="AG148" t="s">
        <v>1884</v>
      </c>
      <c r="AH148" t="s">
        <v>105</v>
      </c>
      <c r="AI148" s="3" t="s">
        <v>105</v>
      </c>
      <c r="AJ148" s="3" t="s">
        <v>106</v>
      </c>
      <c r="AK148" s="3" t="s">
        <v>107</v>
      </c>
      <c r="AL148" s="5" t="s">
        <v>858</v>
      </c>
      <c r="AM148" s="5" t="s">
        <v>109</v>
      </c>
      <c r="AO148" t="s">
        <v>25</v>
      </c>
      <c r="AP148" s="3" t="s">
        <v>26</v>
      </c>
      <c r="AQ148" s="3" t="s">
        <v>111</v>
      </c>
      <c r="AR148" s="3" t="s">
        <v>112</v>
      </c>
      <c r="AS148" s="3" t="s">
        <v>112</v>
      </c>
      <c r="AT148" s="3" t="s">
        <v>113</v>
      </c>
      <c r="AU148" s="3" t="s">
        <v>2303</v>
      </c>
      <c r="AV148" s="3" t="s">
        <v>2302</v>
      </c>
      <c r="AW148" s="3" t="s">
        <v>2301</v>
      </c>
      <c r="AX148" s="3" t="s">
        <v>2006</v>
      </c>
      <c r="AY148" s="19">
        <v>98100</v>
      </c>
      <c r="AZ148" s="19" t="s">
        <v>114</v>
      </c>
      <c r="BA148" s="19" t="s">
        <v>114</v>
      </c>
      <c r="BB148" s="19" t="s">
        <v>114</v>
      </c>
      <c r="BC148" s="19">
        <v>98104</v>
      </c>
      <c r="BD148" s="19" t="s">
        <v>114</v>
      </c>
      <c r="BE148" s="19">
        <v>98106</v>
      </c>
      <c r="BF148" s="19" t="s">
        <v>114</v>
      </c>
      <c r="BG148" s="19" t="s">
        <v>114</v>
      </c>
      <c r="BH148" s="19" t="s">
        <v>114</v>
      </c>
      <c r="BI148" s="19">
        <v>98110</v>
      </c>
      <c r="BJ148" s="19" t="s">
        <v>114</v>
      </c>
      <c r="BK148" s="19" t="s">
        <v>114</v>
      </c>
      <c r="BL148" s="19">
        <v>98113</v>
      </c>
      <c r="BM148" s="19" t="s">
        <v>114</v>
      </c>
      <c r="BN148" s="19" t="s">
        <v>114</v>
      </c>
      <c r="BO148" s="19">
        <v>98116</v>
      </c>
      <c r="BP148" s="19">
        <v>98117</v>
      </c>
      <c r="BQ148" s="19">
        <v>98118</v>
      </c>
      <c r="BR148" s="19" t="s">
        <v>114</v>
      </c>
      <c r="BS148" s="19">
        <v>98120</v>
      </c>
      <c r="BT148" s="19">
        <v>98121</v>
      </c>
      <c r="BU148" s="19" t="s">
        <v>114</v>
      </c>
      <c r="BV148" s="19" t="s">
        <v>114</v>
      </c>
      <c r="BW148" s="19" t="s">
        <v>114</v>
      </c>
      <c r="BX148" s="19" t="s">
        <v>114</v>
      </c>
      <c r="BY148" s="19">
        <v>98126</v>
      </c>
      <c r="BZ148" s="21" t="s">
        <v>114</v>
      </c>
      <c r="CA148" s="21" t="s">
        <v>114</v>
      </c>
      <c r="CB148" s="21" t="s">
        <v>114</v>
      </c>
      <c r="CC148" s="21" t="s">
        <v>114</v>
      </c>
      <c r="CD148" s="21" t="s">
        <v>114</v>
      </c>
      <c r="CE148" s="21" t="s">
        <v>114</v>
      </c>
      <c r="CF148" s="19" t="s">
        <v>114</v>
      </c>
      <c r="CG148" s="19" t="s">
        <v>114</v>
      </c>
      <c r="CH148" s="19" t="s">
        <v>114</v>
      </c>
      <c r="CI148" s="21" t="s">
        <v>114</v>
      </c>
      <c r="CJ148" s="21" t="s">
        <v>114</v>
      </c>
      <c r="CK148" s="21">
        <v>98405</v>
      </c>
      <c r="CL148" s="21" t="s">
        <v>114</v>
      </c>
      <c r="CM148" s="21" t="s">
        <v>114</v>
      </c>
      <c r="CN148" s="21" t="s">
        <v>114</v>
      </c>
      <c r="CO148" s="21" t="s">
        <v>114</v>
      </c>
      <c r="CP148" s="21" t="s">
        <v>114</v>
      </c>
      <c r="CQ148" s="21" t="s">
        <v>114</v>
      </c>
      <c r="CR148" s="21" t="s">
        <v>114</v>
      </c>
      <c r="CS148" s="21" t="s">
        <v>114</v>
      </c>
      <c r="CT148" s="21" t="s">
        <v>114</v>
      </c>
      <c r="CU148" s="21" t="s">
        <v>114</v>
      </c>
      <c r="CV148" s="21" t="s">
        <v>114</v>
      </c>
      <c r="CW148" s="21" t="s">
        <v>114</v>
      </c>
      <c r="CX148" s="21" t="s">
        <v>114</v>
      </c>
      <c r="CY148" s="21" t="s">
        <v>114</v>
      </c>
      <c r="CZ148" s="21" t="s">
        <v>114</v>
      </c>
      <c r="DA148" s="21" t="s">
        <v>114</v>
      </c>
      <c r="DB148" s="21" t="s">
        <v>114</v>
      </c>
      <c r="DC148" s="21" t="s">
        <v>114</v>
      </c>
      <c r="DD148" s="21" t="s">
        <v>114</v>
      </c>
      <c r="DE148" s="21" t="s">
        <v>114</v>
      </c>
      <c r="DF148" s="19" t="s">
        <v>114</v>
      </c>
      <c r="DG148" s="19" t="s">
        <v>114</v>
      </c>
      <c r="DH148" s="19" t="s">
        <v>114</v>
      </c>
      <c r="DI148" s="19" t="s">
        <v>114</v>
      </c>
      <c r="DJ148" s="19" t="s">
        <v>114</v>
      </c>
      <c r="DK148" s="19" t="s">
        <v>114</v>
      </c>
      <c r="DL148" s="19" t="s">
        <v>114</v>
      </c>
      <c r="DM148" s="19" t="s">
        <v>114</v>
      </c>
      <c r="DN148" s="19" t="s">
        <v>114</v>
      </c>
      <c r="DO148" s="19" t="s">
        <v>114</v>
      </c>
    </row>
    <row r="149" spans="1:119" hidden="1" x14ac:dyDescent="0.45">
      <c r="A149" s="2" t="s">
        <v>892</v>
      </c>
      <c r="B149" t="s">
        <v>893</v>
      </c>
      <c r="C149" s="2">
        <v>480</v>
      </c>
      <c r="D149" s="6">
        <v>138</v>
      </c>
      <c r="E149" s="2" t="s">
        <v>894</v>
      </c>
      <c r="F149" t="s">
        <v>894</v>
      </c>
      <c r="G149" t="s">
        <v>2108</v>
      </c>
      <c r="H149" s="2" t="s">
        <v>895</v>
      </c>
      <c r="I149" s="2" t="s">
        <v>896</v>
      </c>
      <c r="J149" s="2">
        <v>2</v>
      </c>
      <c r="K149" t="s">
        <v>116</v>
      </c>
      <c r="L149" s="2">
        <v>202</v>
      </c>
      <c r="M149" t="s">
        <v>166</v>
      </c>
      <c r="N149">
        <v>14</v>
      </c>
      <c r="O149" t="s">
        <v>328</v>
      </c>
      <c r="P149" s="2" t="s">
        <v>116</v>
      </c>
      <c r="Q149" s="2" t="s">
        <v>166</v>
      </c>
      <c r="R149" s="2">
        <v>202</v>
      </c>
      <c r="S149" s="4" t="s">
        <v>166</v>
      </c>
      <c r="T149" s="2">
        <v>202</v>
      </c>
      <c r="U149" s="4" t="s">
        <v>166</v>
      </c>
      <c r="V149" t="s">
        <v>2457</v>
      </c>
      <c r="W149" t="s">
        <v>2457</v>
      </c>
      <c r="X149" t="s">
        <v>2440</v>
      </c>
      <c r="Y149" t="s">
        <v>328</v>
      </c>
      <c r="Z149" t="s">
        <v>328</v>
      </c>
      <c r="AA149" s="3" t="s">
        <v>328</v>
      </c>
      <c r="AB149" s="3" t="s">
        <v>2874</v>
      </c>
      <c r="AC149" s="2" t="s">
        <v>138</v>
      </c>
      <c r="AD149" s="4" t="s">
        <v>1891</v>
      </c>
      <c r="AE149" t="s">
        <v>104</v>
      </c>
      <c r="AF149" t="s">
        <v>1885</v>
      </c>
      <c r="AG149" t="s">
        <v>1884</v>
      </c>
      <c r="AH149" t="s">
        <v>105</v>
      </c>
      <c r="AI149" s="3" t="s">
        <v>105</v>
      </c>
      <c r="AJ149" s="3" t="s">
        <v>106</v>
      </c>
      <c r="AK149" s="3" t="s">
        <v>107</v>
      </c>
      <c r="AL149" s="5" t="s">
        <v>897</v>
      </c>
      <c r="AM149" s="5" t="s">
        <v>109</v>
      </c>
      <c r="AO149" s="3" t="s">
        <v>119</v>
      </c>
      <c r="AP149" s="3" t="s">
        <v>120</v>
      </c>
      <c r="AQ149" s="3" t="s">
        <v>27</v>
      </c>
      <c r="AR149" s="3" t="s">
        <v>112</v>
      </c>
      <c r="AS149" s="3" t="s">
        <v>112</v>
      </c>
      <c r="AT149" t="s">
        <v>191</v>
      </c>
      <c r="AU149" s="3" t="s">
        <v>2303</v>
      </c>
      <c r="AV149" s="3" t="s">
        <v>2302</v>
      </c>
      <c r="AW149" s="3" t="s">
        <v>2301</v>
      </c>
      <c r="AX149" s="3" t="s">
        <v>2006</v>
      </c>
      <c r="AY149" s="19">
        <v>98100</v>
      </c>
      <c r="AZ149" s="19" t="s">
        <v>114</v>
      </c>
      <c r="BA149" s="19" t="s">
        <v>114</v>
      </c>
      <c r="BB149" s="19" t="s">
        <v>114</v>
      </c>
      <c r="BC149" s="19">
        <v>98104</v>
      </c>
      <c r="BD149" s="19" t="s">
        <v>114</v>
      </c>
      <c r="BE149" s="19">
        <v>98106</v>
      </c>
      <c r="BF149" s="19" t="s">
        <v>114</v>
      </c>
      <c r="BG149" s="19" t="s">
        <v>114</v>
      </c>
      <c r="BH149" s="19" t="s">
        <v>114</v>
      </c>
      <c r="BI149" s="19">
        <v>98110</v>
      </c>
      <c r="BJ149" s="19" t="s">
        <v>114</v>
      </c>
      <c r="BK149" s="19" t="s">
        <v>114</v>
      </c>
      <c r="BL149" s="19">
        <v>98113</v>
      </c>
      <c r="BM149" s="19" t="s">
        <v>114</v>
      </c>
      <c r="BN149" s="19">
        <v>98115</v>
      </c>
      <c r="BO149" s="19" t="s">
        <v>114</v>
      </c>
      <c r="BP149" s="19" t="s">
        <v>114</v>
      </c>
      <c r="BQ149" s="19" t="s">
        <v>114</v>
      </c>
      <c r="BR149" s="19" t="s">
        <v>114</v>
      </c>
      <c r="BS149" s="19" t="s">
        <v>114</v>
      </c>
      <c r="BT149" s="19">
        <v>98121</v>
      </c>
      <c r="BU149" s="19" t="s">
        <v>114</v>
      </c>
      <c r="BV149" s="19" t="s">
        <v>114</v>
      </c>
      <c r="BW149" s="19" t="s">
        <v>114</v>
      </c>
      <c r="BX149" s="19">
        <v>98125</v>
      </c>
      <c r="BY149" s="19">
        <v>98126</v>
      </c>
      <c r="BZ149" s="21" t="s">
        <v>114</v>
      </c>
      <c r="CA149" s="21" t="s">
        <v>114</v>
      </c>
      <c r="CB149" s="21" t="s">
        <v>114</v>
      </c>
      <c r="CC149" s="21" t="s">
        <v>114</v>
      </c>
      <c r="CD149" s="21" t="s">
        <v>114</v>
      </c>
      <c r="CE149" s="21" t="s">
        <v>114</v>
      </c>
      <c r="CF149" s="19" t="s">
        <v>114</v>
      </c>
      <c r="CG149" s="19" t="s">
        <v>114</v>
      </c>
      <c r="CH149" s="19" t="s">
        <v>114</v>
      </c>
      <c r="CI149" s="21" t="s">
        <v>114</v>
      </c>
      <c r="CJ149" s="21" t="s">
        <v>114</v>
      </c>
      <c r="CK149" s="21">
        <v>98405</v>
      </c>
      <c r="CL149" s="21" t="s">
        <v>114</v>
      </c>
      <c r="CM149" s="21" t="s">
        <v>114</v>
      </c>
      <c r="CN149" s="21" t="s">
        <v>114</v>
      </c>
      <c r="CO149" s="21" t="s">
        <v>114</v>
      </c>
      <c r="CP149" s="21" t="s">
        <v>114</v>
      </c>
      <c r="CQ149" s="21" t="s">
        <v>114</v>
      </c>
      <c r="CR149" s="21" t="s">
        <v>114</v>
      </c>
      <c r="CS149" s="21" t="s">
        <v>114</v>
      </c>
      <c r="CT149" s="21" t="s">
        <v>114</v>
      </c>
      <c r="CU149" s="21" t="s">
        <v>114</v>
      </c>
      <c r="CV149" s="21" t="s">
        <v>114</v>
      </c>
      <c r="CW149" s="21" t="s">
        <v>114</v>
      </c>
      <c r="CX149" s="21" t="s">
        <v>114</v>
      </c>
      <c r="CY149" s="21" t="s">
        <v>114</v>
      </c>
      <c r="CZ149" s="21" t="s">
        <v>114</v>
      </c>
      <c r="DA149" s="21" t="s">
        <v>114</v>
      </c>
      <c r="DB149" s="21" t="s">
        <v>114</v>
      </c>
      <c r="DC149" s="21" t="s">
        <v>114</v>
      </c>
      <c r="DD149" s="21" t="s">
        <v>114</v>
      </c>
      <c r="DE149" s="21" t="s">
        <v>114</v>
      </c>
      <c r="DF149" s="19" t="s">
        <v>114</v>
      </c>
      <c r="DG149" s="19" t="s">
        <v>114</v>
      </c>
      <c r="DH149" s="19" t="s">
        <v>114</v>
      </c>
      <c r="DI149" s="19" t="s">
        <v>114</v>
      </c>
      <c r="DJ149" s="19" t="s">
        <v>114</v>
      </c>
      <c r="DK149" s="19" t="s">
        <v>114</v>
      </c>
      <c r="DL149" s="19" t="s">
        <v>114</v>
      </c>
      <c r="DM149" s="19" t="s">
        <v>114</v>
      </c>
      <c r="DN149" s="19" t="s">
        <v>114</v>
      </c>
      <c r="DO149" s="19" t="s">
        <v>114</v>
      </c>
    </row>
    <row r="150" spans="1:119" hidden="1" x14ac:dyDescent="0.45">
      <c r="A150" s="2" t="s">
        <v>898</v>
      </c>
      <c r="B150" t="s">
        <v>899</v>
      </c>
      <c r="C150" s="2">
        <v>175</v>
      </c>
      <c r="D150" s="6">
        <v>139</v>
      </c>
      <c r="E150" s="2" t="s">
        <v>900</v>
      </c>
      <c r="F150" s="3" t="s">
        <v>900</v>
      </c>
      <c r="H150" s="2" t="s">
        <v>900</v>
      </c>
      <c r="I150" s="2" t="s">
        <v>900</v>
      </c>
      <c r="J150" s="2">
        <v>2</v>
      </c>
      <c r="K150" t="s">
        <v>116</v>
      </c>
      <c r="L150" s="2">
        <v>202</v>
      </c>
      <c r="M150" t="s">
        <v>166</v>
      </c>
      <c r="N150">
        <v>14</v>
      </c>
      <c r="O150" t="s">
        <v>328</v>
      </c>
      <c r="P150" s="2" t="s">
        <v>116</v>
      </c>
      <c r="Q150" s="2" t="s">
        <v>166</v>
      </c>
      <c r="R150" s="2">
        <v>202</v>
      </c>
      <c r="S150" s="4" t="s">
        <v>166</v>
      </c>
      <c r="T150" s="2">
        <v>202</v>
      </c>
      <c r="U150" s="4" t="s">
        <v>166</v>
      </c>
      <c r="V150" t="s">
        <v>2457</v>
      </c>
      <c r="W150" t="s">
        <v>2457</v>
      </c>
      <c r="X150" t="s">
        <v>2440</v>
      </c>
      <c r="Y150" t="s">
        <v>328</v>
      </c>
      <c r="Z150" t="s">
        <v>328</v>
      </c>
      <c r="AA150" s="3" t="s">
        <v>328</v>
      </c>
      <c r="AB150" s="3" t="s">
        <v>2874</v>
      </c>
      <c r="AC150" s="2" t="s">
        <v>1888</v>
      </c>
      <c r="AD150" s="2" t="s">
        <v>1888</v>
      </c>
      <c r="AE150" t="s">
        <v>104</v>
      </c>
      <c r="AF150" t="s">
        <v>1886</v>
      </c>
      <c r="AG150" s="3" t="s">
        <v>1887</v>
      </c>
      <c r="AH150" t="s">
        <v>105</v>
      </c>
      <c r="AI150" s="3" t="s">
        <v>105</v>
      </c>
      <c r="AJ150" s="3" t="s">
        <v>106</v>
      </c>
      <c r="AK150" s="3" t="s">
        <v>107</v>
      </c>
      <c r="AL150" s="5" t="s">
        <v>132</v>
      </c>
      <c r="AM150" s="5" t="s">
        <v>109</v>
      </c>
      <c r="AO150" s="3" t="s">
        <v>119</v>
      </c>
      <c r="AP150" s="3" t="s">
        <v>120</v>
      </c>
      <c r="AQ150" s="3" t="s">
        <v>111</v>
      </c>
      <c r="AR150" s="3" t="s">
        <v>112</v>
      </c>
      <c r="AS150" s="3" t="s">
        <v>112</v>
      </c>
      <c r="AT150" s="3" t="s">
        <v>113</v>
      </c>
      <c r="AU150" s="3" t="s">
        <v>2303</v>
      </c>
      <c r="AV150" s="3" t="s">
        <v>2302</v>
      </c>
      <c r="AW150" s="3" t="s">
        <v>2301</v>
      </c>
      <c r="AX150" s="3" t="s">
        <v>2006</v>
      </c>
      <c r="AY150" s="19" t="s">
        <v>114</v>
      </c>
      <c r="AZ150" s="19" t="s">
        <v>114</v>
      </c>
      <c r="BA150" s="19" t="s">
        <v>114</v>
      </c>
      <c r="BB150" s="19" t="s">
        <v>114</v>
      </c>
      <c r="BC150" s="19" t="s">
        <v>114</v>
      </c>
      <c r="BD150" s="19" t="s">
        <v>114</v>
      </c>
      <c r="BE150" s="19" t="s">
        <v>114</v>
      </c>
      <c r="BF150" s="19" t="s">
        <v>114</v>
      </c>
      <c r="BG150" s="19" t="s">
        <v>114</v>
      </c>
      <c r="BH150" s="19" t="s">
        <v>114</v>
      </c>
      <c r="BI150" s="19" t="s">
        <v>114</v>
      </c>
      <c r="BJ150" s="19" t="s">
        <v>114</v>
      </c>
      <c r="BK150" s="19" t="s">
        <v>114</v>
      </c>
      <c r="BL150" s="19" t="s">
        <v>114</v>
      </c>
      <c r="BM150" s="19" t="s">
        <v>114</v>
      </c>
      <c r="BN150" s="19" t="s">
        <v>114</v>
      </c>
      <c r="BO150" s="19" t="s">
        <v>114</v>
      </c>
      <c r="BP150" s="19" t="s">
        <v>114</v>
      </c>
      <c r="BQ150" s="19" t="s">
        <v>114</v>
      </c>
      <c r="BR150" s="19" t="s">
        <v>114</v>
      </c>
      <c r="BS150" s="19" t="s">
        <v>114</v>
      </c>
      <c r="BT150" s="19" t="s">
        <v>114</v>
      </c>
      <c r="BU150" s="19" t="s">
        <v>114</v>
      </c>
      <c r="BV150" s="19" t="s">
        <v>114</v>
      </c>
      <c r="BW150" s="19" t="s">
        <v>114</v>
      </c>
      <c r="BX150" s="19" t="s">
        <v>114</v>
      </c>
      <c r="BY150" s="19" t="s">
        <v>114</v>
      </c>
      <c r="BZ150" s="21" t="s">
        <v>114</v>
      </c>
      <c r="CA150" s="21" t="s">
        <v>114</v>
      </c>
      <c r="CB150" s="21" t="s">
        <v>114</v>
      </c>
      <c r="CC150" s="21" t="s">
        <v>114</v>
      </c>
      <c r="CD150" s="21" t="s">
        <v>114</v>
      </c>
      <c r="CE150" s="21" t="s">
        <v>114</v>
      </c>
      <c r="CF150" s="19" t="s">
        <v>114</v>
      </c>
      <c r="CG150" s="19" t="s">
        <v>114</v>
      </c>
      <c r="CH150" s="19" t="s">
        <v>114</v>
      </c>
      <c r="CI150" s="21" t="s">
        <v>114</v>
      </c>
      <c r="CJ150" s="21" t="s">
        <v>114</v>
      </c>
      <c r="CK150" s="21">
        <v>98405</v>
      </c>
      <c r="CL150" s="21" t="s">
        <v>114</v>
      </c>
      <c r="CM150" s="21" t="s">
        <v>114</v>
      </c>
      <c r="CN150" s="21" t="s">
        <v>114</v>
      </c>
      <c r="CO150" s="21" t="s">
        <v>114</v>
      </c>
      <c r="CP150" s="21" t="s">
        <v>114</v>
      </c>
      <c r="CQ150" s="21" t="s">
        <v>114</v>
      </c>
      <c r="CR150" s="21" t="s">
        <v>114</v>
      </c>
      <c r="CS150" s="21" t="s">
        <v>114</v>
      </c>
      <c r="CT150" s="21" t="s">
        <v>114</v>
      </c>
      <c r="CU150" s="21" t="s">
        <v>114</v>
      </c>
      <c r="CV150" s="21" t="s">
        <v>114</v>
      </c>
      <c r="CW150" s="21" t="s">
        <v>114</v>
      </c>
      <c r="CX150" s="21" t="s">
        <v>114</v>
      </c>
      <c r="CY150" s="21" t="s">
        <v>114</v>
      </c>
      <c r="CZ150" s="21" t="s">
        <v>114</v>
      </c>
      <c r="DA150" s="21" t="s">
        <v>114</v>
      </c>
      <c r="DB150" s="21" t="s">
        <v>114</v>
      </c>
      <c r="DC150" s="21" t="s">
        <v>114</v>
      </c>
      <c r="DD150" s="21" t="s">
        <v>114</v>
      </c>
      <c r="DE150" s="21" t="s">
        <v>114</v>
      </c>
      <c r="DF150" s="19" t="s">
        <v>114</v>
      </c>
      <c r="DG150" s="19" t="s">
        <v>114</v>
      </c>
      <c r="DH150" s="19" t="s">
        <v>114</v>
      </c>
      <c r="DI150" s="19" t="s">
        <v>114</v>
      </c>
      <c r="DJ150" s="19" t="s">
        <v>114</v>
      </c>
      <c r="DK150" s="19" t="s">
        <v>114</v>
      </c>
      <c r="DL150" s="19" t="s">
        <v>114</v>
      </c>
      <c r="DM150" s="19" t="s">
        <v>114</v>
      </c>
      <c r="DN150" s="19" t="s">
        <v>114</v>
      </c>
      <c r="DO150" s="19" t="s">
        <v>114</v>
      </c>
    </row>
    <row r="151" spans="1:119" hidden="1" x14ac:dyDescent="0.45">
      <c r="A151" s="2" t="s">
        <v>936</v>
      </c>
      <c r="B151" t="s">
        <v>937</v>
      </c>
      <c r="C151" s="2">
        <v>508</v>
      </c>
      <c r="D151" s="6">
        <v>141</v>
      </c>
      <c r="E151" s="2" t="s">
        <v>938</v>
      </c>
      <c r="F151" t="s">
        <v>938</v>
      </c>
      <c r="G151" t="s">
        <v>2113</v>
      </c>
      <c r="H151" s="2" t="s">
        <v>938</v>
      </c>
      <c r="I151" s="2" t="s">
        <v>938</v>
      </c>
      <c r="J151" s="2">
        <v>2</v>
      </c>
      <c r="K151" t="s">
        <v>116</v>
      </c>
      <c r="L151" s="2">
        <v>202</v>
      </c>
      <c r="M151" t="s">
        <v>166</v>
      </c>
      <c r="N151">
        <v>14</v>
      </c>
      <c r="O151" t="s">
        <v>328</v>
      </c>
      <c r="P151" s="2" t="s">
        <v>116</v>
      </c>
      <c r="Q151" s="2" t="s">
        <v>166</v>
      </c>
      <c r="R151" s="2">
        <v>202</v>
      </c>
      <c r="S151" s="4" t="s">
        <v>166</v>
      </c>
      <c r="T151" s="2">
        <v>202</v>
      </c>
      <c r="U151" s="4" t="s">
        <v>166</v>
      </c>
      <c r="V151" t="s">
        <v>2457</v>
      </c>
      <c r="W151" t="s">
        <v>2457</v>
      </c>
      <c r="X151" t="s">
        <v>2440</v>
      </c>
      <c r="Y151" t="s">
        <v>328</v>
      </c>
      <c r="Z151" t="s">
        <v>328</v>
      </c>
      <c r="AA151" s="3" t="s">
        <v>328</v>
      </c>
      <c r="AB151" s="3" t="s">
        <v>2874</v>
      </c>
      <c r="AC151" s="2" t="s">
        <v>103</v>
      </c>
      <c r="AD151" s="2" t="s">
        <v>1890</v>
      </c>
      <c r="AE151" t="s">
        <v>104</v>
      </c>
      <c r="AF151" t="s">
        <v>1885</v>
      </c>
      <c r="AG151" t="s">
        <v>1884</v>
      </c>
      <c r="AH151" t="s">
        <v>105</v>
      </c>
      <c r="AI151" s="3" t="s">
        <v>105</v>
      </c>
      <c r="AJ151" s="3" t="s">
        <v>106</v>
      </c>
      <c r="AK151" s="3" t="s">
        <v>107</v>
      </c>
      <c r="AL151" s="5" t="s">
        <v>939</v>
      </c>
      <c r="AM151" s="5" t="s">
        <v>109</v>
      </c>
      <c r="AN151" t="s">
        <v>110</v>
      </c>
      <c r="AO151" t="s">
        <v>25</v>
      </c>
      <c r="AP151" s="3" t="s">
        <v>120</v>
      </c>
      <c r="AQ151" s="3" t="s">
        <v>111</v>
      </c>
      <c r="AR151" s="3" t="s">
        <v>112</v>
      </c>
      <c r="AS151" s="3" t="s">
        <v>112</v>
      </c>
      <c r="AT151" s="3" t="s">
        <v>113</v>
      </c>
      <c r="AU151" s="3" t="s">
        <v>2303</v>
      </c>
      <c r="AV151" s="3" t="s">
        <v>2302</v>
      </c>
      <c r="AW151" s="3" t="s">
        <v>2301</v>
      </c>
      <c r="AX151" s="3" t="s">
        <v>2006</v>
      </c>
      <c r="AY151" s="19">
        <v>98100</v>
      </c>
      <c r="AZ151" s="19" t="s">
        <v>114</v>
      </c>
      <c r="BA151" s="19" t="s">
        <v>114</v>
      </c>
      <c r="BB151" s="19" t="s">
        <v>114</v>
      </c>
      <c r="BC151" s="19">
        <v>98104</v>
      </c>
      <c r="BD151" s="19" t="s">
        <v>114</v>
      </c>
      <c r="BE151" s="19">
        <v>98106</v>
      </c>
      <c r="BF151" s="19" t="s">
        <v>114</v>
      </c>
      <c r="BG151" s="19" t="s">
        <v>114</v>
      </c>
      <c r="BH151" s="19" t="s">
        <v>114</v>
      </c>
      <c r="BI151" s="19">
        <v>98110</v>
      </c>
      <c r="BJ151" s="19" t="s">
        <v>114</v>
      </c>
      <c r="BK151" s="19" t="s">
        <v>114</v>
      </c>
      <c r="BL151" s="19" t="s">
        <v>114</v>
      </c>
      <c r="BM151" s="19" t="s">
        <v>114</v>
      </c>
      <c r="BN151" s="19" t="s">
        <v>114</v>
      </c>
      <c r="BO151" s="19" t="s">
        <v>114</v>
      </c>
      <c r="BP151" s="19" t="s">
        <v>114</v>
      </c>
      <c r="BQ151" s="19">
        <v>98118</v>
      </c>
      <c r="BR151" s="19">
        <v>98119</v>
      </c>
      <c r="BS151" s="19">
        <v>98120</v>
      </c>
      <c r="BT151" s="19">
        <v>98121</v>
      </c>
      <c r="BU151" s="19" t="s">
        <v>114</v>
      </c>
      <c r="BV151" s="19" t="s">
        <v>114</v>
      </c>
      <c r="BW151" s="19" t="s">
        <v>114</v>
      </c>
      <c r="BX151" s="19" t="s">
        <v>114</v>
      </c>
      <c r="BY151" s="19">
        <v>98126</v>
      </c>
      <c r="BZ151" s="21" t="s">
        <v>114</v>
      </c>
      <c r="CA151" s="21" t="s">
        <v>114</v>
      </c>
      <c r="CB151" s="21" t="s">
        <v>114</v>
      </c>
      <c r="CC151" s="21" t="s">
        <v>114</v>
      </c>
      <c r="CD151" s="21" t="s">
        <v>114</v>
      </c>
      <c r="CE151" s="21" t="s">
        <v>114</v>
      </c>
      <c r="CF151" s="19" t="s">
        <v>114</v>
      </c>
      <c r="CG151" s="19" t="s">
        <v>114</v>
      </c>
      <c r="CH151" s="19" t="s">
        <v>114</v>
      </c>
      <c r="CI151" s="21" t="s">
        <v>114</v>
      </c>
      <c r="CJ151" s="21" t="s">
        <v>114</v>
      </c>
      <c r="CK151" s="21">
        <v>98405</v>
      </c>
      <c r="CL151" s="21" t="s">
        <v>114</v>
      </c>
      <c r="CM151" s="21" t="s">
        <v>114</v>
      </c>
      <c r="CN151" s="21" t="s">
        <v>114</v>
      </c>
      <c r="CO151" s="21" t="s">
        <v>114</v>
      </c>
      <c r="CP151" s="21" t="s">
        <v>114</v>
      </c>
      <c r="CQ151" s="21" t="s">
        <v>114</v>
      </c>
      <c r="CR151" s="21" t="s">
        <v>114</v>
      </c>
      <c r="CS151" s="21" t="s">
        <v>114</v>
      </c>
      <c r="CT151" s="21" t="s">
        <v>114</v>
      </c>
      <c r="CU151" s="21" t="s">
        <v>114</v>
      </c>
      <c r="CV151" s="21" t="s">
        <v>114</v>
      </c>
      <c r="CW151" s="21" t="s">
        <v>114</v>
      </c>
      <c r="CX151" s="21" t="s">
        <v>114</v>
      </c>
      <c r="CY151" s="21" t="s">
        <v>114</v>
      </c>
      <c r="CZ151" s="21" t="s">
        <v>114</v>
      </c>
      <c r="DA151" s="21" t="s">
        <v>114</v>
      </c>
      <c r="DB151" s="21" t="s">
        <v>114</v>
      </c>
      <c r="DC151" s="21" t="s">
        <v>114</v>
      </c>
      <c r="DD151" s="21" t="s">
        <v>114</v>
      </c>
      <c r="DE151" s="21" t="s">
        <v>114</v>
      </c>
      <c r="DF151" s="19" t="s">
        <v>114</v>
      </c>
      <c r="DG151" s="19" t="s">
        <v>114</v>
      </c>
      <c r="DH151" s="19" t="s">
        <v>114</v>
      </c>
      <c r="DI151" s="19" t="s">
        <v>114</v>
      </c>
      <c r="DJ151" s="19" t="s">
        <v>114</v>
      </c>
      <c r="DK151" s="19" t="s">
        <v>114</v>
      </c>
      <c r="DL151" s="19" t="s">
        <v>114</v>
      </c>
      <c r="DM151" s="19" t="s">
        <v>114</v>
      </c>
      <c r="DN151" s="19" t="s">
        <v>114</v>
      </c>
      <c r="DO151" s="19" t="s">
        <v>114</v>
      </c>
    </row>
    <row r="152" spans="1:119" hidden="1" x14ac:dyDescent="0.45">
      <c r="A152" s="2" t="s">
        <v>1118</v>
      </c>
      <c r="B152" t="s">
        <v>1119</v>
      </c>
      <c r="C152" s="2">
        <v>638</v>
      </c>
      <c r="D152" s="6">
        <v>145</v>
      </c>
      <c r="E152" s="2" t="s">
        <v>1760</v>
      </c>
      <c r="F152" t="s">
        <v>1120</v>
      </c>
      <c r="H152" s="2" t="s">
        <v>1120</v>
      </c>
      <c r="I152" s="2" t="s">
        <v>1121</v>
      </c>
      <c r="J152" s="2">
        <v>2</v>
      </c>
      <c r="K152" t="s">
        <v>116</v>
      </c>
      <c r="L152" s="2">
        <v>202</v>
      </c>
      <c r="M152" t="s">
        <v>166</v>
      </c>
      <c r="N152">
        <v>14</v>
      </c>
      <c r="O152" t="s">
        <v>328</v>
      </c>
      <c r="P152" s="2" t="s">
        <v>116</v>
      </c>
      <c r="Q152" s="2" t="s">
        <v>166</v>
      </c>
      <c r="R152" s="2">
        <v>202</v>
      </c>
      <c r="S152" s="4" t="s">
        <v>166</v>
      </c>
      <c r="T152" s="2">
        <v>202</v>
      </c>
      <c r="U152" s="4" t="s">
        <v>166</v>
      </c>
      <c r="V152" t="s">
        <v>2457</v>
      </c>
      <c r="W152" t="s">
        <v>2457</v>
      </c>
      <c r="X152" t="s">
        <v>2440</v>
      </c>
      <c r="Y152" t="s">
        <v>328</v>
      </c>
      <c r="Z152" t="s">
        <v>328</v>
      </c>
      <c r="AA152" s="3" t="s">
        <v>328</v>
      </c>
      <c r="AB152" s="3" t="s">
        <v>2874</v>
      </c>
      <c r="AC152" s="2" t="s">
        <v>1888</v>
      </c>
      <c r="AD152" s="2" t="s">
        <v>1888</v>
      </c>
      <c r="AE152" t="s">
        <v>104</v>
      </c>
      <c r="AF152" t="s">
        <v>1886</v>
      </c>
      <c r="AG152" s="3" t="s">
        <v>1887</v>
      </c>
      <c r="AH152" t="s">
        <v>105</v>
      </c>
      <c r="AI152" s="3" t="s">
        <v>105</v>
      </c>
      <c r="AJ152" s="3" t="s">
        <v>106</v>
      </c>
      <c r="AK152" s="3" t="s">
        <v>107</v>
      </c>
      <c r="AL152" s="5" t="s">
        <v>132</v>
      </c>
      <c r="AM152" s="5" t="s">
        <v>109</v>
      </c>
      <c r="AO152" s="3" t="s">
        <v>119</v>
      </c>
      <c r="AP152" s="3" t="s">
        <v>120</v>
      </c>
      <c r="AQ152" s="3" t="s">
        <v>111</v>
      </c>
      <c r="AR152" s="3" t="s">
        <v>112</v>
      </c>
      <c r="AS152" s="3" t="s">
        <v>112</v>
      </c>
      <c r="AT152" s="3" t="s">
        <v>113</v>
      </c>
      <c r="AU152" s="3" t="s">
        <v>2303</v>
      </c>
      <c r="AV152" s="3" t="s">
        <v>2302</v>
      </c>
      <c r="AW152" s="3" t="s">
        <v>2301</v>
      </c>
      <c r="AX152" s="3" t="s">
        <v>2006</v>
      </c>
      <c r="AY152" s="19" t="s">
        <v>114</v>
      </c>
      <c r="AZ152" s="19" t="s">
        <v>114</v>
      </c>
      <c r="BA152" s="19" t="s">
        <v>114</v>
      </c>
      <c r="BB152" s="19" t="s">
        <v>114</v>
      </c>
      <c r="BC152" s="19" t="s">
        <v>114</v>
      </c>
      <c r="BD152" s="19" t="s">
        <v>114</v>
      </c>
      <c r="BE152" s="19" t="s">
        <v>114</v>
      </c>
      <c r="BF152" s="19" t="s">
        <v>114</v>
      </c>
      <c r="BG152" s="19" t="s">
        <v>114</v>
      </c>
      <c r="BH152" s="19" t="s">
        <v>114</v>
      </c>
      <c r="BI152" s="19" t="s">
        <v>114</v>
      </c>
      <c r="BJ152" s="19" t="s">
        <v>114</v>
      </c>
      <c r="BK152" s="19" t="s">
        <v>114</v>
      </c>
      <c r="BL152" s="19" t="s">
        <v>114</v>
      </c>
      <c r="BM152" s="19" t="s">
        <v>114</v>
      </c>
      <c r="BN152" s="19" t="s">
        <v>114</v>
      </c>
      <c r="BO152" s="19" t="s">
        <v>114</v>
      </c>
      <c r="BP152" s="19" t="s">
        <v>114</v>
      </c>
      <c r="BQ152" s="19" t="s">
        <v>114</v>
      </c>
      <c r="BR152" s="19" t="s">
        <v>114</v>
      </c>
      <c r="BS152" s="19" t="s">
        <v>114</v>
      </c>
      <c r="BT152" s="19" t="s">
        <v>114</v>
      </c>
      <c r="BU152" s="19" t="s">
        <v>114</v>
      </c>
      <c r="BV152" s="19" t="s">
        <v>114</v>
      </c>
      <c r="BW152" s="19" t="s">
        <v>114</v>
      </c>
      <c r="BX152" s="19" t="s">
        <v>114</v>
      </c>
      <c r="BY152" s="19" t="s">
        <v>114</v>
      </c>
      <c r="BZ152" s="21" t="s">
        <v>114</v>
      </c>
      <c r="CA152" s="21" t="s">
        <v>114</v>
      </c>
      <c r="CB152" s="21" t="s">
        <v>114</v>
      </c>
      <c r="CC152" s="21" t="s">
        <v>114</v>
      </c>
      <c r="CD152" s="21" t="s">
        <v>114</v>
      </c>
      <c r="CE152" s="21" t="s">
        <v>114</v>
      </c>
      <c r="CF152" s="19" t="s">
        <v>114</v>
      </c>
      <c r="CG152" s="19" t="s">
        <v>114</v>
      </c>
      <c r="CH152" s="19" t="s">
        <v>114</v>
      </c>
      <c r="CI152" s="21" t="s">
        <v>114</v>
      </c>
      <c r="CJ152" s="21" t="s">
        <v>114</v>
      </c>
      <c r="CK152" s="21">
        <v>98405</v>
      </c>
      <c r="CL152" s="21" t="s">
        <v>114</v>
      </c>
      <c r="CM152" s="21" t="s">
        <v>114</v>
      </c>
      <c r="CN152" s="21" t="s">
        <v>114</v>
      </c>
      <c r="CO152" s="21" t="s">
        <v>114</v>
      </c>
      <c r="CP152" s="21" t="s">
        <v>114</v>
      </c>
      <c r="CQ152" s="21" t="s">
        <v>114</v>
      </c>
      <c r="CR152" s="21" t="s">
        <v>114</v>
      </c>
      <c r="CS152" s="21" t="s">
        <v>114</v>
      </c>
      <c r="CT152" s="21" t="s">
        <v>114</v>
      </c>
      <c r="CU152" s="21" t="s">
        <v>114</v>
      </c>
      <c r="CV152" s="21" t="s">
        <v>114</v>
      </c>
      <c r="CW152" s="21" t="s">
        <v>114</v>
      </c>
      <c r="CX152" s="21" t="s">
        <v>114</v>
      </c>
      <c r="CY152" s="21" t="s">
        <v>114</v>
      </c>
      <c r="CZ152" s="21" t="s">
        <v>114</v>
      </c>
      <c r="DA152" s="21" t="s">
        <v>114</v>
      </c>
      <c r="DB152" s="21" t="s">
        <v>114</v>
      </c>
      <c r="DC152" s="21" t="s">
        <v>114</v>
      </c>
      <c r="DD152" s="21" t="s">
        <v>114</v>
      </c>
      <c r="DE152" s="21" t="s">
        <v>114</v>
      </c>
      <c r="DF152" s="19" t="s">
        <v>114</v>
      </c>
      <c r="DG152" s="19" t="s">
        <v>114</v>
      </c>
      <c r="DH152" s="19" t="s">
        <v>114</v>
      </c>
      <c r="DI152" s="19" t="s">
        <v>114</v>
      </c>
      <c r="DJ152" s="19" t="s">
        <v>114</v>
      </c>
      <c r="DK152" s="19" t="s">
        <v>114</v>
      </c>
      <c r="DL152" s="19" t="s">
        <v>114</v>
      </c>
      <c r="DM152" s="19" t="s">
        <v>114</v>
      </c>
      <c r="DN152" s="19" t="s">
        <v>114</v>
      </c>
      <c r="DO152" s="19" t="s">
        <v>114</v>
      </c>
    </row>
    <row r="153" spans="1:119" hidden="1" x14ac:dyDescent="0.45">
      <c r="A153" s="2" t="s">
        <v>1134</v>
      </c>
      <c r="B153" t="s">
        <v>1135</v>
      </c>
      <c r="C153" s="2">
        <v>646</v>
      </c>
      <c r="D153" s="6">
        <v>146</v>
      </c>
      <c r="E153" s="2" t="s">
        <v>1136</v>
      </c>
      <c r="F153" t="s">
        <v>1136</v>
      </c>
      <c r="G153" t="s">
        <v>2137</v>
      </c>
      <c r="H153" s="2" t="s">
        <v>1136</v>
      </c>
      <c r="I153" s="2" t="s">
        <v>1136</v>
      </c>
      <c r="J153" s="2">
        <v>2</v>
      </c>
      <c r="K153" t="s">
        <v>116</v>
      </c>
      <c r="L153" s="2">
        <v>202</v>
      </c>
      <c r="M153" t="s">
        <v>166</v>
      </c>
      <c r="N153">
        <v>14</v>
      </c>
      <c r="O153" t="s">
        <v>328</v>
      </c>
      <c r="P153" s="2" t="s">
        <v>116</v>
      </c>
      <c r="Q153" s="2" t="s">
        <v>166</v>
      </c>
      <c r="R153" s="2">
        <v>202</v>
      </c>
      <c r="S153" s="4" t="s">
        <v>166</v>
      </c>
      <c r="T153" s="2">
        <v>202</v>
      </c>
      <c r="U153" s="4" t="s">
        <v>166</v>
      </c>
      <c r="V153" t="s">
        <v>2457</v>
      </c>
      <c r="W153" t="s">
        <v>2457</v>
      </c>
      <c r="X153" t="s">
        <v>2440</v>
      </c>
      <c r="Y153" t="s">
        <v>328</v>
      </c>
      <c r="Z153" t="s">
        <v>328</v>
      </c>
      <c r="AA153" s="3" t="s">
        <v>328</v>
      </c>
      <c r="AB153" s="3" t="s">
        <v>2874</v>
      </c>
      <c r="AC153" s="2" t="s">
        <v>103</v>
      </c>
      <c r="AD153" s="2" t="s">
        <v>1890</v>
      </c>
      <c r="AE153" t="s">
        <v>104</v>
      </c>
      <c r="AF153" t="s">
        <v>1885</v>
      </c>
      <c r="AG153" t="s">
        <v>1884</v>
      </c>
      <c r="AH153" t="s">
        <v>105</v>
      </c>
      <c r="AI153" s="3" t="s">
        <v>105</v>
      </c>
      <c r="AJ153" s="3" t="s">
        <v>106</v>
      </c>
      <c r="AK153" s="3" t="s">
        <v>107</v>
      </c>
      <c r="AL153" s="5" t="s">
        <v>1137</v>
      </c>
      <c r="AM153" s="5" t="s">
        <v>109</v>
      </c>
      <c r="AN153" t="s">
        <v>110</v>
      </c>
      <c r="AO153" t="s">
        <v>25</v>
      </c>
      <c r="AP153" s="3" t="s">
        <v>26</v>
      </c>
      <c r="AQ153" s="3" t="s">
        <v>111</v>
      </c>
      <c r="AR153" s="3" t="s">
        <v>112</v>
      </c>
      <c r="AS153" s="3" t="s">
        <v>112</v>
      </c>
      <c r="AT153" s="3" t="s">
        <v>113</v>
      </c>
      <c r="AU153" s="3" t="s">
        <v>2303</v>
      </c>
      <c r="AV153" s="3" t="s">
        <v>2302</v>
      </c>
      <c r="AW153" s="3" t="s">
        <v>2301</v>
      </c>
      <c r="AX153" s="3" t="s">
        <v>2006</v>
      </c>
      <c r="AY153" s="19">
        <v>98100</v>
      </c>
      <c r="AZ153" s="19" t="s">
        <v>114</v>
      </c>
      <c r="BA153" s="19">
        <v>98102</v>
      </c>
      <c r="BB153" s="19" t="s">
        <v>114</v>
      </c>
      <c r="BC153" s="19" t="s">
        <v>114</v>
      </c>
      <c r="BD153" s="19" t="s">
        <v>114</v>
      </c>
      <c r="BE153" s="19">
        <v>98106</v>
      </c>
      <c r="BF153" s="19">
        <v>98107</v>
      </c>
      <c r="BG153" s="19" t="s">
        <v>114</v>
      </c>
      <c r="BH153" s="19" t="s">
        <v>114</v>
      </c>
      <c r="BI153" s="19" t="s">
        <v>114</v>
      </c>
      <c r="BJ153" s="19" t="s">
        <v>114</v>
      </c>
      <c r="BK153" s="19" t="s">
        <v>114</v>
      </c>
      <c r="BL153" s="19">
        <v>98113</v>
      </c>
      <c r="BM153" s="19">
        <v>98114</v>
      </c>
      <c r="BN153" s="19" t="s">
        <v>114</v>
      </c>
      <c r="BO153" s="19">
        <v>98116</v>
      </c>
      <c r="BP153" s="19">
        <v>98117</v>
      </c>
      <c r="BQ153" s="19">
        <v>98118</v>
      </c>
      <c r="BR153" s="19">
        <v>98119</v>
      </c>
      <c r="BS153" s="19">
        <v>98120</v>
      </c>
      <c r="BT153" s="19">
        <v>98121</v>
      </c>
      <c r="BU153" s="19" t="s">
        <v>114</v>
      </c>
      <c r="BV153" s="19" t="s">
        <v>114</v>
      </c>
      <c r="BW153" s="19" t="s">
        <v>114</v>
      </c>
      <c r="BX153" s="19" t="s">
        <v>114</v>
      </c>
      <c r="BY153" s="19">
        <v>98126</v>
      </c>
      <c r="BZ153" s="21" t="s">
        <v>114</v>
      </c>
      <c r="CA153" s="21" t="s">
        <v>114</v>
      </c>
      <c r="CB153" s="21" t="s">
        <v>114</v>
      </c>
      <c r="CC153" s="21" t="s">
        <v>114</v>
      </c>
      <c r="CD153" s="21" t="s">
        <v>114</v>
      </c>
      <c r="CE153" s="21" t="s">
        <v>114</v>
      </c>
      <c r="CF153" s="19" t="s">
        <v>114</v>
      </c>
      <c r="CG153" s="19" t="s">
        <v>114</v>
      </c>
      <c r="CH153" s="19" t="s">
        <v>114</v>
      </c>
      <c r="CI153" s="21" t="s">
        <v>114</v>
      </c>
      <c r="CJ153" s="21" t="s">
        <v>114</v>
      </c>
      <c r="CK153" s="21">
        <v>98405</v>
      </c>
      <c r="CL153" s="21" t="s">
        <v>114</v>
      </c>
      <c r="CM153" s="21" t="s">
        <v>114</v>
      </c>
      <c r="CN153" s="21" t="s">
        <v>114</v>
      </c>
      <c r="CO153" s="21" t="s">
        <v>114</v>
      </c>
      <c r="CP153" s="21" t="s">
        <v>114</v>
      </c>
      <c r="CQ153" s="21" t="s">
        <v>114</v>
      </c>
      <c r="CR153" s="21" t="s">
        <v>114</v>
      </c>
      <c r="CS153" s="21" t="s">
        <v>114</v>
      </c>
      <c r="CT153" s="21" t="s">
        <v>114</v>
      </c>
      <c r="CU153" s="21" t="s">
        <v>114</v>
      </c>
      <c r="CV153" s="21" t="s">
        <v>114</v>
      </c>
      <c r="CW153" s="21" t="s">
        <v>114</v>
      </c>
      <c r="CX153" s="21" t="s">
        <v>114</v>
      </c>
      <c r="CY153" s="21" t="s">
        <v>114</v>
      </c>
      <c r="CZ153" s="21" t="s">
        <v>114</v>
      </c>
      <c r="DA153" s="21" t="s">
        <v>114</v>
      </c>
      <c r="DB153" s="21" t="s">
        <v>114</v>
      </c>
      <c r="DC153" s="21" t="s">
        <v>114</v>
      </c>
      <c r="DD153" s="21" t="s">
        <v>114</v>
      </c>
      <c r="DE153" s="21" t="s">
        <v>114</v>
      </c>
      <c r="DF153" s="19" t="s">
        <v>114</v>
      </c>
      <c r="DG153" s="19" t="s">
        <v>114</v>
      </c>
      <c r="DH153" s="19" t="s">
        <v>114</v>
      </c>
      <c r="DI153" s="19" t="s">
        <v>114</v>
      </c>
      <c r="DJ153" s="19" t="s">
        <v>114</v>
      </c>
      <c r="DK153" s="19" t="s">
        <v>114</v>
      </c>
      <c r="DL153" s="19" t="s">
        <v>114</v>
      </c>
      <c r="DM153" s="19" t="s">
        <v>114</v>
      </c>
      <c r="DN153" s="19" t="s">
        <v>114</v>
      </c>
      <c r="DO153" s="19" t="s">
        <v>114</v>
      </c>
    </row>
    <row r="154" spans="1:119" hidden="1" x14ac:dyDescent="0.45">
      <c r="A154" s="2" t="s">
        <v>1208</v>
      </c>
      <c r="B154" t="s">
        <v>1209</v>
      </c>
      <c r="C154" s="2">
        <v>690</v>
      </c>
      <c r="D154" s="6">
        <v>150</v>
      </c>
      <c r="E154" s="2" t="s">
        <v>1210</v>
      </c>
      <c r="F154" t="s">
        <v>1210</v>
      </c>
      <c r="G154" t="s">
        <v>2144</v>
      </c>
      <c r="H154" s="2" t="s">
        <v>1210</v>
      </c>
      <c r="I154" s="2" t="s">
        <v>1210</v>
      </c>
      <c r="J154" s="2">
        <v>2</v>
      </c>
      <c r="K154" t="s">
        <v>116</v>
      </c>
      <c r="L154" s="2">
        <v>202</v>
      </c>
      <c r="M154" t="s">
        <v>166</v>
      </c>
      <c r="N154">
        <v>14</v>
      </c>
      <c r="O154" t="s">
        <v>328</v>
      </c>
      <c r="P154" s="2" t="s">
        <v>116</v>
      </c>
      <c r="Q154" s="2" t="s">
        <v>166</v>
      </c>
      <c r="R154" s="2">
        <v>202</v>
      </c>
      <c r="S154" s="4" t="s">
        <v>166</v>
      </c>
      <c r="T154" s="2">
        <v>202</v>
      </c>
      <c r="U154" s="4" t="s">
        <v>166</v>
      </c>
      <c r="V154" t="s">
        <v>2457</v>
      </c>
      <c r="W154" t="s">
        <v>2457</v>
      </c>
      <c r="X154" t="s">
        <v>2440</v>
      </c>
      <c r="Y154" t="s">
        <v>328</v>
      </c>
      <c r="Z154" t="s">
        <v>328</v>
      </c>
      <c r="AA154" s="3" t="s">
        <v>328</v>
      </c>
      <c r="AB154" s="3" t="s">
        <v>2874</v>
      </c>
      <c r="AC154" s="2" t="s">
        <v>130</v>
      </c>
      <c r="AD154" s="4" t="s">
        <v>1891</v>
      </c>
      <c r="AE154" t="s">
        <v>104</v>
      </c>
      <c r="AF154" t="s">
        <v>1886</v>
      </c>
      <c r="AG154" t="s">
        <v>1884</v>
      </c>
      <c r="AH154" t="s">
        <v>105</v>
      </c>
      <c r="AI154" s="3" t="s">
        <v>105</v>
      </c>
      <c r="AJ154" s="3" t="s">
        <v>106</v>
      </c>
      <c r="AK154" s="3" t="s">
        <v>107</v>
      </c>
      <c r="AL154" s="5" t="s">
        <v>1211</v>
      </c>
      <c r="AM154" s="5" t="s">
        <v>109</v>
      </c>
      <c r="AN154" t="s">
        <v>110</v>
      </c>
      <c r="AO154" s="3" t="s">
        <v>119</v>
      </c>
      <c r="AP154" s="3" t="s">
        <v>120</v>
      </c>
      <c r="AQ154" s="3" t="s">
        <v>27</v>
      </c>
      <c r="AR154" s="3" t="s">
        <v>112</v>
      </c>
      <c r="AS154" s="3" t="s">
        <v>112</v>
      </c>
      <c r="AT154" t="s">
        <v>191</v>
      </c>
      <c r="AU154" s="3" t="s">
        <v>2303</v>
      </c>
      <c r="AV154" s="3" t="s">
        <v>2302</v>
      </c>
      <c r="AW154" s="3" t="s">
        <v>2301</v>
      </c>
      <c r="AX154" s="3" t="s">
        <v>2006</v>
      </c>
      <c r="AY154" s="19">
        <v>98100</v>
      </c>
      <c r="AZ154" s="19" t="s">
        <v>114</v>
      </c>
      <c r="BA154" s="19">
        <v>98102</v>
      </c>
      <c r="BB154" s="19" t="s">
        <v>114</v>
      </c>
      <c r="BC154" s="19" t="s">
        <v>114</v>
      </c>
      <c r="BD154" s="19" t="s">
        <v>114</v>
      </c>
      <c r="BE154" s="19">
        <v>98106</v>
      </c>
      <c r="BF154" s="19" t="s">
        <v>114</v>
      </c>
      <c r="BG154" s="19" t="s">
        <v>114</v>
      </c>
      <c r="BH154" s="19" t="s">
        <v>114</v>
      </c>
      <c r="BI154" s="19">
        <v>98110</v>
      </c>
      <c r="BJ154" s="19" t="s">
        <v>114</v>
      </c>
      <c r="BK154" s="19" t="s">
        <v>114</v>
      </c>
      <c r="BL154" s="19">
        <v>98113</v>
      </c>
      <c r="BM154" s="19" t="s">
        <v>114</v>
      </c>
      <c r="BN154" s="19">
        <v>98115</v>
      </c>
      <c r="BO154" s="19" t="s">
        <v>114</v>
      </c>
      <c r="BP154" s="19" t="s">
        <v>114</v>
      </c>
      <c r="BQ154" s="19" t="s">
        <v>114</v>
      </c>
      <c r="BR154" s="19" t="s">
        <v>114</v>
      </c>
      <c r="BS154" s="19" t="s">
        <v>114</v>
      </c>
      <c r="BT154" s="19">
        <v>98121</v>
      </c>
      <c r="BU154" s="19" t="s">
        <v>114</v>
      </c>
      <c r="BV154" s="19" t="s">
        <v>114</v>
      </c>
      <c r="BW154" s="19" t="s">
        <v>114</v>
      </c>
      <c r="BX154" s="19">
        <v>98125</v>
      </c>
      <c r="BY154" s="19">
        <v>98126</v>
      </c>
      <c r="BZ154" s="21" t="s">
        <v>114</v>
      </c>
      <c r="CA154" s="21" t="s">
        <v>114</v>
      </c>
      <c r="CB154" s="21" t="s">
        <v>114</v>
      </c>
      <c r="CC154" s="21" t="s">
        <v>114</v>
      </c>
      <c r="CD154" s="21" t="s">
        <v>114</v>
      </c>
      <c r="CE154" s="21" t="s">
        <v>114</v>
      </c>
      <c r="CF154" s="19" t="s">
        <v>114</v>
      </c>
      <c r="CG154" s="19" t="s">
        <v>114</v>
      </c>
      <c r="CH154" s="19" t="s">
        <v>114</v>
      </c>
      <c r="CI154" s="21" t="s">
        <v>114</v>
      </c>
      <c r="CJ154" s="21" t="s">
        <v>114</v>
      </c>
      <c r="CK154" s="21">
        <v>98405</v>
      </c>
      <c r="CL154" s="21" t="s">
        <v>114</v>
      </c>
      <c r="CM154" s="21" t="s">
        <v>114</v>
      </c>
      <c r="CN154" s="21" t="s">
        <v>114</v>
      </c>
      <c r="CO154" s="21" t="s">
        <v>114</v>
      </c>
      <c r="CP154" s="21" t="s">
        <v>114</v>
      </c>
      <c r="CQ154" s="21" t="s">
        <v>114</v>
      </c>
      <c r="CR154" s="21" t="s">
        <v>114</v>
      </c>
      <c r="CS154" s="21" t="s">
        <v>114</v>
      </c>
      <c r="CT154" s="21" t="s">
        <v>114</v>
      </c>
      <c r="CU154" s="21" t="s">
        <v>114</v>
      </c>
      <c r="CV154" s="21" t="s">
        <v>114</v>
      </c>
      <c r="CW154" s="21" t="s">
        <v>114</v>
      </c>
      <c r="CX154" s="21" t="s">
        <v>114</v>
      </c>
      <c r="CY154" s="21" t="s">
        <v>114</v>
      </c>
      <c r="CZ154" s="21" t="s">
        <v>114</v>
      </c>
      <c r="DA154" s="21" t="s">
        <v>114</v>
      </c>
      <c r="DB154" s="21" t="s">
        <v>114</v>
      </c>
      <c r="DC154" s="21" t="s">
        <v>114</v>
      </c>
      <c r="DD154" s="21" t="s">
        <v>114</v>
      </c>
      <c r="DE154" s="21" t="s">
        <v>114</v>
      </c>
      <c r="DF154" s="19" t="s">
        <v>114</v>
      </c>
      <c r="DG154" s="19" t="s">
        <v>114</v>
      </c>
      <c r="DH154" s="19" t="s">
        <v>114</v>
      </c>
      <c r="DI154" s="19" t="s">
        <v>114</v>
      </c>
      <c r="DJ154" s="19" t="s">
        <v>114</v>
      </c>
      <c r="DK154" s="19" t="s">
        <v>114</v>
      </c>
      <c r="DL154" s="19" t="s">
        <v>114</v>
      </c>
      <c r="DM154" s="19" t="s">
        <v>114</v>
      </c>
      <c r="DN154" s="19" t="s">
        <v>114</v>
      </c>
      <c r="DO154" s="19" t="s">
        <v>114</v>
      </c>
    </row>
    <row r="155" spans="1:119" hidden="1" x14ac:dyDescent="0.45">
      <c r="A155" s="2" t="s">
        <v>1246</v>
      </c>
      <c r="B155" t="s">
        <v>1247</v>
      </c>
      <c r="C155" s="2">
        <v>706</v>
      </c>
      <c r="D155" s="6">
        <v>152</v>
      </c>
      <c r="E155" s="2" t="s">
        <v>1248</v>
      </c>
      <c r="F155" t="s">
        <v>1248</v>
      </c>
      <c r="G155" t="s">
        <v>2149</v>
      </c>
      <c r="H155" s="2" t="s">
        <v>1249</v>
      </c>
      <c r="I155" s="2" t="s">
        <v>1248</v>
      </c>
      <c r="J155" s="2">
        <v>2</v>
      </c>
      <c r="K155" t="s">
        <v>116</v>
      </c>
      <c r="L155" s="2">
        <v>202</v>
      </c>
      <c r="M155" t="s">
        <v>166</v>
      </c>
      <c r="N155">
        <v>14</v>
      </c>
      <c r="O155" t="s">
        <v>328</v>
      </c>
      <c r="P155" s="2" t="s">
        <v>116</v>
      </c>
      <c r="Q155" s="2" t="s">
        <v>166</v>
      </c>
      <c r="R155" s="2">
        <v>202</v>
      </c>
      <c r="S155" s="4" t="s">
        <v>166</v>
      </c>
      <c r="T155" s="2">
        <v>202</v>
      </c>
      <c r="U155" s="4" t="s">
        <v>166</v>
      </c>
      <c r="V155" t="s">
        <v>2457</v>
      </c>
      <c r="W155" t="s">
        <v>2457</v>
      </c>
      <c r="X155" t="s">
        <v>2440</v>
      </c>
      <c r="Y155" t="s">
        <v>328</v>
      </c>
      <c r="Z155" t="s">
        <v>328</v>
      </c>
      <c r="AA155" s="3" t="s">
        <v>328</v>
      </c>
      <c r="AB155" s="3" t="s">
        <v>2874</v>
      </c>
      <c r="AC155" s="2" t="s">
        <v>103</v>
      </c>
      <c r="AD155" s="2" t="s">
        <v>1890</v>
      </c>
      <c r="AE155" t="s">
        <v>104</v>
      </c>
      <c r="AF155" t="s">
        <v>1885</v>
      </c>
      <c r="AG155" t="s">
        <v>1884</v>
      </c>
      <c r="AH155" t="s">
        <v>105</v>
      </c>
      <c r="AI155" s="3" t="s">
        <v>105</v>
      </c>
      <c r="AJ155" s="3" t="s">
        <v>106</v>
      </c>
      <c r="AK155" s="3" t="s">
        <v>107</v>
      </c>
      <c r="AL155" s="5" t="s">
        <v>1250</v>
      </c>
      <c r="AM155" s="5" t="s">
        <v>109</v>
      </c>
      <c r="AN155" t="s">
        <v>110</v>
      </c>
      <c r="AO155" t="s">
        <v>25</v>
      </c>
      <c r="AP155" s="3" t="s">
        <v>120</v>
      </c>
      <c r="AQ155" s="3" t="s">
        <v>111</v>
      </c>
      <c r="AR155" s="3" t="s">
        <v>112</v>
      </c>
      <c r="AS155" s="3" t="s">
        <v>112</v>
      </c>
      <c r="AT155" s="3" t="s">
        <v>113</v>
      </c>
      <c r="AU155" s="3" t="s">
        <v>2303</v>
      </c>
      <c r="AV155" s="3" t="s">
        <v>2302</v>
      </c>
      <c r="AW155" s="3" t="s">
        <v>2301</v>
      </c>
      <c r="AX155" s="3" t="s">
        <v>2006</v>
      </c>
      <c r="AY155" s="19">
        <v>98100</v>
      </c>
      <c r="AZ155" s="19" t="s">
        <v>114</v>
      </c>
      <c r="BA155" s="19">
        <v>98102</v>
      </c>
      <c r="BB155" s="19" t="s">
        <v>114</v>
      </c>
      <c r="BC155" s="19" t="s">
        <v>114</v>
      </c>
      <c r="BD155" s="19" t="s">
        <v>114</v>
      </c>
      <c r="BE155" s="19">
        <v>98106</v>
      </c>
      <c r="BF155" s="19" t="s">
        <v>114</v>
      </c>
      <c r="BG155" s="19" t="s">
        <v>114</v>
      </c>
      <c r="BH155" s="19">
        <v>98109</v>
      </c>
      <c r="BI155" s="19" t="s">
        <v>114</v>
      </c>
      <c r="BJ155" s="19" t="s">
        <v>114</v>
      </c>
      <c r="BK155" s="19">
        <v>98112</v>
      </c>
      <c r="BL155" s="19">
        <v>98113</v>
      </c>
      <c r="BM155" s="19" t="s">
        <v>114</v>
      </c>
      <c r="BN155" s="19" t="s">
        <v>114</v>
      </c>
      <c r="BO155" s="19" t="s">
        <v>114</v>
      </c>
      <c r="BP155" s="19" t="s">
        <v>114</v>
      </c>
      <c r="BQ155" s="19">
        <v>98118</v>
      </c>
      <c r="BR155" s="19" t="s">
        <v>114</v>
      </c>
      <c r="BS155" s="19">
        <v>98120</v>
      </c>
      <c r="BT155" s="19">
        <v>98121</v>
      </c>
      <c r="BU155" s="19" t="s">
        <v>114</v>
      </c>
      <c r="BV155" s="19" t="s">
        <v>114</v>
      </c>
      <c r="BW155" s="19" t="s">
        <v>114</v>
      </c>
      <c r="BX155" s="19" t="s">
        <v>114</v>
      </c>
      <c r="BY155" s="19">
        <v>98126</v>
      </c>
      <c r="BZ155" s="21" t="s">
        <v>114</v>
      </c>
      <c r="CA155" s="21" t="s">
        <v>114</v>
      </c>
      <c r="CB155" s="21" t="s">
        <v>114</v>
      </c>
      <c r="CC155" s="21" t="s">
        <v>114</v>
      </c>
      <c r="CD155" s="21" t="s">
        <v>114</v>
      </c>
      <c r="CE155" s="21" t="s">
        <v>114</v>
      </c>
      <c r="CF155" s="19" t="s">
        <v>114</v>
      </c>
      <c r="CG155" s="19" t="s">
        <v>114</v>
      </c>
      <c r="CH155" s="19" t="s">
        <v>114</v>
      </c>
      <c r="CI155" s="21" t="s">
        <v>114</v>
      </c>
      <c r="CJ155" s="21" t="s">
        <v>114</v>
      </c>
      <c r="CK155" s="21">
        <v>98405</v>
      </c>
      <c r="CL155" s="21" t="s">
        <v>114</v>
      </c>
      <c r="CM155" s="21" t="s">
        <v>114</v>
      </c>
      <c r="CN155" s="21" t="s">
        <v>114</v>
      </c>
      <c r="CO155" s="21" t="s">
        <v>114</v>
      </c>
      <c r="CP155" s="21" t="s">
        <v>114</v>
      </c>
      <c r="CQ155" s="21" t="s">
        <v>114</v>
      </c>
      <c r="CR155" s="21" t="s">
        <v>114</v>
      </c>
      <c r="CS155" s="21" t="s">
        <v>114</v>
      </c>
      <c r="CT155" s="21" t="s">
        <v>114</v>
      </c>
      <c r="CU155" s="21" t="s">
        <v>114</v>
      </c>
      <c r="CV155" s="21" t="s">
        <v>114</v>
      </c>
      <c r="CW155" s="21" t="s">
        <v>114</v>
      </c>
      <c r="CX155" s="21" t="s">
        <v>114</v>
      </c>
      <c r="CY155" s="21" t="s">
        <v>114</v>
      </c>
      <c r="CZ155" s="21" t="s">
        <v>114</v>
      </c>
      <c r="DA155" s="21" t="s">
        <v>114</v>
      </c>
      <c r="DB155" s="21" t="s">
        <v>114</v>
      </c>
      <c r="DC155" s="21" t="s">
        <v>114</v>
      </c>
      <c r="DD155" s="21" t="s">
        <v>114</v>
      </c>
      <c r="DE155" s="21" t="s">
        <v>114</v>
      </c>
      <c r="DF155" s="19" t="s">
        <v>114</v>
      </c>
      <c r="DG155" s="19">
        <v>98501</v>
      </c>
      <c r="DH155" s="19" t="s">
        <v>114</v>
      </c>
      <c r="DI155" s="19" t="s">
        <v>114</v>
      </c>
      <c r="DJ155" s="19" t="s">
        <v>114</v>
      </c>
      <c r="DK155" s="19">
        <v>98505</v>
      </c>
      <c r="DL155" s="19">
        <v>98506</v>
      </c>
      <c r="DM155" s="19" t="s">
        <v>114</v>
      </c>
      <c r="DN155" s="19" t="s">
        <v>114</v>
      </c>
      <c r="DO155" s="19">
        <v>98509</v>
      </c>
    </row>
    <row r="156" spans="1:119" hidden="1" x14ac:dyDescent="0.45">
      <c r="A156" s="2" t="s">
        <v>1264</v>
      </c>
      <c r="B156" t="s">
        <v>1265</v>
      </c>
      <c r="C156" s="2">
        <v>728</v>
      </c>
      <c r="D156" s="6">
        <v>154</v>
      </c>
      <c r="E156" s="2" t="s">
        <v>1266</v>
      </c>
      <c r="F156" s="3" t="s">
        <v>1266</v>
      </c>
      <c r="H156" s="2" t="s">
        <v>1267</v>
      </c>
      <c r="I156" s="2" t="s">
        <v>1268</v>
      </c>
      <c r="J156" s="2">
        <v>2</v>
      </c>
      <c r="K156" t="s">
        <v>116</v>
      </c>
      <c r="L156" s="2">
        <v>202</v>
      </c>
      <c r="M156" t="s">
        <v>166</v>
      </c>
      <c r="N156">
        <v>14</v>
      </c>
      <c r="O156" t="s">
        <v>328</v>
      </c>
      <c r="P156" s="2" t="s">
        <v>116</v>
      </c>
      <c r="Q156" s="2" t="s">
        <v>166</v>
      </c>
      <c r="R156" s="2">
        <v>202</v>
      </c>
      <c r="S156" s="4" t="s">
        <v>166</v>
      </c>
      <c r="T156" s="2">
        <v>202</v>
      </c>
      <c r="U156" s="4" t="s">
        <v>166</v>
      </c>
      <c r="V156" t="s">
        <v>2457</v>
      </c>
      <c r="W156" t="s">
        <v>2457</v>
      </c>
      <c r="X156" t="e">
        <v>#N/A</v>
      </c>
      <c r="Y156" t="s">
        <v>328</v>
      </c>
      <c r="Z156" t="s">
        <v>328</v>
      </c>
      <c r="AA156" s="3" t="s">
        <v>328</v>
      </c>
      <c r="AB156" s="3" t="s">
        <v>2874</v>
      </c>
      <c r="AC156" s="2" t="s">
        <v>103</v>
      </c>
      <c r="AD156" s="4" t="s">
        <v>1891</v>
      </c>
      <c r="AE156" t="s">
        <v>104</v>
      </c>
      <c r="AF156" t="s">
        <v>1885</v>
      </c>
      <c r="AG156" t="s">
        <v>1884</v>
      </c>
      <c r="AH156" t="s">
        <v>105</v>
      </c>
      <c r="AI156" s="3" t="s">
        <v>105</v>
      </c>
      <c r="AJ156" s="3" t="s">
        <v>106</v>
      </c>
      <c r="AK156" s="3" t="s">
        <v>107</v>
      </c>
      <c r="AL156" s="5" t="s">
        <v>1269</v>
      </c>
      <c r="AM156" s="5" t="s">
        <v>109</v>
      </c>
      <c r="AN156" t="s">
        <v>110</v>
      </c>
      <c r="AO156" t="s">
        <v>25</v>
      </c>
      <c r="AP156" s="3" t="s">
        <v>26</v>
      </c>
      <c r="AQ156" s="3" t="s">
        <v>111</v>
      </c>
      <c r="AR156" s="3" t="s">
        <v>112</v>
      </c>
      <c r="AS156" s="3" t="s">
        <v>112</v>
      </c>
      <c r="AT156" s="3" t="s">
        <v>113</v>
      </c>
      <c r="AU156" s="3" t="s">
        <v>2303</v>
      </c>
      <c r="AV156" s="3" t="s">
        <v>2302</v>
      </c>
      <c r="AW156" s="3" t="s">
        <v>2301</v>
      </c>
      <c r="AX156" s="3" t="s">
        <v>2006</v>
      </c>
      <c r="AY156" s="19">
        <v>98100</v>
      </c>
      <c r="AZ156" s="19" t="s">
        <v>114</v>
      </c>
      <c r="BA156" s="19">
        <v>98102</v>
      </c>
      <c r="BB156" s="19" t="s">
        <v>114</v>
      </c>
      <c r="BC156" s="19" t="s">
        <v>114</v>
      </c>
      <c r="BD156" s="19" t="s">
        <v>114</v>
      </c>
      <c r="BE156" s="19">
        <v>98106</v>
      </c>
      <c r="BF156" s="19" t="s">
        <v>114</v>
      </c>
      <c r="BG156" s="19" t="s">
        <v>114</v>
      </c>
      <c r="BH156" s="19">
        <v>98109</v>
      </c>
      <c r="BI156" s="19" t="s">
        <v>114</v>
      </c>
      <c r="BJ156" s="19" t="s">
        <v>114</v>
      </c>
      <c r="BK156" s="19" t="s">
        <v>114</v>
      </c>
      <c r="BL156" s="19" t="s">
        <v>114</v>
      </c>
      <c r="BM156" s="19">
        <v>98114</v>
      </c>
      <c r="BN156" s="19" t="s">
        <v>114</v>
      </c>
      <c r="BO156" s="19">
        <v>98116</v>
      </c>
      <c r="BP156" s="19">
        <v>98117</v>
      </c>
      <c r="BQ156" s="19">
        <v>98118</v>
      </c>
      <c r="BR156" s="19" t="s">
        <v>114</v>
      </c>
      <c r="BS156" s="19" t="s">
        <v>114</v>
      </c>
      <c r="BT156" s="19" t="s">
        <v>114</v>
      </c>
      <c r="BU156" s="19">
        <v>98122</v>
      </c>
      <c r="BV156" s="19">
        <v>98123</v>
      </c>
      <c r="BW156" s="19" t="s">
        <v>114</v>
      </c>
      <c r="BX156" s="19" t="s">
        <v>114</v>
      </c>
      <c r="BY156" s="19">
        <v>98126</v>
      </c>
      <c r="BZ156" s="21" t="s">
        <v>114</v>
      </c>
      <c r="CA156" s="21" t="s">
        <v>114</v>
      </c>
      <c r="CB156" s="21" t="s">
        <v>114</v>
      </c>
      <c r="CC156" s="21" t="s">
        <v>114</v>
      </c>
      <c r="CD156" s="21" t="s">
        <v>114</v>
      </c>
      <c r="CE156" s="21" t="s">
        <v>114</v>
      </c>
      <c r="CF156" s="19" t="s">
        <v>114</v>
      </c>
      <c r="CG156" s="19" t="s">
        <v>114</v>
      </c>
      <c r="CH156" s="19" t="s">
        <v>114</v>
      </c>
      <c r="CI156" s="21" t="s">
        <v>114</v>
      </c>
      <c r="CJ156" s="21" t="s">
        <v>114</v>
      </c>
      <c r="CK156" s="21">
        <v>98405</v>
      </c>
      <c r="CL156" s="21" t="s">
        <v>114</v>
      </c>
      <c r="CM156" s="21" t="s">
        <v>114</v>
      </c>
      <c r="CN156" s="21" t="s">
        <v>114</v>
      </c>
      <c r="CO156" s="21" t="s">
        <v>114</v>
      </c>
      <c r="CP156" s="21" t="s">
        <v>114</v>
      </c>
      <c r="CQ156" s="21" t="s">
        <v>114</v>
      </c>
      <c r="CR156" s="21" t="s">
        <v>114</v>
      </c>
      <c r="CS156" s="21" t="s">
        <v>114</v>
      </c>
      <c r="CT156" s="21" t="s">
        <v>114</v>
      </c>
      <c r="CU156" s="21" t="s">
        <v>114</v>
      </c>
      <c r="CV156" s="21" t="s">
        <v>114</v>
      </c>
      <c r="CW156" s="21" t="s">
        <v>114</v>
      </c>
      <c r="CX156" s="21" t="s">
        <v>114</v>
      </c>
      <c r="CY156" s="21" t="s">
        <v>114</v>
      </c>
      <c r="CZ156" s="21" t="s">
        <v>114</v>
      </c>
      <c r="DA156" s="21" t="s">
        <v>114</v>
      </c>
      <c r="DB156" s="21" t="s">
        <v>114</v>
      </c>
      <c r="DC156" s="21" t="s">
        <v>114</v>
      </c>
      <c r="DD156" s="21" t="s">
        <v>114</v>
      </c>
      <c r="DE156" s="21" t="s">
        <v>114</v>
      </c>
      <c r="DF156" s="19" t="s">
        <v>114</v>
      </c>
      <c r="DG156" s="19" t="s">
        <v>114</v>
      </c>
      <c r="DH156" s="19" t="s">
        <v>114</v>
      </c>
      <c r="DI156" s="19" t="s">
        <v>114</v>
      </c>
      <c r="DJ156" s="19" t="s">
        <v>114</v>
      </c>
      <c r="DK156" s="19" t="s">
        <v>114</v>
      </c>
      <c r="DL156" s="19" t="s">
        <v>114</v>
      </c>
      <c r="DM156" s="19" t="s">
        <v>114</v>
      </c>
      <c r="DN156" s="19" t="s">
        <v>114</v>
      </c>
      <c r="DO156" s="19" t="s">
        <v>114</v>
      </c>
    </row>
    <row r="157" spans="1:119" hidden="1" x14ac:dyDescent="0.45">
      <c r="A157" s="2" t="s">
        <v>1372</v>
      </c>
      <c r="B157" t="s">
        <v>1373</v>
      </c>
      <c r="C157" s="2">
        <v>800</v>
      </c>
      <c r="D157" s="6">
        <v>159</v>
      </c>
      <c r="E157" s="2" t="s">
        <v>1374</v>
      </c>
      <c r="F157" t="s">
        <v>1374</v>
      </c>
      <c r="G157" t="s">
        <v>2165</v>
      </c>
      <c r="H157" s="2" t="s">
        <v>1375</v>
      </c>
      <c r="I157" s="2" t="s">
        <v>1374</v>
      </c>
      <c r="J157" s="2">
        <v>2</v>
      </c>
      <c r="K157" t="s">
        <v>116</v>
      </c>
      <c r="L157" s="2">
        <v>202</v>
      </c>
      <c r="M157" t="s">
        <v>166</v>
      </c>
      <c r="N157">
        <v>14</v>
      </c>
      <c r="O157" t="s">
        <v>328</v>
      </c>
      <c r="P157" s="2" t="s">
        <v>116</v>
      </c>
      <c r="Q157" s="2" t="s">
        <v>166</v>
      </c>
      <c r="R157" s="2">
        <v>202</v>
      </c>
      <c r="S157" s="4" t="s">
        <v>166</v>
      </c>
      <c r="T157" s="2">
        <v>202</v>
      </c>
      <c r="U157" s="4" t="s">
        <v>166</v>
      </c>
      <c r="V157" t="s">
        <v>2457</v>
      </c>
      <c r="W157" t="s">
        <v>2457</v>
      </c>
      <c r="X157" t="s">
        <v>2440</v>
      </c>
      <c r="Y157" t="s">
        <v>328</v>
      </c>
      <c r="Z157" t="s">
        <v>328</v>
      </c>
      <c r="AA157" s="3" t="s">
        <v>328</v>
      </c>
      <c r="AB157" s="3" t="s">
        <v>2874</v>
      </c>
      <c r="AC157" s="2" t="s">
        <v>103</v>
      </c>
      <c r="AD157" s="2" t="s">
        <v>1890</v>
      </c>
      <c r="AE157" t="s">
        <v>104</v>
      </c>
      <c r="AF157" t="s">
        <v>1885</v>
      </c>
      <c r="AG157" t="s">
        <v>1884</v>
      </c>
      <c r="AH157" t="s">
        <v>105</v>
      </c>
      <c r="AI157" s="3" t="s">
        <v>105</v>
      </c>
      <c r="AJ157" s="3" t="s">
        <v>106</v>
      </c>
      <c r="AK157" s="3" t="s">
        <v>107</v>
      </c>
      <c r="AL157" s="5" t="s">
        <v>1376</v>
      </c>
      <c r="AM157" s="5" t="s">
        <v>109</v>
      </c>
      <c r="AN157" t="s">
        <v>110</v>
      </c>
      <c r="AO157" t="s">
        <v>25</v>
      </c>
      <c r="AP157" s="3" t="s">
        <v>26</v>
      </c>
      <c r="AQ157" s="3" t="s">
        <v>111</v>
      </c>
      <c r="AR157" s="3" t="s">
        <v>112</v>
      </c>
      <c r="AS157" s="3" t="s">
        <v>112</v>
      </c>
      <c r="AT157" s="3" t="s">
        <v>113</v>
      </c>
      <c r="AU157" s="3" t="s">
        <v>2303</v>
      </c>
      <c r="AV157" s="3" t="s">
        <v>2302</v>
      </c>
      <c r="AW157" s="3" t="s">
        <v>2301</v>
      </c>
      <c r="AX157" s="3" t="s">
        <v>2006</v>
      </c>
      <c r="AY157" s="19">
        <v>98100</v>
      </c>
      <c r="AZ157" s="19" t="s">
        <v>114</v>
      </c>
      <c r="BA157" s="19">
        <v>98102</v>
      </c>
      <c r="BB157" s="19" t="s">
        <v>114</v>
      </c>
      <c r="BC157" s="19" t="s">
        <v>114</v>
      </c>
      <c r="BD157" s="19" t="s">
        <v>114</v>
      </c>
      <c r="BE157" s="19">
        <v>98106</v>
      </c>
      <c r="BF157" s="19" t="s">
        <v>114</v>
      </c>
      <c r="BG157" s="19" t="s">
        <v>114</v>
      </c>
      <c r="BH157" s="19">
        <v>98109</v>
      </c>
      <c r="BI157" s="19" t="s">
        <v>114</v>
      </c>
      <c r="BJ157" s="19" t="s">
        <v>114</v>
      </c>
      <c r="BK157" s="19" t="s">
        <v>114</v>
      </c>
      <c r="BL157" s="19">
        <v>98113</v>
      </c>
      <c r="BM157" s="19">
        <v>98114</v>
      </c>
      <c r="BN157" s="19" t="s">
        <v>114</v>
      </c>
      <c r="BO157" s="19">
        <v>98116</v>
      </c>
      <c r="BP157" s="19">
        <v>98117</v>
      </c>
      <c r="BQ157" s="19">
        <v>98118</v>
      </c>
      <c r="BR157" s="19" t="s">
        <v>114</v>
      </c>
      <c r="BS157" s="19">
        <v>98120</v>
      </c>
      <c r="BT157" s="19">
        <v>98121</v>
      </c>
      <c r="BU157" s="19" t="s">
        <v>114</v>
      </c>
      <c r="BV157" s="19" t="s">
        <v>114</v>
      </c>
      <c r="BW157" s="19" t="s">
        <v>114</v>
      </c>
      <c r="BX157" s="19" t="s">
        <v>114</v>
      </c>
      <c r="BY157" s="19">
        <v>98126</v>
      </c>
      <c r="BZ157" s="21" t="s">
        <v>114</v>
      </c>
      <c r="CA157" s="21" t="s">
        <v>114</v>
      </c>
      <c r="CB157" s="21" t="s">
        <v>114</v>
      </c>
      <c r="CC157" s="21" t="s">
        <v>114</v>
      </c>
      <c r="CD157" s="21" t="s">
        <v>114</v>
      </c>
      <c r="CE157" s="21" t="s">
        <v>114</v>
      </c>
      <c r="CF157" s="19" t="s">
        <v>114</v>
      </c>
      <c r="CG157" s="19" t="s">
        <v>114</v>
      </c>
      <c r="CH157" s="19" t="s">
        <v>114</v>
      </c>
      <c r="CI157" s="21" t="s">
        <v>114</v>
      </c>
      <c r="CJ157" s="21" t="s">
        <v>114</v>
      </c>
      <c r="CK157" s="21">
        <v>98405</v>
      </c>
      <c r="CL157" s="21" t="s">
        <v>114</v>
      </c>
      <c r="CM157" s="21" t="s">
        <v>114</v>
      </c>
      <c r="CN157" s="21" t="s">
        <v>114</v>
      </c>
      <c r="CO157" s="21" t="s">
        <v>114</v>
      </c>
      <c r="CP157" s="21" t="s">
        <v>114</v>
      </c>
      <c r="CQ157" s="21" t="s">
        <v>114</v>
      </c>
      <c r="CR157" s="21" t="s">
        <v>114</v>
      </c>
      <c r="CS157" s="21" t="s">
        <v>114</v>
      </c>
      <c r="CT157" s="21" t="s">
        <v>114</v>
      </c>
      <c r="CU157" s="21" t="s">
        <v>114</v>
      </c>
      <c r="CV157" s="21" t="s">
        <v>114</v>
      </c>
      <c r="CW157" s="21" t="s">
        <v>114</v>
      </c>
      <c r="CX157" s="21" t="s">
        <v>114</v>
      </c>
      <c r="CY157" s="21" t="s">
        <v>114</v>
      </c>
      <c r="CZ157" s="21" t="s">
        <v>114</v>
      </c>
      <c r="DA157" s="21" t="s">
        <v>114</v>
      </c>
      <c r="DB157" s="21" t="s">
        <v>114</v>
      </c>
      <c r="DC157" s="21" t="s">
        <v>114</v>
      </c>
      <c r="DD157" s="21" t="s">
        <v>114</v>
      </c>
      <c r="DE157" s="21" t="s">
        <v>114</v>
      </c>
      <c r="DF157" s="19" t="s">
        <v>114</v>
      </c>
      <c r="DG157" s="19" t="s">
        <v>114</v>
      </c>
      <c r="DH157" s="19" t="s">
        <v>114</v>
      </c>
      <c r="DI157" s="19" t="s">
        <v>114</v>
      </c>
      <c r="DJ157" s="19" t="s">
        <v>114</v>
      </c>
      <c r="DK157" s="19" t="s">
        <v>114</v>
      </c>
      <c r="DL157" s="19" t="s">
        <v>114</v>
      </c>
      <c r="DM157" s="19" t="s">
        <v>114</v>
      </c>
      <c r="DN157" s="19" t="s">
        <v>114</v>
      </c>
      <c r="DO157" s="19" t="s">
        <v>114</v>
      </c>
    </row>
    <row r="158" spans="1:119" hidden="1" x14ac:dyDescent="0.45">
      <c r="A158" s="2" t="s">
        <v>1394</v>
      </c>
      <c r="B158" t="s">
        <v>1395</v>
      </c>
      <c r="C158" s="2">
        <v>834</v>
      </c>
      <c r="D158" s="6">
        <v>156</v>
      </c>
      <c r="E158" s="2" t="s">
        <v>1827</v>
      </c>
      <c r="F158" s="3" t="s">
        <v>1903</v>
      </c>
      <c r="G158" t="s">
        <v>2168</v>
      </c>
      <c r="H158" s="4" t="s">
        <v>1397</v>
      </c>
      <c r="I158" s="2" t="s">
        <v>1398</v>
      </c>
      <c r="J158" s="2">
        <v>2</v>
      </c>
      <c r="K158" t="s">
        <v>116</v>
      </c>
      <c r="L158" s="2">
        <v>202</v>
      </c>
      <c r="M158" t="s">
        <v>166</v>
      </c>
      <c r="N158">
        <v>14</v>
      </c>
      <c r="O158" t="s">
        <v>328</v>
      </c>
      <c r="P158" s="2" t="s">
        <v>116</v>
      </c>
      <c r="Q158" s="2" t="s">
        <v>166</v>
      </c>
      <c r="R158" s="2">
        <v>202</v>
      </c>
      <c r="S158" s="4" t="s">
        <v>166</v>
      </c>
      <c r="T158" s="2">
        <v>202</v>
      </c>
      <c r="U158" s="4" t="s">
        <v>166</v>
      </c>
      <c r="V158" t="s">
        <v>2457</v>
      </c>
      <c r="W158" t="s">
        <v>2457</v>
      </c>
      <c r="X158" t="s">
        <v>2440</v>
      </c>
      <c r="Y158" t="s">
        <v>328</v>
      </c>
      <c r="Z158" t="s">
        <v>328</v>
      </c>
      <c r="AA158" s="3" t="s">
        <v>328</v>
      </c>
      <c r="AB158" s="3" t="s">
        <v>2874</v>
      </c>
      <c r="AC158" s="2" t="s">
        <v>168</v>
      </c>
      <c r="AD158" s="2" t="s">
        <v>1890</v>
      </c>
      <c r="AE158" t="s">
        <v>104</v>
      </c>
      <c r="AF158" t="s">
        <v>1885</v>
      </c>
      <c r="AG158" t="s">
        <v>1884</v>
      </c>
      <c r="AH158" t="s">
        <v>105</v>
      </c>
      <c r="AI158" s="3" t="s">
        <v>105</v>
      </c>
      <c r="AJ158" s="3" t="s">
        <v>106</v>
      </c>
      <c r="AK158" s="3" t="s">
        <v>107</v>
      </c>
      <c r="AL158" s="5" t="s">
        <v>1399</v>
      </c>
      <c r="AM158" s="5" t="s">
        <v>109</v>
      </c>
      <c r="AN158" t="s">
        <v>110</v>
      </c>
      <c r="AO158" t="s">
        <v>25</v>
      </c>
      <c r="AP158" s="3" t="s">
        <v>120</v>
      </c>
      <c r="AQ158" s="3" t="s">
        <v>111</v>
      </c>
      <c r="AR158" s="3" t="s">
        <v>112</v>
      </c>
      <c r="AS158" s="3" t="s">
        <v>112</v>
      </c>
      <c r="AT158" s="3" t="s">
        <v>113</v>
      </c>
      <c r="AU158" s="3" t="s">
        <v>2303</v>
      </c>
      <c r="AV158" s="3" t="s">
        <v>2302</v>
      </c>
      <c r="AW158" s="3" t="s">
        <v>2301</v>
      </c>
      <c r="AX158" s="3" t="s">
        <v>2006</v>
      </c>
      <c r="AY158" s="19">
        <v>98100</v>
      </c>
      <c r="AZ158" s="19" t="s">
        <v>114</v>
      </c>
      <c r="BA158" s="19">
        <v>98102</v>
      </c>
      <c r="BB158" s="19" t="s">
        <v>114</v>
      </c>
      <c r="BC158" s="19" t="s">
        <v>114</v>
      </c>
      <c r="BD158" s="19" t="s">
        <v>114</v>
      </c>
      <c r="BE158" s="19">
        <v>98106</v>
      </c>
      <c r="BF158" s="19" t="s">
        <v>114</v>
      </c>
      <c r="BG158" s="19" t="s">
        <v>114</v>
      </c>
      <c r="BH158" s="19" t="s">
        <v>114</v>
      </c>
      <c r="BI158" s="19">
        <v>98110</v>
      </c>
      <c r="BJ158" s="19" t="s">
        <v>114</v>
      </c>
      <c r="BK158" s="19" t="s">
        <v>114</v>
      </c>
      <c r="BL158" s="19" t="s">
        <v>114</v>
      </c>
      <c r="BM158" s="19">
        <v>98114</v>
      </c>
      <c r="BN158" s="19" t="s">
        <v>114</v>
      </c>
      <c r="BO158" s="19" t="s">
        <v>114</v>
      </c>
      <c r="BP158" s="19" t="s">
        <v>114</v>
      </c>
      <c r="BQ158" s="19">
        <v>98118</v>
      </c>
      <c r="BR158" s="19">
        <v>98119</v>
      </c>
      <c r="BS158" s="19">
        <v>98120</v>
      </c>
      <c r="BT158" s="19">
        <v>98121</v>
      </c>
      <c r="BU158" s="19" t="s">
        <v>114</v>
      </c>
      <c r="BV158" s="19" t="s">
        <v>114</v>
      </c>
      <c r="BW158" s="19" t="s">
        <v>114</v>
      </c>
      <c r="BX158" s="19" t="s">
        <v>114</v>
      </c>
      <c r="BY158" s="19">
        <v>98126</v>
      </c>
      <c r="BZ158" s="21" t="s">
        <v>114</v>
      </c>
      <c r="CA158" s="21" t="s">
        <v>114</v>
      </c>
      <c r="CB158" s="21" t="s">
        <v>114</v>
      </c>
      <c r="CC158" s="21" t="s">
        <v>114</v>
      </c>
      <c r="CD158" s="21" t="s">
        <v>114</v>
      </c>
      <c r="CE158" s="21" t="s">
        <v>114</v>
      </c>
      <c r="CF158" s="19" t="s">
        <v>114</v>
      </c>
      <c r="CG158" s="19" t="s">
        <v>114</v>
      </c>
      <c r="CH158" s="19" t="s">
        <v>114</v>
      </c>
      <c r="CI158" s="21" t="s">
        <v>114</v>
      </c>
      <c r="CJ158" s="21" t="s">
        <v>114</v>
      </c>
      <c r="CK158" s="21">
        <v>98405</v>
      </c>
      <c r="CL158" s="21" t="s">
        <v>114</v>
      </c>
      <c r="CM158" s="21" t="s">
        <v>114</v>
      </c>
      <c r="CN158" s="21" t="s">
        <v>114</v>
      </c>
      <c r="CO158" s="21" t="s">
        <v>114</v>
      </c>
      <c r="CP158" s="21" t="s">
        <v>114</v>
      </c>
      <c r="CQ158" s="21" t="s">
        <v>114</v>
      </c>
      <c r="CR158" s="21" t="s">
        <v>114</v>
      </c>
      <c r="CS158" s="21" t="s">
        <v>114</v>
      </c>
      <c r="CT158" s="21" t="s">
        <v>114</v>
      </c>
      <c r="CU158" s="21" t="s">
        <v>114</v>
      </c>
      <c r="CV158" s="21" t="s">
        <v>114</v>
      </c>
      <c r="CW158" s="21" t="s">
        <v>114</v>
      </c>
      <c r="CX158" s="21" t="s">
        <v>114</v>
      </c>
      <c r="CY158" s="21" t="s">
        <v>114</v>
      </c>
      <c r="CZ158" s="21" t="s">
        <v>114</v>
      </c>
      <c r="DA158" s="21" t="s">
        <v>114</v>
      </c>
      <c r="DB158" s="21" t="s">
        <v>114</v>
      </c>
      <c r="DC158" s="21" t="s">
        <v>114</v>
      </c>
      <c r="DD158" s="21" t="s">
        <v>114</v>
      </c>
      <c r="DE158" s="21" t="s">
        <v>114</v>
      </c>
      <c r="DF158" s="19" t="s">
        <v>114</v>
      </c>
      <c r="DG158" s="19" t="s">
        <v>114</v>
      </c>
      <c r="DH158" s="19" t="s">
        <v>114</v>
      </c>
      <c r="DI158" s="19" t="s">
        <v>114</v>
      </c>
      <c r="DJ158" s="19" t="s">
        <v>114</v>
      </c>
      <c r="DK158" s="19" t="s">
        <v>114</v>
      </c>
      <c r="DL158" s="19" t="s">
        <v>114</v>
      </c>
      <c r="DM158" s="19" t="s">
        <v>114</v>
      </c>
      <c r="DN158" s="19" t="s">
        <v>114</v>
      </c>
      <c r="DO158" s="19" t="s">
        <v>114</v>
      </c>
    </row>
    <row r="159" spans="1:119" hidden="1" x14ac:dyDescent="0.45">
      <c r="A159" s="2" t="s">
        <v>1460</v>
      </c>
      <c r="B159" t="s">
        <v>1461</v>
      </c>
      <c r="C159" s="2">
        <v>894</v>
      </c>
      <c r="D159" s="6">
        <v>161</v>
      </c>
      <c r="E159" s="2" t="s">
        <v>1462</v>
      </c>
      <c r="F159" t="s">
        <v>1462</v>
      </c>
      <c r="G159" t="s">
        <v>2176</v>
      </c>
      <c r="H159" s="2" t="s">
        <v>1463</v>
      </c>
      <c r="I159" s="2" t="s">
        <v>1462</v>
      </c>
      <c r="J159" s="2">
        <v>2</v>
      </c>
      <c r="K159" t="s">
        <v>116</v>
      </c>
      <c r="L159" s="2">
        <v>202</v>
      </c>
      <c r="M159" t="s">
        <v>166</v>
      </c>
      <c r="N159">
        <v>14</v>
      </c>
      <c r="O159" t="s">
        <v>328</v>
      </c>
      <c r="P159" s="2" t="s">
        <v>116</v>
      </c>
      <c r="Q159" s="2" t="s">
        <v>166</v>
      </c>
      <c r="R159" s="2">
        <v>202</v>
      </c>
      <c r="S159" s="4" t="s">
        <v>166</v>
      </c>
      <c r="T159" s="2">
        <v>202</v>
      </c>
      <c r="U159" s="4" t="s">
        <v>166</v>
      </c>
      <c r="V159" t="s">
        <v>2457</v>
      </c>
      <c r="W159" t="s">
        <v>2457</v>
      </c>
      <c r="X159" t="s">
        <v>2440</v>
      </c>
      <c r="Y159" t="s">
        <v>328</v>
      </c>
      <c r="Z159" t="s">
        <v>328</v>
      </c>
      <c r="AA159" s="3" t="s">
        <v>328</v>
      </c>
      <c r="AB159" s="3" t="s">
        <v>2874</v>
      </c>
      <c r="AC159" s="2" t="s">
        <v>103</v>
      </c>
      <c r="AD159" s="2" t="s">
        <v>1890</v>
      </c>
      <c r="AE159" t="s">
        <v>104</v>
      </c>
      <c r="AF159" t="s">
        <v>1885</v>
      </c>
      <c r="AG159" t="s">
        <v>1884</v>
      </c>
      <c r="AH159" t="s">
        <v>105</v>
      </c>
      <c r="AI159" s="3" t="s">
        <v>105</v>
      </c>
      <c r="AJ159" s="3" t="s">
        <v>106</v>
      </c>
      <c r="AK159" s="3" t="s">
        <v>107</v>
      </c>
      <c r="AL159" s="5" t="s">
        <v>1464</v>
      </c>
      <c r="AM159" s="5" t="s">
        <v>109</v>
      </c>
      <c r="AN159" t="s">
        <v>110</v>
      </c>
      <c r="AO159" t="s">
        <v>25</v>
      </c>
      <c r="AP159" s="3" t="s">
        <v>26</v>
      </c>
      <c r="AQ159" s="3" t="s">
        <v>111</v>
      </c>
      <c r="AR159" s="3" t="s">
        <v>112</v>
      </c>
      <c r="AS159" s="3" t="s">
        <v>112</v>
      </c>
      <c r="AT159" s="3" t="s">
        <v>113</v>
      </c>
      <c r="AU159" s="3" t="s">
        <v>2303</v>
      </c>
      <c r="AV159" s="3" t="s">
        <v>2302</v>
      </c>
      <c r="AW159" s="3" t="s">
        <v>2301</v>
      </c>
      <c r="AX159" s="3" t="s">
        <v>2006</v>
      </c>
      <c r="AY159" s="19">
        <v>98100</v>
      </c>
      <c r="AZ159" s="19" t="s">
        <v>114</v>
      </c>
      <c r="BA159" s="19" t="s">
        <v>114</v>
      </c>
      <c r="BB159" s="19" t="s">
        <v>114</v>
      </c>
      <c r="BC159" s="19">
        <v>98104</v>
      </c>
      <c r="BD159" s="19" t="s">
        <v>114</v>
      </c>
      <c r="BE159" s="19">
        <v>98106</v>
      </c>
      <c r="BF159" s="19" t="s">
        <v>114</v>
      </c>
      <c r="BG159" s="19" t="s">
        <v>114</v>
      </c>
      <c r="BH159" s="19" t="s">
        <v>114</v>
      </c>
      <c r="BI159" s="19">
        <v>98110</v>
      </c>
      <c r="BJ159" s="19" t="s">
        <v>114</v>
      </c>
      <c r="BK159" s="19" t="s">
        <v>114</v>
      </c>
      <c r="BL159" s="19">
        <v>98113</v>
      </c>
      <c r="BM159" s="19" t="s">
        <v>114</v>
      </c>
      <c r="BN159" s="19" t="s">
        <v>114</v>
      </c>
      <c r="BO159" s="19">
        <v>98116</v>
      </c>
      <c r="BP159" s="19">
        <v>98117</v>
      </c>
      <c r="BQ159" s="19">
        <v>98118</v>
      </c>
      <c r="BR159" s="19">
        <v>98119</v>
      </c>
      <c r="BS159" s="19">
        <v>98120</v>
      </c>
      <c r="BT159" s="19">
        <v>98121</v>
      </c>
      <c r="BU159" s="19" t="s">
        <v>114</v>
      </c>
      <c r="BV159" s="19" t="s">
        <v>114</v>
      </c>
      <c r="BW159" s="19" t="s">
        <v>114</v>
      </c>
      <c r="BX159" s="19" t="s">
        <v>114</v>
      </c>
      <c r="BY159" s="19">
        <v>98126</v>
      </c>
      <c r="BZ159" s="21" t="s">
        <v>114</v>
      </c>
      <c r="CA159" s="21" t="s">
        <v>114</v>
      </c>
      <c r="CB159" s="21" t="s">
        <v>114</v>
      </c>
      <c r="CC159" s="21" t="s">
        <v>114</v>
      </c>
      <c r="CD159" s="21" t="s">
        <v>114</v>
      </c>
      <c r="CE159" s="21" t="s">
        <v>114</v>
      </c>
      <c r="CF159" s="19" t="s">
        <v>114</v>
      </c>
      <c r="CG159" s="19" t="s">
        <v>114</v>
      </c>
      <c r="CH159" s="19" t="s">
        <v>114</v>
      </c>
      <c r="CI159" s="21" t="s">
        <v>114</v>
      </c>
      <c r="CJ159" s="21" t="s">
        <v>114</v>
      </c>
      <c r="CK159" s="21">
        <v>98405</v>
      </c>
      <c r="CL159" s="21" t="s">
        <v>114</v>
      </c>
      <c r="CM159" s="21" t="s">
        <v>114</v>
      </c>
      <c r="CN159" s="21" t="s">
        <v>114</v>
      </c>
      <c r="CO159" s="21" t="s">
        <v>114</v>
      </c>
      <c r="CP159" s="21" t="s">
        <v>114</v>
      </c>
      <c r="CQ159" s="21" t="s">
        <v>114</v>
      </c>
      <c r="CR159" s="21" t="s">
        <v>114</v>
      </c>
      <c r="CS159" s="21" t="s">
        <v>114</v>
      </c>
      <c r="CT159" s="21" t="s">
        <v>114</v>
      </c>
      <c r="CU159" s="21" t="s">
        <v>114</v>
      </c>
      <c r="CV159" s="21" t="s">
        <v>114</v>
      </c>
      <c r="CW159" s="21" t="s">
        <v>114</v>
      </c>
      <c r="CX159" s="21" t="s">
        <v>114</v>
      </c>
      <c r="CY159" s="21" t="s">
        <v>114</v>
      </c>
      <c r="CZ159" s="21" t="s">
        <v>114</v>
      </c>
      <c r="DA159" s="21" t="s">
        <v>114</v>
      </c>
      <c r="DB159" s="21" t="s">
        <v>114</v>
      </c>
      <c r="DC159" s="21" t="s">
        <v>114</v>
      </c>
      <c r="DD159" s="21" t="s">
        <v>114</v>
      </c>
      <c r="DE159" s="21" t="s">
        <v>114</v>
      </c>
      <c r="DF159" s="19" t="s">
        <v>114</v>
      </c>
      <c r="DG159" s="19" t="s">
        <v>114</v>
      </c>
      <c r="DH159" s="19" t="s">
        <v>114</v>
      </c>
      <c r="DI159" s="19" t="s">
        <v>114</v>
      </c>
      <c r="DJ159" s="19" t="s">
        <v>114</v>
      </c>
      <c r="DK159" s="19" t="s">
        <v>114</v>
      </c>
      <c r="DL159" s="19" t="s">
        <v>114</v>
      </c>
      <c r="DM159" s="19" t="s">
        <v>114</v>
      </c>
      <c r="DN159" s="19" t="s">
        <v>114</v>
      </c>
      <c r="DO159" s="19" t="s">
        <v>114</v>
      </c>
    </row>
    <row r="160" spans="1:119" hidden="1" x14ac:dyDescent="0.45">
      <c r="A160" s="2" t="s">
        <v>1465</v>
      </c>
      <c r="B160" t="s">
        <v>1466</v>
      </c>
      <c r="C160" s="2">
        <v>716</v>
      </c>
      <c r="D160" s="6">
        <v>162</v>
      </c>
      <c r="E160" s="2" t="s">
        <v>1467</v>
      </c>
      <c r="F160" t="s">
        <v>1467</v>
      </c>
      <c r="G160" t="s">
        <v>2177</v>
      </c>
      <c r="H160" s="2" t="s">
        <v>1467</v>
      </c>
      <c r="I160" s="2" t="s">
        <v>1467</v>
      </c>
      <c r="J160" s="2">
        <v>2</v>
      </c>
      <c r="K160" t="s">
        <v>116</v>
      </c>
      <c r="L160" s="2">
        <v>202</v>
      </c>
      <c r="M160" t="s">
        <v>166</v>
      </c>
      <c r="N160">
        <v>14</v>
      </c>
      <c r="O160" t="s">
        <v>328</v>
      </c>
      <c r="P160" s="2" t="s">
        <v>116</v>
      </c>
      <c r="Q160" s="2" t="s">
        <v>166</v>
      </c>
      <c r="R160" s="2">
        <v>202</v>
      </c>
      <c r="S160" s="4" t="s">
        <v>166</v>
      </c>
      <c r="T160" s="2">
        <v>202</v>
      </c>
      <c r="U160" s="4" t="s">
        <v>166</v>
      </c>
      <c r="V160" t="s">
        <v>2457</v>
      </c>
      <c r="W160" t="s">
        <v>2457</v>
      </c>
      <c r="X160" t="s">
        <v>2440</v>
      </c>
      <c r="Y160" t="s">
        <v>328</v>
      </c>
      <c r="Z160" t="s">
        <v>328</v>
      </c>
      <c r="AA160" s="3" t="s">
        <v>328</v>
      </c>
      <c r="AB160" s="3" t="s">
        <v>2874</v>
      </c>
      <c r="AC160" s="2" t="s">
        <v>168</v>
      </c>
      <c r="AD160" s="4" t="s">
        <v>1891</v>
      </c>
      <c r="AE160" t="s">
        <v>104</v>
      </c>
      <c r="AF160" t="s">
        <v>1885</v>
      </c>
      <c r="AG160" t="s">
        <v>1884</v>
      </c>
      <c r="AH160" t="s">
        <v>105</v>
      </c>
      <c r="AI160" s="3" t="s">
        <v>105</v>
      </c>
      <c r="AJ160" s="3" t="s">
        <v>106</v>
      </c>
      <c r="AK160" s="3" t="s">
        <v>107</v>
      </c>
      <c r="AL160" s="5" t="s">
        <v>1468</v>
      </c>
      <c r="AM160" s="5" t="s">
        <v>109</v>
      </c>
      <c r="AN160" t="s">
        <v>110</v>
      </c>
      <c r="AO160" s="3" t="s">
        <v>119</v>
      </c>
      <c r="AP160" s="3" t="s">
        <v>26</v>
      </c>
      <c r="AQ160" s="3" t="s">
        <v>111</v>
      </c>
      <c r="AR160" s="3" t="s">
        <v>112</v>
      </c>
      <c r="AS160" s="3" t="s">
        <v>112</v>
      </c>
      <c r="AT160" s="3" t="s">
        <v>113</v>
      </c>
      <c r="AU160" s="3" t="s">
        <v>2303</v>
      </c>
      <c r="AV160" s="3" t="s">
        <v>2302</v>
      </c>
      <c r="AW160" s="3" t="s">
        <v>2301</v>
      </c>
      <c r="AX160" s="3" t="s">
        <v>2006</v>
      </c>
      <c r="AY160" s="19">
        <v>98100</v>
      </c>
      <c r="AZ160" s="19" t="s">
        <v>114</v>
      </c>
      <c r="BA160" s="19" t="s">
        <v>114</v>
      </c>
      <c r="BB160" s="19" t="s">
        <v>114</v>
      </c>
      <c r="BC160" s="19">
        <v>98104</v>
      </c>
      <c r="BD160" s="19" t="s">
        <v>114</v>
      </c>
      <c r="BE160" s="19">
        <v>98106</v>
      </c>
      <c r="BF160" s="19" t="s">
        <v>114</v>
      </c>
      <c r="BG160" s="19" t="s">
        <v>114</v>
      </c>
      <c r="BH160" s="19" t="s">
        <v>114</v>
      </c>
      <c r="BI160" s="19">
        <v>98110</v>
      </c>
      <c r="BJ160" s="19" t="s">
        <v>114</v>
      </c>
      <c r="BK160" s="19" t="s">
        <v>114</v>
      </c>
      <c r="BL160" s="19">
        <v>98113</v>
      </c>
      <c r="BM160" s="19" t="s">
        <v>114</v>
      </c>
      <c r="BN160" s="19" t="s">
        <v>114</v>
      </c>
      <c r="BO160" s="19">
        <v>98116</v>
      </c>
      <c r="BP160" s="19" t="s">
        <v>114</v>
      </c>
      <c r="BQ160" s="19" t="s">
        <v>114</v>
      </c>
      <c r="BR160" s="19">
        <v>98119</v>
      </c>
      <c r="BS160" s="19" t="s">
        <v>114</v>
      </c>
      <c r="BT160" s="19">
        <v>98121</v>
      </c>
      <c r="BU160" s="19" t="s">
        <v>114</v>
      </c>
      <c r="BV160" s="19" t="s">
        <v>114</v>
      </c>
      <c r="BW160" s="19" t="s">
        <v>114</v>
      </c>
      <c r="BX160" s="19" t="s">
        <v>114</v>
      </c>
      <c r="BY160" s="19">
        <v>98126</v>
      </c>
      <c r="BZ160" s="21" t="s">
        <v>114</v>
      </c>
      <c r="CA160" s="21" t="s">
        <v>114</v>
      </c>
      <c r="CB160" s="21" t="s">
        <v>114</v>
      </c>
      <c r="CC160" s="21" t="s">
        <v>114</v>
      </c>
      <c r="CD160" s="21" t="s">
        <v>114</v>
      </c>
      <c r="CE160" s="21" t="s">
        <v>114</v>
      </c>
      <c r="CF160" s="19" t="s">
        <v>114</v>
      </c>
      <c r="CG160" s="19" t="s">
        <v>114</v>
      </c>
      <c r="CH160" s="19" t="s">
        <v>114</v>
      </c>
      <c r="CI160" s="21" t="s">
        <v>114</v>
      </c>
      <c r="CJ160" s="21" t="s">
        <v>114</v>
      </c>
      <c r="CK160" s="21">
        <v>98405</v>
      </c>
      <c r="CL160" s="21" t="s">
        <v>114</v>
      </c>
      <c r="CM160" s="21" t="s">
        <v>114</v>
      </c>
      <c r="CN160" s="21" t="s">
        <v>114</v>
      </c>
      <c r="CO160" s="21" t="s">
        <v>114</v>
      </c>
      <c r="CP160" s="21" t="s">
        <v>114</v>
      </c>
      <c r="CQ160" s="21" t="s">
        <v>114</v>
      </c>
      <c r="CR160" s="21" t="s">
        <v>114</v>
      </c>
      <c r="CS160" s="21" t="s">
        <v>114</v>
      </c>
      <c r="CT160" s="21" t="s">
        <v>114</v>
      </c>
      <c r="CU160" s="21" t="s">
        <v>114</v>
      </c>
      <c r="CV160" s="21" t="s">
        <v>114</v>
      </c>
      <c r="CW160" s="21" t="s">
        <v>114</v>
      </c>
      <c r="CX160" s="21" t="s">
        <v>114</v>
      </c>
      <c r="CY160" s="21" t="s">
        <v>114</v>
      </c>
      <c r="CZ160" s="21" t="s">
        <v>114</v>
      </c>
      <c r="DA160" s="21" t="s">
        <v>114</v>
      </c>
      <c r="DB160" s="21" t="s">
        <v>114</v>
      </c>
      <c r="DC160" s="21" t="s">
        <v>114</v>
      </c>
      <c r="DD160" s="21" t="s">
        <v>114</v>
      </c>
      <c r="DE160" s="21" t="s">
        <v>114</v>
      </c>
      <c r="DF160" s="19" t="s">
        <v>114</v>
      </c>
      <c r="DG160" s="19" t="s">
        <v>114</v>
      </c>
      <c r="DH160" s="19" t="s">
        <v>114</v>
      </c>
      <c r="DI160" s="19" t="s">
        <v>114</v>
      </c>
      <c r="DJ160" s="19" t="s">
        <v>114</v>
      </c>
      <c r="DK160" s="19" t="s">
        <v>114</v>
      </c>
      <c r="DL160" s="19" t="s">
        <v>114</v>
      </c>
      <c r="DM160" s="19" t="s">
        <v>114</v>
      </c>
      <c r="DN160" s="19" t="s">
        <v>114</v>
      </c>
      <c r="DO160" s="19" t="s">
        <v>114</v>
      </c>
    </row>
    <row r="161" spans="1:119" hidden="1" x14ac:dyDescent="0.45">
      <c r="A161" s="2" t="s">
        <v>219</v>
      </c>
      <c r="B161" t="s">
        <v>220</v>
      </c>
      <c r="C161" s="2">
        <v>40</v>
      </c>
      <c r="D161" s="6">
        <v>504</v>
      </c>
      <c r="E161" s="2" t="s">
        <v>221</v>
      </c>
      <c r="F161" t="s">
        <v>221</v>
      </c>
      <c r="G161" t="s">
        <v>2022</v>
      </c>
      <c r="H161" s="2" t="s">
        <v>222</v>
      </c>
      <c r="I161" s="2" t="s">
        <v>221</v>
      </c>
      <c r="J161" s="2">
        <v>150</v>
      </c>
      <c r="K161" t="s">
        <v>127</v>
      </c>
      <c r="L161" s="2">
        <v>155</v>
      </c>
      <c r="M161" t="s">
        <v>223</v>
      </c>
      <c r="P161" s="2" t="s">
        <v>127</v>
      </c>
      <c r="Q161" s="2" t="s">
        <v>129</v>
      </c>
      <c r="R161" s="2">
        <v>513</v>
      </c>
      <c r="S161" s="2" t="s">
        <v>1000</v>
      </c>
      <c r="T161" s="2">
        <v>150</v>
      </c>
      <c r="U161" s="2" t="s">
        <v>127</v>
      </c>
      <c r="V161" t="s">
        <v>2451</v>
      </c>
      <c r="W161" t="s">
        <v>2451</v>
      </c>
      <c r="X161" t="s">
        <v>2438</v>
      </c>
      <c r="Y161" t="s">
        <v>2464</v>
      </c>
      <c r="Z161" t="s">
        <v>2464</v>
      </c>
      <c r="AA161" t="s">
        <v>2464</v>
      </c>
      <c r="AB161" t="s">
        <v>2464</v>
      </c>
      <c r="AC161" s="2" t="s">
        <v>130</v>
      </c>
      <c r="AD161" s="4" t="s">
        <v>1891</v>
      </c>
      <c r="AE161" t="s">
        <v>131</v>
      </c>
      <c r="AF161" t="s">
        <v>1886</v>
      </c>
      <c r="AG161" t="s">
        <v>1887</v>
      </c>
      <c r="AH161" s="3" t="s">
        <v>18</v>
      </c>
      <c r="AI161" s="3" t="s">
        <v>224</v>
      </c>
      <c r="AJ161" t="s">
        <v>20</v>
      </c>
      <c r="AK161" s="3" t="s">
        <v>107</v>
      </c>
      <c r="AL161" s="5" t="s">
        <v>132</v>
      </c>
      <c r="AM161" s="5" t="s">
        <v>220</v>
      </c>
      <c r="AN161" t="s">
        <v>110</v>
      </c>
      <c r="AO161" s="3" t="s">
        <v>119</v>
      </c>
      <c r="AP161" s="3" t="s">
        <v>120</v>
      </c>
      <c r="AQ161" s="3" t="s">
        <v>111</v>
      </c>
      <c r="AR161" t="s">
        <v>28</v>
      </c>
      <c r="AS161" s="3" t="s">
        <v>29</v>
      </c>
      <c r="AT161" s="3" t="s">
        <v>113</v>
      </c>
      <c r="AU161" s="3" t="s">
        <v>2303</v>
      </c>
      <c r="AV161" s="3" t="s">
        <v>2302</v>
      </c>
      <c r="AW161" s="3" t="s">
        <v>2300</v>
      </c>
      <c r="AX161" s="3" t="s">
        <v>2006</v>
      </c>
      <c r="AY161" s="19" t="s">
        <v>114</v>
      </c>
      <c r="AZ161" s="19" t="s">
        <v>114</v>
      </c>
      <c r="BA161" s="19" t="s">
        <v>114</v>
      </c>
      <c r="BB161" s="19" t="s">
        <v>114</v>
      </c>
      <c r="BC161" s="19" t="s">
        <v>114</v>
      </c>
      <c r="BD161" s="19" t="s">
        <v>114</v>
      </c>
      <c r="BE161" s="19" t="s">
        <v>114</v>
      </c>
      <c r="BF161" s="19" t="s">
        <v>114</v>
      </c>
      <c r="BG161" s="19" t="s">
        <v>114</v>
      </c>
      <c r="BH161" s="19" t="s">
        <v>114</v>
      </c>
      <c r="BI161" s="19" t="s">
        <v>114</v>
      </c>
      <c r="BJ161" s="19" t="s">
        <v>114</v>
      </c>
      <c r="BK161" s="19" t="s">
        <v>114</v>
      </c>
      <c r="BL161" s="19" t="s">
        <v>114</v>
      </c>
      <c r="BM161" s="19" t="s">
        <v>114</v>
      </c>
      <c r="BN161" s="19" t="s">
        <v>114</v>
      </c>
      <c r="BO161" s="19" t="s">
        <v>114</v>
      </c>
      <c r="BP161" s="19" t="s">
        <v>114</v>
      </c>
      <c r="BQ161" s="19" t="s">
        <v>114</v>
      </c>
      <c r="BR161" s="19" t="s">
        <v>114</v>
      </c>
      <c r="BS161" s="19" t="s">
        <v>114</v>
      </c>
      <c r="BT161" s="19" t="s">
        <v>114</v>
      </c>
      <c r="BU161" s="19" t="s">
        <v>114</v>
      </c>
      <c r="BV161" s="19" t="s">
        <v>114</v>
      </c>
      <c r="BW161" s="19" t="s">
        <v>114</v>
      </c>
      <c r="BX161" s="19" t="s">
        <v>114</v>
      </c>
      <c r="BY161" s="19" t="s">
        <v>114</v>
      </c>
      <c r="BZ161" s="21">
        <v>98200</v>
      </c>
      <c r="CA161" s="21" t="s">
        <v>114</v>
      </c>
      <c r="CB161" s="21" t="s">
        <v>114</v>
      </c>
      <c r="CC161" s="21">
        <v>98203</v>
      </c>
      <c r="CD161" s="21">
        <v>98204</v>
      </c>
      <c r="CE161" s="21" t="s">
        <v>114</v>
      </c>
      <c r="CF161" s="19" t="s">
        <v>114</v>
      </c>
      <c r="CG161" s="19" t="s">
        <v>114</v>
      </c>
      <c r="CH161" s="19" t="s">
        <v>114</v>
      </c>
      <c r="CI161" s="21" t="s">
        <v>114</v>
      </c>
      <c r="CJ161" s="21" t="s">
        <v>114</v>
      </c>
      <c r="CK161" s="21" t="s">
        <v>114</v>
      </c>
      <c r="CL161" s="21" t="s">
        <v>114</v>
      </c>
      <c r="CM161" s="21" t="s">
        <v>114</v>
      </c>
      <c r="CN161" s="21" t="s">
        <v>114</v>
      </c>
      <c r="CO161" s="21" t="s">
        <v>114</v>
      </c>
      <c r="CP161" s="21" t="s">
        <v>114</v>
      </c>
      <c r="CQ161" s="21" t="s">
        <v>114</v>
      </c>
      <c r="CR161" s="21" t="s">
        <v>114</v>
      </c>
      <c r="CS161" s="21" t="s">
        <v>114</v>
      </c>
      <c r="CT161" s="21" t="s">
        <v>114</v>
      </c>
      <c r="CU161" s="21">
        <v>98423</v>
      </c>
      <c r="CV161" s="21" t="s">
        <v>114</v>
      </c>
      <c r="CW161" s="21" t="s">
        <v>114</v>
      </c>
      <c r="CX161" s="21" t="s">
        <v>114</v>
      </c>
      <c r="CY161" s="21" t="s">
        <v>114</v>
      </c>
      <c r="CZ161" s="21" t="s">
        <v>114</v>
      </c>
      <c r="DA161" s="21" t="s">
        <v>114</v>
      </c>
      <c r="DB161" s="21" t="s">
        <v>114</v>
      </c>
      <c r="DC161" s="21" t="s">
        <v>114</v>
      </c>
      <c r="DD161" s="21" t="s">
        <v>114</v>
      </c>
      <c r="DE161" s="21" t="s">
        <v>114</v>
      </c>
      <c r="DF161" s="19" t="s">
        <v>114</v>
      </c>
      <c r="DG161" s="19" t="s">
        <v>114</v>
      </c>
      <c r="DH161" s="19" t="s">
        <v>114</v>
      </c>
      <c r="DI161" s="19" t="s">
        <v>114</v>
      </c>
      <c r="DJ161" s="19" t="s">
        <v>114</v>
      </c>
      <c r="DK161" s="19" t="s">
        <v>114</v>
      </c>
      <c r="DL161" s="19" t="s">
        <v>114</v>
      </c>
      <c r="DM161" s="19" t="s">
        <v>114</v>
      </c>
      <c r="DN161" s="19" t="s">
        <v>114</v>
      </c>
      <c r="DO161" s="19" t="s">
        <v>114</v>
      </c>
    </row>
    <row r="162" spans="1:119" hidden="1" x14ac:dyDescent="0.45">
      <c r="A162" s="2" t="s">
        <v>258</v>
      </c>
      <c r="B162" t="s">
        <v>259</v>
      </c>
      <c r="C162" s="2">
        <v>56</v>
      </c>
      <c r="D162" s="6">
        <v>506</v>
      </c>
      <c r="E162" s="2" t="s">
        <v>260</v>
      </c>
      <c r="F162" t="s">
        <v>260</v>
      </c>
      <c r="G162" t="s">
        <v>2028</v>
      </c>
      <c r="H162" s="2" t="s">
        <v>261</v>
      </c>
      <c r="I162" s="2" t="s">
        <v>262</v>
      </c>
      <c r="J162" s="2">
        <v>150</v>
      </c>
      <c r="K162" t="s">
        <v>127</v>
      </c>
      <c r="L162" s="2">
        <v>155</v>
      </c>
      <c r="M162" t="s">
        <v>223</v>
      </c>
      <c r="P162" s="2" t="s">
        <v>127</v>
      </c>
      <c r="Q162" s="2" t="s">
        <v>129</v>
      </c>
      <c r="R162" s="2">
        <v>513</v>
      </c>
      <c r="S162" s="2" t="s">
        <v>1000</v>
      </c>
      <c r="T162" s="2">
        <v>150</v>
      </c>
      <c r="U162" s="2" t="s">
        <v>127</v>
      </c>
      <c r="V162" t="s">
        <v>2451</v>
      </c>
      <c r="W162" t="s">
        <v>2451</v>
      </c>
      <c r="X162" t="s">
        <v>2438</v>
      </c>
      <c r="Y162" t="s">
        <v>2464</v>
      </c>
      <c r="Z162" t="s">
        <v>2464</v>
      </c>
      <c r="AA162" t="s">
        <v>2464</v>
      </c>
      <c r="AB162" t="s">
        <v>2464</v>
      </c>
      <c r="AC162" s="2" t="s">
        <v>130</v>
      </c>
      <c r="AD162" s="4" t="s">
        <v>1891</v>
      </c>
      <c r="AE162" t="s">
        <v>131</v>
      </c>
      <c r="AF162" t="s">
        <v>1886</v>
      </c>
      <c r="AG162" t="s">
        <v>1887</v>
      </c>
      <c r="AH162" s="3" t="s">
        <v>18</v>
      </c>
      <c r="AI162" s="3" t="s">
        <v>224</v>
      </c>
      <c r="AJ162" t="s">
        <v>20</v>
      </c>
      <c r="AK162" s="3" t="s">
        <v>107</v>
      </c>
      <c r="AL162" s="5" t="s">
        <v>132</v>
      </c>
      <c r="AM162" s="5" t="s">
        <v>259</v>
      </c>
      <c r="AO162" s="3" t="s">
        <v>119</v>
      </c>
      <c r="AP162" s="3" t="s">
        <v>120</v>
      </c>
      <c r="AQ162" s="3" t="s">
        <v>111</v>
      </c>
      <c r="AR162" t="s">
        <v>28</v>
      </c>
      <c r="AS162" s="3" t="s">
        <v>29</v>
      </c>
      <c r="AT162" s="3" t="s">
        <v>113</v>
      </c>
      <c r="AU162" s="3" t="s">
        <v>2303</v>
      </c>
      <c r="AV162" s="3" t="s">
        <v>2302</v>
      </c>
      <c r="AW162" s="3" t="s">
        <v>2300</v>
      </c>
      <c r="AX162" s="3" t="s">
        <v>2006</v>
      </c>
      <c r="AY162" s="19" t="s">
        <v>114</v>
      </c>
      <c r="AZ162" s="19" t="s">
        <v>114</v>
      </c>
      <c r="BA162" s="19" t="s">
        <v>114</v>
      </c>
      <c r="BB162" s="19" t="s">
        <v>114</v>
      </c>
      <c r="BC162" s="19" t="s">
        <v>114</v>
      </c>
      <c r="BD162" s="19" t="s">
        <v>114</v>
      </c>
      <c r="BE162" s="19" t="s">
        <v>114</v>
      </c>
      <c r="BF162" s="19" t="s">
        <v>114</v>
      </c>
      <c r="BG162" s="19" t="s">
        <v>114</v>
      </c>
      <c r="BH162" s="19" t="s">
        <v>114</v>
      </c>
      <c r="BI162" s="19" t="s">
        <v>114</v>
      </c>
      <c r="BJ162" s="19" t="s">
        <v>114</v>
      </c>
      <c r="BK162" s="19" t="s">
        <v>114</v>
      </c>
      <c r="BL162" s="19" t="s">
        <v>114</v>
      </c>
      <c r="BM162" s="19" t="s">
        <v>114</v>
      </c>
      <c r="BN162" s="19" t="s">
        <v>114</v>
      </c>
      <c r="BO162" s="19" t="s">
        <v>114</v>
      </c>
      <c r="BP162" s="19" t="s">
        <v>114</v>
      </c>
      <c r="BQ162" s="19" t="s">
        <v>114</v>
      </c>
      <c r="BR162" s="19" t="s">
        <v>114</v>
      </c>
      <c r="BS162" s="19" t="s">
        <v>114</v>
      </c>
      <c r="BT162" s="19" t="s">
        <v>114</v>
      </c>
      <c r="BU162" s="19" t="s">
        <v>114</v>
      </c>
      <c r="BV162" s="19" t="s">
        <v>114</v>
      </c>
      <c r="BW162" s="19" t="s">
        <v>114</v>
      </c>
      <c r="BX162" s="19" t="s">
        <v>114</v>
      </c>
      <c r="BY162" s="19" t="s">
        <v>114</v>
      </c>
      <c r="BZ162" s="21">
        <v>98200</v>
      </c>
      <c r="CA162" s="21" t="s">
        <v>114</v>
      </c>
      <c r="CB162" s="21" t="s">
        <v>114</v>
      </c>
      <c r="CC162" s="21">
        <v>98203</v>
      </c>
      <c r="CD162" s="21">
        <v>98204</v>
      </c>
      <c r="CE162" s="21" t="s">
        <v>114</v>
      </c>
      <c r="CF162" s="19" t="s">
        <v>114</v>
      </c>
      <c r="CG162" s="19" t="s">
        <v>114</v>
      </c>
      <c r="CH162" s="19" t="s">
        <v>114</v>
      </c>
      <c r="CI162" s="21" t="s">
        <v>114</v>
      </c>
      <c r="CJ162" s="21" t="s">
        <v>114</v>
      </c>
      <c r="CK162" s="21" t="s">
        <v>114</v>
      </c>
      <c r="CL162" s="21" t="s">
        <v>114</v>
      </c>
      <c r="CM162" s="21" t="s">
        <v>114</v>
      </c>
      <c r="CN162" s="21" t="s">
        <v>114</v>
      </c>
      <c r="CO162" s="21" t="s">
        <v>114</v>
      </c>
      <c r="CP162" s="21" t="s">
        <v>114</v>
      </c>
      <c r="CQ162" s="21" t="s">
        <v>114</v>
      </c>
      <c r="CR162" s="21" t="s">
        <v>114</v>
      </c>
      <c r="CS162" s="21" t="s">
        <v>114</v>
      </c>
      <c r="CT162" s="21" t="s">
        <v>114</v>
      </c>
      <c r="CU162" s="21">
        <v>98423</v>
      </c>
      <c r="CV162" s="21" t="s">
        <v>114</v>
      </c>
      <c r="CW162" s="21" t="s">
        <v>114</v>
      </c>
      <c r="CX162" s="21" t="s">
        <v>114</v>
      </c>
      <c r="CY162" s="21" t="s">
        <v>114</v>
      </c>
      <c r="CZ162" s="21" t="s">
        <v>114</v>
      </c>
      <c r="DA162" s="21" t="s">
        <v>114</v>
      </c>
      <c r="DB162" s="21" t="s">
        <v>114</v>
      </c>
      <c r="DC162" s="21" t="s">
        <v>114</v>
      </c>
      <c r="DD162" s="21" t="s">
        <v>114</v>
      </c>
      <c r="DE162" s="21" t="s">
        <v>114</v>
      </c>
      <c r="DF162" s="19" t="s">
        <v>114</v>
      </c>
      <c r="DG162" s="19" t="s">
        <v>114</v>
      </c>
      <c r="DH162" s="19" t="s">
        <v>114</v>
      </c>
      <c r="DI162" s="19" t="s">
        <v>114</v>
      </c>
      <c r="DJ162" s="19" t="s">
        <v>114</v>
      </c>
      <c r="DK162" s="19" t="s">
        <v>114</v>
      </c>
      <c r="DL162" s="19" t="s">
        <v>114</v>
      </c>
      <c r="DM162" s="19" t="s">
        <v>114</v>
      </c>
      <c r="DN162" s="19" t="s">
        <v>114</v>
      </c>
      <c r="DO162" s="19" t="s">
        <v>114</v>
      </c>
    </row>
    <row r="163" spans="1:119" hidden="1" x14ac:dyDescent="0.45">
      <c r="A163" s="2" t="s">
        <v>340</v>
      </c>
      <c r="B163" t="s">
        <v>341</v>
      </c>
      <c r="C163" s="2">
        <v>100</v>
      </c>
      <c r="D163" s="6">
        <v>508</v>
      </c>
      <c r="E163" s="2" t="s">
        <v>342</v>
      </c>
      <c r="F163" t="s">
        <v>342</v>
      </c>
      <c r="G163" t="s">
        <v>2034</v>
      </c>
      <c r="H163" s="2" t="s">
        <v>343</v>
      </c>
      <c r="I163" s="2" t="s">
        <v>342</v>
      </c>
      <c r="J163" s="2">
        <v>150</v>
      </c>
      <c r="K163" t="s">
        <v>127</v>
      </c>
      <c r="L163" s="2">
        <v>151</v>
      </c>
      <c r="M163" t="s">
        <v>256</v>
      </c>
      <c r="P163" s="2" t="s">
        <v>127</v>
      </c>
      <c r="Q163" s="2" t="s">
        <v>129</v>
      </c>
      <c r="R163" s="2">
        <v>513</v>
      </c>
      <c r="S163" s="2" t="s">
        <v>1000</v>
      </c>
      <c r="T163" s="2">
        <v>150</v>
      </c>
      <c r="U163" s="2" t="s">
        <v>127</v>
      </c>
      <c r="V163" t="s">
        <v>2451</v>
      </c>
      <c r="W163" t="s">
        <v>2451</v>
      </c>
      <c r="X163" t="s">
        <v>2438</v>
      </c>
      <c r="Y163" t="s">
        <v>2464</v>
      </c>
      <c r="Z163" t="s">
        <v>2464</v>
      </c>
      <c r="AA163" t="s">
        <v>2464</v>
      </c>
      <c r="AB163" t="s">
        <v>2464</v>
      </c>
      <c r="AC163" s="2" t="s">
        <v>138</v>
      </c>
      <c r="AD163" s="4" t="s">
        <v>1891</v>
      </c>
      <c r="AE163" t="s">
        <v>131</v>
      </c>
      <c r="AF163" t="s">
        <v>1886</v>
      </c>
      <c r="AG163" t="s">
        <v>1887</v>
      </c>
      <c r="AH163" t="s">
        <v>105</v>
      </c>
      <c r="AI163" s="3" t="s">
        <v>105</v>
      </c>
      <c r="AJ163" s="3" t="s">
        <v>106</v>
      </c>
      <c r="AK163" s="3" t="s">
        <v>107</v>
      </c>
      <c r="AL163" s="5" t="s">
        <v>344</v>
      </c>
      <c r="AM163" s="5" t="s">
        <v>109</v>
      </c>
      <c r="AN163" t="s">
        <v>110</v>
      </c>
      <c r="AO163" s="3" t="s">
        <v>119</v>
      </c>
      <c r="AP163" s="3" t="s">
        <v>120</v>
      </c>
      <c r="AQ163" s="3" t="s">
        <v>111</v>
      </c>
      <c r="AR163" t="s">
        <v>28</v>
      </c>
      <c r="AS163" s="3" t="s">
        <v>29</v>
      </c>
      <c r="AT163" s="3" t="s">
        <v>113</v>
      </c>
      <c r="AU163" s="3" t="s">
        <v>2303</v>
      </c>
      <c r="AV163" s="3" t="s">
        <v>2302</v>
      </c>
      <c r="AW163" s="3" t="s">
        <v>2300</v>
      </c>
      <c r="AX163" s="3" t="s">
        <v>2006</v>
      </c>
      <c r="AY163" s="19" t="s">
        <v>114</v>
      </c>
      <c r="AZ163" s="19" t="s">
        <v>114</v>
      </c>
      <c r="BA163" s="19" t="s">
        <v>114</v>
      </c>
      <c r="BB163" s="19" t="s">
        <v>114</v>
      </c>
      <c r="BC163" s="19" t="s">
        <v>114</v>
      </c>
      <c r="BD163" s="19" t="s">
        <v>114</v>
      </c>
      <c r="BE163" s="19" t="s">
        <v>114</v>
      </c>
      <c r="BF163" s="19" t="s">
        <v>114</v>
      </c>
      <c r="BG163" s="19" t="s">
        <v>114</v>
      </c>
      <c r="BH163" s="19" t="s">
        <v>114</v>
      </c>
      <c r="BI163" s="19" t="s">
        <v>114</v>
      </c>
      <c r="BJ163" s="19" t="s">
        <v>114</v>
      </c>
      <c r="BK163" s="19" t="s">
        <v>114</v>
      </c>
      <c r="BL163" s="19" t="s">
        <v>114</v>
      </c>
      <c r="BM163" s="19" t="s">
        <v>114</v>
      </c>
      <c r="BN163" s="19" t="s">
        <v>114</v>
      </c>
      <c r="BO163" s="19" t="s">
        <v>114</v>
      </c>
      <c r="BP163" s="19" t="s">
        <v>114</v>
      </c>
      <c r="BQ163" s="19" t="s">
        <v>114</v>
      </c>
      <c r="BR163" s="19" t="s">
        <v>114</v>
      </c>
      <c r="BS163" s="19" t="s">
        <v>114</v>
      </c>
      <c r="BT163" s="19" t="s">
        <v>114</v>
      </c>
      <c r="BU163" s="19" t="s">
        <v>114</v>
      </c>
      <c r="BV163" s="19" t="s">
        <v>114</v>
      </c>
      <c r="BW163" s="19" t="s">
        <v>114</v>
      </c>
      <c r="BX163" s="19" t="s">
        <v>114</v>
      </c>
      <c r="BY163" s="19" t="s">
        <v>114</v>
      </c>
      <c r="BZ163" s="21">
        <v>98200</v>
      </c>
      <c r="CA163" s="21" t="s">
        <v>114</v>
      </c>
      <c r="CB163" s="21" t="s">
        <v>114</v>
      </c>
      <c r="CC163" s="21">
        <v>98203</v>
      </c>
      <c r="CD163" s="21" t="s">
        <v>114</v>
      </c>
      <c r="CE163" s="21" t="s">
        <v>114</v>
      </c>
      <c r="CF163" s="19" t="s">
        <v>114</v>
      </c>
      <c r="CG163" s="19" t="s">
        <v>114</v>
      </c>
      <c r="CH163" s="19" t="s">
        <v>114</v>
      </c>
      <c r="CI163" s="21" t="s">
        <v>114</v>
      </c>
      <c r="CJ163" s="21" t="s">
        <v>114</v>
      </c>
      <c r="CK163" s="21" t="s">
        <v>114</v>
      </c>
      <c r="CL163" s="21" t="s">
        <v>114</v>
      </c>
      <c r="CM163" s="21" t="s">
        <v>114</v>
      </c>
      <c r="CN163" s="21" t="s">
        <v>114</v>
      </c>
      <c r="CO163" s="21" t="s">
        <v>114</v>
      </c>
      <c r="CP163" s="21" t="s">
        <v>114</v>
      </c>
      <c r="CQ163" s="21" t="s">
        <v>114</v>
      </c>
      <c r="CR163" s="21" t="s">
        <v>114</v>
      </c>
      <c r="CS163" s="21" t="s">
        <v>114</v>
      </c>
      <c r="CT163" s="21" t="s">
        <v>114</v>
      </c>
      <c r="CU163" s="21">
        <v>98423</v>
      </c>
      <c r="CV163" s="21" t="s">
        <v>114</v>
      </c>
      <c r="CW163" s="21" t="s">
        <v>114</v>
      </c>
      <c r="CX163" s="21" t="s">
        <v>114</v>
      </c>
      <c r="CY163" s="21" t="s">
        <v>114</v>
      </c>
      <c r="CZ163" s="21" t="s">
        <v>114</v>
      </c>
      <c r="DA163" s="21" t="s">
        <v>114</v>
      </c>
      <c r="DB163" s="21" t="s">
        <v>114</v>
      </c>
      <c r="DC163" s="21" t="s">
        <v>114</v>
      </c>
      <c r="DD163" s="21" t="s">
        <v>114</v>
      </c>
      <c r="DE163" s="21" t="s">
        <v>114</v>
      </c>
      <c r="DF163" s="19" t="s">
        <v>114</v>
      </c>
      <c r="DG163" s="19" t="s">
        <v>114</v>
      </c>
      <c r="DH163" s="19" t="s">
        <v>114</v>
      </c>
      <c r="DI163" s="19" t="s">
        <v>114</v>
      </c>
      <c r="DJ163" s="19" t="s">
        <v>114</v>
      </c>
      <c r="DK163" s="19" t="s">
        <v>114</v>
      </c>
      <c r="DL163" s="19" t="s">
        <v>114</v>
      </c>
      <c r="DM163" s="19" t="s">
        <v>114</v>
      </c>
      <c r="DN163" s="19" t="s">
        <v>114</v>
      </c>
      <c r="DO163" s="19" t="s">
        <v>114</v>
      </c>
    </row>
    <row r="164" spans="1:119" hidden="1" x14ac:dyDescent="0.45">
      <c r="A164" s="2" t="s">
        <v>467</v>
      </c>
      <c r="B164" t="s">
        <v>468</v>
      </c>
      <c r="C164" s="2">
        <v>191</v>
      </c>
      <c r="D164" s="6">
        <v>510</v>
      </c>
      <c r="E164" s="2" t="s">
        <v>469</v>
      </c>
      <c r="F164" t="s">
        <v>469</v>
      </c>
      <c r="G164" t="s">
        <v>2048</v>
      </c>
      <c r="H164" s="2" t="s">
        <v>470</v>
      </c>
      <c r="I164" s="2" t="s">
        <v>471</v>
      </c>
      <c r="J164" s="2">
        <v>150</v>
      </c>
      <c r="K164" t="s">
        <v>127</v>
      </c>
      <c r="L164" s="2">
        <v>39</v>
      </c>
      <c r="M164" t="s">
        <v>137</v>
      </c>
      <c r="P164" s="2" t="s">
        <v>127</v>
      </c>
      <c r="Q164" s="2" t="s">
        <v>129</v>
      </c>
      <c r="R164" s="2">
        <v>513</v>
      </c>
      <c r="S164" s="2" t="s">
        <v>1000</v>
      </c>
      <c r="T164" s="2">
        <v>150</v>
      </c>
      <c r="U164" s="2" t="s">
        <v>127</v>
      </c>
      <c r="V164" t="s">
        <v>2451</v>
      </c>
      <c r="W164" t="s">
        <v>2451</v>
      </c>
      <c r="X164" t="s">
        <v>2438</v>
      </c>
      <c r="Y164" t="s">
        <v>2464</v>
      </c>
      <c r="Z164" t="s">
        <v>2464</v>
      </c>
      <c r="AA164" t="s">
        <v>2464</v>
      </c>
      <c r="AB164" t="s">
        <v>2464</v>
      </c>
      <c r="AC164" s="2" t="s">
        <v>130</v>
      </c>
      <c r="AD164" s="4" t="s">
        <v>1891</v>
      </c>
      <c r="AE164" t="s">
        <v>131</v>
      </c>
      <c r="AF164" t="s">
        <v>1886</v>
      </c>
      <c r="AG164" t="s">
        <v>1887</v>
      </c>
      <c r="AH164" t="s">
        <v>105</v>
      </c>
      <c r="AI164" s="3" t="s">
        <v>105</v>
      </c>
      <c r="AJ164" s="3" t="s">
        <v>106</v>
      </c>
      <c r="AK164" s="3" t="s">
        <v>107</v>
      </c>
      <c r="AL164" s="5" t="s">
        <v>472</v>
      </c>
      <c r="AM164" s="5" t="s">
        <v>109</v>
      </c>
      <c r="AN164" t="s">
        <v>110</v>
      </c>
      <c r="AO164" s="3" t="s">
        <v>119</v>
      </c>
      <c r="AP164" s="3" t="s">
        <v>120</v>
      </c>
      <c r="AQ164" s="3" t="s">
        <v>111</v>
      </c>
      <c r="AR164" t="s">
        <v>28</v>
      </c>
      <c r="AS164" s="3" t="s">
        <v>29</v>
      </c>
      <c r="AT164" s="3" t="s">
        <v>113</v>
      </c>
      <c r="AU164" s="3" t="s">
        <v>2303</v>
      </c>
      <c r="AV164" s="3" t="s">
        <v>2302</v>
      </c>
      <c r="AW164" s="3" t="s">
        <v>2300</v>
      </c>
      <c r="AX164" s="3" t="s">
        <v>2006</v>
      </c>
      <c r="AY164" s="19" t="s">
        <v>114</v>
      </c>
      <c r="AZ164" s="19" t="s">
        <v>114</v>
      </c>
      <c r="BA164" s="19" t="s">
        <v>114</v>
      </c>
      <c r="BB164" s="19" t="s">
        <v>114</v>
      </c>
      <c r="BC164" s="19" t="s">
        <v>114</v>
      </c>
      <c r="BD164" s="19" t="s">
        <v>114</v>
      </c>
      <c r="BE164" s="19" t="s">
        <v>114</v>
      </c>
      <c r="BF164" s="19" t="s">
        <v>114</v>
      </c>
      <c r="BG164" s="19" t="s">
        <v>114</v>
      </c>
      <c r="BH164" s="19" t="s">
        <v>114</v>
      </c>
      <c r="BI164" s="19" t="s">
        <v>114</v>
      </c>
      <c r="BJ164" s="19" t="s">
        <v>114</v>
      </c>
      <c r="BK164" s="19" t="s">
        <v>114</v>
      </c>
      <c r="BL164" s="19" t="s">
        <v>114</v>
      </c>
      <c r="BM164" s="19" t="s">
        <v>114</v>
      </c>
      <c r="BN164" s="19" t="s">
        <v>114</v>
      </c>
      <c r="BO164" s="19" t="s">
        <v>114</v>
      </c>
      <c r="BP164" s="19" t="s">
        <v>114</v>
      </c>
      <c r="BQ164" s="19" t="s">
        <v>114</v>
      </c>
      <c r="BR164" s="19" t="s">
        <v>114</v>
      </c>
      <c r="BS164" s="19" t="s">
        <v>114</v>
      </c>
      <c r="BT164" s="19" t="s">
        <v>114</v>
      </c>
      <c r="BU164" s="19" t="s">
        <v>114</v>
      </c>
      <c r="BV164" s="19" t="s">
        <v>114</v>
      </c>
      <c r="BW164" s="19" t="s">
        <v>114</v>
      </c>
      <c r="BX164" s="19" t="s">
        <v>114</v>
      </c>
      <c r="BY164" s="19" t="s">
        <v>114</v>
      </c>
      <c r="BZ164" s="21">
        <v>98200</v>
      </c>
      <c r="CA164" s="21" t="s">
        <v>114</v>
      </c>
      <c r="CB164" s="21" t="s">
        <v>114</v>
      </c>
      <c r="CC164" s="21">
        <v>98203</v>
      </c>
      <c r="CD164" s="21" t="s">
        <v>114</v>
      </c>
      <c r="CE164" s="21">
        <v>98205</v>
      </c>
      <c r="CF164" s="19" t="s">
        <v>114</v>
      </c>
      <c r="CG164" s="19" t="s">
        <v>114</v>
      </c>
      <c r="CH164" s="19" t="s">
        <v>114</v>
      </c>
      <c r="CI164" s="21" t="s">
        <v>114</v>
      </c>
      <c r="CJ164" s="21" t="s">
        <v>114</v>
      </c>
      <c r="CK164" s="21" t="s">
        <v>114</v>
      </c>
      <c r="CL164" s="21" t="s">
        <v>114</v>
      </c>
      <c r="CM164" s="21" t="s">
        <v>114</v>
      </c>
      <c r="CN164" s="21" t="s">
        <v>114</v>
      </c>
      <c r="CO164" s="21" t="s">
        <v>114</v>
      </c>
      <c r="CP164" s="21" t="s">
        <v>114</v>
      </c>
      <c r="CQ164" s="21" t="s">
        <v>114</v>
      </c>
      <c r="CR164" s="21" t="s">
        <v>114</v>
      </c>
      <c r="CS164" s="21" t="s">
        <v>114</v>
      </c>
      <c r="CT164" s="21" t="s">
        <v>114</v>
      </c>
      <c r="CU164" s="21">
        <v>98423</v>
      </c>
      <c r="CV164" s="21" t="s">
        <v>114</v>
      </c>
      <c r="CW164" s="21" t="s">
        <v>114</v>
      </c>
      <c r="CX164" s="21" t="s">
        <v>114</v>
      </c>
      <c r="CY164" s="21" t="s">
        <v>114</v>
      </c>
      <c r="CZ164" s="21" t="s">
        <v>114</v>
      </c>
      <c r="DA164" s="21" t="s">
        <v>114</v>
      </c>
      <c r="DB164" s="21" t="s">
        <v>114</v>
      </c>
      <c r="DC164" s="21" t="s">
        <v>114</v>
      </c>
      <c r="DD164" s="21" t="s">
        <v>114</v>
      </c>
      <c r="DE164" s="21" t="s">
        <v>114</v>
      </c>
      <c r="DF164" s="19" t="s">
        <v>114</v>
      </c>
      <c r="DG164" s="19" t="s">
        <v>114</v>
      </c>
      <c r="DH164" s="19" t="s">
        <v>114</v>
      </c>
      <c r="DI164" s="19" t="s">
        <v>114</v>
      </c>
      <c r="DJ164" s="19" t="s">
        <v>114</v>
      </c>
      <c r="DK164" s="19" t="s">
        <v>114</v>
      </c>
      <c r="DL164" s="19" t="s">
        <v>114</v>
      </c>
      <c r="DM164" s="19" t="s">
        <v>114</v>
      </c>
      <c r="DN164" s="19" t="s">
        <v>114</v>
      </c>
      <c r="DO164" s="19" t="s">
        <v>114</v>
      </c>
    </row>
    <row r="165" spans="1:119" hidden="1" x14ac:dyDescent="0.45">
      <c r="A165" s="2" t="s">
        <v>482</v>
      </c>
      <c r="B165" t="s">
        <v>483</v>
      </c>
      <c r="C165" s="2">
        <v>196</v>
      </c>
      <c r="D165" s="6">
        <v>511</v>
      </c>
      <c r="E165" s="2" t="s">
        <v>484</v>
      </c>
      <c r="F165" t="s">
        <v>484</v>
      </c>
      <c r="G165" t="s">
        <v>2050</v>
      </c>
      <c r="H165" s="2" t="s">
        <v>485</v>
      </c>
      <c r="I165" s="2" t="s">
        <v>486</v>
      </c>
      <c r="J165" s="2">
        <v>142</v>
      </c>
      <c r="K165" t="s">
        <v>100</v>
      </c>
      <c r="L165" s="2">
        <v>145</v>
      </c>
      <c r="M165" t="s">
        <v>202</v>
      </c>
      <c r="P165" s="2" t="s">
        <v>127</v>
      </c>
      <c r="Q165" s="2" t="s">
        <v>129</v>
      </c>
      <c r="R165" s="4">
        <v>747</v>
      </c>
      <c r="S165" s="2" t="s">
        <v>1446</v>
      </c>
      <c r="T165" s="2">
        <v>145</v>
      </c>
      <c r="U165" t="s">
        <v>202</v>
      </c>
      <c r="V165" t="s">
        <v>2451</v>
      </c>
      <c r="W165" t="s">
        <v>2451</v>
      </c>
      <c r="X165" t="s">
        <v>2438</v>
      </c>
      <c r="Y165" t="s">
        <v>2464</v>
      </c>
      <c r="Z165" t="s">
        <v>2464</v>
      </c>
      <c r="AA165" t="s">
        <v>2464</v>
      </c>
      <c r="AB165" t="s">
        <v>2464</v>
      </c>
      <c r="AC165" s="2" t="s">
        <v>130</v>
      </c>
      <c r="AD165" s="4" t="s">
        <v>1891</v>
      </c>
      <c r="AE165" t="s">
        <v>131</v>
      </c>
      <c r="AF165" t="s">
        <v>1886</v>
      </c>
      <c r="AG165" t="s">
        <v>1887</v>
      </c>
      <c r="AH165" t="s">
        <v>105</v>
      </c>
      <c r="AI165" s="3" t="s">
        <v>105</v>
      </c>
      <c r="AJ165" s="3" t="s">
        <v>106</v>
      </c>
      <c r="AK165" s="3" t="s">
        <v>107</v>
      </c>
      <c r="AL165" s="5" t="s">
        <v>132</v>
      </c>
      <c r="AM165" s="5" t="s">
        <v>109</v>
      </c>
      <c r="AN165" t="s">
        <v>110</v>
      </c>
      <c r="AO165" s="3" t="s">
        <v>119</v>
      </c>
      <c r="AP165" s="3" t="s">
        <v>120</v>
      </c>
      <c r="AQ165" s="3" t="s">
        <v>111</v>
      </c>
      <c r="AR165" t="s">
        <v>28</v>
      </c>
      <c r="AS165" s="3" t="s">
        <v>29</v>
      </c>
      <c r="AT165" s="3" t="s">
        <v>113</v>
      </c>
      <c r="AU165" s="3" t="s">
        <v>2303</v>
      </c>
      <c r="AV165" s="3" t="s">
        <v>2302</v>
      </c>
      <c r="AW165" s="3" t="s">
        <v>2300</v>
      </c>
      <c r="AX165" s="3" t="s">
        <v>2006</v>
      </c>
      <c r="AY165" s="19" t="s">
        <v>114</v>
      </c>
      <c r="AZ165" s="19" t="s">
        <v>114</v>
      </c>
      <c r="BA165" s="19" t="s">
        <v>114</v>
      </c>
      <c r="BB165" s="19" t="s">
        <v>114</v>
      </c>
      <c r="BC165" s="19" t="s">
        <v>114</v>
      </c>
      <c r="BD165" s="19" t="s">
        <v>114</v>
      </c>
      <c r="BE165" s="19" t="s">
        <v>114</v>
      </c>
      <c r="BF165" s="19" t="s">
        <v>114</v>
      </c>
      <c r="BG165" s="19" t="s">
        <v>114</v>
      </c>
      <c r="BH165" s="19" t="s">
        <v>114</v>
      </c>
      <c r="BI165" s="19" t="s">
        <v>114</v>
      </c>
      <c r="BJ165" s="19" t="s">
        <v>114</v>
      </c>
      <c r="BK165" s="19" t="s">
        <v>114</v>
      </c>
      <c r="BL165" s="19" t="s">
        <v>114</v>
      </c>
      <c r="BM165" s="19" t="s">
        <v>114</v>
      </c>
      <c r="BN165" s="19" t="s">
        <v>114</v>
      </c>
      <c r="BO165" s="19" t="s">
        <v>114</v>
      </c>
      <c r="BP165" s="19" t="s">
        <v>114</v>
      </c>
      <c r="BQ165" s="19" t="s">
        <v>114</v>
      </c>
      <c r="BR165" s="19" t="s">
        <v>114</v>
      </c>
      <c r="BS165" s="19" t="s">
        <v>114</v>
      </c>
      <c r="BT165" s="19" t="s">
        <v>114</v>
      </c>
      <c r="BU165" s="19" t="s">
        <v>114</v>
      </c>
      <c r="BV165" s="19" t="s">
        <v>114</v>
      </c>
      <c r="BW165" s="19" t="s">
        <v>114</v>
      </c>
      <c r="BX165" s="19" t="s">
        <v>114</v>
      </c>
      <c r="BY165" s="19" t="s">
        <v>114</v>
      </c>
      <c r="BZ165" s="21">
        <v>98200</v>
      </c>
      <c r="CA165" s="21" t="s">
        <v>114</v>
      </c>
      <c r="CB165" s="21" t="s">
        <v>114</v>
      </c>
      <c r="CC165" s="21">
        <v>98203</v>
      </c>
      <c r="CD165" s="21">
        <v>98204</v>
      </c>
      <c r="CE165" s="21" t="s">
        <v>114</v>
      </c>
      <c r="CF165" s="19" t="s">
        <v>114</v>
      </c>
      <c r="CG165" s="19" t="s">
        <v>114</v>
      </c>
      <c r="CH165" s="19" t="s">
        <v>114</v>
      </c>
      <c r="CI165" s="21" t="s">
        <v>114</v>
      </c>
      <c r="CJ165" s="21" t="s">
        <v>114</v>
      </c>
      <c r="CK165" s="21" t="s">
        <v>114</v>
      </c>
      <c r="CL165" s="21" t="s">
        <v>114</v>
      </c>
      <c r="CM165" s="21" t="s">
        <v>114</v>
      </c>
      <c r="CN165" s="21" t="s">
        <v>114</v>
      </c>
      <c r="CO165" s="21" t="s">
        <v>114</v>
      </c>
      <c r="CP165" s="21" t="s">
        <v>114</v>
      </c>
      <c r="CQ165" s="21" t="s">
        <v>114</v>
      </c>
      <c r="CR165" s="21" t="s">
        <v>114</v>
      </c>
      <c r="CS165" s="21" t="s">
        <v>114</v>
      </c>
      <c r="CT165" s="21" t="s">
        <v>114</v>
      </c>
      <c r="CU165" s="21">
        <v>98423</v>
      </c>
      <c r="CV165" s="21" t="s">
        <v>114</v>
      </c>
      <c r="CW165" s="21" t="s">
        <v>114</v>
      </c>
      <c r="CX165" s="21" t="s">
        <v>114</v>
      </c>
      <c r="CY165" s="21" t="s">
        <v>114</v>
      </c>
      <c r="CZ165" s="21" t="s">
        <v>114</v>
      </c>
      <c r="DA165" s="21" t="s">
        <v>114</v>
      </c>
      <c r="DB165" s="21" t="s">
        <v>114</v>
      </c>
      <c r="DC165" s="21" t="s">
        <v>114</v>
      </c>
      <c r="DD165" s="21" t="s">
        <v>114</v>
      </c>
      <c r="DE165" s="21" t="s">
        <v>114</v>
      </c>
      <c r="DF165" s="19" t="s">
        <v>114</v>
      </c>
      <c r="DG165" s="19" t="s">
        <v>114</v>
      </c>
      <c r="DH165" s="19" t="s">
        <v>114</v>
      </c>
      <c r="DI165" s="19" t="s">
        <v>114</v>
      </c>
      <c r="DJ165" s="19" t="s">
        <v>114</v>
      </c>
      <c r="DK165" s="19" t="s">
        <v>114</v>
      </c>
      <c r="DL165" s="19" t="s">
        <v>114</v>
      </c>
      <c r="DM165" s="19" t="s">
        <v>114</v>
      </c>
      <c r="DN165" s="19" t="s">
        <v>114</v>
      </c>
      <c r="DO165" s="19" t="s">
        <v>114</v>
      </c>
    </row>
    <row r="166" spans="1:119" hidden="1" x14ac:dyDescent="0.45">
      <c r="A166" s="2" t="s">
        <v>487</v>
      </c>
      <c r="B166" t="s">
        <v>488</v>
      </c>
      <c r="C166" s="2">
        <v>203</v>
      </c>
      <c r="D166" s="6">
        <v>512</v>
      </c>
      <c r="E166" s="2" t="s">
        <v>489</v>
      </c>
      <c r="F166" s="3" t="s">
        <v>489</v>
      </c>
      <c r="G166" t="s">
        <v>2051</v>
      </c>
      <c r="H166" s="4" t="s">
        <v>490</v>
      </c>
      <c r="I166" s="2" t="s">
        <v>491</v>
      </c>
      <c r="J166" s="2">
        <v>150</v>
      </c>
      <c r="K166" t="s">
        <v>127</v>
      </c>
      <c r="L166" s="2">
        <v>151</v>
      </c>
      <c r="M166" t="s">
        <v>256</v>
      </c>
      <c r="P166" s="2" t="s">
        <v>127</v>
      </c>
      <c r="Q166" s="2" t="s">
        <v>129</v>
      </c>
      <c r="R166" s="2">
        <v>513</v>
      </c>
      <c r="S166" s="2" t="s">
        <v>1000</v>
      </c>
      <c r="T166" s="2">
        <v>150</v>
      </c>
      <c r="U166" s="2" t="s">
        <v>127</v>
      </c>
      <c r="V166" t="s">
        <v>2451</v>
      </c>
      <c r="W166" t="s">
        <v>2451</v>
      </c>
      <c r="X166" t="s">
        <v>2438</v>
      </c>
      <c r="Y166" t="s">
        <v>2464</v>
      </c>
      <c r="Z166" t="s">
        <v>2464</v>
      </c>
      <c r="AA166" t="s">
        <v>2464</v>
      </c>
      <c r="AB166" t="s">
        <v>2464</v>
      </c>
      <c r="AC166" s="2" t="s">
        <v>130</v>
      </c>
      <c r="AD166" s="4" t="s">
        <v>1891</v>
      </c>
      <c r="AE166" t="s">
        <v>131</v>
      </c>
      <c r="AF166" t="s">
        <v>1886</v>
      </c>
      <c r="AG166" t="s">
        <v>1887</v>
      </c>
      <c r="AH166" s="3" t="s">
        <v>18</v>
      </c>
      <c r="AI166" s="3" t="s">
        <v>224</v>
      </c>
      <c r="AJ166" s="3" t="s">
        <v>20</v>
      </c>
      <c r="AK166" s="3" t="s">
        <v>107</v>
      </c>
      <c r="AL166" s="5" t="s">
        <v>492</v>
      </c>
      <c r="AM166" s="5" t="s">
        <v>488</v>
      </c>
      <c r="AN166" t="s">
        <v>110</v>
      </c>
      <c r="AO166" s="3" t="s">
        <v>119</v>
      </c>
      <c r="AP166" s="3" t="s">
        <v>120</v>
      </c>
      <c r="AQ166" s="3" t="s">
        <v>111</v>
      </c>
      <c r="AR166" t="s">
        <v>28</v>
      </c>
      <c r="AS166" s="3" t="s">
        <v>29</v>
      </c>
      <c r="AT166" s="3" t="s">
        <v>113</v>
      </c>
      <c r="AU166" s="3" t="s">
        <v>2303</v>
      </c>
      <c r="AV166" s="3" t="s">
        <v>2302</v>
      </c>
      <c r="AW166" s="3" t="s">
        <v>2300</v>
      </c>
      <c r="AX166" s="3" t="s">
        <v>2006</v>
      </c>
      <c r="AY166" s="19" t="s">
        <v>114</v>
      </c>
      <c r="AZ166" s="19" t="s">
        <v>114</v>
      </c>
      <c r="BA166" s="19" t="s">
        <v>114</v>
      </c>
      <c r="BB166" s="19" t="s">
        <v>114</v>
      </c>
      <c r="BC166" s="19" t="s">
        <v>114</v>
      </c>
      <c r="BD166" s="19" t="s">
        <v>114</v>
      </c>
      <c r="BE166" s="19" t="s">
        <v>114</v>
      </c>
      <c r="BF166" s="19" t="s">
        <v>114</v>
      </c>
      <c r="BG166" s="19" t="s">
        <v>114</v>
      </c>
      <c r="BH166" s="19" t="s">
        <v>114</v>
      </c>
      <c r="BI166" s="19" t="s">
        <v>114</v>
      </c>
      <c r="BJ166" s="19" t="s">
        <v>114</v>
      </c>
      <c r="BK166" s="19" t="s">
        <v>114</v>
      </c>
      <c r="BL166" s="19" t="s">
        <v>114</v>
      </c>
      <c r="BM166" s="19" t="s">
        <v>114</v>
      </c>
      <c r="BN166" s="19" t="s">
        <v>114</v>
      </c>
      <c r="BO166" s="19" t="s">
        <v>114</v>
      </c>
      <c r="BP166" s="19" t="s">
        <v>114</v>
      </c>
      <c r="BQ166" s="19" t="s">
        <v>114</v>
      </c>
      <c r="BR166" s="19" t="s">
        <v>114</v>
      </c>
      <c r="BS166" s="19" t="s">
        <v>114</v>
      </c>
      <c r="BT166" s="19" t="s">
        <v>114</v>
      </c>
      <c r="BU166" s="19" t="s">
        <v>114</v>
      </c>
      <c r="BV166" s="19" t="s">
        <v>114</v>
      </c>
      <c r="BW166" s="19" t="s">
        <v>114</v>
      </c>
      <c r="BX166" s="19" t="s">
        <v>114</v>
      </c>
      <c r="BY166" s="19" t="s">
        <v>114</v>
      </c>
      <c r="BZ166" s="21">
        <v>98200</v>
      </c>
      <c r="CA166" s="21" t="s">
        <v>114</v>
      </c>
      <c r="CB166" s="21" t="s">
        <v>114</v>
      </c>
      <c r="CC166" s="21">
        <v>98203</v>
      </c>
      <c r="CD166" s="21" t="s">
        <v>114</v>
      </c>
      <c r="CE166" s="21" t="s">
        <v>114</v>
      </c>
      <c r="CF166" s="19" t="s">
        <v>114</v>
      </c>
      <c r="CG166" s="19" t="s">
        <v>114</v>
      </c>
      <c r="CH166" s="19" t="s">
        <v>114</v>
      </c>
      <c r="CI166" s="21" t="s">
        <v>114</v>
      </c>
      <c r="CJ166" s="21" t="s">
        <v>114</v>
      </c>
      <c r="CK166" s="21" t="s">
        <v>114</v>
      </c>
      <c r="CL166" s="21" t="s">
        <v>114</v>
      </c>
      <c r="CM166" s="21" t="s">
        <v>114</v>
      </c>
      <c r="CN166" s="21" t="s">
        <v>114</v>
      </c>
      <c r="CO166" s="21" t="s">
        <v>114</v>
      </c>
      <c r="CP166" s="21" t="s">
        <v>114</v>
      </c>
      <c r="CQ166" s="21" t="s">
        <v>114</v>
      </c>
      <c r="CR166" s="21" t="s">
        <v>114</v>
      </c>
      <c r="CS166" s="21" t="s">
        <v>114</v>
      </c>
      <c r="CT166" s="21" t="s">
        <v>114</v>
      </c>
      <c r="CU166" s="21">
        <v>98423</v>
      </c>
      <c r="CV166" s="21" t="s">
        <v>114</v>
      </c>
      <c r="CW166" s="21" t="s">
        <v>114</v>
      </c>
      <c r="CX166" s="21" t="s">
        <v>114</v>
      </c>
      <c r="CY166" s="21" t="s">
        <v>114</v>
      </c>
      <c r="CZ166" s="21" t="s">
        <v>114</v>
      </c>
      <c r="DA166" s="21" t="s">
        <v>114</v>
      </c>
      <c r="DB166" s="21" t="s">
        <v>114</v>
      </c>
      <c r="DC166" s="21" t="s">
        <v>114</v>
      </c>
      <c r="DD166" s="21" t="s">
        <v>114</v>
      </c>
      <c r="DE166" s="21" t="s">
        <v>114</v>
      </c>
      <c r="DF166" s="19" t="s">
        <v>114</v>
      </c>
      <c r="DG166" s="19" t="s">
        <v>114</v>
      </c>
      <c r="DH166" s="19" t="s">
        <v>114</v>
      </c>
      <c r="DI166" s="19" t="s">
        <v>114</v>
      </c>
      <c r="DJ166" s="19" t="s">
        <v>114</v>
      </c>
      <c r="DK166" s="19" t="s">
        <v>114</v>
      </c>
      <c r="DL166" s="19" t="s">
        <v>114</v>
      </c>
      <c r="DM166" s="19" t="s">
        <v>114</v>
      </c>
      <c r="DN166" s="19" t="s">
        <v>114</v>
      </c>
      <c r="DO166" s="19" t="s">
        <v>114</v>
      </c>
    </row>
    <row r="167" spans="1:119" hidden="1" x14ac:dyDescent="0.45">
      <c r="A167" s="2" t="s">
        <v>505</v>
      </c>
      <c r="B167" t="s">
        <v>506</v>
      </c>
      <c r="C167" s="2">
        <v>208</v>
      </c>
      <c r="D167" s="6">
        <v>513</v>
      </c>
      <c r="E167" s="2" t="s">
        <v>507</v>
      </c>
      <c r="F167" t="s">
        <v>507</v>
      </c>
      <c r="G167" t="s">
        <v>2054</v>
      </c>
      <c r="H167" s="2" t="s">
        <v>508</v>
      </c>
      <c r="I167" s="2" t="s">
        <v>509</v>
      </c>
      <c r="J167" s="2">
        <v>150</v>
      </c>
      <c r="K167" t="s">
        <v>127</v>
      </c>
      <c r="L167" s="2">
        <v>154</v>
      </c>
      <c r="M167" t="s">
        <v>128</v>
      </c>
      <c r="P167" s="2" t="s">
        <v>127</v>
      </c>
      <c r="Q167" s="2" t="s">
        <v>129</v>
      </c>
      <c r="R167" s="2">
        <v>513</v>
      </c>
      <c r="S167" s="2" t="s">
        <v>1000</v>
      </c>
      <c r="T167" s="2">
        <v>150</v>
      </c>
      <c r="U167" s="2" t="s">
        <v>127</v>
      </c>
      <c r="V167" t="s">
        <v>2451</v>
      </c>
      <c r="W167" t="s">
        <v>2451</v>
      </c>
      <c r="X167" t="s">
        <v>2438</v>
      </c>
      <c r="Y167" t="s">
        <v>2464</v>
      </c>
      <c r="Z167" t="s">
        <v>2464</v>
      </c>
      <c r="AA167" t="s">
        <v>2464</v>
      </c>
      <c r="AB167" t="s">
        <v>2464</v>
      </c>
      <c r="AC167" s="2" t="s">
        <v>130</v>
      </c>
      <c r="AD167" s="4" t="s">
        <v>1891</v>
      </c>
      <c r="AE167" t="s">
        <v>131</v>
      </c>
      <c r="AF167" t="s">
        <v>1886</v>
      </c>
      <c r="AG167" t="s">
        <v>1887</v>
      </c>
      <c r="AH167" s="3" t="s">
        <v>18</v>
      </c>
      <c r="AI167" s="3" t="s">
        <v>224</v>
      </c>
      <c r="AJ167" t="s">
        <v>20</v>
      </c>
      <c r="AK167" s="3" t="s">
        <v>107</v>
      </c>
      <c r="AL167" s="5" t="s">
        <v>510</v>
      </c>
      <c r="AM167" s="5" t="s">
        <v>506</v>
      </c>
      <c r="AO167" s="3" t="s">
        <v>119</v>
      </c>
      <c r="AP167" s="3" t="s">
        <v>120</v>
      </c>
      <c r="AQ167" s="3" t="s">
        <v>111</v>
      </c>
      <c r="AR167" t="s">
        <v>28</v>
      </c>
      <c r="AS167" s="3" t="s">
        <v>29</v>
      </c>
      <c r="AT167" s="3" t="s">
        <v>113</v>
      </c>
      <c r="AU167" s="3" t="s">
        <v>2303</v>
      </c>
      <c r="AV167" s="3" t="s">
        <v>2302</v>
      </c>
      <c r="AW167" s="3" t="s">
        <v>2300</v>
      </c>
      <c r="AX167" s="3" t="s">
        <v>2006</v>
      </c>
      <c r="AY167" s="19" t="s">
        <v>114</v>
      </c>
      <c r="AZ167" s="19" t="s">
        <v>114</v>
      </c>
      <c r="BA167" s="19" t="s">
        <v>114</v>
      </c>
      <c r="BB167" s="19" t="s">
        <v>114</v>
      </c>
      <c r="BC167" s="19" t="s">
        <v>114</v>
      </c>
      <c r="BD167" s="19" t="s">
        <v>114</v>
      </c>
      <c r="BE167" s="19" t="s">
        <v>114</v>
      </c>
      <c r="BF167" s="19" t="s">
        <v>114</v>
      </c>
      <c r="BG167" s="19" t="s">
        <v>114</v>
      </c>
      <c r="BH167" s="19" t="s">
        <v>114</v>
      </c>
      <c r="BI167" s="19" t="s">
        <v>114</v>
      </c>
      <c r="BJ167" s="19" t="s">
        <v>114</v>
      </c>
      <c r="BK167" s="19" t="s">
        <v>114</v>
      </c>
      <c r="BL167" s="19" t="s">
        <v>114</v>
      </c>
      <c r="BM167" s="19" t="s">
        <v>114</v>
      </c>
      <c r="BN167" s="19" t="s">
        <v>114</v>
      </c>
      <c r="BO167" s="19" t="s">
        <v>114</v>
      </c>
      <c r="BP167" s="19" t="s">
        <v>114</v>
      </c>
      <c r="BQ167" s="19" t="s">
        <v>114</v>
      </c>
      <c r="BR167" s="19" t="s">
        <v>114</v>
      </c>
      <c r="BS167" s="19" t="s">
        <v>114</v>
      </c>
      <c r="BT167" s="19" t="s">
        <v>114</v>
      </c>
      <c r="BU167" s="19" t="s">
        <v>114</v>
      </c>
      <c r="BV167" s="19" t="s">
        <v>114</v>
      </c>
      <c r="BW167" s="19" t="s">
        <v>114</v>
      </c>
      <c r="BX167" s="19" t="s">
        <v>114</v>
      </c>
      <c r="BY167" s="19" t="s">
        <v>114</v>
      </c>
      <c r="BZ167" s="21">
        <v>98200</v>
      </c>
      <c r="CA167" s="21" t="s">
        <v>114</v>
      </c>
      <c r="CB167" s="21" t="s">
        <v>114</v>
      </c>
      <c r="CC167" s="21">
        <v>98203</v>
      </c>
      <c r="CD167" s="21" t="s">
        <v>114</v>
      </c>
      <c r="CE167" s="21" t="s">
        <v>114</v>
      </c>
      <c r="CF167" s="19" t="s">
        <v>114</v>
      </c>
      <c r="CG167" s="19" t="s">
        <v>114</v>
      </c>
      <c r="CH167" s="19" t="s">
        <v>114</v>
      </c>
      <c r="CI167" s="21" t="s">
        <v>114</v>
      </c>
      <c r="CJ167" s="21" t="s">
        <v>114</v>
      </c>
      <c r="CK167" s="21" t="s">
        <v>114</v>
      </c>
      <c r="CL167" s="21" t="s">
        <v>114</v>
      </c>
      <c r="CM167" s="21" t="s">
        <v>114</v>
      </c>
      <c r="CN167" s="21" t="s">
        <v>114</v>
      </c>
      <c r="CO167" s="21" t="s">
        <v>114</v>
      </c>
      <c r="CP167" s="21" t="s">
        <v>114</v>
      </c>
      <c r="CQ167" s="21" t="s">
        <v>114</v>
      </c>
      <c r="CR167" s="21" t="s">
        <v>114</v>
      </c>
      <c r="CS167" s="21" t="s">
        <v>114</v>
      </c>
      <c r="CT167" s="21" t="s">
        <v>114</v>
      </c>
      <c r="CU167" s="21">
        <v>98423</v>
      </c>
      <c r="CV167" s="21" t="s">
        <v>114</v>
      </c>
      <c r="CW167" s="21" t="s">
        <v>114</v>
      </c>
      <c r="CX167" s="21" t="s">
        <v>114</v>
      </c>
      <c r="CY167" s="21" t="s">
        <v>114</v>
      </c>
      <c r="CZ167" s="21" t="s">
        <v>114</v>
      </c>
      <c r="DA167" s="21" t="s">
        <v>114</v>
      </c>
      <c r="DB167" s="21" t="s">
        <v>114</v>
      </c>
      <c r="DC167" s="21" t="s">
        <v>114</v>
      </c>
      <c r="DD167" s="21" t="s">
        <v>114</v>
      </c>
      <c r="DE167" s="21" t="s">
        <v>114</v>
      </c>
      <c r="DF167" s="19" t="s">
        <v>114</v>
      </c>
      <c r="DG167" s="19" t="s">
        <v>114</v>
      </c>
      <c r="DH167" s="19" t="s">
        <v>114</v>
      </c>
      <c r="DI167" s="19" t="s">
        <v>114</v>
      </c>
      <c r="DJ167" s="19" t="s">
        <v>114</v>
      </c>
      <c r="DK167" s="19" t="s">
        <v>114</v>
      </c>
      <c r="DL167" s="19" t="s">
        <v>114</v>
      </c>
      <c r="DM167" s="19" t="s">
        <v>114</v>
      </c>
      <c r="DN167" s="19" t="s">
        <v>114</v>
      </c>
      <c r="DO167" s="19" t="s">
        <v>114</v>
      </c>
    </row>
    <row r="168" spans="1:119" hidden="1" x14ac:dyDescent="0.45">
      <c r="A168" s="2" t="s">
        <v>550</v>
      </c>
      <c r="B168" t="s">
        <v>551</v>
      </c>
      <c r="C168" s="2">
        <v>233</v>
      </c>
      <c r="D168" s="6">
        <v>514</v>
      </c>
      <c r="E168" s="2" t="s">
        <v>552</v>
      </c>
      <c r="F168" t="s">
        <v>552</v>
      </c>
      <c r="G168" t="s">
        <v>2063</v>
      </c>
      <c r="H168" s="2" t="s">
        <v>553</v>
      </c>
      <c r="I168" s="2" t="s">
        <v>552</v>
      </c>
      <c r="J168" s="2">
        <v>150</v>
      </c>
      <c r="K168" t="s">
        <v>127</v>
      </c>
      <c r="L168" s="2">
        <v>154</v>
      </c>
      <c r="M168" t="s">
        <v>128</v>
      </c>
      <c r="P168" s="2" t="s">
        <v>127</v>
      </c>
      <c r="Q168" s="2" t="s">
        <v>129</v>
      </c>
      <c r="R168" s="2">
        <v>513</v>
      </c>
      <c r="S168" s="2" t="s">
        <v>1000</v>
      </c>
      <c r="T168" s="2">
        <v>150</v>
      </c>
      <c r="U168" s="2" t="s">
        <v>127</v>
      </c>
      <c r="V168" t="s">
        <v>2451</v>
      </c>
      <c r="W168" t="s">
        <v>2451</v>
      </c>
      <c r="X168" t="s">
        <v>2438</v>
      </c>
      <c r="Y168" t="s">
        <v>2464</v>
      </c>
      <c r="Z168" t="s">
        <v>2464</v>
      </c>
      <c r="AA168" t="s">
        <v>2464</v>
      </c>
      <c r="AB168" t="s">
        <v>2464</v>
      </c>
      <c r="AC168" s="2" t="s">
        <v>130</v>
      </c>
      <c r="AD168" s="4" t="s">
        <v>1891</v>
      </c>
      <c r="AE168" t="s">
        <v>131</v>
      </c>
      <c r="AF168" t="s">
        <v>1886</v>
      </c>
      <c r="AG168" t="s">
        <v>1887</v>
      </c>
      <c r="AH168" s="3" t="s">
        <v>18</v>
      </c>
      <c r="AI168" s="3" t="s">
        <v>224</v>
      </c>
      <c r="AJ168" t="s">
        <v>20</v>
      </c>
      <c r="AK168" s="3" t="s">
        <v>107</v>
      </c>
      <c r="AL168" s="5" t="s">
        <v>132</v>
      </c>
      <c r="AM168" s="5" t="s">
        <v>109</v>
      </c>
      <c r="AN168" t="s">
        <v>110</v>
      </c>
      <c r="AO168" s="3" t="s">
        <v>119</v>
      </c>
      <c r="AP168" s="3" t="s">
        <v>120</v>
      </c>
      <c r="AQ168" s="3" t="s">
        <v>111</v>
      </c>
      <c r="AR168" t="s">
        <v>28</v>
      </c>
      <c r="AS168" s="3" t="s">
        <v>29</v>
      </c>
      <c r="AT168" s="3" t="s">
        <v>113</v>
      </c>
      <c r="AU168" s="3" t="s">
        <v>2303</v>
      </c>
      <c r="AV168" s="3" t="s">
        <v>2302</v>
      </c>
      <c r="AW168" s="3" t="s">
        <v>2300</v>
      </c>
      <c r="AX168" s="3" t="s">
        <v>2006</v>
      </c>
      <c r="AY168" s="19" t="s">
        <v>114</v>
      </c>
      <c r="AZ168" s="19" t="s">
        <v>114</v>
      </c>
      <c r="BA168" s="19" t="s">
        <v>114</v>
      </c>
      <c r="BB168" s="19" t="s">
        <v>114</v>
      </c>
      <c r="BC168" s="19" t="s">
        <v>114</v>
      </c>
      <c r="BD168" s="19" t="s">
        <v>114</v>
      </c>
      <c r="BE168" s="19" t="s">
        <v>114</v>
      </c>
      <c r="BF168" s="19" t="s">
        <v>114</v>
      </c>
      <c r="BG168" s="19" t="s">
        <v>114</v>
      </c>
      <c r="BH168" s="19" t="s">
        <v>114</v>
      </c>
      <c r="BI168" s="19" t="s">
        <v>114</v>
      </c>
      <c r="BJ168" s="19" t="s">
        <v>114</v>
      </c>
      <c r="BK168" s="19" t="s">
        <v>114</v>
      </c>
      <c r="BL168" s="19" t="s">
        <v>114</v>
      </c>
      <c r="BM168" s="19" t="s">
        <v>114</v>
      </c>
      <c r="BN168" s="19" t="s">
        <v>114</v>
      </c>
      <c r="BO168" s="19" t="s">
        <v>114</v>
      </c>
      <c r="BP168" s="19" t="s">
        <v>114</v>
      </c>
      <c r="BQ168" s="19" t="s">
        <v>114</v>
      </c>
      <c r="BR168" s="19" t="s">
        <v>114</v>
      </c>
      <c r="BS168" s="19" t="s">
        <v>114</v>
      </c>
      <c r="BT168" s="19" t="s">
        <v>114</v>
      </c>
      <c r="BU168" s="19" t="s">
        <v>114</v>
      </c>
      <c r="BV168" s="19" t="s">
        <v>114</v>
      </c>
      <c r="BW168" s="19" t="s">
        <v>114</v>
      </c>
      <c r="BX168" s="19" t="s">
        <v>114</v>
      </c>
      <c r="BY168" s="19" t="s">
        <v>114</v>
      </c>
      <c r="BZ168" s="21">
        <v>98200</v>
      </c>
      <c r="CA168" s="21" t="s">
        <v>114</v>
      </c>
      <c r="CB168" s="21" t="s">
        <v>114</v>
      </c>
      <c r="CC168" s="21">
        <v>98203</v>
      </c>
      <c r="CD168" s="21">
        <v>98204</v>
      </c>
      <c r="CE168" s="21" t="s">
        <v>114</v>
      </c>
      <c r="CF168" s="19" t="s">
        <v>114</v>
      </c>
      <c r="CG168" s="19" t="s">
        <v>114</v>
      </c>
      <c r="CH168" s="19" t="s">
        <v>114</v>
      </c>
      <c r="CI168" s="21" t="s">
        <v>114</v>
      </c>
      <c r="CJ168" s="21" t="s">
        <v>114</v>
      </c>
      <c r="CK168" s="21" t="s">
        <v>114</v>
      </c>
      <c r="CL168" s="21" t="s">
        <v>114</v>
      </c>
      <c r="CM168" s="21" t="s">
        <v>114</v>
      </c>
      <c r="CN168" s="21" t="s">
        <v>114</v>
      </c>
      <c r="CO168" s="21" t="s">
        <v>114</v>
      </c>
      <c r="CP168" s="21" t="s">
        <v>114</v>
      </c>
      <c r="CQ168" s="21" t="s">
        <v>114</v>
      </c>
      <c r="CR168" s="21" t="s">
        <v>114</v>
      </c>
      <c r="CS168" s="21" t="s">
        <v>114</v>
      </c>
      <c r="CT168" s="21" t="s">
        <v>114</v>
      </c>
      <c r="CU168" s="21">
        <v>98423</v>
      </c>
      <c r="CV168" s="21" t="s">
        <v>114</v>
      </c>
      <c r="CW168" s="21" t="s">
        <v>114</v>
      </c>
      <c r="CX168" s="21" t="s">
        <v>114</v>
      </c>
      <c r="CY168" s="21" t="s">
        <v>114</v>
      </c>
      <c r="CZ168" s="21" t="s">
        <v>114</v>
      </c>
      <c r="DA168" s="21" t="s">
        <v>114</v>
      </c>
      <c r="DB168" s="21" t="s">
        <v>114</v>
      </c>
      <c r="DC168" s="21" t="s">
        <v>114</v>
      </c>
      <c r="DD168" s="21" t="s">
        <v>114</v>
      </c>
      <c r="DE168" s="21" t="s">
        <v>114</v>
      </c>
      <c r="DF168" s="19" t="s">
        <v>114</v>
      </c>
      <c r="DG168" s="19" t="s">
        <v>114</v>
      </c>
      <c r="DH168" s="19" t="s">
        <v>114</v>
      </c>
      <c r="DI168" s="19" t="s">
        <v>114</v>
      </c>
      <c r="DJ168" s="19" t="s">
        <v>114</v>
      </c>
      <c r="DK168" s="19" t="s">
        <v>114</v>
      </c>
      <c r="DL168" s="19" t="s">
        <v>114</v>
      </c>
      <c r="DM168" s="19" t="s">
        <v>114</v>
      </c>
      <c r="DN168" s="19" t="s">
        <v>114</v>
      </c>
      <c r="DO168" s="19" t="s">
        <v>114</v>
      </c>
    </row>
    <row r="169" spans="1:119" hidden="1" x14ac:dyDescent="0.45">
      <c r="A169" s="2" t="s">
        <v>590</v>
      </c>
      <c r="B169" t="s">
        <v>591</v>
      </c>
      <c r="C169" s="2">
        <v>246</v>
      </c>
      <c r="D169" s="6">
        <v>516</v>
      </c>
      <c r="E169" s="2" t="s">
        <v>592</v>
      </c>
      <c r="F169" t="s">
        <v>592</v>
      </c>
      <c r="G169" t="s">
        <v>2067</v>
      </c>
      <c r="H169" s="2" t="s">
        <v>593</v>
      </c>
      <c r="I169" s="2" t="s">
        <v>594</v>
      </c>
      <c r="J169" s="2">
        <v>150</v>
      </c>
      <c r="K169" t="s">
        <v>127</v>
      </c>
      <c r="L169" s="2">
        <v>154</v>
      </c>
      <c r="M169" t="s">
        <v>128</v>
      </c>
      <c r="P169" s="2" t="s">
        <v>127</v>
      </c>
      <c r="Q169" s="2" t="s">
        <v>129</v>
      </c>
      <c r="R169" s="2">
        <v>513</v>
      </c>
      <c r="S169" s="2" t="s">
        <v>1000</v>
      </c>
      <c r="T169" s="2">
        <v>150</v>
      </c>
      <c r="U169" s="2" t="s">
        <v>127</v>
      </c>
      <c r="V169" t="s">
        <v>2451</v>
      </c>
      <c r="W169" t="s">
        <v>2451</v>
      </c>
      <c r="X169" t="s">
        <v>2438</v>
      </c>
      <c r="Y169" t="s">
        <v>2464</v>
      </c>
      <c r="Z169" t="s">
        <v>2464</v>
      </c>
      <c r="AA169" t="s">
        <v>2464</v>
      </c>
      <c r="AB169" t="s">
        <v>2464</v>
      </c>
      <c r="AC169" s="2" t="s">
        <v>130</v>
      </c>
      <c r="AD169" s="4" t="s">
        <v>1891</v>
      </c>
      <c r="AE169" t="s">
        <v>131</v>
      </c>
      <c r="AF169" t="s">
        <v>1886</v>
      </c>
      <c r="AG169" t="s">
        <v>1887</v>
      </c>
      <c r="AH169" s="3" t="s">
        <v>18</v>
      </c>
      <c r="AI169" s="3" t="s">
        <v>224</v>
      </c>
      <c r="AJ169" t="s">
        <v>20</v>
      </c>
      <c r="AK169" s="3" t="s">
        <v>107</v>
      </c>
      <c r="AL169" s="5" t="s">
        <v>132</v>
      </c>
      <c r="AM169" s="5" t="s">
        <v>591</v>
      </c>
      <c r="AO169" s="3" t="s">
        <v>119</v>
      </c>
      <c r="AP169" s="3" t="s">
        <v>120</v>
      </c>
      <c r="AQ169" s="3" t="s">
        <v>111</v>
      </c>
      <c r="AR169" t="s">
        <v>28</v>
      </c>
      <c r="AS169" s="3" t="s">
        <v>29</v>
      </c>
      <c r="AT169" s="3" t="s">
        <v>113</v>
      </c>
      <c r="AU169" s="3" t="s">
        <v>2303</v>
      </c>
      <c r="AV169" s="3" t="s">
        <v>2302</v>
      </c>
      <c r="AW169" s="3" t="s">
        <v>2300</v>
      </c>
      <c r="AX169" s="3" t="s">
        <v>2006</v>
      </c>
      <c r="AY169" s="19" t="s">
        <v>114</v>
      </c>
      <c r="AZ169" s="19" t="s">
        <v>114</v>
      </c>
      <c r="BA169" s="19" t="s">
        <v>114</v>
      </c>
      <c r="BB169" s="19" t="s">
        <v>114</v>
      </c>
      <c r="BC169" s="19" t="s">
        <v>114</v>
      </c>
      <c r="BD169" s="19" t="s">
        <v>114</v>
      </c>
      <c r="BE169" s="19" t="s">
        <v>114</v>
      </c>
      <c r="BF169" s="19" t="s">
        <v>114</v>
      </c>
      <c r="BG169" s="19" t="s">
        <v>114</v>
      </c>
      <c r="BH169" s="19" t="s">
        <v>114</v>
      </c>
      <c r="BI169" s="19" t="s">
        <v>114</v>
      </c>
      <c r="BJ169" s="19" t="s">
        <v>114</v>
      </c>
      <c r="BK169" s="19" t="s">
        <v>114</v>
      </c>
      <c r="BL169" s="19" t="s">
        <v>114</v>
      </c>
      <c r="BM169" s="19" t="s">
        <v>114</v>
      </c>
      <c r="BN169" s="19" t="s">
        <v>114</v>
      </c>
      <c r="BO169" s="19" t="s">
        <v>114</v>
      </c>
      <c r="BP169" s="19" t="s">
        <v>114</v>
      </c>
      <c r="BQ169" s="19" t="s">
        <v>114</v>
      </c>
      <c r="BR169" s="19" t="s">
        <v>114</v>
      </c>
      <c r="BS169" s="19" t="s">
        <v>114</v>
      </c>
      <c r="BT169" s="19" t="s">
        <v>114</v>
      </c>
      <c r="BU169" s="19" t="s">
        <v>114</v>
      </c>
      <c r="BV169" s="19" t="s">
        <v>114</v>
      </c>
      <c r="BW169" s="19" t="s">
        <v>114</v>
      </c>
      <c r="BX169" s="19" t="s">
        <v>114</v>
      </c>
      <c r="BY169" s="19" t="s">
        <v>114</v>
      </c>
      <c r="BZ169" s="21">
        <v>98200</v>
      </c>
      <c r="CA169" s="21" t="s">
        <v>114</v>
      </c>
      <c r="CB169" s="21" t="s">
        <v>114</v>
      </c>
      <c r="CC169" s="21">
        <v>98203</v>
      </c>
      <c r="CD169" s="21">
        <v>98204</v>
      </c>
      <c r="CE169" s="21" t="s">
        <v>114</v>
      </c>
      <c r="CF169" s="19" t="s">
        <v>114</v>
      </c>
      <c r="CG169" s="19" t="s">
        <v>114</v>
      </c>
      <c r="CH169" s="19" t="s">
        <v>114</v>
      </c>
      <c r="CI169" s="21" t="s">
        <v>114</v>
      </c>
      <c r="CJ169" s="21" t="s">
        <v>114</v>
      </c>
      <c r="CK169" s="21" t="s">
        <v>114</v>
      </c>
      <c r="CL169" s="21" t="s">
        <v>114</v>
      </c>
      <c r="CM169" s="21" t="s">
        <v>114</v>
      </c>
      <c r="CN169" s="21" t="s">
        <v>114</v>
      </c>
      <c r="CO169" s="21" t="s">
        <v>114</v>
      </c>
      <c r="CP169" s="21" t="s">
        <v>114</v>
      </c>
      <c r="CQ169" s="21" t="s">
        <v>114</v>
      </c>
      <c r="CR169" s="21" t="s">
        <v>114</v>
      </c>
      <c r="CS169" s="21" t="s">
        <v>114</v>
      </c>
      <c r="CT169" s="21" t="s">
        <v>114</v>
      </c>
      <c r="CU169" s="21">
        <v>98423</v>
      </c>
      <c r="CV169" s="21" t="s">
        <v>114</v>
      </c>
      <c r="CW169" s="21" t="s">
        <v>114</v>
      </c>
      <c r="CX169" s="21" t="s">
        <v>114</v>
      </c>
      <c r="CY169" s="21" t="s">
        <v>114</v>
      </c>
      <c r="CZ169" s="21" t="s">
        <v>114</v>
      </c>
      <c r="DA169" s="21" t="s">
        <v>114</v>
      </c>
      <c r="DB169" s="21" t="s">
        <v>114</v>
      </c>
      <c r="DC169" s="21" t="s">
        <v>114</v>
      </c>
      <c r="DD169" s="21" t="s">
        <v>114</v>
      </c>
      <c r="DE169" s="21" t="s">
        <v>114</v>
      </c>
      <c r="DF169" s="19" t="s">
        <v>114</v>
      </c>
      <c r="DG169" s="19" t="s">
        <v>114</v>
      </c>
      <c r="DH169" s="19" t="s">
        <v>114</v>
      </c>
      <c r="DI169" s="19" t="s">
        <v>114</v>
      </c>
      <c r="DJ169" s="19" t="s">
        <v>114</v>
      </c>
      <c r="DK169" s="19" t="s">
        <v>114</v>
      </c>
      <c r="DL169" s="19" t="s">
        <v>114</v>
      </c>
      <c r="DM169" s="19" t="s">
        <v>114</v>
      </c>
      <c r="DN169" s="19" t="s">
        <v>114</v>
      </c>
      <c r="DO169" s="19" t="s">
        <v>114</v>
      </c>
    </row>
    <row r="170" spans="1:119" hidden="1" x14ac:dyDescent="0.45">
      <c r="A170" s="2" t="s">
        <v>595</v>
      </c>
      <c r="B170" t="s">
        <v>596</v>
      </c>
      <c r="C170" s="2">
        <v>250</v>
      </c>
      <c r="D170" s="6">
        <v>517</v>
      </c>
      <c r="E170" s="2" t="s">
        <v>597</v>
      </c>
      <c r="F170" t="s">
        <v>597</v>
      </c>
      <c r="G170" t="s">
        <v>2068</v>
      </c>
      <c r="H170" s="2" t="s">
        <v>597</v>
      </c>
      <c r="I170" s="2" t="s">
        <v>598</v>
      </c>
      <c r="J170" s="2">
        <v>150</v>
      </c>
      <c r="K170" t="s">
        <v>127</v>
      </c>
      <c r="L170" s="2">
        <v>155</v>
      </c>
      <c r="M170" t="s">
        <v>223</v>
      </c>
      <c r="P170" s="2" t="s">
        <v>127</v>
      </c>
      <c r="Q170" s="2" t="s">
        <v>129</v>
      </c>
      <c r="R170" s="2">
        <v>513</v>
      </c>
      <c r="S170" s="2" t="s">
        <v>1000</v>
      </c>
      <c r="T170" s="2">
        <v>150</v>
      </c>
      <c r="U170" s="2" t="s">
        <v>127</v>
      </c>
      <c r="V170" t="s">
        <v>2451</v>
      </c>
      <c r="W170" t="s">
        <v>2451</v>
      </c>
      <c r="X170" t="s">
        <v>2438</v>
      </c>
      <c r="Y170" t="s">
        <v>2464</v>
      </c>
      <c r="Z170" t="s">
        <v>2464</v>
      </c>
      <c r="AA170" t="s">
        <v>2464</v>
      </c>
      <c r="AB170" t="s">
        <v>2464</v>
      </c>
      <c r="AC170" s="2" t="s">
        <v>130</v>
      </c>
      <c r="AD170" s="4" t="s">
        <v>1891</v>
      </c>
      <c r="AE170" t="s">
        <v>131</v>
      </c>
      <c r="AF170" t="s">
        <v>1886</v>
      </c>
      <c r="AG170" t="s">
        <v>1887</v>
      </c>
      <c r="AH170" s="3" t="s">
        <v>18</v>
      </c>
      <c r="AI170" s="3" t="s">
        <v>224</v>
      </c>
      <c r="AJ170" t="s">
        <v>20</v>
      </c>
      <c r="AK170" s="3" t="s">
        <v>107</v>
      </c>
      <c r="AL170" s="5" t="s">
        <v>132</v>
      </c>
      <c r="AM170" s="5" t="s">
        <v>596</v>
      </c>
      <c r="AO170" s="3" t="s">
        <v>119</v>
      </c>
      <c r="AP170" s="3" t="s">
        <v>120</v>
      </c>
      <c r="AQ170" s="3" t="s">
        <v>111</v>
      </c>
      <c r="AR170" t="s">
        <v>28</v>
      </c>
      <c r="AS170" s="3" t="s">
        <v>29</v>
      </c>
      <c r="AT170" s="3" t="s">
        <v>113</v>
      </c>
      <c r="AU170" s="3" t="s">
        <v>2298</v>
      </c>
      <c r="AV170" s="3" t="s">
        <v>2299</v>
      </c>
      <c r="AW170" s="3" t="s">
        <v>2300</v>
      </c>
      <c r="AX170" s="3" t="s">
        <v>2006</v>
      </c>
      <c r="AY170" s="19" t="s">
        <v>114</v>
      </c>
      <c r="AZ170" s="19" t="s">
        <v>114</v>
      </c>
      <c r="BA170" s="19" t="s">
        <v>114</v>
      </c>
      <c r="BB170" s="19" t="s">
        <v>114</v>
      </c>
      <c r="BC170" s="19" t="s">
        <v>114</v>
      </c>
      <c r="BD170" s="19" t="s">
        <v>114</v>
      </c>
      <c r="BE170" s="19" t="s">
        <v>114</v>
      </c>
      <c r="BF170" s="19" t="s">
        <v>114</v>
      </c>
      <c r="BG170" s="19" t="s">
        <v>114</v>
      </c>
      <c r="BH170" s="19" t="s">
        <v>114</v>
      </c>
      <c r="BI170" s="19" t="s">
        <v>114</v>
      </c>
      <c r="BJ170" s="19" t="s">
        <v>114</v>
      </c>
      <c r="BK170" s="19" t="s">
        <v>114</v>
      </c>
      <c r="BL170" s="19" t="s">
        <v>114</v>
      </c>
      <c r="BM170" s="19" t="s">
        <v>114</v>
      </c>
      <c r="BN170" s="19" t="s">
        <v>114</v>
      </c>
      <c r="BO170" s="19" t="s">
        <v>114</v>
      </c>
      <c r="BP170" s="19" t="s">
        <v>114</v>
      </c>
      <c r="BQ170" s="19" t="s">
        <v>114</v>
      </c>
      <c r="BR170" s="19" t="s">
        <v>114</v>
      </c>
      <c r="BS170" s="19" t="s">
        <v>114</v>
      </c>
      <c r="BT170" s="19" t="s">
        <v>114</v>
      </c>
      <c r="BU170" s="19" t="s">
        <v>114</v>
      </c>
      <c r="BV170" s="19" t="s">
        <v>114</v>
      </c>
      <c r="BW170" s="19" t="s">
        <v>114</v>
      </c>
      <c r="BX170" s="19" t="s">
        <v>114</v>
      </c>
      <c r="BY170" s="19" t="s">
        <v>114</v>
      </c>
      <c r="BZ170" s="21">
        <v>98200</v>
      </c>
      <c r="CA170" s="21" t="s">
        <v>114</v>
      </c>
      <c r="CB170" s="21" t="s">
        <v>114</v>
      </c>
      <c r="CC170" s="21">
        <v>98203</v>
      </c>
      <c r="CD170" s="21">
        <v>98204</v>
      </c>
      <c r="CE170" s="21" t="s">
        <v>114</v>
      </c>
      <c r="CF170" s="19" t="s">
        <v>114</v>
      </c>
      <c r="CG170" s="19" t="s">
        <v>114</v>
      </c>
      <c r="CH170" s="19" t="s">
        <v>114</v>
      </c>
      <c r="CI170" s="21" t="s">
        <v>114</v>
      </c>
      <c r="CJ170" s="21" t="s">
        <v>114</v>
      </c>
      <c r="CK170" s="21" t="s">
        <v>114</v>
      </c>
      <c r="CL170" s="21" t="s">
        <v>114</v>
      </c>
      <c r="CM170" s="21" t="s">
        <v>114</v>
      </c>
      <c r="CN170" s="21" t="s">
        <v>114</v>
      </c>
      <c r="CO170" s="21" t="s">
        <v>114</v>
      </c>
      <c r="CP170" s="21" t="s">
        <v>114</v>
      </c>
      <c r="CQ170" s="21" t="s">
        <v>114</v>
      </c>
      <c r="CR170" s="21" t="s">
        <v>114</v>
      </c>
      <c r="CS170" s="21" t="s">
        <v>114</v>
      </c>
      <c r="CT170" s="21" t="s">
        <v>114</v>
      </c>
      <c r="CU170" s="21">
        <v>98423</v>
      </c>
      <c r="CV170" s="21" t="s">
        <v>114</v>
      </c>
      <c r="CW170" s="21" t="s">
        <v>114</v>
      </c>
      <c r="CX170" s="21" t="s">
        <v>114</v>
      </c>
      <c r="CY170" s="21" t="s">
        <v>114</v>
      </c>
      <c r="CZ170" s="21" t="s">
        <v>114</v>
      </c>
      <c r="DA170" s="21" t="s">
        <v>114</v>
      </c>
      <c r="DB170" s="21" t="s">
        <v>114</v>
      </c>
      <c r="DC170" s="21" t="s">
        <v>114</v>
      </c>
      <c r="DD170" s="21" t="s">
        <v>114</v>
      </c>
      <c r="DE170" s="21" t="s">
        <v>114</v>
      </c>
      <c r="DF170" s="19" t="s">
        <v>114</v>
      </c>
      <c r="DG170" s="19" t="s">
        <v>114</v>
      </c>
      <c r="DH170" s="19" t="s">
        <v>114</v>
      </c>
      <c r="DI170" s="19" t="s">
        <v>114</v>
      </c>
      <c r="DJ170" s="19" t="s">
        <v>114</v>
      </c>
      <c r="DK170" s="19" t="s">
        <v>114</v>
      </c>
      <c r="DL170" s="19" t="s">
        <v>114</v>
      </c>
      <c r="DM170" s="19" t="s">
        <v>114</v>
      </c>
      <c r="DN170" s="19" t="s">
        <v>114</v>
      </c>
      <c r="DO170" s="19" t="s">
        <v>114</v>
      </c>
    </row>
    <row r="171" spans="1:119" hidden="1" x14ac:dyDescent="0.45">
      <c r="A171" s="2" t="s">
        <v>630</v>
      </c>
      <c r="B171" t="s">
        <v>631</v>
      </c>
      <c r="C171" s="2">
        <v>276</v>
      </c>
      <c r="D171" s="6">
        <v>519</v>
      </c>
      <c r="E171" s="2" t="s">
        <v>632</v>
      </c>
      <c r="F171" t="s">
        <v>632</v>
      </c>
      <c r="G171" t="s">
        <v>2071</v>
      </c>
      <c r="H171" s="2" t="s">
        <v>633</v>
      </c>
      <c r="I171" s="2" t="s">
        <v>634</v>
      </c>
      <c r="J171" s="2">
        <v>150</v>
      </c>
      <c r="K171" t="s">
        <v>127</v>
      </c>
      <c r="L171" s="2">
        <v>155</v>
      </c>
      <c r="M171" t="s">
        <v>223</v>
      </c>
      <c r="P171" s="2" t="s">
        <v>127</v>
      </c>
      <c r="Q171" s="2" t="s">
        <v>129</v>
      </c>
      <c r="R171" s="2">
        <v>513</v>
      </c>
      <c r="S171" s="2" t="s">
        <v>1000</v>
      </c>
      <c r="T171" s="2">
        <v>150</v>
      </c>
      <c r="U171" s="2" t="s">
        <v>127</v>
      </c>
      <c r="V171" t="s">
        <v>2451</v>
      </c>
      <c r="W171" t="s">
        <v>2451</v>
      </c>
      <c r="X171" t="s">
        <v>2438</v>
      </c>
      <c r="Y171" t="s">
        <v>2464</v>
      </c>
      <c r="Z171" t="s">
        <v>2464</v>
      </c>
      <c r="AA171" t="s">
        <v>2464</v>
      </c>
      <c r="AB171" t="s">
        <v>2464</v>
      </c>
      <c r="AC171" s="2" t="s">
        <v>130</v>
      </c>
      <c r="AD171" s="4" t="s">
        <v>1891</v>
      </c>
      <c r="AE171" t="s">
        <v>131</v>
      </c>
      <c r="AF171" t="s">
        <v>1886</v>
      </c>
      <c r="AG171" t="s">
        <v>1887</v>
      </c>
      <c r="AH171" s="3" t="s">
        <v>18</v>
      </c>
      <c r="AI171" s="3" t="s">
        <v>224</v>
      </c>
      <c r="AJ171" t="s">
        <v>20</v>
      </c>
      <c r="AK171" s="3" t="s">
        <v>107</v>
      </c>
      <c r="AL171" s="5" t="s">
        <v>132</v>
      </c>
      <c r="AM171" s="5" t="s">
        <v>631</v>
      </c>
      <c r="AO171" s="3" t="s">
        <v>119</v>
      </c>
      <c r="AP171" s="3" t="s">
        <v>120</v>
      </c>
      <c r="AQ171" s="3" t="s">
        <v>111</v>
      </c>
      <c r="AR171" t="s">
        <v>28</v>
      </c>
      <c r="AS171" s="3" t="s">
        <v>29</v>
      </c>
      <c r="AT171" s="3" t="s">
        <v>113</v>
      </c>
      <c r="AU171" s="3" t="s">
        <v>2298</v>
      </c>
      <c r="AV171" s="3" t="s">
        <v>2299</v>
      </c>
      <c r="AW171" s="3" t="s">
        <v>2300</v>
      </c>
      <c r="AX171" s="3" t="s">
        <v>2006</v>
      </c>
      <c r="AY171" s="19" t="s">
        <v>114</v>
      </c>
      <c r="AZ171" s="19" t="s">
        <v>114</v>
      </c>
      <c r="BA171" s="19" t="s">
        <v>114</v>
      </c>
      <c r="BB171" s="19" t="s">
        <v>114</v>
      </c>
      <c r="BC171" s="19" t="s">
        <v>114</v>
      </c>
      <c r="BD171" s="19" t="s">
        <v>114</v>
      </c>
      <c r="BE171" s="19" t="s">
        <v>114</v>
      </c>
      <c r="BF171" s="19" t="s">
        <v>114</v>
      </c>
      <c r="BG171" s="19" t="s">
        <v>114</v>
      </c>
      <c r="BH171" s="19" t="s">
        <v>114</v>
      </c>
      <c r="BI171" s="19" t="s">
        <v>114</v>
      </c>
      <c r="BJ171" s="19" t="s">
        <v>114</v>
      </c>
      <c r="BK171" s="19" t="s">
        <v>114</v>
      </c>
      <c r="BL171" s="19" t="s">
        <v>114</v>
      </c>
      <c r="BM171" s="19" t="s">
        <v>114</v>
      </c>
      <c r="BN171" s="19" t="s">
        <v>114</v>
      </c>
      <c r="BO171" s="19" t="s">
        <v>114</v>
      </c>
      <c r="BP171" s="19" t="s">
        <v>114</v>
      </c>
      <c r="BQ171" s="19" t="s">
        <v>114</v>
      </c>
      <c r="BR171" s="19" t="s">
        <v>114</v>
      </c>
      <c r="BS171" s="19" t="s">
        <v>114</v>
      </c>
      <c r="BT171" s="19" t="s">
        <v>114</v>
      </c>
      <c r="BU171" s="19" t="s">
        <v>114</v>
      </c>
      <c r="BV171" s="19" t="s">
        <v>114</v>
      </c>
      <c r="BW171" s="19" t="s">
        <v>114</v>
      </c>
      <c r="BX171" s="19" t="s">
        <v>114</v>
      </c>
      <c r="BY171" s="19" t="s">
        <v>114</v>
      </c>
      <c r="BZ171" s="21">
        <v>98200</v>
      </c>
      <c r="CA171" s="21" t="s">
        <v>114</v>
      </c>
      <c r="CB171" s="21" t="s">
        <v>114</v>
      </c>
      <c r="CC171" s="21">
        <v>98203</v>
      </c>
      <c r="CD171" s="21">
        <v>98204</v>
      </c>
      <c r="CE171" s="21" t="s">
        <v>114</v>
      </c>
      <c r="CF171" s="19" t="s">
        <v>114</v>
      </c>
      <c r="CG171" s="19" t="s">
        <v>114</v>
      </c>
      <c r="CH171" s="19" t="s">
        <v>114</v>
      </c>
      <c r="CI171" s="21" t="s">
        <v>114</v>
      </c>
      <c r="CJ171" s="21" t="s">
        <v>114</v>
      </c>
      <c r="CK171" s="21" t="s">
        <v>114</v>
      </c>
      <c r="CL171" s="21" t="s">
        <v>114</v>
      </c>
      <c r="CM171" s="21" t="s">
        <v>114</v>
      </c>
      <c r="CN171" s="21" t="s">
        <v>114</v>
      </c>
      <c r="CO171" s="21" t="s">
        <v>114</v>
      </c>
      <c r="CP171" s="21" t="s">
        <v>114</v>
      </c>
      <c r="CQ171" s="21" t="s">
        <v>114</v>
      </c>
      <c r="CR171" s="21" t="s">
        <v>114</v>
      </c>
      <c r="CS171" s="21" t="s">
        <v>114</v>
      </c>
      <c r="CT171" s="21" t="s">
        <v>114</v>
      </c>
      <c r="CU171" s="21">
        <v>98423</v>
      </c>
      <c r="CV171" s="21" t="s">
        <v>114</v>
      </c>
      <c r="CW171" s="21" t="s">
        <v>114</v>
      </c>
      <c r="CX171" s="21" t="s">
        <v>114</v>
      </c>
      <c r="CY171" s="21" t="s">
        <v>114</v>
      </c>
      <c r="CZ171" s="21" t="s">
        <v>114</v>
      </c>
      <c r="DA171" s="21" t="s">
        <v>114</v>
      </c>
      <c r="DB171" s="21" t="s">
        <v>114</v>
      </c>
      <c r="DC171" s="21" t="s">
        <v>114</v>
      </c>
      <c r="DD171" s="21" t="s">
        <v>114</v>
      </c>
      <c r="DE171" s="21" t="s">
        <v>114</v>
      </c>
      <c r="DF171" s="19" t="s">
        <v>114</v>
      </c>
      <c r="DG171" s="19" t="s">
        <v>114</v>
      </c>
      <c r="DH171" s="19" t="s">
        <v>114</v>
      </c>
      <c r="DI171" s="19" t="s">
        <v>114</v>
      </c>
      <c r="DJ171" s="19" t="s">
        <v>114</v>
      </c>
      <c r="DK171" s="19" t="s">
        <v>114</v>
      </c>
      <c r="DL171" s="19" t="s">
        <v>114</v>
      </c>
      <c r="DM171" s="19" t="s">
        <v>114</v>
      </c>
      <c r="DN171" s="19" t="s">
        <v>114</v>
      </c>
      <c r="DO171" s="19" t="s">
        <v>114</v>
      </c>
    </row>
    <row r="172" spans="1:119" hidden="1" x14ac:dyDescent="0.45">
      <c r="A172" s="2" t="s">
        <v>643</v>
      </c>
      <c r="B172" t="s">
        <v>644</v>
      </c>
      <c r="C172" s="2">
        <v>300</v>
      </c>
      <c r="D172" s="6">
        <v>521</v>
      </c>
      <c r="E172" s="2" t="s">
        <v>645</v>
      </c>
      <c r="F172" t="s">
        <v>645</v>
      </c>
      <c r="G172" t="s">
        <v>2073</v>
      </c>
      <c r="H172" s="2" t="s">
        <v>646</v>
      </c>
      <c r="I172" s="2" t="s">
        <v>647</v>
      </c>
      <c r="J172" s="2">
        <v>150</v>
      </c>
      <c r="K172" t="s">
        <v>127</v>
      </c>
      <c r="L172" s="2">
        <v>39</v>
      </c>
      <c r="M172" t="s">
        <v>137</v>
      </c>
      <c r="P172" s="2" t="s">
        <v>127</v>
      </c>
      <c r="Q172" s="2" t="s">
        <v>129</v>
      </c>
      <c r="R172" s="2">
        <v>513</v>
      </c>
      <c r="S172" s="2" t="s">
        <v>1000</v>
      </c>
      <c r="T172" s="2">
        <v>150</v>
      </c>
      <c r="U172" s="2" t="s">
        <v>127</v>
      </c>
      <c r="V172" t="s">
        <v>2451</v>
      </c>
      <c r="W172" t="s">
        <v>2451</v>
      </c>
      <c r="X172" t="s">
        <v>2438</v>
      </c>
      <c r="Y172" t="s">
        <v>2464</v>
      </c>
      <c r="Z172" t="s">
        <v>2464</v>
      </c>
      <c r="AA172" t="s">
        <v>2464</v>
      </c>
      <c r="AB172" t="s">
        <v>2464</v>
      </c>
      <c r="AC172" s="2" t="s">
        <v>130</v>
      </c>
      <c r="AD172" s="4" t="s">
        <v>1891</v>
      </c>
      <c r="AE172" t="s">
        <v>131</v>
      </c>
      <c r="AF172" t="s">
        <v>1886</v>
      </c>
      <c r="AG172" t="s">
        <v>1887</v>
      </c>
      <c r="AH172" s="3" t="s">
        <v>18</v>
      </c>
      <c r="AI172" s="3" t="s">
        <v>224</v>
      </c>
      <c r="AJ172" t="s">
        <v>20</v>
      </c>
      <c r="AK172" s="3" t="s">
        <v>107</v>
      </c>
      <c r="AL172" s="5" t="s">
        <v>132</v>
      </c>
      <c r="AM172" s="5" t="s">
        <v>644</v>
      </c>
      <c r="AN172" t="s">
        <v>110</v>
      </c>
      <c r="AO172" s="3" t="s">
        <v>119</v>
      </c>
      <c r="AP172" s="3" t="s">
        <v>120</v>
      </c>
      <c r="AQ172" s="3" t="s">
        <v>111</v>
      </c>
      <c r="AR172" t="s">
        <v>28</v>
      </c>
      <c r="AS172" s="3" t="s">
        <v>29</v>
      </c>
      <c r="AT172" s="3" t="s">
        <v>113</v>
      </c>
      <c r="AU172" s="3" t="s">
        <v>2303</v>
      </c>
      <c r="AV172" s="3" t="s">
        <v>2302</v>
      </c>
      <c r="AW172" s="3" t="s">
        <v>2300</v>
      </c>
      <c r="AX172" s="3" t="s">
        <v>2006</v>
      </c>
      <c r="AY172" s="19" t="s">
        <v>114</v>
      </c>
      <c r="AZ172" s="19" t="s">
        <v>114</v>
      </c>
      <c r="BA172" s="19" t="s">
        <v>114</v>
      </c>
      <c r="BB172" s="19" t="s">
        <v>114</v>
      </c>
      <c r="BC172" s="19" t="s">
        <v>114</v>
      </c>
      <c r="BD172" s="19" t="s">
        <v>114</v>
      </c>
      <c r="BE172" s="19" t="s">
        <v>114</v>
      </c>
      <c r="BF172" s="19" t="s">
        <v>114</v>
      </c>
      <c r="BG172" s="19" t="s">
        <v>114</v>
      </c>
      <c r="BH172" s="19" t="s">
        <v>114</v>
      </c>
      <c r="BI172" s="19" t="s">
        <v>114</v>
      </c>
      <c r="BJ172" s="19" t="s">
        <v>114</v>
      </c>
      <c r="BK172" s="19" t="s">
        <v>114</v>
      </c>
      <c r="BL172" s="19" t="s">
        <v>114</v>
      </c>
      <c r="BM172" s="19" t="s">
        <v>114</v>
      </c>
      <c r="BN172" s="19" t="s">
        <v>114</v>
      </c>
      <c r="BO172" s="19" t="s">
        <v>114</v>
      </c>
      <c r="BP172" s="19" t="s">
        <v>114</v>
      </c>
      <c r="BQ172" s="19" t="s">
        <v>114</v>
      </c>
      <c r="BR172" s="19" t="s">
        <v>114</v>
      </c>
      <c r="BS172" s="19" t="s">
        <v>114</v>
      </c>
      <c r="BT172" s="19" t="s">
        <v>114</v>
      </c>
      <c r="BU172" s="19" t="s">
        <v>114</v>
      </c>
      <c r="BV172" s="19" t="s">
        <v>114</v>
      </c>
      <c r="BW172" s="19" t="s">
        <v>114</v>
      </c>
      <c r="BX172" s="19" t="s">
        <v>114</v>
      </c>
      <c r="BY172" s="19" t="s">
        <v>114</v>
      </c>
      <c r="BZ172" s="21">
        <v>98200</v>
      </c>
      <c r="CA172" s="21" t="s">
        <v>114</v>
      </c>
      <c r="CB172" s="21" t="s">
        <v>114</v>
      </c>
      <c r="CC172" s="21">
        <v>98203</v>
      </c>
      <c r="CD172" s="21">
        <v>98204</v>
      </c>
      <c r="CE172" s="21" t="s">
        <v>114</v>
      </c>
      <c r="CF172" s="19" t="s">
        <v>114</v>
      </c>
      <c r="CG172" s="19" t="s">
        <v>114</v>
      </c>
      <c r="CH172" s="19" t="s">
        <v>114</v>
      </c>
      <c r="CI172" s="21" t="s">
        <v>114</v>
      </c>
      <c r="CJ172" s="21" t="s">
        <v>114</v>
      </c>
      <c r="CK172" s="21" t="s">
        <v>114</v>
      </c>
      <c r="CL172" s="21" t="s">
        <v>114</v>
      </c>
      <c r="CM172" s="21" t="s">
        <v>114</v>
      </c>
      <c r="CN172" s="21" t="s">
        <v>114</v>
      </c>
      <c r="CO172" s="21" t="s">
        <v>114</v>
      </c>
      <c r="CP172" s="21" t="s">
        <v>114</v>
      </c>
      <c r="CQ172" s="21" t="s">
        <v>114</v>
      </c>
      <c r="CR172" s="21" t="s">
        <v>114</v>
      </c>
      <c r="CS172" s="21" t="s">
        <v>114</v>
      </c>
      <c r="CT172" s="21" t="s">
        <v>114</v>
      </c>
      <c r="CU172" s="21">
        <v>98423</v>
      </c>
      <c r="CV172" s="21" t="s">
        <v>114</v>
      </c>
      <c r="CW172" s="21" t="s">
        <v>114</v>
      </c>
      <c r="CX172" s="21" t="s">
        <v>114</v>
      </c>
      <c r="CY172" s="21" t="s">
        <v>114</v>
      </c>
      <c r="CZ172" s="21" t="s">
        <v>114</v>
      </c>
      <c r="DA172" s="21" t="s">
        <v>114</v>
      </c>
      <c r="DB172" s="21" t="s">
        <v>114</v>
      </c>
      <c r="DC172" s="21" t="s">
        <v>114</v>
      </c>
      <c r="DD172" s="21" t="s">
        <v>114</v>
      </c>
      <c r="DE172" s="21" t="s">
        <v>114</v>
      </c>
      <c r="DF172" s="19" t="s">
        <v>114</v>
      </c>
      <c r="DG172" s="19" t="s">
        <v>114</v>
      </c>
      <c r="DH172" s="19" t="s">
        <v>114</v>
      </c>
      <c r="DI172" s="19" t="s">
        <v>114</v>
      </c>
      <c r="DJ172" s="19" t="s">
        <v>114</v>
      </c>
      <c r="DK172" s="19" t="s">
        <v>114</v>
      </c>
      <c r="DL172" s="19" t="s">
        <v>114</v>
      </c>
      <c r="DM172" s="19" t="s">
        <v>114</v>
      </c>
      <c r="DN172" s="19" t="s">
        <v>114</v>
      </c>
      <c r="DO172" s="19" t="s">
        <v>114</v>
      </c>
    </row>
    <row r="173" spans="1:119" hidden="1" x14ac:dyDescent="0.45">
      <c r="A173" s="2" t="s">
        <v>708</v>
      </c>
      <c r="B173" t="s">
        <v>709</v>
      </c>
      <c r="C173" s="2">
        <v>348</v>
      </c>
      <c r="D173" s="6">
        <v>524</v>
      </c>
      <c r="E173" s="2" t="s">
        <v>710</v>
      </c>
      <c r="F173" t="s">
        <v>710</v>
      </c>
      <c r="G173" t="s">
        <v>710</v>
      </c>
      <c r="H173" s="2" t="s">
        <v>711</v>
      </c>
      <c r="I173" s="2" t="s">
        <v>712</v>
      </c>
      <c r="J173" s="2">
        <v>150</v>
      </c>
      <c r="K173" t="s">
        <v>127</v>
      </c>
      <c r="L173" s="2">
        <v>151</v>
      </c>
      <c r="M173" t="s">
        <v>256</v>
      </c>
      <c r="P173" s="2" t="s">
        <v>127</v>
      </c>
      <c r="Q173" s="2" t="s">
        <v>129</v>
      </c>
      <c r="R173" s="2">
        <v>513</v>
      </c>
      <c r="S173" s="2" t="s">
        <v>1000</v>
      </c>
      <c r="T173" s="2">
        <v>150</v>
      </c>
      <c r="U173" s="2" t="s">
        <v>127</v>
      </c>
      <c r="V173" t="s">
        <v>2451</v>
      </c>
      <c r="W173" t="s">
        <v>2451</v>
      </c>
      <c r="X173" t="s">
        <v>2438</v>
      </c>
      <c r="Y173" t="s">
        <v>2464</v>
      </c>
      <c r="Z173" t="s">
        <v>2464</v>
      </c>
      <c r="AA173" t="s">
        <v>2464</v>
      </c>
      <c r="AB173" t="s">
        <v>2464</v>
      </c>
      <c r="AC173" s="2" t="s">
        <v>130</v>
      </c>
      <c r="AD173" s="4" t="s">
        <v>1891</v>
      </c>
      <c r="AE173" t="s">
        <v>131</v>
      </c>
      <c r="AF173" t="s">
        <v>1886</v>
      </c>
      <c r="AG173" t="s">
        <v>1887</v>
      </c>
      <c r="AH173" s="3" t="s">
        <v>18</v>
      </c>
      <c r="AI173" s="3" t="s">
        <v>224</v>
      </c>
      <c r="AJ173" t="s">
        <v>20</v>
      </c>
      <c r="AK173" s="3" t="s">
        <v>107</v>
      </c>
      <c r="AL173" s="5" t="s">
        <v>713</v>
      </c>
      <c r="AM173" s="5" t="s">
        <v>709</v>
      </c>
      <c r="AN173" t="s">
        <v>110</v>
      </c>
      <c r="AO173" s="3" t="s">
        <v>119</v>
      </c>
      <c r="AP173" s="3" t="s">
        <v>120</v>
      </c>
      <c r="AQ173" s="3" t="s">
        <v>111</v>
      </c>
      <c r="AR173" t="s">
        <v>28</v>
      </c>
      <c r="AS173" s="3" t="s">
        <v>29</v>
      </c>
      <c r="AT173" s="3" t="s">
        <v>113</v>
      </c>
      <c r="AU173" s="3" t="s">
        <v>2303</v>
      </c>
      <c r="AV173" s="3" t="s">
        <v>2302</v>
      </c>
      <c r="AW173" s="3" t="s">
        <v>2300</v>
      </c>
      <c r="AX173" s="3" t="s">
        <v>2006</v>
      </c>
      <c r="AY173" s="19" t="s">
        <v>114</v>
      </c>
      <c r="AZ173" s="19" t="s">
        <v>114</v>
      </c>
      <c r="BA173" s="19" t="s">
        <v>114</v>
      </c>
      <c r="BB173" s="19" t="s">
        <v>114</v>
      </c>
      <c r="BC173" s="19" t="s">
        <v>114</v>
      </c>
      <c r="BD173" s="19" t="s">
        <v>114</v>
      </c>
      <c r="BE173" s="19" t="s">
        <v>114</v>
      </c>
      <c r="BF173" s="19" t="s">
        <v>114</v>
      </c>
      <c r="BG173" s="19" t="s">
        <v>114</v>
      </c>
      <c r="BH173" s="19" t="s">
        <v>114</v>
      </c>
      <c r="BI173" s="19" t="s">
        <v>114</v>
      </c>
      <c r="BJ173" s="19" t="s">
        <v>114</v>
      </c>
      <c r="BK173" s="19" t="s">
        <v>114</v>
      </c>
      <c r="BL173" s="19" t="s">
        <v>114</v>
      </c>
      <c r="BM173" s="19" t="s">
        <v>114</v>
      </c>
      <c r="BN173" s="19" t="s">
        <v>114</v>
      </c>
      <c r="BO173" s="19" t="s">
        <v>114</v>
      </c>
      <c r="BP173" s="19" t="s">
        <v>114</v>
      </c>
      <c r="BQ173" s="19" t="s">
        <v>114</v>
      </c>
      <c r="BR173" s="19" t="s">
        <v>114</v>
      </c>
      <c r="BS173" s="19" t="s">
        <v>114</v>
      </c>
      <c r="BT173" s="19" t="s">
        <v>114</v>
      </c>
      <c r="BU173" s="19" t="s">
        <v>114</v>
      </c>
      <c r="BV173" s="19" t="s">
        <v>114</v>
      </c>
      <c r="BW173" s="19" t="s">
        <v>114</v>
      </c>
      <c r="BX173" s="19" t="s">
        <v>114</v>
      </c>
      <c r="BY173" s="19" t="s">
        <v>114</v>
      </c>
      <c r="BZ173" s="21">
        <v>98200</v>
      </c>
      <c r="CA173" s="21" t="s">
        <v>114</v>
      </c>
      <c r="CB173" s="21" t="s">
        <v>114</v>
      </c>
      <c r="CC173" s="21">
        <v>98203</v>
      </c>
      <c r="CD173" s="21" t="s">
        <v>114</v>
      </c>
      <c r="CE173" s="21" t="s">
        <v>114</v>
      </c>
      <c r="CF173" s="19" t="s">
        <v>114</v>
      </c>
      <c r="CG173" s="19" t="s">
        <v>114</v>
      </c>
      <c r="CH173" s="19" t="s">
        <v>114</v>
      </c>
      <c r="CI173" s="21" t="s">
        <v>114</v>
      </c>
      <c r="CJ173" s="21" t="s">
        <v>114</v>
      </c>
      <c r="CK173" s="21" t="s">
        <v>114</v>
      </c>
      <c r="CL173" s="21" t="s">
        <v>114</v>
      </c>
      <c r="CM173" s="21" t="s">
        <v>114</v>
      </c>
      <c r="CN173" s="21" t="s">
        <v>114</v>
      </c>
      <c r="CO173" s="21" t="s">
        <v>114</v>
      </c>
      <c r="CP173" s="21" t="s">
        <v>114</v>
      </c>
      <c r="CQ173" s="21" t="s">
        <v>114</v>
      </c>
      <c r="CR173" s="21" t="s">
        <v>114</v>
      </c>
      <c r="CS173" s="21" t="s">
        <v>114</v>
      </c>
      <c r="CT173" s="21" t="s">
        <v>114</v>
      </c>
      <c r="CU173" s="21">
        <v>98423</v>
      </c>
      <c r="CV173" s="21" t="s">
        <v>114</v>
      </c>
      <c r="CW173" s="21" t="s">
        <v>114</v>
      </c>
      <c r="CX173" s="21" t="s">
        <v>114</v>
      </c>
      <c r="CY173" s="21" t="s">
        <v>114</v>
      </c>
      <c r="CZ173" s="21" t="s">
        <v>114</v>
      </c>
      <c r="DA173" s="21" t="s">
        <v>114</v>
      </c>
      <c r="DB173" s="21" t="s">
        <v>114</v>
      </c>
      <c r="DC173" s="21" t="s">
        <v>114</v>
      </c>
      <c r="DD173" s="21" t="s">
        <v>114</v>
      </c>
      <c r="DE173" s="21" t="s">
        <v>114</v>
      </c>
      <c r="DF173" s="19" t="s">
        <v>114</v>
      </c>
      <c r="DG173" s="19" t="s">
        <v>114</v>
      </c>
      <c r="DH173" s="19" t="s">
        <v>114</v>
      </c>
      <c r="DI173" s="19" t="s">
        <v>114</v>
      </c>
      <c r="DJ173" s="19" t="s">
        <v>114</v>
      </c>
      <c r="DK173" s="19" t="s">
        <v>114</v>
      </c>
      <c r="DL173" s="19" t="s">
        <v>114</v>
      </c>
      <c r="DM173" s="19" t="s">
        <v>114</v>
      </c>
      <c r="DN173" s="19" t="s">
        <v>114</v>
      </c>
      <c r="DO173" s="19" t="s">
        <v>114</v>
      </c>
    </row>
    <row r="174" spans="1:119" hidden="1" x14ac:dyDescent="0.45">
      <c r="A174" s="2" t="s">
        <v>739</v>
      </c>
      <c r="B174" t="s">
        <v>740</v>
      </c>
      <c r="C174" s="2">
        <v>372</v>
      </c>
      <c r="D174" s="6">
        <v>526</v>
      </c>
      <c r="E174" s="2" t="s">
        <v>741</v>
      </c>
      <c r="F174" t="s">
        <v>741</v>
      </c>
      <c r="G174" t="s">
        <v>741</v>
      </c>
      <c r="H174" s="2" t="s">
        <v>742</v>
      </c>
      <c r="I174" s="2" t="s">
        <v>743</v>
      </c>
      <c r="J174" s="2">
        <v>150</v>
      </c>
      <c r="K174" t="s">
        <v>127</v>
      </c>
      <c r="L174" s="2">
        <v>154</v>
      </c>
      <c r="M174" t="s">
        <v>128</v>
      </c>
      <c r="P174" s="2" t="s">
        <v>127</v>
      </c>
      <c r="Q174" s="2" t="s">
        <v>129</v>
      </c>
      <c r="R174" s="2">
        <v>513</v>
      </c>
      <c r="S174" s="2" t="s">
        <v>1000</v>
      </c>
      <c r="T174" s="2">
        <v>150</v>
      </c>
      <c r="U174" s="2" t="s">
        <v>127</v>
      </c>
      <c r="V174" t="s">
        <v>2451</v>
      </c>
      <c r="W174" t="s">
        <v>2451</v>
      </c>
      <c r="X174" t="s">
        <v>2438</v>
      </c>
      <c r="Y174" t="s">
        <v>2464</v>
      </c>
      <c r="Z174" t="s">
        <v>2464</v>
      </c>
      <c r="AA174" t="s">
        <v>2464</v>
      </c>
      <c r="AB174" t="s">
        <v>2464</v>
      </c>
      <c r="AC174" s="2" t="s">
        <v>130</v>
      </c>
      <c r="AD174" s="4" t="s">
        <v>1891</v>
      </c>
      <c r="AE174" t="s">
        <v>131</v>
      </c>
      <c r="AF174" t="s">
        <v>1886</v>
      </c>
      <c r="AG174" t="s">
        <v>1887</v>
      </c>
      <c r="AH174" s="3" t="s">
        <v>18</v>
      </c>
      <c r="AI174" s="3" t="s">
        <v>224</v>
      </c>
      <c r="AJ174" t="s">
        <v>20</v>
      </c>
      <c r="AK174" s="3" t="s">
        <v>107</v>
      </c>
      <c r="AL174" s="5" t="s">
        <v>132</v>
      </c>
      <c r="AM174" s="5" t="s">
        <v>740</v>
      </c>
      <c r="AO174" s="3" t="s">
        <v>119</v>
      </c>
      <c r="AP174" s="3" t="s">
        <v>120</v>
      </c>
      <c r="AQ174" s="3" t="s">
        <v>111</v>
      </c>
      <c r="AR174" t="s">
        <v>28</v>
      </c>
      <c r="AS174" s="3" t="s">
        <v>29</v>
      </c>
      <c r="AT174" s="3" t="s">
        <v>113</v>
      </c>
      <c r="AU174" s="3" t="s">
        <v>2303</v>
      </c>
      <c r="AV174" s="3" t="s">
        <v>2302</v>
      </c>
      <c r="AW174" s="3" t="s">
        <v>2300</v>
      </c>
      <c r="AX174" s="3" t="s">
        <v>2006</v>
      </c>
      <c r="AY174" s="19" t="s">
        <v>114</v>
      </c>
      <c r="AZ174" s="19" t="s">
        <v>114</v>
      </c>
      <c r="BA174" s="19" t="s">
        <v>114</v>
      </c>
      <c r="BB174" s="19" t="s">
        <v>114</v>
      </c>
      <c r="BC174" s="19" t="s">
        <v>114</v>
      </c>
      <c r="BD174" s="19" t="s">
        <v>114</v>
      </c>
      <c r="BE174" s="19" t="s">
        <v>114</v>
      </c>
      <c r="BF174" s="19" t="s">
        <v>114</v>
      </c>
      <c r="BG174" s="19" t="s">
        <v>114</v>
      </c>
      <c r="BH174" s="19" t="s">
        <v>114</v>
      </c>
      <c r="BI174" s="19" t="s">
        <v>114</v>
      </c>
      <c r="BJ174" s="19" t="s">
        <v>114</v>
      </c>
      <c r="BK174" s="19" t="s">
        <v>114</v>
      </c>
      <c r="BL174" s="19" t="s">
        <v>114</v>
      </c>
      <c r="BM174" s="19" t="s">
        <v>114</v>
      </c>
      <c r="BN174" s="19" t="s">
        <v>114</v>
      </c>
      <c r="BO174" s="19" t="s">
        <v>114</v>
      </c>
      <c r="BP174" s="19" t="s">
        <v>114</v>
      </c>
      <c r="BQ174" s="19" t="s">
        <v>114</v>
      </c>
      <c r="BR174" s="19" t="s">
        <v>114</v>
      </c>
      <c r="BS174" s="19" t="s">
        <v>114</v>
      </c>
      <c r="BT174" s="19" t="s">
        <v>114</v>
      </c>
      <c r="BU174" s="19" t="s">
        <v>114</v>
      </c>
      <c r="BV174" s="19" t="s">
        <v>114</v>
      </c>
      <c r="BW174" s="19" t="s">
        <v>114</v>
      </c>
      <c r="BX174" s="19" t="s">
        <v>114</v>
      </c>
      <c r="BY174" s="19" t="s">
        <v>114</v>
      </c>
      <c r="BZ174" s="21">
        <v>98200</v>
      </c>
      <c r="CA174" s="21" t="s">
        <v>114</v>
      </c>
      <c r="CB174" s="21" t="s">
        <v>114</v>
      </c>
      <c r="CC174" s="21">
        <v>98203</v>
      </c>
      <c r="CD174" s="21">
        <v>98204</v>
      </c>
      <c r="CE174" s="21" t="s">
        <v>114</v>
      </c>
      <c r="CF174" s="19" t="s">
        <v>114</v>
      </c>
      <c r="CG174" s="19" t="s">
        <v>114</v>
      </c>
      <c r="CH174" s="19" t="s">
        <v>114</v>
      </c>
      <c r="CI174" s="21" t="s">
        <v>114</v>
      </c>
      <c r="CJ174" s="21" t="s">
        <v>114</v>
      </c>
      <c r="CK174" s="21" t="s">
        <v>114</v>
      </c>
      <c r="CL174" s="21" t="s">
        <v>114</v>
      </c>
      <c r="CM174" s="21" t="s">
        <v>114</v>
      </c>
      <c r="CN174" s="21" t="s">
        <v>114</v>
      </c>
      <c r="CO174" s="21" t="s">
        <v>114</v>
      </c>
      <c r="CP174" s="21" t="s">
        <v>114</v>
      </c>
      <c r="CQ174" s="21" t="s">
        <v>114</v>
      </c>
      <c r="CR174" s="21" t="s">
        <v>114</v>
      </c>
      <c r="CS174" s="21" t="s">
        <v>114</v>
      </c>
      <c r="CT174" s="21" t="s">
        <v>114</v>
      </c>
      <c r="CU174" s="21">
        <v>98423</v>
      </c>
      <c r="CV174" s="21" t="s">
        <v>114</v>
      </c>
      <c r="CW174" s="21" t="s">
        <v>114</v>
      </c>
      <c r="CX174" s="21" t="s">
        <v>114</v>
      </c>
      <c r="CY174" s="21" t="s">
        <v>114</v>
      </c>
      <c r="CZ174" s="21" t="s">
        <v>114</v>
      </c>
      <c r="DA174" s="21" t="s">
        <v>114</v>
      </c>
      <c r="DB174" s="21" t="s">
        <v>114</v>
      </c>
      <c r="DC174" s="21" t="s">
        <v>114</v>
      </c>
      <c r="DD174" s="21" t="s">
        <v>114</v>
      </c>
      <c r="DE174" s="21" t="s">
        <v>114</v>
      </c>
      <c r="DF174" s="19" t="s">
        <v>114</v>
      </c>
      <c r="DG174" s="19" t="s">
        <v>114</v>
      </c>
      <c r="DH174" s="19" t="s">
        <v>114</v>
      </c>
      <c r="DI174" s="19" t="s">
        <v>114</v>
      </c>
      <c r="DJ174" s="19" t="s">
        <v>114</v>
      </c>
      <c r="DK174" s="19" t="s">
        <v>114</v>
      </c>
      <c r="DL174" s="19" t="s">
        <v>114</v>
      </c>
      <c r="DM174" s="19" t="s">
        <v>114</v>
      </c>
      <c r="DN174" s="19" t="s">
        <v>114</v>
      </c>
      <c r="DO174" s="19" t="s">
        <v>114</v>
      </c>
    </row>
    <row r="175" spans="1:119" hidden="1" x14ac:dyDescent="0.45">
      <c r="A175" s="2" t="s">
        <v>754</v>
      </c>
      <c r="B175" t="s">
        <v>755</v>
      </c>
      <c r="C175" s="2">
        <v>380</v>
      </c>
      <c r="D175" s="6">
        <v>528</v>
      </c>
      <c r="E175" s="2" t="s">
        <v>756</v>
      </c>
      <c r="F175" t="s">
        <v>756</v>
      </c>
      <c r="G175" t="s">
        <v>2085</v>
      </c>
      <c r="H175" s="2" t="s">
        <v>757</v>
      </c>
      <c r="I175" s="2" t="s">
        <v>758</v>
      </c>
      <c r="J175" s="2">
        <v>150</v>
      </c>
      <c r="K175" t="s">
        <v>127</v>
      </c>
      <c r="L175" s="2">
        <v>39</v>
      </c>
      <c r="M175" t="s">
        <v>137</v>
      </c>
      <c r="P175" s="2" t="s">
        <v>127</v>
      </c>
      <c r="Q175" s="2" t="s">
        <v>129</v>
      </c>
      <c r="R175" s="2">
        <v>513</v>
      </c>
      <c r="S175" s="2" t="s">
        <v>1000</v>
      </c>
      <c r="T175" s="2">
        <v>150</v>
      </c>
      <c r="U175" s="2" t="s">
        <v>127</v>
      </c>
      <c r="V175" t="s">
        <v>2451</v>
      </c>
      <c r="W175" t="s">
        <v>2451</v>
      </c>
      <c r="X175" t="s">
        <v>2438</v>
      </c>
      <c r="Y175" t="s">
        <v>2464</v>
      </c>
      <c r="Z175" t="s">
        <v>2464</v>
      </c>
      <c r="AA175" t="s">
        <v>2464</v>
      </c>
      <c r="AB175" t="s">
        <v>2464</v>
      </c>
      <c r="AC175" s="2" t="s">
        <v>130</v>
      </c>
      <c r="AD175" s="4" t="s">
        <v>1891</v>
      </c>
      <c r="AE175" t="s">
        <v>131</v>
      </c>
      <c r="AF175" t="s">
        <v>1886</v>
      </c>
      <c r="AG175" t="s">
        <v>1887</v>
      </c>
      <c r="AH175" s="3" t="s">
        <v>18</v>
      </c>
      <c r="AI175" s="3" t="s">
        <v>224</v>
      </c>
      <c r="AJ175" t="s">
        <v>20</v>
      </c>
      <c r="AK175" s="3" t="s">
        <v>107</v>
      </c>
      <c r="AL175" s="5" t="s">
        <v>132</v>
      </c>
      <c r="AM175" s="5" t="s">
        <v>755</v>
      </c>
      <c r="AN175" t="s">
        <v>110</v>
      </c>
      <c r="AO175" s="3" t="s">
        <v>119</v>
      </c>
      <c r="AP175" s="3" t="s">
        <v>120</v>
      </c>
      <c r="AQ175" s="3" t="s">
        <v>111</v>
      </c>
      <c r="AR175" t="s">
        <v>28</v>
      </c>
      <c r="AS175" s="3" t="s">
        <v>29</v>
      </c>
      <c r="AT175" s="3" t="s">
        <v>113</v>
      </c>
      <c r="AU175" s="3" t="s">
        <v>2298</v>
      </c>
      <c r="AV175" s="3" t="s">
        <v>2299</v>
      </c>
      <c r="AW175" s="3" t="s">
        <v>2300</v>
      </c>
      <c r="AX175" s="3" t="s">
        <v>2006</v>
      </c>
      <c r="AY175" s="19" t="s">
        <v>114</v>
      </c>
      <c r="AZ175" s="19" t="s">
        <v>114</v>
      </c>
      <c r="BA175" s="19" t="s">
        <v>114</v>
      </c>
      <c r="BB175" s="19" t="s">
        <v>114</v>
      </c>
      <c r="BC175" s="19" t="s">
        <v>114</v>
      </c>
      <c r="BD175" s="19" t="s">
        <v>114</v>
      </c>
      <c r="BE175" s="19" t="s">
        <v>114</v>
      </c>
      <c r="BF175" s="19" t="s">
        <v>114</v>
      </c>
      <c r="BG175" s="19" t="s">
        <v>114</v>
      </c>
      <c r="BH175" s="19" t="s">
        <v>114</v>
      </c>
      <c r="BI175" s="19" t="s">
        <v>114</v>
      </c>
      <c r="BJ175" s="19" t="s">
        <v>114</v>
      </c>
      <c r="BK175" s="19" t="s">
        <v>114</v>
      </c>
      <c r="BL175" s="19" t="s">
        <v>114</v>
      </c>
      <c r="BM175" s="19" t="s">
        <v>114</v>
      </c>
      <c r="BN175" s="19" t="s">
        <v>114</v>
      </c>
      <c r="BO175" s="19" t="s">
        <v>114</v>
      </c>
      <c r="BP175" s="19" t="s">
        <v>114</v>
      </c>
      <c r="BQ175" s="19" t="s">
        <v>114</v>
      </c>
      <c r="BR175" s="19" t="s">
        <v>114</v>
      </c>
      <c r="BS175" s="19" t="s">
        <v>114</v>
      </c>
      <c r="BT175" s="19" t="s">
        <v>114</v>
      </c>
      <c r="BU175" s="19" t="s">
        <v>114</v>
      </c>
      <c r="BV175" s="19" t="s">
        <v>114</v>
      </c>
      <c r="BW175" s="19" t="s">
        <v>114</v>
      </c>
      <c r="BX175" s="19" t="s">
        <v>114</v>
      </c>
      <c r="BY175" s="19" t="s">
        <v>114</v>
      </c>
      <c r="BZ175" s="21">
        <v>98200</v>
      </c>
      <c r="CA175" s="21" t="s">
        <v>114</v>
      </c>
      <c r="CB175" s="21" t="s">
        <v>114</v>
      </c>
      <c r="CC175" s="21">
        <v>98203</v>
      </c>
      <c r="CD175" s="21">
        <v>98204</v>
      </c>
      <c r="CE175" s="21" t="s">
        <v>114</v>
      </c>
      <c r="CF175" s="19" t="s">
        <v>114</v>
      </c>
      <c r="CG175" s="19" t="s">
        <v>114</v>
      </c>
      <c r="CH175" s="19" t="s">
        <v>114</v>
      </c>
      <c r="CI175" s="21" t="s">
        <v>114</v>
      </c>
      <c r="CJ175" s="21" t="s">
        <v>114</v>
      </c>
      <c r="CK175" s="21" t="s">
        <v>114</v>
      </c>
      <c r="CL175" s="21" t="s">
        <v>114</v>
      </c>
      <c r="CM175" s="21" t="s">
        <v>114</v>
      </c>
      <c r="CN175" s="21" t="s">
        <v>114</v>
      </c>
      <c r="CO175" s="21" t="s">
        <v>114</v>
      </c>
      <c r="CP175" s="21" t="s">
        <v>114</v>
      </c>
      <c r="CQ175" s="21" t="s">
        <v>114</v>
      </c>
      <c r="CR175" s="21" t="s">
        <v>114</v>
      </c>
      <c r="CS175" s="21" t="s">
        <v>114</v>
      </c>
      <c r="CT175" s="21" t="s">
        <v>114</v>
      </c>
      <c r="CU175" s="21">
        <v>98423</v>
      </c>
      <c r="CV175" s="21" t="s">
        <v>114</v>
      </c>
      <c r="CW175" s="21" t="s">
        <v>114</v>
      </c>
      <c r="CX175" s="21" t="s">
        <v>114</v>
      </c>
      <c r="CY175" s="21" t="s">
        <v>114</v>
      </c>
      <c r="CZ175" s="21" t="s">
        <v>114</v>
      </c>
      <c r="DA175" s="21" t="s">
        <v>114</v>
      </c>
      <c r="DB175" s="21" t="s">
        <v>114</v>
      </c>
      <c r="DC175" s="21" t="s">
        <v>114</v>
      </c>
      <c r="DD175" s="21" t="s">
        <v>114</v>
      </c>
      <c r="DE175" s="21" t="s">
        <v>114</v>
      </c>
      <c r="DF175" s="19" t="s">
        <v>114</v>
      </c>
      <c r="DG175" s="19" t="s">
        <v>114</v>
      </c>
      <c r="DH175" s="19" t="s">
        <v>114</v>
      </c>
      <c r="DI175" s="19" t="s">
        <v>114</v>
      </c>
      <c r="DJ175" s="19" t="s">
        <v>114</v>
      </c>
      <c r="DK175" s="19" t="s">
        <v>114</v>
      </c>
      <c r="DL175" s="19" t="s">
        <v>114</v>
      </c>
      <c r="DM175" s="19" t="s">
        <v>114</v>
      </c>
      <c r="DN175" s="19" t="s">
        <v>114</v>
      </c>
      <c r="DO175" s="19" t="s">
        <v>114</v>
      </c>
    </row>
    <row r="176" spans="1:119" hidden="1" x14ac:dyDescent="0.45">
      <c r="A176" s="2" t="s">
        <v>811</v>
      </c>
      <c r="B176" t="s">
        <v>812</v>
      </c>
      <c r="C176" s="2">
        <v>428</v>
      </c>
      <c r="D176" s="6">
        <v>531</v>
      </c>
      <c r="E176" s="2" t="s">
        <v>813</v>
      </c>
      <c r="F176" t="s">
        <v>813</v>
      </c>
      <c r="G176" t="s">
        <v>2093</v>
      </c>
      <c r="H176" s="2" t="s">
        <v>814</v>
      </c>
      <c r="I176" s="2" t="s">
        <v>815</v>
      </c>
      <c r="J176" s="2">
        <v>150</v>
      </c>
      <c r="K176" t="s">
        <v>127</v>
      </c>
      <c r="L176" s="2">
        <v>154</v>
      </c>
      <c r="M176" t="s">
        <v>128</v>
      </c>
      <c r="P176" s="2" t="s">
        <v>127</v>
      </c>
      <c r="Q176" s="2" t="s">
        <v>129</v>
      </c>
      <c r="R176" s="2">
        <v>513</v>
      </c>
      <c r="S176" s="2" t="s">
        <v>1000</v>
      </c>
      <c r="T176" s="2">
        <v>150</v>
      </c>
      <c r="U176" s="2" t="s">
        <v>127</v>
      </c>
      <c r="V176" t="s">
        <v>2451</v>
      </c>
      <c r="W176" t="s">
        <v>2451</v>
      </c>
      <c r="X176" t="s">
        <v>2438</v>
      </c>
      <c r="Y176" t="s">
        <v>2464</v>
      </c>
      <c r="Z176" t="s">
        <v>2464</v>
      </c>
      <c r="AA176" t="s">
        <v>2464</v>
      </c>
      <c r="AB176" t="s">
        <v>2464</v>
      </c>
      <c r="AC176" s="2" t="s">
        <v>130</v>
      </c>
      <c r="AD176" s="4" t="s">
        <v>1891</v>
      </c>
      <c r="AE176" t="s">
        <v>131</v>
      </c>
      <c r="AF176" t="s">
        <v>1886</v>
      </c>
      <c r="AG176" t="s">
        <v>1887</v>
      </c>
      <c r="AH176" s="3" t="s">
        <v>18</v>
      </c>
      <c r="AI176" s="3" t="s">
        <v>224</v>
      </c>
      <c r="AJ176" s="3" t="s">
        <v>106</v>
      </c>
      <c r="AK176" s="3" t="s">
        <v>107</v>
      </c>
      <c r="AL176" s="5" t="s">
        <v>132</v>
      </c>
      <c r="AM176" s="5" t="s">
        <v>109</v>
      </c>
      <c r="AN176" t="s">
        <v>110</v>
      </c>
      <c r="AO176" s="3" t="s">
        <v>119</v>
      </c>
      <c r="AP176" s="3" t="s">
        <v>120</v>
      </c>
      <c r="AQ176" s="3" t="s">
        <v>111</v>
      </c>
      <c r="AR176" t="s">
        <v>28</v>
      </c>
      <c r="AS176" s="3" t="s">
        <v>29</v>
      </c>
      <c r="AT176" s="3" t="s">
        <v>113</v>
      </c>
      <c r="AU176" s="3" t="s">
        <v>2303</v>
      </c>
      <c r="AV176" s="3" t="s">
        <v>2302</v>
      </c>
      <c r="AW176" s="3" t="s">
        <v>2300</v>
      </c>
      <c r="AX176" s="3" t="s">
        <v>2006</v>
      </c>
      <c r="AY176" s="19" t="s">
        <v>114</v>
      </c>
      <c r="AZ176" s="19" t="s">
        <v>114</v>
      </c>
      <c r="BA176" s="19" t="s">
        <v>114</v>
      </c>
      <c r="BB176" s="19" t="s">
        <v>114</v>
      </c>
      <c r="BC176" s="19" t="s">
        <v>114</v>
      </c>
      <c r="BD176" s="19" t="s">
        <v>114</v>
      </c>
      <c r="BE176" s="19" t="s">
        <v>114</v>
      </c>
      <c r="BF176" s="19" t="s">
        <v>114</v>
      </c>
      <c r="BG176" s="19" t="s">
        <v>114</v>
      </c>
      <c r="BH176" s="19" t="s">
        <v>114</v>
      </c>
      <c r="BI176" s="19" t="s">
        <v>114</v>
      </c>
      <c r="BJ176" s="19" t="s">
        <v>114</v>
      </c>
      <c r="BK176" s="19" t="s">
        <v>114</v>
      </c>
      <c r="BL176" s="19" t="s">
        <v>114</v>
      </c>
      <c r="BM176" s="19" t="s">
        <v>114</v>
      </c>
      <c r="BN176" s="19" t="s">
        <v>114</v>
      </c>
      <c r="BO176" s="19" t="s">
        <v>114</v>
      </c>
      <c r="BP176" s="19" t="s">
        <v>114</v>
      </c>
      <c r="BQ176" s="19" t="s">
        <v>114</v>
      </c>
      <c r="BR176" s="19" t="s">
        <v>114</v>
      </c>
      <c r="BS176" s="19" t="s">
        <v>114</v>
      </c>
      <c r="BT176" s="19" t="s">
        <v>114</v>
      </c>
      <c r="BU176" s="19" t="s">
        <v>114</v>
      </c>
      <c r="BV176" s="19" t="s">
        <v>114</v>
      </c>
      <c r="BW176" s="19" t="s">
        <v>114</v>
      </c>
      <c r="BX176" s="19" t="s">
        <v>114</v>
      </c>
      <c r="BY176" s="19" t="s">
        <v>114</v>
      </c>
      <c r="BZ176" s="21">
        <v>98200</v>
      </c>
      <c r="CA176" s="21" t="s">
        <v>114</v>
      </c>
      <c r="CB176" s="21" t="s">
        <v>114</v>
      </c>
      <c r="CC176" s="21">
        <v>98203</v>
      </c>
      <c r="CD176" s="21">
        <v>98204</v>
      </c>
      <c r="CE176" s="21" t="s">
        <v>114</v>
      </c>
      <c r="CF176" s="19" t="s">
        <v>114</v>
      </c>
      <c r="CG176" s="19" t="s">
        <v>114</v>
      </c>
      <c r="CH176" s="19" t="s">
        <v>114</v>
      </c>
      <c r="CI176" s="21" t="s">
        <v>114</v>
      </c>
      <c r="CJ176" s="21" t="s">
        <v>114</v>
      </c>
      <c r="CK176" s="21" t="s">
        <v>114</v>
      </c>
      <c r="CL176" s="21" t="s">
        <v>114</v>
      </c>
      <c r="CM176" s="21" t="s">
        <v>114</v>
      </c>
      <c r="CN176" s="21" t="s">
        <v>114</v>
      </c>
      <c r="CO176" s="21" t="s">
        <v>114</v>
      </c>
      <c r="CP176" s="21" t="s">
        <v>114</v>
      </c>
      <c r="CQ176" s="21" t="s">
        <v>114</v>
      </c>
      <c r="CR176" s="21" t="s">
        <v>114</v>
      </c>
      <c r="CS176" s="21" t="s">
        <v>114</v>
      </c>
      <c r="CT176" s="21" t="s">
        <v>114</v>
      </c>
      <c r="CU176" s="21">
        <v>98423</v>
      </c>
      <c r="CV176" s="21" t="s">
        <v>114</v>
      </c>
      <c r="CW176" s="21" t="s">
        <v>114</v>
      </c>
      <c r="CX176" s="21" t="s">
        <v>114</v>
      </c>
      <c r="CY176" s="21" t="s">
        <v>114</v>
      </c>
      <c r="CZ176" s="21" t="s">
        <v>114</v>
      </c>
      <c r="DA176" s="21" t="s">
        <v>114</v>
      </c>
      <c r="DB176" s="21" t="s">
        <v>114</v>
      </c>
      <c r="DC176" s="21" t="s">
        <v>114</v>
      </c>
      <c r="DD176" s="21" t="s">
        <v>114</v>
      </c>
      <c r="DE176" s="21" t="s">
        <v>114</v>
      </c>
      <c r="DF176" s="19" t="s">
        <v>114</v>
      </c>
      <c r="DG176" s="19" t="s">
        <v>114</v>
      </c>
      <c r="DH176" s="19" t="s">
        <v>114</v>
      </c>
      <c r="DI176" s="19" t="s">
        <v>114</v>
      </c>
      <c r="DJ176" s="19" t="s">
        <v>114</v>
      </c>
      <c r="DK176" s="19" t="s">
        <v>114</v>
      </c>
      <c r="DL176" s="19" t="s">
        <v>114</v>
      </c>
      <c r="DM176" s="19" t="s">
        <v>114</v>
      </c>
      <c r="DN176" s="19" t="s">
        <v>114</v>
      </c>
      <c r="DO176" s="19" t="s">
        <v>114</v>
      </c>
    </row>
    <row r="177" spans="1:119" hidden="1" x14ac:dyDescent="0.45">
      <c r="A177" s="2" t="s">
        <v>842</v>
      </c>
      <c r="B177" t="s">
        <v>843</v>
      </c>
      <c r="C177" s="2">
        <v>440</v>
      </c>
      <c r="D177" s="6">
        <v>533</v>
      </c>
      <c r="E177" s="2" t="s">
        <v>844</v>
      </c>
      <c r="F177" t="s">
        <v>844</v>
      </c>
      <c r="G177" t="s">
        <v>2099</v>
      </c>
      <c r="H177" s="2" t="s">
        <v>845</v>
      </c>
      <c r="I177" s="2" t="s">
        <v>846</v>
      </c>
      <c r="J177" s="2">
        <v>150</v>
      </c>
      <c r="K177" t="s">
        <v>127</v>
      </c>
      <c r="L177" s="2">
        <v>154</v>
      </c>
      <c r="M177" t="s">
        <v>128</v>
      </c>
      <c r="P177" s="2" t="s">
        <v>127</v>
      </c>
      <c r="Q177" s="2" t="s">
        <v>129</v>
      </c>
      <c r="R177" s="2">
        <v>513</v>
      </c>
      <c r="S177" s="2" t="s">
        <v>1000</v>
      </c>
      <c r="T177" s="2">
        <v>150</v>
      </c>
      <c r="U177" s="2" t="s">
        <v>127</v>
      </c>
      <c r="V177" t="s">
        <v>2451</v>
      </c>
      <c r="W177" t="s">
        <v>2451</v>
      </c>
      <c r="X177" t="s">
        <v>2438</v>
      </c>
      <c r="Y177" t="s">
        <v>2464</v>
      </c>
      <c r="Z177" t="s">
        <v>2464</v>
      </c>
      <c r="AA177" t="s">
        <v>2464</v>
      </c>
      <c r="AB177" t="s">
        <v>2464</v>
      </c>
      <c r="AC177" s="2" t="s">
        <v>130</v>
      </c>
      <c r="AD177" s="4" t="s">
        <v>1891</v>
      </c>
      <c r="AE177" t="s">
        <v>131</v>
      </c>
      <c r="AF177" t="s">
        <v>1886</v>
      </c>
      <c r="AG177" t="s">
        <v>1887</v>
      </c>
      <c r="AH177" s="3" t="s">
        <v>18</v>
      </c>
      <c r="AI177" s="3" t="s">
        <v>224</v>
      </c>
      <c r="AJ177" s="3" t="s">
        <v>106</v>
      </c>
      <c r="AK177" s="3" t="s">
        <v>107</v>
      </c>
      <c r="AL177" s="5" t="s">
        <v>132</v>
      </c>
      <c r="AM177" s="5" t="s">
        <v>109</v>
      </c>
      <c r="AN177" t="s">
        <v>110</v>
      </c>
      <c r="AO177" s="3" t="s">
        <v>119</v>
      </c>
      <c r="AP177" s="3" t="s">
        <v>120</v>
      </c>
      <c r="AQ177" s="3" t="s">
        <v>111</v>
      </c>
      <c r="AR177" t="s">
        <v>28</v>
      </c>
      <c r="AS177" s="3" t="s">
        <v>29</v>
      </c>
      <c r="AT177" s="3" t="s">
        <v>113</v>
      </c>
      <c r="AU177" s="3" t="s">
        <v>2303</v>
      </c>
      <c r="AV177" s="3" t="s">
        <v>2302</v>
      </c>
      <c r="AW177" s="3" t="s">
        <v>2300</v>
      </c>
      <c r="AX177" s="3" t="s">
        <v>2006</v>
      </c>
      <c r="AY177" s="19" t="s">
        <v>114</v>
      </c>
      <c r="AZ177" s="19" t="s">
        <v>114</v>
      </c>
      <c r="BA177" s="19" t="s">
        <v>114</v>
      </c>
      <c r="BB177" s="19" t="s">
        <v>114</v>
      </c>
      <c r="BC177" s="19" t="s">
        <v>114</v>
      </c>
      <c r="BD177" s="19" t="s">
        <v>114</v>
      </c>
      <c r="BE177" s="19" t="s">
        <v>114</v>
      </c>
      <c r="BF177" s="19" t="s">
        <v>114</v>
      </c>
      <c r="BG177" s="19" t="s">
        <v>114</v>
      </c>
      <c r="BH177" s="19" t="s">
        <v>114</v>
      </c>
      <c r="BI177" s="19" t="s">
        <v>114</v>
      </c>
      <c r="BJ177" s="19" t="s">
        <v>114</v>
      </c>
      <c r="BK177" s="19" t="s">
        <v>114</v>
      </c>
      <c r="BL177" s="19" t="s">
        <v>114</v>
      </c>
      <c r="BM177" s="19" t="s">
        <v>114</v>
      </c>
      <c r="BN177" s="19" t="s">
        <v>114</v>
      </c>
      <c r="BO177" s="19" t="s">
        <v>114</v>
      </c>
      <c r="BP177" s="19" t="s">
        <v>114</v>
      </c>
      <c r="BQ177" s="19" t="s">
        <v>114</v>
      </c>
      <c r="BR177" s="19" t="s">
        <v>114</v>
      </c>
      <c r="BS177" s="19" t="s">
        <v>114</v>
      </c>
      <c r="BT177" s="19" t="s">
        <v>114</v>
      </c>
      <c r="BU177" s="19" t="s">
        <v>114</v>
      </c>
      <c r="BV177" s="19" t="s">
        <v>114</v>
      </c>
      <c r="BW177" s="19" t="s">
        <v>114</v>
      </c>
      <c r="BX177" s="19" t="s">
        <v>114</v>
      </c>
      <c r="BY177" s="19" t="s">
        <v>114</v>
      </c>
      <c r="BZ177" s="21">
        <v>98200</v>
      </c>
      <c r="CA177" s="21" t="s">
        <v>114</v>
      </c>
      <c r="CB177" s="21" t="s">
        <v>114</v>
      </c>
      <c r="CC177" s="21">
        <v>98203</v>
      </c>
      <c r="CD177" s="21">
        <v>98204</v>
      </c>
      <c r="CE177" s="21" t="s">
        <v>114</v>
      </c>
      <c r="CF177" s="19" t="s">
        <v>114</v>
      </c>
      <c r="CG177" s="19" t="s">
        <v>114</v>
      </c>
      <c r="CH177" s="19" t="s">
        <v>114</v>
      </c>
      <c r="CI177" s="21" t="s">
        <v>114</v>
      </c>
      <c r="CJ177" s="21" t="s">
        <v>114</v>
      </c>
      <c r="CK177" s="21" t="s">
        <v>114</v>
      </c>
      <c r="CL177" s="21" t="s">
        <v>114</v>
      </c>
      <c r="CM177" s="21" t="s">
        <v>114</v>
      </c>
      <c r="CN177" s="21" t="s">
        <v>114</v>
      </c>
      <c r="CO177" s="21" t="s">
        <v>114</v>
      </c>
      <c r="CP177" s="21" t="s">
        <v>114</v>
      </c>
      <c r="CQ177" s="21" t="s">
        <v>114</v>
      </c>
      <c r="CR177" s="21" t="s">
        <v>114</v>
      </c>
      <c r="CS177" s="21" t="s">
        <v>114</v>
      </c>
      <c r="CT177" s="21" t="s">
        <v>114</v>
      </c>
      <c r="CU177" s="21">
        <v>98423</v>
      </c>
      <c r="CV177" s="21" t="s">
        <v>114</v>
      </c>
      <c r="CW177" s="21" t="s">
        <v>114</v>
      </c>
      <c r="CX177" s="21" t="s">
        <v>114</v>
      </c>
      <c r="CY177" s="21" t="s">
        <v>114</v>
      </c>
      <c r="CZ177" s="21" t="s">
        <v>114</v>
      </c>
      <c r="DA177" s="21" t="s">
        <v>114</v>
      </c>
      <c r="DB177" s="21" t="s">
        <v>114</v>
      </c>
      <c r="DC177" s="21" t="s">
        <v>114</v>
      </c>
      <c r="DD177" s="21" t="s">
        <v>114</v>
      </c>
      <c r="DE177" s="21" t="s">
        <v>114</v>
      </c>
      <c r="DF177" s="19" t="s">
        <v>114</v>
      </c>
      <c r="DG177" s="19" t="s">
        <v>114</v>
      </c>
      <c r="DH177" s="19" t="s">
        <v>114</v>
      </c>
      <c r="DI177" s="19" t="s">
        <v>114</v>
      </c>
      <c r="DJ177" s="19" t="s">
        <v>114</v>
      </c>
      <c r="DK177" s="19" t="s">
        <v>114</v>
      </c>
      <c r="DL177" s="19" t="s">
        <v>114</v>
      </c>
      <c r="DM177" s="19" t="s">
        <v>114</v>
      </c>
      <c r="DN177" s="19" t="s">
        <v>114</v>
      </c>
      <c r="DO177" s="19" t="s">
        <v>114</v>
      </c>
    </row>
    <row r="178" spans="1:119" hidden="1" x14ac:dyDescent="0.45">
      <c r="A178" s="2" t="s">
        <v>847</v>
      </c>
      <c r="B178" t="s">
        <v>848</v>
      </c>
      <c r="C178" s="2">
        <v>442</v>
      </c>
      <c r="D178" s="6">
        <v>534</v>
      </c>
      <c r="E178" s="2" t="s">
        <v>849</v>
      </c>
      <c r="F178" t="s">
        <v>849</v>
      </c>
      <c r="G178" t="s">
        <v>2100</v>
      </c>
      <c r="H178" s="2" t="s">
        <v>849</v>
      </c>
      <c r="I178" s="2" t="s">
        <v>850</v>
      </c>
      <c r="J178" s="2">
        <v>150</v>
      </c>
      <c r="K178" t="s">
        <v>127</v>
      </c>
      <c r="L178" s="2">
        <v>155</v>
      </c>
      <c r="M178" t="s">
        <v>223</v>
      </c>
      <c r="P178" s="2" t="s">
        <v>127</v>
      </c>
      <c r="Q178" s="2" t="s">
        <v>129</v>
      </c>
      <c r="R178" s="2">
        <v>513</v>
      </c>
      <c r="S178" s="2" t="s">
        <v>1000</v>
      </c>
      <c r="T178" s="2">
        <v>150</v>
      </c>
      <c r="U178" s="2" t="s">
        <v>127</v>
      </c>
      <c r="V178" t="s">
        <v>2451</v>
      </c>
      <c r="W178" t="s">
        <v>2451</v>
      </c>
      <c r="X178" t="s">
        <v>2438</v>
      </c>
      <c r="Y178" t="s">
        <v>2464</v>
      </c>
      <c r="Z178" t="s">
        <v>2464</v>
      </c>
      <c r="AA178" t="s">
        <v>2464</v>
      </c>
      <c r="AB178" t="s">
        <v>2464</v>
      </c>
      <c r="AC178" s="2" t="s">
        <v>130</v>
      </c>
      <c r="AD178" s="4" t="s">
        <v>1891</v>
      </c>
      <c r="AE178" t="s">
        <v>131</v>
      </c>
      <c r="AF178" t="s">
        <v>1886</v>
      </c>
      <c r="AG178" t="s">
        <v>1887</v>
      </c>
      <c r="AH178" s="3" t="s">
        <v>18</v>
      </c>
      <c r="AI178" s="3" t="s">
        <v>224</v>
      </c>
      <c r="AJ178" t="s">
        <v>20</v>
      </c>
      <c r="AK178" s="3" t="s">
        <v>107</v>
      </c>
      <c r="AL178" s="5" t="s">
        <v>132</v>
      </c>
      <c r="AM178" s="5" t="s">
        <v>848</v>
      </c>
      <c r="AN178" t="s">
        <v>110</v>
      </c>
      <c r="AO178" s="3" t="s">
        <v>119</v>
      </c>
      <c r="AP178" s="3" t="s">
        <v>120</v>
      </c>
      <c r="AQ178" s="3" t="s">
        <v>111</v>
      </c>
      <c r="AR178" t="s">
        <v>28</v>
      </c>
      <c r="AS178" s="3" t="s">
        <v>29</v>
      </c>
      <c r="AT178" s="3" t="s">
        <v>113</v>
      </c>
      <c r="AU178" s="3" t="s">
        <v>2303</v>
      </c>
      <c r="AV178" s="3" t="s">
        <v>2302</v>
      </c>
      <c r="AW178" s="3" t="s">
        <v>2300</v>
      </c>
      <c r="AX178" s="3" t="s">
        <v>2006</v>
      </c>
      <c r="AY178" s="19" t="s">
        <v>114</v>
      </c>
      <c r="AZ178" s="19" t="s">
        <v>114</v>
      </c>
      <c r="BA178" s="19" t="s">
        <v>114</v>
      </c>
      <c r="BB178" s="19" t="s">
        <v>114</v>
      </c>
      <c r="BC178" s="19" t="s">
        <v>114</v>
      </c>
      <c r="BD178" s="19" t="s">
        <v>114</v>
      </c>
      <c r="BE178" s="19" t="s">
        <v>114</v>
      </c>
      <c r="BF178" s="19" t="s">
        <v>114</v>
      </c>
      <c r="BG178" s="19" t="s">
        <v>114</v>
      </c>
      <c r="BH178" s="19" t="s">
        <v>114</v>
      </c>
      <c r="BI178" s="19" t="s">
        <v>114</v>
      </c>
      <c r="BJ178" s="19" t="s">
        <v>114</v>
      </c>
      <c r="BK178" s="19" t="s">
        <v>114</v>
      </c>
      <c r="BL178" s="19" t="s">
        <v>114</v>
      </c>
      <c r="BM178" s="19" t="s">
        <v>114</v>
      </c>
      <c r="BN178" s="19" t="s">
        <v>114</v>
      </c>
      <c r="BO178" s="19" t="s">
        <v>114</v>
      </c>
      <c r="BP178" s="19" t="s">
        <v>114</v>
      </c>
      <c r="BQ178" s="19" t="s">
        <v>114</v>
      </c>
      <c r="BR178" s="19" t="s">
        <v>114</v>
      </c>
      <c r="BS178" s="19" t="s">
        <v>114</v>
      </c>
      <c r="BT178" s="19" t="s">
        <v>114</v>
      </c>
      <c r="BU178" s="19" t="s">
        <v>114</v>
      </c>
      <c r="BV178" s="19" t="s">
        <v>114</v>
      </c>
      <c r="BW178" s="19" t="s">
        <v>114</v>
      </c>
      <c r="BX178" s="19" t="s">
        <v>114</v>
      </c>
      <c r="BY178" s="19" t="s">
        <v>114</v>
      </c>
      <c r="BZ178" s="21">
        <v>98200</v>
      </c>
      <c r="CA178" s="21" t="s">
        <v>114</v>
      </c>
      <c r="CB178" s="21" t="s">
        <v>114</v>
      </c>
      <c r="CC178" s="21">
        <v>98203</v>
      </c>
      <c r="CD178" s="21">
        <v>98204</v>
      </c>
      <c r="CE178" s="21" t="s">
        <v>114</v>
      </c>
      <c r="CF178" s="19" t="s">
        <v>114</v>
      </c>
      <c r="CG178" s="19" t="s">
        <v>114</v>
      </c>
      <c r="CH178" s="19" t="s">
        <v>114</v>
      </c>
      <c r="CI178" s="21" t="s">
        <v>114</v>
      </c>
      <c r="CJ178" s="21" t="s">
        <v>114</v>
      </c>
      <c r="CK178" s="21" t="s">
        <v>114</v>
      </c>
      <c r="CL178" s="21" t="s">
        <v>114</v>
      </c>
      <c r="CM178" s="21" t="s">
        <v>114</v>
      </c>
      <c r="CN178" s="21" t="s">
        <v>114</v>
      </c>
      <c r="CO178" s="21" t="s">
        <v>114</v>
      </c>
      <c r="CP178" s="21" t="s">
        <v>114</v>
      </c>
      <c r="CQ178" s="21" t="s">
        <v>114</v>
      </c>
      <c r="CR178" s="21" t="s">
        <v>114</v>
      </c>
      <c r="CS178" s="21" t="s">
        <v>114</v>
      </c>
      <c r="CT178" s="21" t="s">
        <v>114</v>
      </c>
      <c r="CU178" s="21">
        <v>98423</v>
      </c>
      <c r="CV178" s="21" t="s">
        <v>114</v>
      </c>
      <c r="CW178" s="21" t="s">
        <v>114</v>
      </c>
      <c r="CX178" s="21" t="s">
        <v>114</v>
      </c>
      <c r="CY178" s="21" t="s">
        <v>114</v>
      </c>
      <c r="CZ178" s="21" t="s">
        <v>114</v>
      </c>
      <c r="DA178" s="21" t="s">
        <v>114</v>
      </c>
      <c r="DB178" s="21" t="s">
        <v>114</v>
      </c>
      <c r="DC178" s="21" t="s">
        <v>114</v>
      </c>
      <c r="DD178" s="21" t="s">
        <v>114</v>
      </c>
      <c r="DE178" s="21" t="s">
        <v>114</v>
      </c>
      <c r="DF178" s="19" t="s">
        <v>114</v>
      </c>
      <c r="DG178" s="19" t="s">
        <v>114</v>
      </c>
      <c r="DH178" s="19" t="s">
        <v>114</v>
      </c>
      <c r="DI178" s="19" t="s">
        <v>114</v>
      </c>
      <c r="DJ178" s="19" t="s">
        <v>114</v>
      </c>
      <c r="DK178" s="19" t="s">
        <v>114</v>
      </c>
      <c r="DL178" s="19" t="s">
        <v>114</v>
      </c>
      <c r="DM178" s="19" t="s">
        <v>114</v>
      </c>
      <c r="DN178" s="19" t="s">
        <v>114</v>
      </c>
      <c r="DO178" s="19" t="s">
        <v>114</v>
      </c>
    </row>
    <row r="179" spans="1:119" hidden="1" x14ac:dyDescent="0.45">
      <c r="A179" s="2" t="s">
        <v>874</v>
      </c>
      <c r="B179" t="s">
        <v>875</v>
      </c>
      <c r="C179" s="2">
        <v>470</v>
      </c>
      <c r="D179" s="6">
        <v>535</v>
      </c>
      <c r="E179" s="2" t="s">
        <v>876</v>
      </c>
      <c r="F179" t="s">
        <v>876</v>
      </c>
      <c r="G179" t="s">
        <v>2105</v>
      </c>
      <c r="H179" s="2" t="s">
        <v>877</v>
      </c>
      <c r="I179" s="2" t="s">
        <v>876</v>
      </c>
      <c r="J179" s="2">
        <v>150</v>
      </c>
      <c r="K179" t="s">
        <v>127</v>
      </c>
      <c r="L179" s="2">
        <v>39</v>
      </c>
      <c r="M179" t="s">
        <v>137</v>
      </c>
      <c r="P179" s="2" t="s">
        <v>127</v>
      </c>
      <c r="Q179" s="2" t="s">
        <v>146</v>
      </c>
      <c r="R179" s="2">
        <v>513</v>
      </c>
      <c r="S179" s="2" t="s">
        <v>1000</v>
      </c>
      <c r="T179" s="2">
        <v>150</v>
      </c>
      <c r="U179" s="2" t="s">
        <v>127</v>
      </c>
      <c r="V179" t="s">
        <v>2451</v>
      </c>
      <c r="W179" t="s">
        <v>2451</v>
      </c>
      <c r="X179" t="s">
        <v>2438</v>
      </c>
      <c r="Y179" t="s">
        <v>2464</v>
      </c>
      <c r="Z179" t="s">
        <v>2464</v>
      </c>
      <c r="AA179" t="s">
        <v>2464</v>
      </c>
      <c r="AB179" t="s">
        <v>2464</v>
      </c>
      <c r="AC179" s="2" t="s">
        <v>130</v>
      </c>
      <c r="AD179" s="4" t="s">
        <v>1891</v>
      </c>
      <c r="AE179" t="s">
        <v>131</v>
      </c>
      <c r="AF179" t="s">
        <v>1886</v>
      </c>
      <c r="AG179" t="s">
        <v>1887</v>
      </c>
      <c r="AH179" t="s">
        <v>105</v>
      </c>
      <c r="AI179" s="3" t="s">
        <v>105</v>
      </c>
      <c r="AJ179" s="3" t="s">
        <v>106</v>
      </c>
      <c r="AK179" s="3" t="s">
        <v>107</v>
      </c>
      <c r="AL179" s="5" t="s">
        <v>132</v>
      </c>
      <c r="AM179" s="5" t="s">
        <v>109</v>
      </c>
      <c r="AN179" t="s">
        <v>110</v>
      </c>
      <c r="AO179" s="3" t="s">
        <v>119</v>
      </c>
      <c r="AP179" s="3" t="s">
        <v>120</v>
      </c>
      <c r="AQ179" s="3" t="s">
        <v>111</v>
      </c>
      <c r="AR179" t="s">
        <v>28</v>
      </c>
      <c r="AS179" s="3" t="s">
        <v>29</v>
      </c>
      <c r="AT179" s="3" t="s">
        <v>113</v>
      </c>
      <c r="AU179" s="3" t="s">
        <v>2303</v>
      </c>
      <c r="AV179" s="3" t="s">
        <v>2302</v>
      </c>
      <c r="AW179" s="3" t="s">
        <v>2300</v>
      </c>
      <c r="AX179" s="3" t="s">
        <v>2006</v>
      </c>
      <c r="AY179" s="19" t="s">
        <v>114</v>
      </c>
      <c r="AZ179" s="19" t="s">
        <v>114</v>
      </c>
      <c r="BA179" s="19" t="s">
        <v>114</v>
      </c>
      <c r="BB179" s="19" t="s">
        <v>114</v>
      </c>
      <c r="BC179" s="19" t="s">
        <v>114</v>
      </c>
      <c r="BD179" s="19" t="s">
        <v>114</v>
      </c>
      <c r="BE179" s="19" t="s">
        <v>114</v>
      </c>
      <c r="BF179" s="19" t="s">
        <v>114</v>
      </c>
      <c r="BG179" s="19" t="s">
        <v>114</v>
      </c>
      <c r="BH179" s="19" t="s">
        <v>114</v>
      </c>
      <c r="BI179" s="19" t="s">
        <v>114</v>
      </c>
      <c r="BJ179" s="19" t="s">
        <v>114</v>
      </c>
      <c r="BK179" s="19" t="s">
        <v>114</v>
      </c>
      <c r="BL179" s="19" t="s">
        <v>114</v>
      </c>
      <c r="BM179" s="19" t="s">
        <v>114</v>
      </c>
      <c r="BN179" s="19" t="s">
        <v>114</v>
      </c>
      <c r="BO179" s="19" t="s">
        <v>114</v>
      </c>
      <c r="BP179" s="19" t="s">
        <v>114</v>
      </c>
      <c r="BQ179" s="19" t="s">
        <v>114</v>
      </c>
      <c r="BR179" s="19" t="s">
        <v>114</v>
      </c>
      <c r="BS179" s="19" t="s">
        <v>114</v>
      </c>
      <c r="BT179" s="19" t="s">
        <v>114</v>
      </c>
      <c r="BU179" s="19" t="s">
        <v>114</v>
      </c>
      <c r="BV179" s="19" t="s">
        <v>114</v>
      </c>
      <c r="BW179" s="19" t="s">
        <v>114</v>
      </c>
      <c r="BX179" s="19" t="s">
        <v>114</v>
      </c>
      <c r="BY179" s="19" t="s">
        <v>114</v>
      </c>
      <c r="BZ179" s="21">
        <v>98200</v>
      </c>
      <c r="CA179" s="21" t="s">
        <v>114</v>
      </c>
      <c r="CB179" s="21" t="s">
        <v>114</v>
      </c>
      <c r="CC179" s="21">
        <v>98203</v>
      </c>
      <c r="CD179" s="21">
        <v>98204</v>
      </c>
      <c r="CE179" s="21" t="s">
        <v>114</v>
      </c>
      <c r="CF179" s="19" t="s">
        <v>114</v>
      </c>
      <c r="CG179" s="19" t="s">
        <v>114</v>
      </c>
      <c r="CH179" s="19" t="s">
        <v>114</v>
      </c>
      <c r="CI179" s="21" t="s">
        <v>114</v>
      </c>
      <c r="CJ179" s="21" t="s">
        <v>114</v>
      </c>
      <c r="CK179" s="21" t="s">
        <v>114</v>
      </c>
      <c r="CL179" s="21" t="s">
        <v>114</v>
      </c>
      <c r="CM179" s="21" t="s">
        <v>114</v>
      </c>
      <c r="CN179" s="21" t="s">
        <v>114</v>
      </c>
      <c r="CO179" s="21" t="s">
        <v>114</v>
      </c>
      <c r="CP179" s="21" t="s">
        <v>114</v>
      </c>
      <c r="CQ179" s="21" t="s">
        <v>114</v>
      </c>
      <c r="CR179" s="21" t="s">
        <v>114</v>
      </c>
      <c r="CS179" s="21" t="s">
        <v>114</v>
      </c>
      <c r="CT179" s="21" t="s">
        <v>114</v>
      </c>
      <c r="CU179" s="21">
        <v>98423</v>
      </c>
      <c r="CV179" s="21" t="s">
        <v>114</v>
      </c>
      <c r="CW179" s="21" t="s">
        <v>114</v>
      </c>
      <c r="CX179" s="21" t="s">
        <v>114</v>
      </c>
      <c r="CY179" s="21" t="s">
        <v>114</v>
      </c>
      <c r="CZ179" s="21" t="s">
        <v>114</v>
      </c>
      <c r="DA179" s="21" t="s">
        <v>114</v>
      </c>
      <c r="DB179" s="21" t="s">
        <v>114</v>
      </c>
      <c r="DC179" s="21" t="s">
        <v>114</v>
      </c>
      <c r="DD179" s="21" t="s">
        <v>114</v>
      </c>
      <c r="DE179" s="21" t="s">
        <v>114</v>
      </c>
      <c r="DF179" s="19" t="s">
        <v>114</v>
      </c>
      <c r="DG179" s="19" t="s">
        <v>114</v>
      </c>
      <c r="DH179" s="19" t="s">
        <v>114</v>
      </c>
      <c r="DI179" s="19" t="s">
        <v>114</v>
      </c>
      <c r="DJ179" s="19" t="s">
        <v>114</v>
      </c>
      <c r="DK179" s="19" t="s">
        <v>114</v>
      </c>
      <c r="DL179" s="19" t="s">
        <v>114</v>
      </c>
      <c r="DM179" s="19" t="s">
        <v>114</v>
      </c>
      <c r="DN179" s="19" t="s">
        <v>114</v>
      </c>
      <c r="DO179" s="19" t="s">
        <v>114</v>
      </c>
    </row>
    <row r="180" spans="1:119" hidden="1" x14ac:dyDescent="0.45">
      <c r="A180" s="2" t="s">
        <v>960</v>
      </c>
      <c r="B180" t="s">
        <v>961</v>
      </c>
      <c r="C180" s="2">
        <v>528</v>
      </c>
      <c r="D180" s="6">
        <v>539</v>
      </c>
      <c r="E180" s="2" t="s">
        <v>962</v>
      </c>
      <c r="F180" s="3" t="s">
        <v>1944</v>
      </c>
      <c r="G180" t="s">
        <v>2117</v>
      </c>
      <c r="H180" s="2" t="s">
        <v>963</v>
      </c>
      <c r="I180" s="2" t="s">
        <v>964</v>
      </c>
      <c r="J180" s="2">
        <v>150</v>
      </c>
      <c r="K180" t="s">
        <v>127</v>
      </c>
      <c r="L180" s="2">
        <v>155</v>
      </c>
      <c r="M180" t="s">
        <v>223</v>
      </c>
      <c r="P180" s="2" t="s">
        <v>127</v>
      </c>
      <c r="Q180" s="2" t="s">
        <v>129</v>
      </c>
      <c r="R180" s="2">
        <v>513</v>
      </c>
      <c r="S180" s="2" t="s">
        <v>1000</v>
      </c>
      <c r="T180" s="2">
        <v>150</v>
      </c>
      <c r="U180" s="2" t="s">
        <v>127</v>
      </c>
      <c r="V180" t="s">
        <v>2451</v>
      </c>
      <c r="W180" t="s">
        <v>2451</v>
      </c>
      <c r="X180" t="s">
        <v>2438</v>
      </c>
      <c r="Y180" t="s">
        <v>2464</v>
      </c>
      <c r="Z180" t="s">
        <v>2464</v>
      </c>
      <c r="AA180" t="s">
        <v>2464</v>
      </c>
      <c r="AB180" t="s">
        <v>2464</v>
      </c>
      <c r="AC180" s="2" t="s">
        <v>130</v>
      </c>
      <c r="AD180" s="4" t="s">
        <v>1891</v>
      </c>
      <c r="AE180" t="s">
        <v>131</v>
      </c>
      <c r="AF180" t="s">
        <v>1886</v>
      </c>
      <c r="AG180" t="s">
        <v>1887</v>
      </c>
      <c r="AH180" s="3" t="s">
        <v>18</v>
      </c>
      <c r="AI180" s="3" t="s">
        <v>224</v>
      </c>
      <c r="AJ180" t="s">
        <v>20</v>
      </c>
      <c r="AK180" s="3" t="s">
        <v>107</v>
      </c>
      <c r="AL180" s="5" t="s">
        <v>132</v>
      </c>
      <c r="AM180" s="5" t="s">
        <v>961</v>
      </c>
      <c r="AO180" s="3" t="s">
        <v>119</v>
      </c>
      <c r="AP180" s="3" t="s">
        <v>120</v>
      </c>
      <c r="AQ180" s="3" t="s">
        <v>111</v>
      </c>
      <c r="AR180" t="s">
        <v>28</v>
      </c>
      <c r="AS180" s="3" t="s">
        <v>29</v>
      </c>
      <c r="AT180" s="3" t="s">
        <v>113</v>
      </c>
      <c r="AU180" s="3" t="s">
        <v>2303</v>
      </c>
      <c r="AV180" s="3" t="s">
        <v>2302</v>
      </c>
      <c r="AW180" s="3" t="s">
        <v>2300</v>
      </c>
      <c r="AX180" s="3" t="s">
        <v>2006</v>
      </c>
      <c r="AY180" s="19" t="s">
        <v>114</v>
      </c>
      <c r="AZ180" s="19" t="s">
        <v>114</v>
      </c>
      <c r="BA180" s="19" t="s">
        <v>114</v>
      </c>
      <c r="BB180" s="19" t="s">
        <v>114</v>
      </c>
      <c r="BC180" s="19" t="s">
        <v>114</v>
      </c>
      <c r="BD180" s="19" t="s">
        <v>114</v>
      </c>
      <c r="BE180" s="19" t="s">
        <v>114</v>
      </c>
      <c r="BF180" s="19" t="s">
        <v>114</v>
      </c>
      <c r="BG180" s="19" t="s">
        <v>114</v>
      </c>
      <c r="BH180" s="19" t="s">
        <v>114</v>
      </c>
      <c r="BI180" s="19" t="s">
        <v>114</v>
      </c>
      <c r="BJ180" s="19" t="s">
        <v>114</v>
      </c>
      <c r="BK180" s="19" t="s">
        <v>114</v>
      </c>
      <c r="BL180" s="19" t="s">
        <v>114</v>
      </c>
      <c r="BM180" s="19" t="s">
        <v>114</v>
      </c>
      <c r="BN180" s="19" t="s">
        <v>114</v>
      </c>
      <c r="BO180" s="19" t="s">
        <v>114</v>
      </c>
      <c r="BP180" s="19" t="s">
        <v>114</v>
      </c>
      <c r="BQ180" s="19" t="s">
        <v>114</v>
      </c>
      <c r="BR180" s="19" t="s">
        <v>114</v>
      </c>
      <c r="BS180" s="19" t="s">
        <v>114</v>
      </c>
      <c r="BT180" s="19" t="s">
        <v>114</v>
      </c>
      <c r="BU180" s="19" t="s">
        <v>114</v>
      </c>
      <c r="BV180" s="19" t="s">
        <v>114</v>
      </c>
      <c r="BW180" s="19" t="s">
        <v>114</v>
      </c>
      <c r="BX180" s="19" t="s">
        <v>114</v>
      </c>
      <c r="BY180" s="19" t="s">
        <v>114</v>
      </c>
      <c r="BZ180" s="21">
        <v>98200</v>
      </c>
      <c r="CA180" s="21" t="s">
        <v>114</v>
      </c>
      <c r="CB180" s="21" t="s">
        <v>114</v>
      </c>
      <c r="CC180" s="21">
        <v>98203</v>
      </c>
      <c r="CD180" s="21">
        <v>98204</v>
      </c>
      <c r="CE180" s="21" t="s">
        <v>114</v>
      </c>
      <c r="CF180" s="19" t="s">
        <v>114</v>
      </c>
      <c r="CG180" s="19" t="s">
        <v>114</v>
      </c>
      <c r="CH180" s="19" t="s">
        <v>114</v>
      </c>
      <c r="CI180" s="21" t="s">
        <v>114</v>
      </c>
      <c r="CJ180" s="21" t="s">
        <v>114</v>
      </c>
      <c r="CK180" s="21" t="s">
        <v>114</v>
      </c>
      <c r="CL180" s="21" t="s">
        <v>114</v>
      </c>
      <c r="CM180" s="21" t="s">
        <v>114</v>
      </c>
      <c r="CN180" s="21" t="s">
        <v>114</v>
      </c>
      <c r="CO180" s="21" t="s">
        <v>114</v>
      </c>
      <c r="CP180" s="21" t="s">
        <v>114</v>
      </c>
      <c r="CQ180" s="21" t="s">
        <v>114</v>
      </c>
      <c r="CR180" s="21" t="s">
        <v>114</v>
      </c>
      <c r="CS180" s="21" t="s">
        <v>114</v>
      </c>
      <c r="CT180" s="21" t="s">
        <v>114</v>
      </c>
      <c r="CU180" s="21">
        <v>98423</v>
      </c>
      <c r="CV180" s="21" t="s">
        <v>114</v>
      </c>
      <c r="CW180" s="21" t="s">
        <v>114</v>
      </c>
      <c r="CX180" s="21" t="s">
        <v>114</v>
      </c>
      <c r="CY180" s="21" t="s">
        <v>114</v>
      </c>
      <c r="CZ180" s="21" t="s">
        <v>114</v>
      </c>
      <c r="DA180" s="21" t="s">
        <v>114</v>
      </c>
      <c r="DB180" s="21" t="s">
        <v>114</v>
      </c>
      <c r="DC180" s="21" t="s">
        <v>114</v>
      </c>
      <c r="DD180" s="21" t="s">
        <v>114</v>
      </c>
      <c r="DE180" s="21" t="s">
        <v>114</v>
      </c>
      <c r="DF180" s="19" t="s">
        <v>114</v>
      </c>
      <c r="DG180" s="19" t="s">
        <v>114</v>
      </c>
      <c r="DH180" s="19" t="s">
        <v>114</v>
      </c>
      <c r="DI180" s="19" t="s">
        <v>114</v>
      </c>
      <c r="DJ180" s="19" t="s">
        <v>114</v>
      </c>
      <c r="DK180" s="19" t="s">
        <v>114</v>
      </c>
      <c r="DL180" s="19" t="s">
        <v>114</v>
      </c>
      <c r="DM180" s="19" t="s">
        <v>114</v>
      </c>
      <c r="DN180" s="19" t="s">
        <v>114</v>
      </c>
      <c r="DO180" s="19" t="s">
        <v>114</v>
      </c>
    </row>
    <row r="181" spans="1:119" hidden="1" x14ac:dyDescent="0.45">
      <c r="A181" s="2" t="s">
        <v>1060</v>
      </c>
      <c r="B181" t="s">
        <v>1061</v>
      </c>
      <c r="C181" s="2">
        <v>616</v>
      </c>
      <c r="D181" s="6">
        <v>541</v>
      </c>
      <c r="E181" s="2" t="s">
        <v>1062</v>
      </c>
      <c r="F181" t="s">
        <v>1062</v>
      </c>
      <c r="G181" t="s">
        <v>2131</v>
      </c>
      <c r="H181" s="2" t="s">
        <v>1063</v>
      </c>
      <c r="I181" s="2" t="s">
        <v>1064</v>
      </c>
      <c r="J181" s="2">
        <v>150</v>
      </c>
      <c r="K181" t="s">
        <v>127</v>
      </c>
      <c r="L181" s="2">
        <v>151</v>
      </c>
      <c r="M181" t="s">
        <v>256</v>
      </c>
      <c r="P181" s="2" t="s">
        <v>127</v>
      </c>
      <c r="Q181" s="2" t="s">
        <v>129</v>
      </c>
      <c r="R181" s="2">
        <v>513</v>
      </c>
      <c r="S181" s="2" t="s">
        <v>1000</v>
      </c>
      <c r="T181" s="2">
        <v>150</v>
      </c>
      <c r="U181" s="2" t="s">
        <v>127</v>
      </c>
      <c r="V181" t="s">
        <v>2451</v>
      </c>
      <c r="W181" t="s">
        <v>2451</v>
      </c>
      <c r="X181" t="s">
        <v>2438</v>
      </c>
      <c r="Y181" t="s">
        <v>2464</v>
      </c>
      <c r="Z181" t="s">
        <v>2464</v>
      </c>
      <c r="AA181" t="s">
        <v>2464</v>
      </c>
      <c r="AB181" t="s">
        <v>2464</v>
      </c>
      <c r="AC181" s="2" t="s">
        <v>130</v>
      </c>
      <c r="AD181" s="4" t="s">
        <v>1891</v>
      </c>
      <c r="AE181" t="s">
        <v>131</v>
      </c>
      <c r="AF181" t="s">
        <v>1886</v>
      </c>
      <c r="AG181" t="s">
        <v>1887</v>
      </c>
      <c r="AH181" s="3" t="s">
        <v>18</v>
      </c>
      <c r="AI181" s="3" t="s">
        <v>224</v>
      </c>
      <c r="AJ181" t="s">
        <v>20</v>
      </c>
      <c r="AK181" s="3" t="s">
        <v>107</v>
      </c>
      <c r="AL181" s="5" t="s">
        <v>1065</v>
      </c>
      <c r="AM181" s="5" t="s">
        <v>1061</v>
      </c>
      <c r="AN181" t="s">
        <v>110</v>
      </c>
      <c r="AO181" s="3" t="s">
        <v>119</v>
      </c>
      <c r="AP181" s="3" t="s">
        <v>120</v>
      </c>
      <c r="AQ181" s="3" t="s">
        <v>111</v>
      </c>
      <c r="AR181" t="s">
        <v>28</v>
      </c>
      <c r="AS181" s="3" t="s">
        <v>29</v>
      </c>
      <c r="AT181" s="3" t="s">
        <v>113</v>
      </c>
      <c r="AU181" s="3" t="s">
        <v>2303</v>
      </c>
      <c r="AV181" s="3" t="s">
        <v>2302</v>
      </c>
      <c r="AW181" s="3" t="s">
        <v>2300</v>
      </c>
      <c r="AX181" s="3" t="s">
        <v>2006</v>
      </c>
      <c r="AY181" s="19" t="s">
        <v>114</v>
      </c>
      <c r="AZ181" s="19" t="s">
        <v>114</v>
      </c>
      <c r="BA181" s="19" t="s">
        <v>114</v>
      </c>
      <c r="BB181" s="19" t="s">
        <v>114</v>
      </c>
      <c r="BC181" s="19" t="s">
        <v>114</v>
      </c>
      <c r="BD181" s="19" t="s">
        <v>114</v>
      </c>
      <c r="BE181" s="19" t="s">
        <v>114</v>
      </c>
      <c r="BF181" s="19" t="s">
        <v>114</v>
      </c>
      <c r="BG181" s="19" t="s">
        <v>114</v>
      </c>
      <c r="BH181" s="19" t="s">
        <v>114</v>
      </c>
      <c r="BI181" s="19" t="s">
        <v>114</v>
      </c>
      <c r="BJ181" s="19" t="s">
        <v>114</v>
      </c>
      <c r="BK181" s="19" t="s">
        <v>114</v>
      </c>
      <c r="BL181" s="19" t="s">
        <v>114</v>
      </c>
      <c r="BM181" s="19" t="s">
        <v>114</v>
      </c>
      <c r="BN181" s="19" t="s">
        <v>114</v>
      </c>
      <c r="BO181" s="19" t="s">
        <v>114</v>
      </c>
      <c r="BP181" s="19" t="s">
        <v>114</v>
      </c>
      <c r="BQ181" s="19" t="s">
        <v>114</v>
      </c>
      <c r="BR181" s="19" t="s">
        <v>114</v>
      </c>
      <c r="BS181" s="19" t="s">
        <v>114</v>
      </c>
      <c r="BT181" s="19" t="s">
        <v>114</v>
      </c>
      <c r="BU181" s="19" t="s">
        <v>114</v>
      </c>
      <c r="BV181" s="19" t="s">
        <v>114</v>
      </c>
      <c r="BW181" s="19" t="s">
        <v>114</v>
      </c>
      <c r="BX181" s="19" t="s">
        <v>114</v>
      </c>
      <c r="BY181" s="19" t="s">
        <v>114</v>
      </c>
      <c r="BZ181" s="21">
        <v>98200</v>
      </c>
      <c r="CA181" s="21" t="s">
        <v>114</v>
      </c>
      <c r="CB181" s="21" t="s">
        <v>114</v>
      </c>
      <c r="CC181" s="21">
        <v>98203</v>
      </c>
      <c r="CD181" s="21" t="s">
        <v>114</v>
      </c>
      <c r="CE181" s="21" t="s">
        <v>114</v>
      </c>
      <c r="CF181" s="19" t="s">
        <v>114</v>
      </c>
      <c r="CG181" s="19" t="s">
        <v>114</v>
      </c>
      <c r="CH181" s="19" t="s">
        <v>114</v>
      </c>
      <c r="CI181" s="21" t="s">
        <v>114</v>
      </c>
      <c r="CJ181" s="21" t="s">
        <v>114</v>
      </c>
      <c r="CK181" s="21" t="s">
        <v>114</v>
      </c>
      <c r="CL181" s="21" t="s">
        <v>114</v>
      </c>
      <c r="CM181" s="21" t="s">
        <v>114</v>
      </c>
      <c r="CN181" s="21" t="s">
        <v>114</v>
      </c>
      <c r="CO181" s="21" t="s">
        <v>114</v>
      </c>
      <c r="CP181" s="21" t="s">
        <v>114</v>
      </c>
      <c r="CQ181" s="21" t="s">
        <v>114</v>
      </c>
      <c r="CR181" s="21" t="s">
        <v>114</v>
      </c>
      <c r="CS181" s="21" t="s">
        <v>114</v>
      </c>
      <c r="CT181" s="21" t="s">
        <v>114</v>
      </c>
      <c r="CU181" s="21">
        <v>98423</v>
      </c>
      <c r="CV181" s="21" t="s">
        <v>114</v>
      </c>
      <c r="CW181" s="21" t="s">
        <v>114</v>
      </c>
      <c r="CX181" s="21" t="s">
        <v>114</v>
      </c>
      <c r="CY181" s="21" t="s">
        <v>114</v>
      </c>
      <c r="CZ181" s="21" t="s">
        <v>114</v>
      </c>
      <c r="DA181" s="21" t="s">
        <v>114</v>
      </c>
      <c r="DB181" s="21" t="s">
        <v>114</v>
      </c>
      <c r="DC181" s="21" t="s">
        <v>114</v>
      </c>
      <c r="DD181" s="21" t="s">
        <v>114</v>
      </c>
      <c r="DE181" s="21" t="s">
        <v>114</v>
      </c>
      <c r="DF181" s="19" t="s">
        <v>114</v>
      </c>
      <c r="DG181" s="19" t="s">
        <v>114</v>
      </c>
      <c r="DH181" s="19" t="s">
        <v>114</v>
      </c>
      <c r="DI181" s="19" t="s">
        <v>114</v>
      </c>
      <c r="DJ181" s="19" t="s">
        <v>114</v>
      </c>
      <c r="DK181" s="19" t="s">
        <v>114</v>
      </c>
      <c r="DL181" s="19" t="s">
        <v>114</v>
      </c>
      <c r="DM181" s="19" t="s">
        <v>114</v>
      </c>
      <c r="DN181" s="19" t="s">
        <v>114</v>
      </c>
      <c r="DO181" s="19" t="s">
        <v>114</v>
      </c>
    </row>
    <row r="182" spans="1:119" hidden="1" x14ac:dyDescent="0.45">
      <c r="A182" s="2" t="s">
        <v>1066</v>
      </c>
      <c r="B182" t="s">
        <v>1067</v>
      </c>
      <c r="C182" s="2">
        <v>620</v>
      </c>
      <c r="D182" s="6">
        <v>542</v>
      </c>
      <c r="E182" s="2" t="s">
        <v>1068</v>
      </c>
      <c r="F182" t="s">
        <v>1068</v>
      </c>
      <c r="G182" t="s">
        <v>2132</v>
      </c>
      <c r="H182" s="2" t="s">
        <v>1068</v>
      </c>
      <c r="I182" s="2" t="s">
        <v>1068</v>
      </c>
      <c r="J182" s="2">
        <v>150</v>
      </c>
      <c r="K182" t="s">
        <v>127</v>
      </c>
      <c r="L182" s="2">
        <v>39</v>
      </c>
      <c r="M182" t="s">
        <v>137</v>
      </c>
      <c r="P182" s="2" t="s">
        <v>127</v>
      </c>
      <c r="Q182" s="2" t="s">
        <v>129</v>
      </c>
      <c r="R182" s="2">
        <v>513</v>
      </c>
      <c r="S182" s="2" t="s">
        <v>1000</v>
      </c>
      <c r="T182" s="2">
        <v>150</v>
      </c>
      <c r="U182" s="2" t="s">
        <v>127</v>
      </c>
      <c r="V182" t="s">
        <v>2451</v>
      </c>
      <c r="W182" t="s">
        <v>2451</v>
      </c>
      <c r="X182" t="s">
        <v>2438</v>
      </c>
      <c r="Y182" t="s">
        <v>2464</v>
      </c>
      <c r="Z182" t="s">
        <v>2464</v>
      </c>
      <c r="AA182" t="s">
        <v>2464</v>
      </c>
      <c r="AB182" t="s">
        <v>2464</v>
      </c>
      <c r="AC182" s="2" t="s">
        <v>130</v>
      </c>
      <c r="AD182" s="4" t="s">
        <v>1891</v>
      </c>
      <c r="AE182" t="s">
        <v>131</v>
      </c>
      <c r="AF182" t="s">
        <v>1886</v>
      </c>
      <c r="AG182" t="s">
        <v>1887</v>
      </c>
      <c r="AH182" s="3" t="s">
        <v>18</v>
      </c>
      <c r="AI182" s="3" t="s">
        <v>224</v>
      </c>
      <c r="AJ182" t="s">
        <v>20</v>
      </c>
      <c r="AK182" s="3" t="s">
        <v>107</v>
      </c>
      <c r="AL182" s="5" t="s">
        <v>132</v>
      </c>
      <c r="AM182" s="5" t="s">
        <v>1067</v>
      </c>
      <c r="AN182" t="s">
        <v>110</v>
      </c>
      <c r="AO182" s="3" t="s">
        <v>119</v>
      </c>
      <c r="AP182" s="3" t="s">
        <v>120</v>
      </c>
      <c r="AQ182" s="3" t="s">
        <v>111</v>
      </c>
      <c r="AR182" t="s">
        <v>28</v>
      </c>
      <c r="AS182" s="3" t="s">
        <v>29</v>
      </c>
      <c r="AT182" s="3" t="s">
        <v>113</v>
      </c>
      <c r="AU182" s="3" t="s">
        <v>2303</v>
      </c>
      <c r="AV182" s="3" t="s">
        <v>2302</v>
      </c>
      <c r="AW182" s="3" t="s">
        <v>2300</v>
      </c>
      <c r="AX182" s="3" t="s">
        <v>2006</v>
      </c>
      <c r="AY182" s="19" t="s">
        <v>114</v>
      </c>
      <c r="AZ182" s="19" t="s">
        <v>114</v>
      </c>
      <c r="BA182" s="19" t="s">
        <v>114</v>
      </c>
      <c r="BB182" s="19" t="s">
        <v>114</v>
      </c>
      <c r="BC182" s="19" t="s">
        <v>114</v>
      </c>
      <c r="BD182" s="19" t="s">
        <v>114</v>
      </c>
      <c r="BE182" s="19" t="s">
        <v>114</v>
      </c>
      <c r="BF182" s="19" t="s">
        <v>114</v>
      </c>
      <c r="BG182" s="19" t="s">
        <v>114</v>
      </c>
      <c r="BH182" s="19" t="s">
        <v>114</v>
      </c>
      <c r="BI182" s="19" t="s">
        <v>114</v>
      </c>
      <c r="BJ182" s="19" t="s">
        <v>114</v>
      </c>
      <c r="BK182" s="19" t="s">
        <v>114</v>
      </c>
      <c r="BL182" s="19" t="s">
        <v>114</v>
      </c>
      <c r="BM182" s="19" t="s">
        <v>114</v>
      </c>
      <c r="BN182" s="19" t="s">
        <v>114</v>
      </c>
      <c r="BO182" s="19" t="s">
        <v>114</v>
      </c>
      <c r="BP182" s="19" t="s">
        <v>114</v>
      </c>
      <c r="BQ182" s="19" t="s">
        <v>114</v>
      </c>
      <c r="BR182" s="19" t="s">
        <v>114</v>
      </c>
      <c r="BS182" s="19" t="s">
        <v>114</v>
      </c>
      <c r="BT182" s="19" t="s">
        <v>114</v>
      </c>
      <c r="BU182" s="19" t="s">
        <v>114</v>
      </c>
      <c r="BV182" s="19" t="s">
        <v>114</v>
      </c>
      <c r="BW182" s="19" t="s">
        <v>114</v>
      </c>
      <c r="BX182" s="19" t="s">
        <v>114</v>
      </c>
      <c r="BY182" s="19" t="s">
        <v>114</v>
      </c>
      <c r="BZ182" s="21">
        <v>98200</v>
      </c>
      <c r="CA182" s="21" t="s">
        <v>114</v>
      </c>
      <c r="CB182" s="21" t="s">
        <v>114</v>
      </c>
      <c r="CC182" s="21">
        <v>98203</v>
      </c>
      <c r="CD182" s="21">
        <v>98204</v>
      </c>
      <c r="CE182" s="21" t="s">
        <v>114</v>
      </c>
      <c r="CF182" s="19" t="s">
        <v>114</v>
      </c>
      <c r="CG182" s="19" t="s">
        <v>114</v>
      </c>
      <c r="CH182" s="19" t="s">
        <v>114</v>
      </c>
      <c r="CI182" s="21" t="s">
        <v>114</v>
      </c>
      <c r="CJ182" s="21" t="s">
        <v>114</v>
      </c>
      <c r="CK182" s="21" t="s">
        <v>114</v>
      </c>
      <c r="CL182" s="21" t="s">
        <v>114</v>
      </c>
      <c r="CM182" s="21" t="s">
        <v>114</v>
      </c>
      <c r="CN182" s="21" t="s">
        <v>114</v>
      </c>
      <c r="CO182" s="21" t="s">
        <v>114</v>
      </c>
      <c r="CP182" s="21" t="s">
        <v>114</v>
      </c>
      <c r="CQ182" s="21" t="s">
        <v>114</v>
      </c>
      <c r="CR182" s="21" t="s">
        <v>114</v>
      </c>
      <c r="CS182" s="21" t="s">
        <v>114</v>
      </c>
      <c r="CT182" s="21" t="s">
        <v>114</v>
      </c>
      <c r="CU182" s="21">
        <v>98423</v>
      </c>
      <c r="CV182" s="21" t="s">
        <v>114</v>
      </c>
      <c r="CW182" s="21" t="s">
        <v>114</v>
      </c>
      <c r="CX182" s="21" t="s">
        <v>114</v>
      </c>
      <c r="CY182" s="21" t="s">
        <v>114</v>
      </c>
      <c r="CZ182" s="21" t="s">
        <v>114</v>
      </c>
      <c r="DA182" s="21" t="s">
        <v>114</v>
      </c>
      <c r="DB182" s="21" t="s">
        <v>114</v>
      </c>
      <c r="DC182" s="21" t="s">
        <v>114</v>
      </c>
      <c r="DD182" s="21" t="s">
        <v>114</v>
      </c>
      <c r="DE182" s="21" t="s">
        <v>114</v>
      </c>
      <c r="DF182" s="19" t="s">
        <v>114</v>
      </c>
      <c r="DG182" s="19" t="s">
        <v>114</v>
      </c>
      <c r="DH182" s="19" t="s">
        <v>114</v>
      </c>
      <c r="DI182" s="19" t="s">
        <v>114</v>
      </c>
      <c r="DJ182" s="19" t="s">
        <v>114</v>
      </c>
      <c r="DK182" s="19" t="s">
        <v>114</v>
      </c>
      <c r="DL182" s="19" t="s">
        <v>114</v>
      </c>
      <c r="DM182" s="19" t="s">
        <v>114</v>
      </c>
      <c r="DN182" s="19" t="s">
        <v>114</v>
      </c>
      <c r="DO182" s="19" t="s">
        <v>114</v>
      </c>
    </row>
    <row r="183" spans="1:119" hidden="1" x14ac:dyDescent="0.45">
      <c r="A183" s="2" t="s">
        <v>1122</v>
      </c>
      <c r="B183" t="s">
        <v>1123</v>
      </c>
      <c r="C183" s="2">
        <v>642</v>
      </c>
      <c r="D183" s="6">
        <v>543</v>
      </c>
      <c r="E183" s="2" t="s">
        <v>1124</v>
      </c>
      <c r="F183" t="s">
        <v>1124</v>
      </c>
      <c r="G183" t="s">
        <v>1124</v>
      </c>
      <c r="H183" s="2" t="s">
        <v>1125</v>
      </c>
      <c r="I183" s="2" t="s">
        <v>1126</v>
      </c>
      <c r="J183" s="2">
        <v>150</v>
      </c>
      <c r="K183" t="s">
        <v>127</v>
      </c>
      <c r="L183" s="2">
        <v>151</v>
      </c>
      <c r="M183" t="s">
        <v>256</v>
      </c>
      <c r="P183" s="2" t="s">
        <v>127</v>
      </c>
      <c r="Q183" s="2" t="s">
        <v>129</v>
      </c>
      <c r="R183" s="2">
        <v>513</v>
      </c>
      <c r="S183" s="2" t="s">
        <v>1000</v>
      </c>
      <c r="T183" s="2">
        <v>150</v>
      </c>
      <c r="U183" s="2" t="s">
        <v>127</v>
      </c>
      <c r="V183" t="e">
        <v>#N/A</v>
      </c>
      <c r="W183" t="e">
        <v>#N/A</v>
      </c>
      <c r="X183" t="s">
        <v>2438</v>
      </c>
      <c r="Y183" t="s">
        <v>2464</v>
      </c>
      <c r="Z183" t="s">
        <v>2464</v>
      </c>
      <c r="AA183" t="s">
        <v>2464</v>
      </c>
      <c r="AB183" t="s">
        <v>2464</v>
      </c>
      <c r="AC183" s="2" t="s">
        <v>130</v>
      </c>
      <c r="AD183" s="4" t="s">
        <v>1891</v>
      </c>
      <c r="AE183" t="s">
        <v>131</v>
      </c>
      <c r="AF183" t="s">
        <v>1886</v>
      </c>
      <c r="AG183" t="s">
        <v>1887</v>
      </c>
      <c r="AH183" t="s">
        <v>105</v>
      </c>
      <c r="AI183" s="3" t="s">
        <v>105</v>
      </c>
      <c r="AJ183" s="3" t="s">
        <v>106</v>
      </c>
      <c r="AK183" s="3" t="s">
        <v>107</v>
      </c>
      <c r="AL183" s="5" t="s">
        <v>1127</v>
      </c>
      <c r="AM183" s="5" t="s">
        <v>109</v>
      </c>
      <c r="AN183" t="s">
        <v>110</v>
      </c>
      <c r="AO183" s="3" t="s">
        <v>119</v>
      </c>
      <c r="AP183" s="3" t="s">
        <v>120</v>
      </c>
      <c r="AQ183" s="3" t="s">
        <v>111</v>
      </c>
      <c r="AR183" t="s">
        <v>28</v>
      </c>
      <c r="AS183" s="3" t="s">
        <v>29</v>
      </c>
      <c r="AT183" s="3" t="s">
        <v>113</v>
      </c>
      <c r="AU183" s="3" t="s">
        <v>2303</v>
      </c>
      <c r="AV183" s="3" t="s">
        <v>2302</v>
      </c>
      <c r="AW183" s="3" t="s">
        <v>2300</v>
      </c>
      <c r="AX183" s="3" t="s">
        <v>2006</v>
      </c>
      <c r="AY183" s="19" t="s">
        <v>114</v>
      </c>
      <c r="AZ183" s="19" t="s">
        <v>114</v>
      </c>
      <c r="BA183" s="19" t="s">
        <v>114</v>
      </c>
      <c r="BB183" s="19" t="s">
        <v>114</v>
      </c>
      <c r="BC183" s="19" t="s">
        <v>114</v>
      </c>
      <c r="BD183" s="19" t="s">
        <v>114</v>
      </c>
      <c r="BE183" s="19" t="s">
        <v>114</v>
      </c>
      <c r="BF183" s="19" t="s">
        <v>114</v>
      </c>
      <c r="BG183" s="19" t="s">
        <v>114</v>
      </c>
      <c r="BH183" s="19" t="s">
        <v>114</v>
      </c>
      <c r="BI183" s="19" t="s">
        <v>114</v>
      </c>
      <c r="BJ183" s="19" t="s">
        <v>114</v>
      </c>
      <c r="BK183" s="19" t="s">
        <v>114</v>
      </c>
      <c r="BL183" s="19" t="s">
        <v>114</v>
      </c>
      <c r="BM183" s="19" t="s">
        <v>114</v>
      </c>
      <c r="BN183" s="19" t="s">
        <v>114</v>
      </c>
      <c r="BO183" s="19" t="s">
        <v>114</v>
      </c>
      <c r="BP183" s="19" t="s">
        <v>114</v>
      </c>
      <c r="BQ183" s="19" t="s">
        <v>114</v>
      </c>
      <c r="BR183" s="19" t="s">
        <v>114</v>
      </c>
      <c r="BS183" s="19" t="s">
        <v>114</v>
      </c>
      <c r="BT183" s="19" t="s">
        <v>114</v>
      </c>
      <c r="BU183" s="19" t="s">
        <v>114</v>
      </c>
      <c r="BV183" s="19" t="s">
        <v>114</v>
      </c>
      <c r="BW183" s="19" t="s">
        <v>114</v>
      </c>
      <c r="BX183" s="19" t="s">
        <v>114</v>
      </c>
      <c r="BY183" s="19" t="s">
        <v>114</v>
      </c>
      <c r="BZ183" s="21">
        <v>98200</v>
      </c>
      <c r="CA183" s="21" t="s">
        <v>114</v>
      </c>
      <c r="CB183" s="21" t="s">
        <v>114</v>
      </c>
      <c r="CC183" s="21">
        <v>98203</v>
      </c>
      <c r="CD183" s="21" t="s">
        <v>114</v>
      </c>
      <c r="CE183" s="21" t="s">
        <v>114</v>
      </c>
      <c r="CF183" s="19" t="s">
        <v>114</v>
      </c>
      <c r="CG183" s="19" t="s">
        <v>114</v>
      </c>
      <c r="CH183" s="19" t="s">
        <v>114</v>
      </c>
      <c r="CI183" s="21" t="s">
        <v>114</v>
      </c>
      <c r="CJ183" s="21" t="s">
        <v>114</v>
      </c>
      <c r="CK183" s="21" t="s">
        <v>114</v>
      </c>
      <c r="CL183" s="21" t="s">
        <v>114</v>
      </c>
      <c r="CM183" s="21" t="s">
        <v>114</v>
      </c>
      <c r="CN183" s="21" t="s">
        <v>114</v>
      </c>
      <c r="CO183" s="21" t="s">
        <v>114</v>
      </c>
      <c r="CP183" s="21" t="s">
        <v>114</v>
      </c>
      <c r="CQ183" s="21" t="s">
        <v>114</v>
      </c>
      <c r="CR183" s="21" t="s">
        <v>114</v>
      </c>
      <c r="CS183" s="21" t="s">
        <v>114</v>
      </c>
      <c r="CT183" s="21" t="s">
        <v>114</v>
      </c>
      <c r="CU183" s="21">
        <v>98423</v>
      </c>
      <c r="CV183" s="21" t="s">
        <v>114</v>
      </c>
      <c r="CW183" s="21" t="s">
        <v>114</v>
      </c>
      <c r="CX183" s="21" t="s">
        <v>114</v>
      </c>
      <c r="CY183" s="21" t="s">
        <v>114</v>
      </c>
      <c r="CZ183" s="21" t="s">
        <v>114</v>
      </c>
      <c r="DA183" s="21" t="s">
        <v>114</v>
      </c>
      <c r="DB183" s="21" t="s">
        <v>114</v>
      </c>
      <c r="DC183" s="21" t="s">
        <v>114</v>
      </c>
      <c r="DD183" s="21" t="s">
        <v>114</v>
      </c>
      <c r="DE183" s="21" t="s">
        <v>114</v>
      </c>
      <c r="DF183" s="19" t="s">
        <v>114</v>
      </c>
      <c r="DG183" s="19" t="s">
        <v>114</v>
      </c>
      <c r="DH183" s="19" t="s">
        <v>114</v>
      </c>
      <c r="DI183" s="19" t="s">
        <v>114</v>
      </c>
      <c r="DJ183" s="19" t="s">
        <v>114</v>
      </c>
      <c r="DK183" s="19" t="s">
        <v>114</v>
      </c>
      <c r="DL183" s="19" t="s">
        <v>114</v>
      </c>
      <c r="DM183" s="19" t="s">
        <v>114</v>
      </c>
      <c r="DN183" s="19" t="s">
        <v>114</v>
      </c>
      <c r="DO183" s="19" t="s">
        <v>114</v>
      </c>
    </row>
    <row r="184" spans="1:119" hidden="1" x14ac:dyDescent="0.45">
      <c r="A184" s="2" t="s">
        <v>1229</v>
      </c>
      <c r="B184" t="s">
        <v>1230</v>
      </c>
      <c r="C184" s="2">
        <v>703</v>
      </c>
      <c r="D184" s="6">
        <v>547</v>
      </c>
      <c r="E184" s="2" t="s">
        <v>1231</v>
      </c>
      <c r="F184" t="s">
        <v>1231</v>
      </c>
      <c r="G184" t="s">
        <v>2147</v>
      </c>
      <c r="H184" s="2" t="s">
        <v>1232</v>
      </c>
      <c r="I184" s="2" t="s">
        <v>1233</v>
      </c>
      <c r="J184" s="2">
        <v>150</v>
      </c>
      <c r="K184" t="s">
        <v>127</v>
      </c>
      <c r="L184" s="2">
        <v>151</v>
      </c>
      <c r="M184" t="s">
        <v>256</v>
      </c>
      <c r="P184" s="2" t="s">
        <v>127</v>
      </c>
      <c r="Q184" s="2" t="s">
        <v>129</v>
      </c>
      <c r="R184" s="2">
        <v>513</v>
      </c>
      <c r="S184" s="2" t="s">
        <v>1000</v>
      </c>
      <c r="T184" s="2">
        <v>150</v>
      </c>
      <c r="U184" s="2" t="s">
        <v>127</v>
      </c>
      <c r="V184" t="s">
        <v>2451</v>
      </c>
      <c r="W184" t="s">
        <v>2451</v>
      </c>
      <c r="X184" t="s">
        <v>2438</v>
      </c>
      <c r="Y184" t="s">
        <v>2464</v>
      </c>
      <c r="Z184" t="s">
        <v>2464</v>
      </c>
      <c r="AA184" t="s">
        <v>2464</v>
      </c>
      <c r="AB184" t="s">
        <v>2464</v>
      </c>
      <c r="AC184" s="2" t="s">
        <v>130</v>
      </c>
      <c r="AD184" s="4" t="s">
        <v>1891</v>
      </c>
      <c r="AE184" t="s">
        <v>131</v>
      </c>
      <c r="AF184" t="s">
        <v>1886</v>
      </c>
      <c r="AG184" t="s">
        <v>1887</v>
      </c>
      <c r="AH184" s="3" t="s">
        <v>18</v>
      </c>
      <c r="AI184" s="3" t="s">
        <v>224</v>
      </c>
      <c r="AJ184" s="3" t="s">
        <v>20</v>
      </c>
      <c r="AK184" s="3" t="s">
        <v>107</v>
      </c>
      <c r="AL184" s="5" t="s">
        <v>132</v>
      </c>
      <c r="AM184" s="5" t="s">
        <v>1230</v>
      </c>
      <c r="AN184" t="s">
        <v>110</v>
      </c>
      <c r="AO184" s="3" t="s">
        <v>119</v>
      </c>
      <c r="AP184" s="3" t="s">
        <v>120</v>
      </c>
      <c r="AQ184" s="3" t="s">
        <v>111</v>
      </c>
      <c r="AR184" t="s">
        <v>28</v>
      </c>
      <c r="AS184" s="3" t="s">
        <v>29</v>
      </c>
      <c r="AT184" s="3" t="s">
        <v>113</v>
      </c>
      <c r="AU184" s="3" t="s">
        <v>2303</v>
      </c>
      <c r="AV184" s="3" t="s">
        <v>2302</v>
      </c>
      <c r="AW184" s="3" t="s">
        <v>2300</v>
      </c>
      <c r="AX184" s="3" t="s">
        <v>2006</v>
      </c>
      <c r="AY184" s="19" t="s">
        <v>114</v>
      </c>
      <c r="AZ184" s="19" t="s">
        <v>114</v>
      </c>
      <c r="BA184" s="19" t="s">
        <v>114</v>
      </c>
      <c r="BB184" s="19" t="s">
        <v>114</v>
      </c>
      <c r="BC184" s="19" t="s">
        <v>114</v>
      </c>
      <c r="BD184" s="19" t="s">
        <v>114</v>
      </c>
      <c r="BE184" s="19" t="s">
        <v>114</v>
      </c>
      <c r="BF184" s="19" t="s">
        <v>114</v>
      </c>
      <c r="BG184" s="19" t="s">
        <v>114</v>
      </c>
      <c r="BH184" s="19" t="s">
        <v>114</v>
      </c>
      <c r="BI184" s="19" t="s">
        <v>114</v>
      </c>
      <c r="BJ184" s="19" t="s">
        <v>114</v>
      </c>
      <c r="BK184" s="19" t="s">
        <v>114</v>
      </c>
      <c r="BL184" s="19" t="s">
        <v>114</v>
      </c>
      <c r="BM184" s="19" t="s">
        <v>114</v>
      </c>
      <c r="BN184" s="19" t="s">
        <v>114</v>
      </c>
      <c r="BO184" s="19" t="s">
        <v>114</v>
      </c>
      <c r="BP184" s="19" t="s">
        <v>114</v>
      </c>
      <c r="BQ184" s="19" t="s">
        <v>114</v>
      </c>
      <c r="BR184" s="19" t="s">
        <v>114</v>
      </c>
      <c r="BS184" s="19" t="s">
        <v>114</v>
      </c>
      <c r="BT184" s="19" t="s">
        <v>114</v>
      </c>
      <c r="BU184" s="19" t="s">
        <v>114</v>
      </c>
      <c r="BV184" s="19" t="s">
        <v>114</v>
      </c>
      <c r="BW184" s="19" t="s">
        <v>114</v>
      </c>
      <c r="BX184" s="19" t="s">
        <v>114</v>
      </c>
      <c r="BY184" s="19" t="s">
        <v>114</v>
      </c>
      <c r="BZ184" s="21">
        <v>98200</v>
      </c>
      <c r="CA184" s="21" t="s">
        <v>114</v>
      </c>
      <c r="CB184" s="21" t="s">
        <v>114</v>
      </c>
      <c r="CC184" s="21">
        <v>98203</v>
      </c>
      <c r="CD184" s="21">
        <v>98204</v>
      </c>
      <c r="CE184" s="21" t="s">
        <v>114</v>
      </c>
      <c r="CF184" s="19" t="s">
        <v>114</v>
      </c>
      <c r="CG184" s="19" t="s">
        <v>114</v>
      </c>
      <c r="CH184" s="19" t="s">
        <v>114</v>
      </c>
      <c r="CI184" s="21" t="s">
        <v>114</v>
      </c>
      <c r="CJ184" s="21" t="s">
        <v>114</v>
      </c>
      <c r="CK184" s="21" t="s">
        <v>114</v>
      </c>
      <c r="CL184" s="21" t="s">
        <v>114</v>
      </c>
      <c r="CM184" s="21" t="s">
        <v>114</v>
      </c>
      <c r="CN184" s="21" t="s">
        <v>114</v>
      </c>
      <c r="CO184" s="21" t="s">
        <v>114</v>
      </c>
      <c r="CP184" s="21" t="s">
        <v>114</v>
      </c>
      <c r="CQ184" s="21" t="s">
        <v>114</v>
      </c>
      <c r="CR184" s="21" t="s">
        <v>114</v>
      </c>
      <c r="CS184" s="21" t="s">
        <v>114</v>
      </c>
      <c r="CT184" s="21" t="s">
        <v>114</v>
      </c>
      <c r="CU184" s="21">
        <v>98423</v>
      </c>
      <c r="CV184" s="21" t="s">
        <v>114</v>
      </c>
      <c r="CW184" s="21" t="s">
        <v>114</v>
      </c>
      <c r="CX184" s="21" t="s">
        <v>114</v>
      </c>
      <c r="CY184" s="21" t="s">
        <v>114</v>
      </c>
      <c r="CZ184" s="21" t="s">
        <v>114</v>
      </c>
      <c r="DA184" s="21" t="s">
        <v>114</v>
      </c>
      <c r="DB184" s="21" t="s">
        <v>114</v>
      </c>
      <c r="DC184" s="21" t="s">
        <v>114</v>
      </c>
      <c r="DD184" s="21" t="s">
        <v>114</v>
      </c>
      <c r="DE184" s="21" t="s">
        <v>114</v>
      </c>
      <c r="DF184" s="19" t="s">
        <v>114</v>
      </c>
      <c r="DG184" s="19" t="s">
        <v>114</v>
      </c>
      <c r="DH184" s="19" t="s">
        <v>114</v>
      </c>
      <c r="DI184" s="19" t="s">
        <v>114</v>
      </c>
      <c r="DJ184" s="19" t="s">
        <v>114</v>
      </c>
      <c r="DK184" s="19" t="s">
        <v>114</v>
      </c>
      <c r="DL184" s="19" t="s">
        <v>114</v>
      </c>
      <c r="DM184" s="19" t="s">
        <v>114</v>
      </c>
      <c r="DN184" s="19" t="s">
        <v>114</v>
      </c>
      <c r="DO184" s="19" t="s">
        <v>114</v>
      </c>
    </row>
    <row r="185" spans="1:119" hidden="1" x14ac:dyDescent="0.45">
      <c r="A185" s="2" t="s">
        <v>1234</v>
      </c>
      <c r="B185" t="s">
        <v>1235</v>
      </c>
      <c r="C185" s="2">
        <v>705</v>
      </c>
      <c r="D185" s="6">
        <v>548</v>
      </c>
      <c r="E185" s="2" t="s">
        <v>1236</v>
      </c>
      <c r="F185" t="s">
        <v>1236</v>
      </c>
      <c r="G185" t="s">
        <v>2148</v>
      </c>
      <c r="H185" s="2" t="s">
        <v>1237</v>
      </c>
      <c r="I185" s="2" t="s">
        <v>1238</v>
      </c>
      <c r="J185" s="2">
        <v>150</v>
      </c>
      <c r="K185" t="s">
        <v>127</v>
      </c>
      <c r="L185" s="2">
        <v>39</v>
      </c>
      <c r="M185" t="s">
        <v>137</v>
      </c>
      <c r="P185" s="2" t="s">
        <v>127</v>
      </c>
      <c r="Q185" s="2" t="s">
        <v>129</v>
      </c>
      <c r="R185" s="2">
        <v>513</v>
      </c>
      <c r="S185" s="2" t="s">
        <v>1000</v>
      </c>
      <c r="T185" s="2">
        <v>150</v>
      </c>
      <c r="U185" s="2" t="s">
        <v>127</v>
      </c>
      <c r="V185" t="s">
        <v>2451</v>
      </c>
      <c r="W185" t="s">
        <v>2451</v>
      </c>
      <c r="X185" t="s">
        <v>2438</v>
      </c>
      <c r="Y185" t="s">
        <v>2464</v>
      </c>
      <c r="Z185" t="s">
        <v>2464</v>
      </c>
      <c r="AA185" t="s">
        <v>2464</v>
      </c>
      <c r="AB185" t="s">
        <v>2464</v>
      </c>
      <c r="AC185" s="2" t="s">
        <v>130</v>
      </c>
      <c r="AD185" s="4" t="s">
        <v>1891</v>
      </c>
      <c r="AE185" t="s">
        <v>131</v>
      </c>
      <c r="AF185" t="s">
        <v>1886</v>
      </c>
      <c r="AG185" t="s">
        <v>1887</v>
      </c>
      <c r="AH185" s="3" t="s">
        <v>18</v>
      </c>
      <c r="AI185" s="3" t="s">
        <v>224</v>
      </c>
      <c r="AJ185" s="3" t="s">
        <v>106</v>
      </c>
      <c r="AK185" s="3" t="s">
        <v>107</v>
      </c>
      <c r="AL185" s="5" t="s">
        <v>132</v>
      </c>
      <c r="AM185" s="5" t="s">
        <v>1235</v>
      </c>
      <c r="AN185" t="s">
        <v>110</v>
      </c>
      <c r="AO185" s="3" t="s">
        <v>119</v>
      </c>
      <c r="AP185" s="3" t="s">
        <v>120</v>
      </c>
      <c r="AQ185" s="3" t="s">
        <v>111</v>
      </c>
      <c r="AR185" t="s">
        <v>28</v>
      </c>
      <c r="AS185" s="3" t="s">
        <v>29</v>
      </c>
      <c r="AT185" s="3" t="s">
        <v>113</v>
      </c>
      <c r="AU185" s="3" t="s">
        <v>2303</v>
      </c>
      <c r="AV185" s="3" t="s">
        <v>2302</v>
      </c>
      <c r="AW185" s="3" t="s">
        <v>2300</v>
      </c>
      <c r="AX185" s="3" t="s">
        <v>2006</v>
      </c>
      <c r="AY185" s="19" t="s">
        <v>114</v>
      </c>
      <c r="AZ185" s="19" t="s">
        <v>114</v>
      </c>
      <c r="BA185" s="19" t="s">
        <v>114</v>
      </c>
      <c r="BB185" s="19" t="s">
        <v>114</v>
      </c>
      <c r="BC185" s="19" t="s">
        <v>114</v>
      </c>
      <c r="BD185" s="19" t="s">
        <v>114</v>
      </c>
      <c r="BE185" s="19" t="s">
        <v>114</v>
      </c>
      <c r="BF185" s="19" t="s">
        <v>114</v>
      </c>
      <c r="BG185" s="19" t="s">
        <v>114</v>
      </c>
      <c r="BH185" s="19" t="s">
        <v>114</v>
      </c>
      <c r="BI185" s="19" t="s">
        <v>114</v>
      </c>
      <c r="BJ185" s="19" t="s">
        <v>114</v>
      </c>
      <c r="BK185" s="19" t="s">
        <v>114</v>
      </c>
      <c r="BL185" s="19" t="s">
        <v>114</v>
      </c>
      <c r="BM185" s="19" t="s">
        <v>114</v>
      </c>
      <c r="BN185" s="19" t="s">
        <v>114</v>
      </c>
      <c r="BO185" s="19" t="s">
        <v>114</v>
      </c>
      <c r="BP185" s="19" t="s">
        <v>114</v>
      </c>
      <c r="BQ185" s="19" t="s">
        <v>114</v>
      </c>
      <c r="BR185" s="19" t="s">
        <v>114</v>
      </c>
      <c r="BS185" s="19" t="s">
        <v>114</v>
      </c>
      <c r="BT185" s="19" t="s">
        <v>114</v>
      </c>
      <c r="BU185" s="19" t="s">
        <v>114</v>
      </c>
      <c r="BV185" s="19" t="s">
        <v>114</v>
      </c>
      <c r="BW185" s="19" t="s">
        <v>114</v>
      </c>
      <c r="BX185" s="19" t="s">
        <v>114</v>
      </c>
      <c r="BY185" s="19" t="s">
        <v>114</v>
      </c>
      <c r="BZ185" s="21">
        <v>98200</v>
      </c>
      <c r="CA185" s="21" t="s">
        <v>114</v>
      </c>
      <c r="CB185" s="21" t="s">
        <v>114</v>
      </c>
      <c r="CC185" s="21">
        <v>98203</v>
      </c>
      <c r="CD185" s="21">
        <v>98204</v>
      </c>
      <c r="CE185" s="21" t="s">
        <v>114</v>
      </c>
      <c r="CF185" s="19" t="s">
        <v>114</v>
      </c>
      <c r="CG185" s="19" t="s">
        <v>114</v>
      </c>
      <c r="CH185" s="19" t="s">
        <v>114</v>
      </c>
      <c r="CI185" s="21" t="s">
        <v>114</v>
      </c>
      <c r="CJ185" s="21" t="s">
        <v>114</v>
      </c>
      <c r="CK185" s="21" t="s">
        <v>114</v>
      </c>
      <c r="CL185" s="21" t="s">
        <v>114</v>
      </c>
      <c r="CM185" s="21" t="s">
        <v>114</v>
      </c>
      <c r="CN185" s="21" t="s">
        <v>114</v>
      </c>
      <c r="CO185" s="21" t="s">
        <v>114</v>
      </c>
      <c r="CP185" s="21" t="s">
        <v>114</v>
      </c>
      <c r="CQ185" s="21" t="s">
        <v>114</v>
      </c>
      <c r="CR185" s="21" t="s">
        <v>114</v>
      </c>
      <c r="CS185" s="21" t="s">
        <v>114</v>
      </c>
      <c r="CT185" s="21" t="s">
        <v>114</v>
      </c>
      <c r="CU185" s="21">
        <v>98423</v>
      </c>
      <c r="CV185" s="21" t="s">
        <v>114</v>
      </c>
      <c r="CW185" s="21" t="s">
        <v>114</v>
      </c>
      <c r="CX185" s="21" t="s">
        <v>114</v>
      </c>
      <c r="CY185" s="21" t="s">
        <v>114</v>
      </c>
      <c r="CZ185" s="21" t="s">
        <v>114</v>
      </c>
      <c r="DA185" s="21" t="s">
        <v>114</v>
      </c>
      <c r="DB185" s="21" t="s">
        <v>114</v>
      </c>
      <c r="DC185" s="21" t="s">
        <v>114</v>
      </c>
      <c r="DD185" s="21" t="s">
        <v>114</v>
      </c>
      <c r="DE185" s="21" t="s">
        <v>114</v>
      </c>
      <c r="DF185" s="19" t="s">
        <v>114</v>
      </c>
      <c r="DG185" s="19" t="s">
        <v>114</v>
      </c>
      <c r="DH185" s="19" t="s">
        <v>114</v>
      </c>
      <c r="DI185" s="19" t="s">
        <v>114</v>
      </c>
      <c r="DJ185" s="19" t="s">
        <v>114</v>
      </c>
      <c r="DK185" s="19" t="s">
        <v>114</v>
      </c>
      <c r="DL185" s="19" t="s">
        <v>114</v>
      </c>
      <c r="DM185" s="19" t="s">
        <v>114</v>
      </c>
      <c r="DN185" s="19" t="s">
        <v>114</v>
      </c>
      <c r="DO185" s="19" t="s">
        <v>114</v>
      </c>
    </row>
    <row r="186" spans="1:119" hidden="1" x14ac:dyDescent="0.45">
      <c r="A186" s="2" t="s">
        <v>1270</v>
      </c>
      <c r="B186" t="s">
        <v>1271</v>
      </c>
      <c r="C186" s="2">
        <v>724</v>
      </c>
      <c r="D186" s="6">
        <v>549</v>
      </c>
      <c r="E186" s="2" t="s">
        <v>1272</v>
      </c>
      <c r="F186" t="s">
        <v>1272</v>
      </c>
      <c r="G186" t="s">
        <v>2151</v>
      </c>
      <c r="H186" s="2" t="s">
        <v>1273</v>
      </c>
      <c r="I186" s="2" t="s">
        <v>1274</v>
      </c>
      <c r="J186" s="2">
        <v>150</v>
      </c>
      <c r="K186" t="s">
        <v>127</v>
      </c>
      <c r="L186" s="2">
        <v>39</v>
      </c>
      <c r="M186" t="s">
        <v>137</v>
      </c>
      <c r="P186" s="2" t="s">
        <v>127</v>
      </c>
      <c r="Q186" s="2" t="s">
        <v>129</v>
      </c>
      <c r="R186" s="2">
        <v>513</v>
      </c>
      <c r="S186" s="2" t="s">
        <v>1000</v>
      </c>
      <c r="T186" s="2">
        <v>150</v>
      </c>
      <c r="U186" s="2" t="s">
        <v>127</v>
      </c>
      <c r="V186" t="s">
        <v>2451</v>
      </c>
      <c r="W186" t="s">
        <v>2451</v>
      </c>
      <c r="X186" t="s">
        <v>2438</v>
      </c>
      <c r="Y186" t="s">
        <v>2464</v>
      </c>
      <c r="Z186" t="s">
        <v>2464</v>
      </c>
      <c r="AA186" t="s">
        <v>2464</v>
      </c>
      <c r="AB186" t="s">
        <v>2464</v>
      </c>
      <c r="AC186" s="2" t="s">
        <v>130</v>
      </c>
      <c r="AD186" s="4" t="s">
        <v>1891</v>
      </c>
      <c r="AE186" t="s">
        <v>131</v>
      </c>
      <c r="AF186" t="s">
        <v>1886</v>
      </c>
      <c r="AG186" t="s">
        <v>1887</v>
      </c>
      <c r="AH186" s="3" t="s">
        <v>18</v>
      </c>
      <c r="AI186" s="3" t="s">
        <v>224</v>
      </c>
      <c r="AJ186" t="s">
        <v>20</v>
      </c>
      <c r="AK186" s="3" t="s">
        <v>107</v>
      </c>
      <c r="AL186" s="5" t="s">
        <v>132</v>
      </c>
      <c r="AM186" s="5" t="s">
        <v>1271</v>
      </c>
      <c r="AO186" s="3" t="s">
        <v>119</v>
      </c>
      <c r="AP186" s="3" t="s">
        <v>120</v>
      </c>
      <c r="AQ186" s="3" t="s">
        <v>111</v>
      </c>
      <c r="AR186" t="s">
        <v>28</v>
      </c>
      <c r="AS186" s="3" t="s">
        <v>29</v>
      </c>
      <c r="AT186" s="3" t="s">
        <v>113</v>
      </c>
      <c r="AU186" s="3" t="s">
        <v>2303</v>
      </c>
      <c r="AV186" s="3" t="s">
        <v>2302</v>
      </c>
      <c r="AW186" s="3" t="s">
        <v>2300</v>
      </c>
      <c r="AX186" s="3" t="s">
        <v>2006</v>
      </c>
      <c r="AY186" s="19" t="s">
        <v>114</v>
      </c>
      <c r="AZ186" s="19" t="s">
        <v>114</v>
      </c>
      <c r="BA186" s="19" t="s">
        <v>114</v>
      </c>
      <c r="BB186" s="19" t="s">
        <v>114</v>
      </c>
      <c r="BC186" s="19" t="s">
        <v>114</v>
      </c>
      <c r="BD186" s="19" t="s">
        <v>114</v>
      </c>
      <c r="BE186" s="19" t="s">
        <v>114</v>
      </c>
      <c r="BF186" s="19" t="s">
        <v>114</v>
      </c>
      <c r="BG186" s="19" t="s">
        <v>114</v>
      </c>
      <c r="BH186" s="19" t="s">
        <v>114</v>
      </c>
      <c r="BI186" s="19" t="s">
        <v>114</v>
      </c>
      <c r="BJ186" s="19" t="s">
        <v>114</v>
      </c>
      <c r="BK186" s="19" t="s">
        <v>114</v>
      </c>
      <c r="BL186" s="19" t="s">
        <v>114</v>
      </c>
      <c r="BM186" s="19" t="s">
        <v>114</v>
      </c>
      <c r="BN186" s="19" t="s">
        <v>114</v>
      </c>
      <c r="BO186" s="19" t="s">
        <v>114</v>
      </c>
      <c r="BP186" s="19" t="s">
        <v>114</v>
      </c>
      <c r="BQ186" s="19" t="s">
        <v>114</v>
      </c>
      <c r="BR186" s="19" t="s">
        <v>114</v>
      </c>
      <c r="BS186" s="19" t="s">
        <v>114</v>
      </c>
      <c r="BT186" s="19" t="s">
        <v>114</v>
      </c>
      <c r="BU186" s="19" t="s">
        <v>114</v>
      </c>
      <c r="BV186" s="19" t="s">
        <v>114</v>
      </c>
      <c r="BW186" s="19" t="s">
        <v>114</v>
      </c>
      <c r="BX186" s="19" t="s">
        <v>114</v>
      </c>
      <c r="BY186" s="19" t="s">
        <v>114</v>
      </c>
      <c r="BZ186" s="21">
        <v>98200</v>
      </c>
      <c r="CA186" s="21" t="s">
        <v>114</v>
      </c>
      <c r="CB186" s="21" t="s">
        <v>114</v>
      </c>
      <c r="CC186" s="21">
        <v>98203</v>
      </c>
      <c r="CD186" s="21">
        <v>98204</v>
      </c>
      <c r="CE186" s="21" t="s">
        <v>114</v>
      </c>
      <c r="CF186" s="19" t="s">
        <v>114</v>
      </c>
      <c r="CG186" s="19" t="s">
        <v>114</v>
      </c>
      <c r="CH186" s="19" t="s">
        <v>114</v>
      </c>
      <c r="CI186" s="21" t="s">
        <v>114</v>
      </c>
      <c r="CJ186" s="21" t="s">
        <v>114</v>
      </c>
      <c r="CK186" s="21" t="s">
        <v>114</v>
      </c>
      <c r="CL186" s="21" t="s">
        <v>114</v>
      </c>
      <c r="CM186" s="21" t="s">
        <v>114</v>
      </c>
      <c r="CN186" s="21" t="s">
        <v>114</v>
      </c>
      <c r="CO186" s="21" t="s">
        <v>114</v>
      </c>
      <c r="CP186" s="21" t="s">
        <v>114</v>
      </c>
      <c r="CQ186" s="21" t="s">
        <v>114</v>
      </c>
      <c r="CR186" s="21" t="s">
        <v>114</v>
      </c>
      <c r="CS186" s="21" t="s">
        <v>114</v>
      </c>
      <c r="CT186" s="21" t="s">
        <v>114</v>
      </c>
      <c r="CU186" s="21">
        <v>98423</v>
      </c>
      <c r="CV186" s="21" t="s">
        <v>114</v>
      </c>
      <c r="CW186" s="21" t="s">
        <v>114</v>
      </c>
      <c r="CX186" s="21" t="s">
        <v>114</v>
      </c>
      <c r="CY186" s="21" t="s">
        <v>114</v>
      </c>
      <c r="CZ186" s="21" t="s">
        <v>114</v>
      </c>
      <c r="DA186" s="21" t="s">
        <v>114</v>
      </c>
      <c r="DB186" s="21" t="s">
        <v>114</v>
      </c>
      <c r="DC186" s="21" t="s">
        <v>114</v>
      </c>
      <c r="DD186" s="21" t="s">
        <v>114</v>
      </c>
      <c r="DE186" s="21" t="s">
        <v>114</v>
      </c>
      <c r="DF186" s="19" t="s">
        <v>114</v>
      </c>
      <c r="DG186" s="19" t="s">
        <v>114</v>
      </c>
      <c r="DH186" s="19" t="s">
        <v>114</v>
      </c>
      <c r="DI186" s="19" t="s">
        <v>114</v>
      </c>
      <c r="DJ186" s="19" t="s">
        <v>114</v>
      </c>
      <c r="DK186" s="19" t="s">
        <v>114</v>
      </c>
      <c r="DL186" s="19" t="s">
        <v>114</v>
      </c>
      <c r="DM186" s="19" t="s">
        <v>114</v>
      </c>
      <c r="DN186" s="19" t="s">
        <v>114</v>
      </c>
      <c r="DO186" s="19" t="s">
        <v>114</v>
      </c>
    </row>
    <row r="187" spans="1:119" hidden="1" x14ac:dyDescent="0.45">
      <c r="A187" s="2" t="s">
        <v>1299</v>
      </c>
      <c r="B187" t="s">
        <v>1300</v>
      </c>
      <c r="C187" s="2">
        <v>752</v>
      </c>
      <c r="D187" s="6">
        <v>551</v>
      </c>
      <c r="E187" s="2" t="s">
        <v>1301</v>
      </c>
      <c r="F187" t="s">
        <v>1301</v>
      </c>
      <c r="G187" t="s">
        <v>2155</v>
      </c>
      <c r="H187" s="2" t="s">
        <v>1302</v>
      </c>
      <c r="I187" s="2" t="s">
        <v>1303</v>
      </c>
      <c r="J187" s="2">
        <v>150</v>
      </c>
      <c r="K187" t="s">
        <v>127</v>
      </c>
      <c r="L187" s="2">
        <v>154</v>
      </c>
      <c r="M187" t="s">
        <v>128</v>
      </c>
      <c r="P187" s="2" t="s">
        <v>127</v>
      </c>
      <c r="Q187" s="2" t="s">
        <v>129</v>
      </c>
      <c r="R187" s="2">
        <v>513</v>
      </c>
      <c r="S187" s="2" t="s">
        <v>1000</v>
      </c>
      <c r="T187" s="2">
        <v>150</v>
      </c>
      <c r="U187" s="2" t="s">
        <v>127</v>
      </c>
      <c r="V187" t="s">
        <v>2451</v>
      </c>
      <c r="W187" t="s">
        <v>2451</v>
      </c>
      <c r="X187" t="s">
        <v>2438</v>
      </c>
      <c r="Y187" t="s">
        <v>2464</v>
      </c>
      <c r="Z187" t="s">
        <v>2464</v>
      </c>
      <c r="AA187" t="s">
        <v>2464</v>
      </c>
      <c r="AB187" t="s">
        <v>2464</v>
      </c>
      <c r="AC187" s="2" t="s">
        <v>130</v>
      </c>
      <c r="AD187" s="4" t="s">
        <v>1891</v>
      </c>
      <c r="AE187" t="s">
        <v>131</v>
      </c>
      <c r="AF187" t="s">
        <v>1886</v>
      </c>
      <c r="AG187" t="s">
        <v>1887</v>
      </c>
      <c r="AH187" s="3" t="s">
        <v>18</v>
      </c>
      <c r="AI187" s="3" t="s">
        <v>224</v>
      </c>
      <c r="AJ187" t="s">
        <v>20</v>
      </c>
      <c r="AK187" s="3" t="s">
        <v>107</v>
      </c>
      <c r="AL187" s="5" t="s">
        <v>1304</v>
      </c>
      <c r="AM187" s="5" t="s">
        <v>1300</v>
      </c>
      <c r="AO187" s="3" t="s">
        <v>119</v>
      </c>
      <c r="AP187" s="3" t="s">
        <v>120</v>
      </c>
      <c r="AQ187" s="3" t="s">
        <v>111</v>
      </c>
      <c r="AR187" t="s">
        <v>28</v>
      </c>
      <c r="AS187" s="3" t="s">
        <v>29</v>
      </c>
      <c r="AT187" s="3" t="s">
        <v>113</v>
      </c>
      <c r="AU187" s="3" t="s">
        <v>2303</v>
      </c>
      <c r="AV187" s="3" t="s">
        <v>2302</v>
      </c>
      <c r="AW187" s="3" t="s">
        <v>2300</v>
      </c>
      <c r="AX187" s="3" t="s">
        <v>2006</v>
      </c>
      <c r="AY187" s="19" t="s">
        <v>114</v>
      </c>
      <c r="AZ187" s="19" t="s">
        <v>114</v>
      </c>
      <c r="BA187" s="19" t="s">
        <v>114</v>
      </c>
      <c r="BB187" s="19" t="s">
        <v>114</v>
      </c>
      <c r="BC187" s="19" t="s">
        <v>114</v>
      </c>
      <c r="BD187" s="19" t="s">
        <v>114</v>
      </c>
      <c r="BE187" s="19" t="s">
        <v>114</v>
      </c>
      <c r="BF187" s="19" t="s">
        <v>114</v>
      </c>
      <c r="BG187" s="19" t="s">
        <v>114</v>
      </c>
      <c r="BH187" s="19" t="s">
        <v>114</v>
      </c>
      <c r="BI187" s="19" t="s">
        <v>114</v>
      </c>
      <c r="BJ187" s="19" t="s">
        <v>114</v>
      </c>
      <c r="BK187" s="19" t="s">
        <v>114</v>
      </c>
      <c r="BL187" s="19" t="s">
        <v>114</v>
      </c>
      <c r="BM187" s="19" t="s">
        <v>114</v>
      </c>
      <c r="BN187" s="19" t="s">
        <v>114</v>
      </c>
      <c r="BO187" s="19" t="s">
        <v>114</v>
      </c>
      <c r="BP187" s="19" t="s">
        <v>114</v>
      </c>
      <c r="BQ187" s="19" t="s">
        <v>114</v>
      </c>
      <c r="BR187" s="19" t="s">
        <v>114</v>
      </c>
      <c r="BS187" s="19" t="s">
        <v>114</v>
      </c>
      <c r="BT187" s="19" t="s">
        <v>114</v>
      </c>
      <c r="BU187" s="19" t="s">
        <v>114</v>
      </c>
      <c r="BV187" s="19" t="s">
        <v>114</v>
      </c>
      <c r="BW187" s="19" t="s">
        <v>114</v>
      </c>
      <c r="BX187" s="19" t="s">
        <v>114</v>
      </c>
      <c r="BY187" s="19" t="s">
        <v>114</v>
      </c>
      <c r="BZ187" s="21">
        <v>98200</v>
      </c>
      <c r="CA187" s="21" t="s">
        <v>114</v>
      </c>
      <c r="CB187" s="21" t="s">
        <v>114</v>
      </c>
      <c r="CC187" s="21">
        <v>98203</v>
      </c>
      <c r="CD187" s="21" t="s">
        <v>114</v>
      </c>
      <c r="CE187" s="21" t="s">
        <v>114</v>
      </c>
      <c r="CF187" s="19" t="s">
        <v>114</v>
      </c>
      <c r="CG187" s="19" t="s">
        <v>114</v>
      </c>
      <c r="CH187" s="19" t="s">
        <v>114</v>
      </c>
      <c r="CI187" s="21" t="s">
        <v>114</v>
      </c>
      <c r="CJ187" s="21" t="s">
        <v>114</v>
      </c>
      <c r="CK187" s="21" t="s">
        <v>114</v>
      </c>
      <c r="CL187" s="21" t="s">
        <v>114</v>
      </c>
      <c r="CM187" s="21" t="s">
        <v>114</v>
      </c>
      <c r="CN187" s="21" t="s">
        <v>114</v>
      </c>
      <c r="CO187" s="21" t="s">
        <v>114</v>
      </c>
      <c r="CP187" s="21" t="s">
        <v>114</v>
      </c>
      <c r="CQ187" s="21" t="s">
        <v>114</v>
      </c>
      <c r="CR187" s="21" t="s">
        <v>114</v>
      </c>
      <c r="CS187" s="21" t="s">
        <v>114</v>
      </c>
      <c r="CT187" s="21" t="s">
        <v>114</v>
      </c>
      <c r="CU187" s="21">
        <v>98423</v>
      </c>
      <c r="CV187" s="21" t="s">
        <v>114</v>
      </c>
      <c r="CW187" s="21" t="s">
        <v>114</v>
      </c>
      <c r="CX187" s="21" t="s">
        <v>114</v>
      </c>
      <c r="CY187" s="21" t="s">
        <v>114</v>
      </c>
      <c r="CZ187" s="21" t="s">
        <v>114</v>
      </c>
      <c r="DA187" s="21" t="s">
        <v>114</v>
      </c>
      <c r="DB187" s="21" t="s">
        <v>114</v>
      </c>
      <c r="DC187" s="21" t="s">
        <v>114</v>
      </c>
      <c r="DD187" s="21" t="s">
        <v>114</v>
      </c>
      <c r="DE187" s="21" t="s">
        <v>114</v>
      </c>
      <c r="DF187" s="19" t="s">
        <v>114</v>
      </c>
      <c r="DG187" s="19" t="s">
        <v>114</v>
      </c>
      <c r="DH187" s="19" t="s">
        <v>114</v>
      </c>
      <c r="DI187" s="19" t="s">
        <v>114</v>
      </c>
      <c r="DJ187" s="19" t="s">
        <v>114</v>
      </c>
      <c r="DK187" s="19" t="s">
        <v>114</v>
      </c>
      <c r="DL187" s="19" t="s">
        <v>114</v>
      </c>
      <c r="DM187" s="19" t="s">
        <v>114</v>
      </c>
      <c r="DN187" s="19" t="s">
        <v>114</v>
      </c>
      <c r="DO187" s="19" t="s">
        <v>114</v>
      </c>
    </row>
    <row r="188" spans="1:119" hidden="1" x14ac:dyDescent="0.45">
      <c r="A188" s="2" t="s">
        <v>720</v>
      </c>
      <c r="B188" t="s">
        <v>721</v>
      </c>
      <c r="C188" s="2">
        <v>356</v>
      </c>
      <c r="D188" s="6">
        <v>210</v>
      </c>
      <c r="E188" s="2" t="s">
        <v>722</v>
      </c>
      <c r="F188" t="s">
        <v>722</v>
      </c>
      <c r="G188" t="s">
        <v>2080</v>
      </c>
      <c r="H188" s="2" t="s">
        <v>723</v>
      </c>
      <c r="I188" s="2" t="s">
        <v>722</v>
      </c>
      <c r="J188" s="2">
        <v>142</v>
      </c>
      <c r="K188" t="s">
        <v>100</v>
      </c>
      <c r="L188" s="2">
        <v>34</v>
      </c>
      <c r="M188" t="s">
        <v>101</v>
      </c>
      <c r="P188" s="2" t="s">
        <v>100</v>
      </c>
      <c r="Q188" s="2" t="s">
        <v>102</v>
      </c>
      <c r="R188" s="4">
        <v>62</v>
      </c>
      <c r="S188" s="4" t="s">
        <v>388</v>
      </c>
      <c r="T188" s="4">
        <v>34</v>
      </c>
      <c r="U188" s="4" t="s">
        <v>101</v>
      </c>
      <c r="V188" t="s">
        <v>1968</v>
      </c>
      <c r="W188" t="s">
        <v>1968</v>
      </c>
      <c r="X188" t="s">
        <v>2444</v>
      </c>
      <c r="Y188" t="s">
        <v>101</v>
      </c>
      <c r="Z188" t="s">
        <v>722</v>
      </c>
      <c r="AA188" s="3" t="s">
        <v>722</v>
      </c>
      <c r="AB188" s="3" t="s">
        <v>721</v>
      </c>
      <c r="AC188" s="2" t="s">
        <v>168</v>
      </c>
      <c r="AD188" s="4" t="s">
        <v>1891</v>
      </c>
      <c r="AE188" t="s">
        <v>104</v>
      </c>
      <c r="AF188" t="s">
        <v>1885</v>
      </c>
      <c r="AG188" t="s">
        <v>1884</v>
      </c>
      <c r="AH188" t="s">
        <v>105</v>
      </c>
      <c r="AI188" s="3" t="s">
        <v>105</v>
      </c>
      <c r="AJ188" s="3" t="s">
        <v>106</v>
      </c>
      <c r="AK188" s="3" t="s">
        <v>107</v>
      </c>
      <c r="AL188" s="5" t="s">
        <v>288</v>
      </c>
      <c r="AM188" s="5" t="s">
        <v>109</v>
      </c>
      <c r="AO188" s="3" t="s">
        <v>119</v>
      </c>
      <c r="AP188" s="3" t="s">
        <v>120</v>
      </c>
      <c r="AQ188" s="3" t="s">
        <v>111</v>
      </c>
      <c r="AR188" s="3" t="s">
        <v>112</v>
      </c>
      <c r="AS188" s="3" t="s">
        <v>112</v>
      </c>
      <c r="AT188" s="3" t="s">
        <v>113</v>
      </c>
      <c r="AU188" s="3" t="s">
        <v>2303</v>
      </c>
      <c r="AV188" s="3" t="s">
        <v>2302</v>
      </c>
      <c r="AW188" s="3" t="s">
        <v>2300</v>
      </c>
      <c r="AX188" s="3" t="s">
        <v>2006</v>
      </c>
      <c r="AY188" s="19" t="s">
        <v>114</v>
      </c>
      <c r="AZ188" s="19" t="s">
        <v>114</v>
      </c>
      <c r="BA188" s="19" t="s">
        <v>114</v>
      </c>
      <c r="BB188" s="19" t="s">
        <v>114</v>
      </c>
      <c r="BC188" s="19" t="s">
        <v>114</v>
      </c>
      <c r="BD188" s="19" t="s">
        <v>114</v>
      </c>
      <c r="BE188" s="19" t="s">
        <v>114</v>
      </c>
      <c r="BF188" s="19" t="s">
        <v>114</v>
      </c>
      <c r="BG188" s="19" t="s">
        <v>114</v>
      </c>
      <c r="BH188" s="19" t="s">
        <v>114</v>
      </c>
      <c r="BI188" s="19" t="s">
        <v>114</v>
      </c>
      <c r="BJ188" s="19" t="s">
        <v>114</v>
      </c>
      <c r="BK188" s="19" t="s">
        <v>114</v>
      </c>
      <c r="BL188" s="19" t="s">
        <v>114</v>
      </c>
      <c r="BM188" s="19" t="s">
        <v>114</v>
      </c>
      <c r="BN188" s="19" t="s">
        <v>114</v>
      </c>
      <c r="BO188" s="19" t="s">
        <v>114</v>
      </c>
      <c r="BP188" s="19" t="s">
        <v>114</v>
      </c>
      <c r="BQ188" s="19" t="s">
        <v>114</v>
      </c>
      <c r="BR188" s="19" t="s">
        <v>114</v>
      </c>
      <c r="BS188" s="19" t="s">
        <v>114</v>
      </c>
      <c r="BT188" s="19" t="s">
        <v>114</v>
      </c>
      <c r="BU188" s="19" t="s">
        <v>114</v>
      </c>
      <c r="BV188" s="19" t="s">
        <v>114</v>
      </c>
      <c r="BW188" s="19" t="s">
        <v>114</v>
      </c>
      <c r="BX188" s="19" t="s">
        <v>114</v>
      </c>
      <c r="BY188" s="19" t="s">
        <v>114</v>
      </c>
      <c r="BZ188" s="21" t="s">
        <v>114</v>
      </c>
      <c r="CA188" s="21" t="s">
        <v>114</v>
      </c>
      <c r="CB188" s="21" t="s">
        <v>114</v>
      </c>
      <c r="CC188" s="21" t="s">
        <v>114</v>
      </c>
      <c r="CD188" s="21" t="s">
        <v>114</v>
      </c>
      <c r="CE188" s="21" t="s">
        <v>114</v>
      </c>
      <c r="CF188" s="19" t="s">
        <v>114</v>
      </c>
      <c r="CG188" s="19" t="s">
        <v>114</v>
      </c>
      <c r="CH188" s="19" t="s">
        <v>114</v>
      </c>
      <c r="CI188" s="21" t="s">
        <v>114</v>
      </c>
      <c r="CJ188" s="21">
        <v>98400</v>
      </c>
      <c r="CK188" s="21" t="s">
        <v>114</v>
      </c>
      <c r="CL188" s="21" t="s">
        <v>114</v>
      </c>
      <c r="CM188" s="21" t="s">
        <v>114</v>
      </c>
      <c r="CN188" s="21" t="s">
        <v>114</v>
      </c>
      <c r="CO188" s="21" t="s">
        <v>114</v>
      </c>
      <c r="CP188" s="21" t="s">
        <v>114</v>
      </c>
      <c r="CQ188" s="21" t="s">
        <v>114</v>
      </c>
      <c r="CR188" s="21" t="s">
        <v>114</v>
      </c>
      <c r="CS188" s="21" t="s">
        <v>114</v>
      </c>
      <c r="CT188" s="21">
        <v>98420</v>
      </c>
      <c r="CU188" s="21" t="s">
        <v>114</v>
      </c>
      <c r="CV188" s="21" t="s">
        <v>114</v>
      </c>
      <c r="CW188" s="21" t="s">
        <v>114</v>
      </c>
      <c r="CX188" s="21" t="s">
        <v>114</v>
      </c>
      <c r="CY188" s="21" t="s">
        <v>114</v>
      </c>
      <c r="CZ188" s="21">
        <v>98428</v>
      </c>
      <c r="DA188" s="21" t="s">
        <v>114</v>
      </c>
      <c r="DB188" s="21" t="s">
        <v>114</v>
      </c>
      <c r="DC188" s="21" t="s">
        <v>114</v>
      </c>
      <c r="DD188" s="21" t="s">
        <v>114</v>
      </c>
      <c r="DE188" s="21">
        <v>98438</v>
      </c>
      <c r="DF188" s="19" t="s">
        <v>114</v>
      </c>
      <c r="DG188" s="19" t="s">
        <v>114</v>
      </c>
      <c r="DH188" s="19" t="s">
        <v>114</v>
      </c>
      <c r="DI188" s="19" t="s">
        <v>114</v>
      </c>
      <c r="DJ188" s="19" t="s">
        <v>114</v>
      </c>
      <c r="DK188" s="19" t="s">
        <v>114</v>
      </c>
      <c r="DL188" s="19" t="s">
        <v>114</v>
      </c>
      <c r="DM188" s="19" t="s">
        <v>114</v>
      </c>
      <c r="DN188" s="19" t="s">
        <v>114</v>
      </c>
      <c r="DO188" s="19" t="s">
        <v>114</v>
      </c>
    </row>
    <row r="189" spans="1:119" hidden="1" x14ac:dyDescent="0.45">
      <c r="A189" s="2"/>
      <c r="B189" s="2" t="s">
        <v>2402</v>
      </c>
      <c r="C189" s="2">
        <v>99915</v>
      </c>
      <c r="D189" s="6"/>
      <c r="E189" s="2"/>
      <c r="F189" t="s">
        <v>2398</v>
      </c>
      <c r="H189" s="2"/>
      <c r="J189" s="2"/>
      <c r="L189" s="2"/>
      <c r="O189" s="2"/>
      <c r="P189" s="2"/>
      <c r="Q189" s="2"/>
      <c r="R189" s="2"/>
      <c r="S189" s="2"/>
      <c r="T189" s="4"/>
      <c r="U189" s="4"/>
      <c r="V189" t="e">
        <v>#N/A</v>
      </c>
      <c r="W189" t="e">
        <v>#N/A</v>
      </c>
      <c r="X189" t="e">
        <v>#N/A</v>
      </c>
      <c r="AA189" t="s">
        <v>2510</v>
      </c>
      <c r="AB189" t="s">
        <v>2875</v>
      </c>
      <c r="AC189" s="2" t="s">
        <v>1888</v>
      </c>
      <c r="AD189" s="4" t="s">
        <v>1888</v>
      </c>
      <c r="AE189" t="s">
        <v>158</v>
      </c>
      <c r="AF189" t="s">
        <v>1886</v>
      </c>
      <c r="AG189" t="s">
        <v>158</v>
      </c>
      <c r="AH189" t="s">
        <v>105</v>
      </c>
      <c r="AI189" s="3" t="s">
        <v>178</v>
      </c>
      <c r="AJ189" t="s">
        <v>106</v>
      </c>
      <c r="AK189" s="3" t="s">
        <v>1021</v>
      </c>
      <c r="AL189" s="5"/>
      <c r="AO189" s="3" t="s">
        <v>119</v>
      </c>
      <c r="AP189" s="3" t="s">
        <v>120</v>
      </c>
      <c r="AQ189" s="3" t="s">
        <v>111</v>
      </c>
      <c r="AR189" s="3" t="s">
        <v>112</v>
      </c>
      <c r="AS189" s="3" t="s">
        <v>112</v>
      </c>
      <c r="AT189" s="3" t="s">
        <v>113</v>
      </c>
      <c r="AU189" s="3" t="s">
        <v>2303</v>
      </c>
      <c r="AV189" s="3" t="s">
        <v>2302</v>
      </c>
      <c r="AW189" s="3" t="s">
        <v>2301</v>
      </c>
      <c r="AX189" t="s">
        <v>282</v>
      </c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21"/>
      <c r="CA189" s="21"/>
      <c r="CB189" s="21"/>
      <c r="CC189" s="21"/>
      <c r="CD189" s="21"/>
      <c r="CE189" s="21"/>
      <c r="CF189" s="19"/>
      <c r="CG189" s="19"/>
      <c r="CH189" s="19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</row>
    <row r="190" spans="1:119" hidden="1" x14ac:dyDescent="0.45">
      <c r="A190" s="2"/>
      <c r="B190" s="2" t="s">
        <v>2403</v>
      </c>
      <c r="C190" s="2">
        <v>99916</v>
      </c>
      <c r="D190" s="6"/>
      <c r="E190" s="2"/>
      <c r="F190" t="s">
        <v>2399</v>
      </c>
      <c r="H190" s="2"/>
      <c r="J190" s="2"/>
      <c r="L190" s="2"/>
      <c r="O190" s="2"/>
      <c r="P190" s="2"/>
      <c r="Q190" s="2"/>
      <c r="R190" s="2"/>
      <c r="S190" s="2"/>
      <c r="T190" s="4"/>
      <c r="U190" s="4"/>
      <c r="V190" t="e">
        <v>#N/A</v>
      </c>
      <c r="W190" t="e">
        <v>#N/A</v>
      </c>
      <c r="X190" t="e">
        <v>#N/A</v>
      </c>
      <c r="AA190" t="s">
        <v>2510</v>
      </c>
      <c r="AB190" t="s">
        <v>2875</v>
      </c>
      <c r="AC190" s="2" t="s">
        <v>1888</v>
      </c>
      <c r="AD190" s="4" t="s">
        <v>1888</v>
      </c>
      <c r="AE190" t="s">
        <v>158</v>
      </c>
      <c r="AF190" t="s">
        <v>1886</v>
      </c>
      <c r="AG190" t="s">
        <v>158</v>
      </c>
      <c r="AH190" t="s">
        <v>105</v>
      </c>
      <c r="AI190" s="3" t="s">
        <v>178</v>
      </c>
      <c r="AJ190" t="s">
        <v>106</v>
      </c>
      <c r="AK190" s="3" t="s">
        <v>1021</v>
      </c>
      <c r="AL190" s="5"/>
      <c r="AO190" s="3" t="s">
        <v>119</v>
      </c>
      <c r="AP190" s="3" t="s">
        <v>120</v>
      </c>
      <c r="AQ190" s="3" t="s">
        <v>111</v>
      </c>
      <c r="AR190" s="3" t="s">
        <v>112</v>
      </c>
      <c r="AS190" s="3" t="s">
        <v>112</v>
      </c>
      <c r="AT190" s="3" t="s">
        <v>113</v>
      </c>
      <c r="AU190" s="3" t="s">
        <v>2303</v>
      </c>
      <c r="AV190" s="3" t="s">
        <v>2302</v>
      </c>
      <c r="AW190" s="3" t="s">
        <v>2301</v>
      </c>
      <c r="AX190" t="s">
        <v>282</v>
      </c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21"/>
      <c r="CA190" s="21"/>
      <c r="CB190" s="21"/>
      <c r="CC190" s="21"/>
      <c r="CD190" s="21"/>
      <c r="CE190" s="21"/>
      <c r="CF190" s="19"/>
      <c r="CG190" s="19"/>
      <c r="CH190" s="19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</row>
    <row r="191" spans="1:119" hidden="1" x14ac:dyDescent="0.45">
      <c r="A191" s="4"/>
      <c r="B191" s="3" t="s">
        <v>2497</v>
      </c>
      <c r="C191" s="4">
        <v>99950</v>
      </c>
      <c r="D191" s="7"/>
      <c r="E191" s="4"/>
      <c r="F191" s="4" t="s">
        <v>2496</v>
      </c>
      <c r="H191" s="2"/>
      <c r="J191" s="2"/>
      <c r="L191" s="2"/>
      <c r="O191" s="4"/>
      <c r="P191" s="4"/>
      <c r="Q191" s="4"/>
      <c r="R191" s="4"/>
      <c r="S191" s="4"/>
      <c r="T191" s="4"/>
      <c r="U191" s="4"/>
      <c r="V191" s="2"/>
      <c r="W191" s="2"/>
      <c r="X191" s="2"/>
      <c r="Y191" s="2"/>
      <c r="AA191" t="s">
        <v>2510</v>
      </c>
      <c r="AB191" t="s">
        <v>2875</v>
      </c>
      <c r="AC191" s="4"/>
      <c r="AD191" s="2"/>
      <c r="AJ191" s="3"/>
      <c r="AK191" t="s">
        <v>1021</v>
      </c>
      <c r="AL191" s="5"/>
      <c r="AP191" s="3"/>
      <c r="AQ191" s="3" t="e">
        <f>VLOOKUP(Countries[[#This Row],[ISO3]],#REF!,1,0)</f>
        <v>#REF!</v>
      </c>
      <c r="AS191" s="3"/>
      <c r="AU191" s="3"/>
      <c r="AV191" s="3"/>
      <c r="AW191" s="3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21"/>
      <c r="CA191" s="21"/>
      <c r="CB191" s="21"/>
      <c r="CC191" s="21"/>
      <c r="CD191" s="21"/>
      <c r="CE191" s="21"/>
      <c r="CF191" s="19"/>
      <c r="CG191" s="19"/>
      <c r="CH191" s="19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</row>
    <row r="192" spans="1:119" hidden="1" x14ac:dyDescent="0.45">
      <c r="A192" s="4"/>
      <c r="B192" s="3" t="s">
        <v>2499</v>
      </c>
      <c r="C192" s="4">
        <v>99940</v>
      </c>
      <c r="D192" s="7"/>
      <c r="E192" s="4"/>
      <c r="F192" s="4" t="s">
        <v>2498</v>
      </c>
      <c r="H192" s="2"/>
      <c r="J192" s="2"/>
      <c r="L192" s="2"/>
      <c r="O192" s="4"/>
      <c r="P192" s="4"/>
      <c r="Q192" s="4"/>
      <c r="R192" s="4"/>
      <c r="S192" s="4"/>
      <c r="T192" s="4"/>
      <c r="U192" s="4"/>
      <c r="V192" s="2"/>
      <c r="W192" s="2"/>
      <c r="X192" s="2"/>
      <c r="Y192" s="2"/>
      <c r="AA192" t="s">
        <v>2510</v>
      </c>
      <c r="AB192" t="s">
        <v>2875</v>
      </c>
      <c r="AC192" s="4"/>
      <c r="AD192" s="2"/>
      <c r="AJ192" s="3"/>
      <c r="AK192" t="s">
        <v>1021</v>
      </c>
      <c r="AL192" s="5"/>
      <c r="AP192" s="3"/>
      <c r="AQ192" s="3" t="e">
        <f>VLOOKUP(Countries[[#This Row],[ISO3]],#REF!,1,0)</f>
        <v>#REF!</v>
      </c>
      <c r="AS192" s="3"/>
      <c r="AU192" s="3"/>
      <c r="AV192" s="3"/>
      <c r="AW192" s="3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21"/>
      <c r="CA192" s="21"/>
      <c r="CB192" s="21"/>
      <c r="CC192" s="21"/>
      <c r="CD192" s="21"/>
      <c r="CE192" s="21"/>
      <c r="CF192" s="19"/>
      <c r="CG192" s="19"/>
      <c r="CH192" s="19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</row>
    <row r="193" spans="1:119" hidden="1" x14ac:dyDescent="0.45">
      <c r="A193" s="2"/>
      <c r="B193" s="2" t="s">
        <v>2404</v>
      </c>
      <c r="C193" s="2">
        <v>99917</v>
      </c>
      <c r="D193" s="6"/>
      <c r="E193" s="2"/>
      <c r="F193" t="s">
        <v>2400</v>
      </c>
      <c r="H193" s="2"/>
      <c r="J193" s="2"/>
      <c r="L193" s="2"/>
      <c r="O193" s="2"/>
      <c r="P193" s="2"/>
      <c r="Q193" s="2"/>
      <c r="R193" s="2"/>
      <c r="S193" s="2"/>
      <c r="T193" s="4"/>
      <c r="U193" s="4"/>
      <c r="V193" t="e">
        <v>#N/A</v>
      </c>
      <c r="W193" t="e">
        <v>#N/A</v>
      </c>
      <c r="X193" t="e">
        <v>#N/A</v>
      </c>
      <c r="AA193" t="s">
        <v>2510</v>
      </c>
      <c r="AB193" t="s">
        <v>2875</v>
      </c>
      <c r="AC193" s="2" t="s">
        <v>1888</v>
      </c>
      <c r="AD193" s="4" t="s">
        <v>1888</v>
      </c>
      <c r="AE193" t="s">
        <v>158</v>
      </c>
      <c r="AF193" t="s">
        <v>1886</v>
      </c>
      <c r="AG193" t="s">
        <v>158</v>
      </c>
      <c r="AH193" t="s">
        <v>105</v>
      </c>
      <c r="AI193" s="3" t="s">
        <v>178</v>
      </c>
      <c r="AJ193" t="s">
        <v>106</v>
      </c>
      <c r="AK193" s="3" t="s">
        <v>1021</v>
      </c>
      <c r="AL193" s="5"/>
      <c r="AO193" s="3" t="s">
        <v>119</v>
      </c>
      <c r="AP193" s="3" t="s">
        <v>120</v>
      </c>
      <c r="AQ193" s="3" t="s">
        <v>111</v>
      </c>
      <c r="AR193" s="3" t="s">
        <v>112</v>
      </c>
      <c r="AS193" s="3" t="s">
        <v>112</v>
      </c>
      <c r="AT193" s="3" t="s">
        <v>113</v>
      </c>
      <c r="AU193" s="3" t="s">
        <v>2303</v>
      </c>
      <c r="AV193" s="3" t="s">
        <v>2302</v>
      </c>
      <c r="AW193" s="3" t="s">
        <v>2301</v>
      </c>
      <c r="AX193" t="s">
        <v>282</v>
      </c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21"/>
      <c r="CA193" s="21"/>
      <c r="CB193" s="21"/>
      <c r="CC193" s="21"/>
      <c r="CD193" s="21"/>
      <c r="CE193" s="21"/>
      <c r="CF193" s="19"/>
      <c r="CG193" s="19"/>
      <c r="CH193" s="19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</row>
    <row r="194" spans="1:119" hidden="1" x14ac:dyDescent="0.45">
      <c r="A194" s="2" t="s">
        <v>764</v>
      </c>
      <c r="B194" t="s">
        <v>765</v>
      </c>
      <c r="C194" s="2">
        <v>392</v>
      </c>
      <c r="D194" s="6">
        <v>212</v>
      </c>
      <c r="E194" s="2" t="s">
        <v>766</v>
      </c>
      <c r="F194" t="s">
        <v>766</v>
      </c>
      <c r="G194" t="s">
        <v>766</v>
      </c>
      <c r="H194" s="2" t="s">
        <v>767</v>
      </c>
      <c r="I194" s="2" t="s">
        <v>768</v>
      </c>
      <c r="J194" s="2">
        <v>142</v>
      </c>
      <c r="K194" t="s">
        <v>100</v>
      </c>
      <c r="L194" s="2">
        <v>30</v>
      </c>
      <c r="M194" t="s">
        <v>407</v>
      </c>
      <c r="P194" s="2" t="s">
        <v>100</v>
      </c>
      <c r="Q194" s="2" t="s">
        <v>155</v>
      </c>
      <c r="R194" s="4">
        <v>753</v>
      </c>
      <c r="S194" s="4" t="s">
        <v>525</v>
      </c>
      <c r="T194" s="4">
        <v>30</v>
      </c>
      <c r="U194" s="4" t="s">
        <v>407</v>
      </c>
      <c r="V194" t="s">
        <v>2463</v>
      </c>
      <c r="W194" t="s">
        <v>2463</v>
      </c>
      <c r="X194" t="s">
        <v>2445</v>
      </c>
      <c r="Y194" t="s">
        <v>407</v>
      </c>
      <c r="Z194" t="s">
        <v>766</v>
      </c>
      <c r="AA194" s="3" t="s">
        <v>766</v>
      </c>
      <c r="AB194" s="3" t="s">
        <v>765</v>
      </c>
      <c r="AC194" s="2" t="s">
        <v>130</v>
      </c>
      <c r="AD194" s="4" t="s">
        <v>1891</v>
      </c>
      <c r="AE194" t="s">
        <v>131</v>
      </c>
      <c r="AF194" t="s">
        <v>1886</v>
      </c>
      <c r="AG194" t="s">
        <v>1887</v>
      </c>
      <c r="AH194" s="3" t="s">
        <v>18</v>
      </c>
      <c r="AI194" s="3" t="s">
        <v>216</v>
      </c>
      <c r="AJ194" t="s">
        <v>20</v>
      </c>
      <c r="AK194" s="3" t="s">
        <v>107</v>
      </c>
      <c r="AL194" s="5" t="s">
        <v>769</v>
      </c>
      <c r="AM194" s="5" t="s">
        <v>765</v>
      </c>
      <c r="AO194" s="3" t="s">
        <v>119</v>
      </c>
      <c r="AP194" s="3" t="s">
        <v>120</v>
      </c>
      <c r="AQ194" s="3" t="s">
        <v>111</v>
      </c>
      <c r="AR194" s="3" t="s">
        <v>112</v>
      </c>
      <c r="AS194" s="3" t="s">
        <v>112</v>
      </c>
      <c r="AT194" s="3" t="s">
        <v>113</v>
      </c>
      <c r="AU194" s="3" t="s">
        <v>2298</v>
      </c>
      <c r="AV194" s="3" t="s">
        <v>2299</v>
      </c>
      <c r="AW194" s="3" t="s">
        <v>2300</v>
      </c>
      <c r="AX194" s="3" t="s">
        <v>2006</v>
      </c>
      <c r="AY194" s="19" t="s">
        <v>114</v>
      </c>
      <c r="AZ194" s="19" t="s">
        <v>114</v>
      </c>
      <c r="BA194" s="19" t="s">
        <v>114</v>
      </c>
      <c r="BB194" s="19" t="s">
        <v>114</v>
      </c>
      <c r="BC194" s="19" t="s">
        <v>114</v>
      </c>
      <c r="BD194" s="19" t="s">
        <v>114</v>
      </c>
      <c r="BE194" s="19" t="s">
        <v>114</v>
      </c>
      <c r="BF194" s="19" t="s">
        <v>114</v>
      </c>
      <c r="BG194" s="19" t="s">
        <v>114</v>
      </c>
      <c r="BH194" s="19" t="s">
        <v>114</v>
      </c>
      <c r="BI194" s="19" t="s">
        <v>114</v>
      </c>
      <c r="BJ194" s="19" t="s">
        <v>114</v>
      </c>
      <c r="BK194" s="19" t="s">
        <v>114</v>
      </c>
      <c r="BL194" s="19" t="s">
        <v>114</v>
      </c>
      <c r="BM194" s="19" t="s">
        <v>114</v>
      </c>
      <c r="BN194" s="19" t="s">
        <v>114</v>
      </c>
      <c r="BO194" s="19" t="s">
        <v>114</v>
      </c>
      <c r="BP194" s="19" t="s">
        <v>114</v>
      </c>
      <c r="BQ194" s="19" t="s">
        <v>114</v>
      </c>
      <c r="BR194" s="19" t="s">
        <v>114</v>
      </c>
      <c r="BS194" s="19" t="s">
        <v>114</v>
      </c>
      <c r="BT194" s="19" t="s">
        <v>114</v>
      </c>
      <c r="BU194" s="19" t="s">
        <v>114</v>
      </c>
      <c r="BV194" s="19" t="s">
        <v>114</v>
      </c>
      <c r="BW194" s="19" t="s">
        <v>114</v>
      </c>
      <c r="BX194" s="19" t="s">
        <v>114</v>
      </c>
      <c r="BY194" s="19" t="s">
        <v>114</v>
      </c>
      <c r="BZ194" s="21" t="s">
        <v>114</v>
      </c>
      <c r="CA194" s="21" t="s">
        <v>114</v>
      </c>
      <c r="CB194" s="21" t="s">
        <v>114</v>
      </c>
      <c r="CC194" s="21" t="s">
        <v>114</v>
      </c>
      <c r="CD194" s="21" t="s">
        <v>114</v>
      </c>
      <c r="CE194" s="21" t="s">
        <v>114</v>
      </c>
      <c r="CF194" s="19" t="s">
        <v>114</v>
      </c>
      <c r="CG194" s="19" t="s">
        <v>114</v>
      </c>
      <c r="CH194" s="19" t="s">
        <v>114</v>
      </c>
      <c r="CI194" s="21" t="s">
        <v>114</v>
      </c>
      <c r="CJ194" s="21">
        <v>98400</v>
      </c>
      <c r="CK194" s="21" t="s">
        <v>114</v>
      </c>
      <c r="CL194" s="21" t="s">
        <v>114</v>
      </c>
      <c r="CM194" s="21" t="s">
        <v>114</v>
      </c>
      <c r="CN194" s="21">
        <v>98408</v>
      </c>
      <c r="CO194" s="21" t="s">
        <v>114</v>
      </c>
      <c r="CP194" s="21" t="s">
        <v>114</v>
      </c>
      <c r="CQ194" s="21" t="s">
        <v>114</v>
      </c>
      <c r="CR194" s="21" t="s">
        <v>114</v>
      </c>
      <c r="CS194" s="21" t="s">
        <v>114</v>
      </c>
      <c r="CT194" s="21" t="s">
        <v>114</v>
      </c>
      <c r="CU194" s="21" t="s">
        <v>114</v>
      </c>
      <c r="CV194" s="21" t="s">
        <v>114</v>
      </c>
      <c r="CW194" s="21" t="s">
        <v>114</v>
      </c>
      <c r="CX194" s="21" t="s">
        <v>114</v>
      </c>
      <c r="CY194" s="21" t="s">
        <v>114</v>
      </c>
      <c r="CZ194" s="21" t="s">
        <v>114</v>
      </c>
      <c r="DA194" s="21" t="s">
        <v>114</v>
      </c>
      <c r="DB194" s="21" t="s">
        <v>114</v>
      </c>
      <c r="DC194" s="21">
        <v>98436</v>
      </c>
      <c r="DD194" s="21" t="s">
        <v>114</v>
      </c>
      <c r="DE194" s="21" t="s">
        <v>114</v>
      </c>
      <c r="DF194" s="19" t="s">
        <v>114</v>
      </c>
      <c r="DG194" s="19" t="s">
        <v>114</v>
      </c>
      <c r="DH194" s="19" t="s">
        <v>114</v>
      </c>
      <c r="DI194" s="19" t="s">
        <v>114</v>
      </c>
      <c r="DJ194" s="19" t="s">
        <v>114</v>
      </c>
      <c r="DK194" s="19" t="s">
        <v>114</v>
      </c>
      <c r="DL194" s="19" t="s">
        <v>114</v>
      </c>
      <c r="DM194" s="19" t="s">
        <v>114</v>
      </c>
      <c r="DN194" s="19" t="s">
        <v>114</v>
      </c>
      <c r="DO194" s="19" t="s">
        <v>114</v>
      </c>
    </row>
    <row r="195" spans="1:119" hidden="1" x14ac:dyDescent="0.45">
      <c r="A195" s="2" t="s">
        <v>749</v>
      </c>
      <c r="B195" t="s">
        <v>750</v>
      </c>
      <c r="C195" s="2">
        <v>376</v>
      </c>
      <c r="D195" s="6">
        <v>604</v>
      </c>
      <c r="E195" s="2" t="s">
        <v>751</v>
      </c>
      <c r="F195" t="s">
        <v>751</v>
      </c>
      <c r="G195" t="s">
        <v>2084</v>
      </c>
      <c r="H195" s="2" t="s">
        <v>752</v>
      </c>
      <c r="I195" s="2" t="s">
        <v>751</v>
      </c>
      <c r="J195" s="2">
        <v>142</v>
      </c>
      <c r="K195" t="s">
        <v>100</v>
      </c>
      <c r="L195" s="2">
        <v>145</v>
      </c>
      <c r="M195" t="s">
        <v>202</v>
      </c>
      <c r="P195" s="2" t="s">
        <v>240</v>
      </c>
      <c r="Q195" s="2" t="s">
        <v>146</v>
      </c>
      <c r="R195" s="4">
        <v>747</v>
      </c>
      <c r="S195" s="2" t="s">
        <v>1446</v>
      </c>
      <c r="T195" s="2">
        <v>145</v>
      </c>
      <c r="U195" t="s">
        <v>202</v>
      </c>
      <c r="V195" t="s">
        <v>2452</v>
      </c>
      <c r="W195" t="s">
        <v>2198</v>
      </c>
      <c r="X195" t="s">
        <v>2439</v>
      </c>
      <c r="Y195" t="s">
        <v>202</v>
      </c>
      <c r="Z195" t="s">
        <v>1939</v>
      </c>
      <c r="AA195" s="3" t="s">
        <v>2757</v>
      </c>
      <c r="AB195" s="3" t="s">
        <v>2876</v>
      </c>
      <c r="AC195" s="2" t="s">
        <v>130</v>
      </c>
      <c r="AD195" s="4" t="s">
        <v>1891</v>
      </c>
      <c r="AE195" t="s">
        <v>131</v>
      </c>
      <c r="AF195" t="s">
        <v>1886</v>
      </c>
      <c r="AG195" t="s">
        <v>1887</v>
      </c>
      <c r="AH195" s="3" t="s">
        <v>18</v>
      </c>
      <c r="AI195" s="3" t="s">
        <v>224</v>
      </c>
      <c r="AJ195" s="3" t="s">
        <v>106</v>
      </c>
      <c r="AK195" s="3" t="s">
        <v>107</v>
      </c>
      <c r="AL195" s="5" t="s">
        <v>753</v>
      </c>
      <c r="AM195" s="5" t="s">
        <v>109</v>
      </c>
      <c r="AN195" t="s">
        <v>110</v>
      </c>
      <c r="AO195" s="3" t="s">
        <v>119</v>
      </c>
      <c r="AP195" s="3" t="s">
        <v>120</v>
      </c>
      <c r="AQ195" s="3" t="s">
        <v>111</v>
      </c>
      <c r="AR195" s="3" t="s">
        <v>112</v>
      </c>
      <c r="AS195" s="3" t="s">
        <v>112</v>
      </c>
      <c r="AT195" s="3" t="s">
        <v>113</v>
      </c>
      <c r="AU195" s="3" t="s">
        <v>2303</v>
      </c>
      <c r="AV195" s="3" t="s">
        <v>2302</v>
      </c>
      <c r="AW195" s="3" t="s">
        <v>2301</v>
      </c>
      <c r="AX195" s="3" t="s">
        <v>2006</v>
      </c>
      <c r="AY195" s="19" t="s">
        <v>114</v>
      </c>
      <c r="AZ195" s="19" t="s">
        <v>114</v>
      </c>
      <c r="BA195" s="19" t="s">
        <v>114</v>
      </c>
      <c r="BB195" s="19" t="s">
        <v>114</v>
      </c>
      <c r="BC195" s="19" t="s">
        <v>114</v>
      </c>
      <c r="BD195" s="19" t="s">
        <v>114</v>
      </c>
      <c r="BE195" s="19" t="s">
        <v>114</v>
      </c>
      <c r="BF195" s="19" t="s">
        <v>114</v>
      </c>
      <c r="BG195" s="19" t="s">
        <v>114</v>
      </c>
      <c r="BH195" s="19" t="s">
        <v>114</v>
      </c>
      <c r="BI195" s="19" t="s">
        <v>114</v>
      </c>
      <c r="BJ195" s="19" t="s">
        <v>114</v>
      </c>
      <c r="BK195" s="19" t="s">
        <v>114</v>
      </c>
      <c r="BL195" s="19" t="s">
        <v>114</v>
      </c>
      <c r="BM195" s="19" t="s">
        <v>114</v>
      </c>
      <c r="BN195" s="19" t="s">
        <v>114</v>
      </c>
      <c r="BO195" s="19" t="s">
        <v>114</v>
      </c>
      <c r="BP195" s="19" t="s">
        <v>114</v>
      </c>
      <c r="BQ195" s="19" t="s">
        <v>114</v>
      </c>
      <c r="BR195" s="19" t="s">
        <v>114</v>
      </c>
      <c r="BS195" s="19" t="s">
        <v>114</v>
      </c>
      <c r="BT195" s="19" t="s">
        <v>114</v>
      </c>
      <c r="BU195" s="19" t="s">
        <v>114</v>
      </c>
      <c r="BV195" s="19" t="s">
        <v>114</v>
      </c>
      <c r="BW195" s="19" t="s">
        <v>114</v>
      </c>
      <c r="BX195" s="19" t="s">
        <v>114</v>
      </c>
      <c r="BY195" s="19" t="s">
        <v>114</v>
      </c>
      <c r="BZ195" s="21">
        <v>98200</v>
      </c>
      <c r="CA195" s="21" t="s">
        <v>114</v>
      </c>
      <c r="CB195" s="21" t="s">
        <v>114</v>
      </c>
      <c r="CC195" s="21" t="s">
        <v>114</v>
      </c>
      <c r="CD195" s="21" t="s">
        <v>114</v>
      </c>
      <c r="CE195" s="21" t="s">
        <v>114</v>
      </c>
      <c r="CF195" s="19" t="s">
        <v>114</v>
      </c>
      <c r="CG195" s="19" t="s">
        <v>114</v>
      </c>
      <c r="CH195" s="19" t="s">
        <v>114</v>
      </c>
      <c r="CI195" s="21" t="s">
        <v>114</v>
      </c>
      <c r="CJ195" s="21" t="s">
        <v>114</v>
      </c>
      <c r="CK195" s="21" t="s">
        <v>114</v>
      </c>
      <c r="CL195" s="21" t="s">
        <v>114</v>
      </c>
      <c r="CM195" s="21" t="s">
        <v>114</v>
      </c>
      <c r="CN195" s="21" t="s">
        <v>114</v>
      </c>
      <c r="CO195" s="21" t="s">
        <v>114</v>
      </c>
      <c r="CP195" s="21" t="s">
        <v>114</v>
      </c>
      <c r="CQ195" s="21" t="s">
        <v>114</v>
      </c>
      <c r="CR195" s="21" t="s">
        <v>114</v>
      </c>
      <c r="CS195" s="21" t="s">
        <v>114</v>
      </c>
      <c r="CT195" s="21" t="s">
        <v>114</v>
      </c>
      <c r="CU195" s="21" t="s">
        <v>114</v>
      </c>
      <c r="CV195" s="21" t="s">
        <v>114</v>
      </c>
      <c r="CW195" s="21" t="s">
        <v>114</v>
      </c>
      <c r="CX195" s="21">
        <v>98426</v>
      </c>
      <c r="CY195" s="21" t="s">
        <v>114</v>
      </c>
      <c r="CZ195" s="21" t="s">
        <v>114</v>
      </c>
      <c r="DA195" s="21" t="s">
        <v>114</v>
      </c>
      <c r="DB195" s="21" t="s">
        <v>114</v>
      </c>
      <c r="DC195" s="21" t="s">
        <v>114</v>
      </c>
      <c r="DD195" s="21" t="s">
        <v>114</v>
      </c>
      <c r="DE195" s="21" t="s">
        <v>114</v>
      </c>
      <c r="DF195" s="19" t="s">
        <v>114</v>
      </c>
      <c r="DG195" s="19" t="s">
        <v>114</v>
      </c>
      <c r="DH195" s="19" t="s">
        <v>114</v>
      </c>
      <c r="DI195" s="19" t="s">
        <v>114</v>
      </c>
      <c r="DJ195" s="19" t="s">
        <v>114</v>
      </c>
      <c r="DK195" s="19" t="s">
        <v>114</v>
      </c>
      <c r="DL195" s="19" t="s">
        <v>114</v>
      </c>
      <c r="DM195" s="19" t="s">
        <v>114</v>
      </c>
      <c r="DN195" s="19" t="s">
        <v>114</v>
      </c>
      <c r="DO195" s="19" t="s">
        <v>114</v>
      </c>
    </row>
    <row r="196" spans="1:119" hidden="1" x14ac:dyDescent="0.45">
      <c r="A196" s="2" t="s">
        <v>773</v>
      </c>
      <c r="B196" t="s">
        <v>774</v>
      </c>
      <c r="C196" s="2">
        <v>400</v>
      </c>
      <c r="D196" s="6">
        <v>605</v>
      </c>
      <c r="E196" s="2" t="s">
        <v>775</v>
      </c>
      <c r="F196" t="s">
        <v>775</v>
      </c>
      <c r="G196" t="s">
        <v>2086</v>
      </c>
      <c r="H196" s="2" t="s">
        <v>776</v>
      </c>
      <c r="I196" s="2" t="s">
        <v>777</v>
      </c>
      <c r="J196" s="2">
        <v>142</v>
      </c>
      <c r="K196" t="s">
        <v>100</v>
      </c>
      <c r="L196" s="2">
        <v>145</v>
      </c>
      <c r="M196" t="s">
        <v>202</v>
      </c>
      <c r="P196" s="2" t="s">
        <v>240</v>
      </c>
      <c r="Q196" s="2" t="s">
        <v>146</v>
      </c>
      <c r="R196" s="4">
        <v>747</v>
      </c>
      <c r="S196" s="2" t="s">
        <v>1446</v>
      </c>
      <c r="T196" s="2">
        <v>145</v>
      </c>
      <c r="U196" t="s">
        <v>202</v>
      </c>
      <c r="V196" t="s">
        <v>2452</v>
      </c>
      <c r="W196" t="s">
        <v>2198</v>
      </c>
      <c r="X196" t="s">
        <v>2439</v>
      </c>
      <c r="Y196" t="s">
        <v>202</v>
      </c>
      <c r="Z196" t="s">
        <v>1939</v>
      </c>
      <c r="AA196" s="3" t="s">
        <v>2757</v>
      </c>
      <c r="AB196" s="3" t="s">
        <v>2876</v>
      </c>
      <c r="AC196" s="2" t="s">
        <v>138</v>
      </c>
      <c r="AD196" s="4" t="s">
        <v>1891</v>
      </c>
      <c r="AE196" t="s">
        <v>104</v>
      </c>
      <c r="AF196" t="s">
        <v>1885</v>
      </c>
      <c r="AG196" t="s">
        <v>1884</v>
      </c>
      <c r="AH196" t="s">
        <v>105</v>
      </c>
      <c r="AI196" s="3" t="s">
        <v>105</v>
      </c>
      <c r="AJ196" s="3" t="s">
        <v>106</v>
      </c>
      <c r="AK196" s="3" t="s">
        <v>107</v>
      </c>
      <c r="AL196" s="5" t="s">
        <v>778</v>
      </c>
      <c r="AM196" s="5" t="s">
        <v>109</v>
      </c>
      <c r="AN196" t="s">
        <v>110</v>
      </c>
      <c r="AO196" s="3" t="s">
        <v>119</v>
      </c>
      <c r="AP196" s="3" t="s">
        <v>120</v>
      </c>
      <c r="AQ196" s="3" t="s">
        <v>111</v>
      </c>
      <c r="AR196" s="3" t="s">
        <v>112</v>
      </c>
      <c r="AS196" s="3" t="s">
        <v>112</v>
      </c>
      <c r="AT196" s="3" t="s">
        <v>113</v>
      </c>
      <c r="AU196" s="3" t="s">
        <v>2303</v>
      </c>
      <c r="AV196" s="3" t="s">
        <v>2302</v>
      </c>
      <c r="AW196" s="3" t="s">
        <v>2301</v>
      </c>
      <c r="AX196" s="3" t="s">
        <v>2006</v>
      </c>
      <c r="AY196" s="19" t="s">
        <v>114</v>
      </c>
      <c r="AZ196" s="19" t="s">
        <v>114</v>
      </c>
      <c r="BA196" s="19" t="s">
        <v>114</v>
      </c>
      <c r="BB196" s="19" t="s">
        <v>114</v>
      </c>
      <c r="BC196" s="19" t="s">
        <v>114</v>
      </c>
      <c r="BD196" s="19" t="s">
        <v>114</v>
      </c>
      <c r="BE196" s="19" t="s">
        <v>114</v>
      </c>
      <c r="BF196" s="19" t="s">
        <v>114</v>
      </c>
      <c r="BG196" s="19" t="s">
        <v>114</v>
      </c>
      <c r="BH196" s="19" t="s">
        <v>114</v>
      </c>
      <c r="BI196" s="19" t="s">
        <v>114</v>
      </c>
      <c r="BJ196" s="19" t="s">
        <v>114</v>
      </c>
      <c r="BK196" s="19" t="s">
        <v>114</v>
      </c>
      <c r="BL196" s="19" t="s">
        <v>114</v>
      </c>
      <c r="BM196" s="19" t="s">
        <v>114</v>
      </c>
      <c r="BN196" s="19" t="s">
        <v>114</v>
      </c>
      <c r="BO196" s="19" t="s">
        <v>114</v>
      </c>
      <c r="BP196" s="19" t="s">
        <v>114</v>
      </c>
      <c r="BQ196" s="19" t="s">
        <v>114</v>
      </c>
      <c r="BR196" s="19" t="s">
        <v>114</v>
      </c>
      <c r="BS196" s="19" t="s">
        <v>114</v>
      </c>
      <c r="BT196" s="19" t="s">
        <v>114</v>
      </c>
      <c r="BU196" s="19" t="s">
        <v>114</v>
      </c>
      <c r="BV196" s="19" t="s">
        <v>114</v>
      </c>
      <c r="BW196" s="19" t="s">
        <v>114</v>
      </c>
      <c r="BX196" s="19" t="s">
        <v>114</v>
      </c>
      <c r="BY196" s="19" t="s">
        <v>114</v>
      </c>
      <c r="BZ196" s="21" t="s">
        <v>114</v>
      </c>
      <c r="CA196" s="21" t="s">
        <v>114</v>
      </c>
      <c r="CB196" s="21" t="s">
        <v>114</v>
      </c>
      <c r="CC196" s="21" t="s">
        <v>114</v>
      </c>
      <c r="CD196" s="21" t="s">
        <v>114</v>
      </c>
      <c r="CE196" s="21" t="s">
        <v>114</v>
      </c>
      <c r="CF196" s="19" t="s">
        <v>114</v>
      </c>
      <c r="CG196" s="19" t="s">
        <v>114</v>
      </c>
      <c r="CH196" s="19" t="s">
        <v>114</v>
      </c>
      <c r="CI196" s="21" t="s">
        <v>114</v>
      </c>
      <c r="CJ196" s="21" t="s">
        <v>114</v>
      </c>
      <c r="CK196" s="21" t="s">
        <v>114</v>
      </c>
      <c r="CL196" s="21" t="s">
        <v>114</v>
      </c>
      <c r="CM196" s="21" t="s">
        <v>114</v>
      </c>
      <c r="CN196" s="21" t="s">
        <v>114</v>
      </c>
      <c r="CO196" s="21" t="s">
        <v>114</v>
      </c>
      <c r="CP196" s="21" t="s">
        <v>114</v>
      </c>
      <c r="CQ196" s="21" t="s">
        <v>114</v>
      </c>
      <c r="CR196" s="21" t="s">
        <v>114</v>
      </c>
      <c r="CS196" s="21" t="s">
        <v>114</v>
      </c>
      <c r="CT196" s="21" t="s">
        <v>114</v>
      </c>
      <c r="CU196" s="21" t="s">
        <v>114</v>
      </c>
      <c r="CV196" s="21" t="s">
        <v>114</v>
      </c>
      <c r="CW196" s="21" t="s">
        <v>114</v>
      </c>
      <c r="CX196" s="21">
        <v>98426</v>
      </c>
      <c r="CY196" s="21" t="s">
        <v>114</v>
      </c>
      <c r="CZ196" s="21" t="s">
        <v>114</v>
      </c>
      <c r="DA196" s="21" t="s">
        <v>114</v>
      </c>
      <c r="DB196" s="21" t="s">
        <v>114</v>
      </c>
      <c r="DC196" s="21" t="s">
        <v>114</v>
      </c>
      <c r="DD196" s="21" t="s">
        <v>114</v>
      </c>
      <c r="DE196" s="21" t="s">
        <v>114</v>
      </c>
      <c r="DF196" s="19" t="s">
        <v>114</v>
      </c>
      <c r="DG196" s="19">
        <v>98501</v>
      </c>
      <c r="DH196" s="19" t="s">
        <v>114</v>
      </c>
      <c r="DI196" s="19">
        <v>98503</v>
      </c>
      <c r="DJ196" s="19" t="s">
        <v>114</v>
      </c>
      <c r="DK196" s="19" t="s">
        <v>114</v>
      </c>
      <c r="DL196" s="19" t="s">
        <v>114</v>
      </c>
      <c r="DM196" s="19">
        <v>98507</v>
      </c>
      <c r="DN196" s="19">
        <v>98508</v>
      </c>
      <c r="DO196" s="19" t="s">
        <v>114</v>
      </c>
    </row>
    <row r="197" spans="1:119" hidden="1" x14ac:dyDescent="0.45">
      <c r="A197" s="2" t="s">
        <v>817</v>
      </c>
      <c r="B197" t="s">
        <v>818</v>
      </c>
      <c r="C197" s="2">
        <v>422</v>
      </c>
      <c r="D197" s="6">
        <v>607</v>
      </c>
      <c r="E197" s="2" t="s">
        <v>819</v>
      </c>
      <c r="F197" t="s">
        <v>819</v>
      </c>
      <c r="G197" t="s">
        <v>2094</v>
      </c>
      <c r="H197" s="2" t="s">
        <v>820</v>
      </c>
      <c r="I197" s="2" t="s">
        <v>821</v>
      </c>
      <c r="J197" s="2">
        <v>142</v>
      </c>
      <c r="K197" t="s">
        <v>100</v>
      </c>
      <c r="L197" s="2">
        <v>145</v>
      </c>
      <c r="M197" t="s">
        <v>202</v>
      </c>
      <c r="P197" s="2" t="s">
        <v>240</v>
      </c>
      <c r="Q197" s="2" t="s">
        <v>146</v>
      </c>
      <c r="R197" s="4">
        <v>747</v>
      </c>
      <c r="S197" s="2" t="s">
        <v>1446</v>
      </c>
      <c r="T197" s="2">
        <v>145</v>
      </c>
      <c r="U197" t="s">
        <v>202</v>
      </c>
      <c r="V197" t="s">
        <v>2452</v>
      </c>
      <c r="W197" t="s">
        <v>2198</v>
      </c>
      <c r="X197" t="s">
        <v>2439</v>
      </c>
      <c r="Y197" t="s">
        <v>202</v>
      </c>
      <c r="Z197" t="s">
        <v>1939</v>
      </c>
      <c r="AA197" s="3" t="s">
        <v>2757</v>
      </c>
      <c r="AB197" s="3" t="s">
        <v>2876</v>
      </c>
      <c r="AC197" s="2" t="s">
        <v>168</v>
      </c>
      <c r="AD197" s="4" t="s">
        <v>1891</v>
      </c>
      <c r="AE197" t="s">
        <v>104</v>
      </c>
      <c r="AF197" t="s">
        <v>1885</v>
      </c>
      <c r="AG197" t="s">
        <v>1884</v>
      </c>
      <c r="AH197" t="s">
        <v>105</v>
      </c>
      <c r="AI197" s="3" t="s">
        <v>105</v>
      </c>
      <c r="AJ197" s="3" t="s">
        <v>106</v>
      </c>
      <c r="AK197" s="3" t="s">
        <v>107</v>
      </c>
      <c r="AL197" s="5" t="s">
        <v>822</v>
      </c>
      <c r="AM197" s="5" t="s">
        <v>109</v>
      </c>
      <c r="AN197" t="s">
        <v>110</v>
      </c>
      <c r="AO197" s="3" t="s">
        <v>119</v>
      </c>
      <c r="AP197" s="3" t="s">
        <v>120</v>
      </c>
      <c r="AQ197" s="3" t="s">
        <v>111</v>
      </c>
      <c r="AR197" s="3" t="s">
        <v>112</v>
      </c>
      <c r="AS197" s="3" t="s">
        <v>112</v>
      </c>
      <c r="AT197" s="3" t="s">
        <v>113</v>
      </c>
      <c r="AU197" s="3" t="s">
        <v>2303</v>
      </c>
      <c r="AV197" s="3" t="s">
        <v>2302</v>
      </c>
      <c r="AW197" s="3" t="s">
        <v>2301</v>
      </c>
      <c r="AX197" s="3" t="s">
        <v>2006</v>
      </c>
      <c r="AY197" s="19" t="s">
        <v>114</v>
      </c>
      <c r="AZ197" s="19" t="s">
        <v>114</v>
      </c>
      <c r="BA197" s="19" t="s">
        <v>114</v>
      </c>
      <c r="BB197" s="19" t="s">
        <v>114</v>
      </c>
      <c r="BC197" s="19" t="s">
        <v>114</v>
      </c>
      <c r="BD197" s="19" t="s">
        <v>114</v>
      </c>
      <c r="BE197" s="19" t="s">
        <v>114</v>
      </c>
      <c r="BF197" s="19" t="s">
        <v>114</v>
      </c>
      <c r="BG197" s="19" t="s">
        <v>114</v>
      </c>
      <c r="BH197" s="19" t="s">
        <v>114</v>
      </c>
      <c r="BI197" s="19" t="s">
        <v>114</v>
      </c>
      <c r="BJ197" s="19" t="s">
        <v>114</v>
      </c>
      <c r="BK197" s="19" t="s">
        <v>114</v>
      </c>
      <c r="BL197" s="19" t="s">
        <v>114</v>
      </c>
      <c r="BM197" s="19" t="s">
        <v>114</v>
      </c>
      <c r="BN197" s="19" t="s">
        <v>114</v>
      </c>
      <c r="BO197" s="19" t="s">
        <v>114</v>
      </c>
      <c r="BP197" s="19" t="s">
        <v>114</v>
      </c>
      <c r="BQ197" s="19" t="s">
        <v>114</v>
      </c>
      <c r="BR197" s="19" t="s">
        <v>114</v>
      </c>
      <c r="BS197" s="19" t="s">
        <v>114</v>
      </c>
      <c r="BT197" s="19" t="s">
        <v>114</v>
      </c>
      <c r="BU197" s="19" t="s">
        <v>114</v>
      </c>
      <c r="BV197" s="19" t="s">
        <v>114</v>
      </c>
      <c r="BW197" s="19" t="s">
        <v>114</v>
      </c>
      <c r="BX197" s="19" t="s">
        <v>114</v>
      </c>
      <c r="BY197" s="19" t="s">
        <v>114</v>
      </c>
      <c r="BZ197" s="21" t="s">
        <v>114</v>
      </c>
      <c r="CA197" s="21" t="s">
        <v>114</v>
      </c>
      <c r="CB197" s="21" t="s">
        <v>114</v>
      </c>
      <c r="CC197" s="21" t="s">
        <v>114</v>
      </c>
      <c r="CD197" s="21" t="s">
        <v>114</v>
      </c>
      <c r="CE197" s="21" t="s">
        <v>114</v>
      </c>
      <c r="CF197" s="19" t="s">
        <v>114</v>
      </c>
      <c r="CG197" s="19" t="s">
        <v>114</v>
      </c>
      <c r="CH197" s="19" t="s">
        <v>114</v>
      </c>
      <c r="CI197" s="21" t="s">
        <v>114</v>
      </c>
      <c r="CJ197" s="21" t="s">
        <v>114</v>
      </c>
      <c r="CK197" s="21" t="s">
        <v>114</v>
      </c>
      <c r="CL197" s="21" t="s">
        <v>114</v>
      </c>
      <c r="CM197" s="21" t="s">
        <v>114</v>
      </c>
      <c r="CN197" s="21" t="s">
        <v>114</v>
      </c>
      <c r="CO197" s="21" t="s">
        <v>114</v>
      </c>
      <c r="CP197" s="21" t="s">
        <v>114</v>
      </c>
      <c r="CQ197" s="21" t="s">
        <v>114</v>
      </c>
      <c r="CR197" s="21" t="s">
        <v>114</v>
      </c>
      <c r="CS197" s="21" t="s">
        <v>114</v>
      </c>
      <c r="CT197" s="21" t="s">
        <v>114</v>
      </c>
      <c r="CU197" s="21" t="s">
        <v>114</v>
      </c>
      <c r="CV197" s="21" t="s">
        <v>114</v>
      </c>
      <c r="CW197" s="21" t="s">
        <v>114</v>
      </c>
      <c r="CX197" s="21">
        <v>98426</v>
      </c>
      <c r="CY197" s="21" t="s">
        <v>114</v>
      </c>
      <c r="CZ197" s="21" t="s">
        <v>114</v>
      </c>
      <c r="DA197" s="21" t="s">
        <v>114</v>
      </c>
      <c r="DB197" s="21" t="s">
        <v>114</v>
      </c>
      <c r="DC197" s="21" t="s">
        <v>114</v>
      </c>
      <c r="DD197" s="21" t="s">
        <v>114</v>
      </c>
      <c r="DE197" s="21" t="s">
        <v>114</v>
      </c>
      <c r="DF197" s="19" t="s">
        <v>114</v>
      </c>
      <c r="DG197" s="19">
        <v>98501</v>
      </c>
      <c r="DH197" s="19" t="s">
        <v>114</v>
      </c>
      <c r="DI197" s="19">
        <v>98503</v>
      </c>
      <c r="DJ197" s="19" t="s">
        <v>114</v>
      </c>
      <c r="DK197" s="19" t="s">
        <v>114</v>
      </c>
      <c r="DL197" s="19" t="s">
        <v>114</v>
      </c>
      <c r="DM197" s="19">
        <v>98507</v>
      </c>
      <c r="DN197" s="19">
        <v>98508</v>
      </c>
      <c r="DO197" s="19" t="s">
        <v>114</v>
      </c>
    </row>
    <row r="198" spans="1:119" hidden="1" x14ac:dyDescent="0.45">
      <c r="A198" s="2" t="s">
        <v>1279</v>
      </c>
      <c r="B198" t="s">
        <v>1280</v>
      </c>
      <c r="C198" s="2">
        <v>275</v>
      </c>
      <c r="D198" s="6">
        <v>609</v>
      </c>
      <c r="E198" s="2" t="s">
        <v>1748</v>
      </c>
      <c r="F198" s="3" t="s">
        <v>2180</v>
      </c>
      <c r="G198" t="s">
        <v>2183</v>
      </c>
      <c r="H198" s="2" t="s">
        <v>1282</v>
      </c>
      <c r="I198" s="2" t="s">
        <v>1283</v>
      </c>
      <c r="J198" s="2">
        <v>142</v>
      </c>
      <c r="K198" t="s">
        <v>100</v>
      </c>
      <c r="L198" s="2">
        <v>145</v>
      </c>
      <c r="M198" t="s">
        <v>202</v>
      </c>
      <c r="P198" s="2" t="s">
        <v>240</v>
      </c>
      <c r="Q198" s="2" t="s">
        <v>146</v>
      </c>
      <c r="R198" s="4">
        <v>747</v>
      </c>
      <c r="S198" s="2" t="s">
        <v>1446</v>
      </c>
      <c r="T198" s="2">
        <v>145</v>
      </c>
      <c r="U198" t="s">
        <v>202</v>
      </c>
      <c r="V198" t="s">
        <v>2452</v>
      </c>
      <c r="W198" t="s">
        <v>2198</v>
      </c>
      <c r="X198" t="e">
        <v>#N/A</v>
      </c>
      <c r="Y198" t="s">
        <v>202</v>
      </c>
      <c r="Z198" t="s">
        <v>1939</v>
      </c>
      <c r="AA198" s="3" t="s">
        <v>2757</v>
      </c>
      <c r="AB198" s="3" t="s">
        <v>2876</v>
      </c>
      <c r="AC198" s="2" t="s">
        <v>168</v>
      </c>
      <c r="AD198" s="4" t="s">
        <v>1891</v>
      </c>
      <c r="AE198" t="s">
        <v>104</v>
      </c>
      <c r="AF198" t="s">
        <v>1885</v>
      </c>
      <c r="AG198" t="s">
        <v>1884</v>
      </c>
      <c r="AH198" t="s">
        <v>105</v>
      </c>
      <c r="AI198" s="3" t="s">
        <v>105</v>
      </c>
      <c r="AJ198" s="3" t="s">
        <v>106</v>
      </c>
      <c r="AK198" s="3" t="s">
        <v>107</v>
      </c>
      <c r="AL198" s="5"/>
      <c r="AM198" s="5" t="s">
        <v>109</v>
      </c>
      <c r="AN198" t="s">
        <v>110</v>
      </c>
      <c r="AO198" s="3" t="s">
        <v>119</v>
      </c>
      <c r="AP198" s="3" t="s">
        <v>120</v>
      </c>
      <c r="AQ198" s="3" t="s">
        <v>111</v>
      </c>
      <c r="AR198" s="3" t="s">
        <v>112</v>
      </c>
      <c r="AS198" s="3" t="s">
        <v>112</v>
      </c>
      <c r="AT198" s="3" t="s">
        <v>113</v>
      </c>
      <c r="AU198" s="3" t="s">
        <v>2303</v>
      </c>
      <c r="AV198" s="3" t="s">
        <v>2302</v>
      </c>
      <c r="AW198" s="3" t="s">
        <v>2301</v>
      </c>
      <c r="AX198" s="3" t="s">
        <v>2006</v>
      </c>
      <c r="AY198" s="19" t="s">
        <v>114</v>
      </c>
      <c r="AZ198" s="19" t="s">
        <v>114</v>
      </c>
      <c r="BA198" s="19" t="s">
        <v>114</v>
      </c>
      <c r="BB198" s="19" t="s">
        <v>114</v>
      </c>
      <c r="BC198" s="19" t="s">
        <v>114</v>
      </c>
      <c r="BD198" s="19" t="s">
        <v>114</v>
      </c>
      <c r="BE198" s="19" t="s">
        <v>114</v>
      </c>
      <c r="BF198" s="19" t="s">
        <v>114</v>
      </c>
      <c r="BG198" s="19" t="s">
        <v>114</v>
      </c>
      <c r="BH198" s="19" t="s">
        <v>114</v>
      </c>
      <c r="BI198" s="19" t="s">
        <v>114</v>
      </c>
      <c r="BJ198" s="19" t="s">
        <v>114</v>
      </c>
      <c r="BK198" s="19" t="s">
        <v>114</v>
      </c>
      <c r="BL198" s="19" t="s">
        <v>114</v>
      </c>
      <c r="BM198" s="19" t="s">
        <v>114</v>
      </c>
      <c r="BN198" s="19" t="s">
        <v>114</v>
      </c>
      <c r="BO198" s="19" t="s">
        <v>114</v>
      </c>
      <c r="BP198" s="19" t="s">
        <v>114</v>
      </c>
      <c r="BQ198" s="19" t="s">
        <v>114</v>
      </c>
      <c r="BR198" s="19" t="s">
        <v>114</v>
      </c>
      <c r="BS198" s="19" t="s">
        <v>114</v>
      </c>
      <c r="BT198" s="19" t="s">
        <v>114</v>
      </c>
      <c r="BU198" s="19" t="s">
        <v>114</v>
      </c>
      <c r="BV198" s="19" t="s">
        <v>114</v>
      </c>
      <c r="BW198" s="19" t="s">
        <v>114</v>
      </c>
      <c r="BX198" s="19" t="s">
        <v>114</v>
      </c>
      <c r="BY198" s="19" t="s">
        <v>114</v>
      </c>
      <c r="BZ198" s="21" t="s">
        <v>114</v>
      </c>
      <c r="CA198" s="21" t="s">
        <v>114</v>
      </c>
      <c r="CB198" s="21" t="s">
        <v>114</v>
      </c>
      <c r="CC198" s="21" t="s">
        <v>114</v>
      </c>
      <c r="CD198" s="21" t="s">
        <v>114</v>
      </c>
      <c r="CE198" s="21" t="s">
        <v>114</v>
      </c>
      <c r="CF198" s="19" t="s">
        <v>114</v>
      </c>
      <c r="CG198" s="19" t="s">
        <v>114</v>
      </c>
      <c r="CH198" s="19" t="s">
        <v>114</v>
      </c>
      <c r="CI198" s="21" t="s">
        <v>114</v>
      </c>
      <c r="CJ198" s="21" t="s">
        <v>114</v>
      </c>
      <c r="CK198" s="21" t="s">
        <v>114</v>
      </c>
      <c r="CL198" s="21" t="s">
        <v>114</v>
      </c>
      <c r="CM198" s="21" t="s">
        <v>114</v>
      </c>
      <c r="CN198" s="21" t="s">
        <v>114</v>
      </c>
      <c r="CO198" s="21" t="s">
        <v>114</v>
      </c>
      <c r="CP198" s="21" t="s">
        <v>114</v>
      </c>
      <c r="CQ198" s="21" t="s">
        <v>114</v>
      </c>
      <c r="CR198" s="21" t="s">
        <v>114</v>
      </c>
      <c r="CS198" s="21" t="s">
        <v>114</v>
      </c>
      <c r="CT198" s="21" t="s">
        <v>114</v>
      </c>
      <c r="CU198" s="21" t="s">
        <v>114</v>
      </c>
      <c r="CV198" s="21" t="s">
        <v>114</v>
      </c>
      <c r="CW198" s="21" t="s">
        <v>114</v>
      </c>
      <c r="CX198" s="21">
        <v>98426</v>
      </c>
      <c r="CY198" s="21" t="s">
        <v>114</v>
      </c>
      <c r="CZ198" s="21" t="s">
        <v>114</v>
      </c>
      <c r="DA198" s="21" t="s">
        <v>114</v>
      </c>
      <c r="DB198" s="21" t="s">
        <v>114</v>
      </c>
      <c r="DC198" s="21" t="s">
        <v>114</v>
      </c>
      <c r="DD198" s="21" t="s">
        <v>114</v>
      </c>
      <c r="DE198" s="21" t="s">
        <v>114</v>
      </c>
      <c r="DF198" s="19" t="s">
        <v>114</v>
      </c>
      <c r="DG198" s="19">
        <v>98501</v>
      </c>
      <c r="DH198" s="19" t="s">
        <v>114</v>
      </c>
      <c r="DI198" s="19">
        <v>98503</v>
      </c>
      <c r="DJ198" s="19" t="s">
        <v>114</v>
      </c>
      <c r="DK198" s="19" t="s">
        <v>114</v>
      </c>
      <c r="DL198" s="19">
        <v>98506</v>
      </c>
      <c r="DM198" s="19" t="s">
        <v>114</v>
      </c>
      <c r="DN198" s="19">
        <v>98508</v>
      </c>
      <c r="DO198" s="19" t="s">
        <v>114</v>
      </c>
    </row>
    <row r="199" spans="1:119" hidden="1" x14ac:dyDescent="0.45">
      <c r="A199" s="2" t="s">
        <v>1310</v>
      </c>
      <c r="B199" t="s">
        <v>1311</v>
      </c>
      <c r="C199" s="2">
        <v>760</v>
      </c>
      <c r="D199" s="6">
        <v>612</v>
      </c>
      <c r="E199" s="2" t="s">
        <v>1823</v>
      </c>
      <c r="F199" s="3" t="s">
        <v>2178</v>
      </c>
      <c r="G199" t="s">
        <v>2179</v>
      </c>
      <c r="H199" s="4" t="s">
        <v>1313</v>
      </c>
      <c r="I199" s="2" t="s">
        <v>1314</v>
      </c>
      <c r="J199" s="2">
        <v>142</v>
      </c>
      <c r="K199" t="s">
        <v>100</v>
      </c>
      <c r="L199" s="2">
        <v>145</v>
      </c>
      <c r="M199" t="s">
        <v>202</v>
      </c>
      <c r="P199" s="2" t="s">
        <v>240</v>
      </c>
      <c r="Q199" s="2" t="s">
        <v>146</v>
      </c>
      <c r="R199" s="4">
        <v>747</v>
      </c>
      <c r="S199" s="2" t="s">
        <v>1446</v>
      </c>
      <c r="T199" s="2">
        <v>145</v>
      </c>
      <c r="U199" t="s">
        <v>202</v>
      </c>
      <c r="V199" t="s">
        <v>2452</v>
      </c>
      <c r="W199" t="s">
        <v>2198</v>
      </c>
      <c r="X199" t="s">
        <v>2439</v>
      </c>
      <c r="Y199" t="s">
        <v>202</v>
      </c>
      <c r="Z199" t="s">
        <v>1939</v>
      </c>
      <c r="AA199" s="3" t="s">
        <v>2757</v>
      </c>
      <c r="AB199" s="3" t="s">
        <v>2876</v>
      </c>
      <c r="AC199" s="2" t="s">
        <v>103</v>
      </c>
      <c r="AD199" s="4" t="s">
        <v>1891</v>
      </c>
      <c r="AE199" t="s">
        <v>104</v>
      </c>
      <c r="AF199" t="s">
        <v>1885</v>
      </c>
      <c r="AG199" t="s">
        <v>1884</v>
      </c>
      <c r="AH199" t="s">
        <v>105</v>
      </c>
      <c r="AI199" s="3" t="s">
        <v>105</v>
      </c>
      <c r="AJ199" s="3" t="s">
        <v>106</v>
      </c>
      <c r="AK199" s="3" t="s">
        <v>107</v>
      </c>
      <c r="AL199" s="5" t="s">
        <v>1315</v>
      </c>
      <c r="AM199" s="5" t="s">
        <v>109</v>
      </c>
      <c r="AN199" t="s">
        <v>110</v>
      </c>
      <c r="AO199" s="3" t="s">
        <v>119</v>
      </c>
      <c r="AP199" s="3" t="s">
        <v>120</v>
      </c>
      <c r="AQ199" s="3" t="s">
        <v>111</v>
      </c>
      <c r="AR199" s="3" t="s">
        <v>112</v>
      </c>
      <c r="AS199" s="3" t="s">
        <v>112</v>
      </c>
      <c r="AT199" s="3" t="s">
        <v>113</v>
      </c>
      <c r="AU199" s="3" t="s">
        <v>2303</v>
      </c>
      <c r="AV199" s="3" t="s">
        <v>2302</v>
      </c>
      <c r="AW199" s="3" t="s">
        <v>2301</v>
      </c>
      <c r="AX199" s="3" t="s">
        <v>2006</v>
      </c>
      <c r="AY199" s="19" t="s">
        <v>114</v>
      </c>
      <c r="AZ199" s="19" t="s">
        <v>114</v>
      </c>
      <c r="BA199" s="19" t="s">
        <v>114</v>
      </c>
      <c r="BB199" s="19" t="s">
        <v>114</v>
      </c>
      <c r="BC199" s="19" t="s">
        <v>114</v>
      </c>
      <c r="BD199" s="19" t="s">
        <v>114</v>
      </c>
      <c r="BE199" s="19" t="s">
        <v>114</v>
      </c>
      <c r="BF199" s="19" t="s">
        <v>114</v>
      </c>
      <c r="BG199" s="19" t="s">
        <v>114</v>
      </c>
      <c r="BH199" s="19" t="s">
        <v>114</v>
      </c>
      <c r="BI199" s="19" t="s">
        <v>114</v>
      </c>
      <c r="BJ199" s="19" t="s">
        <v>114</v>
      </c>
      <c r="BK199" s="19" t="s">
        <v>114</v>
      </c>
      <c r="BL199" s="19" t="s">
        <v>114</v>
      </c>
      <c r="BM199" s="19" t="s">
        <v>114</v>
      </c>
      <c r="BN199" s="19" t="s">
        <v>114</v>
      </c>
      <c r="BO199" s="19" t="s">
        <v>114</v>
      </c>
      <c r="BP199" s="19" t="s">
        <v>114</v>
      </c>
      <c r="BQ199" s="19" t="s">
        <v>114</v>
      </c>
      <c r="BR199" s="19" t="s">
        <v>114</v>
      </c>
      <c r="BS199" s="19" t="s">
        <v>114</v>
      </c>
      <c r="BT199" s="19" t="s">
        <v>114</v>
      </c>
      <c r="BU199" s="19" t="s">
        <v>114</v>
      </c>
      <c r="BV199" s="19" t="s">
        <v>114</v>
      </c>
      <c r="BW199" s="19" t="s">
        <v>114</v>
      </c>
      <c r="BX199" s="19" t="s">
        <v>114</v>
      </c>
      <c r="BY199" s="19" t="s">
        <v>114</v>
      </c>
      <c r="BZ199" s="21" t="s">
        <v>114</v>
      </c>
      <c r="CA199" s="21" t="s">
        <v>114</v>
      </c>
      <c r="CB199" s="21" t="s">
        <v>114</v>
      </c>
      <c r="CC199" s="21" t="s">
        <v>114</v>
      </c>
      <c r="CD199" s="21" t="s">
        <v>114</v>
      </c>
      <c r="CE199" s="21" t="s">
        <v>114</v>
      </c>
      <c r="CF199" s="19" t="s">
        <v>114</v>
      </c>
      <c r="CG199" s="19" t="s">
        <v>114</v>
      </c>
      <c r="CH199" s="19" t="s">
        <v>114</v>
      </c>
      <c r="CI199" s="21" t="s">
        <v>114</v>
      </c>
      <c r="CJ199" s="21" t="s">
        <v>114</v>
      </c>
      <c r="CK199" s="21" t="s">
        <v>114</v>
      </c>
      <c r="CL199" s="21" t="s">
        <v>114</v>
      </c>
      <c r="CM199" s="21" t="s">
        <v>114</v>
      </c>
      <c r="CN199" s="21" t="s">
        <v>114</v>
      </c>
      <c r="CO199" s="21" t="s">
        <v>114</v>
      </c>
      <c r="CP199" s="21" t="s">
        <v>114</v>
      </c>
      <c r="CQ199" s="21" t="s">
        <v>114</v>
      </c>
      <c r="CR199" s="21" t="s">
        <v>114</v>
      </c>
      <c r="CS199" s="21" t="s">
        <v>114</v>
      </c>
      <c r="CT199" s="21" t="s">
        <v>114</v>
      </c>
      <c r="CU199" s="21" t="s">
        <v>114</v>
      </c>
      <c r="CV199" s="21" t="s">
        <v>114</v>
      </c>
      <c r="CW199" s="21" t="s">
        <v>114</v>
      </c>
      <c r="CX199" s="21">
        <v>98426</v>
      </c>
      <c r="CY199" s="21" t="s">
        <v>114</v>
      </c>
      <c r="CZ199" s="21" t="s">
        <v>114</v>
      </c>
      <c r="DA199" s="21" t="s">
        <v>114</v>
      </c>
      <c r="DB199" s="21" t="s">
        <v>114</v>
      </c>
      <c r="DC199" s="21" t="s">
        <v>114</v>
      </c>
      <c r="DD199" s="21" t="s">
        <v>114</v>
      </c>
      <c r="DE199" s="21" t="s">
        <v>114</v>
      </c>
      <c r="DF199" s="19" t="s">
        <v>114</v>
      </c>
      <c r="DG199" s="19">
        <v>98501</v>
      </c>
      <c r="DH199" s="19" t="s">
        <v>114</v>
      </c>
      <c r="DI199" s="19">
        <v>98503</v>
      </c>
      <c r="DJ199" s="19" t="s">
        <v>114</v>
      </c>
      <c r="DK199" s="19" t="s">
        <v>114</v>
      </c>
      <c r="DL199" s="19">
        <v>98506</v>
      </c>
      <c r="DM199" s="19" t="s">
        <v>114</v>
      </c>
      <c r="DN199" s="19" t="s">
        <v>114</v>
      </c>
      <c r="DO199" s="19">
        <v>98509</v>
      </c>
    </row>
    <row r="200" spans="1:119" hidden="1" x14ac:dyDescent="0.45">
      <c r="A200" s="2" t="s">
        <v>1354</v>
      </c>
      <c r="B200" t="s">
        <v>1355</v>
      </c>
      <c r="C200" s="2">
        <v>792</v>
      </c>
      <c r="D200" s="6">
        <v>405</v>
      </c>
      <c r="E200" s="2" t="s">
        <v>1879</v>
      </c>
      <c r="F200" s="2" t="s">
        <v>1356</v>
      </c>
      <c r="G200" t="s">
        <v>2164</v>
      </c>
      <c r="H200" s="2" t="s">
        <v>1356</v>
      </c>
      <c r="I200" s="2" t="s">
        <v>1356</v>
      </c>
      <c r="J200" s="2">
        <v>142</v>
      </c>
      <c r="K200" t="s">
        <v>100</v>
      </c>
      <c r="L200" s="2">
        <v>145</v>
      </c>
      <c r="M200" t="s">
        <v>202</v>
      </c>
      <c r="P200" s="2" t="s">
        <v>203</v>
      </c>
      <c r="Q200" s="2" t="s">
        <v>129</v>
      </c>
      <c r="R200" s="4">
        <v>747</v>
      </c>
      <c r="S200" s="4" t="s">
        <v>1446</v>
      </c>
      <c r="T200" s="2">
        <v>145</v>
      </c>
      <c r="U200" t="s">
        <v>202</v>
      </c>
      <c r="V200" t="s">
        <v>2456</v>
      </c>
      <c r="W200" t="s">
        <v>2456</v>
      </c>
      <c r="X200" t="s">
        <v>2440</v>
      </c>
      <c r="Y200" t="s">
        <v>202</v>
      </c>
      <c r="Z200" s="2" t="s">
        <v>1356</v>
      </c>
      <c r="AA200" s="3" t="s">
        <v>2757</v>
      </c>
      <c r="AB200" s="3" t="s">
        <v>2876</v>
      </c>
      <c r="AC200" s="2" t="s">
        <v>138</v>
      </c>
      <c r="AD200" s="4" t="s">
        <v>1891</v>
      </c>
      <c r="AE200" t="s">
        <v>104</v>
      </c>
      <c r="AF200" t="s">
        <v>1885</v>
      </c>
      <c r="AG200" t="s">
        <v>1884</v>
      </c>
      <c r="AH200" s="3" t="s">
        <v>18</v>
      </c>
      <c r="AI200" s="3" t="s">
        <v>224</v>
      </c>
      <c r="AJ200" t="s">
        <v>20</v>
      </c>
      <c r="AK200" s="3" t="s">
        <v>107</v>
      </c>
      <c r="AL200" s="5" t="s">
        <v>1357</v>
      </c>
      <c r="AM200" s="5" t="s">
        <v>109</v>
      </c>
      <c r="AN200" t="s">
        <v>110</v>
      </c>
      <c r="AO200" s="3" t="s">
        <v>119</v>
      </c>
      <c r="AP200" s="3" t="s">
        <v>120</v>
      </c>
      <c r="AQ200" s="3" t="s">
        <v>111</v>
      </c>
      <c r="AR200" s="3" t="s">
        <v>112</v>
      </c>
      <c r="AS200" s="3" t="s">
        <v>112</v>
      </c>
      <c r="AT200" s="3" t="s">
        <v>113</v>
      </c>
      <c r="AU200" s="3" t="s">
        <v>2303</v>
      </c>
      <c r="AV200" s="3" t="s">
        <v>2302</v>
      </c>
      <c r="AW200" s="3" t="s">
        <v>2300</v>
      </c>
      <c r="AX200" s="3" t="s">
        <v>2006</v>
      </c>
      <c r="AY200" s="19" t="s">
        <v>114</v>
      </c>
      <c r="AZ200" s="19" t="s">
        <v>114</v>
      </c>
      <c r="BA200" s="19" t="s">
        <v>114</v>
      </c>
      <c r="BB200" s="19" t="s">
        <v>114</v>
      </c>
      <c r="BC200" s="19" t="s">
        <v>114</v>
      </c>
      <c r="BD200" s="19" t="s">
        <v>114</v>
      </c>
      <c r="BE200" s="19" t="s">
        <v>114</v>
      </c>
      <c r="BF200" s="19" t="s">
        <v>114</v>
      </c>
      <c r="BG200" s="19" t="s">
        <v>114</v>
      </c>
      <c r="BH200" s="19" t="s">
        <v>114</v>
      </c>
      <c r="BI200" s="19" t="s">
        <v>114</v>
      </c>
      <c r="BJ200" s="19" t="s">
        <v>114</v>
      </c>
      <c r="BK200" s="19" t="s">
        <v>114</v>
      </c>
      <c r="BL200" s="19" t="s">
        <v>114</v>
      </c>
      <c r="BM200" s="19" t="s">
        <v>114</v>
      </c>
      <c r="BN200" s="19" t="s">
        <v>114</v>
      </c>
      <c r="BO200" s="19" t="s">
        <v>114</v>
      </c>
      <c r="BP200" s="19" t="s">
        <v>114</v>
      </c>
      <c r="BQ200" s="19" t="s">
        <v>114</v>
      </c>
      <c r="BR200" s="19" t="s">
        <v>114</v>
      </c>
      <c r="BS200" s="19" t="s">
        <v>114</v>
      </c>
      <c r="BT200" s="19" t="s">
        <v>114</v>
      </c>
      <c r="BU200" s="19" t="s">
        <v>114</v>
      </c>
      <c r="BV200" s="19" t="s">
        <v>114</v>
      </c>
      <c r="BW200" s="19" t="s">
        <v>114</v>
      </c>
      <c r="BX200" s="19" t="s">
        <v>114</v>
      </c>
      <c r="BY200" s="19" t="s">
        <v>114</v>
      </c>
      <c r="BZ200" s="21">
        <v>98200</v>
      </c>
      <c r="CA200" s="21" t="s">
        <v>114</v>
      </c>
      <c r="CB200" s="21" t="s">
        <v>114</v>
      </c>
      <c r="CC200" s="21" t="s">
        <v>114</v>
      </c>
      <c r="CD200" s="21" t="s">
        <v>114</v>
      </c>
      <c r="CE200" s="21" t="s">
        <v>114</v>
      </c>
      <c r="CF200" s="19" t="s">
        <v>114</v>
      </c>
      <c r="CG200" s="19" t="s">
        <v>114</v>
      </c>
      <c r="CH200" s="19" t="s">
        <v>114</v>
      </c>
      <c r="CI200" s="21" t="s">
        <v>114</v>
      </c>
      <c r="CJ200" s="21">
        <v>98400</v>
      </c>
      <c r="CK200" s="21" t="s">
        <v>114</v>
      </c>
      <c r="CL200" s="21" t="s">
        <v>114</v>
      </c>
      <c r="CM200" s="21">
        <v>98407</v>
      </c>
      <c r="CN200" s="21" t="s">
        <v>114</v>
      </c>
      <c r="CO200" s="21" t="s">
        <v>114</v>
      </c>
      <c r="CP200" s="21" t="s">
        <v>114</v>
      </c>
      <c r="CQ200" s="21" t="s">
        <v>114</v>
      </c>
      <c r="CR200" s="21" t="s">
        <v>114</v>
      </c>
      <c r="CS200" s="21" t="s">
        <v>114</v>
      </c>
      <c r="CT200" s="21">
        <v>98420</v>
      </c>
      <c r="CU200" s="21" t="s">
        <v>114</v>
      </c>
      <c r="CV200" s="21" t="s">
        <v>114</v>
      </c>
      <c r="CW200" s="21" t="s">
        <v>114</v>
      </c>
      <c r="CX200" s="21" t="s">
        <v>114</v>
      </c>
      <c r="CY200" s="21" t="s">
        <v>114</v>
      </c>
      <c r="CZ200" s="21" t="s">
        <v>114</v>
      </c>
      <c r="DA200" s="21" t="s">
        <v>114</v>
      </c>
      <c r="DB200" s="21" t="s">
        <v>114</v>
      </c>
      <c r="DC200" s="21" t="s">
        <v>114</v>
      </c>
      <c r="DD200" s="21">
        <v>98437</v>
      </c>
      <c r="DE200" s="21" t="s">
        <v>114</v>
      </c>
      <c r="DF200" s="19" t="s">
        <v>114</v>
      </c>
      <c r="DG200" s="19" t="s">
        <v>114</v>
      </c>
      <c r="DH200" s="19" t="s">
        <v>114</v>
      </c>
      <c r="DI200" s="19" t="s">
        <v>114</v>
      </c>
      <c r="DJ200" s="19" t="s">
        <v>114</v>
      </c>
      <c r="DK200" s="19" t="s">
        <v>114</v>
      </c>
      <c r="DL200" s="19" t="s">
        <v>114</v>
      </c>
      <c r="DM200" s="19" t="s">
        <v>114</v>
      </c>
      <c r="DN200" s="19" t="s">
        <v>114</v>
      </c>
      <c r="DO200" s="19" t="s">
        <v>114</v>
      </c>
    </row>
    <row r="201" spans="1:119" hidden="1" x14ac:dyDescent="0.45">
      <c r="A201" s="2" t="s">
        <v>901</v>
      </c>
      <c r="B201" t="s">
        <v>902</v>
      </c>
      <c r="C201" s="2">
        <v>484</v>
      </c>
      <c r="D201" s="6">
        <v>704</v>
      </c>
      <c r="E201" s="2" t="s">
        <v>903</v>
      </c>
      <c r="F201" t="s">
        <v>903</v>
      </c>
      <c r="G201" t="s">
        <v>2109</v>
      </c>
      <c r="H201" s="2" t="s">
        <v>904</v>
      </c>
      <c r="I201" s="2" t="s">
        <v>905</v>
      </c>
      <c r="J201" s="2">
        <v>19</v>
      </c>
      <c r="K201" t="s">
        <v>157</v>
      </c>
      <c r="L201" s="2">
        <v>419</v>
      </c>
      <c r="M201" t="s">
        <v>174</v>
      </c>
      <c r="N201">
        <v>13</v>
      </c>
      <c r="O201" t="s">
        <v>267</v>
      </c>
      <c r="P201" s="2" t="s">
        <v>280</v>
      </c>
      <c r="Q201" s="2" t="s">
        <v>177</v>
      </c>
      <c r="R201" s="2">
        <v>419</v>
      </c>
      <c r="S201" s="2" t="s">
        <v>174</v>
      </c>
      <c r="T201" s="2">
        <v>419</v>
      </c>
      <c r="U201" s="4" t="s">
        <v>174</v>
      </c>
      <c r="V201" t="s">
        <v>2460</v>
      </c>
      <c r="W201" t="s">
        <v>2460</v>
      </c>
      <c r="X201" t="s">
        <v>2440</v>
      </c>
      <c r="Y201" t="s">
        <v>267</v>
      </c>
      <c r="Z201" t="s">
        <v>903</v>
      </c>
      <c r="AA201" s="3" t="s">
        <v>903</v>
      </c>
      <c r="AB201" s="3" t="s">
        <v>902</v>
      </c>
      <c r="AC201" s="2" t="s">
        <v>138</v>
      </c>
      <c r="AD201" s="4" t="s">
        <v>1891</v>
      </c>
      <c r="AE201" t="s">
        <v>104</v>
      </c>
      <c r="AF201" t="s">
        <v>1885</v>
      </c>
      <c r="AG201" t="s">
        <v>1884</v>
      </c>
      <c r="AH201" s="3" t="s">
        <v>18</v>
      </c>
      <c r="AI201" s="3" t="s">
        <v>372</v>
      </c>
      <c r="AJ201" t="s">
        <v>20</v>
      </c>
      <c r="AK201" s="3" t="s">
        <v>107</v>
      </c>
      <c r="AL201" s="5" t="s">
        <v>906</v>
      </c>
      <c r="AM201" s="5" t="s">
        <v>109</v>
      </c>
      <c r="AO201" s="3" t="s">
        <v>119</v>
      </c>
      <c r="AP201" s="3" t="s">
        <v>120</v>
      </c>
      <c r="AQ201" s="3" t="s">
        <v>111</v>
      </c>
      <c r="AR201" s="3" t="s">
        <v>112</v>
      </c>
      <c r="AS201" s="3" t="s">
        <v>112</v>
      </c>
      <c r="AT201" s="3" t="s">
        <v>113</v>
      </c>
      <c r="AU201" s="3" t="s">
        <v>2303</v>
      </c>
      <c r="AV201" s="3" t="s">
        <v>2302</v>
      </c>
      <c r="AW201" s="3" t="s">
        <v>2300</v>
      </c>
      <c r="AX201" s="3" t="s">
        <v>2006</v>
      </c>
      <c r="AY201" s="19" t="s">
        <v>114</v>
      </c>
      <c r="AZ201" s="19" t="s">
        <v>114</v>
      </c>
      <c r="BA201" s="19" t="s">
        <v>114</v>
      </c>
      <c r="BB201" s="19" t="s">
        <v>114</v>
      </c>
      <c r="BC201" s="19" t="s">
        <v>114</v>
      </c>
      <c r="BD201" s="19" t="s">
        <v>114</v>
      </c>
      <c r="BE201" s="19" t="s">
        <v>114</v>
      </c>
      <c r="BF201" s="19" t="s">
        <v>114</v>
      </c>
      <c r="BG201" s="19" t="s">
        <v>114</v>
      </c>
      <c r="BH201" s="19" t="s">
        <v>114</v>
      </c>
      <c r="BI201" s="19" t="s">
        <v>114</v>
      </c>
      <c r="BJ201" s="19" t="s">
        <v>114</v>
      </c>
      <c r="BK201" s="19" t="s">
        <v>114</v>
      </c>
      <c r="BL201" s="19" t="s">
        <v>114</v>
      </c>
      <c r="BM201" s="19" t="s">
        <v>114</v>
      </c>
      <c r="BN201" s="19" t="s">
        <v>114</v>
      </c>
      <c r="BO201" s="19" t="s">
        <v>114</v>
      </c>
      <c r="BP201" s="19" t="s">
        <v>114</v>
      </c>
      <c r="BQ201" s="19" t="s">
        <v>114</v>
      </c>
      <c r="BR201" s="19" t="s">
        <v>114</v>
      </c>
      <c r="BS201" s="19" t="s">
        <v>114</v>
      </c>
      <c r="BT201" s="19" t="s">
        <v>114</v>
      </c>
      <c r="BU201" s="19" t="s">
        <v>114</v>
      </c>
      <c r="BV201" s="19" t="s">
        <v>114</v>
      </c>
      <c r="BW201" s="19" t="s">
        <v>114</v>
      </c>
      <c r="BX201" s="19" t="s">
        <v>114</v>
      </c>
      <c r="BY201" s="19" t="s">
        <v>114</v>
      </c>
      <c r="BZ201" s="21" t="s">
        <v>114</v>
      </c>
      <c r="CA201" s="21" t="s">
        <v>114</v>
      </c>
      <c r="CB201" s="21" t="s">
        <v>114</v>
      </c>
      <c r="CC201" s="21" t="s">
        <v>114</v>
      </c>
      <c r="CD201" s="21" t="s">
        <v>114</v>
      </c>
      <c r="CE201" s="21" t="s">
        <v>114</v>
      </c>
      <c r="CF201" s="19" t="s">
        <v>114</v>
      </c>
      <c r="CG201" s="19">
        <v>98300</v>
      </c>
      <c r="CH201" s="19" t="s">
        <v>114</v>
      </c>
      <c r="CI201" s="21">
        <v>98302</v>
      </c>
      <c r="CJ201" s="21" t="s">
        <v>114</v>
      </c>
      <c r="CK201" s="21" t="s">
        <v>114</v>
      </c>
      <c r="CL201" s="21" t="s">
        <v>114</v>
      </c>
      <c r="CM201" s="21" t="s">
        <v>114</v>
      </c>
      <c r="CN201" s="21" t="s">
        <v>114</v>
      </c>
      <c r="CO201" s="21" t="s">
        <v>114</v>
      </c>
      <c r="CP201" s="21" t="s">
        <v>114</v>
      </c>
      <c r="CQ201" s="21" t="s">
        <v>114</v>
      </c>
      <c r="CR201" s="21" t="s">
        <v>114</v>
      </c>
      <c r="CS201" s="21" t="s">
        <v>114</v>
      </c>
      <c r="CT201" s="21" t="s">
        <v>114</v>
      </c>
      <c r="CU201" s="21" t="s">
        <v>114</v>
      </c>
      <c r="CV201" s="21">
        <v>98424</v>
      </c>
      <c r="CW201" s="21" t="s">
        <v>114</v>
      </c>
      <c r="CX201" s="21" t="s">
        <v>114</v>
      </c>
      <c r="CY201" s="21" t="s">
        <v>114</v>
      </c>
      <c r="CZ201" s="21" t="s">
        <v>114</v>
      </c>
      <c r="DA201" s="21" t="s">
        <v>114</v>
      </c>
      <c r="DB201" s="21" t="s">
        <v>114</v>
      </c>
      <c r="DC201" s="21" t="s">
        <v>114</v>
      </c>
      <c r="DD201" s="21" t="s">
        <v>114</v>
      </c>
      <c r="DE201" s="21" t="s">
        <v>114</v>
      </c>
      <c r="DF201" s="19" t="s">
        <v>114</v>
      </c>
      <c r="DG201" s="19" t="s">
        <v>114</v>
      </c>
      <c r="DH201" s="19" t="s">
        <v>114</v>
      </c>
      <c r="DI201" s="19" t="s">
        <v>114</v>
      </c>
      <c r="DJ201" s="19" t="s">
        <v>114</v>
      </c>
      <c r="DK201" s="19" t="s">
        <v>114</v>
      </c>
      <c r="DL201" s="19" t="s">
        <v>114</v>
      </c>
      <c r="DM201" s="19" t="s">
        <v>114</v>
      </c>
      <c r="DN201" s="19" t="s">
        <v>114</v>
      </c>
      <c r="DO201" s="19" t="s">
        <v>114</v>
      </c>
    </row>
    <row r="202" spans="1:119" hidden="1" x14ac:dyDescent="0.45">
      <c r="A202" s="2" t="s">
        <v>163</v>
      </c>
      <c r="B202" t="s">
        <v>164</v>
      </c>
      <c r="C202" s="2">
        <v>24</v>
      </c>
      <c r="D202" s="6">
        <v>102</v>
      </c>
      <c r="E202" s="2" t="s">
        <v>165</v>
      </c>
      <c r="F202" t="s">
        <v>165</v>
      </c>
      <c r="G202" t="s">
        <v>2019</v>
      </c>
      <c r="H202" s="2" t="s">
        <v>165</v>
      </c>
      <c r="I202" s="2" t="s">
        <v>165</v>
      </c>
      <c r="J202" s="2">
        <v>2</v>
      </c>
      <c r="K202" t="s">
        <v>116</v>
      </c>
      <c r="L202" s="2">
        <v>202</v>
      </c>
      <c r="M202" t="s">
        <v>166</v>
      </c>
      <c r="N202">
        <v>17</v>
      </c>
      <c r="O202" t="s">
        <v>167</v>
      </c>
      <c r="P202" s="2" t="s">
        <v>116</v>
      </c>
      <c r="Q202" s="2" t="s">
        <v>166</v>
      </c>
      <c r="R202" s="2">
        <v>202</v>
      </c>
      <c r="S202" s="4" t="s">
        <v>166</v>
      </c>
      <c r="T202" s="2">
        <v>202</v>
      </c>
      <c r="U202" s="4" t="s">
        <v>166</v>
      </c>
      <c r="V202" t="s">
        <v>2457</v>
      </c>
      <c r="W202" t="s">
        <v>2457</v>
      </c>
      <c r="X202" t="s">
        <v>2440</v>
      </c>
      <c r="Y202" t="s">
        <v>167</v>
      </c>
      <c r="Z202" t="s">
        <v>167</v>
      </c>
      <c r="AA202" s="3" t="s">
        <v>167</v>
      </c>
      <c r="AB202" s="3" t="s">
        <v>2877</v>
      </c>
      <c r="AC202" s="2" t="s">
        <v>168</v>
      </c>
      <c r="AD202" s="4" t="s">
        <v>1891</v>
      </c>
      <c r="AE202" t="s">
        <v>104</v>
      </c>
      <c r="AF202" t="s">
        <v>1885</v>
      </c>
      <c r="AG202" t="s">
        <v>1884</v>
      </c>
      <c r="AH202" t="s">
        <v>105</v>
      </c>
      <c r="AI202" s="3" t="s">
        <v>105</v>
      </c>
      <c r="AJ202" s="3" t="s">
        <v>106</v>
      </c>
      <c r="AK202" s="3" t="s">
        <v>107</v>
      </c>
      <c r="AL202" s="5" t="s">
        <v>169</v>
      </c>
      <c r="AM202" s="5" t="s">
        <v>109</v>
      </c>
      <c r="AN202" t="s">
        <v>110</v>
      </c>
      <c r="AO202" t="s">
        <v>25</v>
      </c>
      <c r="AP202" s="3" t="s">
        <v>120</v>
      </c>
      <c r="AQ202" s="3" t="s">
        <v>111</v>
      </c>
      <c r="AR202" s="3" t="s">
        <v>112</v>
      </c>
      <c r="AS202" s="3" t="s">
        <v>112</v>
      </c>
      <c r="AT202" s="3" t="s">
        <v>113</v>
      </c>
      <c r="AU202" s="3" t="s">
        <v>2303</v>
      </c>
      <c r="AV202" s="3" t="s">
        <v>2302</v>
      </c>
      <c r="AW202" s="3" t="s">
        <v>2301</v>
      </c>
      <c r="AX202" s="3" t="s">
        <v>2006</v>
      </c>
      <c r="AY202" s="19">
        <v>98100</v>
      </c>
      <c r="AZ202" s="19" t="s">
        <v>114</v>
      </c>
      <c r="BA202" s="19" t="s">
        <v>114</v>
      </c>
      <c r="BB202" s="19" t="s">
        <v>114</v>
      </c>
      <c r="BC202" s="19">
        <v>98104</v>
      </c>
      <c r="BD202" s="19" t="s">
        <v>114</v>
      </c>
      <c r="BE202" s="19">
        <v>98106</v>
      </c>
      <c r="BF202" s="19">
        <v>98107</v>
      </c>
      <c r="BG202" s="19" t="s">
        <v>114</v>
      </c>
      <c r="BH202" s="19" t="s">
        <v>114</v>
      </c>
      <c r="BI202" s="19">
        <v>98110</v>
      </c>
      <c r="BJ202" s="19" t="s">
        <v>114</v>
      </c>
      <c r="BK202" s="19" t="s">
        <v>114</v>
      </c>
      <c r="BL202" s="19" t="s">
        <v>114</v>
      </c>
      <c r="BM202" s="19" t="s">
        <v>114</v>
      </c>
      <c r="BN202" s="19" t="s">
        <v>114</v>
      </c>
      <c r="BO202" s="19" t="s">
        <v>114</v>
      </c>
      <c r="BP202" s="19" t="s">
        <v>114</v>
      </c>
      <c r="BQ202" s="19">
        <v>98118</v>
      </c>
      <c r="BR202" s="19" t="s">
        <v>114</v>
      </c>
      <c r="BS202" s="19" t="s">
        <v>114</v>
      </c>
      <c r="BT202" s="19" t="s">
        <v>114</v>
      </c>
      <c r="BU202" s="19">
        <v>98122</v>
      </c>
      <c r="BV202" s="19">
        <v>98123</v>
      </c>
      <c r="BW202" s="19" t="s">
        <v>114</v>
      </c>
      <c r="BX202" s="19" t="s">
        <v>114</v>
      </c>
      <c r="BY202" s="19">
        <v>98126</v>
      </c>
      <c r="BZ202" s="21" t="s">
        <v>114</v>
      </c>
      <c r="CA202" s="21" t="s">
        <v>114</v>
      </c>
      <c r="CB202" s="21" t="s">
        <v>114</v>
      </c>
      <c r="CC202" s="21" t="s">
        <v>114</v>
      </c>
      <c r="CD202" s="21" t="s">
        <v>114</v>
      </c>
      <c r="CE202" s="21" t="s">
        <v>114</v>
      </c>
      <c r="CF202" s="19" t="s">
        <v>114</v>
      </c>
      <c r="CG202" s="19" t="s">
        <v>114</v>
      </c>
      <c r="CH202" s="19" t="s">
        <v>114</v>
      </c>
      <c r="CI202" s="21" t="s">
        <v>114</v>
      </c>
      <c r="CJ202" s="21" t="s">
        <v>114</v>
      </c>
      <c r="CK202" s="21">
        <v>98405</v>
      </c>
      <c r="CL202" s="21" t="s">
        <v>114</v>
      </c>
      <c r="CM202" s="21" t="s">
        <v>114</v>
      </c>
      <c r="CN202" s="21" t="s">
        <v>114</v>
      </c>
      <c r="CO202" s="21" t="s">
        <v>114</v>
      </c>
      <c r="CP202" s="21" t="s">
        <v>114</v>
      </c>
      <c r="CQ202" s="21" t="s">
        <v>114</v>
      </c>
      <c r="CR202" s="21" t="s">
        <v>114</v>
      </c>
      <c r="CS202" s="21" t="s">
        <v>114</v>
      </c>
      <c r="CT202" s="21" t="s">
        <v>114</v>
      </c>
      <c r="CU202" s="21" t="s">
        <v>114</v>
      </c>
      <c r="CV202" s="21" t="s">
        <v>114</v>
      </c>
      <c r="CW202" s="21" t="s">
        <v>114</v>
      </c>
      <c r="CX202" s="21" t="s">
        <v>114</v>
      </c>
      <c r="CY202" s="21" t="s">
        <v>114</v>
      </c>
      <c r="CZ202" s="21" t="s">
        <v>114</v>
      </c>
      <c r="DA202" s="21" t="s">
        <v>114</v>
      </c>
      <c r="DB202" s="21" t="s">
        <v>114</v>
      </c>
      <c r="DC202" s="21" t="s">
        <v>114</v>
      </c>
      <c r="DD202" s="21" t="s">
        <v>114</v>
      </c>
      <c r="DE202" s="21" t="s">
        <v>114</v>
      </c>
      <c r="DF202" s="19" t="s">
        <v>114</v>
      </c>
      <c r="DG202" s="19" t="s">
        <v>114</v>
      </c>
      <c r="DH202" s="19" t="s">
        <v>114</v>
      </c>
      <c r="DI202" s="19" t="s">
        <v>114</v>
      </c>
      <c r="DJ202" s="19" t="s">
        <v>114</v>
      </c>
      <c r="DK202" s="19" t="s">
        <v>114</v>
      </c>
      <c r="DL202" s="19" t="s">
        <v>114</v>
      </c>
      <c r="DM202" s="19" t="s">
        <v>114</v>
      </c>
      <c r="DN202" s="19" t="s">
        <v>114</v>
      </c>
      <c r="DO202" s="19" t="s">
        <v>114</v>
      </c>
    </row>
    <row r="203" spans="1:119" hidden="1" x14ac:dyDescent="0.45">
      <c r="A203" s="2" t="s">
        <v>362</v>
      </c>
      <c r="B203" t="s">
        <v>363</v>
      </c>
      <c r="C203" s="2">
        <v>120</v>
      </c>
      <c r="D203" s="6">
        <v>110</v>
      </c>
      <c r="E203" s="2" t="s">
        <v>364</v>
      </c>
      <c r="F203" t="s">
        <v>364</v>
      </c>
      <c r="G203" t="s">
        <v>2038</v>
      </c>
      <c r="H203" s="2" t="s">
        <v>365</v>
      </c>
      <c r="I203" s="2" t="s">
        <v>366</v>
      </c>
      <c r="J203" s="2">
        <v>2</v>
      </c>
      <c r="K203" t="s">
        <v>116</v>
      </c>
      <c r="L203" s="2">
        <v>202</v>
      </c>
      <c r="M203" t="s">
        <v>166</v>
      </c>
      <c r="N203">
        <v>17</v>
      </c>
      <c r="O203" t="s">
        <v>167</v>
      </c>
      <c r="P203" s="2" t="s">
        <v>116</v>
      </c>
      <c r="Q203" s="2" t="s">
        <v>166</v>
      </c>
      <c r="R203" s="2">
        <v>202</v>
      </c>
      <c r="S203" s="4" t="s">
        <v>166</v>
      </c>
      <c r="T203" s="2">
        <v>202</v>
      </c>
      <c r="U203" s="4" t="s">
        <v>166</v>
      </c>
      <c r="V203" t="s">
        <v>2457</v>
      </c>
      <c r="W203" t="s">
        <v>2457</v>
      </c>
      <c r="X203" t="s">
        <v>2440</v>
      </c>
      <c r="Y203" t="s">
        <v>167</v>
      </c>
      <c r="Z203" t="s">
        <v>167</v>
      </c>
      <c r="AA203" s="3" t="s">
        <v>167</v>
      </c>
      <c r="AB203" s="3" t="s">
        <v>2877</v>
      </c>
      <c r="AC203" s="2" t="s">
        <v>168</v>
      </c>
      <c r="AD203" s="2" t="s">
        <v>1890</v>
      </c>
      <c r="AE203" t="s">
        <v>104</v>
      </c>
      <c r="AF203" t="s">
        <v>1885</v>
      </c>
      <c r="AG203" t="s">
        <v>1884</v>
      </c>
      <c r="AH203" t="s">
        <v>105</v>
      </c>
      <c r="AI203" s="3" t="s">
        <v>105</v>
      </c>
      <c r="AJ203" s="3" t="s">
        <v>106</v>
      </c>
      <c r="AK203" s="3" t="s">
        <v>107</v>
      </c>
      <c r="AL203" s="5" t="s">
        <v>367</v>
      </c>
      <c r="AM203" s="5" t="s">
        <v>109</v>
      </c>
      <c r="AN203" t="s">
        <v>110</v>
      </c>
      <c r="AO203" s="3" t="s">
        <v>119</v>
      </c>
      <c r="AP203" s="3" t="s">
        <v>120</v>
      </c>
      <c r="AQ203" s="3" t="s">
        <v>111</v>
      </c>
      <c r="AR203" s="3" t="s">
        <v>112</v>
      </c>
      <c r="AS203" s="3" t="s">
        <v>112</v>
      </c>
      <c r="AT203" s="3" t="s">
        <v>113</v>
      </c>
      <c r="AU203" s="3" t="s">
        <v>2303</v>
      </c>
      <c r="AV203" s="3" t="s">
        <v>2302</v>
      </c>
      <c r="AW203" s="3" t="s">
        <v>2301</v>
      </c>
      <c r="AX203" s="3" t="s">
        <v>2006</v>
      </c>
      <c r="AY203" s="19">
        <v>98100</v>
      </c>
      <c r="AZ203" s="19">
        <v>98101</v>
      </c>
      <c r="BA203" s="19" t="s">
        <v>114</v>
      </c>
      <c r="BB203" s="19" t="s">
        <v>114</v>
      </c>
      <c r="BC203" s="19" t="s">
        <v>114</v>
      </c>
      <c r="BD203" s="19" t="s">
        <v>114</v>
      </c>
      <c r="BE203" s="19">
        <v>98106</v>
      </c>
      <c r="BF203" s="19">
        <v>98107</v>
      </c>
      <c r="BG203" s="19" t="s">
        <v>114</v>
      </c>
      <c r="BH203" s="19" t="s">
        <v>114</v>
      </c>
      <c r="BI203" s="19" t="s">
        <v>114</v>
      </c>
      <c r="BJ203" s="19" t="s">
        <v>114</v>
      </c>
      <c r="BK203" s="19" t="s">
        <v>114</v>
      </c>
      <c r="BL203" s="19" t="s">
        <v>114</v>
      </c>
      <c r="BM203" s="19" t="s">
        <v>114</v>
      </c>
      <c r="BN203" s="19" t="s">
        <v>114</v>
      </c>
      <c r="BO203" s="19" t="s">
        <v>114</v>
      </c>
      <c r="BP203" s="19" t="s">
        <v>114</v>
      </c>
      <c r="BQ203" s="19" t="s">
        <v>114</v>
      </c>
      <c r="BR203" s="19" t="s">
        <v>114</v>
      </c>
      <c r="BS203" s="19" t="s">
        <v>114</v>
      </c>
      <c r="BT203" s="19" t="s">
        <v>114</v>
      </c>
      <c r="BU203" s="19" t="s">
        <v>114</v>
      </c>
      <c r="BV203" s="19">
        <v>98123</v>
      </c>
      <c r="BW203" s="19">
        <v>98124</v>
      </c>
      <c r="BX203" s="19" t="s">
        <v>114</v>
      </c>
      <c r="BY203" s="19">
        <v>98126</v>
      </c>
      <c r="BZ203" s="21" t="s">
        <v>114</v>
      </c>
      <c r="CA203" s="21" t="s">
        <v>114</v>
      </c>
      <c r="CB203" s="21" t="s">
        <v>114</v>
      </c>
      <c r="CC203" s="21" t="s">
        <v>114</v>
      </c>
      <c r="CD203" s="21" t="s">
        <v>114</v>
      </c>
      <c r="CE203" s="21" t="s">
        <v>114</v>
      </c>
      <c r="CF203" s="19" t="s">
        <v>114</v>
      </c>
      <c r="CG203" s="19" t="s">
        <v>114</v>
      </c>
      <c r="CH203" s="19" t="s">
        <v>114</v>
      </c>
      <c r="CI203" s="21" t="s">
        <v>114</v>
      </c>
      <c r="CJ203" s="21" t="s">
        <v>114</v>
      </c>
      <c r="CK203" s="21">
        <v>98405</v>
      </c>
      <c r="CL203" s="21" t="s">
        <v>114</v>
      </c>
      <c r="CM203" s="21" t="s">
        <v>114</v>
      </c>
      <c r="CN203" s="21" t="s">
        <v>114</v>
      </c>
      <c r="CO203" s="21" t="s">
        <v>114</v>
      </c>
      <c r="CP203" s="21" t="s">
        <v>114</v>
      </c>
      <c r="CQ203" s="21" t="s">
        <v>114</v>
      </c>
      <c r="CR203" s="21" t="s">
        <v>114</v>
      </c>
      <c r="CS203" s="21" t="s">
        <v>114</v>
      </c>
      <c r="CT203" s="21" t="s">
        <v>114</v>
      </c>
      <c r="CU203" s="21" t="s">
        <v>114</v>
      </c>
      <c r="CV203" s="21" t="s">
        <v>114</v>
      </c>
      <c r="CW203" s="21" t="s">
        <v>114</v>
      </c>
      <c r="CX203" s="21" t="s">
        <v>114</v>
      </c>
      <c r="CY203" s="21" t="s">
        <v>114</v>
      </c>
      <c r="CZ203" s="21" t="s">
        <v>114</v>
      </c>
      <c r="DA203" s="21" t="s">
        <v>114</v>
      </c>
      <c r="DB203" s="21" t="s">
        <v>114</v>
      </c>
      <c r="DC203" s="21" t="s">
        <v>114</v>
      </c>
      <c r="DD203" s="21" t="s">
        <v>114</v>
      </c>
      <c r="DE203" s="21" t="s">
        <v>114</v>
      </c>
      <c r="DF203" s="19" t="s">
        <v>114</v>
      </c>
      <c r="DG203" s="19" t="s">
        <v>114</v>
      </c>
      <c r="DH203" s="19" t="s">
        <v>114</v>
      </c>
      <c r="DI203" s="19" t="s">
        <v>114</v>
      </c>
      <c r="DJ203" s="19" t="s">
        <v>114</v>
      </c>
      <c r="DK203" s="19" t="s">
        <v>114</v>
      </c>
      <c r="DL203" s="19" t="s">
        <v>114</v>
      </c>
      <c r="DM203" s="19" t="s">
        <v>114</v>
      </c>
      <c r="DN203" s="19" t="s">
        <v>114</v>
      </c>
      <c r="DO203" s="19" t="s">
        <v>114</v>
      </c>
    </row>
    <row r="204" spans="1:119" hidden="1" x14ac:dyDescent="0.45">
      <c r="A204" s="2" t="s">
        <v>380</v>
      </c>
      <c r="B204" t="s">
        <v>381</v>
      </c>
      <c r="C204" s="2">
        <v>140</v>
      </c>
      <c r="D204" s="6">
        <v>111</v>
      </c>
      <c r="E204" s="2" t="s">
        <v>1580</v>
      </c>
      <c r="F204" s="3" t="s">
        <v>1894</v>
      </c>
      <c r="G204" t="s">
        <v>2039</v>
      </c>
      <c r="H204" s="2" t="s">
        <v>383</v>
      </c>
      <c r="I204" s="2" t="s">
        <v>384</v>
      </c>
      <c r="J204" s="2">
        <v>2</v>
      </c>
      <c r="K204" t="s">
        <v>116</v>
      </c>
      <c r="L204" s="2">
        <v>202</v>
      </c>
      <c r="M204" t="s">
        <v>166</v>
      </c>
      <c r="N204">
        <v>17</v>
      </c>
      <c r="O204" t="s">
        <v>167</v>
      </c>
      <c r="P204" s="2" t="s">
        <v>116</v>
      </c>
      <c r="Q204" s="2" t="s">
        <v>166</v>
      </c>
      <c r="R204" s="2">
        <v>202</v>
      </c>
      <c r="S204" s="4" t="s">
        <v>166</v>
      </c>
      <c r="T204" s="2">
        <v>202</v>
      </c>
      <c r="U204" s="4" t="s">
        <v>166</v>
      </c>
      <c r="V204" t="s">
        <v>2457</v>
      </c>
      <c r="W204" t="s">
        <v>2457</v>
      </c>
      <c r="X204" t="s">
        <v>2440</v>
      </c>
      <c r="Y204" t="s">
        <v>167</v>
      </c>
      <c r="Z204" t="s">
        <v>167</v>
      </c>
      <c r="AA204" s="3" t="s">
        <v>167</v>
      </c>
      <c r="AB204" s="3" t="s">
        <v>2877</v>
      </c>
      <c r="AC204" s="2" t="s">
        <v>103</v>
      </c>
      <c r="AD204" s="2" t="s">
        <v>1890</v>
      </c>
      <c r="AE204" t="s">
        <v>104</v>
      </c>
      <c r="AF204" t="s">
        <v>1885</v>
      </c>
      <c r="AG204" t="s">
        <v>1884</v>
      </c>
      <c r="AH204" t="s">
        <v>105</v>
      </c>
      <c r="AI204" s="3" t="s">
        <v>105</v>
      </c>
      <c r="AJ204" s="3" t="s">
        <v>106</v>
      </c>
      <c r="AK204" s="3" t="s">
        <v>107</v>
      </c>
      <c r="AL204" s="5" t="s">
        <v>367</v>
      </c>
      <c r="AM204" s="5" t="s">
        <v>109</v>
      </c>
      <c r="AO204" t="s">
        <v>25</v>
      </c>
      <c r="AP204" s="3" t="s">
        <v>26</v>
      </c>
      <c r="AQ204" s="3" t="s">
        <v>111</v>
      </c>
      <c r="AR204" s="3" t="s">
        <v>112</v>
      </c>
      <c r="AS204" s="3" t="s">
        <v>112</v>
      </c>
      <c r="AT204" s="3" t="s">
        <v>113</v>
      </c>
      <c r="AU204" s="3" t="s">
        <v>2303</v>
      </c>
      <c r="AV204" s="3" t="s">
        <v>2302</v>
      </c>
      <c r="AW204" s="3" t="s">
        <v>2301</v>
      </c>
      <c r="AX204" s="3" t="s">
        <v>2006</v>
      </c>
      <c r="AY204" s="19">
        <v>98100</v>
      </c>
      <c r="AZ204" s="19">
        <v>98101</v>
      </c>
      <c r="BA204" s="19" t="s">
        <v>114</v>
      </c>
      <c r="BB204" s="19" t="s">
        <v>114</v>
      </c>
      <c r="BC204" s="19" t="s">
        <v>114</v>
      </c>
      <c r="BD204" s="19" t="s">
        <v>114</v>
      </c>
      <c r="BE204" s="19">
        <v>98106</v>
      </c>
      <c r="BF204" s="19">
        <v>98107</v>
      </c>
      <c r="BG204" s="19" t="s">
        <v>114</v>
      </c>
      <c r="BH204" s="19" t="s">
        <v>114</v>
      </c>
      <c r="BI204" s="19" t="s">
        <v>114</v>
      </c>
      <c r="BJ204" s="19" t="s">
        <v>114</v>
      </c>
      <c r="BK204" s="19">
        <v>98112</v>
      </c>
      <c r="BL204" s="19" t="s">
        <v>114</v>
      </c>
      <c r="BM204" s="19" t="s">
        <v>114</v>
      </c>
      <c r="BN204" s="19" t="s">
        <v>114</v>
      </c>
      <c r="BO204" s="19">
        <v>98116</v>
      </c>
      <c r="BP204" s="19">
        <v>98117</v>
      </c>
      <c r="BQ204" s="19">
        <v>98118</v>
      </c>
      <c r="BR204" s="19">
        <v>98119</v>
      </c>
      <c r="BS204" s="19">
        <v>98120</v>
      </c>
      <c r="BT204" s="19">
        <v>98121</v>
      </c>
      <c r="BU204" s="19" t="s">
        <v>114</v>
      </c>
      <c r="BV204" s="19" t="s">
        <v>114</v>
      </c>
      <c r="BW204" s="19" t="s">
        <v>114</v>
      </c>
      <c r="BX204" s="19" t="s">
        <v>114</v>
      </c>
      <c r="BY204" s="19">
        <v>98126</v>
      </c>
      <c r="BZ204" s="21" t="s">
        <v>114</v>
      </c>
      <c r="CA204" s="21" t="s">
        <v>114</v>
      </c>
      <c r="CB204" s="21" t="s">
        <v>114</v>
      </c>
      <c r="CC204" s="21" t="s">
        <v>114</v>
      </c>
      <c r="CD204" s="21" t="s">
        <v>114</v>
      </c>
      <c r="CE204" s="21" t="s">
        <v>114</v>
      </c>
      <c r="CF204" s="19" t="s">
        <v>114</v>
      </c>
      <c r="CG204" s="19" t="s">
        <v>114</v>
      </c>
      <c r="CH204" s="19" t="s">
        <v>114</v>
      </c>
      <c r="CI204" s="21" t="s">
        <v>114</v>
      </c>
      <c r="CJ204" s="21" t="s">
        <v>114</v>
      </c>
      <c r="CK204" s="21">
        <v>98405</v>
      </c>
      <c r="CL204" s="21" t="s">
        <v>114</v>
      </c>
      <c r="CM204" s="21" t="s">
        <v>114</v>
      </c>
      <c r="CN204" s="21" t="s">
        <v>114</v>
      </c>
      <c r="CO204" s="21" t="s">
        <v>114</v>
      </c>
      <c r="CP204" s="21" t="s">
        <v>114</v>
      </c>
      <c r="CQ204" s="21" t="s">
        <v>114</v>
      </c>
      <c r="CR204" s="21" t="s">
        <v>114</v>
      </c>
      <c r="CS204" s="21" t="s">
        <v>114</v>
      </c>
      <c r="CT204" s="21" t="s">
        <v>114</v>
      </c>
      <c r="CU204" s="21" t="s">
        <v>114</v>
      </c>
      <c r="CV204" s="21" t="s">
        <v>114</v>
      </c>
      <c r="CW204" s="21" t="s">
        <v>114</v>
      </c>
      <c r="CX204" s="21" t="s">
        <v>114</v>
      </c>
      <c r="CY204" s="21" t="s">
        <v>114</v>
      </c>
      <c r="CZ204" s="21" t="s">
        <v>114</v>
      </c>
      <c r="DA204" s="21" t="s">
        <v>114</v>
      </c>
      <c r="DB204" s="21" t="s">
        <v>114</v>
      </c>
      <c r="DC204" s="21" t="s">
        <v>114</v>
      </c>
      <c r="DD204" s="21" t="s">
        <v>114</v>
      </c>
      <c r="DE204" s="21" t="s">
        <v>114</v>
      </c>
      <c r="DF204" s="19" t="s">
        <v>114</v>
      </c>
      <c r="DG204" s="19" t="s">
        <v>114</v>
      </c>
      <c r="DH204" s="19" t="s">
        <v>114</v>
      </c>
      <c r="DI204" s="19" t="s">
        <v>114</v>
      </c>
      <c r="DJ204" s="19" t="s">
        <v>114</v>
      </c>
      <c r="DK204" s="19" t="s">
        <v>114</v>
      </c>
      <c r="DL204" s="19" t="s">
        <v>114</v>
      </c>
      <c r="DM204" s="19" t="s">
        <v>114</v>
      </c>
      <c r="DN204" s="19" t="s">
        <v>114</v>
      </c>
      <c r="DO204" s="19" t="s">
        <v>114</v>
      </c>
    </row>
    <row r="205" spans="1:119" hidden="1" x14ac:dyDescent="0.45">
      <c r="A205" s="2" t="s">
        <v>390</v>
      </c>
      <c r="B205" t="s">
        <v>391</v>
      </c>
      <c r="C205" s="2">
        <v>148</v>
      </c>
      <c r="D205" s="6">
        <v>112</v>
      </c>
      <c r="E205" s="2" t="s">
        <v>392</v>
      </c>
      <c r="F205" t="s">
        <v>392</v>
      </c>
      <c r="G205" t="s">
        <v>2040</v>
      </c>
      <c r="H205" s="2" t="s">
        <v>393</v>
      </c>
      <c r="I205" s="2" t="s">
        <v>392</v>
      </c>
      <c r="J205" s="2">
        <v>2</v>
      </c>
      <c r="K205" t="s">
        <v>116</v>
      </c>
      <c r="L205" s="2">
        <v>202</v>
      </c>
      <c r="M205" t="s">
        <v>166</v>
      </c>
      <c r="N205">
        <v>17</v>
      </c>
      <c r="O205" t="s">
        <v>167</v>
      </c>
      <c r="P205" s="2" t="s">
        <v>116</v>
      </c>
      <c r="Q205" s="2" t="s">
        <v>166</v>
      </c>
      <c r="R205" s="2">
        <v>202</v>
      </c>
      <c r="S205" s="4" t="s">
        <v>166</v>
      </c>
      <c r="T205" s="2">
        <v>202</v>
      </c>
      <c r="U205" s="4" t="s">
        <v>166</v>
      </c>
      <c r="V205" t="s">
        <v>2457</v>
      </c>
      <c r="W205" t="s">
        <v>2457</v>
      </c>
      <c r="X205" t="s">
        <v>2440</v>
      </c>
      <c r="Y205" t="s">
        <v>167</v>
      </c>
      <c r="Z205" t="s">
        <v>167</v>
      </c>
      <c r="AA205" s="3" t="s">
        <v>167</v>
      </c>
      <c r="AB205" s="3" t="s">
        <v>2877</v>
      </c>
      <c r="AC205" s="2" t="s">
        <v>103</v>
      </c>
      <c r="AD205" s="2" t="s">
        <v>1890</v>
      </c>
      <c r="AE205" t="s">
        <v>104</v>
      </c>
      <c r="AF205" t="s">
        <v>1885</v>
      </c>
      <c r="AG205" t="s">
        <v>1884</v>
      </c>
      <c r="AH205" t="s">
        <v>105</v>
      </c>
      <c r="AI205" s="3" t="s">
        <v>105</v>
      </c>
      <c r="AJ205" s="3" t="s">
        <v>106</v>
      </c>
      <c r="AK205" s="3" t="s">
        <v>107</v>
      </c>
      <c r="AL205" s="5" t="s">
        <v>367</v>
      </c>
      <c r="AM205" s="5" t="s">
        <v>109</v>
      </c>
      <c r="AN205" t="s">
        <v>110</v>
      </c>
      <c r="AO205" t="s">
        <v>25</v>
      </c>
      <c r="AP205" s="3" t="s">
        <v>26</v>
      </c>
      <c r="AQ205" s="3" t="s">
        <v>111</v>
      </c>
      <c r="AR205" s="3" t="s">
        <v>112</v>
      </c>
      <c r="AS205" s="3" t="s">
        <v>112</v>
      </c>
      <c r="AT205" s="3" t="s">
        <v>113</v>
      </c>
      <c r="AU205" s="3" t="s">
        <v>2303</v>
      </c>
      <c r="AV205" s="3" t="s">
        <v>2302</v>
      </c>
      <c r="AW205" s="3" t="s">
        <v>2301</v>
      </c>
      <c r="AX205" s="3" t="s">
        <v>2006</v>
      </c>
      <c r="AY205" s="19">
        <v>98100</v>
      </c>
      <c r="AZ205" s="19">
        <v>98101</v>
      </c>
      <c r="BA205" s="19" t="s">
        <v>114</v>
      </c>
      <c r="BB205" s="19" t="s">
        <v>114</v>
      </c>
      <c r="BC205" s="19" t="s">
        <v>114</v>
      </c>
      <c r="BD205" s="19" t="s">
        <v>114</v>
      </c>
      <c r="BE205" s="19">
        <v>98106</v>
      </c>
      <c r="BF205" s="19">
        <v>98107</v>
      </c>
      <c r="BG205" s="19" t="s">
        <v>114</v>
      </c>
      <c r="BH205" s="19" t="s">
        <v>114</v>
      </c>
      <c r="BI205" s="19" t="s">
        <v>114</v>
      </c>
      <c r="BJ205" s="19" t="s">
        <v>114</v>
      </c>
      <c r="BK205" s="19">
        <v>98112</v>
      </c>
      <c r="BL205" s="19" t="s">
        <v>114</v>
      </c>
      <c r="BM205" s="19" t="s">
        <v>114</v>
      </c>
      <c r="BN205" s="19" t="s">
        <v>114</v>
      </c>
      <c r="BO205" s="19">
        <v>98116</v>
      </c>
      <c r="BP205" s="19">
        <v>98117</v>
      </c>
      <c r="BQ205" s="19">
        <v>98118</v>
      </c>
      <c r="BR205" s="19" t="s">
        <v>114</v>
      </c>
      <c r="BS205" s="19" t="s">
        <v>114</v>
      </c>
      <c r="BT205" s="19" t="s">
        <v>114</v>
      </c>
      <c r="BU205" s="19">
        <v>98122</v>
      </c>
      <c r="BV205" s="19">
        <v>98123</v>
      </c>
      <c r="BW205" s="19">
        <v>98124</v>
      </c>
      <c r="BX205" s="19" t="s">
        <v>114</v>
      </c>
      <c r="BY205" s="19">
        <v>98126</v>
      </c>
      <c r="BZ205" s="21" t="s">
        <v>114</v>
      </c>
      <c r="CA205" s="21" t="s">
        <v>114</v>
      </c>
      <c r="CB205" s="21" t="s">
        <v>114</v>
      </c>
      <c r="CC205" s="21" t="s">
        <v>114</v>
      </c>
      <c r="CD205" s="21" t="s">
        <v>114</v>
      </c>
      <c r="CE205" s="21" t="s">
        <v>114</v>
      </c>
      <c r="CF205" s="19" t="s">
        <v>114</v>
      </c>
      <c r="CG205" s="19" t="s">
        <v>114</v>
      </c>
      <c r="CH205" s="19" t="s">
        <v>114</v>
      </c>
      <c r="CI205" s="21" t="s">
        <v>114</v>
      </c>
      <c r="CJ205" s="21" t="s">
        <v>114</v>
      </c>
      <c r="CK205" s="21">
        <v>98405</v>
      </c>
      <c r="CL205" s="21" t="s">
        <v>114</v>
      </c>
      <c r="CM205" s="21" t="s">
        <v>114</v>
      </c>
      <c r="CN205" s="21" t="s">
        <v>114</v>
      </c>
      <c r="CO205" s="21" t="s">
        <v>114</v>
      </c>
      <c r="CP205" s="21" t="s">
        <v>114</v>
      </c>
      <c r="CQ205" s="21" t="s">
        <v>114</v>
      </c>
      <c r="CR205" s="21" t="s">
        <v>114</v>
      </c>
      <c r="CS205" s="21" t="s">
        <v>114</v>
      </c>
      <c r="CT205" s="21" t="s">
        <v>114</v>
      </c>
      <c r="CU205" s="21" t="s">
        <v>114</v>
      </c>
      <c r="CV205" s="21" t="s">
        <v>114</v>
      </c>
      <c r="CW205" s="21" t="s">
        <v>114</v>
      </c>
      <c r="CX205" s="21" t="s">
        <v>114</v>
      </c>
      <c r="CY205" s="21" t="s">
        <v>114</v>
      </c>
      <c r="CZ205" s="21" t="s">
        <v>114</v>
      </c>
      <c r="DA205" s="21" t="s">
        <v>114</v>
      </c>
      <c r="DB205" s="21" t="s">
        <v>114</v>
      </c>
      <c r="DC205" s="21" t="s">
        <v>114</v>
      </c>
      <c r="DD205" s="21" t="s">
        <v>114</v>
      </c>
      <c r="DE205" s="21" t="s">
        <v>114</v>
      </c>
      <c r="DF205" s="19" t="s">
        <v>114</v>
      </c>
      <c r="DG205" s="19" t="s">
        <v>114</v>
      </c>
      <c r="DH205" s="19" t="s">
        <v>114</v>
      </c>
      <c r="DI205" s="19" t="s">
        <v>114</v>
      </c>
      <c r="DJ205" s="19" t="s">
        <v>114</v>
      </c>
      <c r="DK205" s="19" t="s">
        <v>114</v>
      </c>
      <c r="DL205" s="19" t="s">
        <v>114</v>
      </c>
      <c r="DM205" s="19" t="s">
        <v>114</v>
      </c>
      <c r="DN205" s="19" t="s">
        <v>114</v>
      </c>
      <c r="DO205" s="19" t="s">
        <v>114</v>
      </c>
    </row>
    <row r="206" spans="1:119" hidden="1" x14ac:dyDescent="0.45">
      <c r="A206" s="2" t="s">
        <v>450</v>
      </c>
      <c r="B206" t="s">
        <v>451</v>
      </c>
      <c r="C206" s="2">
        <v>178</v>
      </c>
      <c r="D206" s="6">
        <v>115</v>
      </c>
      <c r="E206" s="2" t="s">
        <v>1606</v>
      </c>
      <c r="F206" s="3" t="s">
        <v>2009</v>
      </c>
      <c r="G206" t="s">
        <v>2045</v>
      </c>
      <c r="H206" s="2" t="s">
        <v>452</v>
      </c>
      <c r="I206" s="2" t="s">
        <v>452</v>
      </c>
      <c r="J206" s="2">
        <v>2</v>
      </c>
      <c r="K206" t="s">
        <v>116</v>
      </c>
      <c r="L206" s="2">
        <v>202</v>
      </c>
      <c r="M206" t="s">
        <v>166</v>
      </c>
      <c r="N206">
        <v>17</v>
      </c>
      <c r="O206" t="s">
        <v>167</v>
      </c>
      <c r="P206" s="2" t="s">
        <v>116</v>
      </c>
      <c r="Q206" s="2" t="s">
        <v>166</v>
      </c>
      <c r="R206" s="2">
        <v>202</v>
      </c>
      <c r="S206" s="4" t="s">
        <v>166</v>
      </c>
      <c r="T206" s="2">
        <v>202</v>
      </c>
      <c r="U206" s="4" t="s">
        <v>166</v>
      </c>
      <c r="V206" t="s">
        <v>2457</v>
      </c>
      <c r="W206" t="s">
        <v>2457</v>
      </c>
      <c r="X206" t="s">
        <v>2440</v>
      </c>
      <c r="Y206" t="s">
        <v>167</v>
      </c>
      <c r="Z206" t="s">
        <v>167</v>
      </c>
      <c r="AA206" s="3" t="s">
        <v>167</v>
      </c>
      <c r="AB206" s="3" t="s">
        <v>2877</v>
      </c>
      <c r="AC206" s="2" t="s">
        <v>168</v>
      </c>
      <c r="AD206" s="2" t="s">
        <v>1890</v>
      </c>
      <c r="AE206" t="s">
        <v>104</v>
      </c>
      <c r="AF206" t="s">
        <v>1885</v>
      </c>
      <c r="AG206" t="s">
        <v>1884</v>
      </c>
      <c r="AH206" t="s">
        <v>105</v>
      </c>
      <c r="AI206" s="3" t="s">
        <v>105</v>
      </c>
      <c r="AJ206" s="3" t="s">
        <v>106</v>
      </c>
      <c r="AK206" s="3" t="s">
        <v>107</v>
      </c>
      <c r="AL206" s="5" t="s">
        <v>367</v>
      </c>
      <c r="AM206" s="5" t="s">
        <v>109</v>
      </c>
      <c r="AN206" t="s">
        <v>110</v>
      </c>
      <c r="AO206" s="3" t="s">
        <v>119</v>
      </c>
      <c r="AP206" s="3" t="s">
        <v>120</v>
      </c>
      <c r="AQ206" s="3" t="s">
        <v>111</v>
      </c>
      <c r="AR206" s="3" t="s">
        <v>112</v>
      </c>
      <c r="AS206" s="3" t="s">
        <v>112</v>
      </c>
      <c r="AT206" s="3" t="s">
        <v>113</v>
      </c>
      <c r="AU206" s="3" t="s">
        <v>2303</v>
      </c>
      <c r="AV206" s="3" t="s">
        <v>2302</v>
      </c>
      <c r="AW206" s="3" t="s">
        <v>2301</v>
      </c>
      <c r="AX206" s="3" t="s">
        <v>2006</v>
      </c>
      <c r="AY206" s="19">
        <v>98100</v>
      </c>
      <c r="AZ206" s="19">
        <v>98101</v>
      </c>
      <c r="BA206" s="19" t="s">
        <v>114</v>
      </c>
      <c r="BB206" s="19" t="s">
        <v>114</v>
      </c>
      <c r="BC206" s="19" t="s">
        <v>114</v>
      </c>
      <c r="BD206" s="19" t="s">
        <v>114</v>
      </c>
      <c r="BE206" s="19">
        <v>98106</v>
      </c>
      <c r="BF206" s="19">
        <v>98107</v>
      </c>
      <c r="BG206" s="19" t="s">
        <v>114</v>
      </c>
      <c r="BH206" s="19" t="s">
        <v>114</v>
      </c>
      <c r="BI206" s="19" t="s">
        <v>114</v>
      </c>
      <c r="BJ206" s="19" t="s">
        <v>114</v>
      </c>
      <c r="BK206" s="19" t="s">
        <v>114</v>
      </c>
      <c r="BL206" s="19" t="s">
        <v>114</v>
      </c>
      <c r="BM206" s="19" t="s">
        <v>114</v>
      </c>
      <c r="BN206" s="19" t="s">
        <v>114</v>
      </c>
      <c r="BO206" s="19" t="s">
        <v>114</v>
      </c>
      <c r="BP206" s="19" t="s">
        <v>114</v>
      </c>
      <c r="BQ206" s="19" t="s">
        <v>114</v>
      </c>
      <c r="BR206" s="19" t="s">
        <v>114</v>
      </c>
      <c r="BS206" s="19" t="s">
        <v>114</v>
      </c>
      <c r="BT206" s="19" t="s">
        <v>114</v>
      </c>
      <c r="BU206" s="19" t="s">
        <v>114</v>
      </c>
      <c r="BV206" s="19">
        <v>98123</v>
      </c>
      <c r="BW206" s="19" t="s">
        <v>114</v>
      </c>
      <c r="BX206" s="19" t="s">
        <v>114</v>
      </c>
      <c r="BY206" s="19">
        <v>98126</v>
      </c>
      <c r="BZ206" s="21" t="s">
        <v>114</v>
      </c>
      <c r="CA206" s="21" t="s">
        <v>114</v>
      </c>
      <c r="CB206" s="21" t="s">
        <v>114</v>
      </c>
      <c r="CC206" s="21" t="s">
        <v>114</v>
      </c>
      <c r="CD206" s="21" t="s">
        <v>114</v>
      </c>
      <c r="CE206" s="21" t="s">
        <v>114</v>
      </c>
      <c r="CF206" s="19" t="s">
        <v>114</v>
      </c>
      <c r="CG206" s="19" t="s">
        <v>114</v>
      </c>
      <c r="CH206" s="19" t="s">
        <v>114</v>
      </c>
      <c r="CI206" s="21" t="s">
        <v>114</v>
      </c>
      <c r="CJ206" s="21" t="s">
        <v>114</v>
      </c>
      <c r="CK206" s="21">
        <v>98405</v>
      </c>
      <c r="CL206" s="21" t="s">
        <v>114</v>
      </c>
      <c r="CM206" s="21" t="s">
        <v>114</v>
      </c>
      <c r="CN206" s="21" t="s">
        <v>114</v>
      </c>
      <c r="CO206" s="21" t="s">
        <v>114</v>
      </c>
      <c r="CP206" s="21" t="s">
        <v>114</v>
      </c>
      <c r="CQ206" s="21" t="s">
        <v>114</v>
      </c>
      <c r="CR206" s="21" t="s">
        <v>114</v>
      </c>
      <c r="CS206" s="21" t="s">
        <v>114</v>
      </c>
      <c r="CT206" s="21" t="s">
        <v>114</v>
      </c>
      <c r="CU206" s="21" t="s">
        <v>114</v>
      </c>
      <c r="CV206" s="21" t="s">
        <v>114</v>
      </c>
      <c r="CW206" s="21" t="s">
        <v>114</v>
      </c>
      <c r="CX206" s="21" t="s">
        <v>114</v>
      </c>
      <c r="CY206" s="21" t="s">
        <v>114</v>
      </c>
      <c r="CZ206" s="21" t="s">
        <v>114</v>
      </c>
      <c r="DA206" s="21" t="s">
        <v>114</v>
      </c>
      <c r="DB206" s="21" t="s">
        <v>114</v>
      </c>
      <c r="DC206" s="21" t="s">
        <v>114</v>
      </c>
      <c r="DD206" s="21" t="s">
        <v>114</v>
      </c>
      <c r="DE206" s="21" t="s">
        <v>114</v>
      </c>
      <c r="DF206" s="19" t="s">
        <v>114</v>
      </c>
      <c r="DG206" s="19" t="s">
        <v>114</v>
      </c>
      <c r="DH206" s="19" t="s">
        <v>114</v>
      </c>
      <c r="DI206" s="19" t="s">
        <v>114</v>
      </c>
      <c r="DJ206" s="19" t="s">
        <v>114</v>
      </c>
      <c r="DK206" s="19" t="s">
        <v>114</v>
      </c>
      <c r="DL206" s="19" t="s">
        <v>114</v>
      </c>
      <c r="DM206" s="19" t="s">
        <v>114</v>
      </c>
      <c r="DN206" s="19" t="s">
        <v>114</v>
      </c>
      <c r="DO206" s="19" t="s">
        <v>114</v>
      </c>
    </row>
    <row r="207" spans="1:119" hidden="1" x14ac:dyDescent="0.45">
      <c r="A207" s="2" t="s">
        <v>499</v>
      </c>
      <c r="B207" t="s">
        <v>500</v>
      </c>
      <c r="C207" s="2">
        <v>180</v>
      </c>
      <c r="D207" s="6">
        <v>114</v>
      </c>
      <c r="E207" s="2" t="s">
        <v>1605</v>
      </c>
      <c r="F207" s="4" t="s">
        <v>1895</v>
      </c>
      <c r="G207" t="s">
        <v>2053</v>
      </c>
      <c r="H207" s="4" t="s">
        <v>502</v>
      </c>
      <c r="I207" s="2" t="s">
        <v>503</v>
      </c>
      <c r="J207" s="2">
        <v>2</v>
      </c>
      <c r="K207" t="s">
        <v>116</v>
      </c>
      <c r="L207" s="2">
        <v>202</v>
      </c>
      <c r="M207" t="s">
        <v>166</v>
      </c>
      <c r="N207">
        <v>17</v>
      </c>
      <c r="O207" t="s">
        <v>167</v>
      </c>
      <c r="P207" s="2" t="s">
        <v>116</v>
      </c>
      <c r="Q207" s="2" t="s">
        <v>166</v>
      </c>
      <c r="R207" s="2">
        <v>202</v>
      </c>
      <c r="S207" s="4" t="s">
        <v>166</v>
      </c>
      <c r="T207" s="2">
        <v>202</v>
      </c>
      <c r="U207" s="4" t="s">
        <v>166</v>
      </c>
      <c r="V207" t="s">
        <v>2457</v>
      </c>
      <c r="W207" t="s">
        <v>2457</v>
      </c>
      <c r="X207" t="s">
        <v>2440</v>
      </c>
      <c r="Y207" t="s">
        <v>167</v>
      </c>
      <c r="Z207" t="s">
        <v>167</v>
      </c>
      <c r="AA207" s="3" t="s">
        <v>167</v>
      </c>
      <c r="AB207" s="3" t="s">
        <v>2877</v>
      </c>
      <c r="AC207" s="2" t="s">
        <v>103</v>
      </c>
      <c r="AD207" s="2" t="s">
        <v>1890</v>
      </c>
      <c r="AE207" t="s">
        <v>104</v>
      </c>
      <c r="AF207" t="s">
        <v>1885</v>
      </c>
      <c r="AG207" t="s">
        <v>1884</v>
      </c>
      <c r="AH207" t="s">
        <v>105</v>
      </c>
      <c r="AI207" s="3" t="s">
        <v>105</v>
      </c>
      <c r="AJ207" s="3" t="s">
        <v>106</v>
      </c>
      <c r="AK207" s="3" t="s">
        <v>107</v>
      </c>
      <c r="AL207" s="5" t="s">
        <v>504</v>
      </c>
      <c r="AM207" s="5" t="s">
        <v>109</v>
      </c>
      <c r="AO207" t="s">
        <v>25</v>
      </c>
      <c r="AP207" s="3" t="s">
        <v>120</v>
      </c>
      <c r="AQ207" s="3" t="s">
        <v>111</v>
      </c>
      <c r="AR207" s="3" t="s">
        <v>112</v>
      </c>
      <c r="AS207" s="3" t="s">
        <v>112</v>
      </c>
      <c r="AT207" s="3" t="s">
        <v>113</v>
      </c>
      <c r="AU207" s="3" t="s">
        <v>2303</v>
      </c>
      <c r="AV207" s="3" t="s">
        <v>2302</v>
      </c>
      <c r="AW207" s="3" t="s">
        <v>2301</v>
      </c>
      <c r="AX207" s="3" t="s">
        <v>2006</v>
      </c>
      <c r="AY207" s="19">
        <v>98100</v>
      </c>
      <c r="AZ207" s="19" t="s">
        <v>114</v>
      </c>
      <c r="BA207" s="19">
        <v>98102</v>
      </c>
      <c r="BB207" s="19" t="s">
        <v>114</v>
      </c>
      <c r="BC207" s="19" t="s">
        <v>114</v>
      </c>
      <c r="BD207" s="19" t="s">
        <v>114</v>
      </c>
      <c r="BE207" s="19">
        <v>98106</v>
      </c>
      <c r="BF207" s="19">
        <v>98107</v>
      </c>
      <c r="BG207" s="19" t="s">
        <v>114</v>
      </c>
      <c r="BH207" s="19" t="s">
        <v>114</v>
      </c>
      <c r="BI207" s="19">
        <v>98110</v>
      </c>
      <c r="BJ207" s="19" t="s">
        <v>114</v>
      </c>
      <c r="BK207" s="19" t="s">
        <v>114</v>
      </c>
      <c r="BL207" s="19">
        <v>98113</v>
      </c>
      <c r="BM207" s="19">
        <v>98114</v>
      </c>
      <c r="BN207" s="19" t="s">
        <v>114</v>
      </c>
      <c r="BO207" s="19" t="s">
        <v>114</v>
      </c>
      <c r="BP207" s="19" t="s">
        <v>114</v>
      </c>
      <c r="BQ207" s="19">
        <v>98118</v>
      </c>
      <c r="BR207" s="19">
        <v>98119</v>
      </c>
      <c r="BS207" s="19" t="s">
        <v>114</v>
      </c>
      <c r="BT207" s="19" t="s">
        <v>114</v>
      </c>
      <c r="BU207" s="19">
        <v>98122</v>
      </c>
      <c r="BV207" s="19">
        <v>98123</v>
      </c>
      <c r="BW207" s="19" t="s">
        <v>114</v>
      </c>
      <c r="BX207" s="19" t="s">
        <v>114</v>
      </c>
      <c r="BY207" s="19">
        <v>98126</v>
      </c>
      <c r="BZ207" s="21" t="s">
        <v>114</v>
      </c>
      <c r="CA207" s="21" t="s">
        <v>114</v>
      </c>
      <c r="CB207" s="21" t="s">
        <v>114</v>
      </c>
      <c r="CC207" s="21" t="s">
        <v>114</v>
      </c>
      <c r="CD207" s="21" t="s">
        <v>114</v>
      </c>
      <c r="CE207" s="21" t="s">
        <v>114</v>
      </c>
      <c r="CF207" s="19" t="s">
        <v>114</v>
      </c>
      <c r="CG207" s="19" t="s">
        <v>114</v>
      </c>
      <c r="CH207" s="19" t="s">
        <v>114</v>
      </c>
      <c r="CI207" s="21" t="s">
        <v>114</v>
      </c>
      <c r="CJ207" s="21" t="s">
        <v>114</v>
      </c>
      <c r="CK207" s="21">
        <v>98405</v>
      </c>
      <c r="CL207" s="21" t="s">
        <v>114</v>
      </c>
      <c r="CM207" s="21" t="s">
        <v>114</v>
      </c>
      <c r="CN207" s="21" t="s">
        <v>114</v>
      </c>
      <c r="CO207" s="21" t="s">
        <v>114</v>
      </c>
      <c r="CP207" s="21" t="s">
        <v>114</v>
      </c>
      <c r="CQ207" s="21" t="s">
        <v>114</v>
      </c>
      <c r="CR207" s="21" t="s">
        <v>114</v>
      </c>
      <c r="CS207" s="21" t="s">
        <v>114</v>
      </c>
      <c r="CT207" s="21" t="s">
        <v>114</v>
      </c>
      <c r="CU207" s="21" t="s">
        <v>114</v>
      </c>
      <c r="CV207" s="21" t="s">
        <v>114</v>
      </c>
      <c r="CW207" s="21" t="s">
        <v>114</v>
      </c>
      <c r="CX207" s="21" t="s">
        <v>114</v>
      </c>
      <c r="CY207" s="21" t="s">
        <v>114</v>
      </c>
      <c r="CZ207" s="21" t="s">
        <v>114</v>
      </c>
      <c r="DA207" s="21" t="s">
        <v>114</v>
      </c>
      <c r="DB207" s="21" t="s">
        <v>114</v>
      </c>
      <c r="DC207" s="21" t="s">
        <v>114</v>
      </c>
      <c r="DD207" s="21" t="s">
        <v>114</v>
      </c>
      <c r="DE207" s="21" t="s">
        <v>114</v>
      </c>
      <c r="DF207" s="19" t="s">
        <v>114</v>
      </c>
      <c r="DG207" s="19" t="s">
        <v>114</v>
      </c>
      <c r="DH207" s="19" t="s">
        <v>114</v>
      </c>
      <c r="DI207" s="19" t="s">
        <v>114</v>
      </c>
      <c r="DJ207" s="19" t="s">
        <v>114</v>
      </c>
      <c r="DK207" s="19" t="s">
        <v>114</v>
      </c>
      <c r="DL207" s="19" t="s">
        <v>114</v>
      </c>
      <c r="DM207" s="19" t="s">
        <v>114</v>
      </c>
      <c r="DN207" s="19" t="s">
        <v>114</v>
      </c>
      <c r="DO207" s="19" t="s">
        <v>114</v>
      </c>
    </row>
    <row r="208" spans="1:119" hidden="1" x14ac:dyDescent="0.45">
      <c r="A208" s="2" t="s">
        <v>540</v>
      </c>
      <c r="B208" t="s">
        <v>541</v>
      </c>
      <c r="C208" s="2">
        <v>226</v>
      </c>
      <c r="D208" s="6">
        <v>119</v>
      </c>
      <c r="E208" s="2" t="s">
        <v>1628</v>
      </c>
      <c r="F208" t="s">
        <v>542</v>
      </c>
      <c r="G208" t="s">
        <v>2061</v>
      </c>
      <c r="H208" s="2" t="s">
        <v>543</v>
      </c>
      <c r="I208" s="2" t="s">
        <v>544</v>
      </c>
      <c r="J208" s="2">
        <v>2</v>
      </c>
      <c r="K208" t="s">
        <v>116</v>
      </c>
      <c r="L208" s="2">
        <v>202</v>
      </c>
      <c r="M208" t="s">
        <v>166</v>
      </c>
      <c r="N208">
        <v>17</v>
      </c>
      <c r="O208" t="s">
        <v>167</v>
      </c>
      <c r="P208" s="2" t="s">
        <v>116</v>
      </c>
      <c r="Q208" s="2" t="s">
        <v>166</v>
      </c>
      <c r="R208" s="2">
        <v>202</v>
      </c>
      <c r="S208" s="4" t="s">
        <v>166</v>
      </c>
      <c r="T208" s="2">
        <v>202</v>
      </c>
      <c r="U208" s="4" t="s">
        <v>166</v>
      </c>
      <c r="V208" t="s">
        <v>2457</v>
      </c>
      <c r="W208" t="s">
        <v>2457</v>
      </c>
      <c r="X208" t="s">
        <v>2440</v>
      </c>
      <c r="Y208" t="s">
        <v>167</v>
      </c>
      <c r="Z208" t="s">
        <v>167</v>
      </c>
      <c r="AA208" s="3" t="s">
        <v>167</v>
      </c>
      <c r="AB208" s="3" t="s">
        <v>2877</v>
      </c>
      <c r="AC208" s="2" t="s">
        <v>138</v>
      </c>
      <c r="AD208" s="4" t="s">
        <v>1891</v>
      </c>
      <c r="AE208" t="s">
        <v>104</v>
      </c>
      <c r="AF208" t="s">
        <v>1885</v>
      </c>
      <c r="AG208" t="s">
        <v>1884</v>
      </c>
      <c r="AH208" t="s">
        <v>105</v>
      </c>
      <c r="AI208" s="3" t="s">
        <v>105</v>
      </c>
      <c r="AJ208" s="3" t="s">
        <v>106</v>
      </c>
      <c r="AK208" s="3" t="s">
        <v>107</v>
      </c>
      <c r="AL208" s="5" t="s">
        <v>367</v>
      </c>
      <c r="AM208" s="5" t="s">
        <v>109</v>
      </c>
      <c r="AN208" t="s">
        <v>110</v>
      </c>
      <c r="AO208" s="3" t="s">
        <v>119</v>
      </c>
      <c r="AP208" s="3" t="s">
        <v>120</v>
      </c>
      <c r="AQ208" s="3" t="s">
        <v>111</v>
      </c>
      <c r="AR208" s="3" t="s">
        <v>112</v>
      </c>
      <c r="AS208" s="3" t="s">
        <v>112</v>
      </c>
      <c r="AT208" s="3" t="s">
        <v>113</v>
      </c>
      <c r="AU208" s="3" t="s">
        <v>2303</v>
      </c>
      <c r="AV208" s="3" t="s">
        <v>2302</v>
      </c>
      <c r="AW208" s="3" t="s">
        <v>2301</v>
      </c>
      <c r="AX208" s="3" t="s">
        <v>2006</v>
      </c>
      <c r="AY208" s="19">
        <v>98100</v>
      </c>
      <c r="AZ208" s="19">
        <v>98101</v>
      </c>
      <c r="BA208" s="19" t="s">
        <v>114</v>
      </c>
      <c r="BB208" s="19" t="s">
        <v>114</v>
      </c>
      <c r="BC208" s="19" t="s">
        <v>114</v>
      </c>
      <c r="BD208" s="19" t="s">
        <v>114</v>
      </c>
      <c r="BE208" s="19">
        <v>98106</v>
      </c>
      <c r="BF208" s="19">
        <v>98107</v>
      </c>
      <c r="BG208" s="19" t="s">
        <v>114</v>
      </c>
      <c r="BH208" s="19" t="s">
        <v>114</v>
      </c>
      <c r="BI208" s="19" t="s">
        <v>114</v>
      </c>
      <c r="BJ208" s="19" t="s">
        <v>114</v>
      </c>
      <c r="BK208" s="19" t="s">
        <v>114</v>
      </c>
      <c r="BL208" s="19" t="s">
        <v>114</v>
      </c>
      <c r="BM208" s="19" t="s">
        <v>114</v>
      </c>
      <c r="BN208" s="19" t="s">
        <v>114</v>
      </c>
      <c r="BO208" s="19" t="s">
        <v>114</v>
      </c>
      <c r="BP208" s="19" t="s">
        <v>114</v>
      </c>
      <c r="BQ208" s="19" t="s">
        <v>114</v>
      </c>
      <c r="BR208" s="19">
        <v>98119</v>
      </c>
      <c r="BS208" s="19" t="s">
        <v>114</v>
      </c>
      <c r="BT208" s="19" t="s">
        <v>114</v>
      </c>
      <c r="BU208" s="19" t="s">
        <v>114</v>
      </c>
      <c r="BV208" s="19">
        <v>98123</v>
      </c>
      <c r="BW208" s="19" t="s">
        <v>114</v>
      </c>
      <c r="BX208" s="19" t="s">
        <v>114</v>
      </c>
      <c r="BY208" s="19">
        <v>98126</v>
      </c>
      <c r="BZ208" s="21" t="s">
        <v>114</v>
      </c>
      <c r="CA208" s="21" t="s">
        <v>114</v>
      </c>
      <c r="CB208" s="21" t="s">
        <v>114</v>
      </c>
      <c r="CC208" s="21" t="s">
        <v>114</v>
      </c>
      <c r="CD208" s="21" t="s">
        <v>114</v>
      </c>
      <c r="CE208" s="21" t="s">
        <v>114</v>
      </c>
      <c r="CF208" s="19" t="s">
        <v>114</v>
      </c>
      <c r="CG208" s="19" t="s">
        <v>114</v>
      </c>
      <c r="CH208" s="19" t="s">
        <v>114</v>
      </c>
      <c r="CI208" s="21" t="s">
        <v>114</v>
      </c>
      <c r="CJ208" s="21" t="s">
        <v>114</v>
      </c>
      <c r="CK208" s="21">
        <v>98405</v>
      </c>
      <c r="CL208" s="21" t="s">
        <v>114</v>
      </c>
      <c r="CM208" s="21" t="s">
        <v>114</v>
      </c>
      <c r="CN208" s="21" t="s">
        <v>114</v>
      </c>
      <c r="CO208" s="21" t="s">
        <v>114</v>
      </c>
      <c r="CP208" s="21" t="s">
        <v>114</v>
      </c>
      <c r="CQ208" s="21" t="s">
        <v>114</v>
      </c>
      <c r="CR208" s="21" t="s">
        <v>114</v>
      </c>
      <c r="CS208" s="21" t="s">
        <v>114</v>
      </c>
      <c r="CT208" s="21" t="s">
        <v>114</v>
      </c>
      <c r="CU208" s="21" t="s">
        <v>114</v>
      </c>
      <c r="CV208" s="21" t="s">
        <v>114</v>
      </c>
      <c r="CW208" s="21" t="s">
        <v>114</v>
      </c>
      <c r="CX208" s="21" t="s">
        <v>114</v>
      </c>
      <c r="CY208" s="21" t="s">
        <v>114</v>
      </c>
      <c r="CZ208" s="21" t="s">
        <v>114</v>
      </c>
      <c r="DA208" s="21" t="s">
        <v>114</v>
      </c>
      <c r="DB208" s="21" t="s">
        <v>114</v>
      </c>
      <c r="DC208" s="21" t="s">
        <v>114</v>
      </c>
      <c r="DD208" s="21" t="s">
        <v>114</v>
      </c>
      <c r="DE208" s="21" t="s">
        <v>114</v>
      </c>
      <c r="DF208" s="19" t="s">
        <v>114</v>
      </c>
      <c r="DG208" s="19" t="s">
        <v>114</v>
      </c>
      <c r="DH208" s="19" t="s">
        <v>114</v>
      </c>
      <c r="DI208" s="19" t="s">
        <v>114</v>
      </c>
      <c r="DJ208" s="19" t="s">
        <v>114</v>
      </c>
      <c r="DK208" s="19" t="s">
        <v>114</v>
      </c>
      <c r="DL208" s="19" t="s">
        <v>114</v>
      </c>
      <c r="DM208" s="19" t="s">
        <v>114</v>
      </c>
      <c r="DN208" s="19" t="s">
        <v>114</v>
      </c>
      <c r="DO208" s="19" t="s">
        <v>114</v>
      </c>
    </row>
    <row r="209" spans="1:119" hidden="1" x14ac:dyDescent="0.45">
      <c r="A209" s="2" t="s">
        <v>616</v>
      </c>
      <c r="B209" t="s">
        <v>617</v>
      </c>
      <c r="C209" s="2">
        <v>266</v>
      </c>
      <c r="D209" s="6">
        <v>124</v>
      </c>
      <c r="E209" s="2" t="s">
        <v>618</v>
      </c>
      <c r="F209" t="s">
        <v>618</v>
      </c>
      <c r="G209" t="s">
        <v>2069</v>
      </c>
      <c r="H209" s="2" t="s">
        <v>618</v>
      </c>
      <c r="I209" s="2" t="s">
        <v>619</v>
      </c>
      <c r="J209" s="2">
        <v>2</v>
      </c>
      <c r="K209" t="s">
        <v>116</v>
      </c>
      <c r="L209" s="2">
        <v>202</v>
      </c>
      <c r="M209" t="s">
        <v>166</v>
      </c>
      <c r="N209">
        <v>17</v>
      </c>
      <c r="O209" t="s">
        <v>167</v>
      </c>
      <c r="P209" s="2" t="s">
        <v>116</v>
      </c>
      <c r="Q209" s="2" t="s">
        <v>166</v>
      </c>
      <c r="R209" s="2">
        <v>202</v>
      </c>
      <c r="S209" s="4" t="s">
        <v>166</v>
      </c>
      <c r="T209" s="2">
        <v>202</v>
      </c>
      <c r="U209" s="4" t="s">
        <v>166</v>
      </c>
      <c r="V209" t="s">
        <v>2457</v>
      </c>
      <c r="W209" t="s">
        <v>2457</v>
      </c>
      <c r="X209" t="s">
        <v>2440</v>
      </c>
      <c r="Y209" t="s">
        <v>167</v>
      </c>
      <c r="Z209" t="s">
        <v>167</v>
      </c>
      <c r="AA209" s="3" t="s">
        <v>167</v>
      </c>
      <c r="AB209" s="3" t="s">
        <v>2877</v>
      </c>
      <c r="AC209" s="2" t="s">
        <v>138</v>
      </c>
      <c r="AD209" s="4" t="s">
        <v>1891</v>
      </c>
      <c r="AE209" t="s">
        <v>104</v>
      </c>
      <c r="AF209" t="s">
        <v>1885</v>
      </c>
      <c r="AG209" t="s">
        <v>1884</v>
      </c>
      <c r="AH209" t="s">
        <v>105</v>
      </c>
      <c r="AI209" s="3" t="s">
        <v>105</v>
      </c>
      <c r="AJ209" s="3" t="s">
        <v>106</v>
      </c>
      <c r="AK209" s="3" t="s">
        <v>107</v>
      </c>
      <c r="AL209" s="5" t="s">
        <v>367</v>
      </c>
      <c r="AM209" s="5" t="s">
        <v>109</v>
      </c>
      <c r="AN209" t="s">
        <v>110</v>
      </c>
      <c r="AO209" s="3" t="s">
        <v>119</v>
      </c>
      <c r="AP209" s="3" t="s">
        <v>120</v>
      </c>
      <c r="AQ209" s="3" t="s">
        <v>111</v>
      </c>
      <c r="AR209" s="3" t="s">
        <v>112</v>
      </c>
      <c r="AS209" s="3" t="s">
        <v>112</v>
      </c>
      <c r="AT209" s="3" t="s">
        <v>113</v>
      </c>
      <c r="AU209" s="3" t="s">
        <v>2303</v>
      </c>
      <c r="AV209" s="3" t="s">
        <v>2302</v>
      </c>
      <c r="AW209" s="3" t="s">
        <v>2301</v>
      </c>
      <c r="AX209" s="3" t="s">
        <v>2006</v>
      </c>
      <c r="AY209" s="19">
        <v>98100</v>
      </c>
      <c r="AZ209" s="19">
        <v>98101</v>
      </c>
      <c r="BA209" s="19" t="s">
        <v>114</v>
      </c>
      <c r="BB209" s="19" t="s">
        <v>114</v>
      </c>
      <c r="BC209" s="19" t="s">
        <v>114</v>
      </c>
      <c r="BD209" s="19" t="s">
        <v>114</v>
      </c>
      <c r="BE209" s="19">
        <v>98106</v>
      </c>
      <c r="BF209" s="19">
        <v>98107</v>
      </c>
      <c r="BG209" s="19" t="s">
        <v>114</v>
      </c>
      <c r="BH209" s="19" t="s">
        <v>114</v>
      </c>
      <c r="BI209" s="19" t="s">
        <v>114</v>
      </c>
      <c r="BJ209" s="19" t="s">
        <v>114</v>
      </c>
      <c r="BK209" s="19" t="s">
        <v>114</v>
      </c>
      <c r="BL209" s="19" t="s">
        <v>114</v>
      </c>
      <c r="BM209" s="19" t="s">
        <v>114</v>
      </c>
      <c r="BN209" s="19" t="s">
        <v>114</v>
      </c>
      <c r="BO209" s="19" t="s">
        <v>114</v>
      </c>
      <c r="BP209" s="19" t="s">
        <v>114</v>
      </c>
      <c r="BQ209" s="19" t="s">
        <v>114</v>
      </c>
      <c r="BR209" s="19" t="s">
        <v>114</v>
      </c>
      <c r="BS209" s="19" t="s">
        <v>114</v>
      </c>
      <c r="BT209" s="19" t="s">
        <v>114</v>
      </c>
      <c r="BU209" s="19" t="s">
        <v>114</v>
      </c>
      <c r="BV209" s="19">
        <v>98123</v>
      </c>
      <c r="BW209" s="19" t="s">
        <v>114</v>
      </c>
      <c r="BX209" s="19" t="s">
        <v>114</v>
      </c>
      <c r="BY209" s="19">
        <v>98126</v>
      </c>
      <c r="BZ209" s="21" t="s">
        <v>114</v>
      </c>
      <c r="CA209" s="21" t="s">
        <v>114</v>
      </c>
      <c r="CB209" s="21" t="s">
        <v>114</v>
      </c>
      <c r="CC209" s="21" t="s">
        <v>114</v>
      </c>
      <c r="CD209" s="21" t="s">
        <v>114</v>
      </c>
      <c r="CE209" s="21" t="s">
        <v>114</v>
      </c>
      <c r="CF209" s="19" t="s">
        <v>114</v>
      </c>
      <c r="CG209" s="19" t="s">
        <v>114</v>
      </c>
      <c r="CH209" s="19" t="s">
        <v>114</v>
      </c>
      <c r="CI209" s="21" t="s">
        <v>114</v>
      </c>
      <c r="CJ209" s="21" t="s">
        <v>114</v>
      </c>
      <c r="CK209" s="21">
        <v>98405</v>
      </c>
      <c r="CL209" s="21" t="s">
        <v>114</v>
      </c>
      <c r="CM209" s="21" t="s">
        <v>114</v>
      </c>
      <c r="CN209" s="21" t="s">
        <v>114</v>
      </c>
      <c r="CO209" s="21" t="s">
        <v>114</v>
      </c>
      <c r="CP209" s="21" t="s">
        <v>114</v>
      </c>
      <c r="CQ209" s="21" t="s">
        <v>114</v>
      </c>
      <c r="CR209" s="21" t="s">
        <v>114</v>
      </c>
      <c r="CS209" s="21" t="s">
        <v>114</v>
      </c>
      <c r="CT209" s="21" t="s">
        <v>114</v>
      </c>
      <c r="CU209" s="21" t="s">
        <v>114</v>
      </c>
      <c r="CV209" s="21" t="s">
        <v>114</v>
      </c>
      <c r="CW209" s="21" t="s">
        <v>114</v>
      </c>
      <c r="CX209" s="21" t="s">
        <v>114</v>
      </c>
      <c r="CY209" s="21" t="s">
        <v>114</v>
      </c>
      <c r="CZ209" s="21" t="s">
        <v>114</v>
      </c>
      <c r="DA209" s="21" t="s">
        <v>114</v>
      </c>
      <c r="DB209" s="21" t="s">
        <v>114</v>
      </c>
      <c r="DC209" s="21" t="s">
        <v>114</v>
      </c>
      <c r="DD209" s="21" t="s">
        <v>114</v>
      </c>
      <c r="DE209" s="21" t="s">
        <v>114</v>
      </c>
      <c r="DF209" s="19" t="s">
        <v>114</v>
      </c>
      <c r="DG209" s="19" t="s">
        <v>114</v>
      </c>
      <c r="DH209" s="19" t="s">
        <v>114</v>
      </c>
      <c r="DI209" s="19" t="s">
        <v>114</v>
      </c>
      <c r="DJ209" s="19" t="s">
        <v>114</v>
      </c>
      <c r="DK209" s="19" t="s">
        <v>114</v>
      </c>
      <c r="DL209" s="19" t="s">
        <v>114</v>
      </c>
      <c r="DM209" s="19" t="s">
        <v>114</v>
      </c>
      <c r="DN209" s="19" t="s">
        <v>114</v>
      </c>
      <c r="DO209" s="19" t="s">
        <v>114</v>
      </c>
    </row>
    <row r="210" spans="1:119" hidden="1" x14ac:dyDescent="0.45">
      <c r="A210" s="2" t="s">
        <v>1184</v>
      </c>
      <c r="B210" t="s">
        <v>1185</v>
      </c>
      <c r="C210" s="2">
        <v>678</v>
      </c>
      <c r="D210" s="6">
        <v>148</v>
      </c>
      <c r="E210" s="2" t="s">
        <v>1774</v>
      </c>
      <c r="F210" t="s">
        <v>1186</v>
      </c>
      <c r="G210" t="s">
        <v>2140</v>
      </c>
      <c r="H210" s="2" t="s">
        <v>1187</v>
      </c>
      <c r="I210" s="2" t="s">
        <v>1188</v>
      </c>
      <c r="J210" s="2">
        <v>2</v>
      </c>
      <c r="K210" t="s">
        <v>116</v>
      </c>
      <c r="L210" s="2">
        <v>202</v>
      </c>
      <c r="M210" t="s">
        <v>166</v>
      </c>
      <c r="N210">
        <v>17</v>
      </c>
      <c r="O210" t="s">
        <v>167</v>
      </c>
      <c r="P210" s="2" t="s">
        <v>116</v>
      </c>
      <c r="Q210" s="2" t="s">
        <v>166</v>
      </c>
      <c r="R210" s="2">
        <v>202</v>
      </c>
      <c r="S210" s="4" t="s">
        <v>166</v>
      </c>
      <c r="T210" s="2">
        <v>202</v>
      </c>
      <c r="U210" s="4" t="s">
        <v>166</v>
      </c>
      <c r="V210" t="s">
        <v>2457</v>
      </c>
      <c r="W210" t="s">
        <v>2457</v>
      </c>
      <c r="X210" t="s">
        <v>2440</v>
      </c>
      <c r="Y210" t="s">
        <v>167</v>
      </c>
      <c r="Z210" t="s">
        <v>167</v>
      </c>
      <c r="AA210" s="3" t="s">
        <v>167</v>
      </c>
      <c r="AB210" s="3" t="s">
        <v>2877</v>
      </c>
      <c r="AC210" s="2" t="s">
        <v>168</v>
      </c>
      <c r="AD210" s="2" t="s">
        <v>1890</v>
      </c>
      <c r="AE210" t="s">
        <v>104</v>
      </c>
      <c r="AF210" t="s">
        <v>1885</v>
      </c>
      <c r="AG210" t="s">
        <v>1884</v>
      </c>
      <c r="AH210" t="s">
        <v>105</v>
      </c>
      <c r="AI210" s="3" t="s">
        <v>105</v>
      </c>
      <c r="AJ210" s="3" t="s">
        <v>106</v>
      </c>
      <c r="AK210" s="3" t="s">
        <v>107</v>
      </c>
      <c r="AL210" s="5" t="s">
        <v>1189</v>
      </c>
      <c r="AM210" s="5" t="s">
        <v>109</v>
      </c>
      <c r="AO210" t="s">
        <v>25</v>
      </c>
      <c r="AP210" s="3" t="s">
        <v>120</v>
      </c>
      <c r="AQ210" s="3" t="s">
        <v>27</v>
      </c>
      <c r="AR210" s="3" t="s">
        <v>112</v>
      </c>
      <c r="AS210" s="3" t="s">
        <v>112</v>
      </c>
      <c r="AT210" t="s">
        <v>191</v>
      </c>
      <c r="AU210" s="3" t="s">
        <v>2303</v>
      </c>
      <c r="AV210" s="3" t="s">
        <v>2302</v>
      </c>
      <c r="AW210" s="3" t="s">
        <v>2301</v>
      </c>
      <c r="AX210" s="3" t="s">
        <v>2006</v>
      </c>
      <c r="AY210" s="19">
        <v>98100</v>
      </c>
      <c r="AZ210" s="19">
        <v>98101</v>
      </c>
      <c r="BA210" s="19" t="s">
        <v>114</v>
      </c>
      <c r="BB210" s="19" t="s">
        <v>114</v>
      </c>
      <c r="BC210" s="19" t="s">
        <v>114</v>
      </c>
      <c r="BD210" s="19" t="s">
        <v>114</v>
      </c>
      <c r="BE210" s="19">
        <v>98106</v>
      </c>
      <c r="BF210" s="19">
        <v>98107</v>
      </c>
      <c r="BG210" s="19" t="s">
        <v>114</v>
      </c>
      <c r="BH210" s="19" t="s">
        <v>114</v>
      </c>
      <c r="BI210" s="19" t="s">
        <v>114</v>
      </c>
      <c r="BJ210" s="19" t="s">
        <v>114</v>
      </c>
      <c r="BK210" s="19" t="s">
        <v>114</v>
      </c>
      <c r="BL210" s="19" t="s">
        <v>114</v>
      </c>
      <c r="BM210" s="19" t="s">
        <v>114</v>
      </c>
      <c r="BN210" s="19">
        <v>98115</v>
      </c>
      <c r="BO210" s="19" t="s">
        <v>114</v>
      </c>
      <c r="BP210" s="19" t="s">
        <v>114</v>
      </c>
      <c r="BQ210" s="19">
        <v>98118</v>
      </c>
      <c r="BR210" s="19" t="s">
        <v>114</v>
      </c>
      <c r="BS210" s="19">
        <v>98120</v>
      </c>
      <c r="BT210" s="19">
        <v>98121</v>
      </c>
      <c r="BU210" s="19" t="s">
        <v>114</v>
      </c>
      <c r="BV210" s="19" t="s">
        <v>114</v>
      </c>
      <c r="BW210" s="19" t="s">
        <v>114</v>
      </c>
      <c r="BX210" s="19">
        <v>98125</v>
      </c>
      <c r="BY210" s="19">
        <v>98126</v>
      </c>
      <c r="BZ210" s="21" t="s">
        <v>114</v>
      </c>
      <c r="CA210" s="21" t="s">
        <v>114</v>
      </c>
      <c r="CB210" s="21" t="s">
        <v>114</v>
      </c>
      <c r="CC210" s="21" t="s">
        <v>114</v>
      </c>
      <c r="CD210" s="21" t="s">
        <v>114</v>
      </c>
      <c r="CE210" s="21" t="s">
        <v>114</v>
      </c>
      <c r="CF210" s="19" t="s">
        <v>114</v>
      </c>
      <c r="CG210" s="19" t="s">
        <v>114</v>
      </c>
      <c r="CH210" s="19" t="s">
        <v>114</v>
      </c>
      <c r="CI210" s="21" t="s">
        <v>114</v>
      </c>
      <c r="CJ210" s="21" t="s">
        <v>114</v>
      </c>
      <c r="CK210" s="21">
        <v>98405</v>
      </c>
      <c r="CL210" s="21" t="s">
        <v>114</v>
      </c>
      <c r="CM210" s="21" t="s">
        <v>114</v>
      </c>
      <c r="CN210" s="21" t="s">
        <v>114</v>
      </c>
      <c r="CO210" s="21" t="s">
        <v>114</v>
      </c>
      <c r="CP210" s="21" t="s">
        <v>114</v>
      </c>
      <c r="CQ210" s="21" t="s">
        <v>114</v>
      </c>
      <c r="CR210" s="21" t="s">
        <v>114</v>
      </c>
      <c r="CS210" s="21" t="s">
        <v>114</v>
      </c>
      <c r="CT210" s="21" t="s">
        <v>114</v>
      </c>
      <c r="CU210" s="21" t="s">
        <v>114</v>
      </c>
      <c r="CV210" s="21" t="s">
        <v>114</v>
      </c>
      <c r="CW210" s="21" t="s">
        <v>114</v>
      </c>
      <c r="CX210" s="21" t="s">
        <v>114</v>
      </c>
      <c r="CY210" s="21" t="s">
        <v>114</v>
      </c>
      <c r="CZ210" s="21" t="s">
        <v>114</v>
      </c>
      <c r="DA210" s="21" t="s">
        <v>114</v>
      </c>
      <c r="DB210" s="21" t="s">
        <v>114</v>
      </c>
      <c r="DC210" s="21" t="s">
        <v>114</v>
      </c>
      <c r="DD210" s="21" t="s">
        <v>114</v>
      </c>
      <c r="DE210" s="21" t="s">
        <v>114</v>
      </c>
      <c r="DF210" s="19" t="s">
        <v>114</v>
      </c>
      <c r="DG210" s="19" t="s">
        <v>114</v>
      </c>
      <c r="DH210" s="19" t="s">
        <v>114</v>
      </c>
      <c r="DI210" s="19" t="s">
        <v>114</v>
      </c>
      <c r="DJ210" s="19" t="s">
        <v>114</v>
      </c>
      <c r="DK210" s="19" t="s">
        <v>114</v>
      </c>
      <c r="DL210" s="19" t="s">
        <v>114</v>
      </c>
      <c r="DM210" s="19" t="s">
        <v>114</v>
      </c>
      <c r="DN210" s="19" t="s">
        <v>114</v>
      </c>
      <c r="DO210" s="19" t="s">
        <v>114</v>
      </c>
    </row>
    <row r="211" spans="1:119" hidden="1" x14ac:dyDescent="0.45">
      <c r="A211" s="2" t="s">
        <v>121</v>
      </c>
      <c r="B211" t="s">
        <v>122</v>
      </c>
      <c r="C211" s="2">
        <v>248</v>
      </c>
      <c r="D211" s="6">
        <v>501</v>
      </c>
      <c r="E211" s="2" t="s">
        <v>123</v>
      </c>
      <c r="F211" t="s">
        <v>124</v>
      </c>
      <c r="H211" s="2" t="s">
        <v>125</v>
      </c>
      <c r="I211" s="2" t="s">
        <v>126</v>
      </c>
      <c r="J211" s="2">
        <v>150</v>
      </c>
      <c r="K211" t="s">
        <v>127</v>
      </c>
      <c r="L211" s="2">
        <v>154</v>
      </c>
      <c r="M211" t="s">
        <v>128</v>
      </c>
      <c r="P211" s="2" t="s">
        <v>127</v>
      </c>
      <c r="Q211" s="2" t="s">
        <v>129</v>
      </c>
      <c r="R211" s="2">
        <v>513</v>
      </c>
      <c r="S211" s="2" t="s">
        <v>1000</v>
      </c>
      <c r="T211" s="2">
        <v>150</v>
      </c>
      <c r="U211" s="2" t="s">
        <v>127</v>
      </c>
      <c r="V211" t="e">
        <v>#N/A</v>
      </c>
      <c r="W211" t="e">
        <v>#N/A</v>
      </c>
      <c r="X211" t="e">
        <v>#N/A</v>
      </c>
      <c r="Y211" t="s">
        <v>1103</v>
      </c>
      <c r="Z211" t="s">
        <v>2472</v>
      </c>
      <c r="AA211" s="3" t="s">
        <v>2759</v>
      </c>
      <c r="AB211" s="3" t="s">
        <v>132</v>
      </c>
      <c r="AC211" s="2" t="s">
        <v>1888</v>
      </c>
      <c r="AD211" s="2" t="s">
        <v>1888</v>
      </c>
      <c r="AE211" t="s">
        <v>131</v>
      </c>
      <c r="AF211" t="s">
        <v>1886</v>
      </c>
      <c r="AG211" t="s">
        <v>1887</v>
      </c>
      <c r="AH211" t="s">
        <v>105</v>
      </c>
      <c r="AI211" s="3" t="s">
        <v>105</v>
      </c>
      <c r="AJ211" s="3" t="s">
        <v>106</v>
      </c>
      <c r="AK211" s="3" t="s">
        <v>107</v>
      </c>
      <c r="AL211" s="5" t="s">
        <v>132</v>
      </c>
      <c r="AM211" s="5" t="s">
        <v>109</v>
      </c>
      <c r="AO211" s="3" t="s">
        <v>119</v>
      </c>
      <c r="AP211" s="3" t="s">
        <v>120</v>
      </c>
      <c r="AQ211" s="3" t="s">
        <v>111</v>
      </c>
      <c r="AR211" s="3" t="s">
        <v>112</v>
      </c>
      <c r="AS211" s="3" t="s">
        <v>112</v>
      </c>
      <c r="AT211" s="3" t="s">
        <v>113</v>
      </c>
      <c r="AU211" s="3" t="s">
        <v>2303</v>
      </c>
      <c r="AV211" s="3" t="s">
        <v>2302</v>
      </c>
      <c r="AW211" s="3" t="s">
        <v>2301</v>
      </c>
      <c r="AX211" s="3" t="s">
        <v>282</v>
      </c>
      <c r="AY211" s="19" t="s">
        <v>114</v>
      </c>
      <c r="AZ211" s="19" t="s">
        <v>114</v>
      </c>
      <c r="BA211" s="19" t="s">
        <v>114</v>
      </c>
      <c r="BB211" s="19" t="s">
        <v>114</v>
      </c>
      <c r="BC211" s="19" t="s">
        <v>114</v>
      </c>
      <c r="BD211" s="19" t="s">
        <v>114</v>
      </c>
      <c r="BE211" s="19" t="s">
        <v>114</v>
      </c>
      <c r="BF211" s="19" t="s">
        <v>114</v>
      </c>
      <c r="BG211" s="19" t="s">
        <v>114</v>
      </c>
      <c r="BH211" s="19" t="s">
        <v>114</v>
      </c>
      <c r="BI211" s="19" t="s">
        <v>114</v>
      </c>
      <c r="BJ211" s="19" t="s">
        <v>114</v>
      </c>
      <c r="BK211" s="19" t="s">
        <v>114</v>
      </c>
      <c r="BL211" s="19" t="s">
        <v>114</v>
      </c>
      <c r="BM211" s="19" t="s">
        <v>114</v>
      </c>
      <c r="BN211" s="19" t="s">
        <v>114</v>
      </c>
      <c r="BO211" s="19" t="s">
        <v>114</v>
      </c>
      <c r="BP211" s="19" t="s">
        <v>114</v>
      </c>
      <c r="BQ211" s="19" t="s">
        <v>114</v>
      </c>
      <c r="BR211" s="19" t="s">
        <v>114</v>
      </c>
      <c r="BS211" s="19" t="s">
        <v>114</v>
      </c>
      <c r="BT211" s="19" t="s">
        <v>114</v>
      </c>
      <c r="BU211" s="19" t="s">
        <v>114</v>
      </c>
      <c r="BV211" s="19" t="s">
        <v>114</v>
      </c>
      <c r="BW211" s="19" t="s">
        <v>114</v>
      </c>
      <c r="BX211" s="19" t="s">
        <v>114</v>
      </c>
      <c r="BY211" s="19" t="s">
        <v>114</v>
      </c>
      <c r="BZ211" s="21" t="s">
        <v>114</v>
      </c>
      <c r="CA211" s="21" t="s">
        <v>114</v>
      </c>
      <c r="CB211" s="21" t="s">
        <v>114</v>
      </c>
      <c r="CC211" s="21" t="s">
        <v>114</v>
      </c>
      <c r="CD211" s="21" t="s">
        <v>114</v>
      </c>
      <c r="CE211" s="21" t="s">
        <v>114</v>
      </c>
      <c r="CF211" s="19" t="s">
        <v>114</v>
      </c>
      <c r="CG211" s="19" t="s">
        <v>114</v>
      </c>
      <c r="CH211" s="19" t="s">
        <v>114</v>
      </c>
      <c r="CI211" s="21" t="s">
        <v>114</v>
      </c>
      <c r="CJ211" s="21" t="s">
        <v>114</v>
      </c>
      <c r="CK211" s="21" t="s">
        <v>114</v>
      </c>
      <c r="CL211" s="21" t="s">
        <v>114</v>
      </c>
      <c r="CM211" s="21" t="s">
        <v>114</v>
      </c>
      <c r="CN211" s="21" t="s">
        <v>114</v>
      </c>
      <c r="CO211" s="21" t="s">
        <v>114</v>
      </c>
      <c r="CP211" s="21" t="s">
        <v>114</v>
      </c>
      <c r="CQ211" s="21" t="s">
        <v>114</v>
      </c>
      <c r="CR211" s="21" t="s">
        <v>114</v>
      </c>
      <c r="CS211" s="21" t="s">
        <v>114</v>
      </c>
      <c r="CT211" s="21" t="s">
        <v>114</v>
      </c>
      <c r="CU211" s="21">
        <v>98423</v>
      </c>
      <c r="CV211" s="21" t="s">
        <v>114</v>
      </c>
      <c r="CW211" s="21" t="s">
        <v>114</v>
      </c>
      <c r="CX211" s="21" t="s">
        <v>114</v>
      </c>
      <c r="CY211" s="21" t="s">
        <v>114</v>
      </c>
      <c r="CZ211" s="21" t="s">
        <v>114</v>
      </c>
      <c r="DA211" s="21" t="s">
        <v>114</v>
      </c>
      <c r="DB211" s="21" t="s">
        <v>114</v>
      </c>
      <c r="DC211" s="21" t="s">
        <v>114</v>
      </c>
      <c r="DD211" s="21" t="s">
        <v>114</v>
      </c>
      <c r="DE211" s="21" t="s">
        <v>114</v>
      </c>
      <c r="DF211" s="19" t="s">
        <v>114</v>
      </c>
      <c r="DG211" s="19" t="s">
        <v>114</v>
      </c>
      <c r="DH211" s="19" t="s">
        <v>114</v>
      </c>
      <c r="DI211" s="19" t="s">
        <v>114</v>
      </c>
      <c r="DJ211" s="19" t="s">
        <v>114</v>
      </c>
      <c r="DK211" s="19" t="s">
        <v>114</v>
      </c>
      <c r="DL211" s="19" t="s">
        <v>114</v>
      </c>
      <c r="DM211" s="19" t="s">
        <v>114</v>
      </c>
      <c r="DN211" s="19" t="s">
        <v>114</v>
      </c>
      <c r="DO211" s="19" t="s">
        <v>114</v>
      </c>
    </row>
    <row r="212" spans="1:119" hidden="1" x14ac:dyDescent="0.45">
      <c r="A212" s="2" t="s">
        <v>133</v>
      </c>
      <c r="B212" t="s">
        <v>134</v>
      </c>
      <c r="C212" s="2">
        <v>8</v>
      </c>
      <c r="D212" s="6">
        <v>502</v>
      </c>
      <c r="E212" s="2" t="s">
        <v>135</v>
      </c>
      <c r="F212" t="s">
        <v>135</v>
      </c>
      <c r="G212" t="s">
        <v>2016</v>
      </c>
      <c r="H212" s="2" t="s">
        <v>136</v>
      </c>
      <c r="I212" s="2" t="s">
        <v>135</v>
      </c>
      <c r="J212" s="2">
        <v>150</v>
      </c>
      <c r="K212" t="s">
        <v>127</v>
      </c>
      <c r="L212" s="2">
        <v>39</v>
      </c>
      <c r="M212" t="s">
        <v>137</v>
      </c>
      <c r="P212" s="2" t="s">
        <v>127</v>
      </c>
      <c r="Q212" s="2" t="s">
        <v>129</v>
      </c>
      <c r="R212" s="2">
        <v>513</v>
      </c>
      <c r="S212" s="2" t="s">
        <v>1000</v>
      </c>
      <c r="T212" s="2">
        <v>150</v>
      </c>
      <c r="U212" s="2" t="s">
        <v>127</v>
      </c>
      <c r="V212" t="s">
        <v>2456</v>
      </c>
      <c r="W212" t="s">
        <v>2456</v>
      </c>
      <c r="X212" t="s">
        <v>2438</v>
      </c>
      <c r="Y212" t="s">
        <v>1103</v>
      </c>
      <c r="Z212" t="s">
        <v>2473</v>
      </c>
      <c r="AA212" s="3" t="s">
        <v>2759</v>
      </c>
      <c r="AB212" s="3" t="s">
        <v>132</v>
      </c>
      <c r="AC212" s="2" t="s">
        <v>138</v>
      </c>
      <c r="AD212" s="4" t="s">
        <v>1891</v>
      </c>
      <c r="AE212" t="s">
        <v>131</v>
      </c>
      <c r="AF212" t="s">
        <v>1885</v>
      </c>
      <c r="AG212" t="s">
        <v>1884</v>
      </c>
      <c r="AH212" t="s">
        <v>105</v>
      </c>
      <c r="AI212" s="3" t="s">
        <v>105</v>
      </c>
      <c r="AJ212" s="3" t="s">
        <v>106</v>
      </c>
      <c r="AK212" s="3" t="s">
        <v>107</v>
      </c>
      <c r="AL212" s="5" t="s">
        <v>139</v>
      </c>
      <c r="AM212" s="5" t="s">
        <v>109</v>
      </c>
      <c r="AN212" t="s">
        <v>110</v>
      </c>
      <c r="AO212" s="3" t="s">
        <v>119</v>
      </c>
      <c r="AP212" s="3" t="s">
        <v>120</v>
      </c>
      <c r="AQ212" s="3" t="s">
        <v>111</v>
      </c>
      <c r="AR212" s="3" t="s">
        <v>112</v>
      </c>
      <c r="AS212" s="3" t="s">
        <v>112</v>
      </c>
      <c r="AT212" s="3" t="s">
        <v>113</v>
      </c>
      <c r="AU212" s="3" t="s">
        <v>2303</v>
      </c>
      <c r="AV212" s="3" t="s">
        <v>2302</v>
      </c>
      <c r="AW212" s="3" t="s">
        <v>2301</v>
      </c>
      <c r="AX212" s="3" t="s">
        <v>2006</v>
      </c>
      <c r="AY212" s="19" t="s">
        <v>114</v>
      </c>
      <c r="AZ212" s="19" t="s">
        <v>114</v>
      </c>
      <c r="BA212" s="19" t="s">
        <v>114</v>
      </c>
      <c r="BB212" s="19" t="s">
        <v>114</v>
      </c>
      <c r="BC212" s="19" t="s">
        <v>114</v>
      </c>
      <c r="BD212" s="19" t="s">
        <v>114</v>
      </c>
      <c r="BE212" s="19" t="s">
        <v>114</v>
      </c>
      <c r="BF212" s="19" t="s">
        <v>114</v>
      </c>
      <c r="BG212" s="19" t="s">
        <v>114</v>
      </c>
      <c r="BH212" s="19" t="s">
        <v>114</v>
      </c>
      <c r="BI212" s="19" t="s">
        <v>114</v>
      </c>
      <c r="BJ212" s="19" t="s">
        <v>114</v>
      </c>
      <c r="BK212" s="19" t="s">
        <v>114</v>
      </c>
      <c r="BL212" s="19" t="s">
        <v>114</v>
      </c>
      <c r="BM212" s="19" t="s">
        <v>114</v>
      </c>
      <c r="BN212" s="19" t="s">
        <v>114</v>
      </c>
      <c r="BO212" s="19" t="s">
        <v>114</v>
      </c>
      <c r="BP212" s="19" t="s">
        <v>114</v>
      </c>
      <c r="BQ212" s="19" t="s">
        <v>114</v>
      </c>
      <c r="BR212" s="19" t="s">
        <v>114</v>
      </c>
      <c r="BS212" s="19" t="s">
        <v>114</v>
      </c>
      <c r="BT212" s="19" t="s">
        <v>114</v>
      </c>
      <c r="BU212" s="19" t="s">
        <v>114</v>
      </c>
      <c r="BV212" s="19" t="s">
        <v>114</v>
      </c>
      <c r="BW212" s="19" t="s">
        <v>114</v>
      </c>
      <c r="BX212" s="19" t="s">
        <v>114</v>
      </c>
      <c r="BY212" s="19" t="s">
        <v>114</v>
      </c>
      <c r="BZ212" s="21">
        <v>98200</v>
      </c>
      <c r="CA212" s="21" t="s">
        <v>114</v>
      </c>
      <c r="CB212" s="21" t="s">
        <v>114</v>
      </c>
      <c r="CC212" s="21" t="s">
        <v>114</v>
      </c>
      <c r="CD212" s="21" t="s">
        <v>114</v>
      </c>
      <c r="CE212" s="21">
        <v>98205</v>
      </c>
      <c r="CF212" s="19" t="s">
        <v>114</v>
      </c>
      <c r="CG212" s="19" t="s">
        <v>114</v>
      </c>
      <c r="CH212" s="19" t="s">
        <v>114</v>
      </c>
      <c r="CI212" s="21" t="s">
        <v>114</v>
      </c>
      <c r="CJ212" s="21" t="s">
        <v>114</v>
      </c>
      <c r="CK212" s="21" t="s">
        <v>114</v>
      </c>
      <c r="CL212" s="21" t="s">
        <v>114</v>
      </c>
      <c r="CM212" s="21" t="s">
        <v>114</v>
      </c>
      <c r="CN212" s="21" t="s">
        <v>114</v>
      </c>
      <c r="CO212" s="21" t="s">
        <v>114</v>
      </c>
      <c r="CP212" s="21" t="s">
        <v>114</v>
      </c>
      <c r="CQ212" s="21" t="s">
        <v>114</v>
      </c>
      <c r="CR212" s="21" t="s">
        <v>114</v>
      </c>
      <c r="CS212" s="21" t="s">
        <v>114</v>
      </c>
      <c r="CT212" s="21" t="s">
        <v>114</v>
      </c>
      <c r="CU212" s="21">
        <v>98423</v>
      </c>
      <c r="CV212" s="21" t="s">
        <v>114</v>
      </c>
      <c r="CW212" s="21" t="s">
        <v>114</v>
      </c>
      <c r="CX212" s="21" t="s">
        <v>114</v>
      </c>
      <c r="CY212" s="21" t="s">
        <v>114</v>
      </c>
      <c r="CZ212" s="21" t="s">
        <v>114</v>
      </c>
      <c r="DA212" s="21" t="s">
        <v>114</v>
      </c>
      <c r="DB212" s="21" t="s">
        <v>114</v>
      </c>
      <c r="DC212" s="21" t="s">
        <v>114</v>
      </c>
      <c r="DD212" s="21" t="s">
        <v>114</v>
      </c>
      <c r="DE212" s="21" t="s">
        <v>114</v>
      </c>
      <c r="DF212" s="19" t="s">
        <v>114</v>
      </c>
      <c r="DG212" s="19" t="s">
        <v>114</v>
      </c>
      <c r="DH212" s="19" t="s">
        <v>114</v>
      </c>
      <c r="DI212" s="19" t="s">
        <v>114</v>
      </c>
      <c r="DJ212" s="19" t="s">
        <v>114</v>
      </c>
      <c r="DK212" s="19" t="s">
        <v>114</v>
      </c>
      <c r="DL212" s="19" t="s">
        <v>114</v>
      </c>
      <c r="DM212" s="19" t="s">
        <v>114</v>
      </c>
      <c r="DN212" s="19" t="s">
        <v>114</v>
      </c>
      <c r="DO212" s="19" t="s">
        <v>114</v>
      </c>
    </row>
    <row r="213" spans="1:119" hidden="1" x14ac:dyDescent="0.45">
      <c r="A213" s="2" t="s">
        <v>159</v>
      </c>
      <c r="B213" t="s">
        <v>160</v>
      </c>
      <c r="C213" s="2">
        <v>20</v>
      </c>
      <c r="D213" s="6">
        <v>503</v>
      </c>
      <c r="E213" s="2" t="s">
        <v>161</v>
      </c>
      <c r="F213" t="s">
        <v>161</v>
      </c>
      <c r="G213" t="s">
        <v>2018</v>
      </c>
      <c r="H213" s="2" t="s">
        <v>162</v>
      </c>
      <c r="I213" s="2" t="s">
        <v>161</v>
      </c>
      <c r="J213" s="2">
        <v>150</v>
      </c>
      <c r="K213" t="s">
        <v>127</v>
      </c>
      <c r="L213" s="2">
        <v>39</v>
      </c>
      <c r="M213" t="s">
        <v>137</v>
      </c>
      <c r="P213" s="2" t="s">
        <v>127</v>
      </c>
      <c r="Q213" s="2" t="s">
        <v>129</v>
      </c>
      <c r="R213" s="2">
        <v>513</v>
      </c>
      <c r="S213" s="2" t="s">
        <v>1000</v>
      </c>
      <c r="T213" s="2">
        <v>150</v>
      </c>
      <c r="U213" s="2" t="s">
        <v>127</v>
      </c>
      <c r="V213" t="s">
        <v>2451</v>
      </c>
      <c r="W213" t="s">
        <v>2451</v>
      </c>
      <c r="X213" t="s">
        <v>2438</v>
      </c>
      <c r="Y213" t="s">
        <v>1103</v>
      </c>
      <c r="Z213" t="s">
        <v>2473</v>
      </c>
      <c r="AA213" s="3" t="s">
        <v>2759</v>
      </c>
      <c r="AB213" s="3" t="s">
        <v>132</v>
      </c>
      <c r="AC213" s="2" t="s">
        <v>130</v>
      </c>
      <c r="AD213" s="4" t="s">
        <v>1891</v>
      </c>
      <c r="AE213" t="s">
        <v>131</v>
      </c>
      <c r="AF213" t="s">
        <v>1886</v>
      </c>
      <c r="AG213" t="s">
        <v>1887</v>
      </c>
      <c r="AH213" t="s">
        <v>105</v>
      </c>
      <c r="AI213" s="3" t="s">
        <v>105</v>
      </c>
      <c r="AJ213" s="3" t="s">
        <v>106</v>
      </c>
      <c r="AK213" s="3" t="s">
        <v>107</v>
      </c>
      <c r="AL213" s="5" t="s">
        <v>132</v>
      </c>
      <c r="AM213" s="5" t="s">
        <v>109</v>
      </c>
      <c r="AO213" s="3" t="s">
        <v>119</v>
      </c>
      <c r="AP213" s="3" t="s">
        <v>120</v>
      </c>
      <c r="AQ213" s="3" t="s">
        <v>111</v>
      </c>
      <c r="AR213" s="3" t="s">
        <v>112</v>
      </c>
      <c r="AS213" s="3" t="s">
        <v>112</v>
      </c>
      <c r="AT213" s="3" t="s">
        <v>113</v>
      </c>
      <c r="AU213" s="3" t="s">
        <v>2303</v>
      </c>
      <c r="AV213" s="3" t="s">
        <v>2302</v>
      </c>
      <c r="AW213" s="3" t="s">
        <v>2301</v>
      </c>
      <c r="AX213" s="3" t="s">
        <v>2006</v>
      </c>
      <c r="AY213" s="19" t="s">
        <v>114</v>
      </c>
      <c r="AZ213" s="19" t="s">
        <v>114</v>
      </c>
      <c r="BA213" s="19" t="s">
        <v>114</v>
      </c>
      <c r="BB213" s="19" t="s">
        <v>114</v>
      </c>
      <c r="BC213" s="19" t="s">
        <v>114</v>
      </c>
      <c r="BD213" s="19" t="s">
        <v>114</v>
      </c>
      <c r="BE213" s="19" t="s">
        <v>114</v>
      </c>
      <c r="BF213" s="19" t="s">
        <v>114</v>
      </c>
      <c r="BG213" s="19" t="s">
        <v>114</v>
      </c>
      <c r="BH213" s="19" t="s">
        <v>114</v>
      </c>
      <c r="BI213" s="19" t="s">
        <v>114</v>
      </c>
      <c r="BJ213" s="19" t="s">
        <v>114</v>
      </c>
      <c r="BK213" s="19" t="s">
        <v>114</v>
      </c>
      <c r="BL213" s="19" t="s">
        <v>114</v>
      </c>
      <c r="BM213" s="19" t="s">
        <v>114</v>
      </c>
      <c r="BN213" s="19" t="s">
        <v>114</v>
      </c>
      <c r="BO213" s="19" t="s">
        <v>114</v>
      </c>
      <c r="BP213" s="19" t="s">
        <v>114</v>
      </c>
      <c r="BQ213" s="19" t="s">
        <v>114</v>
      </c>
      <c r="BR213" s="19" t="s">
        <v>114</v>
      </c>
      <c r="BS213" s="19" t="s">
        <v>114</v>
      </c>
      <c r="BT213" s="19" t="s">
        <v>114</v>
      </c>
      <c r="BU213" s="19" t="s">
        <v>114</v>
      </c>
      <c r="BV213" s="19" t="s">
        <v>114</v>
      </c>
      <c r="BW213" s="19" t="s">
        <v>114</v>
      </c>
      <c r="BX213" s="19" t="s">
        <v>114</v>
      </c>
      <c r="BY213" s="19" t="s">
        <v>114</v>
      </c>
      <c r="BZ213" s="21">
        <v>98200</v>
      </c>
      <c r="CA213" s="21" t="s">
        <v>114</v>
      </c>
      <c r="CB213" s="21" t="s">
        <v>114</v>
      </c>
      <c r="CC213" s="21" t="s">
        <v>114</v>
      </c>
      <c r="CD213" s="21" t="s">
        <v>114</v>
      </c>
      <c r="CE213" s="21" t="s">
        <v>114</v>
      </c>
      <c r="CF213" s="19" t="s">
        <v>114</v>
      </c>
      <c r="CG213" s="19" t="s">
        <v>114</v>
      </c>
      <c r="CH213" s="19" t="s">
        <v>114</v>
      </c>
      <c r="CI213" s="21" t="s">
        <v>114</v>
      </c>
      <c r="CJ213" s="21" t="s">
        <v>114</v>
      </c>
      <c r="CK213" s="21" t="s">
        <v>114</v>
      </c>
      <c r="CL213" s="21" t="s">
        <v>114</v>
      </c>
      <c r="CM213" s="21" t="s">
        <v>114</v>
      </c>
      <c r="CN213" s="21" t="s">
        <v>114</v>
      </c>
      <c r="CO213" s="21" t="s">
        <v>114</v>
      </c>
      <c r="CP213" s="21" t="s">
        <v>114</v>
      </c>
      <c r="CQ213" s="21" t="s">
        <v>114</v>
      </c>
      <c r="CR213" s="21" t="s">
        <v>114</v>
      </c>
      <c r="CS213" s="21" t="s">
        <v>114</v>
      </c>
      <c r="CT213" s="21" t="s">
        <v>114</v>
      </c>
      <c r="CU213" s="21">
        <v>98423</v>
      </c>
      <c r="CV213" s="21" t="s">
        <v>114</v>
      </c>
      <c r="CW213" s="21" t="s">
        <v>114</v>
      </c>
      <c r="CX213" s="21" t="s">
        <v>114</v>
      </c>
      <c r="CY213" s="21" t="s">
        <v>114</v>
      </c>
      <c r="CZ213" s="21" t="s">
        <v>114</v>
      </c>
      <c r="DA213" s="21" t="s">
        <v>114</v>
      </c>
      <c r="DB213" s="21" t="s">
        <v>114</v>
      </c>
      <c r="DC213" s="21" t="s">
        <v>114</v>
      </c>
      <c r="DD213" s="21" t="s">
        <v>114</v>
      </c>
      <c r="DE213" s="21" t="s">
        <v>114</v>
      </c>
      <c r="DF213" s="19" t="s">
        <v>114</v>
      </c>
      <c r="DG213" s="19" t="s">
        <v>114</v>
      </c>
      <c r="DH213" s="19" t="s">
        <v>114</v>
      </c>
      <c r="DI213" s="19" t="s">
        <v>114</v>
      </c>
      <c r="DJ213" s="19" t="s">
        <v>114</v>
      </c>
      <c r="DK213" s="19" t="s">
        <v>114</v>
      </c>
      <c r="DL213" s="19" t="s">
        <v>114</v>
      </c>
      <c r="DM213" s="19" t="s">
        <v>114</v>
      </c>
      <c r="DN213" s="19" t="s">
        <v>114</v>
      </c>
      <c r="DO213" s="19" t="s">
        <v>114</v>
      </c>
    </row>
    <row r="214" spans="1:119" hidden="1" x14ac:dyDescent="0.45">
      <c r="A214" s="2" t="s">
        <v>251</v>
      </c>
      <c r="B214" t="s">
        <v>252</v>
      </c>
      <c r="C214" s="2">
        <v>112</v>
      </c>
      <c r="D214" s="6">
        <v>505</v>
      </c>
      <c r="E214" s="2" t="s">
        <v>253</v>
      </c>
      <c r="F214" t="s">
        <v>253</v>
      </c>
      <c r="G214" t="s">
        <v>2027</v>
      </c>
      <c r="H214" s="2" t="s">
        <v>254</v>
      </c>
      <c r="I214" s="2" t="s">
        <v>255</v>
      </c>
      <c r="J214" s="2">
        <v>150</v>
      </c>
      <c r="K214" t="s">
        <v>127</v>
      </c>
      <c r="L214" s="2">
        <v>151</v>
      </c>
      <c r="M214" t="s">
        <v>256</v>
      </c>
      <c r="P214" s="2" t="s">
        <v>127</v>
      </c>
      <c r="Q214" s="2" t="s">
        <v>129</v>
      </c>
      <c r="R214" s="2">
        <v>513</v>
      </c>
      <c r="S214" s="2" t="s">
        <v>1000</v>
      </c>
      <c r="T214" s="2">
        <v>150</v>
      </c>
      <c r="U214" s="2" t="s">
        <v>127</v>
      </c>
      <c r="V214" t="s">
        <v>2456</v>
      </c>
      <c r="W214" t="s">
        <v>2456</v>
      </c>
      <c r="X214" t="s">
        <v>2440</v>
      </c>
      <c r="Y214" t="s">
        <v>1103</v>
      </c>
      <c r="Z214" t="s">
        <v>2471</v>
      </c>
      <c r="AA214" s="3" t="s">
        <v>2759</v>
      </c>
      <c r="AB214" s="3" t="s">
        <v>132</v>
      </c>
      <c r="AC214" s="2" t="s">
        <v>138</v>
      </c>
      <c r="AD214" s="4" t="s">
        <v>1891</v>
      </c>
      <c r="AE214" t="s">
        <v>131</v>
      </c>
      <c r="AF214" t="s">
        <v>1885</v>
      </c>
      <c r="AG214" t="s">
        <v>1884</v>
      </c>
      <c r="AH214" t="s">
        <v>105</v>
      </c>
      <c r="AI214" s="3" t="s">
        <v>105</v>
      </c>
      <c r="AJ214" s="3" t="s">
        <v>106</v>
      </c>
      <c r="AK214" s="3" t="s">
        <v>107</v>
      </c>
      <c r="AL214" s="5" t="s">
        <v>257</v>
      </c>
      <c r="AM214" s="5" t="s">
        <v>109</v>
      </c>
      <c r="AN214" t="s">
        <v>110</v>
      </c>
      <c r="AO214" s="3" t="s">
        <v>119</v>
      </c>
      <c r="AP214" s="3" t="s">
        <v>120</v>
      </c>
      <c r="AQ214" s="3" t="s">
        <v>111</v>
      </c>
      <c r="AR214" s="3" t="s">
        <v>112</v>
      </c>
      <c r="AS214" s="3" t="s">
        <v>112</v>
      </c>
      <c r="AT214" s="3" t="s">
        <v>113</v>
      </c>
      <c r="AU214" s="3" t="s">
        <v>2303</v>
      </c>
      <c r="AV214" s="3" t="s">
        <v>2302</v>
      </c>
      <c r="AW214" s="3" t="s">
        <v>2301</v>
      </c>
      <c r="AX214" s="3" t="s">
        <v>2006</v>
      </c>
      <c r="AY214" s="19" t="s">
        <v>114</v>
      </c>
      <c r="AZ214" s="19" t="s">
        <v>114</v>
      </c>
      <c r="BA214" s="19" t="s">
        <v>114</v>
      </c>
      <c r="BB214" s="19" t="s">
        <v>114</v>
      </c>
      <c r="BC214" s="19" t="s">
        <v>114</v>
      </c>
      <c r="BD214" s="19" t="s">
        <v>114</v>
      </c>
      <c r="BE214" s="19" t="s">
        <v>114</v>
      </c>
      <c r="BF214" s="19" t="s">
        <v>114</v>
      </c>
      <c r="BG214" s="19" t="s">
        <v>114</v>
      </c>
      <c r="BH214" s="19" t="s">
        <v>114</v>
      </c>
      <c r="BI214" s="19" t="s">
        <v>114</v>
      </c>
      <c r="BJ214" s="19" t="s">
        <v>114</v>
      </c>
      <c r="BK214" s="19" t="s">
        <v>114</v>
      </c>
      <c r="BL214" s="19" t="s">
        <v>114</v>
      </c>
      <c r="BM214" s="19" t="s">
        <v>114</v>
      </c>
      <c r="BN214" s="19" t="s">
        <v>114</v>
      </c>
      <c r="BO214" s="19" t="s">
        <v>114</v>
      </c>
      <c r="BP214" s="19" t="s">
        <v>114</v>
      </c>
      <c r="BQ214" s="19" t="s">
        <v>114</v>
      </c>
      <c r="BR214" s="19" t="s">
        <v>114</v>
      </c>
      <c r="BS214" s="19" t="s">
        <v>114</v>
      </c>
      <c r="BT214" s="19" t="s">
        <v>114</v>
      </c>
      <c r="BU214" s="19" t="s">
        <v>114</v>
      </c>
      <c r="BV214" s="19" t="s">
        <v>114</v>
      </c>
      <c r="BW214" s="19" t="s">
        <v>114</v>
      </c>
      <c r="BX214" s="19" t="s">
        <v>114</v>
      </c>
      <c r="BY214" s="19" t="s">
        <v>114</v>
      </c>
      <c r="BZ214" s="21">
        <v>98200</v>
      </c>
      <c r="CA214" s="21">
        <v>98201</v>
      </c>
      <c r="CB214" s="21">
        <v>98202</v>
      </c>
      <c r="CC214" s="21" t="s">
        <v>114</v>
      </c>
      <c r="CD214" s="21" t="s">
        <v>114</v>
      </c>
      <c r="CE214" s="21" t="s">
        <v>114</v>
      </c>
      <c r="CF214" s="19">
        <v>98206</v>
      </c>
      <c r="CG214" s="19" t="s">
        <v>114</v>
      </c>
      <c r="CH214" s="19" t="s">
        <v>114</v>
      </c>
      <c r="CI214" s="21" t="s">
        <v>114</v>
      </c>
      <c r="CJ214" s="21" t="s">
        <v>114</v>
      </c>
      <c r="CK214" s="21" t="s">
        <v>114</v>
      </c>
      <c r="CL214" s="21" t="s">
        <v>114</v>
      </c>
      <c r="CM214" s="21" t="s">
        <v>114</v>
      </c>
      <c r="CN214" s="21" t="s">
        <v>114</v>
      </c>
      <c r="CO214" s="21" t="s">
        <v>114</v>
      </c>
      <c r="CP214" s="21" t="s">
        <v>114</v>
      </c>
      <c r="CQ214" s="21" t="s">
        <v>114</v>
      </c>
      <c r="CR214" s="21" t="s">
        <v>114</v>
      </c>
      <c r="CS214" s="21" t="s">
        <v>114</v>
      </c>
      <c r="CT214" s="21" t="s">
        <v>114</v>
      </c>
      <c r="CU214" s="21">
        <v>98423</v>
      </c>
      <c r="CV214" s="21" t="s">
        <v>114</v>
      </c>
      <c r="CW214" s="21" t="s">
        <v>114</v>
      </c>
      <c r="CX214" s="21" t="s">
        <v>114</v>
      </c>
      <c r="CY214" s="21" t="s">
        <v>114</v>
      </c>
      <c r="CZ214" s="21" t="s">
        <v>114</v>
      </c>
      <c r="DA214" s="21" t="s">
        <v>114</v>
      </c>
      <c r="DB214" s="21" t="s">
        <v>114</v>
      </c>
      <c r="DC214" s="21" t="s">
        <v>114</v>
      </c>
      <c r="DD214" s="21" t="s">
        <v>114</v>
      </c>
      <c r="DE214" s="21" t="s">
        <v>114</v>
      </c>
      <c r="DF214" s="19" t="s">
        <v>114</v>
      </c>
      <c r="DG214" s="19" t="s">
        <v>114</v>
      </c>
      <c r="DH214" s="19" t="s">
        <v>114</v>
      </c>
      <c r="DI214" s="19" t="s">
        <v>114</v>
      </c>
      <c r="DJ214" s="19" t="s">
        <v>114</v>
      </c>
      <c r="DK214" s="19" t="s">
        <v>114</v>
      </c>
      <c r="DL214" s="19" t="s">
        <v>114</v>
      </c>
      <c r="DM214" s="19" t="s">
        <v>114</v>
      </c>
      <c r="DN214" s="19" t="s">
        <v>114</v>
      </c>
      <c r="DO214" s="19" t="s">
        <v>114</v>
      </c>
    </row>
    <row r="215" spans="1:119" hidden="1" x14ac:dyDescent="0.45">
      <c r="A215" s="2" t="s">
        <v>300</v>
      </c>
      <c r="B215" t="s">
        <v>301</v>
      </c>
      <c r="C215" s="2">
        <v>70</v>
      </c>
      <c r="D215" s="6">
        <v>507</v>
      </c>
      <c r="E215" s="2" t="s">
        <v>1563</v>
      </c>
      <c r="F215" t="s">
        <v>302</v>
      </c>
      <c r="G215" t="s">
        <v>302</v>
      </c>
      <c r="H215" s="2" t="s">
        <v>303</v>
      </c>
      <c r="I215" s="2" t="s">
        <v>304</v>
      </c>
      <c r="J215" s="2">
        <v>150</v>
      </c>
      <c r="K215" t="s">
        <v>127</v>
      </c>
      <c r="L215" s="2">
        <v>39</v>
      </c>
      <c r="M215" t="s">
        <v>137</v>
      </c>
      <c r="P215" s="2" t="s">
        <v>127</v>
      </c>
      <c r="Q215" s="2" t="s">
        <v>129</v>
      </c>
      <c r="R215" s="2">
        <v>513</v>
      </c>
      <c r="S215" s="2" t="s">
        <v>1000</v>
      </c>
      <c r="T215" s="2">
        <v>150</v>
      </c>
      <c r="U215" s="2" t="s">
        <v>127</v>
      </c>
      <c r="V215" t="s">
        <v>2456</v>
      </c>
      <c r="W215" t="s">
        <v>2456</v>
      </c>
      <c r="X215" t="s">
        <v>2438</v>
      </c>
      <c r="Y215" t="s">
        <v>1103</v>
      </c>
      <c r="Z215" t="s">
        <v>2473</v>
      </c>
      <c r="AA215" s="3" t="s">
        <v>2759</v>
      </c>
      <c r="AB215" s="3" t="s">
        <v>132</v>
      </c>
      <c r="AC215" s="2" t="s">
        <v>138</v>
      </c>
      <c r="AD215" s="4" t="s">
        <v>1891</v>
      </c>
      <c r="AE215" t="s">
        <v>131</v>
      </c>
      <c r="AF215" t="s">
        <v>1885</v>
      </c>
      <c r="AG215" t="s">
        <v>1884</v>
      </c>
      <c r="AH215" t="s">
        <v>105</v>
      </c>
      <c r="AI215" s="3" t="s">
        <v>105</v>
      </c>
      <c r="AJ215" s="3" t="s">
        <v>106</v>
      </c>
      <c r="AK215" s="3" t="s">
        <v>107</v>
      </c>
      <c r="AL215" s="5" t="s">
        <v>305</v>
      </c>
      <c r="AM215" s="5" t="s">
        <v>109</v>
      </c>
      <c r="AN215" t="s">
        <v>110</v>
      </c>
      <c r="AO215" s="3" t="s">
        <v>119</v>
      </c>
      <c r="AP215" s="3" t="s">
        <v>120</v>
      </c>
      <c r="AQ215" s="3" t="s">
        <v>111</v>
      </c>
      <c r="AR215" s="3" t="s">
        <v>112</v>
      </c>
      <c r="AS215" s="3" t="s">
        <v>112</v>
      </c>
      <c r="AT215" s="3" t="s">
        <v>113</v>
      </c>
      <c r="AU215" s="3" t="s">
        <v>2303</v>
      </c>
      <c r="AV215" s="3" t="s">
        <v>2302</v>
      </c>
      <c r="AW215" s="3" t="s">
        <v>2301</v>
      </c>
      <c r="AX215" s="3" t="s">
        <v>2006</v>
      </c>
      <c r="AY215" s="19" t="s">
        <v>114</v>
      </c>
      <c r="AZ215" s="19" t="s">
        <v>114</v>
      </c>
      <c r="BA215" s="19" t="s">
        <v>114</v>
      </c>
      <c r="BB215" s="19" t="s">
        <v>114</v>
      </c>
      <c r="BC215" s="19" t="s">
        <v>114</v>
      </c>
      <c r="BD215" s="19" t="s">
        <v>114</v>
      </c>
      <c r="BE215" s="19" t="s">
        <v>114</v>
      </c>
      <c r="BF215" s="19" t="s">
        <v>114</v>
      </c>
      <c r="BG215" s="19" t="s">
        <v>114</v>
      </c>
      <c r="BH215" s="19" t="s">
        <v>114</v>
      </c>
      <c r="BI215" s="19" t="s">
        <v>114</v>
      </c>
      <c r="BJ215" s="19" t="s">
        <v>114</v>
      </c>
      <c r="BK215" s="19" t="s">
        <v>114</v>
      </c>
      <c r="BL215" s="19" t="s">
        <v>114</v>
      </c>
      <c r="BM215" s="19" t="s">
        <v>114</v>
      </c>
      <c r="BN215" s="19" t="s">
        <v>114</v>
      </c>
      <c r="BO215" s="19" t="s">
        <v>114</v>
      </c>
      <c r="BP215" s="19" t="s">
        <v>114</v>
      </c>
      <c r="BQ215" s="19" t="s">
        <v>114</v>
      </c>
      <c r="BR215" s="19" t="s">
        <v>114</v>
      </c>
      <c r="BS215" s="19" t="s">
        <v>114</v>
      </c>
      <c r="BT215" s="19" t="s">
        <v>114</v>
      </c>
      <c r="BU215" s="19" t="s">
        <v>114</v>
      </c>
      <c r="BV215" s="19" t="s">
        <v>114</v>
      </c>
      <c r="BW215" s="19" t="s">
        <v>114</v>
      </c>
      <c r="BX215" s="19" t="s">
        <v>114</v>
      </c>
      <c r="BY215" s="19" t="s">
        <v>114</v>
      </c>
      <c r="BZ215" s="21">
        <v>98200</v>
      </c>
      <c r="CA215" s="21" t="s">
        <v>114</v>
      </c>
      <c r="CB215" s="21" t="s">
        <v>114</v>
      </c>
      <c r="CC215" s="21" t="s">
        <v>114</v>
      </c>
      <c r="CD215" s="21" t="s">
        <v>114</v>
      </c>
      <c r="CE215" s="21">
        <v>98205</v>
      </c>
      <c r="CF215" s="19" t="s">
        <v>114</v>
      </c>
      <c r="CG215" s="19" t="s">
        <v>114</v>
      </c>
      <c r="CH215" s="19" t="s">
        <v>114</v>
      </c>
      <c r="CI215" s="21" t="s">
        <v>114</v>
      </c>
      <c r="CJ215" s="21" t="s">
        <v>114</v>
      </c>
      <c r="CK215" s="21" t="s">
        <v>114</v>
      </c>
      <c r="CL215" s="21" t="s">
        <v>114</v>
      </c>
      <c r="CM215" s="21" t="s">
        <v>114</v>
      </c>
      <c r="CN215" s="21" t="s">
        <v>114</v>
      </c>
      <c r="CO215" s="21" t="s">
        <v>114</v>
      </c>
      <c r="CP215" s="21" t="s">
        <v>114</v>
      </c>
      <c r="CQ215" s="21" t="s">
        <v>114</v>
      </c>
      <c r="CR215" s="21" t="s">
        <v>114</v>
      </c>
      <c r="CS215" s="21" t="s">
        <v>114</v>
      </c>
      <c r="CT215" s="21" t="s">
        <v>114</v>
      </c>
      <c r="CU215" s="21">
        <v>98423</v>
      </c>
      <c r="CV215" s="21" t="s">
        <v>114</v>
      </c>
      <c r="CW215" s="21" t="s">
        <v>114</v>
      </c>
      <c r="CX215" s="21" t="s">
        <v>114</v>
      </c>
      <c r="CY215" s="21" t="s">
        <v>114</v>
      </c>
      <c r="CZ215" s="21" t="s">
        <v>114</v>
      </c>
      <c r="DA215" s="21" t="s">
        <v>114</v>
      </c>
      <c r="DB215" s="21" t="s">
        <v>114</v>
      </c>
      <c r="DC215" s="21" t="s">
        <v>114</v>
      </c>
      <c r="DD215" s="21" t="s">
        <v>114</v>
      </c>
      <c r="DE215" s="21" t="s">
        <v>114</v>
      </c>
      <c r="DF215" s="19" t="s">
        <v>114</v>
      </c>
      <c r="DG215" s="19" t="s">
        <v>114</v>
      </c>
      <c r="DH215" s="19" t="s">
        <v>114</v>
      </c>
      <c r="DI215" s="19" t="s">
        <v>114</v>
      </c>
      <c r="DJ215" s="19" t="s">
        <v>114</v>
      </c>
      <c r="DK215" s="19" t="s">
        <v>114</v>
      </c>
      <c r="DL215" s="19" t="s">
        <v>114</v>
      </c>
      <c r="DM215" s="19" t="s">
        <v>114</v>
      </c>
      <c r="DN215" s="19" t="s">
        <v>114</v>
      </c>
      <c r="DO215" s="19" t="s">
        <v>114</v>
      </c>
    </row>
    <row r="216" spans="1:119" hidden="1" x14ac:dyDescent="0.45">
      <c r="A216" s="2"/>
      <c r="B216" s="5" t="s">
        <v>394</v>
      </c>
      <c r="C216" s="2">
        <v>830</v>
      </c>
      <c r="D216" s="6">
        <v>509</v>
      </c>
      <c r="E216" s="2" t="s">
        <v>395</v>
      </c>
      <c r="F216" s="5" t="s">
        <v>395</v>
      </c>
      <c r="H216" s="8" t="s">
        <v>396</v>
      </c>
      <c r="I216" s="2" t="s">
        <v>397</v>
      </c>
      <c r="J216" s="2">
        <v>150</v>
      </c>
      <c r="K216" t="s">
        <v>127</v>
      </c>
      <c r="L216" s="2">
        <v>154</v>
      </c>
      <c r="M216" t="s">
        <v>128</v>
      </c>
      <c r="N216">
        <v>509</v>
      </c>
      <c r="O216" s="5" t="s">
        <v>395</v>
      </c>
      <c r="P216" s="2" t="s">
        <v>127</v>
      </c>
      <c r="Q216" s="2" t="s">
        <v>129</v>
      </c>
      <c r="R216" s="2">
        <v>513</v>
      </c>
      <c r="S216" s="2" t="s">
        <v>1000</v>
      </c>
      <c r="T216" s="2">
        <v>150</v>
      </c>
      <c r="U216" s="2" t="s">
        <v>127</v>
      </c>
      <c r="V216" t="s">
        <v>2451</v>
      </c>
      <c r="W216" t="s">
        <v>2451</v>
      </c>
      <c r="X216" t="e">
        <v>#N/A</v>
      </c>
      <c r="Y216" t="s">
        <v>1103</v>
      </c>
      <c r="Z216" t="s">
        <v>2472</v>
      </c>
      <c r="AA216" s="3" t="s">
        <v>2759</v>
      </c>
      <c r="AB216" s="3" t="s">
        <v>132</v>
      </c>
      <c r="AC216" s="2" t="s">
        <v>1888</v>
      </c>
      <c r="AD216" s="2" t="s">
        <v>1888</v>
      </c>
      <c r="AE216" t="s">
        <v>131</v>
      </c>
      <c r="AF216" t="s">
        <v>1886</v>
      </c>
      <c r="AG216" s="3" t="s">
        <v>1887</v>
      </c>
      <c r="AK216" t="s">
        <v>107</v>
      </c>
      <c r="AL216" s="5"/>
      <c r="AM216" s="5" t="s">
        <v>109</v>
      </c>
      <c r="AO216" s="3" t="s">
        <v>119</v>
      </c>
      <c r="AP216" s="3" t="s">
        <v>120</v>
      </c>
      <c r="AQ216" s="3" t="s">
        <v>111</v>
      </c>
      <c r="AR216" s="3" t="s">
        <v>112</v>
      </c>
      <c r="AS216" s="3" t="s">
        <v>112</v>
      </c>
      <c r="AT216" s="3" t="s">
        <v>113</v>
      </c>
      <c r="AU216" s="3" t="s">
        <v>2303</v>
      </c>
      <c r="AV216" s="3" t="s">
        <v>2302</v>
      </c>
      <c r="AW216" s="3" t="s">
        <v>2301</v>
      </c>
      <c r="AX216" t="s">
        <v>282</v>
      </c>
      <c r="AY216" s="19" t="s">
        <v>114</v>
      </c>
      <c r="AZ216" s="19" t="s">
        <v>114</v>
      </c>
      <c r="BA216" s="19" t="s">
        <v>114</v>
      </c>
      <c r="BB216" s="19" t="s">
        <v>114</v>
      </c>
      <c r="BC216" s="19" t="s">
        <v>114</v>
      </c>
      <c r="BD216" s="19" t="s">
        <v>114</v>
      </c>
      <c r="BE216" s="19" t="s">
        <v>114</v>
      </c>
      <c r="BF216" s="19" t="s">
        <v>114</v>
      </c>
      <c r="BG216" s="19" t="s">
        <v>114</v>
      </c>
      <c r="BH216" s="19" t="s">
        <v>114</v>
      </c>
      <c r="BI216" s="19" t="s">
        <v>114</v>
      </c>
      <c r="BJ216" s="19" t="s">
        <v>114</v>
      </c>
      <c r="BK216" s="19" t="s">
        <v>114</v>
      </c>
      <c r="BL216" s="19" t="s">
        <v>114</v>
      </c>
      <c r="BM216" s="19" t="s">
        <v>114</v>
      </c>
      <c r="BN216" s="19" t="s">
        <v>114</v>
      </c>
      <c r="BO216" s="19" t="s">
        <v>114</v>
      </c>
      <c r="BP216" s="19" t="s">
        <v>114</v>
      </c>
      <c r="BQ216" s="19" t="s">
        <v>114</v>
      </c>
      <c r="BR216" s="19" t="s">
        <v>114</v>
      </c>
      <c r="BS216" s="19" t="s">
        <v>114</v>
      </c>
      <c r="BT216" s="19" t="s">
        <v>114</v>
      </c>
      <c r="BU216" s="19" t="s">
        <v>114</v>
      </c>
      <c r="BV216" s="19" t="s">
        <v>114</v>
      </c>
      <c r="BW216" s="19" t="s">
        <v>114</v>
      </c>
      <c r="BX216" s="19" t="s">
        <v>114</v>
      </c>
      <c r="BY216" s="19" t="s">
        <v>114</v>
      </c>
      <c r="BZ216" s="21" t="s">
        <v>114</v>
      </c>
      <c r="CA216" s="21" t="s">
        <v>114</v>
      </c>
      <c r="CB216" s="21" t="s">
        <v>114</v>
      </c>
      <c r="CC216" s="21" t="s">
        <v>114</v>
      </c>
      <c r="CD216" s="21" t="s">
        <v>114</v>
      </c>
      <c r="CE216" s="21" t="s">
        <v>114</v>
      </c>
      <c r="CF216" s="19" t="s">
        <v>114</v>
      </c>
      <c r="CG216" s="19" t="s">
        <v>114</v>
      </c>
      <c r="CH216" s="19" t="s">
        <v>114</v>
      </c>
      <c r="CI216" s="21" t="s">
        <v>114</v>
      </c>
      <c r="CJ216" s="21" t="s">
        <v>114</v>
      </c>
      <c r="CK216" s="21" t="s">
        <v>114</v>
      </c>
      <c r="CL216" s="21" t="s">
        <v>114</v>
      </c>
      <c r="CM216" s="21" t="s">
        <v>114</v>
      </c>
      <c r="CN216" s="21" t="s">
        <v>114</v>
      </c>
      <c r="CO216" s="21" t="s">
        <v>114</v>
      </c>
      <c r="CP216" s="21" t="s">
        <v>114</v>
      </c>
      <c r="CQ216" s="21" t="s">
        <v>114</v>
      </c>
      <c r="CR216" s="21" t="s">
        <v>114</v>
      </c>
      <c r="CS216" s="21" t="s">
        <v>114</v>
      </c>
      <c r="CT216" s="21" t="s">
        <v>114</v>
      </c>
      <c r="CU216" s="21">
        <v>98423</v>
      </c>
      <c r="CV216" s="21" t="s">
        <v>114</v>
      </c>
      <c r="CW216" s="21" t="s">
        <v>114</v>
      </c>
      <c r="CX216" s="21" t="s">
        <v>114</v>
      </c>
      <c r="CY216" s="21" t="s">
        <v>114</v>
      </c>
      <c r="CZ216" s="21" t="s">
        <v>114</v>
      </c>
      <c r="DA216" s="21" t="s">
        <v>114</v>
      </c>
      <c r="DB216" s="21" t="s">
        <v>114</v>
      </c>
      <c r="DC216" s="21" t="s">
        <v>114</v>
      </c>
      <c r="DD216" s="21" t="s">
        <v>114</v>
      </c>
      <c r="DE216" s="21" t="s">
        <v>114</v>
      </c>
      <c r="DF216" s="19" t="s">
        <v>114</v>
      </c>
      <c r="DG216" s="19" t="s">
        <v>114</v>
      </c>
      <c r="DH216" s="19" t="s">
        <v>114</v>
      </c>
      <c r="DI216" s="19" t="s">
        <v>114</v>
      </c>
      <c r="DJ216" s="19" t="s">
        <v>114</v>
      </c>
      <c r="DK216" s="19" t="s">
        <v>114</v>
      </c>
      <c r="DL216" s="19" t="s">
        <v>114</v>
      </c>
      <c r="DM216" s="19" t="s">
        <v>114</v>
      </c>
      <c r="DN216" s="19" t="s">
        <v>114</v>
      </c>
      <c r="DO216" s="19" t="s">
        <v>114</v>
      </c>
    </row>
    <row r="217" spans="1:119" hidden="1" x14ac:dyDescent="0.45">
      <c r="A217" s="2" t="s">
        <v>579</v>
      </c>
      <c r="B217" t="s">
        <v>580</v>
      </c>
      <c r="C217" s="2">
        <v>234</v>
      </c>
      <c r="D217" s="6">
        <v>515</v>
      </c>
      <c r="E217" s="2" t="s">
        <v>581</v>
      </c>
      <c r="F217" t="s">
        <v>581</v>
      </c>
      <c r="H217" s="2" t="s">
        <v>582</v>
      </c>
      <c r="I217" s="2" t="s">
        <v>583</v>
      </c>
      <c r="J217" s="2">
        <v>150</v>
      </c>
      <c r="K217" t="s">
        <v>127</v>
      </c>
      <c r="L217" s="2">
        <v>154</v>
      </c>
      <c r="M217" t="s">
        <v>128</v>
      </c>
      <c r="P217" s="2" t="s">
        <v>127</v>
      </c>
      <c r="Q217" s="2" t="s">
        <v>129</v>
      </c>
      <c r="R217" s="2">
        <v>513</v>
      </c>
      <c r="S217" s="2" t="s">
        <v>1000</v>
      </c>
      <c r="T217" s="2">
        <v>150</v>
      </c>
      <c r="U217" s="2" t="s">
        <v>127</v>
      </c>
      <c r="V217" t="s">
        <v>2451</v>
      </c>
      <c r="W217" t="s">
        <v>2451</v>
      </c>
      <c r="X217" t="s">
        <v>2438</v>
      </c>
      <c r="Y217" t="s">
        <v>1103</v>
      </c>
      <c r="Z217" t="s">
        <v>2472</v>
      </c>
      <c r="AA217" s="3" t="s">
        <v>2759</v>
      </c>
      <c r="AB217" s="3" t="s">
        <v>132</v>
      </c>
      <c r="AC217" s="2" t="s">
        <v>130</v>
      </c>
      <c r="AD217" s="4" t="s">
        <v>1891</v>
      </c>
      <c r="AE217" t="s">
        <v>131</v>
      </c>
      <c r="AF217" t="s">
        <v>1886</v>
      </c>
      <c r="AG217" t="s">
        <v>1887</v>
      </c>
      <c r="AH217" t="s">
        <v>105</v>
      </c>
      <c r="AI217" s="3" t="s">
        <v>105</v>
      </c>
      <c r="AJ217" s="3" t="s">
        <v>106</v>
      </c>
      <c r="AK217" s="3" t="s">
        <v>107</v>
      </c>
      <c r="AL217" s="5" t="s">
        <v>510</v>
      </c>
      <c r="AM217" s="5" t="s">
        <v>109</v>
      </c>
      <c r="AO217" s="3" t="s">
        <v>119</v>
      </c>
      <c r="AP217" s="3" t="s">
        <v>120</v>
      </c>
      <c r="AQ217" s="3" t="s">
        <v>111</v>
      </c>
      <c r="AR217" s="3" t="s">
        <v>112</v>
      </c>
      <c r="AS217" s="3" t="s">
        <v>112</v>
      </c>
      <c r="AT217" s="3" t="s">
        <v>113</v>
      </c>
      <c r="AU217" s="3" t="s">
        <v>2303</v>
      </c>
      <c r="AV217" s="3" t="s">
        <v>2302</v>
      </c>
      <c r="AW217" s="3" t="s">
        <v>2301</v>
      </c>
      <c r="AX217" s="3" t="s">
        <v>2006</v>
      </c>
      <c r="AY217" s="19" t="s">
        <v>114</v>
      </c>
      <c r="AZ217" s="19" t="s">
        <v>114</v>
      </c>
      <c r="BA217" s="19" t="s">
        <v>114</v>
      </c>
      <c r="BB217" s="19" t="s">
        <v>114</v>
      </c>
      <c r="BC217" s="19" t="s">
        <v>114</v>
      </c>
      <c r="BD217" s="19" t="s">
        <v>114</v>
      </c>
      <c r="BE217" s="19" t="s">
        <v>114</v>
      </c>
      <c r="BF217" s="19" t="s">
        <v>114</v>
      </c>
      <c r="BG217" s="19" t="s">
        <v>114</v>
      </c>
      <c r="BH217" s="19" t="s">
        <v>114</v>
      </c>
      <c r="BI217" s="19" t="s">
        <v>114</v>
      </c>
      <c r="BJ217" s="19" t="s">
        <v>114</v>
      </c>
      <c r="BK217" s="19" t="s">
        <v>114</v>
      </c>
      <c r="BL217" s="19" t="s">
        <v>114</v>
      </c>
      <c r="BM217" s="19" t="s">
        <v>114</v>
      </c>
      <c r="BN217" s="19" t="s">
        <v>114</v>
      </c>
      <c r="BO217" s="19" t="s">
        <v>114</v>
      </c>
      <c r="BP217" s="19" t="s">
        <v>114</v>
      </c>
      <c r="BQ217" s="19" t="s">
        <v>114</v>
      </c>
      <c r="BR217" s="19" t="s">
        <v>114</v>
      </c>
      <c r="BS217" s="19" t="s">
        <v>114</v>
      </c>
      <c r="BT217" s="19" t="s">
        <v>114</v>
      </c>
      <c r="BU217" s="19" t="s">
        <v>114</v>
      </c>
      <c r="BV217" s="19" t="s">
        <v>114</v>
      </c>
      <c r="BW217" s="19" t="s">
        <v>114</v>
      </c>
      <c r="BX217" s="19" t="s">
        <v>114</v>
      </c>
      <c r="BY217" s="19" t="s">
        <v>114</v>
      </c>
      <c r="BZ217" s="21" t="s">
        <v>114</v>
      </c>
      <c r="CA217" s="21" t="s">
        <v>114</v>
      </c>
      <c r="CB217" s="21" t="s">
        <v>114</v>
      </c>
      <c r="CC217" s="21" t="s">
        <v>114</v>
      </c>
      <c r="CD217" s="21" t="s">
        <v>114</v>
      </c>
      <c r="CE217" s="21" t="s">
        <v>114</v>
      </c>
      <c r="CF217" s="19" t="s">
        <v>114</v>
      </c>
      <c r="CG217" s="19" t="s">
        <v>114</v>
      </c>
      <c r="CH217" s="19" t="s">
        <v>114</v>
      </c>
      <c r="CI217" s="21" t="s">
        <v>114</v>
      </c>
      <c r="CJ217" s="21" t="s">
        <v>114</v>
      </c>
      <c r="CK217" s="21" t="s">
        <v>114</v>
      </c>
      <c r="CL217" s="21" t="s">
        <v>114</v>
      </c>
      <c r="CM217" s="21" t="s">
        <v>114</v>
      </c>
      <c r="CN217" s="21" t="s">
        <v>114</v>
      </c>
      <c r="CO217" s="21" t="s">
        <v>114</v>
      </c>
      <c r="CP217" s="21" t="s">
        <v>114</v>
      </c>
      <c r="CQ217" s="21" t="s">
        <v>114</v>
      </c>
      <c r="CR217" s="21" t="s">
        <v>114</v>
      </c>
      <c r="CS217" s="21" t="s">
        <v>114</v>
      </c>
      <c r="CT217" s="21" t="s">
        <v>114</v>
      </c>
      <c r="CU217" s="21">
        <v>98423</v>
      </c>
      <c r="CV217" s="21" t="s">
        <v>114</v>
      </c>
      <c r="CW217" s="21" t="s">
        <v>114</v>
      </c>
      <c r="CX217" s="21" t="s">
        <v>114</v>
      </c>
      <c r="CY217" s="21" t="s">
        <v>114</v>
      </c>
      <c r="CZ217" s="21" t="s">
        <v>114</v>
      </c>
      <c r="DA217" s="21" t="s">
        <v>114</v>
      </c>
      <c r="DB217" s="21" t="s">
        <v>114</v>
      </c>
      <c r="DC217" s="21" t="s">
        <v>114</v>
      </c>
      <c r="DD217" s="21" t="s">
        <v>114</v>
      </c>
      <c r="DE217" s="21" t="s">
        <v>114</v>
      </c>
      <c r="DF217" s="19" t="s">
        <v>114</v>
      </c>
      <c r="DG217" s="19" t="s">
        <v>114</v>
      </c>
      <c r="DH217" s="19" t="s">
        <v>114</v>
      </c>
      <c r="DI217" s="19" t="s">
        <v>114</v>
      </c>
      <c r="DJ217" s="19" t="s">
        <v>114</v>
      </c>
      <c r="DK217" s="19" t="s">
        <v>114</v>
      </c>
      <c r="DL217" s="19" t="s">
        <v>114</v>
      </c>
      <c r="DM217" s="19" t="s">
        <v>114</v>
      </c>
      <c r="DN217" s="19" t="s">
        <v>114</v>
      </c>
      <c r="DO217" s="19" t="s">
        <v>114</v>
      </c>
    </row>
    <row r="218" spans="1:119" hidden="1" x14ac:dyDescent="0.45">
      <c r="A218" s="2" t="s">
        <v>639</v>
      </c>
      <c r="B218" t="s">
        <v>640</v>
      </c>
      <c r="C218" s="2">
        <v>292</v>
      </c>
      <c r="D218" s="6">
        <v>520</v>
      </c>
      <c r="E218" s="2" t="s">
        <v>641</v>
      </c>
      <c r="F218" t="s">
        <v>641</v>
      </c>
      <c r="H218" s="2" t="s">
        <v>641</v>
      </c>
      <c r="I218" s="2" t="s">
        <v>641</v>
      </c>
      <c r="J218" s="2">
        <v>150</v>
      </c>
      <c r="K218" t="s">
        <v>127</v>
      </c>
      <c r="L218" s="2">
        <v>39</v>
      </c>
      <c r="M218" t="s">
        <v>137</v>
      </c>
      <c r="P218" s="2" t="s">
        <v>127</v>
      </c>
      <c r="Q218" s="2" t="s">
        <v>129</v>
      </c>
      <c r="R218" s="2">
        <v>513</v>
      </c>
      <c r="S218" s="2" t="s">
        <v>1000</v>
      </c>
      <c r="T218" s="2">
        <v>150</v>
      </c>
      <c r="U218" s="2" t="s">
        <v>127</v>
      </c>
      <c r="V218" t="s">
        <v>2451</v>
      </c>
      <c r="W218" t="s">
        <v>2451</v>
      </c>
      <c r="X218" t="s">
        <v>2438</v>
      </c>
      <c r="Y218" t="s">
        <v>1103</v>
      </c>
      <c r="Z218" t="s">
        <v>2473</v>
      </c>
      <c r="AA218" s="3" t="s">
        <v>2759</v>
      </c>
      <c r="AB218" s="3" t="s">
        <v>132</v>
      </c>
      <c r="AC218" s="2" t="s">
        <v>130</v>
      </c>
      <c r="AD218" s="4" t="s">
        <v>1891</v>
      </c>
      <c r="AE218" t="s">
        <v>131</v>
      </c>
      <c r="AF218" t="s">
        <v>1886</v>
      </c>
      <c r="AG218" t="s">
        <v>1887</v>
      </c>
      <c r="AH218" t="s">
        <v>105</v>
      </c>
      <c r="AI218" s="3" t="s">
        <v>105</v>
      </c>
      <c r="AJ218" s="3" t="s">
        <v>106</v>
      </c>
      <c r="AK218" s="3" t="s">
        <v>107</v>
      </c>
      <c r="AL218" s="5" t="s">
        <v>642</v>
      </c>
      <c r="AM218" s="5" t="s">
        <v>109</v>
      </c>
      <c r="AO218" s="3" t="s">
        <v>119</v>
      </c>
      <c r="AP218" s="3" t="s">
        <v>120</v>
      </c>
      <c r="AQ218" s="3" t="s">
        <v>111</v>
      </c>
      <c r="AR218" s="3" t="s">
        <v>112</v>
      </c>
      <c r="AS218" s="3" t="s">
        <v>112</v>
      </c>
      <c r="AT218" s="3" t="s">
        <v>113</v>
      </c>
      <c r="AU218" s="3" t="s">
        <v>2303</v>
      </c>
      <c r="AV218" s="3" t="s">
        <v>2302</v>
      </c>
      <c r="AW218" s="3" t="s">
        <v>2301</v>
      </c>
      <c r="AX218" t="s">
        <v>282</v>
      </c>
      <c r="AY218" s="19" t="s">
        <v>114</v>
      </c>
      <c r="AZ218" s="19" t="s">
        <v>114</v>
      </c>
      <c r="BA218" s="19" t="s">
        <v>114</v>
      </c>
      <c r="BB218" s="19" t="s">
        <v>114</v>
      </c>
      <c r="BC218" s="19" t="s">
        <v>114</v>
      </c>
      <c r="BD218" s="19" t="s">
        <v>114</v>
      </c>
      <c r="BE218" s="19" t="s">
        <v>114</v>
      </c>
      <c r="BF218" s="19" t="s">
        <v>114</v>
      </c>
      <c r="BG218" s="19" t="s">
        <v>114</v>
      </c>
      <c r="BH218" s="19" t="s">
        <v>114</v>
      </c>
      <c r="BI218" s="19" t="s">
        <v>114</v>
      </c>
      <c r="BJ218" s="19" t="s">
        <v>114</v>
      </c>
      <c r="BK218" s="19" t="s">
        <v>114</v>
      </c>
      <c r="BL218" s="19" t="s">
        <v>114</v>
      </c>
      <c r="BM218" s="19" t="s">
        <v>114</v>
      </c>
      <c r="BN218" s="19" t="s">
        <v>114</v>
      </c>
      <c r="BO218" s="19" t="s">
        <v>114</v>
      </c>
      <c r="BP218" s="19" t="s">
        <v>114</v>
      </c>
      <c r="BQ218" s="19" t="s">
        <v>114</v>
      </c>
      <c r="BR218" s="19" t="s">
        <v>114</v>
      </c>
      <c r="BS218" s="19" t="s">
        <v>114</v>
      </c>
      <c r="BT218" s="19" t="s">
        <v>114</v>
      </c>
      <c r="BU218" s="19" t="s">
        <v>114</v>
      </c>
      <c r="BV218" s="19" t="s">
        <v>114</v>
      </c>
      <c r="BW218" s="19" t="s">
        <v>114</v>
      </c>
      <c r="BX218" s="19" t="s">
        <v>114</v>
      </c>
      <c r="BY218" s="19" t="s">
        <v>114</v>
      </c>
      <c r="BZ218" s="21" t="s">
        <v>114</v>
      </c>
      <c r="CA218" s="21" t="s">
        <v>114</v>
      </c>
      <c r="CB218" s="21" t="s">
        <v>114</v>
      </c>
      <c r="CC218" s="21" t="s">
        <v>114</v>
      </c>
      <c r="CD218" s="21" t="s">
        <v>114</v>
      </c>
      <c r="CE218" s="21" t="s">
        <v>114</v>
      </c>
      <c r="CF218" s="19" t="s">
        <v>114</v>
      </c>
      <c r="CG218" s="19" t="s">
        <v>114</v>
      </c>
      <c r="CH218" s="19" t="s">
        <v>114</v>
      </c>
      <c r="CI218" s="21" t="s">
        <v>114</v>
      </c>
      <c r="CJ218" s="21" t="s">
        <v>114</v>
      </c>
      <c r="CK218" s="21" t="s">
        <v>114</v>
      </c>
      <c r="CL218" s="21" t="s">
        <v>114</v>
      </c>
      <c r="CM218" s="21" t="s">
        <v>114</v>
      </c>
      <c r="CN218" s="21" t="s">
        <v>114</v>
      </c>
      <c r="CO218" s="21" t="s">
        <v>114</v>
      </c>
      <c r="CP218" s="21" t="s">
        <v>114</v>
      </c>
      <c r="CQ218" s="21" t="s">
        <v>114</v>
      </c>
      <c r="CR218" s="21" t="s">
        <v>114</v>
      </c>
      <c r="CS218" s="21" t="s">
        <v>114</v>
      </c>
      <c r="CT218" s="21" t="s">
        <v>114</v>
      </c>
      <c r="CU218" s="21">
        <v>98423</v>
      </c>
      <c r="CV218" s="21" t="s">
        <v>114</v>
      </c>
      <c r="CW218" s="21" t="s">
        <v>114</v>
      </c>
      <c r="CX218" s="21" t="s">
        <v>114</v>
      </c>
      <c r="CY218" s="21" t="s">
        <v>114</v>
      </c>
      <c r="CZ218" s="21" t="s">
        <v>114</v>
      </c>
      <c r="DA218" s="21" t="s">
        <v>114</v>
      </c>
      <c r="DB218" s="21" t="s">
        <v>114</v>
      </c>
      <c r="DC218" s="21" t="s">
        <v>114</v>
      </c>
      <c r="DD218" s="21" t="s">
        <v>114</v>
      </c>
      <c r="DE218" s="21" t="s">
        <v>114</v>
      </c>
      <c r="DF218" s="19" t="s">
        <v>114</v>
      </c>
      <c r="DG218" s="19" t="s">
        <v>114</v>
      </c>
      <c r="DH218" s="19" t="s">
        <v>114</v>
      </c>
      <c r="DI218" s="19" t="s">
        <v>114</v>
      </c>
      <c r="DJ218" s="19" t="s">
        <v>114</v>
      </c>
      <c r="DK218" s="19" t="s">
        <v>114</v>
      </c>
      <c r="DL218" s="19" t="s">
        <v>114</v>
      </c>
      <c r="DM218" s="19" t="s">
        <v>114</v>
      </c>
      <c r="DN218" s="19" t="s">
        <v>114</v>
      </c>
      <c r="DO218" s="19" t="s">
        <v>114</v>
      </c>
    </row>
    <row r="219" spans="1:119" hidden="1" x14ac:dyDescent="0.45">
      <c r="A219" s="2" t="s">
        <v>670</v>
      </c>
      <c r="B219" t="s">
        <v>671</v>
      </c>
      <c r="C219" s="2">
        <v>831</v>
      </c>
      <c r="D219" s="6">
        <v>522</v>
      </c>
      <c r="E219" s="2" t="s">
        <v>672</v>
      </c>
      <c r="F219" t="s">
        <v>672</v>
      </c>
      <c r="H219" s="2" t="s">
        <v>673</v>
      </c>
      <c r="I219" s="2" t="s">
        <v>672</v>
      </c>
      <c r="J219" s="2">
        <v>150</v>
      </c>
      <c r="K219" t="s">
        <v>127</v>
      </c>
      <c r="L219" s="2">
        <v>154</v>
      </c>
      <c r="M219" t="s">
        <v>128</v>
      </c>
      <c r="N219">
        <v>509</v>
      </c>
      <c r="O219" s="5" t="s">
        <v>395</v>
      </c>
      <c r="P219" s="2" t="s">
        <v>127</v>
      </c>
      <c r="Q219" s="2" t="s">
        <v>129</v>
      </c>
      <c r="R219" s="2">
        <v>513</v>
      </c>
      <c r="S219" s="2" t="s">
        <v>1000</v>
      </c>
      <c r="T219" s="2">
        <v>150</v>
      </c>
      <c r="U219" s="2" t="s">
        <v>127</v>
      </c>
      <c r="V219" t="e">
        <v>#N/A</v>
      </c>
      <c r="W219" t="e">
        <v>#N/A</v>
      </c>
      <c r="X219" t="e">
        <v>#N/A</v>
      </c>
      <c r="Y219" t="s">
        <v>1103</v>
      </c>
      <c r="Z219" t="s">
        <v>2472</v>
      </c>
      <c r="AA219" s="3" t="s">
        <v>2759</v>
      </c>
      <c r="AB219" s="3" t="s">
        <v>132</v>
      </c>
      <c r="AC219" s="2" t="s">
        <v>1888</v>
      </c>
      <c r="AD219" s="2" t="s">
        <v>1888</v>
      </c>
      <c r="AE219" t="s">
        <v>131</v>
      </c>
      <c r="AF219" t="s">
        <v>1886</v>
      </c>
      <c r="AG219" t="s">
        <v>1887</v>
      </c>
      <c r="AH219" t="s">
        <v>105</v>
      </c>
      <c r="AI219" s="3" t="s">
        <v>105</v>
      </c>
      <c r="AJ219" s="3" t="s">
        <v>106</v>
      </c>
      <c r="AK219" s="3" t="s">
        <v>107</v>
      </c>
      <c r="AL219" s="5" t="s">
        <v>674</v>
      </c>
      <c r="AM219" s="5" t="s">
        <v>109</v>
      </c>
      <c r="AO219" s="3" t="s">
        <v>119</v>
      </c>
      <c r="AP219" s="3" t="s">
        <v>120</v>
      </c>
      <c r="AQ219" s="3" t="s">
        <v>111</v>
      </c>
      <c r="AR219" s="3" t="s">
        <v>112</v>
      </c>
      <c r="AS219" s="3" t="s">
        <v>112</v>
      </c>
      <c r="AT219" s="3" t="s">
        <v>113</v>
      </c>
      <c r="AU219" s="3" t="s">
        <v>2303</v>
      </c>
      <c r="AV219" s="3" t="s">
        <v>2302</v>
      </c>
      <c r="AW219" s="3" t="s">
        <v>2301</v>
      </c>
      <c r="AX219" t="s">
        <v>282</v>
      </c>
      <c r="AY219" s="19" t="s">
        <v>114</v>
      </c>
      <c r="AZ219" s="19" t="s">
        <v>114</v>
      </c>
      <c r="BA219" s="19" t="s">
        <v>114</v>
      </c>
      <c r="BB219" s="19" t="s">
        <v>114</v>
      </c>
      <c r="BC219" s="19" t="s">
        <v>114</v>
      </c>
      <c r="BD219" s="19" t="s">
        <v>114</v>
      </c>
      <c r="BE219" s="19" t="s">
        <v>114</v>
      </c>
      <c r="BF219" s="19" t="s">
        <v>114</v>
      </c>
      <c r="BG219" s="19" t="s">
        <v>114</v>
      </c>
      <c r="BH219" s="19" t="s">
        <v>114</v>
      </c>
      <c r="BI219" s="19" t="s">
        <v>114</v>
      </c>
      <c r="BJ219" s="19" t="s">
        <v>114</v>
      </c>
      <c r="BK219" s="19" t="s">
        <v>114</v>
      </c>
      <c r="BL219" s="19" t="s">
        <v>114</v>
      </c>
      <c r="BM219" s="19" t="s">
        <v>114</v>
      </c>
      <c r="BN219" s="19" t="s">
        <v>114</v>
      </c>
      <c r="BO219" s="19" t="s">
        <v>114</v>
      </c>
      <c r="BP219" s="19" t="s">
        <v>114</v>
      </c>
      <c r="BQ219" s="19" t="s">
        <v>114</v>
      </c>
      <c r="BR219" s="19" t="s">
        <v>114</v>
      </c>
      <c r="BS219" s="19" t="s">
        <v>114</v>
      </c>
      <c r="BT219" s="19" t="s">
        <v>114</v>
      </c>
      <c r="BU219" s="19" t="s">
        <v>114</v>
      </c>
      <c r="BV219" s="19" t="s">
        <v>114</v>
      </c>
      <c r="BW219" s="19" t="s">
        <v>114</v>
      </c>
      <c r="BX219" s="19" t="s">
        <v>114</v>
      </c>
      <c r="BY219" s="19" t="s">
        <v>114</v>
      </c>
      <c r="BZ219" s="21" t="s">
        <v>114</v>
      </c>
      <c r="CA219" s="21" t="s">
        <v>114</v>
      </c>
      <c r="CB219" s="21" t="s">
        <v>114</v>
      </c>
      <c r="CC219" s="21" t="s">
        <v>114</v>
      </c>
      <c r="CD219" s="21" t="s">
        <v>114</v>
      </c>
      <c r="CE219" s="21" t="s">
        <v>114</v>
      </c>
      <c r="CF219" s="19" t="s">
        <v>114</v>
      </c>
      <c r="CG219" s="19" t="s">
        <v>114</v>
      </c>
      <c r="CH219" s="19" t="s">
        <v>114</v>
      </c>
      <c r="CI219" s="21" t="s">
        <v>114</v>
      </c>
      <c r="CJ219" s="21" t="s">
        <v>114</v>
      </c>
      <c r="CK219" s="21" t="s">
        <v>114</v>
      </c>
      <c r="CL219" s="21" t="s">
        <v>114</v>
      </c>
      <c r="CM219" s="21" t="s">
        <v>114</v>
      </c>
      <c r="CN219" s="21" t="s">
        <v>114</v>
      </c>
      <c r="CO219" s="21" t="s">
        <v>114</v>
      </c>
      <c r="CP219" s="21" t="s">
        <v>114</v>
      </c>
      <c r="CQ219" s="21" t="s">
        <v>114</v>
      </c>
      <c r="CR219" s="21" t="s">
        <v>114</v>
      </c>
      <c r="CS219" s="21" t="s">
        <v>114</v>
      </c>
      <c r="CT219" s="21" t="s">
        <v>114</v>
      </c>
      <c r="CU219" s="21">
        <v>98423</v>
      </c>
      <c r="CV219" s="21" t="s">
        <v>114</v>
      </c>
      <c r="CW219" s="21" t="s">
        <v>114</v>
      </c>
      <c r="CX219" s="21" t="s">
        <v>114</v>
      </c>
      <c r="CY219" s="21" t="s">
        <v>114</v>
      </c>
      <c r="CZ219" s="21" t="s">
        <v>114</v>
      </c>
      <c r="DA219" s="21" t="s">
        <v>114</v>
      </c>
      <c r="DB219" s="21" t="s">
        <v>114</v>
      </c>
      <c r="DC219" s="21" t="s">
        <v>114</v>
      </c>
      <c r="DD219" s="21" t="s">
        <v>114</v>
      </c>
      <c r="DE219" s="21" t="s">
        <v>114</v>
      </c>
      <c r="DF219" s="19" t="s">
        <v>114</v>
      </c>
      <c r="DG219" s="19" t="s">
        <v>114</v>
      </c>
      <c r="DH219" s="19" t="s">
        <v>114</v>
      </c>
      <c r="DI219" s="19" t="s">
        <v>114</v>
      </c>
      <c r="DJ219" s="19" t="s">
        <v>114</v>
      </c>
      <c r="DK219" s="19" t="s">
        <v>114</v>
      </c>
      <c r="DL219" s="19" t="s">
        <v>114</v>
      </c>
      <c r="DM219" s="19" t="s">
        <v>114</v>
      </c>
      <c r="DN219" s="19" t="s">
        <v>114</v>
      </c>
      <c r="DO219" s="19" t="s">
        <v>114</v>
      </c>
    </row>
    <row r="220" spans="1:119" hidden="1" x14ac:dyDescent="0.45">
      <c r="A220" s="2" t="s">
        <v>699</v>
      </c>
      <c r="B220" t="s">
        <v>700</v>
      </c>
      <c r="C220" s="2">
        <v>336</v>
      </c>
      <c r="D220" s="6">
        <v>523</v>
      </c>
      <c r="E220" s="2" t="s">
        <v>701</v>
      </c>
      <c r="F220" s="3" t="s">
        <v>1897</v>
      </c>
      <c r="H220" s="2" t="s">
        <v>702</v>
      </c>
      <c r="I220" s="2" t="s">
        <v>703</v>
      </c>
      <c r="J220" s="2">
        <v>150</v>
      </c>
      <c r="K220" t="s">
        <v>127</v>
      </c>
      <c r="L220" s="2">
        <v>39</v>
      </c>
      <c r="M220" t="s">
        <v>137</v>
      </c>
      <c r="P220" s="2" t="s">
        <v>127</v>
      </c>
      <c r="Q220" s="2" t="s">
        <v>129</v>
      </c>
      <c r="R220" s="2">
        <v>513</v>
      </c>
      <c r="S220" s="2" t="s">
        <v>1000</v>
      </c>
      <c r="T220" s="2">
        <v>150</v>
      </c>
      <c r="U220" s="2" t="s">
        <v>127</v>
      </c>
      <c r="V220" t="s">
        <v>2451</v>
      </c>
      <c r="W220" t="s">
        <v>2451</v>
      </c>
      <c r="X220" t="s">
        <v>2438</v>
      </c>
      <c r="Y220" t="s">
        <v>1103</v>
      </c>
      <c r="Z220" t="s">
        <v>2473</v>
      </c>
      <c r="AA220" s="3" t="s">
        <v>2759</v>
      </c>
      <c r="AB220" s="3" t="s">
        <v>132</v>
      </c>
      <c r="AC220" s="2" t="s">
        <v>1888</v>
      </c>
      <c r="AD220" s="2" t="s">
        <v>1888</v>
      </c>
      <c r="AE220" t="s">
        <v>131</v>
      </c>
      <c r="AF220" t="s">
        <v>1886</v>
      </c>
      <c r="AG220" t="s">
        <v>1887</v>
      </c>
      <c r="AH220" t="s">
        <v>105</v>
      </c>
      <c r="AI220" s="3" t="s">
        <v>105</v>
      </c>
      <c r="AJ220" s="3" t="s">
        <v>106</v>
      </c>
      <c r="AK220" s="3" t="s">
        <v>107</v>
      </c>
      <c r="AL220" s="5" t="s">
        <v>132</v>
      </c>
      <c r="AM220" s="5" t="s">
        <v>109</v>
      </c>
      <c r="AO220" s="3" t="s">
        <v>119</v>
      </c>
      <c r="AP220" s="3" t="s">
        <v>120</v>
      </c>
      <c r="AQ220" s="3" t="s">
        <v>111</v>
      </c>
      <c r="AR220" s="3" t="s">
        <v>112</v>
      </c>
      <c r="AS220" s="3" t="s">
        <v>112</v>
      </c>
      <c r="AT220" s="3" t="s">
        <v>113</v>
      </c>
      <c r="AU220" s="3" t="s">
        <v>2303</v>
      </c>
      <c r="AV220" s="3" t="s">
        <v>2302</v>
      </c>
      <c r="AW220" s="3" t="s">
        <v>2301</v>
      </c>
      <c r="AX220" t="s">
        <v>282</v>
      </c>
      <c r="AY220" s="19" t="s">
        <v>114</v>
      </c>
      <c r="AZ220" s="19" t="s">
        <v>114</v>
      </c>
      <c r="BA220" s="19" t="s">
        <v>114</v>
      </c>
      <c r="BB220" s="19" t="s">
        <v>114</v>
      </c>
      <c r="BC220" s="19" t="s">
        <v>114</v>
      </c>
      <c r="BD220" s="19" t="s">
        <v>114</v>
      </c>
      <c r="BE220" s="19" t="s">
        <v>114</v>
      </c>
      <c r="BF220" s="19" t="s">
        <v>114</v>
      </c>
      <c r="BG220" s="19" t="s">
        <v>114</v>
      </c>
      <c r="BH220" s="19" t="s">
        <v>114</v>
      </c>
      <c r="BI220" s="19" t="s">
        <v>114</v>
      </c>
      <c r="BJ220" s="19" t="s">
        <v>114</v>
      </c>
      <c r="BK220" s="19" t="s">
        <v>114</v>
      </c>
      <c r="BL220" s="19" t="s">
        <v>114</v>
      </c>
      <c r="BM220" s="19" t="s">
        <v>114</v>
      </c>
      <c r="BN220" s="19" t="s">
        <v>114</v>
      </c>
      <c r="BO220" s="19" t="s">
        <v>114</v>
      </c>
      <c r="BP220" s="19" t="s">
        <v>114</v>
      </c>
      <c r="BQ220" s="19" t="s">
        <v>114</v>
      </c>
      <c r="BR220" s="19" t="s">
        <v>114</v>
      </c>
      <c r="BS220" s="19" t="s">
        <v>114</v>
      </c>
      <c r="BT220" s="19" t="s">
        <v>114</v>
      </c>
      <c r="BU220" s="19" t="s">
        <v>114</v>
      </c>
      <c r="BV220" s="19" t="s">
        <v>114</v>
      </c>
      <c r="BW220" s="19" t="s">
        <v>114</v>
      </c>
      <c r="BX220" s="19" t="s">
        <v>114</v>
      </c>
      <c r="BY220" s="19" t="s">
        <v>114</v>
      </c>
      <c r="BZ220" s="21" t="s">
        <v>114</v>
      </c>
      <c r="CA220" s="21" t="s">
        <v>114</v>
      </c>
      <c r="CB220" s="21" t="s">
        <v>114</v>
      </c>
      <c r="CC220" s="21" t="s">
        <v>114</v>
      </c>
      <c r="CD220" s="21" t="s">
        <v>114</v>
      </c>
      <c r="CE220" s="21" t="s">
        <v>114</v>
      </c>
      <c r="CF220" s="19" t="s">
        <v>114</v>
      </c>
      <c r="CG220" s="19" t="s">
        <v>114</v>
      </c>
      <c r="CH220" s="19" t="s">
        <v>114</v>
      </c>
      <c r="CI220" s="21" t="s">
        <v>114</v>
      </c>
      <c r="CJ220" s="21" t="s">
        <v>114</v>
      </c>
      <c r="CK220" s="21" t="s">
        <v>114</v>
      </c>
      <c r="CL220" s="21" t="s">
        <v>114</v>
      </c>
      <c r="CM220" s="21" t="s">
        <v>114</v>
      </c>
      <c r="CN220" s="21" t="s">
        <v>114</v>
      </c>
      <c r="CO220" s="21" t="s">
        <v>114</v>
      </c>
      <c r="CP220" s="21" t="s">
        <v>114</v>
      </c>
      <c r="CQ220" s="21" t="s">
        <v>114</v>
      </c>
      <c r="CR220" s="21" t="s">
        <v>114</v>
      </c>
      <c r="CS220" s="21" t="s">
        <v>114</v>
      </c>
      <c r="CT220" s="21" t="s">
        <v>114</v>
      </c>
      <c r="CU220" s="21">
        <v>98423</v>
      </c>
      <c r="CV220" s="21" t="s">
        <v>114</v>
      </c>
      <c r="CW220" s="21" t="s">
        <v>114</v>
      </c>
      <c r="CX220" s="21" t="s">
        <v>114</v>
      </c>
      <c r="CY220" s="21" t="s">
        <v>114</v>
      </c>
      <c r="CZ220" s="21" t="s">
        <v>114</v>
      </c>
      <c r="DA220" s="21" t="s">
        <v>114</v>
      </c>
      <c r="DB220" s="21" t="s">
        <v>114</v>
      </c>
      <c r="DC220" s="21" t="s">
        <v>114</v>
      </c>
      <c r="DD220" s="21" t="s">
        <v>114</v>
      </c>
      <c r="DE220" s="21" t="s">
        <v>114</v>
      </c>
      <c r="DF220" s="19" t="s">
        <v>114</v>
      </c>
      <c r="DG220" s="19" t="s">
        <v>114</v>
      </c>
      <c r="DH220" s="19" t="s">
        <v>114</v>
      </c>
      <c r="DI220" s="19" t="s">
        <v>114</v>
      </c>
      <c r="DJ220" s="19" t="s">
        <v>114</v>
      </c>
      <c r="DK220" s="19" t="s">
        <v>114</v>
      </c>
      <c r="DL220" s="19" t="s">
        <v>114</v>
      </c>
      <c r="DM220" s="19" t="s">
        <v>114</v>
      </c>
      <c r="DN220" s="19" t="s">
        <v>114</v>
      </c>
      <c r="DO220" s="19" t="s">
        <v>114</v>
      </c>
    </row>
    <row r="221" spans="1:119" hidden="1" x14ac:dyDescent="0.45">
      <c r="A221" s="2" t="s">
        <v>714</v>
      </c>
      <c r="B221" t="s">
        <v>715</v>
      </c>
      <c r="C221" s="2">
        <v>352</v>
      </c>
      <c r="D221" s="6">
        <v>525</v>
      </c>
      <c r="E221" s="2" t="s">
        <v>716</v>
      </c>
      <c r="F221" t="s">
        <v>716</v>
      </c>
      <c r="G221" t="s">
        <v>716</v>
      </c>
      <c r="H221" s="2" t="s">
        <v>717</v>
      </c>
      <c r="I221" s="2" t="s">
        <v>718</v>
      </c>
      <c r="J221" s="2">
        <v>150</v>
      </c>
      <c r="K221" t="s">
        <v>127</v>
      </c>
      <c r="L221" s="2">
        <v>154</v>
      </c>
      <c r="M221" t="s">
        <v>128</v>
      </c>
      <c r="P221" s="2" t="s">
        <v>127</v>
      </c>
      <c r="Q221" s="2" t="s">
        <v>129</v>
      </c>
      <c r="R221" s="2">
        <v>513</v>
      </c>
      <c r="S221" s="2" t="s">
        <v>1000</v>
      </c>
      <c r="T221" s="2">
        <v>150</v>
      </c>
      <c r="U221" s="2" t="s">
        <v>127</v>
      </c>
      <c r="V221" t="s">
        <v>2451</v>
      </c>
      <c r="W221" t="s">
        <v>2451</v>
      </c>
      <c r="X221" t="s">
        <v>2438</v>
      </c>
      <c r="Y221" t="s">
        <v>1103</v>
      </c>
      <c r="Z221" t="s">
        <v>2472</v>
      </c>
      <c r="AA221" s="3" t="s">
        <v>2759</v>
      </c>
      <c r="AB221" s="3" t="s">
        <v>132</v>
      </c>
      <c r="AC221" s="2" t="s">
        <v>130</v>
      </c>
      <c r="AD221" s="4" t="s">
        <v>1891</v>
      </c>
      <c r="AE221" t="s">
        <v>131</v>
      </c>
      <c r="AF221" t="s">
        <v>1886</v>
      </c>
      <c r="AG221" t="s">
        <v>1887</v>
      </c>
      <c r="AH221" s="3" t="s">
        <v>18</v>
      </c>
      <c r="AI221" s="3" t="s">
        <v>224</v>
      </c>
      <c r="AJ221" s="3" t="s">
        <v>106</v>
      </c>
      <c r="AK221" s="3" t="s">
        <v>107</v>
      </c>
      <c r="AL221" s="5" t="s">
        <v>719</v>
      </c>
      <c r="AM221" s="5" t="s">
        <v>715</v>
      </c>
      <c r="AO221" s="3" t="s">
        <v>119</v>
      </c>
      <c r="AP221" s="3" t="s">
        <v>120</v>
      </c>
      <c r="AQ221" s="3" t="s">
        <v>111</v>
      </c>
      <c r="AR221" s="3" t="s">
        <v>112</v>
      </c>
      <c r="AS221" s="3" t="s">
        <v>112</v>
      </c>
      <c r="AT221" s="3" t="s">
        <v>113</v>
      </c>
      <c r="AU221" s="3" t="s">
        <v>2303</v>
      </c>
      <c r="AV221" s="3" t="s">
        <v>2302</v>
      </c>
      <c r="AW221" s="3" t="s">
        <v>2301</v>
      </c>
      <c r="AX221" s="3" t="s">
        <v>2006</v>
      </c>
      <c r="AY221" s="19" t="s">
        <v>114</v>
      </c>
      <c r="AZ221" s="19" t="s">
        <v>114</v>
      </c>
      <c r="BA221" s="19" t="s">
        <v>114</v>
      </c>
      <c r="BB221" s="19" t="s">
        <v>114</v>
      </c>
      <c r="BC221" s="19" t="s">
        <v>114</v>
      </c>
      <c r="BD221" s="19" t="s">
        <v>114</v>
      </c>
      <c r="BE221" s="19" t="s">
        <v>114</v>
      </c>
      <c r="BF221" s="19" t="s">
        <v>114</v>
      </c>
      <c r="BG221" s="19" t="s">
        <v>114</v>
      </c>
      <c r="BH221" s="19" t="s">
        <v>114</v>
      </c>
      <c r="BI221" s="19" t="s">
        <v>114</v>
      </c>
      <c r="BJ221" s="19" t="s">
        <v>114</v>
      </c>
      <c r="BK221" s="19" t="s">
        <v>114</v>
      </c>
      <c r="BL221" s="19" t="s">
        <v>114</v>
      </c>
      <c r="BM221" s="19" t="s">
        <v>114</v>
      </c>
      <c r="BN221" s="19" t="s">
        <v>114</v>
      </c>
      <c r="BO221" s="19" t="s">
        <v>114</v>
      </c>
      <c r="BP221" s="19" t="s">
        <v>114</v>
      </c>
      <c r="BQ221" s="19" t="s">
        <v>114</v>
      </c>
      <c r="BR221" s="19" t="s">
        <v>114</v>
      </c>
      <c r="BS221" s="19" t="s">
        <v>114</v>
      </c>
      <c r="BT221" s="19" t="s">
        <v>114</v>
      </c>
      <c r="BU221" s="19" t="s">
        <v>114</v>
      </c>
      <c r="BV221" s="19" t="s">
        <v>114</v>
      </c>
      <c r="BW221" s="19" t="s">
        <v>114</v>
      </c>
      <c r="BX221" s="19" t="s">
        <v>114</v>
      </c>
      <c r="BY221" s="19" t="s">
        <v>114</v>
      </c>
      <c r="BZ221" s="21">
        <v>98200</v>
      </c>
      <c r="CA221" s="21" t="s">
        <v>114</v>
      </c>
      <c r="CB221" s="21" t="s">
        <v>114</v>
      </c>
      <c r="CC221" s="21" t="s">
        <v>114</v>
      </c>
      <c r="CD221" s="21" t="s">
        <v>114</v>
      </c>
      <c r="CE221" s="21" t="s">
        <v>114</v>
      </c>
      <c r="CF221" s="19" t="s">
        <v>114</v>
      </c>
      <c r="CG221" s="19" t="s">
        <v>114</v>
      </c>
      <c r="CH221" s="19" t="s">
        <v>114</v>
      </c>
      <c r="CI221" s="21" t="s">
        <v>114</v>
      </c>
      <c r="CJ221" s="21" t="s">
        <v>114</v>
      </c>
      <c r="CK221" s="21" t="s">
        <v>114</v>
      </c>
      <c r="CL221" s="21" t="s">
        <v>114</v>
      </c>
      <c r="CM221" s="21" t="s">
        <v>114</v>
      </c>
      <c r="CN221" s="21" t="s">
        <v>114</v>
      </c>
      <c r="CO221" s="21" t="s">
        <v>114</v>
      </c>
      <c r="CP221" s="21" t="s">
        <v>114</v>
      </c>
      <c r="CQ221" s="21" t="s">
        <v>114</v>
      </c>
      <c r="CR221" s="21" t="s">
        <v>114</v>
      </c>
      <c r="CS221" s="21" t="s">
        <v>114</v>
      </c>
      <c r="CT221" s="21" t="s">
        <v>114</v>
      </c>
      <c r="CU221" s="21">
        <v>98423</v>
      </c>
      <c r="CV221" s="21" t="s">
        <v>114</v>
      </c>
      <c r="CW221" s="21" t="s">
        <v>114</v>
      </c>
      <c r="CX221" s="21" t="s">
        <v>114</v>
      </c>
      <c r="CY221" s="21" t="s">
        <v>114</v>
      </c>
      <c r="CZ221" s="21" t="s">
        <v>114</v>
      </c>
      <c r="DA221" s="21" t="s">
        <v>114</v>
      </c>
      <c r="DB221" s="21" t="s">
        <v>114</v>
      </c>
      <c r="DC221" s="21" t="s">
        <v>114</v>
      </c>
      <c r="DD221" s="21" t="s">
        <v>114</v>
      </c>
      <c r="DE221" s="21" t="s">
        <v>114</v>
      </c>
      <c r="DF221" s="19" t="s">
        <v>114</v>
      </c>
      <c r="DG221" s="19" t="s">
        <v>114</v>
      </c>
      <c r="DH221" s="19" t="s">
        <v>114</v>
      </c>
      <c r="DI221" s="19" t="s">
        <v>114</v>
      </c>
      <c r="DJ221" s="19" t="s">
        <v>114</v>
      </c>
      <c r="DK221" s="19" t="s">
        <v>114</v>
      </c>
      <c r="DL221" s="19" t="s">
        <v>114</v>
      </c>
      <c r="DM221" s="19" t="s">
        <v>114</v>
      </c>
      <c r="DN221" s="19" t="s">
        <v>114</v>
      </c>
      <c r="DO221" s="19" t="s">
        <v>114</v>
      </c>
    </row>
    <row r="222" spans="1:119" hidden="1" x14ac:dyDescent="0.45">
      <c r="A222" s="2" t="s">
        <v>744</v>
      </c>
      <c r="B222" t="s">
        <v>745</v>
      </c>
      <c r="C222" s="2">
        <v>833</v>
      </c>
      <c r="D222" s="6">
        <v>527</v>
      </c>
      <c r="E222" s="2" t="s">
        <v>746</v>
      </c>
      <c r="F222" t="s">
        <v>746</v>
      </c>
      <c r="H222" s="2" t="s">
        <v>747</v>
      </c>
      <c r="I222" s="2" t="s">
        <v>748</v>
      </c>
      <c r="J222" s="2">
        <v>150</v>
      </c>
      <c r="K222" t="s">
        <v>127</v>
      </c>
      <c r="L222" s="2">
        <v>154</v>
      </c>
      <c r="M222" t="s">
        <v>128</v>
      </c>
      <c r="P222" s="2" t="s">
        <v>127</v>
      </c>
      <c r="Q222" s="2" t="s">
        <v>129</v>
      </c>
      <c r="R222" s="2">
        <v>513</v>
      </c>
      <c r="S222" s="2" t="s">
        <v>1000</v>
      </c>
      <c r="T222" s="2">
        <v>150</v>
      </c>
      <c r="U222" s="2" t="s">
        <v>127</v>
      </c>
      <c r="V222" t="s">
        <v>2451</v>
      </c>
      <c r="W222" t="s">
        <v>2451</v>
      </c>
      <c r="X222" t="e">
        <v>#N/A</v>
      </c>
      <c r="Y222" t="s">
        <v>1103</v>
      </c>
      <c r="Z222" t="s">
        <v>2472</v>
      </c>
      <c r="AA222" s="3" t="s">
        <v>2759</v>
      </c>
      <c r="AB222" s="3" t="s">
        <v>132</v>
      </c>
      <c r="AC222" s="2" t="s">
        <v>130</v>
      </c>
      <c r="AD222" s="4" t="s">
        <v>1891</v>
      </c>
      <c r="AE222" t="s">
        <v>131</v>
      </c>
      <c r="AF222" t="s">
        <v>1886</v>
      </c>
      <c r="AG222" t="s">
        <v>1887</v>
      </c>
      <c r="AH222" t="s">
        <v>105</v>
      </c>
      <c r="AI222" s="3" t="s">
        <v>105</v>
      </c>
      <c r="AJ222" s="3" t="s">
        <v>106</v>
      </c>
      <c r="AK222" s="3" t="s">
        <v>107</v>
      </c>
      <c r="AL222" s="5" t="s">
        <v>674</v>
      </c>
      <c r="AM222" s="5" t="s">
        <v>109</v>
      </c>
      <c r="AO222" s="3" t="s">
        <v>119</v>
      </c>
      <c r="AP222" s="3" t="s">
        <v>120</v>
      </c>
      <c r="AQ222" s="3" t="s">
        <v>111</v>
      </c>
      <c r="AR222" s="3" t="s">
        <v>112</v>
      </c>
      <c r="AS222" s="3" t="s">
        <v>112</v>
      </c>
      <c r="AT222" s="3" t="s">
        <v>113</v>
      </c>
      <c r="AU222" s="3" t="s">
        <v>2303</v>
      </c>
      <c r="AV222" s="3" t="s">
        <v>2302</v>
      </c>
      <c r="AW222" s="3" t="s">
        <v>2301</v>
      </c>
      <c r="AX222" t="s">
        <v>282</v>
      </c>
      <c r="AY222" s="19" t="s">
        <v>114</v>
      </c>
      <c r="AZ222" s="19" t="s">
        <v>114</v>
      </c>
      <c r="BA222" s="19" t="s">
        <v>114</v>
      </c>
      <c r="BB222" s="19" t="s">
        <v>114</v>
      </c>
      <c r="BC222" s="19" t="s">
        <v>114</v>
      </c>
      <c r="BD222" s="19" t="s">
        <v>114</v>
      </c>
      <c r="BE222" s="19" t="s">
        <v>114</v>
      </c>
      <c r="BF222" s="19" t="s">
        <v>114</v>
      </c>
      <c r="BG222" s="19" t="s">
        <v>114</v>
      </c>
      <c r="BH222" s="19" t="s">
        <v>114</v>
      </c>
      <c r="BI222" s="19" t="s">
        <v>114</v>
      </c>
      <c r="BJ222" s="19" t="s">
        <v>114</v>
      </c>
      <c r="BK222" s="19" t="s">
        <v>114</v>
      </c>
      <c r="BL222" s="19" t="s">
        <v>114</v>
      </c>
      <c r="BM222" s="19" t="s">
        <v>114</v>
      </c>
      <c r="BN222" s="19" t="s">
        <v>114</v>
      </c>
      <c r="BO222" s="19" t="s">
        <v>114</v>
      </c>
      <c r="BP222" s="19" t="s">
        <v>114</v>
      </c>
      <c r="BQ222" s="19" t="s">
        <v>114</v>
      </c>
      <c r="BR222" s="19" t="s">
        <v>114</v>
      </c>
      <c r="BS222" s="19" t="s">
        <v>114</v>
      </c>
      <c r="BT222" s="19" t="s">
        <v>114</v>
      </c>
      <c r="BU222" s="19" t="s">
        <v>114</v>
      </c>
      <c r="BV222" s="19" t="s">
        <v>114</v>
      </c>
      <c r="BW222" s="19" t="s">
        <v>114</v>
      </c>
      <c r="BX222" s="19" t="s">
        <v>114</v>
      </c>
      <c r="BY222" s="19" t="s">
        <v>114</v>
      </c>
      <c r="BZ222" s="21" t="s">
        <v>114</v>
      </c>
      <c r="CA222" s="21" t="s">
        <v>114</v>
      </c>
      <c r="CB222" s="21" t="s">
        <v>114</v>
      </c>
      <c r="CC222" s="21" t="s">
        <v>114</v>
      </c>
      <c r="CD222" s="21" t="s">
        <v>114</v>
      </c>
      <c r="CE222" s="21" t="s">
        <v>114</v>
      </c>
      <c r="CF222" s="19" t="s">
        <v>114</v>
      </c>
      <c r="CG222" s="19" t="s">
        <v>114</v>
      </c>
      <c r="CH222" s="19" t="s">
        <v>114</v>
      </c>
      <c r="CI222" s="21" t="s">
        <v>114</v>
      </c>
      <c r="CJ222" s="21" t="s">
        <v>114</v>
      </c>
      <c r="CK222" s="21" t="s">
        <v>114</v>
      </c>
      <c r="CL222" s="21" t="s">
        <v>114</v>
      </c>
      <c r="CM222" s="21" t="s">
        <v>114</v>
      </c>
      <c r="CN222" s="21" t="s">
        <v>114</v>
      </c>
      <c r="CO222" s="21" t="s">
        <v>114</v>
      </c>
      <c r="CP222" s="21" t="s">
        <v>114</v>
      </c>
      <c r="CQ222" s="21" t="s">
        <v>114</v>
      </c>
      <c r="CR222" s="21" t="s">
        <v>114</v>
      </c>
      <c r="CS222" s="21" t="s">
        <v>114</v>
      </c>
      <c r="CT222" s="21" t="s">
        <v>114</v>
      </c>
      <c r="CU222" s="21">
        <v>98423</v>
      </c>
      <c r="CV222" s="21" t="s">
        <v>114</v>
      </c>
      <c r="CW222" s="21" t="s">
        <v>114</v>
      </c>
      <c r="CX222" s="21" t="s">
        <v>114</v>
      </c>
      <c r="CY222" s="21" t="s">
        <v>114</v>
      </c>
      <c r="CZ222" s="21" t="s">
        <v>114</v>
      </c>
      <c r="DA222" s="21" t="s">
        <v>114</v>
      </c>
      <c r="DB222" s="21" t="s">
        <v>114</v>
      </c>
      <c r="DC222" s="21" t="s">
        <v>114</v>
      </c>
      <c r="DD222" s="21" t="s">
        <v>114</v>
      </c>
      <c r="DE222" s="21" t="s">
        <v>114</v>
      </c>
      <c r="DF222" s="19" t="s">
        <v>114</v>
      </c>
      <c r="DG222" s="19" t="s">
        <v>114</v>
      </c>
      <c r="DH222" s="19" t="s">
        <v>114</v>
      </c>
      <c r="DI222" s="19" t="s">
        <v>114</v>
      </c>
      <c r="DJ222" s="19" t="s">
        <v>114</v>
      </c>
      <c r="DK222" s="19" t="s">
        <v>114</v>
      </c>
      <c r="DL222" s="19" t="s">
        <v>114</v>
      </c>
      <c r="DM222" s="19" t="s">
        <v>114</v>
      </c>
      <c r="DN222" s="19" t="s">
        <v>114</v>
      </c>
      <c r="DO222" s="19" t="s">
        <v>114</v>
      </c>
    </row>
    <row r="223" spans="1:119" hidden="1" x14ac:dyDescent="0.45">
      <c r="A223" s="2" t="s">
        <v>770</v>
      </c>
      <c r="B223" t="s">
        <v>771</v>
      </c>
      <c r="C223" s="2">
        <v>832</v>
      </c>
      <c r="D223" s="6">
        <v>529</v>
      </c>
      <c r="E223" s="2" t="s">
        <v>772</v>
      </c>
      <c r="F223" t="s">
        <v>772</v>
      </c>
      <c r="H223" s="2" t="s">
        <v>772</v>
      </c>
      <c r="I223" s="2" t="s">
        <v>772</v>
      </c>
      <c r="J223" s="2">
        <v>150</v>
      </c>
      <c r="K223" t="s">
        <v>127</v>
      </c>
      <c r="L223" s="2">
        <v>154</v>
      </c>
      <c r="M223" t="s">
        <v>128</v>
      </c>
      <c r="N223">
        <v>509</v>
      </c>
      <c r="O223" s="5" t="s">
        <v>395</v>
      </c>
      <c r="P223" s="2" t="s">
        <v>127</v>
      </c>
      <c r="Q223" s="2" t="s">
        <v>129</v>
      </c>
      <c r="R223" s="2">
        <v>513</v>
      </c>
      <c r="S223" s="2" t="s">
        <v>1000</v>
      </c>
      <c r="T223" s="2">
        <v>150</v>
      </c>
      <c r="U223" s="2" t="s">
        <v>127</v>
      </c>
      <c r="V223" t="e">
        <v>#N/A</v>
      </c>
      <c r="W223" t="e">
        <v>#N/A</v>
      </c>
      <c r="X223" t="e">
        <v>#N/A</v>
      </c>
      <c r="Y223" t="s">
        <v>1103</v>
      </c>
      <c r="Z223" t="s">
        <v>2472</v>
      </c>
      <c r="AA223" s="3" t="s">
        <v>2759</v>
      </c>
      <c r="AB223" s="3" t="s">
        <v>132</v>
      </c>
      <c r="AC223" s="2" t="s">
        <v>1888</v>
      </c>
      <c r="AD223" s="2" t="s">
        <v>1888</v>
      </c>
      <c r="AE223" t="s">
        <v>131</v>
      </c>
      <c r="AF223" t="s">
        <v>1886</v>
      </c>
      <c r="AG223" t="s">
        <v>1887</v>
      </c>
      <c r="AH223" t="s">
        <v>105</v>
      </c>
      <c r="AI223" s="3" t="s">
        <v>105</v>
      </c>
      <c r="AJ223" s="3" t="s">
        <v>106</v>
      </c>
      <c r="AK223" s="3" t="s">
        <v>107</v>
      </c>
      <c r="AL223" s="5" t="s">
        <v>674</v>
      </c>
      <c r="AM223" s="5" t="s">
        <v>109</v>
      </c>
      <c r="AO223" s="3" t="s">
        <v>119</v>
      </c>
      <c r="AP223" s="3" t="s">
        <v>120</v>
      </c>
      <c r="AQ223" s="3" t="s">
        <v>111</v>
      </c>
      <c r="AR223" s="3" t="s">
        <v>112</v>
      </c>
      <c r="AS223" s="3" t="s">
        <v>112</v>
      </c>
      <c r="AT223" s="3" t="s">
        <v>113</v>
      </c>
      <c r="AU223" s="3" t="s">
        <v>2303</v>
      </c>
      <c r="AV223" s="3" t="s">
        <v>2302</v>
      </c>
      <c r="AW223" s="3" t="s">
        <v>2301</v>
      </c>
      <c r="AX223" t="s">
        <v>282</v>
      </c>
      <c r="AY223" s="19" t="s">
        <v>114</v>
      </c>
      <c r="AZ223" s="19" t="s">
        <v>114</v>
      </c>
      <c r="BA223" s="19" t="s">
        <v>114</v>
      </c>
      <c r="BB223" s="19" t="s">
        <v>114</v>
      </c>
      <c r="BC223" s="19" t="s">
        <v>114</v>
      </c>
      <c r="BD223" s="19" t="s">
        <v>114</v>
      </c>
      <c r="BE223" s="19" t="s">
        <v>114</v>
      </c>
      <c r="BF223" s="19" t="s">
        <v>114</v>
      </c>
      <c r="BG223" s="19" t="s">
        <v>114</v>
      </c>
      <c r="BH223" s="19" t="s">
        <v>114</v>
      </c>
      <c r="BI223" s="19" t="s">
        <v>114</v>
      </c>
      <c r="BJ223" s="19" t="s">
        <v>114</v>
      </c>
      <c r="BK223" s="19" t="s">
        <v>114</v>
      </c>
      <c r="BL223" s="19" t="s">
        <v>114</v>
      </c>
      <c r="BM223" s="19" t="s">
        <v>114</v>
      </c>
      <c r="BN223" s="19" t="s">
        <v>114</v>
      </c>
      <c r="BO223" s="19" t="s">
        <v>114</v>
      </c>
      <c r="BP223" s="19" t="s">
        <v>114</v>
      </c>
      <c r="BQ223" s="19" t="s">
        <v>114</v>
      </c>
      <c r="BR223" s="19" t="s">
        <v>114</v>
      </c>
      <c r="BS223" s="19" t="s">
        <v>114</v>
      </c>
      <c r="BT223" s="19" t="s">
        <v>114</v>
      </c>
      <c r="BU223" s="19" t="s">
        <v>114</v>
      </c>
      <c r="BV223" s="19" t="s">
        <v>114</v>
      </c>
      <c r="BW223" s="19" t="s">
        <v>114</v>
      </c>
      <c r="BX223" s="19" t="s">
        <v>114</v>
      </c>
      <c r="BY223" s="19" t="s">
        <v>114</v>
      </c>
      <c r="BZ223" s="21" t="s">
        <v>114</v>
      </c>
      <c r="CA223" s="21" t="s">
        <v>114</v>
      </c>
      <c r="CB223" s="21" t="s">
        <v>114</v>
      </c>
      <c r="CC223" s="21" t="s">
        <v>114</v>
      </c>
      <c r="CD223" s="21" t="s">
        <v>114</v>
      </c>
      <c r="CE223" s="21" t="s">
        <v>114</v>
      </c>
      <c r="CF223" s="19" t="s">
        <v>114</v>
      </c>
      <c r="CG223" s="19" t="s">
        <v>114</v>
      </c>
      <c r="CH223" s="19" t="s">
        <v>114</v>
      </c>
      <c r="CI223" s="21" t="s">
        <v>114</v>
      </c>
      <c r="CJ223" s="21" t="s">
        <v>114</v>
      </c>
      <c r="CK223" s="21" t="s">
        <v>114</v>
      </c>
      <c r="CL223" s="21" t="s">
        <v>114</v>
      </c>
      <c r="CM223" s="21" t="s">
        <v>114</v>
      </c>
      <c r="CN223" s="21" t="s">
        <v>114</v>
      </c>
      <c r="CO223" s="21" t="s">
        <v>114</v>
      </c>
      <c r="CP223" s="21" t="s">
        <v>114</v>
      </c>
      <c r="CQ223" s="21" t="s">
        <v>114</v>
      </c>
      <c r="CR223" s="21" t="s">
        <v>114</v>
      </c>
      <c r="CS223" s="21" t="s">
        <v>114</v>
      </c>
      <c r="CT223" s="21" t="s">
        <v>114</v>
      </c>
      <c r="CU223" s="21">
        <v>98423</v>
      </c>
      <c r="CV223" s="21" t="s">
        <v>114</v>
      </c>
      <c r="CW223" s="21" t="s">
        <v>114</v>
      </c>
      <c r="CX223" s="21" t="s">
        <v>114</v>
      </c>
      <c r="CY223" s="21" t="s">
        <v>114</v>
      </c>
      <c r="CZ223" s="21" t="s">
        <v>114</v>
      </c>
      <c r="DA223" s="21" t="s">
        <v>114</v>
      </c>
      <c r="DB223" s="21" t="s">
        <v>114</v>
      </c>
      <c r="DC223" s="21" t="s">
        <v>114</v>
      </c>
      <c r="DD223" s="21" t="s">
        <v>114</v>
      </c>
      <c r="DE223" s="21" t="s">
        <v>114</v>
      </c>
      <c r="DF223" s="19" t="s">
        <v>114</v>
      </c>
      <c r="DG223" s="19" t="s">
        <v>114</v>
      </c>
      <c r="DH223" s="19" t="s">
        <v>114</v>
      </c>
      <c r="DI223" s="19" t="s">
        <v>114</v>
      </c>
      <c r="DJ223" s="19" t="s">
        <v>114</v>
      </c>
      <c r="DK223" s="19" t="s">
        <v>114</v>
      </c>
      <c r="DL223" s="19" t="s">
        <v>114</v>
      </c>
      <c r="DM223" s="19" t="s">
        <v>114</v>
      </c>
      <c r="DN223" s="19" t="s">
        <v>114</v>
      </c>
      <c r="DO223" s="19" t="s">
        <v>114</v>
      </c>
    </row>
    <row r="224" spans="1:119" hidden="1" x14ac:dyDescent="0.45">
      <c r="A224" s="2"/>
      <c r="B224" s="5" t="s">
        <v>791</v>
      </c>
      <c r="C224" s="2">
        <v>412</v>
      </c>
      <c r="D224" s="6">
        <v>530</v>
      </c>
      <c r="E224" s="2" t="s">
        <v>1697</v>
      </c>
      <c r="F224" s="5" t="s">
        <v>1697</v>
      </c>
      <c r="H224" s="8" t="s">
        <v>792</v>
      </c>
      <c r="I224" s="2" t="s">
        <v>792</v>
      </c>
      <c r="J224" s="2">
        <v>150</v>
      </c>
      <c r="K224" s="3" t="s">
        <v>127</v>
      </c>
      <c r="L224" s="2">
        <v>151</v>
      </c>
      <c r="M224" t="s">
        <v>256</v>
      </c>
      <c r="P224" s="2" t="s">
        <v>127</v>
      </c>
      <c r="Q224" s="2" t="s">
        <v>129</v>
      </c>
      <c r="R224" s="2">
        <v>513</v>
      </c>
      <c r="S224" s="2" t="s">
        <v>1000</v>
      </c>
      <c r="T224" s="2">
        <v>150</v>
      </c>
      <c r="U224" s="2" t="s">
        <v>127</v>
      </c>
      <c r="V224" t="s">
        <v>2456</v>
      </c>
      <c r="W224" t="s">
        <v>2456</v>
      </c>
      <c r="X224" t="e">
        <v>#N/A</v>
      </c>
      <c r="Y224" t="s">
        <v>1103</v>
      </c>
      <c r="Z224" t="s">
        <v>2471</v>
      </c>
      <c r="AA224" s="3" t="s">
        <v>2759</v>
      </c>
      <c r="AB224" s="3" t="s">
        <v>132</v>
      </c>
      <c r="AC224" s="2" t="s">
        <v>138</v>
      </c>
      <c r="AD224" s="4" t="s">
        <v>1891</v>
      </c>
      <c r="AE224" t="s">
        <v>131</v>
      </c>
      <c r="AF224" t="s">
        <v>1885</v>
      </c>
      <c r="AG224" s="3" t="s">
        <v>1884</v>
      </c>
      <c r="AH224" t="s">
        <v>105</v>
      </c>
      <c r="AI224" t="s">
        <v>105</v>
      </c>
      <c r="AK224" t="s">
        <v>107</v>
      </c>
      <c r="AL224" s="5" t="s">
        <v>132</v>
      </c>
      <c r="AM224" s="5" t="s">
        <v>109</v>
      </c>
      <c r="AO224" s="3" t="s">
        <v>119</v>
      </c>
      <c r="AP224" s="3" t="s">
        <v>120</v>
      </c>
      <c r="AQ224" s="3" t="s">
        <v>111</v>
      </c>
      <c r="AR224" s="3" t="s">
        <v>112</v>
      </c>
      <c r="AS224" s="3" t="s">
        <v>112</v>
      </c>
      <c r="AT224" s="3" t="s">
        <v>113</v>
      </c>
      <c r="AU224" s="3" t="s">
        <v>2303</v>
      </c>
      <c r="AV224" s="3" t="s">
        <v>2302</v>
      </c>
      <c r="AW224" s="3" t="s">
        <v>2301</v>
      </c>
      <c r="AX224" s="3" t="s">
        <v>2006</v>
      </c>
      <c r="AY224" s="19" t="s">
        <v>114</v>
      </c>
      <c r="AZ224" s="19" t="s">
        <v>114</v>
      </c>
      <c r="BA224" s="19" t="s">
        <v>114</v>
      </c>
      <c r="BB224" s="19" t="s">
        <v>114</v>
      </c>
      <c r="BC224" s="19" t="s">
        <v>114</v>
      </c>
      <c r="BD224" s="19" t="s">
        <v>114</v>
      </c>
      <c r="BE224" s="19" t="s">
        <v>114</v>
      </c>
      <c r="BF224" s="19" t="s">
        <v>114</v>
      </c>
      <c r="BG224" s="19" t="s">
        <v>114</v>
      </c>
      <c r="BH224" s="19" t="s">
        <v>114</v>
      </c>
      <c r="BI224" s="19" t="s">
        <v>114</v>
      </c>
      <c r="BJ224" s="19" t="s">
        <v>114</v>
      </c>
      <c r="BK224" s="19" t="s">
        <v>114</v>
      </c>
      <c r="BL224" s="19" t="s">
        <v>114</v>
      </c>
      <c r="BM224" s="19" t="s">
        <v>114</v>
      </c>
      <c r="BN224" s="19" t="s">
        <v>114</v>
      </c>
      <c r="BO224" s="19" t="s">
        <v>114</v>
      </c>
      <c r="BP224" s="19" t="s">
        <v>114</v>
      </c>
      <c r="BQ224" s="19" t="s">
        <v>114</v>
      </c>
      <c r="BR224" s="19" t="s">
        <v>114</v>
      </c>
      <c r="BS224" s="19" t="s">
        <v>114</v>
      </c>
      <c r="BT224" s="19" t="s">
        <v>114</v>
      </c>
      <c r="BU224" s="19" t="s">
        <v>114</v>
      </c>
      <c r="BV224" s="19" t="s">
        <v>114</v>
      </c>
      <c r="BW224" s="19" t="s">
        <v>114</v>
      </c>
      <c r="BX224" s="19" t="s">
        <v>114</v>
      </c>
      <c r="BY224" s="19" t="s">
        <v>114</v>
      </c>
      <c r="BZ224" s="21" t="s">
        <v>114</v>
      </c>
      <c r="CA224" s="21" t="s">
        <v>114</v>
      </c>
      <c r="CB224" s="21" t="s">
        <v>114</v>
      </c>
      <c r="CC224" s="21" t="s">
        <v>114</v>
      </c>
      <c r="CD224" s="21" t="s">
        <v>114</v>
      </c>
      <c r="CE224" s="21" t="s">
        <v>114</v>
      </c>
      <c r="CF224" s="19" t="s">
        <v>114</v>
      </c>
      <c r="CG224" s="19" t="s">
        <v>114</v>
      </c>
      <c r="CH224" s="19" t="s">
        <v>114</v>
      </c>
      <c r="CI224" s="21" t="s">
        <v>114</v>
      </c>
      <c r="CJ224" s="21" t="s">
        <v>114</v>
      </c>
      <c r="CK224" s="21" t="s">
        <v>114</v>
      </c>
      <c r="CL224" s="21" t="s">
        <v>114</v>
      </c>
      <c r="CM224" s="21" t="s">
        <v>114</v>
      </c>
      <c r="CN224" s="21" t="s">
        <v>114</v>
      </c>
      <c r="CO224" s="21" t="s">
        <v>114</v>
      </c>
      <c r="CP224" s="21" t="s">
        <v>114</v>
      </c>
      <c r="CQ224" s="21" t="s">
        <v>114</v>
      </c>
      <c r="CR224" s="21" t="s">
        <v>114</v>
      </c>
      <c r="CS224" s="21" t="s">
        <v>114</v>
      </c>
      <c r="CT224" s="21" t="s">
        <v>114</v>
      </c>
      <c r="CU224" s="21">
        <v>98423</v>
      </c>
      <c r="CV224" s="21" t="s">
        <v>114</v>
      </c>
      <c r="CW224" s="21" t="s">
        <v>114</v>
      </c>
      <c r="CX224" s="21" t="s">
        <v>114</v>
      </c>
      <c r="CY224" s="21" t="s">
        <v>114</v>
      </c>
      <c r="CZ224" s="21" t="s">
        <v>114</v>
      </c>
      <c r="DA224" s="21" t="s">
        <v>114</v>
      </c>
      <c r="DB224" s="21" t="s">
        <v>114</v>
      </c>
      <c r="DC224" s="21" t="s">
        <v>114</v>
      </c>
      <c r="DD224" s="21" t="s">
        <v>114</v>
      </c>
      <c r="DE224" s="21" t="s">
        <v>114</v>
      </c>
      <c r="DF224" s="19" t="s">
        <v>114</v>
      </c>
      <c r="DG224" s="19" t="s">
        <v>114</v>
      </c>
      <c r="DH224" s="19" t="s">
        <v>114</v>
      </c>
      <c r="DI224" s="19" t="s">
        <v>114</v>
      </c>
      <c r="DJ224" s="19" t="s">
        <v>114</v>
      </c>
      <c r="DK224" s="19" t="s">
        <v>114</v>
      </c>
      <c r="DL224" s="19" t="s">
        <v>114</v>
      </c>
      <c r="DM224" s="19" t="s">
        <v>114</v>
      </c>
      <c r="DN224" s="19" t="s">
        <v>114</v>
      </c>
      <c r="DO224" s="19" t="s">
        <v>114</v>
      </c>
    </row>
    <row r="225" spans="1:119" hidden="1" x14ac:dyDescent="0.45">
      <c r="A225" s="2" t="s">
        <v>838</v>
      </c>
      <c r="B225" t="s">
        <v>839</v>
      </c>
      <c r="C225" s="2">
        <v>438</v>
      </c>
      <c r="D225" s="6">
        <v>532</v>
      </c>
      <c r="E225" s="2" t="s">
        <v>840</v>
      </c>
      <c r="F225" t="s">
        <v>840</v>
      </c>
      <c r="G225" t="s">
        <v>2098</v>
      </c>
      <c r="H225" s="2" t="s">
        <v>840</v>
      </c>
      <c r="I225" s="2" t="s">
        <v>840</v>
      </c>
      <c r="J225" s="2">
        <v>150</v>
      </c>
      <c r="K225" t="s">
        <v>127</v>
      </c>
      <c r="L225" s="2">
        <v>155</v>
      </c>
      <c r="M225" t="s">
        <v>223</v>
      </c>
      <c r="P225" s="2" t="s">
        <v>127</v>
      </c>
      <c r="Q225" s="2" t="s">
        <v>129</v>
      </c>
      <c r="R225" s="2">
        <v>513</v>
      </c>
      <c r="S225" s="2" t="s">
        <v>1000</v>
      </c>
      <c r="T225" s="2">
        <v>150</v>
      </c>
      <c r="U225" s="2" t="s">
        <v>127</v>
      </c>
      <c r="V225" t="s">
        <v>2451</v>
      </c>
      <c r="W225" t="s">
        <v>2451</v>
      </c>
      <c r="X225" t="s">
        <v>2438</v>
      </c>
      <c r="Y225" t="s">
        <v>1103</v>
      </c>
      <c r="Z225" t="s">
        <v>2474</v>
      </c>
      <c r="AA225" s="3" t="s">
        <v>2759</v>
      </c>
      <c r="AB225" s="3" t="s">
        <v>132</v>
      </c>
      <c r="AC225" s="2" t="s">
        <v>130</v>
      </c>
      <c r="AD225" s="4" t="s">
        <v>1891</v>
      </c>
      <c r="AE225" t="s">
        <v>131</v>
      </c>
      <c r="AF225" t="s">
        <v>1886</v>
      </c>
      <c r="AG225" t="s">
        <v>1887</v>
      </c>
      <c r="AH225" t="s">
        <v>105</v>
      </c>
      <c r="AI225" s="3" t="s">
        <v>105</v>
      </c>
      <c r="AJ225" s="3" t="s">
        <v>106</v>
      </c>
      <c r="AK225" s="3" t="s">
        <v>107</v>
      </c>
      <c r="AL225" s="5" t="s">
        <v>841</v>
      </c>
      <c r="AM225" s="5" t="s">
        <v>109</v>
      </c>
      <c r="AO225" s="3" t="s">
        <v>119</v>
      </c>
      <c r="AP225" s="3" t="s">
        <v>120</v>
      </c>
      <c r="AQ225" s="3" t="s">
        <v>111</v>
      </c>
      <c r="AR225" s="3" t="s">
        <v>112</v>
      </c>
      <c r="AS225" s="3" t="s">
        <v>112</v>
      </c>
      <c r="AT225" s="3" t="s">
        <v>113</v>
      </c>
      <c r="AU225" s="3" t="s">
        <v>2303</v>
      </c>
      <c r="AV225" s="3" t="s">
        <v>2302</v>
      </c>
      <c r="AW225" s="3" t="s">
        <v>2301</v>
      </c>
      <c r="AX225" t="s">
        <v>282</v>
      </c>
      <c r="AY225" s="19" t="s">
        <v>114</v>
      </c>
      <c r="AZ225" s="19" t="s">
        <v>114</v>
      </c>
      <c r="BA225" s="19" t="s">
        <v>114</v>
      </c>
      <c r="BB225" s="19" t="s">
        <v>114</v>
      </c>
      <c r="BC225" s="19" t="s">
        <v>114</v>
      </c>
      <c r="BD225" s="19" t="s">
        <v>114</v>
      </c>
      <c r="BE225" s="19" t="s">
        <v>114</v>
      </c>
      <c r="BF225" s="19" t="s">
        <v>114</v>
      </c>
      <c r="BG225" s="19" t="s">
        <v>114</v>
      </c>
      <c r="BH225" s="19" t="s">
        <v>114</v>
      </c>
      <c r="BI225" s="19" t="s">
        <v>114</v>
      </c>
      <c r="BJ225" s="19" t="s">
        <v>114</v>
      </c>
      <c r="BK225" s="19" t="s">
        <v>114</v>
      </c>
      <c r="BL225" s="19" t="s">
        <v>114</v>
      </c>
      <c r="BM225" s="19" t="s">
        <v>114</v>
      </c>
      <c r="BN225" s="19" t="s">
        <v>114</v>
      </c>
      <c r="BO225" s="19" t="s">
        <v>114</v>
      </c>
      <c r="BP225" s="19" t="s">
        <v>114</v>
      </c>
      <c r="BQ225" s="19" t="s">
        <v>114</v>
      </c>
      <c r="BR225" s="19" t="s">
        <v>114</v>
      </c>
      <c r="BS225" s="19" t="s">
        <v>114</v>
      </c>
      <c r="BT225" s="19" t="s">
        <v>114</v>
      </c>
      <c r="BU225" s="19" t="s">
        <v>114</v>
      </c>
      <c r="BV225" s="19" t="s">
        <v>114</v>
      </c>
      <c r="BW225" s="19" t="s">
        <v>114</v>
      </c>
      <c r="BX225" s="19" t="s">
        <v>114</v>
      </c>
      <c r="BY225" s="19" t="s">
        <v>114</v>
      </c>
      <c r="BZ225" s="21">
        <v>98200</v>
      </c>
      <c r="CA225" s="21" t="s">
        <v>114</v>
      </c>
      <c r="CB225" s="21" t="s">
        <v>114</v>
      </c>
      <c r="CC225" s="21" t="s">
        <v>114</v>
      </c>
      <c r="CD225" s="21" t="s">
        <v>114</v>
      </c>
      <c r="CE225" s="21" t="s">
        <v>114</v>
      </c>
      <c r="CF225" s="19" t="s">
        <v>114</v>
      </c>
      <c r="CG225" s="19" t="s">
        <v>114</v>
      </c>
      <c r="CH225" s="19" t="s">
        <v>114</v>
      </c>
      <c r="CI225" s="21" t="s">
        <v>114</v>
      </c>
      <c r="CJ225" s="21" t="s">
        <v>114</v>
      </c>
      <c r="CK225" s="21" t="s">
        <v>114</v>
      </c>
      <c r="CL225" s="21" t="s">
        <v>114</v>
      </c>
      <c r="CM225" s="21" t="s">
        <v>114</v>
      </c>
      <c r="CN225" s="21" t="s">
        <v>114</v>
      </c>
      <c r="CO225" s="21" t="s">
        <v>114</v>
      </c>
      <c r="CP225" s="21" t="s">
        <v>114</v>
      </c>
      <c r="CQ225" s="21" t="s">
        <v>114</v>
      </c>
      <c r="CR225" s="21" t="s">
        <v>114</v>
      </c>
      <c r="CS225" s="21" t="s">
        <v>114</v>
      </c>
      <c r="CT225" s="21" t="s">
        <v>114</v>
      </c>
      <c r="CU225" s="21">
        <v>98423</v>
      </c>
      <c r="CV225" s="21" t="s">
        <v>114</v>
      </c>
      <c r="CW225" s="21" t="s">
        <v>114</v>
      </c>
      <c r="CX225" s="21" t="s">
        <v>114</v>
      </c>
      <c r="CY225" s="21" t="s">
        <v>114</v>
      </c>
      <c r="CZ225" s="21" t="s">
        <v>114</v>
      </c>
      <c r="DA225" s="21" t="s">
        <v>114</v>
      </c>
      <c r="DB225" s="21" t="s">
        <v>114</v>
      </c>
      <c r="DC225" s="21" t="s">
        <v>114</v>
      </c>
      <c r="DD225" s="21" t="s">
        <v>114</v>
      </c>
      <c r="DE225" s="21" t="s">
        <v>114</v>
      </c>
      <c r="DF225" s="19" t="s">
        <v>114</v>
      </c>
      <c r="DG225" s="19" t="s">
        <v>114</v>
      </c>
      <c r="DH225" s="19" t="s">
        <v>114</v>
      </c>
      <c r="DI225" s="19" t="s">
        <v>114</v>
      </c>
      <c r="DJ225" s="19" t="s">
        <v>114</v>
      </c>
      <c r="DK225" s="19" t="s">
        <v>114</v>
      </c>
      <c r="DL225" s="19" t="s">
        <v>114</v>
      </c>
      <c r="DM225" s="19" t="s">
        <v>114</v>
      </c>
      <c r="DN225" s="19" t="s">
        <v>114</v>
      </c>
      <c r="DO225" s="19" t="s">
        <v>114</v>
      </c>
    </row>
    <row r="226" spans="1:119" hidden="1" x14ac:dyDescent="0.45">
      <c r="A226" s="2" t="s">
        <v>914</v>
      </c>
      <c r="B226" t="s">
        <v>915</v>
      </c>
      <c r="C226" s="2">
        <v>492</v>
      </c>
      <c r="D226" s="6">
        <v>537</v>
      </c>
      <c r="E226" s="2" t="s">
        <v>916</v>
      </c>
      <c r="F226" t="s">
        <v>916</v>
      </c>
      <c r="G226" t="s">
        <v>2111</v>
      </c>
      <c r="H226" s="2" t="s">
        <v>916</v>
      </c>
      <c r="I226" s="2" t="s">
        <v>917</v>
      </c>
      <c r="J226" s="2">
        <v>150</v>
      </c>
      <c r="K226" t="s">
        <v>127</v>
      </c>
      <c r="L226" s="2">
        <v>155</v>
      </c>
      <c r="M226" t="s">
        <v>223</v>
      </c>
      <c r="P226" s="2" t="s">
        <v>127</v>
      </c>
      <c r="Q226" s="2" t="s">
        <v>129</v>
      </c>
      <c r="R226" s="2">
        <v>513</v>
      </c>
      <c r="S226" s="2" t="s">
        <v>1000</v>
      </c>
      <c r="T226" s="2">
        <v>150</v>
      </c>
      <c r="U226" s="2" t="s">
        <v>127</v>
      </c>
      <c r="V226" t="s">
        <v>2451</v>
      </c>
      <c r="W226" t="s">
        <v>2451</v>
      </c>
      <c r="X226" t="s">
        <v>2438</v>
      </c>
      <c r="Y226" t="s">
        <v>1103</v>
      </c>
      <c r="Z226" t="s">
        <v>2474</v>
      </c>
      <c r="AA226" s="3" t="s">
        <v>2759</v>
      </c>
      <c r="AB226" s="3" t="s">
        <v>132</v>
      </c>
      <c r="AC226" s="2" t="s">
        <v>130</v>
      </c>
      <c r="AD226" s="4" t="s">
        <v>1891</v>
      </c>
      <c r="AE226" t="s">
        <v>131</v>
      </c>
      <c r="AF226" t="s">
        <v>1886</v>
      </c>
      <c r="AG226" t="s">
        <v>1887</v>
      </c>
      <c r="AH226" t="s">
        <v>105</v>
      </c>
      <c r="AI226" s="3" t="s">
        <v>105</v>
      </c>
      <c r="AJ226" s="3" t="s">
        <v>106</v>
      </c>
      <c r="AK226" s="3" t="s">
        <v>107</v>
      </c>
      <c r="AL226" s="5" t="s">
        <v>132</v>
      </c>
      <c r="AM226" s="5" t="s">
        <v>109</v>
      </c>
      <c r="AO226" s="3" t="s">
        <v>119</v>
      </c>
      <c r="AP226" s="3" t="s">
        <v>120</v>
      </c>
      <c r="AQ226" s="3" t="s">
        <v>111</v>
      </c>
      <c r="AR226" s="3" t="s">
        <v>112</v>
      </c>
      <c r="AS226" s="3" t="s">
        <v>112</v>
      </c>
      <c r="AT226" s="3" t="s">
        <v>113</v>
      </c>
      <c r="AU226" s="3" t="s">
        <v>2303</v>
      </c>
      <c r="AV226" s="3" t="s">
        <v>2302</v>
      </c>
      <c r="AW226" s="3" t="s">
        <v>2301</v>
      </c>
      <c r="AX226" t="s">
        <v>282</v>
      </c>
      <c r="AY226" s="19" t="s">
        <v>114</v>
      </c>
      <c r="AZ226" s="19" t="s">
        <v>114</v>
      </c>
      <c r="BA226" s="19" t="s">
        <v>114</v>
      </c>
      <c r="BB226" s="19" t="s">
        <v>114</v>
      </c>
      <c r="BC226" s="19" t="s">
        <v>114</v>
      </c>
      <c r="BD226" s="19" t="s">
        <v>114</v>
      </c>
      <c r="BE226" s="19" t="s">
        <v>114</v>
      </c>
      <c r="BF226" s="19" t="s">
        <v>114</v>
      </c>
      <c r="BG226" s="19" t="s">
        <v>114</v>
      </c>
      <c r="BH226" s="19" t="s">
        <v>114</v>
      </c>
      <c r="BI226" s="19" t="s">
        <v>114</v>
      </c>
      <c r="BJ226" s="19" t="s">
        <v>114</v>
      </c>
      <c r="BK226" s="19" t="s">
        <v>114</v>
      </c>
      <c r="BL226" s="19" t="s">
        <v>114</v>
      </c>
      <c r="BM226" s="19" t="s">
        <v>114</v>
      </c>
      <c r="BN226" s="19" t="s">
        <v>114</v>
      </c>
      <c r="BO226" s="19" t="s">
        <v>114</v>
      </c>
      <c r="BP226" s="19" t="s">
        <v>114</v>
      </c>
      <c r="BQ226" s="19" t="s">
        <v>114</v>
      </c>
      <c r="BR226" s="19" t="s">
        <v>114</v>
      </c>
      <c r="BS226" s="19" t="s">
        <v>114</v>
      </c>
      <c r="BT226" s="19" t="s">
        <v>114</v>
      </c>
      <c r="BU226" s="19" t="s">
        <v>114</v>
      </c>
      <c r="BV226" s="19" t="s">
        <v>114</v>
      </c>
      <c r="BW226" s="19" t="s">
        <v>114</v>
      </c>
      <c r="BX226" s="19" t="s">
        <v>114</v>
      </c>
      <c r="BY226" s="19" t="s">
        <v>114</v>
      </c>
      <c r="BZ226" s="21">
        <v>98200</v>
      </c>
      <c r="CA226" s="21" t="s">
        <v>114</v>
      </c>
      <c r="CB226" s="21" t="s">
        <v>114</v>
      </c>
      <c r="CC226" s="21" t="s">
        <v>114</v>
      </c>
      <c r="CD226" s="21" t="s">
        <v>114</v>
      </c>
      <c r="CE226" s="21" t="s">
        <v>114</v>
      </c>
      <c r="CF226" s="19" t="s">
        <v>114</v>
      </c>
      <c r="CG226" s="19" t="s">
        <v>114</v>
      </c>
      <c r="CH226" s="19" t="s">
        <v>114</v>
      </c>
      <c r="CI226" s="21" t="s">
        <v>114</v>
      </c>
      <c r="CJ226" s="21" t="s">
        <v>114</v>
      </c>
      <c r="CK226" s="21" t="s">
        <v>114</v>
      </c>
      <c r="CL226" s="21" t="s">
        <v>114</v>
      </c>
      <c r="CM226" s="21" t="s">
        <v>114</v>
      </c>
      <c r="CN226" s="21" t="s">
        <v>114</v>
      </c>
      <c r="CO226" s="21" t="s">
        <v>114</v>
      </c>
      <c r="CP226" s="21" t="s">
        <v>114</v>
      </c>
      <c r="CQ226" s="21" t="s">
        <v>114</v>
      </c>
      <c r="CR226" s="21" t="s">
        <v>114</v>
      </c>
      <c r="CS226" s="21" t="s">
        <v>114</v>
      </c>
      <c r="CT226" s="21" t="s">
        <v>114</v>
      </c>
      <c r="CU226" s="21">
        <v>98423</v>
      </c>
      <c r="CV226" s="21" t="s">
        <v>114</v>
      </c>
      <c r="CW226" s="21" t="s">
        <v>114</v>
      </c>
      <c r="CX226" s="21" t="s">
        <v>114</v>
      </c>
      <c r="CY226" s="21" t="s">
        <v>114</v>
      </c>
      <c r="CZ226" s="21" t="s">
        <v>114</v>
      </c>
      <c r="DA226" s="21" t="s">
        <v>114</v>
      </c>
      <c r="DB226" s="21" t="s">
        <v>114</v>
      </c>
      <c r="DC226" s="21" t="s">
        <v>114</v>
      </c>
      <c r="DD226" s="21" t="s">
        <v>114</v>
      </c>
      <c r="DE226" s="21" t="s">
        <v>114</v>
      </c>
      <c r="DF226" s="19" t="s">
        <v>114</v>
      </c>
      <c r="DG226" s="19" t="s">
        <v>114</v>
      </c>
      <c r="DH226" s="19" t="s">
        <v>114</v>
      </c>
      <c r="DI226" s="19" t="s">
        <v>114</v>
      </c>
      <c r="DJ226" s="19" t="s">
        <v>114</v>
      </c>
      <c r="DK226" s="19" t="s">
        <v>114</v>
      </c>
      <c r="DL226" s="19" t="s">
        <v>114</v>
      </c>
      <c r="DM226" s="19" t="s">
        <v>114</v>
      </c>
      <c r="DN226" s="19" t="s">
        <v>114</v>
      </c>
      <c r="DO226" s="19" t="s">
        <v>114</v>
      </c>
    </row>
    <row r="227" spans="1:119" hidden="1" x14ac:dyDescent="0.45">
      <c r="A227" s="2" t="s">
        <v>923</v>
      </c>
      <c r="B227" t="s">
        <v>924</v>
      </c>
      <c r="C227" s="2">
        <v>499</v>
      </c>
      <c r="D227" s="6">
        <v>538</v>
      </c>
      <c r="E227" s="2" t="s">
        <v>925</v>
      </c>
      <c r="F227" t="s">
        <v>925</v>
      </c>
      <c r="G227" t="s">
        <v>925</v>
      </c>
      <c r="H227" s="2" t="s">
        <v>926</v>
      </c>
      <c r="I227" s="2" t="s">
        <v>925</v>
      </c>
      <c r="J227" s="2">
        <v>150</v>
      </c>
      <c r="K227" t="s">
        <v>127</v>
      </c>
      <c r="L227" s="2">
        <v>39</v>
      </c>
      <c r="M227" t="s">
        <v>137</v>
      </c>
      <c r="P227" s="2" t="s">
        <v>127</v>
      </c>
      <c r="Q227" s="2" t="s">
        <v>129</v>
      </c>
      <c r="R227" s="2">
        <v>513</v>
      </c>
      <c r="S227" s="2" t="s">
        <v>1000</v>
      </c>
      <c r="T227" s="2">
        <v>150</v>
      </c>
      <c r="U227" s="2" t="s">
        <v>127</v>
      </c>
      <c r="V227" t="s">
        <v>2456</v>
      </c>
      <c r="W227" t="s">
        <v>2456</v>
      </c>
      <c r="X227" t="e">
        <v>#N/A</v>
      </c>
      <c r="Y227" t="s">
        <v>1103</v>
      </c>
      <c r="Z227" t="s">
        <v>2473</v>
      </c>
      <c r="AA227" s="3" t="s">
        <v>2759</v>
      </c>
      <c r="AB227" s="3" t="s">
        <v>132</v>
      </c>
      <c r="AC227" s="2" t="s">
        <v>138</v>
      </c>
      <c r="AD227" s="4" t="s">
        <v>1891</v>
      </c>
      <c r="AE227" t="s">
        <v>131</v>
      </c>
      <c r="AF227" t="s">
        <v>1885</v>
      </c>
      <c r="AG227" t="s">
        <v>1884</v>
      </c>
      <c r="AH227" t="s">
        <v>105</v>
      </c>
      <c r="AI227" s="3" t="s">
        <v>105</v>
      </c>
      <c r="AJ227" s="3" t="s">
        <v>106</v>
      </c>
      <c r="AK227" s="3" t="s">
        <v>107</v>
      </c>
      <c r="AL227" s="5" t="s">
        <v>132</v>
      </c>
      <c r="AM227" s="5" t="s">
        <v>109</v>
      </c>
      <c r="AN227" t="s">
        <v>110</v>
      </c>
      <c r="AO227" s="3" t="s">
        <v>119</v>
      </c>
      <c r="AP227" s="3" t="s">
        <v>120</v>
      </c>
      <c r="AQ227" s="3" t="s">
        <v>111</v>
      </c>
      <c r="AR227" s="3" t="s">
        <v>112</v>
      </c>
      <c r="AS227" s="3" t="s">
        <v>112</v>
      </c>
      <c r="AT227" s="3" t="s">
        <v>113</v>
      </c>
      <c r="AU227" s="3" t="s">
        <v>2303</v>
      </c>
      <c r="AV227" s="3" t="s">
        <v>2302</v>
      </c>
      <c r="AW227" s="3" t="s">
        <v>2301</v>
      </c>
      <c r="AX227" s="3" t="s">
        <v>2006</v>
      </c>
      <c r="AY227" s="19" t="s">
        <v>114</v>
      </c>
      <c r="AZ227" s="19" t="s">
        <v>114</v>
      </c>
      <c r="BA227" s="19" t="s">
        <v>114</v>
      </c>
      <c r="BB227" s="19" t="s">
        <v>114</v>
      </c>
      <c r="BC227" s="19" t="s">
        <v>114</v>
      </c>
      <c r="BD227" s="19" t="s">
        <v>114</v>
      </c>
      <c r="BE227" s="19" t="s">
        <v>114</v>
      </c>
      <c r="BF227" s="19" t="s">
        <v>114</v>
      </c>
      <c r="BG227" s="19" t="s">
        <v>114</v>
      </c>
      <c r="BH227" s="19" t="s">
        <v>114</v>
      </c>
      <c r="BI227" s="19" t="s">
        <v>114</v>
      </c>
      <c r="BJ227" s="19" t="s">
        <v>114</v>
      </c>
      <c r="BK227" s="19" t="s">
        <v>114</v>
      </c>
      <c r="BL227" s="19" t="s">
        <v>114</v>
      </c>
      <c r="BM227" s="19" t="s">
        <v>114</v>
      </c>
      <c r="BN227" s="19" t="s">
        <v>114</v>
      </c>
      <c r="BO227" s="19" t="s">
        <v>114</v>
      </c>
      <c r="BP227" s="19" t="s">
        <v>114</v>
      </c>
      <c r="BQ227" s="19" t="s">
        <v>114</v>
      </c>
      <c r="BR227" s="19" t="s">
        <v>114</v>
      </c>
      <c r="BS227" s="19" t="s">
        <v>114</v>
      </c>
      <c r="BT227" s="19" t="s">
        <v>114</v>
      </c>
      <c r="BU227" s="19" t="s">
        <v>114</v>
      </c>
      <c r="BV227" s="19" t="s">
        <v>114</v>
      </c>
      <c r="BW227" s="19" t="s">
        <v>114</v>
      </c>
      <c r="BX227" s="19" t="s">
        <v>114</v>
      </c>
      <c r="BY227" s="19" t="s">
        <v>114</v>
      </c>
      <c r="BZ227" s="21">
        <v>98200</v>
      </c>
      <c r="CA227" s="21" t="s">
        <v>114</v>
      </c>
      <c r="CB227" s="21" t="s">
        <v>114</v>
      </c>
      <c r="CC227" s="21" t="s">
        <v>114</v>
      </c>
      <c r="CD227" s="21" t="s">
        <v>114</v>
      </c>
      <c r="CE227" s="21">
        <v>98205</v>
      </c>
      <c r="CF227" s="19" t="s">
        <v>114</v>
      </c>
      <c r="CG227" s="19" t="s">
        <v>114</v>
      </c>
      <c r="CH227" s="19" t="s">
        <v>114</v>
      </c>
      <c r="CI227" s="21" t="s">
        <v>114</v>
      </c>
      <c r="CJ227" s="21" t="s">
        <v>114</v>
      </c>
      <c r="CK227" s="21" t="s">
        <v>114</v>
      </c>
      <c r="CL227" s="21" t="s">
        <v>114</v>
      </c>
      <c r="CM227" s="21" t="s">
        <v>114</v>
      </c>
      <c r="CN227" s="21" t="s">
        <v>114</v>
      </c>
      <c r="CO227" s="21" t="s">
        <v>114</v>
      </c>
      <c r="CP227" s="21" t="s">
        <v>114</v>
      </c>
      <c r="CQ227" s="21" t="s">
        <v>114</v>
      </c>
      <c r="CR227" s="21" t="s">
        <v>114</v>
      </c>
      <c r="CS227" s="21" t="s">
        <v>114</v>
      </c>
      <c r="CT227" s="21" t="s">
        <v>114</v>
      </c>
      <c r="CU227" s="21">
        <v>98423</v>
      </c>
      <c r="CV227" s="21" t="s">
        <v>114</v>
      </c>
      <c r="CW227" s="21" t="s">
        <v>114</v>
      </c>
      <c r="CX227" s="21" t="s">
        <v>114</v>
      </c>
      <c r="CY227" s="21" t="s">
        <v>114</v>
      </c>
      <c r="CZ227" s="21" t="s">
        <v>114</v>
      </c>
      <c r="DA227" s="21" t="s">
        <v>114</v>
      </c>
      <c r="DB227" s="21" t="s">
        <v>114</v>
      </c>
      <c r="DC227" s="21" t="s">
        <v>114</v>
      </c>
      <c r="DD227" s="21" t="s">
        <v>114</v>
      </c>
      <c r="DE227" s="21" t="s">
        <v>114</v>
      </c>
      <c r="DF227" s="19" t="s">
        <v>114</v>
      </c>
      <c r="DG227" s="19" t="s">
        <v>114</v>
      </c>
      <c r="DH227" s="19" t="s">
        <v>114</v>
      </c>
      <c r="DI227" s="19" t="s">
        <v>114</v>
      </c>
      <c r="DJ227" s="19" t="s">
        <v>114</v>
      </c>
      <c r="DK227" s="19" t="s">
        <v>114</v>
      </c>
      <c r="DL227" s="19" t="s">
        <v>114</v>
      </c>
      <c r="DM227" s="19" t="s">
        <v>114</v>
      </c>
      <c r="DN227" s="19" t="s">
        <v>114</v>
      </c>
      <c r="DO227" s="19" t="s">
        <v>114</v>
      </c>
    </row>
    <row r="228" spans="1:119" hidden="1" x14ac:dyDescent="0.45">
      <c r="A228" s="2" t="s">
        <v>1089</v>
      </c>
      <c r="B228" t="s">
        <v>1090</v>
      </c>
      <c r="C228" s="2">
        <v>807</v>
      </c>
      <c r="D228" s="6">
        <v>518</v>
      </c>
      <c r="E228" s="2" t="s">
        <v>1091</v>
      </c>
      <c r="F228" s="3" t="s">
        <v>1091</v>
      </c>
      <c r="G228" t="s">
        <v>2121</v>
      </c>
      <c r="H228" s="4" t="s">
        <v>1092</v>
      </c>
      <c r="I228" s="2" t="s">
        <v>1093</v>
      </c>
      <c r="J228" s="2">
        <v>150</v>
      </c>
      <c r="K228" t="s">
        <v>127</v>
      </c>
      <c r="L228" s="2">
        <v>39</v>
      </c>
      <c r="M228" t="s">
        <v>137</v>
      </c>
      <c r="P228" s="2" t="s">
        <v>127</v>
      </c>
      <c r="Q228" s="2" t="s">
        <v>129</v>
      </c>
      <c r="R228" s="2">
        <v>513</v>
      </c>
      <c r="S228" s="2" t="s">
        <v>1000</v>
      </c>
      <c r="T228" s="2">
        <v>150</v>
      </c>
      <c r="U228" s="2" t="s">
        <v>127</v>
      </c>
      <c r="V228" t="s">
        <v>2456</v>
      </c>
      <c r="W228" t="s">
        <v>2456</v>
      </c>
      <c r="X228" t="s">
        <v>2438</v>
      </c>
      <c r="Y228" t="s">
        <v>1103</v>
      </c>
      <c r="Z228" t="s">
        <v>2473</v>
      </c>
      <c r="AA228" s="3" t="s">
        <v>2759</v>
      </c>
      <c r="AB228" s="3" t="s">
        <v>132</v>
      </c>
      <c r="AC228" s="2" t="s">
        <v>138</v>
      </c>
      <c r="AD228" s="4" t="s">
        <v>1891</v>
      </c>
      <c r="AE228" t="s">
        <v>131</v>
      </c>
      <c r="AF228" t="s">
        <v>1885</v>
      </c>
      <c r="AG228" t="s">
        <v>1884</v>
      </c>
      <c r="AH228" t="s">
        <v>105</v>
      </c>
      <c r="AI228" s="3" t="s">
        <v>105</v>
      </c>
      <c r="AJ228" s="3" t="s">
        <v>106</v>
      </c>
      <c r="AK228" s="3" t="s">
        <v>107</v>
      </c>
      <c r="AL228" s="5" t="s">
        <v>1090</v>
      </c>
      <c r="AM228" s="5" t="s">
        <v>109</v>
      </c>
      <c r="AN228" t="s">
        <v>110</v>
      </c>
      <c r="AO228" s="3" t="s">
        <v>119</v>
      </c>
      <c r="AP228" s="3" t="s">
        <v>26</v>
      </c>
      <c r="AQ228" s="3" t="s">
        <v>111</v>
      </c>
      <c r="AR228" s="3" t="s">
        <v>112</v>
      </c>
      <c r="AS228" s="3" t="s">
        <v>112</v>
      </c>
      <c r="AT228" s="3" t="s">
        <v>113</v>
      </c>
      <c r="AU228" s="3" t="s">
        <v>2303</v>
      </c>
      <c r="AV228" s="3" t="s">
        <v>2302</v>
      </c>
      <c r="AW228" s="3" t="s">
        <v>2301</v>
      </c>
      <c r="AX228" s="3" t="s">
        <v>2006</v>
      </c>
      <c r="AY228" s="19" t="s">
        <v>114</v>
      </c>
      <c r="AZ228" s="19" t="s">
        <v>114</v>
      </c>
      <c r="BA228" s="19" t="s">
        <v>114</v>
      </c>
      <c r="BB228" s="19" t="s">
        <v>114</v>
      </c>
      <c r="BC228" s="19" t="s">
        <v>114</v>
      </c>
      <c r="BD228" s="19" t="s">
        <v>114</v>
      </c>
      <c r="BE228" s="19" t="s">
        <v>114</v>
      </c>
      <c r="BF228" s="19" t="s">
        <v>114</v>
      </c>
      <c r="BG228" s="19" t="s">
        <v>114</v>
      </c>
      <c r="BH228" s="19" t="s">
        <v>114</v>
      </c>
      <c r="BI228" s="19" t="s">
        <v>114</v>
      </c>
      <c r="BJ228" s="19" t="s">
        <v>114</v>
      </c>
      <c r="BK228" s="19" t="s">
        <v>114</v>
      </c>
      <c r="BL228" s="19" t="s">
        <v>114</v>
      </c>
      <c r="BM228" s="19" t="s">
        <v>114</v>
      </c>
      <c r="BN228" s="19" t="s">
        <v>114</v>
      </c>
      <c r="BO228" s="19" t="s">
        <v>114</v>
      </c>
      <c r="BP228" s="19" t="s">
        <v>114</v>
      </c>
      <c r="BQ228" s="19" t="s">
        <v>114</v>
      </c>
      <c r="BR228" s="19" t="s">
        <v>114</v>
      </c>
      <c r="BS228" s="19" t="s">
        <v>114</v>
      </c>
      <c r="BT228" s="19" t="s">
        <v>114</v>
      </c>
      <c r="BU228" s="19" t="s">
        <v>114</v>
      </c>
      <c r="BV228" s="19" t="s">
        <v>114</v>
      </c>
      <c r="BW228" s="19" t="s">
        <v>114</v>
      </c>
      <c r="BX228" s="19" t="s">
        <v>114</v>
      </c>
      <c r="BY228" s="19" t="s">
        <v>114</v>
      </c>
      <c r="BZ228" s="21">
        <v>98200</v>
      </c>
      <c r="CA228" s="21" t="s">
        <v>114</v>
      </c>
      <c r="CB228" s="21" t="s">
        <v>114</v>
      </c>
      <c r="CC228" s="21" t="s">
        <v>114</v>
      </c>
      <c r="CD228" s="21" t="s">
        <v>114</v>
      </c>
      <c r="CE228" s="21">
        <v>98205</v>
      </c>
      <c r="CF228" s="19" t="s">
        <v>114</v>
      </c>
      <c r="CG228" s="19" t="s">
        <v>114</v>
      </c>
      <c r="CH228" s="19" t="s">
        <v>114</v>
      </c>
      <c r="CI228" s="21" t="s">
        <v>114</v>
      </c>
      <c r="CJ228" s="21" t="s">
        <v>114</v>
      </c>
      <c r="CK228" s="21" t="s">
        <v>114</v>
      </c>
      <c r="CL228" s="21" t="s">
        <v>114</v>
      </c>
      <c r="CM228" s="21" t="s">
        <v>114</v>
      </c>
      <c r="CN228" s="21" t="s">
        <v>114</v>
      </c>
      <c r="CO228" s="21" t="s">
        <v>114</v>
      </c>
      <c r="CP228" s="21" t="s">
        <v>114</v>
      </c>
      <c r="CQ228" s="21" t="s">
        <v>114</v>
      </c>
      <c r="CR228" s="21" t="s">
        <v>114</v>
      </c>
      <c r="CS228" s="21" t="s">
        <v>114</v>
      </c>
      <c r="CT228" s="21" t="s">
        <v>114</v>
      </c>
      <c r="CU228" s="21">
        <v>98423</v>
      </c>
      <c r="CV228" s="21" t="s">
        <v>114</v>
      </c>
      <c r="CW228" s="21" t="s">
        <v>114</v>
      </c>
      <c r="CX228" s="21" t="s">
        <v>114</v>
      </c>
      <c r="CY228" s="21" t="s">
        <v>114</v>
      </c>
      <c r="CZ228" s="21" t="s">
        <v>114</v>
      </c>
      <c r="DA228" s="21" t="s">
        <v>114</v>
      </c>
      <c r="DB228" s="21" t="s">
        <v>114</v>
      </c>
      <c r="DC228" s="21" t="s">
        <v>114</v>
      </c>
      <c r="DD228" s="21" t="s">
        <v>114</v>
      </c>
      <c r="DE228" s="21" t="s">
        <v>114</v>
      </c>
      <c r="DF228" s="19" t="s">
        <v>114</v>
      </c>
      <c r="DG228" s="19" t="s">
        <v>114</v>
      </c>
      <c r="DH228" s="19" t="s">
        <v>114</v>
      </c>
      <c r="DI228" s="19" t="s">
        <v>114</v>
      </c>
      <c r="DJ228" s="19" t="s">
        <v>114</v>
      </c>
      <c r="DK228" s="19" t="s">
        <v>114</v>
      </c>
      <c r="DL228" s="19" t="s">
        <v>114</v>
      </c>
      <c r="DM228" s="19" t="s">
        <v>114</v>
      </c>
      <c r="DN228" s="19" t="s">
        <v>114</v>
      </c>
      <c r="DO228" s="19" t="s">
        <v>114</v>
      </c>
    </row>
    <row r="229" spans="1:119" hidden="1" x14ac:dyDescent="0.45">
      <c r="A229" s="2" t="s">
        <v>1006</v>
      </c>
      <c r="B229" t="s">
        <v>1007</v>
      </c>
      <c r="C229" s="2">
        <v>578</v>
      </c>
      <c r="D229" s="6">
        <v>540</v>
      </c>
      <c r="E229" s="2" t="s">
        <v>1008</v>
      </c>
      <c r="F229" t="s">
        <v>1008</v>
      </c>
      <c r="G229" t="s">
        <v>2122</v>
      </c>
      <c r="H229" s="2" t="s">
        <v>1009</v>
      </c>
      <c r="I229" s="2" t="s">
        <v>1010</v>
      </c>
      <c r="J229" s="2">
        <v>150</v>
      </c>
      <c r="K229" t="s">
        <v>127</v>
      </c>
      <c r="L229" s="2">
        <v>154</v>
      </c>
      <c r="M229" t="s">
        <v>128</v>
      </c>
      <c r="P229" s="2" t="s">
        <v>127</v>
      </c>
      <c r="Q229" s="2" t="s">
        <v>129</v>
      </c>
      <c r="R229" s="2">
        <v>513</v>
      </c>
      <c r="S229" s="2" t="s">
        <v>1000</v>
      </c>
      <c r="T229" s="2">
        <v>150</v>
      </c>
      <c r="U229" s="2" t="s">
        <v>127</v>
      </c>
      <c r="V229" t="s">
        <v>2451</v>
      </c>
      <c r="W229" t="s">
        <v>2451</v>
      </c>
      <c r="X229" t="s">
        <v>2438</v>
      </c>
      <c r="Y229" t="s">
        <v>1103</v>
      </c>
      <c r="Z229" t="s">
        <v>2472</v>
      </c>
      <c r="AA229" s="3" t="s">
        <v>2759</v>
      </c>
      <c r="AB229" s="3" t="s">
        <v>132</v>
      </c>
      <c r="AC229" s="2" t="s">
        <v>130</v>
      </c>
      <c r="AD229" s="4" t="s">
        <v>1891</v>
      </c>
      <c r="AE229" t="s">
        <v>131</v>
      </c>
      <c r="AF229" t="s">
        <v>1886</v>
      </c>
      <c r="AG229" t="s">
        <v>1887</v>
      </c>
      <c r="AH229" s="3" t="s">
        <v>18</v>
      </c>
      <c r="AI229" s="3" t="s">
        <v>224</v>
      </c>
      <c r="AJ229" t="s">
        <v>20</v>
      </c>
      <c r="AK229" s="3" t="s">
        <v>107</v>
      </c>
      <c r="AL229" s="5" t="s">
        <v>316</v>
      </c>
      <c r="AM229" s="5" t="s">
        <v>1007</v>
      </c>
      <c r="AO229" s="3" t="s">
        <v>119</v>
      </c>
      <c r="AP229" s="3" t="s">
        <v>120</v>
      </c>
      <c r="AQ229" s="3" t="s">
        <v>111</v>
      </c>
      <c r="AR229" s="3" t="s">
        <v>112</v>
      </c>
      <c r="AS229" s="3" t="s">
        <v>112</v>
      </c>
      <c r="AT229" s="3" t="s">
        <v>113</v>
      </c>
      <c r="AU229" s="3" t="s">
        <v>2303</v>
      </c>
      <c r="AV229" s="3" t="s">
        <v>2302</v>
      </c>
      <c r="AW229" s="3" t="s">
        <v>2301</v>
      </c>
      <c r="AX229" s="3" t="s">
        <v>2006</v>
      </c>
      <c r="AY229" s="19" t="s">
        <v>114</v>
      </c>
      <c r="AZ229" s="19" t="s">
        <v>114</v>
      </c>
      <c r="BA229" s="19" t="s">
        <v>114</v>
      </c>
      <c r="BB229" s="19" t="s">
        <v>114</v>
      </c>
      <c r="BC229" s="19" t="s">
        <v>114</v>
      </c>
      <c r="BD229" s="19" t="s">
        <v>114</v>
      </c>
      <c r="BE229" s="19" t="s">
        <v>114</v>
      </c>
      <c r="BF229" s="19" t="s">
        <v>114</v>
      </c>
      <c r="BG229" s="19" t="s">
        <v>114</v>
      </c>
      <c r="BH229" s="19" t="s">
        <v>114</v>
      </c>
      <c r="BI229" s="19" t="s">
        <v>114</v>
      </c>
      <c r="BJ229" s="19" t="s">
        <v>114</v>
      </c>
      <c r="BK229" s="19" t="s">
        <v>114</v>
      </c>
      <c r="BL229" s="19" t="s">
        <v>114</v>
      </c>
      <c r="BM229" s="19" t="s">
        <v>114</v>
      </c>
      <c r="BN229" s="19" t="s">
        <v>114</v>
      </c>
      <c r="BO229" s="19" t="s">
        <v>114</v>
      </c>
      <c r="BP229" s="19" t="s">
        <v>114</v>
      </c>
      <c r="BQ229" s="19" t="s">
        <v>114</v>
      </c>
      <c r="BR229" s="19" t="s">
        <v>114</v>
      </c>
      <c r="BS229" s="19" t="s">
        <v>114</v>
      </c>
      <c r="BT229" s="19" t="s">
        <v>114</v>
      </c>
      <c r="BU229" s="19" t="s">
        <v>114</v>
      </c>
      <c r="BV229" s="19" t="s">
        <v>114</v>
      </c>
      <c r="BW229" s="19" t="s">
        <v>114</v>
      </c>
      <c r="BX229" s="19" t="s">
        <v>114</v>
      </c>
      <c r="BY229" s="19" t="s">
        <v>114</v>
      </c>
      <c r="BZ229" s="21">
        <v>98200</v>
      </c>
      <c r="CA229" s="21" t="s">
        <v>114</v>
      </c>
      <c r="CB229" s="21" t="s">
        <v>114</v>
      </c>
      <c r="CC229" s="21" t="s">
        <v>114</v>
      </c>
      <c r="CD229" s="21" t="s">
        <v>114</v>
      </c>
      <c r="CE229" s="21" t="s">
        <v>114</v>
      </c>
      <c r="CF229" s="19" t="s">
        <v>114</v>
      </c>
      <c r="CG229" s="19" t="s">
        <v>114</v>
      </c>
      <c r="CH229" s="19" t="s">
        <v>114</v>
      </c>
      <c r="CI229" s="21" t="s">
        <v>114</v>
      </c>
      <c r="CJ229" s="21" t="s">
        <v>114</v>
      </c>
      <c r="CK229" s="21" t="s">
        <v>114</v>
      </c>
      <c r="CL229" s="21" t="s">
        <v>114</v>
      </c>
      <c r="CM229" s="21" t="s">
        <v>114</v>
      </c>
      <c r="CN229" s="21" t="s">
        <v>114</v>
      </c>
      <c r="CO229" s="21" t="s">
        <v>114</v>
      </c>
      <c r="CP229" s="21" t="s">
        <v>114</v>
      </c>
      <c r="CQ229" s="21" t="s">
        <v>114</v>
      </c>
      <c r="CR229" s="21" t="s">
        <v>114</v>
      </c>
      <c r="CS229" s="21" t="s">
        <v>114</v>
      </c>
      <c r="CT229" s="21" t="s">
        <v>114</v>
      </c>
      <c r="CU229" s="21">
        <v>98423</v>
      </c>
      <c r="CV229" s="21" t="s">
        <v>114</v>
      </c>
      <c r="CW229" s="21" t="s">
        <v>114</v>
      </c>
      <c r="CX229" s="21" t="s">
        <v>114</v>
      </c>
      <c r="CY229" s="21" t="s">
        <v>114</v>
      </c>
      <c r="CZ229" s="21" t="s">
        <v>114</v>
      </c>
      <c r="DA229" s="21" t="s">
        <v>114</v>
      </c>
      <c r="DB229" s="21" t="s">
        <v>114</v>
      </c>
      <c r="DC229" s="21" t="s">
        <v>114</v>
      </c>
      <c r="DD229" s="21" t="s">
        <v>114</v>
      </c>
      <c r="DE229" s="21" t="s">
        <v>114</v>
      </c>
      <c r="DF229" s="19" t="s">
        <v>114</v>
      </c>
      <c r="DG229" s="19" t="s">
        <v>114</v>
      </c>
      <c r="DH229" s="19" t="s">
        <v>114</v>
      </c>
      <c r="DI229" s="19" t="s">
        <v>114</v>
      </c>
      <c r="DJ229" s="19" t="s">
        <v>114</v>
      </c>
      <c r="DK229" s="19" t="s">
        <v>114</v>
      </c>
      <c r="DL229" s="19" t="s">
        <v>114</v>
      </c>
      <c r="DM229" s="19" t="s">
        <v>114</v>
      </c>
      <c r="DN229" s="19" t="s">
        <v>114</v>
      </c>
      <c r="DO229" s="19" t="s">
        <v>114</v>
      </c>
    </row>
    <row r="230" spans="1:119" hidden="1" x14ac:dyDescent="0.45">
      <c r="A230" s="2" t="s">
        <v>1083</v>
      </c>
      <c r="B230" t="s">
        <v>1084</v>
      </c>
      <c r="C230" s="2">
        <v>498</v>
      </c>
      <c r="D230" s="6">
        <v>536</v>
      </c>
      <c r="E230" s="2" t="s">
        <v>1721</v>
      </c>
      <c r="F230" s="3" t="s">
        <v>1901</v>
      </c>
      <c r="G230" t="s">
        <v>2135</v>
      </c>
      <c r="H230" s="4" t="s">
        <v>1086</v>
      </c>
      <c r="I230" s="2" t="s">
        <v>1087</v>
      </c>
      <c r="J230" s="2">
        <v>150</v>
      </c>
      <c r="K230" t="s">
        <v>127</v>
      </c>
      <c r="L230" s="2">
        <v>151</v>
      </c>
      <c r="M230" t="s">
        <v>256</v>
      </c>
      <c r="P230" s="2" t="s">
        <v>127</v>
      </c>
      <c r="Q230" s="2" t="s">
        <v>129</v>
      </c>
      <c r="R230" s="2">
        <v>513</v>
      </c>
      <c r="S230" s="2" t="s">
        <v>1000</v>
      </c>
      <c r="T230" s="2">
        <v>150</v>
      </c>
      <c r="U230" s="2" t="s">
        <v>127</v>
      </c>
      <c r="V230" t="s">
        <v>2456</v>
      </c>
      <c r="W230" t="s">
        <v>2456</v>
      </c>
      <c r="X230" t="s">
        <v>2440</v>
      </c>
      <c r="Y230" t="s">
        <v>1103</v>
      </c>
      <c r="Z230" t="s">
        <v>2471</v>
      </c>
      <c r="AA230" s="3" t="s">
        <v>2759</v>
      </c>
      <c r="AB230" s="3" t="s">
        <v>132</v>
      </c>
      <c r="AC230" s="2" t="s">
        <v>138</v>
      </c>
      <c r="AD230" s="4" t="s">
        <v>1891</v>
      </c>
      <c r="AE230" t="s">
        <v>131</v>
      </c>
      <c r="AF230" t="s">
        <v>1885</v>
      </c>
      <c r="AG230" t="s">
        <v>1884</v>
      </c>
      <c r="AH230" t="s">
        <v>105</v>
      </c>
      <c r="AI230" s="3" t="s">
        <v>105</v>
      </c>
      <c r="AJ230" s="3" t="s">
        <v>106</v>
      </c>
      <c r="AK230" s="3" t="s">
        <v>107</v>
      </c>
      <c r="AL230" s="5" t="s">
        <v>1088</v>
      </c>
      <c r="AM230" s="5" t="s">
        <v>109</v>
      </c>
      <c r="AN230" t="s">
        <v>110</v>
      </c>
      <c r="AO230" s="3" t="s">
        <v>119</v>
      </c>
      <c r="AP230" s="3" t="s">
        <v>26</v>
      </c>
      <c r="AQ230" s="3" t="s">
        <v>111</v>
      </c>
      <c r="AR230" s="3" t="s">
        <v>112</v>
      </c>
      <c r="AS230" s="3" t="s">
        <v>112</v>
      </c>
      <c r="AT230" s="3" t="s">
        <v>113</v>
      </c>
      <c r="AU230" s="3" t="s">
        <v>2303</v>
      </c>
      <c r="AV230" s="3" t="s">
        <v>2302</v>
      </c>
      <c r="AW230" s="3" t="s">
        <v>2301</v>
      </c>
      <c r="AX230" s="3" t="s">
        <v>2006</v>
      </c>
      <c r="AY230" s="19" t="s">
        <v>114</v>
      </c>
      <c r="AZ230" s="19" t="s">
        <v>114</v>
      </c>
      <c r="BA230" s="19" t="s">
        <v>114</v>
      </c>
      <c r="BB230" s="19" t="s">
        <v>114</v>
      </c>
      <c r="BC230" s="19" t="s">
        <v>114</v>
      </c>
      <c r="BD230" s="19" t="s">
        <v>114</v>
      </c>
      <c r="BE230" s="19" t="s">
        <v>114</v>
      </c>
      <c r="BF230" s="19" t="s">
        <v>114</v>
      </c>
      <c r="BG230" s="19" t="s">
        <v>114</v>
      </c>
      <c r="BH230" s="19" t="s">
        <v>114</v>
      </c>
      <c r="BI230" s="19" t="s">
        <v>114</v>
      </c>
      <c r="BJ230" s="19" t="s">
        <v>114</v>
      </c>
      <c r="BK230" s="19" t="s">
        <v>114</v>
      </c>
      <c r="BL230" s="19" t="s">
        <v>114</v>
      </c>
      <c r="BM230" s="19" t="s">
        <v>114</v>
      </c>
      <c r="BN230" s="19" t="s">
        <v>114</v>
      </c>
      <c r="BO230" s="19" t="s">
        <v>114</v>
      </c>
      <c r="BP230" s="19" t="s">
        <v>114</v>
      </c>
      <c r="BQ230" s="19" t="s">
        <v>114</v>
      </c>
      <c r="BR230" s="19" t="s">
        <v>114</v>
      </c>
      <c r="BS230" s="19" t="s">
        <v>114</v>
      </c>
      <c r="BT230" s="19" t="s">
        <v>114</v>
      </c>
      <c r="BU230" s="19" t="s">
        <v>114</v>
      </c>
      <c r="BV230" s="19" t="s">
        <v>114</v>
      </c>
      <c r="BW230" s="19" t="s">
        <v>114</v>
      </c>
      <c r="BX230" s="19" t="s">
        <v>114</v>
      </c>
      <c r="BY230" s="19" t="s">
        <v>114</v>
      </c>
      <c r="BZ230" s="21">
        <v>98200</v>
      </c>
      <c r="CA230" s="21">
        <v>98201</v>
      </c>
      <c r="CB230" s="21">
        <v>98202</v>
      </c>
      <c r="CC230" s="21" t="s">
        <v>114</v>
      </c>
      <c r="CD230" s="21" t="s">
        <v>114</v>
      </c>
      <c r="CE230" s="21" t="s">
        <v>114</v>
      </c>
      <c r="CF230" s="19" t="s">
        <v>114</v>
      </c>
      <c r="CG230" s="19" t="s">
        <v>114</v>
      </c>
      <c r="CH230" s="19" t="s">
        <v>114</v>
      </c>
      <c r="CI230" s="21" t="s">
        <v>114</v>
      </c>
      <c r="CJ230" s="21" t="s">
        <v>114</v>
      </c>
      <c r="CK230" s="21" t="s">
        <v>114</v>
      </c>
      <c r="CL230" s="21" t="s">
        <v>114</v>
      </c>
      <c r="CM230" s="21" t="s">
        <v>114</v>
      </c>
      <c r="CN230" s="21" t="s">
        <v>114</v>
      </c>
      <c r="CO230" s="21" t="s">
        <v>114</v>
      </c>
      <c r="CP230" s="21" t="s">
        <v>114</v>
      </c>
      <c r="CQ230" s="21" t="s">
        <v>114</v>
      </c>
      <c r="CR230" s="21" t="s">
        <v>114</v>
      </c>
      <c r="CS230" s="21" t="s">
        <v>114</v>
      </c>
      <c r="CT230" s="21" t="s">
        <v>114</v>
      </c>
      <c r="CU230" s="21">
        <v>98423</v>
      </c>
      <c r="CV230" s="21" t="s">
        <v>114</v>
      </c>
      <c r="CW230" s="21" t="s">
        <v>114</v>
      </c>
      <c r="CX230" s="21" t="s">
        <v>114</v>
      </c>
      <c r="CY230" s="21" t="s">
        <v>114</v>
      </c>
      <c r="CZ230" s="21" t="s">
        <v>114</v>
      </c>
      <c r="DA230" s="21" t="s">
        <v>114</v>
      </c>
      <c r="DB230" s="21" t="s">
        <v>114</v>
      </c>
      <c r="DC230" s="21" t="s">
        <v>114</v>
      </c>
      <c r="DD230" s="21" t="s">
        <v>114</v>
      </c>
      <c r="DE230" s="21" t="s">
        <v>114</v>
      </c>
      <c r="DF230" s="19" t="s">
        <v>114</v>
      </c>
      <c r="DG230" s="19" t="s">
        <v>114</v>
      </c>
      <c r="DH230" s="19" t="s">
        <v>114</v>
      </c>
      <c r="DI230" s="19" t="s">
        <v>114</v>
      </c>
      <c r="DJ230" s="19" t="s">
        <v>114</v>
      </c>
      <c r="DK230" s="19" t="s">
        <v>114</v>
      </c>
      <c r="DL230" s="19" t="s">
        <v>114</v>
      </c>
      <c r="DM230" s="19" t="s">
        <v>114</v>
      </c>
      <c r="DN230" s="19" t="s">
        <v>114</v>
      </c>
      <c r="DO230" s="19" t="s">
        <v>114</v>
      </c>
    </row>
    <row r="231" spans="1:119" hidden="1" x14ac:dyDescent="0.45">
      <c r="A231" s="2" t="s">
        <v>1180</v>
      </c>
      <c r="B231" t="s">
        <v>1181</v>
      </c>
      <c r="C231" s="2">
        <v>674</v>
      </c>
      <c r="D231" s="6">
        <v>544</v>
      </c>
      <c r="E231" s="2" t="s">
        <v>1182</v>
      </c>
      <c r="F231" t="s">
        <v>1182</v>
      </c>
      <c r="G231" t="s">
        <v>2139</v>
      </c>
      <c r="H231" s="2" t="s">
        <v>1183</v>
      </c>
      <c r="I231" s="2" t="s">
        <v>1182</v>
      </c>
      <c r="J231" s="2">
        <v>150</v>
      </c>
      <c r="K231" t="s">
        <v>127</v>
      </c>
      <c r="L231" s="2">
        <v>39</v>
      </c>
      <c r="M231" t="s">
        <v>137</v>
      </c>
      <c r="P231" s="2" t="s">
        <v>127</v>
      </c>
      <c r="Q231" s="2" t="s">
        <v>129</v>
      </c>
      <c r="R231" s="2">
        <v>513</v>
      </c>
      <c r="S231" s="2" t="s">
        <v>1000</v>
      </c>
      <c r="T231" s="2">
        <v>150</v>
      </c>
      <c r="U231" s="2" t="s">
        <v>127</v>
      </c>
      <c r="V231" t="s">
        <v>2451</v>
      </c>
      <c r="W231" t="s">
        <v>2451</v>
      </c>
      <c r="X231" t="s">
        <v>2438</v>
      </c>
      <c r="Y231" t="s">
        <v>1103</v>
      </c>
      <c r="Z231" t="s">
        <v>2473</v>
      </c>
      <c r="AA231" s="3" t="s">
        <v>2759</v>
      </c>
      <c r="AB231" s="3" t="s">
        <v>132</v>
      </c>
      <c r="AC231" s="2" t="s">
        <v>130</v>
      </c>
      <c r="AD231" s="4" t="s">
        <v>1891</v>
      </c>
      <c r="AE231" t="s">
        <v>131</v>
      </c>
      <c r="AF231" t="s">
        <v>1886</v>
      </c>
      <c r="AG231" t="s">
        <v>1887</v>
      </c>
      <c r="AH231" t="s">
        <v>105</v>
      </c>
      <c r="AI231" s="3" t="s">
        <v>105</v>
      </c>
      <c r="AJ231" s="3" t="s">
        <v>106</v>
      </c>
      <c r="AK231" s="3" t="s">
        <v>107</v>
      </c>
      <c r="AL231" s="5" t="s">
        <v>132</v>
      </c>
      <c r="AM231" s="5" t="s">
        <v>109</v>
      </c>
      <c r="AO231" s="3" t="s">
        <v>119</v>
      </c>
      <c r="AP231" s="3" t="s">
        <v>120</v>
      </c>
      <c r="AQ231" s="3" t="s">
        <v>111</v>
      </c>
      <c r="AR231" s="3" t="s">
        <v>112</v>
      </c>
      <c r="AS231" s="3" t="s">
        <v>112</v>
      </c>
      <c r="AT231" s="3" t="s">
        <v>113</v>
      </c>
      <c r="AU231" s="3" t="s">
        <v>2303</v>
      </c>
      <c r="AV231" s="3" t="s">
        <v>2302</v>
      </c>
      <c r="AW231" s="3" t="s">
        <v>2301</v>
      </c>
      <c r="AX231" t="s">
        <v>282</v>
      </c>
      <c r="AY231" s="19" t="s">
        <v>114</v>
      </c>
      <c r="AZ231" s="19" t="s">
        <v>114</v>
      </c>
      <c r="BA231" s="19" t="s">
        <v>114</v>
      </c>
      <c r="BB231" s="19" t="s">
        <v>114</v>
      </c>
      <c r="BC231" s="19" t="s">
        <v>114</v>
      </c>
      <c r="BD231" s="19" t="s">
        <v>114</v>
      </c>
      <c r="BE231" s="19" t="s">
        <v>114</v>
      </c>
      <c r="BF231" s="19" t="s">
        <v>114</v>
      </c>
      <c r="BG231" s="19" t="s">
        <v>114</v>
      </c>
      <c r="BH231" s="19" t="s">
        <v>114</v>
      </c>
      <c r="BI231" s="19" t="s">
        <v>114</v>
      </c>
      <c r="BJ231" s="19" t="s">
        <v>114</v>
      </c>
      <c r="BK231" s="19" t="s">
        <v>114</v>
      </c>
      <c r="BL231" s="19" t="s">
        <v>114</v>
      </c>
      <c r="BM231" s="19" t="s">
        <v>114</v>
      </c>
      <c r="BN231" s="19" t="s">
        <v>114</v>
      </c>
      <c r="BO231" s="19" t="s">
        <v>114</v>
      </c>
      <c r="BP231" s="19" t="s">
        <v>114</v>
      </c>
      <c r="BQ231" s="19" t="s">
        <v>114</v>
      </c>
      <c r="BR231" s="19" t="s">
        <v>114</v>
      </c>
      <c r="BS231" s="19" t="s">
        <v>114</v>
      </c>
      <c r="BT231" s="19" t="s">
        <v>114</v>
      </c>
      <c r="BU231" s="19" t="s">
        <v>114</v>
      </c>
      <c r="BV231" s="19" t="s">
        <v>114</v>
      </c>
      <c r="BW231" s="19" t="s">
        <v>114</v>
      </c>
      <c r="BX231" s="19" t="s">
        <v>114</v>
      </c>
      <c r="BY231" s="19" t="s">
        <v>114</v>
      </c>
      <c r="BZ231" s="21">
        <v>98200</v>
      </c>
      <c r="CA231" s="21" t="s">
        <v>114</v>
      </c>
      <c r="CB231" s="21" t="s">
        <v>114</v>
      </c>
      <c r="CC231" s="21" t="s">
        <v>114</v>
      </c>
      <c r="CD231" s="21" t="s">
        <v>114</v>
      </c>
      <c r="CE231" s="21" t="s">
        <v>114</v>
      </c>
      <c r="CF231" s="19" t="s">
        <v>114</v>
      </c>
      <c r="CG231" s="19" t="s">
        <v>114</v>
      </c>
      <c r="CH231" s="19" t="s">
        <v>114</v>
      </c>
      <c r="CI231" s="21" t="s">
        <v>114</v>
      </c>
      <c r="CJ231" s="21" t="s">
        <v>114</v>
      </c>
      <c r="CK231" s="21" t="s">
        <v>114</v>
      </c>
      <c r="CL231" s="21" t="s">
        <v>114</v>
      </c>
      <c r="CM231" s="21" t="s">
        <v>114</v>
      </c>
      <c r="CN231" s="21" t="s">
        <v>114</v>
      </c>
      <c r="CO231" s="21" t="s">
        <v>114</v>
      </c>
      <c r="CP231" s="21" t="s">
        <v>114</v>
      </c>
      <c r="CQ231" s="21" t="s">
        <v>114</v>
      </c>
      <c r="CR231" s="21" t="s">
        <v>114</v>
      </c>
      <c r="CS231" s="21" t="s">
        <v>114</v>
      </c>
      <c r="CT231" s="21" t="s">
        <v>114</v>
      </c>
      <c r="CU231" s="21">
        <v>98423</v>
      </c>
      <c r="CV231" s="21" t="s">
        <v>114</v>
      </c>
      <c r="CW231" s="21" t="s">
        <v>114</v>
      </c>
      <c r="CX231" s="21" t="s">
        <v>114</v>
      </c>
      <c r="CY231" s="21" t="s">
        <v>114</v>
      </c>
      <c r="CZ231" s="21" t="s">
        <v>114</v>
      </c>
      <c r="DA231" s="21" t="s">
        <v>114</v>
      </c>
      <c r="DB231" s="21" t="s">
        <v>114</v>
      </c>
      <c r="DC231" s="21" t="s">
        <v>114</v>
      </c>
      <c r="DD231" s="21" t="s">
        <v>114</v>
      </c>
      <c r="DE231" s="21" t="s">
        <v>114</v>
      </c>
      <c r="DF231" s="19" t="s">
        <v>114</v>
      </c>
      <c r="DG231" s="19" t="s">
        <v>114</v>
      </c>
      <c r="DH231" s="19" t="s">
        <v>114</v>
      </c>
      <c r="DI231" s="19" t="s">
        <v>114</v>
      </c>
      <c r="DJ231" s="19" t="s">
        <v>114</v>
      </c>
      <c r="DK231" s="19" t="s">
        <v>114</v>
      </c>
      <c r="DL231" s="19" t="s">
        <v>114</v>
      </c>
      <c r="DM231" s="19" t="s">
        <v>114</v>
      </c>
      <c r="DN231" s="19" t="s">
        <v>114</v>
      </c>
      <c r="DO231" s="19" t="s">
        <v>114</v>
      </c>
    </row>
    <row r="232" spans="1:119" hidden="1" x14ac:dyDescent="0.45">
      <c r="A232" s="2"/>
      <c r="B232" s="5" t="s">
        <v>1190</v>
      </c>
      <c r="C232" s="2">
        <v>680</v>
      </c>
      <c r="D232" s="6">
        <v>545</v>
      </c>
      <c r="E232" s="2" t="s">
        <v>1191</v>
      </c>
      <c r="F232" s="5" t="s">
        <v>1191</v>
      </c>
      <c r="H232" s="8" t="s">
        <v>1192</v>
      </c>
      <c r="I232" s="2" t="s">
        <v>1191</v>
      </c>
      <c r="J232" s="2">
        <v>150</v>
      </c>
      <c r="K232" t="s">
        <v>127</v>
      </c>
      <c r="L232" s="2">
        <v>154</v>
      </c>
      <c r="M232" t="s">
        <v>128</v>
      </c>
      <c r="N232">
        <v>509</v>
      </c>
      <c r="O232" s="5" t="s">
        <v>395</v>
      </c>
      <c r="P232" s="2" t="s">
        <v>127</v>
      </c>
      <c r="Q232" s="2" t="s">
        <v>129</v>
      </c>
      <c r="R232" s="2">
        <v>513</v>
      </c>
      <c r="S232" s="2" t="s">
        <v>1000</v>
      </c>
      <c r="T232" s="2">
        <v>150</v>
      </c>
      <c r="U232" s="2" t="s">
        <v>127</v>
      </c>
      <c r="V232" t="e">
        <v>#N/A</v>
      </c>
      <c r="W232" t="e">
        <v>#N/A</v>
      </c>
      <c r="X232" t="e">
        <v>#N/A</v>
      </c>
      <c r="Y232" t="s">
        <v>1103</v>
      </c>
      <c r="Z232" t="s">
        <v>2472</v>
      </c>
      <c r="AA232" s="3" t="s">
        <v>2759</v>
      </c>
      <c r="AB232" s="3" t="s">
        <v>132</v>
      </c>
      <c r="AC232" s="2" t="s">
        <v>1888</v>
      </c>
      <c r="AD232" s="2" t="s">
        <v>1888</v>
      </c>
      <c r="AE232" t="s">
        <v>131</v>
      </c>
      <c r="AF232" t="s">
        <v>1886</v>
      </c>
      <c r="AG232" s="3" t="s">
        <v>1887</v>
      </c>
      <c r="AK232" t="s">
        <v>107</v>
      </c>
      <c r="AL232" s="5"/>
      <c r="AM232" s="5" t="s">
        <v>109</v>
      </c>
      <c r="AO232" s="3" t="s">
        <v>119</v>
      </c>
      <c r="AP232" s="3" t="s">
        <v>120</v>
      </c>
      <c r="AQ232" s="3" t="s">
        <v>111</v>
      </c>
      <c r="AR232" s="3" t="s">
        <v>112</v>
      </c>
      <c r="AS232" s="3" t="s">
        <v>112</v>
      </c>
      <c r="AT232" s="3" t="s">
        <v>113</v>
      </c>
      <c r="AU232" s="3" t="s">
        <v>2303</v>
      </c>
      <c r="AV232" s="3" t="s">
        <v>2302</v>
      </c>
      <c r="AW232" s="3" t="s">
        <v>2301</v>
      </c>
      <c r="AX232" t="s">
        <v>282</v>
      </c>
      <c r="AY232" s="19" t="s">
        <v>114</v>
      </c>
      <c r="AZ232" s="19" t="s">
        <v>114</v>
      </c>
      <c r="BA232" s="19" t="s">
        <v>114</v>
      </c>
      <c r="BB232" s="19" t="s">
        <v>114</v>
      </c>
      <c r="BC232" s="19" t="s">
        <v>114</v>
      </c>
      <c r="BD232" s="19" t="s">
        <v>114</v>
      </c>
      <c r="BE232" s="19" t="s">
        <v>114</v>
      </c>
      <c r="BF232" s="19" t="s">
        <v>114</v>
      </c>
      <c r="BG232" s="19" t="s">
        <v>114</v>
      </c>
      <c r="BH232" s="19" t="s">
        <v>114</v>
      </c>
      <c r="BI232" s="19" t="s">
        <v>114</v>
      </c>
      <c r="BJ232" s="19" t="s">
        <v>114</v>
      </c>
      <c r="BK232" s="19" t="s">
        <v>114</v>
      </c>
      <c r="BL232" s="19" t="s">
        <v>114</v>
      </c>
      <c r="BM232" s="19" t="s">
        <v>114</v>
      </c>
      <c r="BN232" s="19" t="s">
        <v>114</v>
      </c>
      <c r="BO232" s="19" t="s">
        <v>114</v>
      </c>
      <c r="BP232" s="19" t="s">
        <v>114</v>
      </c>
      <c r="BQ232" s="19" t="s">
        <v>114</v>
      </c>
      <c r="BR232" s="19" t="s">
        <v>114</v>
      </c>
      <c r="BS232" s="19" t="s">
        <v>114</v>
      </c>
      <c r="BT232" s="19" t="s">
        <v>114</v>
      </c>
      <c r="BU232" s="19" t="s">
        <v>114</v>
      </c>
      <c r="BV232" s="19" t="s">
        <v>114</v>
      </c>
      <c r="BW232" s="19" t="s">
        <v>114</v>
      </c>
      <c r="BX232" s="19" t="s">
        <v>114</v>
      </c>
      <c r="BY232" s="19" t="s">
        <v>114</v>
      </c>
      <c r="BZ232" s="21" t="s">
        <v>114</v>
      </c>
      <c r="CA232" s="21" t="s">
        <v>114</v>
      </c>
      <c r="CB232" s="21" t="s">
        <v>114</v>
      </c>
      <c r="CC232" s="21" t="s">
        <v>114</v>
      </c>
      <c r="CD232" s="21" t="s">
        <v>114</v>
      </c>
      <c r="CE232" s="21" t="s">
        <v>114</v>
      </c>
      <c r="CF232" s="19" t="s">
        <v>114</v>
      </c>
      <c r="CG232" s="19" t="s">
        <v>114</v>
      </c>
      <c r="CH232" s="19" t="s">
        <v>114</v>
      </c>
      <c r="CI232" s="21" t="s">
        <v>114</v>
      </c>
      <c r="CJ232" s="21" t="s">
        <v>114</v>
      </c>
      <c r="CK232" s="21" t="s">
        <v>114</v>
      </c>
      <c r="CL232" s="21" t="s">
        <v>114</v>
      </c>
      <c r="CM232" s="21" t="s">
        <v>114</v>
      </c>
      <c r="CN232" s="21" t="s">
        <v>114</v>
      </c>
      <c r="CO232" s="21" t="s">
        <v>114</v>
      </c>
      <c r="CP232" s="21" t="s">
        <v>114</v>
      </c>
      <c r="CQ232" s="21" t="s">
        <v>114</v>
      </c>
      <c r="CR232" s="21" t="s">
        <v>114</v>
      </c>
      <c r="CS232" s="21" t="s">
        <v>114</v>
      </c>
      <c r="CT232" s="21" t="s">
        <v>114</v>
      </c>
      <c r="CU232" s="21" t="s">
        <v>114</v>
      </c>
      <c r="CV232" s="21" t="s">
        <v>114</v>
      </c>
      <c r="CW232" s="21" t="s">
        <v>114</v>
      </c>
      <c r="CX232" s="21" t="s">
        <v>114</v>
      </c>
      <c r="CY232" s="21" t="s">
        <v>114</v>
      </c>
      <c r="CZ232" s="21" t="s">
        <v>114</v>
      </c>
      <c r="DA232" s="21" t="s">
        <v>114</v>
      </c>
      <c r="DB232" s="21" t="s">
        <v>114</v>
      </c>
      <c r="DC232" s="21" t="s">
        <v>114</v>
      </c>
      <c r="DD232" s="21" t="s">
        <v>114</v>
      </c>
      <c r="DE232" s="21" t="s">
        <v>114</v>
      </c>
      <c r="DF232" s="19" t="s">
        <v>114</v>
      </c>
      <c r="DG232" s="19" t="s">
        <v>114</v>
      </c>
      <c r="DH232" s="19" t="s">
        <v>114</v>
      </c>
      <c r="DI232" s="19" t="s">
        <v>114</v>
      </c>
      <c r="DJ232" s="19" t="s">
        <v>114</v>
      </c>
      <c r="DK232" s="19" t="s">
        <v>114</v>
      </c>
      <c r="DL232" s="19" t="s">
        <v>114</v>
      </c>
      <c r="DM232" s="19" t="s">
        <v>114</v>
      </c>
      <c r="DN232" s="19" t="s">
        <v>114</v>
      </c>
      <c r="DO232" s="19" t="s">
        <v>114</v>
      </c>
    </row>
    <row r="233" spans="1:119" hidden="1" x14ac:dyDescent="0.45">
      <c r="A233" s="2" t="s">
        <v>1203</v>
      </c>
      <c r="B233" t="s">
        <v>1204</v>
      </c>
      <c r="C233" s="2">
        <v>688</v>
      </c>
      <c r="D233" s="6">
        <v>546</v>
      </c>
      <c r="E233" s="2" t="s">
        <v>1205</v>
      </c>
      <c r="F233" t="s">
        <v>1205</v>
      </c>
      <c r="G233" t="s">
        <v>2143</v>
      </c>
      <c r="H233" s="2" t="s">
        <v>1206</v>
      </c>
      <c r="I233" s="2" t="s">
        <v>1205</v>
      </c>
      <c r="J233" s="2">
        <v>150</v>
      </c>
      <c r="K233" t="s">
        <v>127</v>
      </c>
      <c r="L233" s="2">
        <v>39</v>
      </c>
      <c r="M233" t="s">
        <v>137</v>
      </c>
      <c r="P233" s="2" t="s">
        <v>127</v>
      </c>
      <c r="Q233" s="2" t="s">
        <v>129</v>
      </c>
      <c r="R233" s="2">
        <v>513</v>
      </c>
      <c r="S233" s="2" t="s">
        <v>1000</v>
      </c>
      <c r="T233" s="2">
        <v>150</v>
      </c>
      <c r="U233" s="2" t="s">
        <v>127</v>
      </c>
      <c r="V233" t="s">
        <v>2456</v>
      </c>
      <c r="W233" t="s">
        <v>2456</v>
      </c>
      <c r="X233" t="e">
        <v>#N/A</v>
      </c>
      <c r="Y233" t="s">
        <v>1103</v>
      </c>
      <c r="Z233" t="s">
        <v>2473</v>
      </c>
      <c r="AA233" s="3" t="s">
        <v>2759</v>
      </c>
      <c r="AB233" s="3" t="s">
        <v>132</v>
      </c>
      <c r="AC233" s="2" t="s">
        <v>138</v>
      </c>
      <c r="AD233" s="4" t="s">
        <v>1891</v>
      </c>
      <c r="AE233" t="s">
        <v>131</v>
      </c>
      <c r="AF233" t="s">
        <v>1885</v>
      </c>
      <c r="AG233" t="s">
        <v>1884</v>
      </c>
      <c r="AH233" t="s">
        <v>105</v>
      </c>
      <c r="AI233" s="3" t="s">
        <v>105</v>
      </c>
      <c r="AJ233" s="3" t="s">
        <v>106</v>
      </c>
      <c r="AK233" s="3" t="s">
        <v>107</v>
      </c>
      <c r="AL233" s="5" t="s">
        <v>1207</v>
      </c>
      <c r="AM233" s="5" t="s">
        <v>109</v>
      </c>
      <c r="AN233" t="s">
        <v>110</v>
      </c>
      <c r="AO233" s="3" t="s">
        <v>119</v>
      </c>
      <c r="AP233" s="3" t="s">
        <v>120</v>
      </c>
      <c r="AQ233" s="3" t="s">
        <v>111</v>
      </c>
      <c r="AR233" s="3" t="s">
        <v>112</v>
      </c>
      <c r="AS233" s="3" t="s">
        <v>112</v>
      </c>
      <c r="AT233" s="3" t="s">
        <v>113</v>
      </c>
      <c r="AU233" s="3" t="s">
        <v>2303</v>
      </c>
      <c r="AV233" s="3" t="s">
        <v>2302</v>
      </c>
      <c r="AW233" s="3" t="s">
        <v>2301</v>
      </c>
      <c r="AX233" s="3" t="s">
        <v>2006</v>
      </c>
      <c r="AY233" s="19" t="s">
        <v>114</v>
      </c>
      <c r="AZ233" s="19" t="s">
        <v>114</v>
      </c>
      <c r="BA233" s="19" t="s">
        <v>114</v>
      </c>
      <c r="BB233" s="19" t="s">
        <v>114</v>
      </c>
      <c r="BC233" s="19" t="s">
        <v>114</v>
      </c>
      <c r="BD233" s="19" t="s">
        <v>114</v>
      </c>
      <c r="BE233" s="19" t="s">
        <v>114</v>
      </c>
      <c r="BF233" s="19" t="s">
        <v>114</v>
      </c>
      <c r="BG233" s="19" t="s">
        <v>114</v>
      </c>
      <c r="BH233" s="19" t="s">
        <v>114</v>
      </c>
      <c r="BI233" s="19" t="s">
        <v>114</v>
      </c>
      <c r="BJ233" s="19" t="s">
        <v>114</v>
      </c>
      <c r="BK233" s="19" t="s">
        <v>114</v>
      </c>
      <c r="BL233" s="19" t="s">
        <v>114</v>
      </c>
      <c r="BM233" s="19" t="s">
        <v>114</v>
      </c>
      <c r="BN233" s="19" t="s">
        <v>114</v>
      </c>
      <c r="BO233" s="19" t="s">
        <v>114</v>
      </c>
      <c r="BP233" s="19" t="s">
        <v>114</v>
      </c>
      <c r="BQ233" s="19" t="s">
        <v>114</v>
      </c>
      <c r="BR233" s="19" t="s">
        <v>114</v>
      </c>
      <c r="BS233" s="19" t="s">
        <v>114</v>
      </c>
      <c r="BT233" s="19" t="s">
        <v>114</v>
      </c>
      <c r="BU233" s="19" t="s">
        <v>114</v>
      </c>
      <c r="BV233" s="19" t="s">
        <v>114</v>
      </c>
      <c r="BW233" s="19" t="s">
        <v>114</v>
      </c>
      <c r="BX233" s="19" t="s">
        <v>114</v>
      </c>
      <c r="BY233" s="19" t="s">
        <v>114</v>
      </c>
      <c r="BZ233" s="21">
        <v>98200</v>
      </c>
      <c r="CA233" s="21" t="s">
        <v>114</v>
      </c>
      <c r="CB233" s="21" t="s">
        <v>114</v>
      </c>
      <c r="CC233" s="21" t="s">
        <v>114</v>
      </c>
      <c r="CD233" s="21" t="s">
        <v>114</v>
      </c>
      <c r="CE233" s="21">
        <v>98205</v>
      </c>
      <c r="CF233" s="19" t="s">
        <v>114</v>
      </c>
      <c r="CG233" s="19" t="s">
        <v>114</v>
      </c>
      <c r="CH233" s="19" t="s">
        <v>114</v>
      </c>
      <c r="CI233" s="21" t="s">
        <v>114</v>
      </c>
      <c r="CJ233" s="21" t="s">
        <v>114</v>
      </c>
      <c r="CK233" s="21" t="s">
        <v>114</v>
      </c>
      <c r="CL233" s="21" t="s">
        <v>114</v>
      </c>
      <c r="CM233" s="21" t="s">
        <v>114</v>
      </c>
      <c r="CN233" s="21" t="s">
        <v>114</v>
      </c>
      <c r="CO233" s="21" t="s">
        <v>114</v>
      </c>
      <c r="CP233" s="21" t="s">
        <v>114</v>
      </c>
      <c r="CQ233" s="21" t="s">
        <v>114</v>
      </c>
      <c r="CR233" s="21" t="s">
        <v>114</v>
      </c>
      <c r="CS233" s="21" t="s">
        <v>114</v>
      </c>
      <c r="CT233" s="21" t="s">
        <v>114</v>
      </c>
      <c r="CU233" s="21">
        <v>98423</v>
      </c>
      <c r="CV233" s="21" t="s">
        <v>114</v>
      </c>
      <c r="CW233" s="21" t="s">
        <v>114</v>
      </c>
      <c r="CX233" s="21" t="s">
        <v>114</v>
      </c>
      <c r="CY233" s="21" t="s">
        <v>114</v>
      </c>
      <c r="CZ233" s="21" t="s">
        <v>114</v>
      </c>
      <c r="DA233" s="21" t="s">
        <v>114</v>
      </c>
      <c r="DB233" s="21" t="s">
        <v>114</v>
      </c>
      <c r="DC233" s="21" t="s">
        <v>114</v>
      </c>
      <c r="DD233" s="21" t="s">
        <v>114</v>
      </c>
      <c r="DE233" s="21" t="s">
        <v>114</v>
      </c>
      <c r="DF233" s="19" t="s">
        <v>114</v>
      </c>
      <c r="DG233" s="19" t="s">
        <v>114</v>
      </c>
      <c r="DH233" s="19" t="s">
        <v>114</v>
      </c>
      <c r="DI233" s="19" t="s">
        <v>114</v>
      </c>
      <c r="DJ233" s="19" t="s">
        <v>114</v>
      </c>
      <c r="DK233" s="19" t="s">
        <v>114</v>
      </c>
      <c r="DL233" s="19" t="s">
        <v>114</v>
      </c>
      <c r="DM233" s="19" t="s">
        <v>114</v>
      </c>
      <c r="DN233" s="19" t="s">
        <v>114</v>
      </c>
      <c r="DO233" s="19" t="s">
        <v>114</v>
      </c>
    </row>
    <row r="234" spans="1:119" hidden="1" x14ac:dyDescent="0.45">
      <c r="A234" s="2" t="s">
        <v>1294</v>
      </c>
      <c r="B234" t="s">
        <v>1295</v>
      </c>
      <c r="C234" s="2">
        <v>744</v>
      </c>
      <c r="D234" s="6">
        <v>550</v>
      </c>
      <c r="E234" s="2" t="s">
        <v>1818</v>
      </c>
      <c r="F234" t="s">
        <v>1296</v>
      </c>
      <c r="H234" s="2" t="s">
        <v>1297</v>
      </c>
      <c r="I234" s="2" t="s">
        <v>1298</v>
      </c>
      <c r="J234" s="2">
        <v>150</v>
      </c>
      <c r="K234" t="s">
        <v>127</v>
      </c>
      <c r="L234" s="2">
        <v>154</v>
      </c>
      <c r="M234" t="s">
        <v>128</v>
      </c>
      <c r="P234" s="2" t="s">
        <v>127</v>
      </c>
      <c r="Q234" s="2" t="s">
        <v>129</v>
      </c>
      <c r="R234" s="2">
        <v>513</v>
      </c>
      <c r="S234" s="2" t="s">
        <v>1000</v>
      </c>
      <c r="T234" s="2">
        <v>150</v>
      </c>
      <c r="U234" s="2" t="s">
        <v>127</v>
      </c>
      <c r="V234" t="s">
        <v>2451</v>
      </c>
      <c r="W234" t="s">
        <v>2451</v>
      </c>
      <c r="X234" t="s">
        <v>2438</v>
      </c>
      <c r="Y234" t="s">
        <v>1103</v>
      </c>
      <c r="Z234" t="s">
        <v>2472</v>
      </c>
      <c r="AA234" s="3" t="s">
        <v>2759</v>
      </c>
      <c r="AB234" s="3" t="s">
        <v>132</v>
      </c>
      <c r="AC234" s="2" t="s">
        <v>1888</v>
      </c>
      <c r="AD234" s="2" t="s">
        <v>1888</v>
      </c>
      <c r="AE234" t="s">
        <v>131</v>
      </c>
      <c r="AF234" t="s">
        <v>1886</v>
      </c>
      <c r="AG234" t="s">
        <v>1887</v>
      </c>
      <c r="AH234" t="s">
        <v>105</v>
      </c>
      <c r="AI234" s="3" t="s">
        <v>105</v>
      </c>
      <c r="AJ234" s="3" t="s">
        <v>106</v>
      </c>
      <c r="AK234" s="3" t="s">
        <v>107</v>
      </c>
      <c r="AL234" s="5" t="s">
        <v>316</v>
      </c>
      <c r="AM234" s="5" t="s">
        <v>109</v>
      </c>
      <c r="AO234" s="3" t="s">
        <v>119</v>
      </c>
      <c r="AP234" s="3" t="s">
        <v>120</v>
      </c>
      <c r="AQ234" s="3" t="s">
        <v>111</v>
      </c>
      <c r="AR234" s="3" t="s">
        <v>112</v>
      </c>
      <c r="AS234" s="3" t="s">
        <v>112</v>
      </c>
      <c r="AT234" s="3" t="s">
        <v>113</v>
      </c>
      <c r="AU234" s="3" t="s">
        <v>2303</v>
      </c>
      <c r="AV234" s="3" t="s">
        <v>2302</v>
      </c>
      <c r="AW234" s="3" t="s">
        <v>2301</v>
      </c>
      <c r="AX234" s="3" t="s">
        <v>282</v>
      </c>
      <c r="AY234" s="19" t="s">
        <v>114</v>
      </c>
      <c r="AZ234" s="19" t="s">
        <v>114</v>
      </c>
      <c r="BA234" s="19" t="s">
        <v>114</v>
      </c>
      <c r="BB234" s="19" t="s">
        <v>114</v>
      </c>
      <c r="BC234" s="19" t="s">
        <v>114</v>
      </c>
      <c r="BD234" s="19" t="s">
        <v>114</v>
      </c>
      <c r="BE234" s="19" t="s">
        <v>114</v>
      </c>
      <c r="BF234" s="19" t="s">
        <v>114</v>
      </c>
      <c r="BG234" s="19" t="s">
        <v>114</v>
      </c>
      <c r="BH234" s="19" t="s">
        <v>114</v>
      </c>
      <c r="BI234" s="19" t="s">
        <v>114</v>
      </c>
      <c r="BJ234" s="19" t="s">
        <v>114</v>
      </c>
      <c r="BK234" s="19" t="s">
        <v>114</v>
      </c>
      <c r="BL234" s="19" t="s">
        <v>114</v>
      </c>
      <c r="BM234" s="19" t="s">
        <v>114</v>
      </c>
      <c r="BN234" s="19" t="s">
        <v>114</v>
      </c>
      <c r="BO234" s="19" t="s">
        <v>114</v>
      </c>
      <c r="BP234" s="19" t="s">
        <v>114</v>
      </c>
      <c r="BQ234" s="19" t="s">
        <v>114</v>
      </c>
      <c r="BR234" s="19" t="s">
        <v>114</v>
      </c>
      <c r="BS234" s="19" t="s">
        <v>114</v>
      </c>
      <c r="BT234" s="19" t="s">
        <v>114</v>
      </c>
      <c r="BU234" s="19" t="s">
        <v>114</v>
      </c>
      <c r="BV234" s="19" t="s">
        <v>114</v>
      </c>
      <c r="BW234" s="19" t="s">
        <v>114</v>
      </c>
      <c r="BX234" s="19" t="s">
        <v>114</v>
      </c>
      <c r="BY234" s="19" t="s">
        <v>114</v>
      </c>
      <c r="BZ234" s="21" t="s">
        <v>114</v>
      </c>
      <c r="CA234" s="21" t="s">
        <v>114</v>
      </c>
      <c r="CB234" s="21" t="s">
        <v>114</v>
      </c>
      <c r="CC234" s="21" t="s">
        <v>114</v>
      </c>
      <c r="CD234" s="21" t="s">
        <v>114</v>
      </c>
      <c r="CE234" s="21" t="s">
        <v>114</v>
      </c>
      <c r="CF234" s="19" t="s">
        <v>114</v>
      </c>
      <c r="CG234" s="19" t="s">
        <v>114</v>
      </c>
      <c r="CH234" s="19" t="s">
        <v>114</v>
      </c>
      <c r="CI234" s="21" t="s">
        <v>114</v>
      </c>
      <c r="CJ234" s="21" t="s">
        <v>114</v>
      </c>
      <c r="CK234" s="21" t="s">
        <v>114</v>
      </c>
      <c r="CL234" s="21" t="s">
        <v>114</v>
      </c>
      <c r="CM234" s="21" t="s">
        <v>114</v>
      </c>
      <c r="CN234" s="21" t="s">
        <v>114</v>
      </c>
      <c r="CO234" s="21" t="s">
        <v>114</v>
      </c>
      <c r="CP234" s="21" t="s">
        <v>114</v>
      </c>
      <c r="CQ234" s="21" t="s">
        <v>114</v>
      </c>
      <c r="CR234" s="21" t="s">
        <v>114</v>
      </c>
      <c r="CS234" s="21" t="s">
        <v>114</v>
      </c>
      <c r="CT234" s="21" t="s">
        <v>114</v>
      </c>
      <c r="CU234" s="21">
        <v>98423</v>
      </c>
      <c r="CV234" s="21" t="s">
        <v>114</v>
      </c>
      <c r="CW234" s="21" t="s">
        <v>114</v>
      </c>
      <c r="CX234" s="21" t="s">
        <v>114</v>
      </c>
      <c r="CY234" s="21" t="s">
        <v>114</v>
      </c>
      <c r="CZ234" s="21" t="s">
        <v>114</v>
      </c>
      <c r="DA234" s="21" t="s">
        <v>114</v>
      </c>
      <c r="DB234" s="21" t="s">
        <v>114</v>
      </c>
      <c r="DC234" s="21" t="s">
        <v>114</v>
      </c>
      <c r="DD234" s="21" t="s">
        <v>114</v>
      </c>
      <c r="DE234" s="21" t="s">
        <v>114</v>
      </c>
      <c r="DF234" s="19" t="s">
        <v>114</v>
      </c>
      <c r="DG234" s="19" t="s">
        <v>114</v>
      </c>
      <c r="DH234" s="19" t="s">
        <v>114</v>
      </c>
      <c r="DI234" s="19" t="s">
        <v>114</v>
      </c>
      <c r="DJ234" s="19" t="s">
        <v>114</v>
      </c>
      <c r="DK234" s="19" t="s">
        <v>114</v>
      </c>
      <c r="DL234" s="19" t="s">
        <v>114</v>
      </c>
      <c r="DM234" s="19" t="s">
        <v>114</v>
      </c>
      <c r="DN234" s="19" t="s">
        <v>114</v>
      </c>
      <c r="DO234" s="19" t="s">
        <v>114</v>
      </c>
    </row>
    <row r="235" spans="1:119" hidden="1" x14ac:dyDescent="0.45">
      <c r="A235" s="2" t="s">
        <v>1377</v>
      </c>
      <c r="B235" t="s">
        <v>1378</v>
      </c>
      <c r="C235" s="2">
        <v>804</v>
      </c>
      <c r="D235" s="6">
        <v>554</v>
      </c>
      <c r="E235" s="2" t="s">
        <v>1379</v>
      </c>
      <c r="F235" t="s">
        <v>1379</v>
      </c>
      <c r="G235" t="s">
        <v>1379</v>
      </c>
      <c r="H235" s="2" t="s">
        <v>1379</v>
      </c>
      <c r="I235" s="2" t="s">
        <v>1380</v>
      </c>
      <c r="J235" s="2">
        <v>150</v>
      </c>
      <c r="K235" t="s">
        <v>127</v>
      </c>
      <c r="L235" s="2">
        <v>151</v>
      </c>
      <c r="M235" t="s">
        <v>256</v>
      </c>
      <c r="P235" s="2" t="s">
        <v>127</v>
      </c>
      <c r="Q235" s="2" t="s">
        <v>129</v>
      </c>
      <c r="R235" s="2">
        <v>513</v>
      </c>
      <c r="S235" s="2" t="s">
        <v>1000</v>
      </c>
      <c r="T235" s="2">
        <v>150</v>
      </c>
      <c r="U235" s="2" t="s">
        <v>127</v>
      </c>
      <c r="V235" t="s">
        <v>2456</v>
      </c>
      <c r="W235" t="s">
        <v>2456</v>
      </c>
      <c r="X235" t="s">
        <v>2440</v>
      </c>
      <c r="Y235" t="s">
        <v>1103</v>
      </c>
      <c r="Z235" t="s">
        <v>2471</v>
      </c>
      <c r="AA235" s="3" t="s">
        <v>2759</v>
      </c>
      <c r="AB235" s="3" t="s">
        <v>132</v>
      </c>
      <c r="AC235" s="2" t="s">
        <v>168</v>
      </c>
      <c r="AD235" s="4" t="s">
        <v>1891</v>
      </c>
      <c r="AE235" t="s">
        <v>131</v>
      </c>
      <c r="AF235" t="s">
        <v>1885</v>
      </c>
      <c r="AG235" t="s">
        <v>1884</v>
      </c>
      <c r="AH235" t="s">
        <v>105</v>
      </c>
      <c r="AI235" s="3" t="s">
        <v>105</v>
      </c>
      <c r="AJ235" s="3" t="s">
        <v>106</v>
      </c>
      <c r="AK235" s="3" t="s">
        <v>107</v>
      </c>
      <c r="AL235" s="5" t="s">
        <v>1381</v>
      </c>
      <c r="AM235" s="5" t="s">
        <v>109</v>
      </c>
      <c r="AN235" t="s">
        <v>110</v>
      </c>
      <c r="AO235" s="3" t="s">
        <v>119</v>
      </c>
      <c r="AP235" s="3" t="s">
        <v>120</v>
      </c>
      <c r="AQ235" s="3" t="s">
        <v>111</v>
      </c>
      <c r="AR235" s="3" t="s">
        <v>112</v>
      </c>
      <c r="AS235" s="3" t="s">
        <v>112</v>
      </c>
      <c r="AT235" s="3" t="s">
        <v>113</v>
      </c>
      <c r="AU235" s="3" t="s">
        <v>2303</v>
      </c>
      <c r="AV235" s="3" t="s">
        <v>2302</v>
      </c>
      <c r="AW235" s="3" t="s">
        <v>2301</v>
      </c>
      <c r="AX235" s="3" t="s">
        <v>2006</v>
      </c>
      <c r="AY235" s="19" t="s">
        <v>114</v>
      </c>
      <c r="AZ235" s="19" t="s">
        <v>114</v>
      </c>
      <c r="BA235" s="19" t="s">
        <v>114</v>
      </c>
      <c r="BB235" s="19" t="s">
        <v>114</v>
      </c>
      <c r="BC235" s="19" t="s">
        <v>114</v>
      </c>
      <c r="BD235" s="19" t="s">
        <v>114</v>
      </c>
      <c r="BE235" s="19" t="s">
        <v>114</v>
      </c>
      <c r="BF235" s="19" t="s">
        <v>114</v>
      </c>
      <c r="BG235" s="19" t="s">
        <v>114</v>
      </c>
      <c r="BH235" s="19" t="s">
        <v>114</v>
      </c>
      <c r="BI235" s="19" t="s">
        <v>114</v>
      </c>
      <c r="BJ235" s="19" t="s">
        <v>114</v>
      </c>
      <c r="BK235" s="19" t="s">
        <v>114</v>
      </c>
      <c r="BL235" s="19" t="s">
        <v>114</v>
      </c>
      <c r="BM235" s="19" t="s">
        <v>114</v>
      </c>
      <c r="BN235" s="19" t="s">
        <v>114</v>
      </c>
      <c r="BO235" s="19" t="s">
        <v>114</v>
      </c>
      <c r="BP235" s="19" t="s">
        <v>114</v>
      </c>
      <c r="BQ235" s="19" t="s">
        <v>114</v>
      </c>
      <c r="BR235" s="19" t="s">
        <v>114</v>
      </c>
      <c r="BS235" s="19" t="s">
        <v>114</v>
      </c>
      <c r="BT235" s="19" t="s">
        <v>114</v>
      </c>
      <c r="BU235" s="19" t="s">
        <v>114</v>
      </c>
      <c r="BV235" s="19" t="s">
        <v>114</v>
      </c>
      <c r="BW235" s="19" t="s">
        <v>114</v>
      </c>
      <c r="BX235" s="19" t="s">
        <v>114</v>
      </c>
      <c r="BY235" s="19" t="s">
        <v>114</v>
      </c>
      <c r="BZ235" s="21">
        <v>98200</v>
      </c>
      <c r="CA235" s="21">
        <v>98201</v>
      </c>
      <c r="CB235" s="21">
        <v>98202</v>
      </c>
      <c r="CC235" s="21" t="s">
        <v>114</v>
      </c>
      <c r="CD235" s="21" t="s">
        <v>114</v>
      </c>
      <c r="CE235" s="21" t="s">
        <v>114</v>
      </c>
      <c r="CF235" s="19" t="s">
        <v>114</v>
      </c>
      <c r="CG235" s="19" t="s">
        <v>114</v>
      </c>
      <c r="CH235" s="19" t="s">
        <v>114</v>
      </c>
      <c r="CI235" s="21" t="s">
        <v>114</v>
      </c>
      <c r="CJ235" s="21" t="s">
        <v>114</v>
      </c>
      <c r="CK235" s="21" t="s">
        <v>114</v>
      </c>
      <c r="CL235" s="21" t="s">
        <v>114</v>
      </c>
      <c r="CM235" s="21" t="s">
        <v>114</v>
      </c>
      <c r="CN235" s="21" t="s">
        <v>114</v>
      </c>
      <c r="CO235" s="21" t="s">
        <v>114</v>
      </c>
      <c r="CP235" s="21" t="s">
        <v>114</v>
      </c>
      <c r="CQ235" s="21" t="s">
        <v>114</v>
      </c>
      <c r="CR235" s="21" t="s">
        <v>114</v>
      </c>
      <c r="CS235" s="21" t="s">
        <v>114</v>
      </c>
      <c r="CT235" s="21" t="s">
        <v>114</v>
      </c>
      <c r="CU235" s="21">
        <v>98423</v>
      </c>
      <c r="CV235" s="21" t="s">
        <v>114</v>
      </c>
      <c r="CW235" s="21" t="s">
        <v>114</v>
      </c>
      <c r="CX235" s="21" t="s">
        <v>114</v>
      </c>
      <c r="CY235" s="21" t="s">
        <v>114</v>
      </c>
      <c r="CZ235" s="21" t="s">
        <v>114</v>
      </c>
      <c r="DA235" s="21" t="s">
        <v>114</v>
      </c>
      <c r="DB235" s="21" t="s">
        <v>114</v>
      </c>
      <c r="DC235" s="21" t="s">
        <v>114</v>
      </c>
      <c r="DD235" s="21" t="s">
        <v>114</v>
      </c>
      <c r="DE235" s="21" t="s">
        <v>114</v>
      </c>
      <c r="DF235" s="19" t="s">
        <v>114</v>
      </c>
      <c r="DG235" s="19" t="s">
        <v>114</v>
      </c>
      <c r="DH235" s="19" t="s">
        <v>114</v>
      </c>
      <c r="DI235" s="19" t="s">
        <v>114</v>
      </c>
      <c r="DJ235" s="19" t="s">
        <v>114</v>
      </c>
      <c r="DK235" s="19" t="s">
        <v>114</v>
      </c>
      <c r="DL235" s="19" t="s">
        <v>114</v>
      </c>
      <c r="DM235" s="19" t="s">
        <v>114</v>
      </c>
      <c r="DN235" s="19" t="s">
        <v>114</v>
      </c>
      <c r="DO235" s="19" t="s">
        <v>114</v>
      </c>
    </row>
    <row r="236" spans="1:119" hidden="1" x14ac:dyDescent="0.45">
      <c r="A236" s="2" t="s">
        <v>140</v>
      </c>
      <c r="B236" t="s">
        <v>141</v>
      </c>
      <c r="C236" s="2">
        <v>12</v>
      </c>
      <c r="D236" s="6">
        <v>101</v>
      </c>
      <c r="E236" s="2" t="s">
        <v>142</v>
      </c>
      <c r="F236" t="s">
        <v>142</v>
      </c>
      <c r="G236" t="s">
        <v>2017</v>
      </c>
      <c r="H236" s="2" t="s">
        <v>143</v>
      </c>
      <c r="I236" s="2" t="s">
        <v>144</v>
      </c>
      <c r="J236" s="2">
        <v>2</v>
      </c>
      <c r="K236" t="s">
        <v>116</v>
      </c>
      <c r="L236" s="2">
        <v>15</v>
      </c>
      <c r="M236" t="s">
        <v>145</v>
      </c>
      <c r="N236" s="2">
        <v>15</v>
      </c>
      <c r="O236" t="s">
        <v>145</v>
      </c>
      <c r="P236" s="2" t="s">
        <v>116</v>
      </c>
      <c r="Q236" s="2" t="s">
        <v>146</v>
      </c>
      <c r="R236" s="4">
        <v>747</v>
      </c>
      <c r="S236" s="4" t="s">
        <v>1446</v>
      </c>
      <c r="T236" s="2">
        <v>15</v>
      </c>
      <c r="U236" t="s">
        <v>145</v>
      </c>
      <c r="V236" t="s">
        <v>2452</v>
      </c>
      <c r="W236" t="s">
        <v>2462</v>
      </c>
      <c r="X236" t="s">
        <v>2440</v>
      </c>
      <c r="Y236" t="s">
        <v>145</v>
      </c>
      <c r="Z236" t="s">
        <v>145</v>
      </c>
      <c r="AA236" s="3" t="s">
        <v>145</v>
      </c>
      <c r="AB236" s="3" t="s">
        <v>2878</v>
      </c>
      <c r="AC236" s="2" t="s">
        <v>168</v>
      </c>
      <c r="AD236" s="4" t="s">
        <v>1891</v>
      </c>
      <c r="AE236" t="s">
        <v>104</v>
      </c>
      <c r="AF236" t="s">
        <v>1885</v>
      </c>
      <c r="AG236" t="s">
        <v>1884</v>
      </c>
      <c r="AH236" t="s">
        <v>105</v>
      </c>
      <c r="AI236" s="3" t="s">
        <v>105</v>
      </c>
      <c r="AJ236" s="3" t="s">
        <v>106</v>
      </c>
      <c r="AK236" s="3" t="s">
        <v>107</v>
      </c>
      <c r="AL236" s="5" t="s">
        <v>147</v>
      </c>
      <c r="AM236" s="5" t="s">
        <v>109</v>
      </c>
      <c r="AN236" t="s">
        <v>110</v>
      </c>
      <c r="AO236" s="3" t="s">
        <v>119</v>
      </c>
      <c r="AP236" s="3" t="s">
        <v>120</v>
      </c>
      <c r="AQ236" s="3" t="s">
        <v>111</v>
      </c>
      <c r="AR236" s="3" t="s">
        <v>112</v>
      </c>
      <c r="AS236" s="3" t="s">
        <v>112</v>
      </c>
      <c r="AT236" s="3" t="s">
        <v>113</v>
      </c>
      <c r="AU236" s="3" t="s">
        <v>2303</v>
      </c>
      <c r="AV236" s="3" t="s">
        <v>2302</v>
      </c>
      <c r="AW236" s="3" t="s">
        <v>2301</v>
      </c>
      <c r="AX236" s="3" t="s">
        <v>2006</v>
      </c>
      <c r="AY236" s="19">
        <v>98100</v>
      </c>
      <c r="AZ236" s="19" t="s">
        <v>114</v>
      </c>
      <c r="BA236" s="19" t="s">
        <v>114</v>
      </c>
      <c r="BB236" s="19">
        <v>98103</v>
      </c>
      <c r="BC236" s="19" t="s">
        <v>114</v>
      </c>
      <c r="BD236" s="19" t="s">
        <v>114</v>
      </c>
      <c r="BE236" s="19">
        <v>98106</v>
      </c>
      <c r="BF236" s="19" t="s">
        <v>114</v>
      </c>
      <c r="BG236" s="19" t="s">
        <v>114</v>
      </c>
      <c r="BH236" s="19" t="s">
        <v>114</v>
      </c>
      <c r="BI236" s="19" t="s">
        <v>114</v>
      </c>
      <c r="BJ236" s="19">
        <v>98111</v>
      </c>
      <c r="BK236" s="19" t="s">
        <v>114</v>
      </c>
      <c r="BL236" s="19" t="s">
        <v>114</v>
      </c>
      <c r="BM236" s="19" t="s">
        <v>114</v>
      </c>
      <c r="BN236" s="19" t="s">
        <v>114</v>
      </c>
      <c r="BO236" s="19" t="s">
        <v>114</v>
      </c>
      <c r="BP236" s="19" t="s">
        <v>114</v>
      </c>
      <c r="BQ236" s="19" t="s">
        <v>114</v>
      </c>
      <c r="BR236" s="19">
        <v>98119</v>
      </c>
      <c r="BS236" s="19" t="s">
        <v>114</v>
      </c>
      <c r="BT236" s="19" t="s">
        <v>114</v>
      </c>
      <c r="BU236" s="19" t="s">
        <v>114</v>
      </c>
      <c r="BV236" s="19">
        <v>98123</v>
      </c>
      <c r="BW236" s="19" t="s">
        <v>114</v>
      </c>
      <c r="BX236" s="19" t="s">
        <v>114</v>
      </c>
      <c r="BY236" s="19" t="s">
        <v>114</v>
      </c>
      <c r="BZ236" s="21" t="s">
        <v>114</v>
      </c>
      <c r="CA236" s="21" t="s">
        <v>114</v>
      </c>
      <c r="CB236" s="21" t="s">
        <v>114</v>
      </c>
      <c r="CC236" s="21" t="s">
        <v>114</v>
      </c>
      <c r="CD236" s="21" t="s">
        <v>114</v>
      </c>
      <c r="CE236" s="21" t="s">
        <v>114</v>
      </c>
      <c r="CF236" s="19" t="s">
        <v>114</v>
      </c>
      <c r="CG236" s="19" t="s">
        <v>114</v>
      </c>
      <c r="CH236" s="19" t="s">
        <v>114</v>
      </c>
      <c r="CI236" s="21" t="s">
        <v>114</v>
      </c>
      <c r="CJ236" s="21" t="s">
        <v>114</v>
      </c>
      <c r="CK236" s="21">
        <v>98405</v>
      </c>
      <c r="CL236" s="21" t="s">
        <v>114</v>
      </c>
      <c r="CM236" s="21" t="s">
        <v>114</v>
      </c>
      <c r="CN236" s="21" t="s">
        <v>114</v>
      </c>
      <c r="CO236" s="21" t="s">
        <v>114</v>
      </c>
      <c r="CP236" s="21" t="s">
        <v>114</v>
      </c>
      <c r="CQ236" s="21" t="s">
        <v>114</v>
      </c>
      <c r="CR236" s="21" t="s">
        <v>114</v>
      </c>
      <c r="CS236" s="21" t="s">
        <v>114</v>
      </c>
      <c r="CT236" s="21" t="s">
        <v>114</v>
      </c>
      <c r="CU236" s="21" t="s">
        <v>114</v>
      </c>
      <c r="CV236" s="21" t="s">
        <v>114</v>
      </c>
      <c r="CW236" s="21" t="s">
        <v>114</v>
      </c>
      <c r="CX236" s="21" t="s">
        <v>114</v>
      </c>
      <c r="CY236" s="21" t="s">
        <v>114</v>
      </c>
      <c r="CZ236" s="21" t="s">
        <v>114</v>
      </c>
      <c r="DA236" s="21" t="s">
        <v>114</v>
      </c>
      <c r="DB236" s="21" t="s">
        <v>114</v>
      </c>
      <c r="DC236" s="21" t="s">
        <v>114</v>
      </c>
      <c r="DD236" s="21" t="s">
        <v>114</v>
      </c>
      <c r="DE236" s="21" t="s">
        <v>114</v>
      </c>
      <c r="DF236" s="19" t="s">
        <v>114</v>
      </c>
      <c r="DG236" s="19">
        <v>98501</v>
      </c>
      <c r="DH236" s="19" t="s">
        <v>114</v>
      </c>
      <c r="DI236" s="19" t="s">
        <v>114</v>
      </c>
      <c r="DJ236" s="19">
        <v>98504</v>
      </c>
      <c r="DK236" s="19" t="s">
        <v>114</v>
      </c>
      <c r="DL236" s="19" t="s">
        <v>114</v>
      </c>
      <c r="DM236" s="19">
        <v>98507</v>
      </c>
      <c r="DN236" s="19">
        <v>98508</v>
      </c>
      <c r="DO236" s="19" t="s">
        <v>114</v>
      </c>
    </row>
    <row r="237" spans="1:119" hidden="1" x14ac:dyDescent="0.45">
      <c r="A237" s="2" t="s">
        <v>530</v>
      </c>
      <c r="B237" t="s">
        <v>531</v>
      </c>
      <c r="C237" s="2">
        <v>818</v>
      </c>
      <c r="D237" s="6">
        <v>118</v>
      </c>
      <c r="E237" s="2" t="s">
        <v>532</v>
      </c>
      <c r="F237" t="s">
        <v>532</v>
      </c>
      <c r="G237" t="s">
        <v>2059</v>
      </c>
      <c r="H237" s="2" t="s">
        <v>533</v>
      </c>
      <c r="I237" s="2" t="s">
        <v>534</v>
      </c>
      <c r="J237" s="2">
        <v>2</v>
      </c>
      <c r="K237" t="s">
        <v>116</v>
      </c>
      <c r="L237" s="2">
        <v>15</v>
      </c>
      <c r="M237" t="s">
        <v>145</v>
      </c>
      <c r="N237" s="2">
        <v>15</v>
      </c>
      <c r="O237" t="s">
        <v>145</v>
      </c>
      <c r="P237" s="2" t="s">
        <v>116</v>
      </c>
      <c r="Q237" s="2" t="s">
        <v>146</v>
      </c>
      <c r="R237" s="4">
        <v>747</v>
      </c>
      <c r="S237" s="4" t="s">
        <v>1446</v>
      </c>
      <c r="T237" s="2">
        <v>15</v>
      </c>
      <c r="U237" t="s">
        <v>145</v>
      </c>
      <c r="V237" t="s">
        <v>2452</v>
      </c>
      <c r="W237" t="s">
        <v>2462</v>
      </c>
      <c r="X237" t="s">
        <v>2440</v>
      </c>
      <c r="Y237" t="s">
        <v>145</v>
      </c>
      <c r="Z237" t="s">
        <v>145</v>
      </c>
      <c r="AA237" s="3" t="s">
        <v>145</v>
      </c>
      <c r="AB237" s="3" t="s">
        <v>2878</v>
      </c>
      <c r="AC237" s="2" t="s">
        <v>168</v>
      </c>
      <c r="AD237" s="4" t="s">
        <v>1891</v>
      </c>
      <c r="AE237" t="s">
        <v>104</v>
      </c>
      <c r="AF237" t="s">
        <v>1885</v>
      </c>
      <c r="AG237" t="s">
        <v>1884</v>
      </c>
      <c r="AH237" t="s">
        <v>105</v>
      </c>
      <c r="AI237" s="3" t="s">
        <v>105</v>
      </c>
      <c r="AJ237" s="3" t="s">
        <v>106</v>
      </c>
      <c r="AK237" s="3" t="s">
        <v>107</v>
      </c>
      <c r="AL237" s="5" t="s">
        <v>535</v>
      </c>
      <c r="AM237" s="5" t="s">
        <v>109</v>
      </c>
      <c r="AN237" t="s">
        <v>110</v>
      </c>
      <c r="AO237" s="3" t="s">
        <v>119</v>
      </c>
      <c r="AP237" s="3" t="s">
        <v>120</v>
      </c>
      <c r="AQ237" s="3" t="s">
        <v>111</v>
      </c>
      <c r="AR237" s="3" t="s">
        <v>112</v>
      </c>
      <c r="AS237" s="3" t="s">
        <v>112</v>
      </c>
      <c r="AT237" s="3" t="s">
        <v>113</v>
      </c>
      <c r="AU237" s="3" t="s">
        <v>2303</v>
      </c>
      <c r="AV237" s="3" t="s">
        <v>2302</v>
      </c>
      <c r="AW237" s="3" t="s">
        <v>2301</v>
      </c>
      <c r="AX237" s="3" t="s">
        <v>2006</v>
      </c>
      <c r="AY237" s="19">
        <v>98100</v>
      </c>
      <c r="AZ237" s="19" t="s">
        <v>114</v>
      </c>
      <c r="BA237" s="19" t="s">
        <v>114</v>
      </c>
      <c r="BB237" s="19">
        <v>98103</v>
      </c>
      <c r="BC237" s="19" t="s">
        <v>114</v>
      </c>
      <c r="BD237" s="19" t="s">
        <v>114</v>
      </c>
      <c r="BE237" s="19">
        <v>98106</v>
      </c>
      <c r="BF237" s="19" t="s">
        <v>114</v>
      </c>
      <c r="BG237" s="19" t="s">
        <v>114</v>
      </c>
      <c r="BH237" s="19" t="s">
        <v>114</v>
      </c>
      <c r="BI237" s="19" t="s">
        <v>114</v>
      </c>
      <c r="BJ237" s="19" t="s">
        <v>114</v>
      </c>
      <c r="BK237" s="19">
        <v>98112</v>
      </c>
      <c r="BL237" s="19">
        <v>98113</v>
      </c>
      <c r="BM237" s="19" t="s">
        <v>114</v>
      </c>
      <c r="BN237" s="19" t="s">
        <v>114</v>
      </c>
      <c r="BO237" s="19" t="s">
        <v>114</v>
      </c>
      <c r="BP237" s="19" t="s">
        <v>114</v>
      </c>
      <c r="BQ237" s="19" t="s">
        <v>114</v>
      </c>
      <c r="BR237" s="19" t="s">
        <v>114</v>
      </c>
      <c r="BS237" s="19" t="s">
        <v>114</v>
      </c>
      <c r="BT237" s="19" t="s">
        <v>114</v>
      </c>
      <c r="BU237" s="19" t="s">
        <v>114</v>
      </c>
      <c r="BV237" s="19">
        <v>98123</v>
      </c>
      <c r="BW237" s="19" t="s">
        <v>114</v>
      </c>
      <c r="BX237" s="19" t="s">
        <v>114</v>
      </c>
      <c r="BY237" s="19" t="s">
        <v>114</v>
      </c>
      <c r="BZ237" s="21" t="s">
        <v>114</v>
      </c>
      <c r="CA237" s="21" t="s">
        <v>114</v>
      </c>
      <c r="CB237" s="21" t="s">
        <v>114</v>
      </c>
      <c r="CC237" s="21" t="s">
        <v>114</v>
      </c>
      <c r="CD237" s="21" t="s">
        <v>114</v>
      </c>
      <c r="CE237" s="21" t="s">
        <v>114</v>
      </c>
      <c r="CF237" s="19" t="s">
        <v>114</v>
      </c>
      <c r="CG237" s="19" t="s">
        <v>114</v>
      </c>
      <c r="CH237" s="19" t="s">
        <v>114</v>
      </c>
      <c r="CI237" s="21" t="s">
        <v>114</v>
      </c>
      <c r="CJ237" s="21" t="s">
        <v>114</v>
      </c>
      <c r="CK237" s="21">
        <v>98405</v>
      </c>
      <c r="CL237" s="21" t="s">
        <v>114</v>
      </c>
      <c r="CM237" s="21" t="s">
        <v>114</v>
      </c>
      <c r="CN237" s="21" t="s">
        <v>114</v>
      </c>
      <c r="CO237" s="21" t="s">
        <v>114</v>
      </c>
      <c r="CP237" s="21" t="s">
        <v>114</v>
      </c>
      <c r="CQ237" s="21" t="s">
        <v>114</v>
      </c>
      <c r="CR237" s="21" t="s">
        <v>114</v>
      </c>
      <c r="CS237" s="21" t="s">
        <v>114</v>
      </c>
      <c r="CT237" s="21" t="s">
        <v>114</v>
      </c>
      <c r="CU237" s="21" t="s">
        <v>114</v>
      </c>
      <c r="CV237" s="21" t="s">
        <v>114</v>
      </c>
      <c r="CW237" s="21" t="s">
        <v>114</v>
      </c>
      <c r="CX237" s="21" t="s">
        <v>114</v>
      </c>
      <c r="CY237" s="21" t="s">
        <v>114</v>
      </c>
      <c r="CZ237" s="21" t="s">
        <v>114</v>
      </c>
      <c r="DA237" s="21" t="s">
        <v>114</v>
      </c>
      <c r="DB237" s="21" t="s">
        <v>114</v>
      </c>
      <c r="DC237" s="21" t="s">
        <v>114</v>
      </c>
      <c r="DD237" s="21" t="s">
        <v>114</v>
      </c>
      <c r="DE237" s="21" t="s">
        <v>114</v>
      </c>
      <c r="DF237" s="19" t="s">
        <v>114</v>
      </c>
      <c r="DG237" s="19">
        <v>98501</v>
      </c>
      <c r="DH237" s="19" t="s">
        <v>114</v>
      </c>
      <c r="DI237" s="19">
        <v>98503</v>
      </c>
      <c r="DJ237" s="19" t="s">
        <v>114</v>
      </c>
      <c r="DK237" s="19" t="s">
        <v>114</v>
      </c>
      <c r="DL237" s="19" t="s">
        <v>114</v>
      </c>
      <c r="DM237" s="19">
        <v>98507</v>
      </c>
      <c r="DN237" s="19">
        <v>98508</v>
      </c>
      <c r="DO237" s="19" t="s">
        <v>114</v>
      </c>
    </row>
    <row r="238" spans="1:119" hidden="1" x14ac:dyDescent="0.45">
      <c r="A238" s="2" t="s">
        <v>832</v>
      </c>
      <c r="B238" t="s">
        <v>833</v>
      </c>
      <c r="C238" s="2">
        <v>434</v>
      </c>
      <c r="D238" s="6">
        <v>133</v>
      </c>
      <c r="E238" s="2" t="s">
        <v>834</v>
      </c>
      <c r="F238" t="s">
        <v>834</v>
      </c>
      <c r="G238" t="s">
        <v>2097</v>
      </c>
      <c r="H238" s="2" t="s">
        <v>835</v>
      </c>
      <c r="I238" s="2" t="s">
        <v>836</v>
      </c>
      <c r="J238" s="2">
        <v>2</v>
      </c>
      <c r="K238" t="s">
        <v>116</v>
      </c>
      <c r="L238" s="2">
        <v>15</v>
      </c>
      <c r="M238" t="s">
        <v>145</v>
      </c>
      <c r="N238" s="2">
        <v>15</v>
      </c>
      <c r="O238" t="s">
        <v>145</v>
      </c>
      <c r="P238" s="2" t="s">
        <v>116</v>
      </c>
      <c r="Q238" s="2" t="s">
        <v>146</v>
      </c>
      <c r="R238" s="4">
        <v>747</v>
      </c>
      <c r="S238" s="4" t="s">
        <v>1446</v>
      </c>
      <c r="T238" s="2">
        <v>15</v>
      </c>
      <c r="U238" t="s">
        <v>145</v>
      </c>
      <c r="V238" t="s">
        <v>2452</v>
      </c>
      <c r="W238" t="s">
        <v>2462</v>
      </c>
      <c r="X238" t="s">
        <v>2440</v>
      </c>
      <c r="Y238" t="s">
        <v>145</v>
      </c>
      <c r="Z238" t="s">
        <v>145</v>
      </c>
      <c r="AA238" s="3" t="s">
        <v>145</v>
      </c>
      <c r="AB238" s="3" t="s">
        <v>2878</v>
      </c>
      <c r="AC238" s="2" t="s">
        <v>138</v>
      </c>
      <c r="AD238" s="4" t="s">
        <v>1891</v>
      </c>
      <c r="AE238" t="s">
        <v>104</v>
      </c>
      <c r="AF238" t="s">
        <v>1885</v>
      </c>
      <c r="AG238" t="s">
        <v>1884</v>
      </c>
      <c r="AH238" t="s">
        <v>105</v>
      </c>
      <c r="AI238" s="3" t="s">
        <v>105</v>
      </c>
      <c r="AJ238" s="3" t="s">
        <v>106</v>
      </c>
      <c r="AK238" s="3" t="s">
        <v>107</v>
      </c>
      <c r="AL238" s="5" t="s">
        <v>837</v>
      </c>
      <c r="AM238" s="5" t="s">
        <v>109</v>
      </c>
      <c r="AN238" t="s">
        <v>110</v>
      </c>
      <c r="AO238" s="3" t="s">
        <v>119</v>
      </c>
      <c r="AP238" s="3" t="s">
        <v>120</v>
      </c>
      <c r="AQ238" s="3" t="s">
        <v>111</v>
      </c>
      <c r="AR238" s="3" t="s">
        <v>112</v>
      </c>
      <c r="AS238" s="3" t="s">
        <v>112</v>
      </c>
      <c r="AT238" s="3" t="s">
        <v>113</v>
      </c>
      <c r="AU238" s="3" t="s">
        <v>2303</v>
      </c>
      <c r="AV238" s="3" t="s">
        <v>2302</v>
      </c>
      <c r="AW238" s="3" t="s">
        <v>2301</v>
      </c>
      <c r="AX238" s="3" t="s">
        <v>2006</v>
      </c>
      <c r="AY238" s="19">
        <v>98100</v>
      </c>
      <c r="AZ238" s="19" t="s">
        <v>114</v>
      </c>
      <c r="BA238" s="19" t="s">
        <v>114</v>
      </c>
      <c r="BB238" s="19">
        <v>98103</v>
      </c>
      <c r="BC238" s="19" t="s">
        <v>114</v>
      </c>
      <c r="BD238" s="19" t="s">
        <v>114</v>
      </c>
      <c r="BE238" s="19">
        <v>98106</v>
      </c>
      <c r="BF238" s="19" t="s">
        <v>114</v>
      </c>
      <c r="BG238" s="19" t="s">
        <v>114</v>
      </c>
      <c r="BH238" s="19" t="s">
        <v>114</v>
      </c>
      <c r="BI238" s="19" t="s">
        <v>114</v>
      </c>
      <c r="BJ238" s="19">
        <v>98111</v>
      </c>
      <c r="BK238" s="19">
        <v>98112</v>
      </c>
      <c r="BL238" s="19">
        <v>98113</v>
      </c>
      <c r="BM238" s="19" t="s">
        <v>114</v>
      </c>
      <c r="BN238" s="19" t="s">
        <v>114</v>
      </c>
      <c r="BO238" s="19" t="s">
        <v>114</v>
      </c>
      <c r="BP238" s="19" t="s">
        <v>114</v>
      </c>
      <c r="BQ238" s="19" t="s">
        <v>114</v>
      </c>
      <c r="BR238" s="19" t="s">
        <v>114</v>
      </c>
      <c r="BS238" s="19" t="s">
        <v>114</v>
      </c>
      <c r="BT238" s="19" t="s">
        <v>114</v>
      </c>
      <c r="BU238" s="19" t="s">
        <v>114</v>
      </c>
      <c r="BV238" s="19">
        <v>98123</v>
      </c>
      <c r="BW238" s="19" t="s">
        <v>114</v>
      </c>
      <c r="BX238" s="19" t="s">
        <v>114</v>
      </c>
      <c r="BY238" s="19" t="s">
        <v>114</v>
      </c>
      <c r="BZ238" s="21" t="s">
        <v>114</v>
      </c>
      <c r="CA238" s="21" t="s">
        <v>114</v>
      </c>
      <c r="CB238" s="21" t="s">
        <v>114</v>
      </c>
      <c r="CC238" s="21" t="s">
        <v>114</v>
      </c>
      <c r="CD238" s="21" t="s">
        <v>114</v>
      </c>
      <c r="CE238" s="21" t="s">
        <v>114</v>
      </c>
      <c r="CF238" s="19" t="s">
        <v>114</v>
      </c>
      <c r="CG238" s="19" t="s">
        <v>114</v>
      </c>
      <c r="CH238" s="19" t="s">
        <v>114</v>
      </c>
      <c r="CI238" s="21" t="s">
        <v>114</v>
      </c>
      <c r="CJ238" s="21" t="s">
        <v>114</v>
      </c>
      <c r="CK238" s="21">
        <v>98405</v>
      </c>
      <c r="CL238" s="21" t="s">
        <v>114</v>
      </c>
      <c r="CM238" s="21" t="s">
        <v>114</v>
      </c>
      <c r="CN238" s="21" t="s">
        <v>114</v>
      </c>
      <c r="CO238" s="21" t="s">
        <v>114</v>
      </c>
      <c r="CP238" s="21" t="s">
        <v>114</v>
      </c>
      <c r="CQ238" s="21" t="s">
        <v>114</v>
      </c>
      <c r="CR238" s="21" t="s">
        <v>114</v>
      </c>
      <c r="CS238" s="21" t="s">
        <v>114</v>
      </c>
      <c r="CT238" s="21" t="s">
        <v>114</v>
      </c>
      <c r="CU238" s="21" t="s">
        <v>114</v>
      </c>
      <c r="CV238" s="21" t="s">
        <v>114</v>
      </c>
      <c r="CW238" s="21" t="s">
        <v>114</v>
      </c>
      <c r="CX238" s="21" t="s">
        <v>114</v>
      </c>
      <c r="CY238" s="21" t="s">
        <v>114</v>
      </c>
      <c r="CZ238" s="21" t="s">
        <v>114</v>
      </c>
      <c r="DA238" s="21" t="s">
        <v>114</v>
      </c>
      <c r="DB238" s="21" t="s">
        <v>114</v>
      </c>
      <c r="DC238" s="21" t="s">
        <v>114</v>
      </c>
      <c r="DD238" s="21" t="s">
        <v>114</v>
      </c>
      <c r="DE238" s="21" t="s">
        <v>114</v>
      </c>
      <c r="DF238" s="19" t="s">
        <v>114</v>
      </c>
      <c r="DG238" s="19">
        <v>98501</v>
      </c>
      <c r="DH238" s="19" t="s">
        <v>114</v>
      </c>
      <c r="DI238" s="19" t="s">
        <v>114</v>
      </c>
      <c r="DJ238" s="19">
        <v>98504</v>
      </c>
      <c r="DK238" s="19" t="s">
        <v>114</v>
      </c>
      <c r="DL238" s="19">
        <v>98506</v>
      </c>
      <c r="DM238" s="19" t="s">
        <v>114</v>
      </c>
      <c r="DN238" s="19">
        <v>98508</v>
      </c>
      <c r="DO238" s="19" t="s">
        <v>114</v>
      </c>
    </row>
    <row r="239" spans="1:119" hidden="1" x14ac:dyDescent="0.45">
      <c r="A239" s="2" t="s">
        <v>930</v>
      </c>
      <c r="B239" t="s">
        <v>931</v>
      </c>
      <c r="C239" s="2">
        <v>504</v>
      </c>
      <c r="D239" s="6">
        <v>140</v>
      </c>
      <c r="E239" s="2" t="s">
        <v>932</v>
      </c>
      <c r="F239" t="s">
        <v>932</v>
      </c>
      <c r="G239" t="s">
        <v>2112</v>
      </c>
      <c r="H239" s="2" t="s">
        <v>933</v>
      </c>
      <c r="I239" s="2" t="s">
        <v>934</v>
      </c>
      <c r="J239" s="2">
        <v>2</v>
      </c>
      <c r="K239" t="s">
        <v>116</v>
      </c>
      <c r="L239" s="2">
        <v>15</v>
      </c>
      <c r="M239" t="s">
        <v>145</v>
      </c>
      <c r="N239" s="2">
        <v>15</v>
      </c>
      <c r="O239" t="s">
        <v>145</v>
      </c>
      <c r="P239" s="2" t="s">
        <v>116</v>
      </c>
      <c r="Q239" s="2" t="s">
        <v>146</v>
      </c>
      <c r="R239" s="4">
        <v>747</v>
      </c>
      <c r="S239" s="4" t="s">
        <v>1446</v>
      </c>
      <c r="T239" s="2">
        <v>15</v>
      </c>
      <c r="U239" t="s">
        <v>145</v>
      </c>
      <c r="V239" t="s">
        <v>2452</v>
      </c>
      <c r="W239" t="s">
        <v>2462</v>
      </c>
      <c r="X239" t="s">
        <v>2440</v>
      </c>
      <c r="Y239" t="s">
        <v>145</v>
      </c>
      <c r="Z239" t="s">
        <v>145</v>
      </c>
      <c r="AA239" s="3" t="s">
        <v>145</v>
      </c>
      <c r="AB239" s="3" t="s">
        <v>2878</v>
      </c>
      <c r="AC239" s="2" t="s">
        <v>168</v>
      </c>
      <c r="AD239" s="4" t="s">
        <v>1891</v>
      </c>
      <c r="AE239" t="s">
        <v>104</v>
      </c>
      <c r="AF239" t="s">
        <v>1885</v>
      </c>
      <c r="AG239" t="s">
        <v>1884</v>
      </c>
      <c r="AH239" t="s">
        <v>105</v>
      </c>
      <c r="AI239" s="3" t="s">
        <v>105</v>
      </c>
      <c r="AJ239" s="3" t="s">
        <v>106</v>
      </c>
      <c r="AK239" s="3" t="s">
        <v>107</v>
      </c>
      <c r="AL239" s="5" t="s">
        <v>935</v>
      </c>
      <c r="AM239" s="5" t="s">
        <v>109</v>
      </c>
      <c r="AN239" t="s">
        <v>110</v>
      </c>
      <c r="AO239" s="3" t="s">
        <v>119</v>
      </c>
      <c r="AP239" s="3" t="s">
        <v>120</v>
      </c>
      <c r="AQ239" s="3" t="s">
        <v>111</v>
      </c>
      <c r="AR239" s="3" t="s">
        <v>112</v>
      </c>
      <c r="AS239" s="3" t="s">
        <v>112</v>
      </c>
      <c r="AT239" s="3" t="s">
        <v>113</v>
      </c>
      <c r="AU239" s="3" t="s">
        <v>2303</v>
      </c>
      <c r="AV239" s="3" t="s">
        <v>2302</v>
      </c>
      <c r="AW239" s="3" t="s">
        <v>2301</v>
      </c>
      <c r="AX239" s="3" t="s">
        <v>2006</v>
      </c>
      <c r="AY239" s="19">
        <v>98100</v>
      </c>
      <c r="AZ239" s="19" t="s">
        <v>114</v>
      </c>
      <c r="BA239" s="19" t="s">
        <v>114</v>
      </c>
      <c r="BB239" s="19">
        <v>98103</v>
      </c>
      <c r="BC239" s="19" t="s">
        <v>114</v>
      </c>
      <c r="BD239" s="19" t="s">
        <v>114</v>
      </c>
      <c r="BE239" s="19">
        <v>98106</v>
      </c>
      <c r="BF239" s="19" t="s">
        <v>114</v>
      </c>
      <c r="BG239" s="19" t="s">
        <v>114</v>
      </c>
      <c r="BH239" s="19" t="s">
        <v>114</v>
      </c>
      <c r="BI239" s="19" t="s">
        <v>114</v>
      </c>
      <c r="BJ239" s="19">
        <v>98111</v>
      </c>
      <c r="BK239" s="19">
        <v>98112</v>
      </c>
      <c r="BL239" s="19" t="s">
        <v>114</v>
      </c>
      <c r="BM239" s="19" t="s">
        <v>114</v>
      </c>
      <c r="BN239" s="19" t="s">
        <v>114</v>
      </c>
      <c r="BO239" s="19" t="s">
        <v>114</v>
      </c>
      <c r="BP239" s="19" t="s">
        <v>114</v>
      </c>
      <c r="BQ239" s="19" t="s">
        <v>114</v>
      </c>
      <c r="BR239" s="19" t="s">
        <v>114</v>
      </c>
      <c r="BS239" s="19" t="s">
        <v>114</v>
      </c>
      <c r="BT239" s="19">
        <v>98121</v>
      </c>
      <c r="BU239" s="19" t="s">
        <v>114</v>
      </c>
      <c r="BV239" s="19" t="s">
        <v>114</v>
      </c>
      <c r="BW239" s="19" t="s">
        <v>114</v>
      </c>
      <c r="BX239" s="19" t="s">
        <v>114</v>
      </c>
      <c r="BY239" s="19" t="s">
        <v>114</v>
      </c>
      <c r="BZ239" s="21" t="s">
        <v>114</v>
      </c>
      <c r="CA239" s="21" t="s">
        <v>114</v>
      </c>
      <c r="CB239" s="21" t="s">
        <v>114</v>
      </c>
      <c r="CC239" s="21" t="s">
        <v>114</v>
      </c>
      <c r="CD239" s="21" t="s">
        <v>114</v>
      </c>
      <c r="CE239" s="21" t="s">
        <v>114</v>
      </c>
      <c r="CF239" s="19" t="s">
        <v>114</v>
      </c>
      <c r="CG239" s="19" t="s">
        <v>114</v>
      </c>
      <c r="CH239" s="19" t="s">
        <v>114</v>
      </c>
      <c r="CI239" s="21" t="s">
        <v>114</v>
      </c>
      <c r="CJ239" s="21" t="s">
        <v>114</v>
      </c>
      <c r="CK239" s="21">
        <v>98405</v>
      </c>
      <c r="CL239" s="21" t="s">
        <v>114</v>
      </c>
      <c r="CM239" s="21" t="s">
        <v>114</v>
      </c>
      <c r="CN239" s="21" t="s">
        <v>114</v>
      </c>
      <c r="CO239" s="21" t="s">
        <v>114</v>
      </c>
      <c r="CP239" s="21" t="s">
        <v>114</v>
      </c>
      <c r="CQ239" s="21" t="s">
        <v>114</v>
      </c>
      <c r="CR239" s="21" t="s">
        <v>114</v>
      </c>
      <c r="CS239" s="21" t="s">
        <v>114</v>
      </c>
      <c r="CT239" s="21" t="s">
        <v>114</v>
      </c>
      <c r="CU239" s="21" t="s">
        <v>114</v>
      </c>
      <c r="CV239" s="21" t="s">
        <v>114</v>
      </c>
      <c r="CW239" s="21" t="s">
        <v>114</v>
      </c>
      <c r="CX239" s="21" t="s">
        <v>114</v>
      </c>
      <c r="CY239" s="21" t="s">
        <v>114</v>
      </c>
      <c r="CZ239" s="21" t="s">
        <v>114</v>
      </c>
      <c r="DA239" s="21" t="s">
        <v>114</v>
      </c>
      <c r="DB239" s="21" t="s">
        <v>114</v>
      </c>
      <c r="DC239" s="21" t="s">
        <v>114</v>
      </c>
      <c r="DD239" s="21" t="s">
        <v>114</v>
      </c>
      <c r="DE239" s="21" t="s">
        <v>114</v>
      </c>
      <c r="DF239" s="19" t="s">
        <v>114</v>
      </c>
      <c r="DG239" s="19">
        <v>98501</v>
      </c>
      <c r="DH239" s="19" t="s">
        <v>114</v>
      </c>
      <c r="DI239" s="19" t="s">
        <v>114</v>
      </c>
      <c r="DJ239" s="19">
        <v>98504</v>
      </c>
      <c r="DK239" s="19" t="s">
        <v>114</v>
      </c>
      <c r="DL239" s="19" t="s">
        <v>114</v>
      </c>
      <c r="DM239" s="19">
        <v>98507</v>
      </c>
      <c r="DN239" s="19">
        <v>98508</v>
      </c>
      <c r="DO239" s="19" t="s">
        <v>114</v>
      </c>
    </row>
    <row r="240" spans="1:119" hidden="1" x14ac:dyDescent="0.45">
      <c r="A240" s="2" t="s">
        <v>1284</v>
      </c>
      <c r="B240" t="s">
        <v>1285</v>
      </c>
      <c r="C240" s="2">
        <v>729</v>
      </c>
      <c r="D240" s="6">
        <v>155</v>
      </c>
      <c r="E240" s="2" t="s">
        <v>1286</v>
      </c>
      <c r="F240" s="3" t="s">
        <v>2014</v>
      </c>
      <c r="G240" t="s">
        <v>2153</v>
      </c>
      <c r="H240" s="2" t="s">
        <v>1287</v>
      </c>
      <c r="I240" s="2" t="s">
        <v>1288</v>
      </c>
      <c r="J240" s="2">
        <v>2</v>
      </c>
      <c r="K240" t="s">
        <v>116</v>
      </c>
      <c r="L240" s="2">
        <v>15</v>
      </c>
      <c r="M240" t="s">
        <v>145</v>
      </c>
      <c r="N240" s="2">
        <v>15</v>
      </c>
      <c r="O240" t="s">
        <v>145</v>
      </c>
      <c r="P240" s="2" t="s">
        <v>116</v>
      </c>
      <c r="Q240" s="2" t="s">
        <v>166</v>
      </c>
      <c r="R240" s="4">
        <v>747</v>
      </c>
      <c r="S240" s="4" t="s">
        <v>1446</v>
      </c>
      <c r="T240" s="2">
        <v>15</v>
      </c>
      <c r="U240" t="s">
        <v>145</v>
      </c>
      <c r="V240" t="s">
        <v>2457</v>
      </c>
      <c r="W240" t="s">
        <v>2457</v>
      </c>
      <c r="X240" t="s">
        <v>2440</v>
      </c>
      <c r="Y240" t="s">
        <v>145</v>
      </c>
      <c r="Z240" t="s">
        <v>145</v>
      </c>
      <c r="AA240" s="3" t="s">
        <v>145</v>
      </c>
      <c r="AB240" s="3" t="s">
        <v>2878</v>
      </c>
      <c r="AC240" s="2" t="s">
        <v>103</v>
      </c>
      <c r="AD240" s="2" t="s">
        <v>1890</v>
      </c>
      <c r="AE240" t="s">
        <v>104</v>
      </c>
      <c r="AF240" t="s">
        <v>1885</v>
      </c>
      <c r="AG240" t="s">
        <v>1884</v>
      </c>
      <c r="AH240" t="s">
        <v>105</v>
      </c>
      <c r="AI240" s="3" t="s">
        <v>105</v>
      </c>
      <c r="AJ240" s="3" t="s">
        <v>106</v>
      </c>
      <c r="AK240" s="3" t="s">
        <v>107</v>
      </c>
      <c r="AL240" s="5" t="s">
        <v>1289</v>
      </c>
      <c r="AM240" s="5" t="s">
        <v>109</v>
      </c>
      <c r="AN240" t="s">
        <v>110</v>
      </c>
      <c r="AO240" t="s">
        <v>25</v>
      </c>
      <c r="AP240" s="3" t="s">
        <v>120</v>
      </c>
      <c r="AQ240" s="3" t="s">
        <v>111</v>
      </c>
      <c r="AR240" s="3" t="s">
        <v>112</v>
      </c>
      <c r="AS240" s="3" t="s">
        <v>112</v>
      </c>
      <c r="AT240" s="3" t="s">
        <v>113</v>
      </c>
      <c r="AU240" s="3" t="s">
        <v>2303</v>
      </c>
      <c r="AV240" s="3" t="s">
        <v>2302</v>
      </c>
      <c r="AW240" s="3" t="s">
        <v>2301</v>
      </c>
      <c r="AX240" s="3" t="s">
        <v>2006</v>
      </c>
      <c r="AY240" s="19">
        <v>98100</v>
      </c>
      <c r="AZ240" s="19" t="s">
        <v>114</v>
      </c>
      <c r="BA240" s="19" t="s">
        <v>114</v>
      </c>
      <c r="BB240" s="19">
        <v>98103</v>
      </c>
      <c r="BC240" s="19" t="s">
        <v>114</v>
      </c>
      <c r="BD240" s="19" t="s">
        <v>114</v>
      </c>
      <c r="BE240" s="19">
        <v>98106</v>
      </c>
      <c r="BF240" s="19" t="s">
        <v>114</v>
      </c>
      <c r="BG240" s="19" t="s">
        <v>114</v>
      </c>
      <c r="BH240" s="19">
        <v>98109</v>
      </c>
      <c r="BI240" s="19" t="s">
        <v>114</v>
      </c>
      <c r="BJ240" s="19" t="s">
        <v>114</v>
      </c>
      <c r="BK240" s="19">
        <v>98112</v>
      </c>
      <c r="BL240" s="19">
        <v>98113</v>
      </c>
      <c r="BM240" s="19" t="s">
        <v>114</v>
      </c>
      <c r="BN240" s="19" t="s">
        <v>114</v>
      </c>
      <c r="BO240" s="19" t="s">
        <v>114</v>
      </c>
      <c r="BP240" s="19" t="s">
        <v>114</v>
      </c>
      <c r="BQ240" s="19">
        <v>98118</v>
      </c>
      <c r="BR240" s="19">
        <v>98119</v>
      </c>
      <c r="BS240" s="19" t="s">
        <v>114</v>
      </c>
      <c r="BT240" s="19" t="s">
        <v>114</v>
      </c>
      <c r="BU240" s="19">
        <v>98122</v>
      </c>
      <c r="BV240" s="19">
        <v>98123</v>
      </c>
      <c r="BW240" s="19" t="s">
        <v>114</v>
      </c>
      <c r="BX240" s="19" t="s">
        <v>114</v>
      </c>
      <c r="BY240" s="19">
        <v>98126</v>
      </c>
      <c r="BZ240" s="21" t="s">
        <v>114</v>
      </c>
      <c r="CA240" s="21" t="s">
        <v>114</v>
      </c>
      <c r="CB240" s="21" t="s">
        <v>114</v>
      </c>
      <c r="CC240" s="21" t="s">
        <v>114</v>
      </c>
      <c r="CD240" s="21" t="s">
        <v>114</v>
      </c>
      <c r="CE240" s="21" t="s">
        <v>114</v>
      </c>
      <c r="CF240" s="19" t="s">
        <v>114</v>
      </c>
      <c r="CG240" s="19" t="s">
        <v>114</v>
      </c>
      <c r="CH240" s="19" t="s">
        <v>114</v>
      </c>
      <c r="CI240" s="21" t="s">
        <v>114</v>
      </c>
      <c r="CJ240" s="21" t="s">
        <v>114</v>
      </c>
      <c r="CK240" s="21">
        <v>98405</v>
      </c>
      <c r="CL240" s="21" t="s">
        <v>114</v>
      </c>
      <c r="CM240" s="21" t="s">
        <v>114</v>
      </c>
      <c r="CN240" s="21" t="s">
        <v>114</v>
      </c>
      <c r="CO240" s="21" t="s">
        <v>114</v>
      </c>
      <c r="CP240" s="21" t="s">
        <v>114</v>
      </c>
      <c r="CQ240" s="21" t="s">
        <v>114</v>
      </c>
      <c r="CR240" s="21" t="s">
        <v>114</v>
      </c>
      <c r="CS240" s="21" t="s">
        <v>114</v>
      </c>
      <c r="CT240" s="21" t="s">
        <v>114</v>
      </c>
      <c r="CU240" s="21" t="s">
        <v>114</v>
      </c>
      <c r="CV240" s="21" t="s">
        <v>114</v>
      </c>
      <c r="CW240" s="21" t="s">
        <v>114</v>
      </c>
      <c r="CX240" s="21" t="s">
        <v>114</v>
      </c>
      <c r="CY240" s="21" t="s">
        <v>114</v>
      </c>
      <c r="CZ240" s="21" t="s">
        <v>114</v>
      </c>
      <c r="DA240" s="21" t="s">
        <v>114</v>
      </c>
      <c r="DB240" s="21" t="s">
        <v>114</v>
      </c>
      <c r="DC240" s="21" t="s">
        <v>114</v>
      </c>
      <c r="DD240" s="21" t="s">
        <v>114</v>
      </c>
      <c r="DE240" s="21" t="s">
        <v>114</v>
      </c>
      <c r="DF240" s="19" t="s">
        <v>114</v>
      </c>
      <c r="DG240" s="19">
        <v>98501</v>
      </c>
      <c r="DH240" s="19" t="s">
        <v>114</v>
      </c>
      <c r="DI240" s="19" t="s">
        <v>114</v>
      </c>
      <c r="DJ240" s="19" t="s">
        <v>114</v>
      </c>
      <c r="DK240" s="19">
        <v>98505</v>
      </c>
      <c r="DL240" s="19">
        <v>98506</v>
      </c>
      <c r="DM240" s="19" t="s">
        <v>114</v>
      </c>
      <c r="DN240" s="19" t="s">
        <v>114</v>
      </c>
      <c r="DO240" s="19">
        <v>98509</v>
      </c>
    </row>
    <row r="241" spans="1:119" hidden="1" x14ac:dyDescent="0.45">
      <c r="A241" s="2" t="s">
        <v>1348</v>
      </c>
      <c r="B241" t="s">
        <v>1349</v>
      </c>
      <c r="C241" s="2">
        <v>788</v>
      </c>
      <c r="D241" s="6">
        <v>158</v>
      </c>
      <c r="E241" s="2" t="s">
        <v>1350</v>
      </c>
      <c r="F241" t="s">
        <v>1350</v>
      </c>
      <c r="G241" t="s">
        <v>2163</v>
      </c>
      <c r="H241" s="2" t="s">
        <v>1351</v>
      </c>
      <c r="I241" s="2" t="s">
        <v>1352</v>
      </c>
      <c r="J241" s="2">
        <v>2</v>
      </c>
      <c r="K241" t="s">
        <v>116</v>
      </c>
      <c r="L241" s="2">
        <v>15</v>
      </c>
      <c r="M241" t="s">
        <v>145</v>
      </c>
      <c r="N241" s="2">
        <v>15</v>
      </c>
      <c r="O241" t="s">
        <v>145</v>
      </c>
      <c r="P241" s="2" t="s">
        <v>116</v>
      </c>
      <c r="Q241" s="2" t="s">
        <v>146</v>
      </c>
      <c r="R241" s="4">
        <v>747</v>
      </c>
      <c r="S241" s="4" t="s">
        <v>1446</v>
      </c>
      <c r="T241" s="2">
        <v>15</v>
      </c>
      <c r="U241" t="s">
        <v>145</v>
      </c>
      <c r="V241" t="s">
        <v>2452</v>
      </c>
      <c r="W241" t="s">
        <v>2462</v>
      </c>
      <c r="X241" t="s">
        <v>2440</v>
      </c>
      <c r="Y241" t="s">
        <v>145</v>
      </c>
      <c r="Z241" t="s">
        <v>145</v>
      </c>
      <c r="AA241" s="3" t="s">
        <v>145</v>
      </c>
      <c r="AB241" s="3" t="s">
        <v>2878</v>
      </c>
      <c r="AC241" s="2" t="s">
        <v>168</v>
      </c>
      <c r="AD241" s="4" t="s">
        <v>1891</v>
      </c>
      <c r="AE241" t="s">
        <v>104</v>
      </c>
      <c r="AF241" t="s">
        <v>1885</v>
      </c>
      <c r="AG241" t="s">
        <v>1884</v>
      </c>
      <c r="AH241" t="s">
        <v>105</v>
      </c>
      <c r="AI241" s="3" t="s">
        <v>105</v>
      </c>
      <c r="AJ241" s="3" t="s">
        <v>106</v>
      </c>
      <c r="AK241" s="3" t="s">
        <v>107</v>
      </c>
      <c r="AL241" s="5" t="s">
        <v>1353</v>
      </c>
      <c r="AM241" s="5" t="s">
        <v>109</v>
      </c>
      <c r="AN241" t="s">
        <v>110</v>
      </c>
      <c r="AO241" s="3" t="s">
        <v>119</v>
      </c>
      <c r="AP241" s="3" t="s">
        <v>120</v>
      </c>
      <c r="AQ241" s="3" t="s">
        <v>111</v>
      </c>
      <c r="AR241" s="3" t="s">
        <v>112</v>
      </c>
      <c r="AS241" s="3" t="s">
        <v>112</v>
      </c>
      <c r="AT241" s="3" t="s">
        <v>113</v>
      </c>
      <c r="AU241" s="3" t="s">
        <v>2303</v>
      </c>
      <c r="AV241" s="3" t="s">
        <v>2302</v>
      </c>
      <c r="AW241" s="3" t="s">
        <v>2301</v>
      </c>
      <c r="AX241" s="3" t="s">
        <v>2006</v>
      </c>
      <c r="AY241" s="19">
        <v>98100</v>
      </c>
      <c r="AZ241" s="19" t="s">
        <v>114</v>
      </c>
      <c r="BA241" s="19" t="s">
        <v>114</v>
      </c>
      <c r="BB241" s="19">
        <v>98103</v>
      </c>
      <c r="BC241" s="19" t="s">
        <v>114</v>
      </c>
      <c r="BD241" s="19" t="s">
        <v>114</v>
      </c>
      <c r="BE241" s="19">
        <v>98106</v>
      </c>
      <c r="BF241" s="19" t="s">
        <v>114</v>
      </c>
      <c r="BG241" s="19" t="s">
        <v>114</v>
      </c>
      <c r="BH241" s="19" t="s">
        <v>114</v>
      </c>
      <c r="BI241" s="19" t="s">
        <v>114</v>
      </c>
      <c r="BJ241" s="19">
        <v>98111</v>
      </c>
      <c r="BK241" s="19">
        <v>98112</v>
      </c>
      <c r="BL241" s="19">
        <v>98113</v>
      </c>
      <c r="BM241" s="19" t="s">
        <v>114</v>
      </c>
      <c r="BN241" s="19" t="s">
        <v>114</v>
      </c>
      <c r="BO241" s="19" t="s">
        <v>114</v>
      </c>
      <c r="BP241" s="19" t="s">
        <v>114</v>
      </c>
      <c r="BQ241" s="19" t="s">
        <v>114</v>
      </c>
      <c r="BR241" s="19" t="s">
        <v>114</v>
      </c>
      <c r="BS241" s="19" t="s">
        <v>114</v>
      </c>
      <c r="BT241" s="19" t="s">
        <v>114</v>
      </c>
      <c r="BU241" s="19" t="s">
        <v>114</v>
      </c>
      <c r="BV241" s="19">
        <v>98123</v>
      </c>
      <c r="BW241" s="19" t="s">
        <v>114</v>
      </c>
      <c r="BX241" s="19" t="s">
        <v>114</v>
      </c>
      <c r="BY241" s="19" t="s">
        <v>114</v>
      </c>
      <c r="BZ241" s="21" t="s">
        <v>114</v>
      </c>
      <c r="CA241" s="21" t="s">
        <v>114</v>
      </c>
      <c r="CB241" s="21" t="s">
        <v>114</v>
      </c>
      <c r="CC241" s="21" t="s">
        <v>114</v>
      </c>
      <c r="CD241" s="21" t="s">
        <v>114</v>
      </c>
      <c r="CE241" s="21" t="s">
        <v>114</v>
      </c>
      <c r="CF241" s="19" t="s">
        <v>114</v>
      </c>
      <c r="CG241" s="19" t="s">
        <v>114</v>
      </c>
      <c r="CH241" s="19" t="s">
        <v>114</v>
      </c>
      <c r="CI241" s="21" t="s">
        <v>114</v>
      </c>
      <c r="CJ241" s="21" t="s">
        <v>114</v>
      </c>
      <c r="CK241" s="21">
        <v>98405</v>
      </c>
      <c r="CL241" s="21" t="s">
        <v>114</v>
      </c>
      <c r="CM241" s="21" t="s">
        <v>114</v>
      </c>
      <c r="CN241" s="21" t="s">
        <v>114</v>
      </c>
      <c r="CO241" s="21" t="s">
        <v>114</v>
      </c>
      <c r="CP241" s="21" t="s">
        <v>114</v>
      </c>
      <c r="CQ241" s="21" t="s">
        <v>114</v>
      </c>
      <c r="CR241" s="21" t="s">
        <v>114</v>
      </c>
      <c r="CS241" s="21" t="s">
        <v>114</v>
      </c>
      <c r="CT241" s="21" t="s">
        <v>114</v>
      </c>
      <c r="CU241" s="21" t="s">
        <v>114</v>
      </c>
      <c r="CV241" s="21" t="s">
        <v>114</v>
      </c>
      <c r="CW241" s="21" t="s">
        <v>114</v>
      </c>
      <c r="CX241" s="21" t="s">
        <v>114</v>
      </c>
      <c r="CY241" s="21" t="s">
        <v>114</v>
      </c>
      <c r="CZ241" s="21" t="s">
        <v>114</v>
      </c>
      <c r="DA241" s="21" t="s">
        <v>114</v>
      </c>
      <c r="DB241" s="21" t="s">
        <v>114</v>
      </c>
      <c r="DC241" s="21" t="s">
        <v>114</v>
      </c>
      <c r="DD241" s="21" t="s">
        <v>114</v>
      </c>
      <c r="DE241" s="21" t="s">
        <v>114</v>
      </c>
      <c r="DF241" s="19" t="s">
        <v>114</v>
      </c>
      <c r="DG241" s="19">
        <v>98501</v>
      </c>
      <c r="DH241" s="19" t="s">
        <v>114</v>
      </c>
      <c r="DI241" s="19" t="s">
        <v>114</v>
      </c>
      <c r="DJ241" s="19">
        <v>98504</v>
      </c>
      <c r="DK241" s="19" t="s">
        <v>114</v>
      </c>
      <c r="DL241" s="19" t="s">
        <v>114</v>
      </c>
      <c r="DM241" s="19">
        <v>98507</v>
      </c>
      <c r="DN241" s="19">
        <v>98508</v>
      </c>
      <c r="DO241" s="19" t="s">
        <v>114</v>
      </c>
    </row>
    <row r="242" spans="1:119" hidden="1" x14ac:dyDescent="0.45">
      <c r="A242" s="2" t="s">
        <v>1447</v>
      </c>
      <c r="B242" t="s">
        <v>1448</v>
      </c>
      <c r="C242" s="2">
        <v>732</v>
      </c>
      <c r="D242" s="6">
        <v>160</v>
      </c>
      <c r="E242" s="2" t="s">
        <v>1876</v>
      </c>
      <c r="F242" t="s">
        <v>1449</v>
      </c>
      <c r="H242" s="2" t="s">
        <v>1450</v>
      </c>
      <c r="I242" s="2" t="s">
        <v>1451</v>
      </c>
      <c r="J242" s="2">
        <v>2</v>
      </c>
      <c r="K242" t="s">
        <v>116</v>
      </c>
      <c r="L242" s="2">
        <v>15</v>
      </c>
      <c r="M242" t="s">
        <v>145</v>
      </c>
      <c r="N242" s="2">
        <v>15</v>
      </c>
      <c r="O242" t="s">
        <v>145</v>
      </c>
      <c r="P242" s="2" t="s">
        <v>116</v>
      </c>
      <c r="Q242" s="2" t="s">
        <v>146</v>
      </c>
      <c r="R242" s="4">
        <v>747</v>
      </c>
      <c r="S242" s="4" t="s">
        <v>1446</v>
      </c>
      <c r="T242" s="2">
        <v>15</v>
      </c>
      <c r="U242" t="s">
        <v>145</v>
      </c>
      <c r="V242" t="s">
        <v>2457</v>
      </c>
      <c r="W242" t="s">
        <v>2457</v>
      </c>
      <c r="X242" t="s">
        <v>2440</v>
      </c>
      <c r="Y242" t="s">
        <v>145</v>
      </c>
      <c r="Z242" t="s">
        <v>145</v>
      </c>
      <c r="AA242" s="3" t="s">
        <v>145</v>
      </c>
      <c r="AB242" s="3" t="s">
        <v>2878</v>
      </c>
      <c r="AC242" s="2" t="s">
        <v>1888</v>
      </c>
      <c r="AD242" s="2" t="s">
        <v>1888</v>
      </c>
      <c r="AE242" t="s">
        <v>104</v>
      </c>
      <c r="AF242" t="s">
        <v>1886</v>
      </c>
      <c r="AG242" s="3" t="s">
        <v>1887</v>
      </c>
      <c r="AH242" t="s">
        <v>105</v>
      </c>
      <c r="AI242" s="3" t="s">
        <v>105</v>
      </c>
      <c r="AJ242" s="3" t="s">
        <v>106</v>
      </c>
      <c r="AK242" s="3" t="s">
        <v>107</v>
      </c>
      <c r="AL242" s="5" t="s">
        <v>935</v>
      </c>
      <c r="AM242" s="5" t="s">
        <v>109</v>
      </c>
      <c r="AO242" s="3" t="s">
        <v>119</v>
      </c>
      <c r="AP242" s="3" t="s">
        <v>120</v>
      </c>
      <c r="AQ242" s="3" t="s">
        <v>111</v>
      </c>
      <c r="AR242" s="3" t="s">
        <v>112</v>
      </c>
      <c r="AS242" s="3" t="s">
        <v>112</v>
      </c>
      <c r="AT242" s="3" t="s">
        <v>113</v>
      </c>
      <c r="AU242" s="3" t="s">
        <v>2303</v>
      </c>
      <c r="AV242" s="3" t="s">
        <v>2302</v>
      </c>
      <c r="AW242" s="3" t="s">
        <v>2301</v>
      </c>
      <c r="AX242" t="s">
        <v>282</v>
      </c>
      <c r="AY242" s="19" t="s">
        <v>114</v>
      </c>
      <c r="AZ242" s="19" t="s">
        <v>114</v>
      </c>
      <c r="BA242" s="19" t="s">
        <v>114</v>
      </c>
      <c r="BB242" s="19" t="s">
        <v>114</v>
      </c>
      <c r="BC242" s="19" t="s">
        <v>114</v>
      </c>
      <c r="BD242" s="19" t="s">
        <v>114</v>
      </c>
      <c r="BE242" s="19">
        <v>98106</v>
      </c>
      <c r="BF242" s="19" t="s">
        <v>114</v>
      </c>
      <c r="BG242" s="19" t="s">
        <v>114</v>
      </c>
      <c r="BH242" s="19" t="s">
        <v>114</v>
      </c>
      <c r="BI242" s="19" t="s">
        <v>114</v>
      </c>
      <c r="BJ242" s="19" t="s">
        <v>114</v>
      </c>
      <c r="BK242" s="19" t="s">
        <v>114</v>
      </c>
      <c r="BL242" s="19" t="s">
        <v>114</v>
      </c>
      <c r="BM242" s="19" t="s">
        <v>114</v>
      </c>
      <c r="BN242" s="19" t="s">
        <v>114</v>
      </c>
      <c r="BO242" s="19" t="s">
        <v>114</v>
      </c>
      <c r="BP242" s="19" t="s">
        <v>114</v>
      </c>
      <c r="BQ242" s="19" t="s">
        <v>114</v>
      </c>
      <c r="BR242" s="19" t="s">
        <v>114</v>
      </c>
      <c r="BS242" s="19" t="s">
        <v>114</v>
      </c>
      <c r="BT242" s="19" t="s">
        <v>114</v>
      </c>
      <c r="BU242" s="19" t="s">
        <v>114</v>
      </c>
      <c r="BV242" s="19" t="s">
        <v>114</v>
      </c>
      <c r="BW242" s="19" t="s">
        <v>114</v>
      </c>
      <c r="BX242" s="19" t="s">
        <v>114</v>
      </c>
      <c r="BY242" s="19" t="s">
        <v>114</v>
      </c>
      <c r="BZ242" s="21" t="s">
        <v>114</v>
      </c>
      <c r="CA242" s="21" t="s">
        <v>114</v>
      </c>
      <c r="CB242" s="21" t="s">
        <v>114</v>
      </c>
      <c r="CC242" s="21" t="s">
        <v>114</v>
      </c>
      <c r="CD242" s="21" t="s">
        <v>114</v>
      </c>
      <c r="CE242" s="21" t="s">
        <v>114</v>
      </c>
      <c r="CF242" s="19" t="s">
        <v>114</v>
      </c>
      <c r="CG242" s="19" t="s">
        <v>114</v>
      </c>
      <c r="CH242" s="19" t="s">
        <v>114</v>
      </c>
      <c r="CI242" s="21" t="s">
        <v>114</v>
      </c>
      <c r="CJ242" s="21" t="s">
        <v>114</v>
      </c>
      <c r="CK242" s="21">
        <v>98405</v>
      </c>
      <c r="CL242" s="21" t="s">
        <v>114</v>
      </c>
      <c r="CM242" s="21" t="s">
        <v>114</v>
      </c>
      <c r="CN242" s="21" t="s">
        <v>114</v>
      </c>
      <c r="CO242" s="21" t="s">
        <v>114</v>
      </c>
      <c r="CP242" s="21" t="s">
        <v>114</v>
      </c>
      <c r="CQ242" s="21" t="s">
        <v>114</v>
      </c>
      <c r="CR242" s="21" t="s">
        <v>114</v>
      </c>
      <c r="CS242" s="21" t="s">
        <v>114</v>
      </c>
      <c r="CT242" s="21" t="s">
        <v>114</v>
      </c>
      <c r="CU242" s="21" t="s">
        <v>114</v>
      </c>
      <c r="CV242" s="21" t="s">
        <v>114</v>
      </c>
      <c r="CW242" s="21" t="s">
        <v>114</v>
      </c>
      <c r="CX242" s="21" t="s">
        <v>114</v>
      </c>
      <c r="CY242" s="21" t="s">
        <v>114</v>
      </c>
      <c r="CZ242" s="21" t="s">
        <v>114</v>
      </c>
      <c r="DA242" s="21" t="s">
        <v>114</v>
      </c>
      <c r="DB242" s="21" t="s">
        <v>114</v>
      </c>
      <c r="DC242" s="21" t="s">
        <v>114</v>
      </c>
      <c r="DD242" s="21" t="s">
        <v>114</v>
      </c>
      <c r="DE242" s="21" t="s">
        <v>114</v>
      </c>
      <c r="DF242" s="19" t="s">
        <v>114</v>
      </c>
      <c r="DG242" s="19" t="s">
        <v>114</v>
      </c>
      <c r="DH242" s="19" t="s">
        <v>114</v>
      </c>
      <c r="DI242" s="19" t="s">
        <v>114</v>
      </c>
      <c r="DJ242" s="19" t="s">
        <v>114</v>
      </c>
      <c r="DK242" s="19" t="s">
        <v>114</v>
      </c>
      <c r="DL242" s="19" t="s">
        <v>114</v>
      </c>
      <c r="DM242" s="19" t="s">
        <v>114</v>
      </c>
      <c r="DN242" s="19" t="s">
        <v>114</v>
      </c>
      <c r="DO242" s="19" t="s">
        <v>114</v>
      </c>
    </row>
    <row r="243" spans="1:119" hidden="1" x14ac:dyDescent="0.45">
      <c r="A243" s="2" t="s">
        <v>235</v>
      </c>
      <c r="B243" t="s">
        <v>236</v>
      </c>
      <c r="C243" s="2">
        <v>48</v>
      </c>
      <c r="D243" s="6">
        <v>601</v>
      </c>
      <c r="E243" s="2" t="s">
        <v>237</v>
      </c>
      <c r="F243" t="s">
        <v>237</v>
      </c>
      <c r="G243" t="s">
        <v>2025</v>
      </c>
      <c r="H243" s="2" t="s">
        <v>238</v>
      </c>
      <c r="I243" s="2" t="s">
        <v>239</v>
      </c>
      <c r="J243" s="2">
        <v>142</v>
      </c>
      <c r="K243" t="s">
        <v>100</v>
      </c>
      <c r="L243" s="2">
        <v>145</v>
      </c>
      <c r="M243" t="s">
        <v>202</v>
      </c>
      <c r="P243" s="2" t="s">
        <v>240</v>
      </c>
      <c r="Q243" s="2" t="s">
        <v>146</v>
      </c>
      <c r="R243" s="4">
        <v>747</v>
      </c>
      <c r="S243" s="2" t="s">
        <v>1446</v>
      </c>
      <c r="T243" s="2">
        <v>145</v>
      </c>
      <c r="U243" t="s">
        <v>202</v>
      </c>
      <c r="V243" t="s">
        <v>2452</v>
      </c>
      <c r="W243" t="s">
        <v>2453</v>
      </c>
      <c r="X243" t="s">
        <v>2439</v>
      </c>
      <c r="Y243" t="s">
        <v>202</v>
      </c>
      <c r="Z243" t="s">
        <v>1939</v>
      </c>
      <c r="AA243" s="3" t="s">
        <v>2758</v>
      </c>
      <c r="AB243" s="3" t="s">
        <v>2879</v>
      </c>
      <c r="AC243" s="2" t="s">
        <v>130</v>
      </c>
      <c r="AD243" s="4" t="s">
        <v>1891</v>
      </c>
      <c r="AE243" t="s">
        <v>104</v>
      </c>
      <c r="AF243" t="s">
        <v>1886</v>
      </c>
      <c r="AG243" s="3" t="s">
        <v>1887</v>
      </c>
      <c r="AH243" t="s">
        <v>105</v>
      </c>
      <c r="AI243" s="3" t="s">
        <v>105</v>
      </c>
      <c r="AJ243" s="3" t="s">
        <v>106</v>
      </c>
      <c r="AK243" s="3" t="s">
        <v>107</v>
      </c>
      <c r="AL243" s="5" t="s">
        <v>241</v>
      </c>
      <c r="AM243" s="5" t="s">
        <v>109</v>
      </c>
      <c r="AN243" t="s">
        <v>110</v>
      </c>
      <c r="AO243" s="3" t="s">
        <v>119</v>
      </c>
      <c r="AP243" s="3" t="s">
        <v>120</v>
      </c>
      <c r="AQ243" s="3" t="s">
        <v>111</v>
      </c>
      <c r="AR243" s="3" t="s">
        <v>112</v>
      </c>
      <c r="AS243" s="3" t="s">
        <v>112</v>
      </c>
      <c r="AT243" s="3" t="s">
        <v>113</v>
      </c>
      <c r="AU243" s="3" t="s">
        <v>2303</v>
      </c>
      <c r="AV243" s="3" t="s">
        <v>2302</v>
      </c>
      <c r="AW243" s="3" t="s">
        <v>2301</v>
      </c>
      <c r="AX243" s="3" t="s">
        <v>2006</v>
      </c>
      <c r="AY243" s="19" t="s">
        <v>114</v>
      </c>
      <c r="AZ243" s="19" t="s">
        <v>114</v>
      </c>
      <c r="BA243" s="19" t="s">
        <v>114</v>
      </c>
      <c r="BB243" s="19" t="s">
        <v>114</v>
      </c>
      <c r="BC243" s="19" t="s">
        <v>114</v>
      </c>
      <c r="BD243" s="19" t="s">
        <v>114</v>
      </c>
      <c r="BE243" s="19" t="s">
        <v>114</v>
      </c>
      <c r="BF243" s="19" t="s">
        <v>114</v>
      </c>
      <c r="BG243" s="19" t="s">
        <v>114</v>
      </c>
      <c r="BH243" s="19" t="s">
        <v>114</v>
      </c>
      <c r="BI243" s="19" t="s">
        <v>114</v>
      </c>
      <c r="BJ243" s="19" t="s">
        <v>114</v>
      </c>
      <c r="BK243" s="19" t="s">
        <v>114</v>
      </c>
      <c r="BL243" s="19" t="s">
        <v>114</v>
      </c>
      <c r="BM243" s="19" t="s">
        <v>114</v>
      </c>
      <c r="BN243" s="19" t="s">
        <v>114</v>
      </c>
      <c r="BO243" s="19" t="s">
        <v>114</v>
      </c>
      <c r="BP243" s="19" t="s">
        <v>114</v>
      </c>
      <c r="BQ243" s="19" t="s">
        <v>114</v>
      </c>
      <c r="BR243" s="19" t="s">
        <v>114</v>
      </c>
      <c r="BS243" s="19" t="s">
        <v>114</v>
      </c>
      <c r="BT243" s="19" t="s">
        <v>114</v>
      </c>
      <c r="BU243" s="19" t="s">
        <v>114</v>
      </c>
      <c r="BV243" s="19" t="s">
        <v>114</v>
      </c>
      <c r="BW243" s="19" t="s">
        <v>114</v>
      </c>
      <c r="BX243" s="19" t="s">
        <v>114</v>
      </c>
      <c r="BY243" s="19" t="s">
        <v>114</v>
      </c>
      <c r="BZ243" s="21" t="s">
        <v>114</v>
      </c>
      <c r="CA243" s="21" t="s">
        <v>114</v>
      </c>
      <c r="CB243" s="21" t="s">
        <v>114</v>
      </c>
      <c r="CC243" s="21" t="s">
        <v>114</v>
      </c>
      <c r="CD243" s="21" t="s">
        <v>114</v>
      </c>
      <c r="CE243" s="21" t="s">
        <v>114</v>
      </c>
      <c r="CF243" s="19" t="s">
        <v>114</v>
      </c>
      <c r="CG243" s="19" t="s">
        <v>114</v>
      </c>
      <c r="CH243" s="19" t="s">
        <v>114</v>
      </c>
      <c r="CI243" s="21" t="s">
        <v>114</v>
      </c>
      <c r="CJ243" s="21" t="s">
        <v>114</v>
      </c>
      <c r="CK243" s="21" t="s">
        <v>114</v>
      </c>
      <c r="CL243" s="21" t="s">
        <v>114</v>
      </c>
      <c r="CM243" s="21" t="s">
        <v>114</v>
      </c>
      <c r="CN243" s="21" t="s">
        <v>114</v>
      </c>
      <c r="CO243" s="21" t="s">
        <v>114</v>
      </c>
      <c r="CP243" s="21" t="s">
        <v>114</v>
      </c>
      <c r="CQ243" s="21" t="s">
        <v>114</v>
      </c>
      <c r="CR243" s="21" t="s">
        <v>114</v>
      </c>
      <c r="CS243" s="21" t="s">
        <v>114</v>
      </c>
      <c r="CT243" s="21" t="s">
        <v>114</v>
      </c>
      <c r="CU243" s="21" t="s">
        <v>114</v>
      </c>
      <c r="CV243" s="21" t="s">
        <v>114</v>
      </c>
      <c r="CW243" s="21" t="s">
        <v>114</v>
      </c>
      <c r="CX243" s="21">
        <v>98426</v>
      </c>
      <c r="CY243" s="21" t="s">
        <v>114</v>
      </c>
      <c r="CZ243" s="21" t="s">
        <v>114</v>
      </c>
      <c r="DA243" s="21" t="s">
        <v>114</v>
      </c>
      <c r="DB243" s="21" t="s">
        <v>114</v>
      </c>
      <c r="DC243" s="21" t="s">
        <v>114</v>
      </c>
      <c r="DD243" s="21" t="s">
        <v>114</v>
      </c>
      <c r="DE243" s="21" t="s">
        <v>114</v>
      </c>
      <c r="DF243" s="19" t="s">
        <v>114</v>
      </c>
      <c r="DG243" s="19">
        <v>98501</v>
      </c>
      <c r="DH243" s="19">
        <v>98502</v>
      </c>
      <c r="DI243" s="19" t="s">
        <v>114</v>
      </c>
      <c r="DJ243" s="19" t="s">
        <v>114</v>
      </c>
      <c r="DK243" s="19" t="s">
        <v>114</v>
      </c>
      <c r="DL243" s="19" t="s">
        <v>114</v>
      </c>
      <c r="DM243" s="19" t="s">
        <v>114</v>
      </c>
      <c r="DN243" s="19" t="s">
        <v>114</v>
      </c>
      <c r="DO243" s="19" t="s">
        <v>114</v>
      </c>
    </row>
    <row r="244" spans="1:119" hidden="1" x14ac:dyDescent="0.45">
      <c r="A244" s="2" t="s">
        <v>729</v>
      </c>
      <c r="B244" t="s">
        <v>730</v>
      </c>
      <c r="C244" s="2">
        <v>364</v>
      </c>
      <c r="D244" s="6">
        <v>602</v>
      </c>
      <c r="E244" s="2" t="s">
        <v>1675</v>
      </c>
      <c r="F244" s="3" t="s">
        <v>731</v>
      </c>
      <c r="G244" t="s">
        <v>2082</v>
      </c>
      <c r="H244" s="4" t="s">
        <v>732</v>
      </c>
      <c r="I244" s="2" t="s">
        <v>733</v>
      </c>
      <c r="J244" s="2">
        <v>142</v>
      </c>
      <c r="K244" t="s">
        <v>100</v>
      </c>
      <c r="L244" s="2">
        <v>34</v>
      </c>
      <c r="M244" t="s">
        <v>101</v>
      </c>
      <c r="P244" s="2" t="s">
        <v>240</v>
      </c>
      <c r="Q244" s="2" t="s">
        <v>146</v>
      </c>
      <c r="R244" s="4">
        <v>62</v>
      </c>
      <c r="S244" s="2" t="s">
        <v>388</v>
      </c>
      <c r="T244" s="4">
        <v>34</v>
      </c>
      <c r="U244" s="4" t="s">
        <v>101</v>
      </c>
      <c r="V244" t="s">
        <v>2452</v>
      </c>
      <c r="W244" t="s">
        <v>2198</v>
      </c>
      <c r="X244" t="s">
        <v>2439</v>
      </c>
      <c r="Y244" t="s">
        <v>101</v>
      </c>
      <c r="Z244" t="s">
        <v>1927</v>
      </c>
      <c r="AA244" s="3" t="s">
        <v>2758</v>
      </c>
      <c r="AB244" s="3" t="s">
        <v>2879</v>
      </c>
      <c r="AC244" s="2" t="s">
        <v>168</v>
      </c>
      <c r="AD244" s="4" t="s">
        <v>1891</v>
      </c>
      <c r="AE244" t="s">
        <v>104</v>
      </c>
      <c r="AF244" t="s">
        <v>1885</v>
      </c>
      <c r="AG244" t="s">
        <v>1884</v>
      </c>
      <c r="AH244" t="s">
        <v>105</v>
      </c>
      <c r="AI244" s="3" t="s">
        <v>105</v>
      </c>
      <c r="AJ244" s="3" t="s">
        <v>106</v>
      </c>
      <c r="AK244" s="3" t="s">
        <v>107</v>
      </c>
      <c r="AL244" s="5" t="s">
        <v>734</v>
      </c>
      <c r="AM244" s="5" t="s">
        <v>109</v>
      </c>
      <c r="AN244" t="s">
        <v>110</v>
      </c>
      <c r="AO244" s="3" t="s">
        <v>119</v>
      </c>
      <c r="AP244" s="3" t="s">
        <v>120</v>
      </c>
      <c r="AQ244" s="3" t="s">
        <v>111</v>
      </c>
      <c r="AR244" s="3" t="s">
        <v>112</v>
      </c>
      <c r="AS244" s="3" t="s">
        <v>112</v>
      </c>
      <c r="AT244" s="3" t="s">
        <v>113</v>
      </c>
      <c r="AU244" s="3" t="s">
        <v>2303</v>
      </c>
      <c r="AV244" s="3" t="s">
        <v>2302</v>
      </c>
      <c r="AW244" s="3" t="s">
        <v>2301</v>
      </c>
      <c r="AX244" s="3" t="s">
        <v>2006</v>
      </c>
      <c r="AY244" s="19" t="s">
        <v>114</v>
      </c>
      <c r="AZ244" s="19" t="s">
        <v>114</v>
      </c>
      <c r="BA244" s="19" t="s">
        <v>114</v>
      </c>
      <c r="BB244" s="19" t="s">
        <v>114</v>
      </c>
      <c r="BC244" s="19" t="s">
        <v>114</v>
      </c>
      <c r="BD244" s="19" t="s">
        <v>114</v>
      </c>
      <c r="BE244" s="19" t="s">
        <v>114</v>
      </c>
      <c r="BF244" s="19" t="s">
        <v>114</v>
      </c>
      <c r="BG244" s="19" t="s">
        <v>114</v>
      </c>
      <c r="BH244" s="19" t="s">
        <v>114</v>
      </c>
      <c r="BI244" s="19" t="s">
        <v>114</v>
      </c>
      <c r="BJ244" s="19" t="s">
        <v>114</v>
      </c>
      <c r="BK244" s="19" t="s">
        <v>114</v>
      </c>
      <c r="BL244" s="19" t="s">
        <v>114</v>
      </c>
      <c r="BM244" s="19" t="s">
        <v>114</v>
      </c>
      <c r="BN244" s="19" t="s">
        <v>114</v>
      </c>
      <c r="BO244" s="19" t="s">
        <v>114</v>
      </c>
      <c r="BP244" s="19" t="s">
        <v>114</v>
      </c>
      <c r="BQ244" s="19" t="s">
        <v>114</v>
      </c>
      <c r="BR244" s="19" t="s">
        <v>114</v>
      </c>
      <c r="BS244" s="19" t="s">
        <v>114</v>
      </c>
      <c r="BT244" s="19" t="s">
        <v>114</v>
      </c>
      <c r="BU244" s="19" t="s">
        <v>114</v>
      </c>
      <c r="BV244" s="19" t="s">
        <v>114</v>
      </c>
      <c r="BW244" s="19" t="s">
        <v>114</v>
      </c>
      <c r="BX244" s="19" t="s">
        <v>114</v>
      </c>
      <c r="BY244" s="19" t="s">
        <v>114</v>
      </c>
      <c r="BZ244" s="21" t="s">
        <v>114</v>
      </c>
      <c r="CA244" s="21" t="s">
        <v>114</v>
      </c>
      <c r="CB244" s="21" t="s">
        <v>114</v>
      </c>
      <c r="CC244" s="21" t="s">
        <v>114</v>
      </c>
      <c r="CD244" s="21" t="s">
        <v>114</v>
      </c>
      <c r="CE244" s="21" t="s">
        <v>114</v>
      </c>
      <c r="CF244" s="19" t="s">
        <v>114</v>
      </c>
      <c r="CG244" s="19" t="s">
        <v>114</v>
      </c>
      <c r="CH244" s="19" t="s">
        <v>114</v>
      </c>
      <c r="CI244" s="21" t="s">
        <v>114</v>
      </c>
      <c r="CJ244" s="21">
        <v>98400</v>
      </c>
      <c r="CK244" s="21" t="s">
        <v>114</v>
      </c>
      <c r="CL244" s="21" t="s">
        <v>114</v>
      </c>
      <c r="CM244" s="21">
        <v>98407</v>
      </c>
      <c r="CN244" s="21" t="s">
        <v>114</v>
      </c>
      <c r="CO244" s="21" t="s">
        <v>114</v>
      </c>
      <c r="CP244" s="21" t="s">
        <v>114</v>
      </c>
      <c r="CQ244" s="21" t="s">
        <v>114</v>
      </c>
      <c r="CR244" s="21" t="s">
        <v>114</v>
      </c>
      <c r="CS244" s="21" t="s">
        <v>114</v>
      </c>
      <c r="CT244" s="21">
        <v>98420</v>
      </c>
      <c r="CU244" s="21" t="s">
        <v>114</v>
      </c>
      <c r="CV244" s="21" t="s">
        <v>114</v>
      </c>
      <c r="CW244" s="21" t="s">
        <v>114</v>
      </c>
      <c r="CX244" s="21" t="s">
        <v>114</v>
      </c>
      <c r="CY244" s="21" t="s">
        <v>114</v>
      </c>
      <c r="CZ244" s="21" t="s">
        <v>114</v>
      </c>
      <c r="DA244" s="21" t="s">
        <v>114</v>
      </c>
      <c r="DB244" s="21" t="s">
        <v>114</v>
      </c>
      <c r="DC244" s="21" t="s">
        <v>114</v>
      </c>
      <c r="DD244" s="21" t="s">
        <v>114</v>
      </c>
      <c r="DE244" s="21">
        <v>98438</v>
      </c>
      <c r="DF244" s="19" t="s">
        <v>114</v>
      </c>
      <c r="DG244" s="19" t="s">
        <v>114</v>
      </c>
      <c r="DH244" s="19" t="s">
        <v>114</v>
      </c>
      <c r="DI244" s="19" t="s">
        <v>114</v>
      </c>
      <c r="DJ244" s="19" t="s">
        <v>114</v>
      </c>
      <c r="DK244" s="19" t="s">
        <v>114</v>
      </c>
      <c r="DL244" s="19" t="s">
        <v>114</v>
      </c>
      <c r="DM244" s="19" t="s">
        <v>114</v>
      </c>
      <c r="DN244" s="19" t="s">
        <v>114</v>
      </c>
      <c r="DO244" s="19" t="s">
        <v>114</v>
      </c>
    </row>
    <row r="245" spans="1:119" hidden="1" x14ac:dyDescent="0.45">
      <c r="A245" s="2" t="s">
        <v>735</v>
      </c>
      <c r="B245" t="s">
        <v>736</v>
      </c>
      <c r="C245" s="2">
        <v>368</v>
      </c>
      <c r="D245" s="6">
        <v>603</v>
      </c>
      <c r="E245" s="2" t="s">
        <v>737</v>
      </c>
      <c r="F245" t="s">
        <v>737</v>
      </c>
      <c r="G245" t="s">
        <v>2083</v>
      </c>
      <c r="H245" s="2" t="s">
        <v>737</v>
      </c>
      <c r="I245" s="2" t="s">
        <v>737</v>
      </c>
      <c r="J245" s="2">
        <v>142</v>
      </c>
      <c r="K245" t="s">
        <v>100</v>
      </c>
      <c r="L245" s="2">
        <v>145</v>
      </c>
      <c r="M245" t="s">
        <v>202</v>
      </c>
      <c r="P245" s="2" t="s">
        <v>240</v>
      </c>
      <c r="Q245" s="2" t="s">
        <v>146</v>
      </c>
      <c r="R245" s="4">
        <v>747</v>
      </c>
      <c r="S245" s="2" t="s">
        <v>1446</v>
      </c>
      <c r="T245" s="2">
        <v>145</v>
      </c>
      <c r="U245" t="s">
        <v>202</v>
      </c>
      <c r="V245" t="s">
        <v>2452</v>
      </c>
      <c r="W245" t="s">
        <v>2198</v>
      </c>
      <c r="X245" t="s">
        <v>2439</v>
      </c>
      <c r="Y245" t="s">
        <v>202</v>
      </c>
      <c r="Z245" t="s">
        <v>1939</v>
      </c>
      <c r="AA245" s="3" t="s">
        <v>2758</v>
      </c>
      <c r="AB245" s="3" t="s">
        <v>2879</v>
      </c>
      <c r="AC245" s="2" t="s">
        <v>138</v>
      </c>
      <c r="AD245" s="4" t="s">
        <v>1891</v>
      </c>
      <c r="AE245" t="s">
        <v>104</v>
      </c>
      <c r="AF245" t="s">
        <v>1885</v>
      </c>
      <c r="AG245" t="s">
        <v>1884</v>
      </c>
      <c r="AH245" t="s">
        <v>105</v>
      </c>
      <c r="AI245" s="3" t="s">
        <v>105</v>
      </c>
      <c r="AJ245" s="3" t="s">
        <v>106</v>
      </c>
      <c r="AK245" s="3" t="s">
        <v>107</v>
      </c>
      <c r="AL245" s="5" t="s">
        <v>738</v>
      </c>
      <c r="AM245" s="5" t="s">
        <v>109</v>
      </c>
      <c r="AN245" t="s">
        <v>110</v>
      </c>
      <c r="AO245" s="3" t="s">
        <v>119</v>
      </c>
      <c r="AP245" s="3" t="s">
        <v>120</v>
      </c>
      <c r="AQ245" s="3" t="s">
        <v>111</v>
      </c>
      <c r="AR245" s="3" t="s">
        <v>112</v>
      </c>
      <c r="AS245" s="3" t="s">
        <v>112</v>
      </c>
      <c r="AT245" s="3" t="s">
        <v>113</v>
      </c>
      <c r="AU245" s="3" t="s">
        <v>2303</v>
      </c>
      <c r="AV245" s="3" t="s">
        <v>2302</v>
      </c>
      <c r="AW245" s="3" t="s">
        <v>2301</v>
      </c>
      <c r="AX245" s="3" t="s">
        <v>2006</v>
      </c>
      <c r="AY245" s="19" t="s">
        <v>114</v>
      </c>
      <c r="AZ245" s="19" t="s">
        <v>114</v>
      </c>
      <c r="BA245" s="19" t="s">
        <v>114</v>
      </c>
      <c r="BB245" s="19" t="s">
        <v>114</v>
      </c>
      <c r="BC245" s="19" t="s">
        <v>114</v>
      </c>
      <c r="BD245" s="19" t="s">
        <v>114</v>
      </c>
      <c r="BE245" s="19" t="s">
        <v>114</v>
      </c>
      <c r="BF245" s="19" t="s">
        <v>114</v>
      </c>
      <c r="BG245" s="19" t="s">
        <v>114</v>
      </c>
      <c r="BH245" s="19" t="s">
        <v>114</v>
      </c>
      <c r="BI245" s="19" t="s">
        <v>114</v>
      </c>
      <c r="BJ245" s="19" t="s">
        <v>114</v>
      </c>
      <c r="BK245" s="19" t="s">
        <v>114</v>
      </c>
      <c r="BL245" s="19" t="s">
        <v>114</v>
      </c>
      <c r="BM245" s="19" t="s">
        <v>114</v>
      </c>
      <c r="BN245" s="19" t="s">
        <v>114</v>
      </c>
      <c r="BO245" s="19" t="s">
        <v>114</v>
      </c>
      <c r="BP245" s="19" t="s">
        <v>114</v>
      </c>
      <c r="BQ245" s="19" t="s">
        <v>114</v>
      </c>
      <c r="BR245" s="19" t="s">
        <v>114</v>
      </c>
      <c r="BS245" s="19" t="s">
        <v>114</v>
      </c>
      <c r="BT245" s="19" t="s">
        <v>114</v>
      </c>
      <c r="BU245" s="19" t="s">
        <v>114</v>
      </c>
      <c r="BV245" s="19" t="s">
        <v>114</v>
      </c>
      <c r="BW245" s="19" t="s">
        <v>114</v>
      </c>
      <c r="BX245" s="19" t="s">
        <v>114</v>
      </c>
      <c r="BY245" s="19" t="s">
        <v>114</v>
      </c>
      <c r="BZ245" s="21" t="s">
        <v>114</v>
      </c>
      <c r="CA245" s="21" t="s">
        <v>114</v>
      </c>
      <c r="CB245" s="21" t="s">
        <v>114</v>
      </c>
      <c r="CC245" s="21" t="s">
        <v>114</v>
      </c>
      <c r="CD245" s="21" t="s">
        <v>114</v>
      </c>
      <c r="CE245" s="21" t="s">
        <v>114</v>
      </c>
      <c r="CF245" s="19" t="s">
        <v>114</v>
      </c>
      <c r="CG245" s="19" t="s">
        <v>114</v>
      </c>
      <c r="CH245" s="19" t="s">
        <v>114</v>
      </c>
      <c r="CI245" s="21" t="s">
        <v>114</v>
      </c>
      <c r="CJ245" s="21" t="s">
        <v>114</v>
      </c>
      <c r="CK245" s="21" t="s">
        <v>114</v>
      </c>
      <c r="CL245" s="21" t="s">
        <v>114</v>
      </c>
      <c r="CM245" s="21" t="s">
        <v>114</v>
      </c>
      <c r="CN245" s="21" t="s">
        <v>114</v>
      </c>
      <c r="CO245" s="21" t="s">
        <v>114</v>
      </c>
      <c r="CP245" s="21" t="s">
        <v>114</v>
      </c>
      <c r="CQ245" s="21" t="s">
        <v>114</v>
      </c>
      <c r="CR245" s="21" t="s">
        <v>114</v>
      </c>
      <c r="CS245" s="21" t="s">
        <v>114</v>
      </c>
      <c r="CT245" s="21" t="s">
        <v>114</v>
      </c>
      <c r="CU245" s="21" t="s">
        <v>114</v>
      </c>
      <c r="CV245" s="21" t="s">
        <v>114</v>
      </c>
      <c r="CW245" s="21" t="s">
        <v>114</v>
      </c>
      <c r="CX245" s="21">
        <v>98426</v>
      </c>
      <c r="CY245" s="21" t="s">
        <v>114</v>
      </c>
      <c r="CZ245" s="21" t="s">
        <v>114</v>
      </c>
      <c r="DA245" s="21" t="s">
        <v>114</v>
      </c>
      <c r="DB245" s="21" t="s">
        <v>114</v>
      </c>
      <c r="DC245" s="21" t="s">
        <v>114</v>
      </c>
      <c r="DD245" s="21" t="s">
        <v>114</v>
      </c>
      <c r="DE245" s="21" t="s">
        <v>114</v>
      </c>
      <c r="DF245" s="19" t="s">
        <v>114</v>
      </c>
      <c r="DG245" s="19">
        <v>98501</v>
      </c>
      <c r="DH245" s="19" t="s">
        <v>114</v>
      </c>
      <c r="DI245" s="19">
        <v>98503</v>
      </c>
      <c r="DJ245" s="19" t="s">
        <v>114</v>
      </c>
      <c r="DK245" s="19" t="s">
        <v>114</v>
      </c>
      <c r="DL245" s="19">
        <v>98506</v>
      </c>
      <c r="DM245" s="19" t="s">
        <v>114</v>
      </c>
      <c r="DN245" s="19">
        <v>98508</v>
      </c>
      <c r="DO245" s="19" t="s">
        <v>114</v>
      </c>
    </row>
    <row r="246" spans="1:119" hidden="1" x14ac:dyDescent="0.45">
      <c r="A246" s="2" t="s">
        <v>793</v>
      </c>
      <c r="B246" t="s">
        <v>794</v>
      </c>
      <c r="C246" s="2">
        <v>414</v>
      </c>
      <c r="D246" s="6">
        <v>606</v>
      </c>
      <c r="E246" s="2" t="s">
        <v>795</v>
      </c>
      <c r="F246" t="s">
        <v>795</v>
      </c>
      <c r="G246" t="s">
        <v>2090</v>
      </c>
      <c r="H246" s="2" t="s">
        <v>796</v>
      </c>
      <c r="I246" s="2" t="s">
        <v>795</v>
      </c>
      <c r="J246" s="2">
        <v>142</v>
      </c>
      <c r="K246" t="s">
        <v>100</v>
      </c>
      <c r="L246" s="2">
        <v>145</v>
      </c>
      <c r="M246" t="s">
        <v>202</v>
      </c>
      <c r="P246" s="2" t="s">
        <v>240</v>
      </c>
      <c r="Q246" s="2" t="s">
        <v>146</v>
      </c>
      <c r="R246" s="4">
        <v>747</v>
      </c>
      <c r="S246" s="2" t="s">
        <v>1446</v>
      </c>
      <c r="T246" s="2">
        <v>145</v>
      </c>
      <c r="U246" t="s">
        <v>202</v>
      </c>
      <c r="V246" t="s">
        <v>2452</v>
      </c>
      <c r="W246" t="s">
        <v>2453</v>
      </c>
      <c r="X246" t="s">
        <v>2439</v>
      </c>
      <c r="Y246" t="s">
        <v>202</v>
      </c>
      <c r="Z246" t="s">
        <v>1939</v>
      </c>
      <c r="AA246" s="3" t="s">
        <v>2758</v>
      </c>
      <c r="AB246" s="3" t="s">
        <v>2879</v>
      </c>
      <c r="AC246" s="2" t="s">
        <v>130</v>
      </c>
      <c r="AD246" s="4" t="s">
        <v>1891</v>
      </c>
      <c r="AE246" t="s">
        <v>104</v>
      </c>
      <c r="AF246" t="s">
        <v>1886</v>
      </c>
      <c r="AG246" s="3" t="s">
        <v>1887</v>
      </c>
      <c r="AH246" t="s">
        <v>105</v>
      </c>
      <c r="AI246" s="3" t="s">
        <v>105</v>
      </c>
      <c r="AJ246" s="3" t="s">
        <v>106</v>
      </c>
      <c r="AK246" s="3" t="s">
        <v>107</v>
      </c>
      <c r="AL246" s="5" t="s">
        <v>797</v>
      </c>
      <c r="AM246" s="5" t="s">
        <v>109</v>
      </c>
      <c r="AN246" t="s">
        <v>110</v>
      </c>
      <c r="AO246" s="3" t="s">
        <v>119</v>
      </c>
      <c r="AP246" s="3" t="s">
        <v>120</v>
      </c>
      <c r="AQ246" s="3" t="s">
        <v>111</v>
      </c>
      <c r="AR246" s="3" t="s">
        <v>112</v>
      </c>
      <c r="AS246" s="3" t="s">
        <v>112</v>
      </c>
      <c r="AT246" s="3" t="s">
        <v>113</v>
      </c>
      <c r="AU246" s="3" t="s">
        <v>2303</v>
      </c>
      <c r="AV246" s="3" t="s">
        <v>2302</v>
      </c>
      <c r="AW246" s="3" t="s">
        <v>2301</v>
      </c>
      <c r="AX246" s="3" t="s">
        <v>2006</v>
      </c>
      <c r="AY246" s="19" t="s">
        <v>114</v>
      </c>
      <c r="AZ246" s="19" t="s">
        <v>114</v>
      </c>
      <c r="BA246" s="19" t="s">
        <v>114</v>
      </c>
      <c r="BB246" s="19" t="s">
        <v>114</v>
      </c>
      <c r="BC246" s="19" t="s">
        <v>114</v>
      </c>
      <c r="BD246" s="19" t="s">
        <v>114</v>
      </c>
      <c r="BE246" s="19" t="s">
        <v>114</v>
      </c>
      <c r="BF246" s="19" t="s">
        <v>114</v>
      </c>
      <c r="BG246" s="19" t="s">
        <v>114</v>
      </c>
      <c r="BH246" s="19" t="s">
        <v>114</v>
      </c>
      <c r="BI246" s="19" t="s">
        <v>114</v>
      </c>
      <c r="BJ246" s="19" t="s">
        <v>114</v>
      </c>
      <c r="BK246" s="19" t="s">
        <v>114</v>
      </c>
      <c r="BL246" s="19" t="s">
        <v>114</v>
      </c>
      <c r="BM246" s="19" t="s">
        <v>114</v>
      </c>
      <c r="BN246" s="19" t="s">
        <v>114</v>
      </c>
      <c r="BO246" s="19" t="s">
        <v>114</v>
      </c>
      <c r="BP246" s="19" t="s">
        <v>114</v>
      </c>
      <c r="BQ246" s="19" t="s">
        <v>114</v>
      </c>
      <c r="BR246" s="19" t="s">
        <v>114</v>
      </c>
      <c r="BS246" s="19" t="s">
        <v>114</v>
      </c>
      <c r="BT246" s="19" t="s">
        <v>114</v>
      </c>
      <c r="BU246" s="19" t="s">
        <v>114</v>
      </c>
      <c r="BV246" s="19" t="s">
        <v>114</v>
      </c>
      <c r="BW246" s="19" t="s">
        <v>114</v>
      </c>
      <c r="BX246" s="19" t="s">
        <v>114</v>
      </c>
      <c r="BY246" s="19" t="s">
        <v>114</v>
      </c>
      <c r="BZ246" s="21" t="s">
        <v>114</v>
      </c>
      <c r="CA246" s="21" t="s">
        <v>114</v>
      </c>
      <c r="CB246" s="21" t="s">
        <v>114</v>
      </c>
      <c r="CC246" s="21" t="s">
        <v>114</v>
      </c>
      <c r="CD246" s="21" t="s">
        <v>114</v>
      </c>
      <c r="CE246" s="21" t="s">
        <v>114</v>
      </c>
      <c r="CF246" s="19" t="s">
        <v>114</v>
      </c>
      <c r="CG246" s="19" t="s">
        <v>114</v>
      </c>
      <c r="CH246" s="19" t="s">
        <v>114</v>
      </c>
      <c r="CI246" s="21" t="s">
        <v>114</v>
      </c>
      <c r="CJ246" s="21" t="s">
        <v>114</v>
      </c>
      <c r="CK246" s="21" t="s">
        <v>114</v>
      </c>
      <c r="CL246" s="21" t="s">
        <v>114</v>
      </c>
      <c r="CM246" s="21" t="s">
        <v>114</v>
      </c>
      <c r="CN246" s="21" t="s">
        <v>114</v>
      </c>
      <c r="CO246" s="21" t="s">
        <v>114</v>
      </c>
      <c r="CP246" s="21" t="s">
        <v>114</v>
      </c>
      <c r="CQ246" s="21" t="s">
        <v>114</v>
      </c>
      <c r="CR246" s="21" t="s">
        <v>114</v>
      </c>
      <c r="CS246" s="21" t="s">
        <v>114</v>
      </c>
      <c r="CT246" s="21" t="s">
        <v>114</v>
      </c>
      <c r="CU246" s="21" t="s">
        <v>114</v>
      </c>
      <c r="CV246" s="21" t="s">
        <v>114</v>
      </c>
      <c r="CW246" s="21" t="s">
        <v>114</v>
      </c>
      <c r="CX246" s="21">
        <v>98426</v>
      </c>
      <c r="CY246" s="21" t="s">
        <v>114</v>
      </c>
      <c r="CZ246" s="21" t="s">
        <v>114</v>
      </c>
      <c r="DA246" s="21" t="s">
        <v>114</v>
      </c>
      <c r="DB246" s="21" t="s">
        <v>114</v>
      </c>
      <c r="DC246" s="21" t="s">
        <v>114</v>
      </c>
      <c r="DD246" s="21" t="s">
        <v>114</v>
      </c>
      <c r="DE246" s="21" t="s">
        <v>114</v>
      </c>
      <c r="DF246" s="19" t="s">
        <v>114</v>
      </c>
      <c r="DG246" s="19">
        <v>98501</v>
      </c>
      <c r="DH246" s="19">
        <v>98502</v>
      </c>
      <c r="DI246" s="19" t="s">
        <v>114</v>
      </c>
      <c r="DJ246" s="19" t="s">
        <v>114</v>
      </c>
      <c r="DK246" s="19" t="s">
        <v>114</v>
      </c>
      <c r="DL246" s="19" t="s">
        <v>114</v>
      </c>
      <c r="DM246" s="19" t="s">
        <v>114</v>
      </c>
      <c r="DN246" s="19" t="s">
        <v>114</v>
      </c>
      <c r="DO246" s="19" t="s">
        <v>114</v>
      </c>
    </row>
    <row r="247" spans="1:119" hidden="1" x14ac:dyDescent="0.45">
      <c r="A247" s="2" t="s">
        <v>1013</v>
      </c>
      <c r="B247" t="s">
        <v>1014</v>
      </c>
      <c r="C247" s="2">
        <v>512</v>
      </c>
      <c r="D247" s="6">
        <v>608</v>
      </c>
      <c r="E247" s="2" t="s">
        <v>1015</v>
      </c>
      <c r="F247" t="s">
        <v>1015</v>
      </c>
      <c r="G247" t="s">
        <v>2123</v>
      </c>
      <c r="H247" s="2" t="s">
        <v>1015</v>
      </c>
      <c r="I247" s="2" t="s">
        <v>1016</v>
      </c>
      <c r="J247" s="2">
        <v>142</v>
      </c>
      <c r="K247" t="s">
        <v>100</v>
      </c>
      <c r="L247" s="2">
        <v>145</v>
      </c>
      <c r="M247" t="s">
        <v>202</v>
      </c>
      <c r="P247" s="2" t="s">
        <v>240</v>
      </c>
      <c r="Q247" s="2" t="s">
        <v>146</v>
      </c>
      <c r="R247" s="4">
        <v>747</v>
      </c>
      <c r="S247" s="2" t="s">
        <v>1446</v>
      </c>
      <c r="T247" s="2">
        <v>145</v>
      </c>
      <c r="U247" t="s">
        <v>202</v>
      </c>
      <c r="V247" t="s">
        <v>2452</v>
      </c>
      <c r="W247" t="s">
        <v>2453</v>
      </c>
      <c r="X247" t="s">
        <v>2439</v>
      </c>
      <c r="Y247" t="s">
        <v>202</v>
      </c>
      <c r="Z247" t="s">
        <v>1939</v>
      </c>
      <c r="AA247" s="3" t="s">
        <v>2758</v>
      </c>
      <c r="AB247" s="3" t="s">
        <v>2879</v>
      </c>
      <c r="AC247" s="2" t="s">
        <v>130</v>
      </c>
      <c r="AD247" s="4" t="s">
        <v>1891</v>
      </c>
      <c r="AE247" t="s">
        <v>104</v>
      </c>
      <c r="AF247" t="s">
        <v>1886</v>
      </c>
      <c r="AG247" s="3" t="s">
        <v>1887</v>
      </c>
      <c r="AH247" t="s">
        <v>105</v>
      </c>
      <c r="AI247" s="3" t="s">
        <v>105</v>
      </c>
      <c r="AJ247" s="3" t="s">
        <v>106</v>
      </c>
      <c r="AK247" s="3" t="s">
        <v>107</v>
      </c>
      <c r="AL247" s="5" t="s">
        <v>1017</v>
      </c>
      <c r="AM247" s="5" t="s">
        <v>109</v>
      </c>
      <c r="AN247" t="s">
        <v>110</v>
      </c>
      <c r="AO247" s="3" t="s">
        <v>119</v>
      </c>
      <c r="AP247" s="3" t="s">
        <v>120</v>
      </c>
      <c r="AQ247" s="3" t="s">
        <v>111</v>
      </c>
      <c r="AR247" s="3" t="s">
        <v>112</v>
      </c>
      <c r="AS247" s="3" t="s">
        <v>112</v>
      </c>
      <c r="AT247" s="3" t="s">
        <v>113</v>
      </c>
      <c r="AU247" s="3" t="s">
        <v>2303</v>
      </c>
      <c r="AV247" s="3" t="s">
        <v>2302</v>
      </c>
      <c r="AW247" s="3" t="s">
        <v>2301</v>
      </c>
      <c r="AX247" s="3" t="s">
        <v>2006</v>
      </c>
      <c r="AY247" s="19" t="s">
        <v>114</v>
      </c>
      <c r="AZ247" s="19" t="s">
        <v>114</v>
      </c>
      <c r="BA247" s="19" t="s">
        <v>114</v>
      </c>
      <c r="BB247" s="19" t="s">
        <v>114</v>
      </c>
      <c r="BC247" s="19" t="s">
        <v>114</v>
      </c>
      <c r="BD247" s="19" t="s">
        <v>114</v>
      </c>
      <c r="BE247" s="19" t="s">
        <v>114</v>
      </c>
      <c r="BF247" s="19" t="s">
        <v>114</v>
      </c>
      <c r="BG247" s="19" t="s">
        <v>114</v>
      </c>
      <c r="BH247" s="19" t="s">
        <v>114</v>
      </c>
      <c r="BI247" s="19" t="s">
        <v>114</v>
      </c>
      <c r="BJ247" s="19" t="s">
        <v>114</v>
      </c>
      <c r="BK247" s="19" t="s">
        <v>114</v>
      </c>
      <c r="BL247" s="19" t="s">
        <v>114</v>
      </c>
      <c r="BM247" s="19" t="s">
        <v>114</v>
      </c>
      <c r="BN247" s="19" t="s">
        <v>114</v>
      </c>
      <c r="BO247" s="19" t="s">
        <v>114</v>
      </c>
      <c r="BP247" s="19" t="s">
        <v>114</v>
      </c>
      <c r="BQ247" s="19" t="s">
        <v>114</v>
      </c>
      <c r="BR247" s="19" t="s">
        <v>114</v>
      </c>
      <c r="BS247" s="19" t="s">
        <v>114</v>
      </c>
      <c r="BT247" s="19" t="s">
        <v>114</v>
      </c>
      <c r="BU247" s="19" t="s">
        <v>114</v>
      </c>
      <c r="BV247" s="19" t="s">
        <v>114</v>
      </c>
      <c r="BW247" s="19" t="s">
        <v>114</v>
      </c>
      <c r="BX247" s="19" t="s">
        <v>114</v>
      </c>
      <c r="BY247" s="19" t="s">
        <v>114</v>
      </c>
      <c r="BZ247" s="21" t="s">
        <v>114</v>
      </c>
      <c r="CA247" s="21" t="s">
        <v>114</v>
      </c>
      <c r="CB247" s="21" t="s">
        <v>114</v>
      </c>
      <c r="CC247" s="21" t="s">
        <v>114</v>
      </c>
      <c r="CD247" s="21" t="s">
        <v>114</v>
      </c>
      <c r="CE247" s="21" t="s">
        <v>114</v>
      </c>
      <c r="CF247" s="19" t="s">
        <v>114</v>
      </c>
      <c r="CG247" s="19" t="s">
        <v>114</v>
      </c>
      <c r="CH247" s="19" t="s">
        <v>114</v>
      </c>
      <c r="CI247" s="21" t="s">
        <v>114</v>
      </c>
      <c r="CJ247" s="21" t="s">
        <v>114</v>
      </c>
      <c r="CK247" s="21" t="s">
        <v>114</v>
      </c>
      <c r="CL247" s="21" t="s">
        <v>114</v>
      </c>
      <c r="CM247" s="21" t="s">
        <v>114</v>
      </c>
      <c r="CN247" s="21" t="s">
        <v>114</v>
      </c>
      <c r="CO247" s="21" t="s">
        <v>114</v>
      </c>
      <c r="CP247" s="21" t="s">
        <v>114</v>
      </c>
      <c r="CQ247" s="21" t="s">
        <v>114</v>
      </c>
      <c r="CR247" s="21" t="s">
        <v>114</v>
      </c>
      <c r="CS247" s="21" t="s">
        <v>114</v>
      </c>
      <c r="CT247" s="21" t="s">
        <v>114</v>
      </c>
      <c r="CU247" s="21" t="s">
        <v>114</v>
      </c>
      <c r="CV247" s="21" t="s">
        <v>114</v>
      </c>
      <c r="CW247" s="21" t="s">
        <v>114</v>
      </c>
      <c r="CX247" s="21">
        <v>98426</v>
      </c>
      <c r="CY247" s="21" t="s">
        <v>114</v>
      </c>
      <c r="CZ247" s="21" t="s">
        <v>114</v>
      </c>
      <c r="DA247" s="21" t="s">
        <v>114</v>
      </c>
      <c r="DB247" s="21" t="s">
        <v>114</v>
      </c>
      <c r="DC247" s="21" t="s">
        <v>114</v>
      </c>
      <c r="DD247" s="21" t="s">
        <v>114</v>
      </c>
      <c r="DE247" s="21" t="s">
        <v>114</v>
      </c>
      <c r="DF247" s="19" t="s">
        <v>114</v>
      </c>
      <c r="DG247" s="19">
        <v>98501</v>
      </c>
      <c r="DH247" s="19">
        <v>98502</v>
      </c>
      <c r="DI247" s="19" t="s">
        <v>114</v>
      </c>
      <c r="DJ247" s="19" t="s">
        <v>114</v>
      </c>
      <c r="DK247" s="19" t="s">
        <v>114</v>
      </c>
      <c r="DL247" s="19" t="s">
        <v>114</v>
      </c>
      <c r="DM247" s="19" t="s">
        <v>114</v>
      </c>
      <c r="DN247" s="19" t="s">
        <v>114</v>
      </c>
      <c r="DO247" s="19" t="s">
        <v>114</v>
      </c>
    </row>
    <row r="248" spans="1:119" hidden="1" x14ac:dyDescent="0.45">
      <c r="A248" s="2" t="s">
        <v>1073</v>
      </c>
      <c r="B248" t="s">
        <v>1074</v>
      </c>
      <c r="C248" s="2">
        <v>634</v>
      </c>
      <c r="D248" s="6">
        <v>610</v>
      </c>
      <c r="E248" s="2" t="s">
        <v>1075</v>
      </c>
      <c r="F248" t="s">
        <v>1075</v>
      </c>
      <c r="G248" t="s">
        <v>2133</v>
      </c>
      <c r="H248" s="2" t="s">
        <v>1075</v>
      </c>
      <c r="I248" s="2" t="s">
        <v>1075</v>
      </c>
      <c r="J248" s="2">
        <v>142</v>
      </c>
      <c r="K248" t="s">
        <v>100</v>
      </c>
      <c r="L248" s="2">
        <v>145</v>
      </c>
      <c r="M248" t="s">
        <v>202</v>
      </c>
      <c r="P248" s="2" t="s">
        <v>240</v>
      </c>
      <c r="Q248" s="2" t="s">
        <v>146</v>
      </c>
      <c r="R248" s="4">
        <v>747</v>
      </c>
      <c r="S248" s="2" t="s">
        <v>1446</v>
      </c>
      <c r="T248" s="2">
        <v>145</v>
      </c>
      <c r="U248" t="s">
        <v>202</v>
      </c>
      <c r="V248" t="s">
        <v>2452</v>
      </c>
      <c r="W248" t="s">
        <v>2453</v>
      </c>
      <c r="X248" t="s">
        <v>2439</v>
      </c>
      <c r="Y248" t="s">
        <v>202</v>
      </c>
      <c r="Z248" t="s">
        <v>1939</v>
      </c>
      <c r="AA248" s="3" t="s">
        <v>2758</v>
      </c>
      <c r="AB248" s="3" t="s">
        <v>2879</v>
      </c>
      <c r="AC248" s="2" t="s">
        <v>130</v>
      </c>
      <c r="AD248" s="4" t="s">
        <v>1891</v>
      </c>
      <c r="AE248" t="s">
        <v>104</v>
      </c>
      <c r="AF248" t="s">
        <v>1886</v>
      </c>
      <c r="AG248" s="3" t="s">
        <v>1887</v>
      </c>
      <c r="AH248" t="s">
        <v>105</v>
      </c>
      <c r="AI248" s="3" t="s">
        <v>105</v>
      </c>
      <c r="AJ248" s="3" t="s">
        <v>106</v>
      </c>
      <c r="AK248" s="3" t="s">
        <v>107</v>
      </c>
      <c r="AL248" s="5" t="s">
        <v>1076</v>
      </c>
      <c r="AM248" s="5" t="s">
        <v>109</v>
      </c>
      <c r="AN248" t="s">
        <v>110</v>
      </c>
      <c r="AO248" s="3" t="s">
        <v>119</v>
      </c>
      <c r="AP248" s="3" t="s">
        <v>120</v>
      </c>
      <c r="AQ248" s="3" t="s">
        <v>111</v>
      </c>
      <c r="AR248" s="3" t="s">
        <v>112</v>
      </c>
      <c r="AS248" s="3" t="s">
        <v>112</v>
      </c>
      <c r="AT248" s="3" t="s">
        <v>113</v>
      </c>
      <c r="AU248" s="3" t="s">
        <v>2303</v>
      </c>
      <c r="AV248" s="3" t="s">
        <v>2302</v>
      </c>
      <c r="AW248" s="3" t="s">
        <v>2301</v>
      </c>
      <c r="AX248" s="3" t="s">
        <v>2006</v>
      </c>
      <c r="AY248" s="19" t="s">
        <v>114</v>
      </c>
      <c r="AZ248" s="19" t="s">
        <v>114</v>
      </c>
      <c r="BA248" s="19" t="s">
        <v>114</v>
      </c>
      <c r="BB248" s="19" t="s">
        <v>114</v>
      </c>
      <c r="BC248" s="19" t="s">
        <v>114</v>
      </c>
      <c r="BD248" s="19" t="s">
        <v>114</v>
      </c>
      <c r="BE248" s="19" t="s">
        <v>114</v>
      </c>
      <c r="BF248" s="19" t="s">
        <v>114</v>
      </c>
      <c r="BG248" s="19" t="s">
        <v>114</v>
      </c>
      <c r="BH248" s="19" t="s">
        <v>114</v>
      </c>
      <c r="BI248" s="19" t="s">
        <v>114</v>
      </c>
      <c r="BJ248" s="19" t="s">
        <v>114</v>
      </c>
      <c r="BK248" s="19" t="s">
        <v>114</v>
      </c>
      <c r="BL248" s="19" t="s">
        <v>114</v>
      </c>
      <c r="BM248" s="19" t="s">
        <v>114</v>
      </c>
      <c r="BN248" s="19" t="s">
        <v>114</v>
      </c>
      <c r="BO248" s="19" t="s">
        <v>114</v>
      </c>
      <c r="BP248" s="19" t="s">
        <v>114</v>
      </c>
      <c r="BQ248" s="19" t="s">
        <v>114</v>
      </c>
      <c r="BR248" s="19" t="s">
        <v>114</v>
      </c>
      <c r="BS248" s="19" t="s">
        <v>114</v>
      </c>
      <c r="BT248" s="19" t="s">
        <v>114</v>
      </c>
      <c r="BU248" s="19" t="s">
        <v>114</v>
      </c>
      <c r="BV248" s="19" t="s">
        <v>114</v>
      </c>
      <c r="BW248" s="19" t="s">
        <v>114</v>
      </c>
      <c r="BX248" s="19" t="s">
        <v>114</v>
      </c>
      <c r="BY248" s="19" t="s">
        <v>114</v>
      </c>
      <c r="BZ248" s="21" t="s">
        <v>114</v>
      </c>
      <c r="CA248" s="21" t="s">
        <v>114</v>
      </c>
      <c r="CB248" s="21" t="s">
        <v>114</v>
      </c>
      <c r="CC248" s="21" t="s">
        <v>114</v>
      </c>
      <c r="CD248" s="21" t="s">
        <v>114</v>
      </c>
      <c r="CE248" s="21" t="s">
        <v>114</v>
      </c>
      <c r="CF248" s="19" t="s">
        <v>114</v>
      </c>
      <c r="CG248" s="19" t="s">
        <v>114</v>
      </c>
      <c r="CH248" s="19" t="s">
        <v>114</v>
      </c>
      <c r="CI248" s="21" t="s">
        <v>114</v>
      </c>
      <c r="CJ248" s="21" t="s">
        <v>114</v>
      </c>
      <c r="CK248" s="21" t="s">
        <v>114</v>
      </c>
      <c r="CL248" s="21" t="s">
        <v>114</v>
      </c>
      <c r="CM248" s="21" t="s">
        <v>114</v>
      </c>
      <c r="CN248" s="21" t="s">
        <v>114</v>
      </c>
      <c r="CO248" s="21" t="s">
        <v>114</v>
      </c>
      <c r="CP248" s="21" t="s">
        <v>114</v>
      </c>
      <c r="CQ248" s="21" t="s">
        <v>114</v>
      </c>
      <c r="CR248" s="21" t="s">
        <v>114</v>
      </c>
      <c r="CS248" s="21" t="s">
        <v>114</v>
      </c>
      <c r="CT248" s="21" t="s">
        <v>114</v>
      </c>
      <c r="CU248" s="21" t="s">
        <v>114</v>
      </c>
      <c r="CV248" s="21" t="s">
        <v>114</v>
      </c>
      <c r="CW248" s="21" t="s">
        <v>114</v>
      </c>
      <c r="CX248" s="21">
        <v>98426</v>
      </c>
      <c r="CY248" s="21" t="s">
        <v>114</v>
      </c>
      <c r="CZ248" s="21" t="s">
        <v>114</v>
      </c>
      <c r="DA248" s="21" t="s">
        <v>114</v>
      </c>
      <c r="DB248" s="21" t="s">
        <v>114</v>
      </c>
      <c r="DC248" s="21" t="s">
        <v>114</v>
      </c>
      <c r="DD248" s="21" t="s">
        <v>114</v>
      </c>
      <c r="DE248" s="21" t="s">
        <v>114</v>
      </c>
      <c r="DF248" s="19" t="s">
        <v>114</v>
      </c>
      <c r="DG248" s="19">
        <v>98501</v>
      </c>
      <c r="DH248" s="19">
        <v>98502</v>
      </c>
      <c r="DI248" s="19" t="s">
        <v>114</v>
      </c>
      <c r="DJ248" s="19" t="s">
        <v>114</v>
      </c>
      <c r="DK248" s="19" t="s">
        <v>114</v>
      </c>
      <c r="DL248" s="19" t="s">
        <v>114</v>
      </c>
      <c r="DM248" s="19" t="s">
        <v>114</v>
      </c>
      <c r="DN248" s="19" t="s">
        <v>114</v>
      </c>
      <c r="DO248" s="19" t="s">
        <v>114</v>
      </c>
    </row>
    <row r="249" spans="1:119" hidden="1" x14ac:dyDescent="0.45">
      <c r="A249" s="2" t="s">
        <v>1193</v>
      </c>
      <c r="B249" t="s">
        <v>1194</v>
      </c>
      <c r="C249" s="2">
        <v>682</v>
      </c>
      <c r="D249" s="6">
        <v>611</v>
      </c>
      <c r="E249" s="2" t="s">
        <v>1195</v>
      </c>
      <c r="F249" t="s">
        <v>1195</v>
      </c>
      <c r="G249" t="s">
        <v>2141</v>
      </c>
      <c r="H249" s="2" t="s">
        <v>1196</v>
      </c>
      <c r="I249" s="2" t="s">
        <v>1197</v>
      </c>
      <c r="J249" s="2">
        <v>142</v>
      </c>
      <c r="K249" t="s">
        <v>100</v>
      </c>
      <c r="L249" s="2">
        <v>145</v>
      </c>
      <c r="M249" t="s">
        <v>202</v>
      </c>
      <c r="P249" s="2" t="s">
        <v>240</v>
      </c>
      <c r="Q249" s="2" t="s">
        <v>146</v>
      </c>
      <c r="R249" s="4">
        <v>747</v>
      </c>
      <c r="S249" s="2" t="s">
        <v>1446</v>
      </c>
      <c r="T249" s="2">
        <v>145</v>
      </c>
      <c r="U249" t="s">
        <v>202</v>
      </c>
      <c r="V249" t="s">
        <v>2452</v>
      </c>
      <c r="W249" t="s">
        <v>2453</v>
      </c>
      <c r="X249" t="s">
        <v>2439</v>
      </c>
      <c r="Y249" t="s">
        <v>202</v>
      </c>
      <c r="Z249" t="s">
        <v>1195</v>
      </c>
      <c r="AA249" s="3" t="s">
        <v>2758</v>
      </c>
      <c r="AB249" s="3" t="s">
        <v>2879</v>
      </c>
      <c r="AC249" s="2" t="s">
        <v>130</v>
      </c>
      <c r="AD249" s="4" t="s">
        <v>1891</v>
      </c>
      <c r="AE249" t="s">
        <v>104</v>
      </c>
      <c r="AF249" t="s">
        <v>1886</v>
      </c>
      <c r="AG249" s="3" t="s">
        <v>1887</v>
      </c>
      <c r="AH249" t="s">
        <v>105</v>
      </c>
      <c r="AI249" s="3" t="s">
        <v>105</v>
      </c>
      <c r="AJ249" s="3" t="s">
        <v>106</v>
      </c>
      <c r="AK249" s="3" t="s">
        <v>107</v>
      </c>
      <c r="AL249" s="5" t="s">
        <v>1198</v>
      </c>
      <c r="AM249" s="5" t="s">
        <v>109</v>
      </c>
      <c r="AN249" t="s">
        <v>110</v>
      </c>
      <c r="AO249" s="3" t="s">
        <v>119</v>
      </c>
      <c r="AP249" s="3" t="s">
        <v>120</v>
      </c>
      <c r="AQ249" s="3" t="s">
        <v>111</v>
      </c>
      <c r="AR249" s="3" t="s">
        <v>112</v>
      </c>
      <c r="AS249" s="3" t="s">
        <v>112</v>
      </c>
      <c r="AT249" s="3" t="s">
        <v>113</v>
      </c>
      <c r="AU249" s="3" t="s">
        <v>2303</v>
      </c>
      <c r="AV249" s="3" t="s">
        <v>2302</v>
      </c>
      <c r="AW249" s="3" t="s">
        <v>2300</v>
      </c>
      <c r="AX249" s="3" t="s">
        <v>2006</v>
      </c>
      <c r="AY249" s="19" t="s">
        <v>114</v>
      </c>
      <c r="AZ249" s="19" t="s">
        <v>114</v>
      </c>
      <c r="BA249" s="19" t="s">
        <v>114</v>
      </c>
      <c r="BB249" s="19" t="s">
        <v>114</v>
      </c>
      <c r="BC249" s="19" t="s">
        <v>114</v>
      </c>
      <c r="BD249" s="19" t="s">
        <v>114</v>
      </c>
      <c r="BE249" s="19" t="s">
        <v>114</v>
      </c>
      <c r="BF249" s="19" t="s">
        <v>114</v>
      </c>
      <c r="BG249" s="19" t="s">
        <v>114</v>
      </c>
      <c r="BH249" s="19" t="s">
        <v>114</v>
      </c>
      <c r="BI249" s="19" t="s">
        <v>114</v>
      </c>
      <c r="BJ249" s="19" t="s">
        <v>114</v>
      </c>
      <c r="BK249" s="19" t="s">
        <v>114</v>
      </c>
      <c r="BL249" s="19" t="s">
        <v>114</v>
      </c>
      <c r="BM249" s="19" t="s">
        <v>114</v>
      </c>
      <c r="BN249" s="19" t="s">
        <v>114</v>
      </c>
      <c r="BO249" s="19" t="s">
        <v>114</v>
      </c>
      <c r="BP249" s="19" t="s">
        <v>114</v>
      </c>
      <c r="BQ249" s="19" t="s">
        <v>114</v>
      </c>
      <c r="BR249" s="19" t="s">
        <v>114</v>
      </c>
      <c r="BS249" s="19" t="s">
        <v>114</v>
      </c>
      <c r="BT249" s="19" t="s">
        <v>114</v>
      </c>
      <c r="BU249" s="19" t="s">
        <v>114</v>
      </c>
      <c r="BV249" s="19" t="s">
        <v>114</v>
      </c>
      <c r="BW249" s="19" t="s">
        <v>114</v>
      </c>
      <c r="BX249" s="19" t="s">
        <v>114</v>
      </c>
      <c r="BY249" s="19" t="s">
        <v>114</v>
      </c>
      <c r="BZ249" s="21" t="s">
        <v>114</v>
      </c>
      <c r="CA249" s="21" t="s">
        <v>114</v>
      </c>
      <c r="CB249" s="21" t="s">
        <v>114</v>
      </c>
      <c r="CC249" s="21" t="s">
        <v>114</v>
      </c>
      <c r="CD249" s="21" t="s">
        <v>114</v>
      </c>
      <c r="CE249" s="21" t="s">
        <v>114</v>
      </c>
      <c r="CF249" s="19" t="s">
        <v>114</v>
      </c>
      <c r="CG249" s="19" t="s">
        <v>114</v>
      </c>
      <c r="CH249" s="19" t="s">
        <v>114</v>
      </c>
      <c r="CI249" s="21" t="s">
        <v>114</v>
      </c>
      <c r="CJ249" s="21" t="s">
        <v>114</v>
      </c>
      <c r="CK249" s="21" t="s">
        <v>114</v>
      </c>
      <c r="CL249" s="21" t="s">
        <v>114</v>
      </c>
      <c r="CM249" s="21" t="s">
        <v>114</v>
      </c>
      <c r="CN249" s="21" t="s">
        <v>114</v>
      </c>
      <c r="CO249" s="21" t="s">
        <v>114</v>
      </c>
      <c r="CP249" s="21" t="s">
        <v>114</v>
      </c>
      <c r="CQ249" s="21" t="s">
        <v>114</v>
      </c>
      <c r="CR249" s="21" t="s">
        <v>114</v>
      </c>
      <c r="CS249" s="21" t="s">
        <v>114</v>
      </c>
      <c r="CT249" s="21" t="s">
        <v>114</v>
      </c>
      <c r="CU249" s="21" t="s">
        <v>114</v>
      </c>
      <c r="CV249" s="21" t="s">
        <v>114</v>
      </c>
      <c r="CW249" s="21" t="s">
        <v>114</v>
      </c>
      <c r="CX249" s="21">
        <v>98426</v>
      </c>
      <c r="CY249" s="21" t="s">
        <v>114</v>
      </c>
      <c r="CZ249" s="21" t="s">
        <v>114</v>
      </c>
      <c r="DA249" s="21" t="s">
        <v>114</v>
      </c>
      <c r="DB249" s="21" t="s">
        <v>114</v>
      </c>
      <c r="DC249" s="21" t="s">
        <v>114</v>
      </c>
      <c r="DD249" s="21" t="s">
        <v>114</v>
      </c>
      <c r="DE249" s="21" t="s">
        <v>114</v>
      </c>
      <c r="DF249" s="19" t="s">
        <v>114</v>
      </c>
      <c r="DG249" s="19">
        <v>98501</v>
      </c>
      <c r="DH249" s="19">
        <v>98502</v>
      </c>
      <c r="DI249" s="19" t="s">
        <v>114</v>
      </c>
      <c r="DJ249" s="19" t="s">
        <v>114</v>
      </c>
      <c r="DK249" s="19" t="s">
        <v>114</v>
      </c>
      <c r="DL249" s="19" t="s">
        <v>114</v>
      </c>
      <c r="DM249" s="19" t="s">
        <v>114</v>
      </c>
      <c r="DN249" s="19" t="s">
        <v>114</v>
      </c>
      <c r="DO249" s="19" t="s">
        <v>114</v>
      </c>
    </row>
    <row r="250" spans="1:119" hidden="1" x14ac:dyDescent="0.45">
      <c r="A250" s="2" t="s">
        <v>1382</v>
      </c>
      <c r="B250" t="s">
        <v>1383</v>
      </c>
      <c r="C250" s="2">
        <v>784</v>
      </c>
      <c r="D250" s="6">
        <v>613</v>
      </c>
      <c r="E250" s="2" t="s">
        <v>1849</v>
      </c>
      <c r="F250" s="3" t="s">
        <v>1904</v>
      </c>
      <c r="G250" t="s">
        <v>2166</v>
      </c>
      <c r="H250" s="2" t="s">
        <v>1385</v>
      </c>
      <c r="I250" s="2" t="s">
        <v>1386</v>
      </c>
      <c r="J250" s="2">
        <v>142</v>
      </c>
      <c r="K250" t="s">
        <v>100</v>
      </c>
      <c r="L250" s="2">
        <v>145</v>
      </c>
      <c r="M250" t="s">
        <v>202</v>
      </c>
      <c r="P250" s="2" t="s">
        <v>240</v>
      </c>
      <c r="Q250" s="2" t="s">
        <v>146</v>
      </c>
      <c r="R250" s="4">
        <v>747</v>
      </c>
      <c r="S250" s="2" t="s">
        <v>1446</v>
      </c>
      <c r="T250" s="2">
        <v>145</v>
      </c>
      <c r="U250" t="s">
        <v>202</v>
      </c>
      <c r="V250" t="s">
        <v>2452</v>
      </c>
      <c r="W250" t="s">
        <v>2453</v>
      </c>
      <c r="X250" t="s">
        <v>2439</v>
      </c>
      <c r="Y250" t="s">
        <v>202</v>
      </c>
      <c r="Z250" t="s">
        <v>1939</v>
      </c>
      <c r="AA250" s="3" t="s">
        <v>2758</v>
      </c>
      <c r="AB250" s="3" t="s">
        <v>2879</v>
      </c>
      <c r="AC250" s="2" t="s">
        <v>130</v>
      </c>
      <c r="AD250" s="4" t="s">
        <v>1891</v>
      </c>
      <c r="AE250" t="s">
        <v>104</v>
      </c>
      <c r="AF250" t="s">
        <v>1886</v>
      </c>
      <c r="AG250" s="3" t="s">
        <v>1887</v>
      </c>
      <c r="AH250" t="s">
        <v>105</v>
      </c>
      <c r="AI250" s="3" t="s">
        <v>105</v>
      </c>
      <c r="AJ250" s="3" t="s">
        <v>106</v>
      </c>
      <c r="AK250" s="3" t="s">
        <v>107</v>
      </c>
      <c r="AL250" s="5" t="s">
        <v>1387</v>
      </c>
      <c r="AM250" s="5" t="s">
        <v>109</v>
      </c>
      <c r="AN250" t="s">
        <v>110</v>
      </c>
      <c r="AO250" s="3" t="s">
        <v>119</v>
      </c>
      <c r="AP250" s="3" t="s">
        <v>120</v>
      </c>
      <c r="AQ250" s="3" t="s">
        <v>111</v>
      </c>
      <c r="AR250" s="3" t="s">
        <v>112</v>
      </c>
      <c r="AS250" s="3" t="s">
        <v>112</v>
      </c>
      <c r="AT250" s="3" t="s">
        <v>113</v>
      </c>
      <c r="AU250" s="3" t="s">
        <v>2303</v>
      </c>
      <c r="AV250" s="3" t="s">
        <v>2302</v>
      </c>
      <c r="AW250" s="3" t="s">
        <v>2301</v>
      </c>
      <c r="AX250" s="3" t="s">
        <v>2006</v>
      </c>
      <c r="AY250" s="19" t="s">
        <v>114</v>
      </c>
      <c r="AZ250" s="19" t="s">
        <v>114</v>
      </c>
      <c r="BA250" s="19" t="s">
        <v>114</v>
      </c>
      <c r="BB250" s="19" t="s">
        <v>114</v>
      </c>
      <c r="BC250" s="19" t="s">
        <v>114</v>
      </c>
      <c r="BD250" s="19" t="s">
        <v>114</v>
      </c>
      <c r="BE250" s="19" t="s">
        <v>114</v>
      </c>
      <c r="BF250" s="19" t="s">
        <v>114</v>
      </c>
      <c r="BG250" s="19" t="s">
        <v>114</v>
      </c>
      <c r="BH250" s="19" t="s">
        <v>114</v>
      </c>
      <c r="BI250" s="19" t="s">
        <v>114</v>
      </c>
      <c r="BJ250" s="19" t="s">
        <v>114</v>
      </c>
      <c r="BK250" s="19" t="s">
        <v>114</v>
      </c>
      <c r="BL250" s="19" t="s">
        <v>114</v>
      </c>
      <c r="BM250" s="19" t="s">
        <v>114</v>
      </c>
      <c r="BN250" s="19" t="s">
        <v>114</v>
      </c>
      <c r="BO250" s="19" t="s">
        <v>114</v>
      </c>
      <c r="BP250" s="19" t="s">
        <v>114</v>
      </c>
      <c r="BQ250" s="19" t="s">
        <v>114</v>
      </c>
      <c r="BR250" s="19" t="s">
        <v>114</v>
      </c>
      <c r="BS250" s="19" t="s">
        <v>114</v>
      </c>
      <c r="BT250" s="19" t="s">
        <v>114</v>
      </c>
      <c r="BU250" s="19" t="s">
        <v>114</v>
      </c>
      <c r="BV250" s="19" t="s">
        <v>114</v>
      </c>
      <c r="BW250" s="19" t="s">
        <v>114</v>
      </c>
      <c r="BX250" s="19" t="s">
        <v>114</v>
      </c>
      <c r="BY250" s="19" t="s">
        <v>114</v>
      </c>
      <c r="BZ250" s="21" t="s">
        <v>114</v>
      </c>
      <c r="CA250" s="21" t="s">
        <v>114</v>
      </c>
      <c r="CB250" s="21" t="s">
        <v>114</v>
      </c>
      <c r="CC250" s="21" t="s">
        <v>114</v>
      </c>
      <c r="CD250" s="21" t="s">
        <v>114</v>
      </c>
      <c r="CE250" s="21" t="s">
        <v>114</v>
      </c>
      <c r="CF250" s="19" t="s">
        <v>114</v>
      </c>
      <c r="CG250" s="19" t="s">
        <v>114</v>
      </c>
      <c r="CH250" s="19" t="s">
        <v>114</v>
      </c>
      <c r="CI250" s="21" t="s">
        <v>114</v>
      </c>
      <c r="CJ250" s="21" t="s">
        <v>114</v>
      </c>
      <c r="CK250" s="21" t="s">
        <v>114</v>
      </c>
      <c r="CL250" s="21" t="s">
        <v>114</v>
      </c>
      <c r="CM250" s="21" t="s">
        <v>114</v>
      </c>
      <c r="CN250" s="21" t="s">
        <v>114</v>
      </c>
      <c r="CO250" s="21" t="s">
        <v>114</v>
      </c>
      <c r="CP250" s="21" t="s">
        <v>114</v>
      </c>
      <c r="CQ250" s="21" t="s">
        <v>114</v>
      </c>
      <c r="CR250" s="21" t="s">
        <v>114</v>
      </c>
      <c r="CS250" s="21" t="s">
        <v>114</v>
      </c>
      <c r="CT250" s="21" t="s">
        <v>114</v>
      </c>
      <c r="CU250" s="21" t="s">
        <v>114</v>
      </c>
      <c r="CV250" s="21" t="s">
        <v>114</v>
      </c>
      <c r="CW250" s="21" t="s">
        <v>114</v>
      </c>
      <c r="CX250" s="21">
        <v>98426</v>
      </c>
      <c r="CY250" s="21" t="s">
        <v>114</v>
      </c>
      <c r="CZ250" s="21" t="s">
        <v>114</v>
      </c>
      <c r="DA250" s="21" t="s">
        <v>114</v>
      </c>
      <c r="DB250" s="21" t="s">
        <v>114</v>
      </c>
      <c r="DC250" s="21" t="s">
        <v>114</v>
      </c>
      <c r="DD250" s="21" t="s">
        <v>114</v>
      </c>
      <c r="DE250" s="21" t="s">
        <v>114</v>
      </c>
      <c r="DF250" s="19" t="s">
        <v>114</v>
      </c>
      <c r="DG250" s="19">
        <v>98501</v>
      </c>
      <c r="DH250" s="19">
        <v>98502</v>
      </c>
      <c r="DI250" s="19" t="s">
        <v>114</v>
      </c>
      <c r="DJ250" s="19" t="s">
        <v>114</v>
      </c>
      <c r="DK250" s="19" t="s">
        <v>114</v>
      </c>
      <c r="DL250" s="19" t="s">
        <v>114</v>
      </c>
      <c r="DM250" s="19" t="s">
        <v>114</v>
      </c>
      <c r="DN250" s="19" t="s">
        <v>114</v>
      </c>
      <c r="DO250" s="19" t="s">
        <v>114</v>
      </c>
    </row>
    <row r="251" spans="1:119" hidden="1" x14ac:dyDescent="0.45">
      <c r="A251" s="2" t="s">
        <v>1455</v>
      </c>
      <c r="B251" t="s">
        <v>1456</v>
      </c>
      <c r="C251" s="2">
        <v>887</v>
      </c>
      <c r="D251" s="6">
        <v>614</v>
      </c>
      <c r="E251" s="2" t="s">
        <v>1457</v>
      </c>
      <c r="F251" t="s">
        <v>1457</v>
      </c>
      <c r="G251" t="s">
        <v>2175</v>
      </c>
      <c r="H251" s="2" t="s">
        <v>1458</v>
      </c>
      <c r="I251" s="2" t="s">
        <v>1457</v>
      </c>
      <c r="J251" s="2">
        <v>142</v>
      </c>
      <c r="K251" t="s">
        <v>100</v>
      </c>
      <c r="L251" s="2">
        <v>145</v>
      </c>
      <c r="M251" t="s">
        <v>202</v>
      </c>
      <c r="P251" s="2" t="s">
        <v>240</v>
      </c>
      <c r="Q251" s="2" t="s">
        <v>146</v>
      </c>
      <c r="R251" s="4">
        <v>747</v>
      </c>
      <c r="S251" s="2" t="s">
        <v>1446</v>
      </c>
      <c r="T251" s="2">
        <v>145</v>
      </c>
      <c r="U251" t="s">
        <v>202</v>
      </c>
      <c r="V251" t="s">
        <v>2452</v>
      </c>
      <c r="W251" t="s">
        <v>2198</v>
      </c>
      <c r="X251" t="s">
        <v>2439</v>
      </c>
      <c r="Y251" t="s">
        <v>202</v>
      </c>
      <c r="Z251" t="s">
        <v>1939</v>
      </c>
      <c r="AA251" s="3" t="s">
        <v>2758</v>
      </c>
      <c r="AB251" s="3" t="s">
        <v>2879</v>
      </c>
      <c r="AC251" s="2" t="s">
        <v>103</v>
      </c>
      <c r="AD251" s="4" t="s">
        <v>1891</v>
      </c>
      <c r="AE251" t="s">
        <v>104</v>
      </c>
      <c r="AF251" t="s">
        <v>1885</v>
      </c>
      <c r="AG251" t="s">
        <v>1884</v>
      </c>
      <c r="AH251" t="s">
        <v>105</v>
      </c>
      <c r="AI251" s="3" t="s">
        <v>105</v>
      </c>
      <c r="AJ251" s="3" t="s">
        <v>106</v>
      </c>
      <c r="AK251" s="3" t="s">
        <v>107</v>
      </c>
      <c r="AL251" s="5" t="s">
        <v>1459</v>
      </c>
      <c r="AM251" s="5" t="s">
        <v>109</v>
      </c>
      <c r="AN251" t="s">
        <v>110</v>
      </c>
      <c r="AO251" t="s">
        <v>25</v>
      </c>
      <c r="AP251" s="3" t="s">
        <v>120</v>
      </c>
      <c r="AQ251" s="3" t="s">
        <v>111</v>
      </c>
      <c r="AR251" s="3" t="s">
        <v>112</v>
      </c>
      <c r="AS251" s="3" t="s">
        <v>112</v>
      </c>
      <c r="AT251" s="3" t="s">
        <v>113</v>
      </c>
      <c r="AU251" s="3" t="s">
        <v>2303</v>
      </c>
      <c r="AV251" s="3" t="s">
        <v>2302</v>
      </c>
      <c r="AW251" s="3" t="s">
        <v>2301</v>
      </c>
      <c r="AX251" s="3" t="s">
        <v>2006</v>
      </c>
      <c r="AY251" s="19" t="s">
        <v>114</v>
      </c>
      <c r="AZ251" s="19" t="s">
        <v>114</v>
      </c>
      <c r="BA251" s="19" t="s">
        <v>114</v>
      </c>
      <c r="BB251" s="19" t="s">
        <v>114</v>
      </c>
      <c r="BC251" s="19" t="s">
        <v>114</v>
      </c>
      <c r="BD251" s="19" t="s">
        <v>114</v>
      </c>
      <c r="BE251" s="19" t="s">
        <v>114</v>
      </c>
      <c r="BF251" s="19" t="s">
        <v>114</v>
      </c>
      <c r="BG251" s="19" t="s">
        <v>114</v>
      </c>
      <c r="BH251" s="19" t="s">
        <v>114</v>
      </c>
      <c r="BI251" s="19" t="s">
        <v>114</v>
      </c>
      <c r="BJ251" s="19" t="s">
        <v>114</v>
      </c>
      <c r="BK251" s="19" t="s">
        <v>114</v>
      </c>
      <c r="BL251" s="19" t="s">
        <v>114</v>
      </c>
      <c r="BM251" s="19" t="s">
        <v>114</v>
      </c>
      <c r="BN251" s="19" t="s">
        <v>114</v>
      </c>
      <c r="BO251" s="19" t="s">
        <v>114</v>
      </c>
      <c r="BP251" s="19" t="s">
        <v>114</v>
      </c>
      <c r="BQ251" s="19" t="s">
        <v>114</v>
      </c>
      <c r="BR251" s="19" t="s">
        <v>114</v>
      </c>
      <c r="BS251" s="19" t="s">
        <v>114</v>
      </c>
      <c r="BT251" s="19" t="s">
        <v>114</v>
      </c>
      <c r="BU251" s="19" t="s">
        <v>114</v>
      </c>
      <c r="BV251" s="19" t="s">
        <v>114</v>
      </c>
      <c r="BW251" s="19" t="s">
        <v>114</v>
      </c>
      <c r="BX251" s="19" t="s">
        <v>114</v>
      </c>
      <c r="BY251" s="19" t="s">
        <v>114</v>
      </c>
      <c r="BZ251" s="21" t="s">
        <v>114</v>
      </c>
      <c r="CA251" s="21" t="s">
        <v>114</v>
      </c>
      <c r="CB251" s="21" t="s">
        <v>114</v>
      </c>
      <c r="CC251" s="21" t="s">
        <v>114</v>
      </c>
      <c r="CD251" s="21" t="s">
        <v>114</v>
      </c>
      <c r="CE251" s="21" t="s">
        <v>114</v>
      </c>
      <c r="CF251" s="19" t="s">
        <v>114</v>
      </c>
      <c r="CG251" s="19" t="s">
        <v>114</v>
      </c>
      <c r="CH251" s="19" t="s">
        <v>114</v>
      </c>
      <c r="CI251" s="21" t="s">
        <v>114</v>
      </c>
      <c r="CJ251" s="21" t="s">
        <v>114</v>
      </c>
      <c r="CK251" s="21" t="s">
        <v>114</v>
      </c>
      <c r="CL251" s="21" t="s">
        <v>114</v>
      </c>
      <c r="CM251" s="21" t="s">
        <v>114</v>
      </c>
      <c r="CN251" s="21" t="s">
        <v>114</v>
      </c>
      <c r="CO251" s="21" t="s">
        <v>114</v>
      </c>
      <c r="CP251" s="21" t="s">
        <v>114</v>
      </c>
      <c r="CQ251" s="21" t="s">
        <v>114</v>
      </c>
      <c r="CR251" s="21" t="s">
        <v>114</v>
      </c>
      <c r="CS251" s="21" t="s">
        <v>114</v>
      </c>
      <c r="CT251" s="21" t="s">
        <v>114</v>
      </c>
      <c r="CU251" s="21" t="s">
        <v>114</v>
      </c>
      <c r="CV251" s="21" t="s">
        <v>114</v>
      </c>
      <c r="CW251" s="21" t="s">
        <v>114</v>
      </c>
      <c r="CX251" s="21">
        <v>98426</v>
      </c>
      <c r="CY251" s="21" t="s">
        <v>114</v>
      </c>
      <c r="CZ251" s="21" t="s">
        <v>114</v>
      </c>
      <c r="DA251" s="21" t="s">
        <v>114</v>
      </c>
      <c r="DB251" s="21" t="s">
        <v>114</v>
      </c>
      <c r="DC251" s="21" t="s">
        <v>114</v>
      </c>
      <c r="DD251" s="21" t="s">
        <v>114</v>
      </c>
      <c r="DE251" s="21" t="s">
        <v>114</v>
      </c>
      <c r="DF251" s="19" t="s">
        <v>114</v>
      </c>
      <c r="DG251" s="19">
        <v>98501</v>
      </c>
      <c r="DH251" s="19" t="s">
        <v>114</v>
      </c>
      <c r="DI251" s="19" t="s">
        <v>114</v>
      </c>
      <c r="DJ251" s="19" t="s">
        <v>114</v>
      </c>
      <c r="DK251" s="19">
        <v>98505</v>
      </c>
      <c r="DL251" s="19">
        <v>98506</v>
      </c>
      <c r="DM251" s="19" t="s">
        <v>114</v>
      </c>
      <c r="DN251" s="19" t="s">
        <v>114</v>
      </c>
      <c r="DO251" s="19">
        <v>98509</v>
      </c>
    </row>
    <row r="252" spans="1:119" hidden="1" x14ac:dyDescent="0.45">
      <c r="A252" s="2" t="s">
        <v>1077</v>
      </c>
      <c r="B252" t="s">
        <v>1078</v>
      </c>
      <c r="C252" s="2">
        <v>410</v>
      </c>
      <c r="D252" s="6">
        <v>215</v>
      </c>
      <c r="E252" s="2" t="s">
        <v>1690</v>
      </c>
      <c r="F252" s="3" t="s">
        <v>1899</v>
      </c>
      <c r="G252" t="s">
        <v>2134</v>
      </c>
      <c r="H252" s="4" t="s">
        <v>1080</v>
      </c>
      <c r="I252" s="2" t="s">
        <v>1081</v>
      </c>
      <c r="J252" s="2">
        <v>142</v>
      </c>
      <c r="K252" t="s">
        <v>100</v>
      </c>
      <c r="L252" s="2">
        <v>30</v>
      </c>
      <c r="M252" t="s">
        <v>407</v>
      </c>
      <c r="P252" s="2" t="s">
        <v>100</v>
      </c>
      <c r="Q252" s="2" t="s">
        <v>155</v>
      </c>
      <c r="R252" s="4">
        <v>753</v>
      </c>
      <c r="S252" s="4" t="s">
        <v>525</v>
      </c>
      <c r="T252" s="4">
        <v>30</v>
      </c>
      <c r="U252" s="4" t="s">
        <v>407</v>
      </c>
      <c r="V252" t="s">
        <v>2463</v>
      </c>
      <c r="W252" t="s">
        <v>2463</v>
      </c>
      <c r="X252" t="s">
        <v>2440</v>
      </c>
      <c r="Y252" t="s">
        <v>407</v>
      </c>
      <c r="Z252" t="s">
        <v>1899</v>
      </c>
      <c r="AA252" s="3" t="s">
        <v>1079</v>
      </c>
      <c r="AB252" s="3" t="s">
        <v>1078</v>
      </c>
      <c r="AC252" s="2" t="s">
        <v>130</v>
      </c>
      <c r="AD252" s="4" t="s">
        <v>1891</v>
      </c>
      <c r="AE252" t="s">
        <v>131</v>
      </c>
      <c r="AF252" t="s">
        <v>1886</v>
      </c>
      <c r="AG252" s="3" t="s">
        <v>1887</v>
      </c>
      <c r="AH252" s="3" t="s">
        <v>18</v>
      </c>
      <c r="AI252" s="3" t="s">
        <v>216</v>
      </c>
      <c r="AJ252" s="3" t="s">
        <v>20</v>
      </c>
      <c r="AK252" s="3" t="s">
        <v>107</v>
      </c>
      <c r="AL252" s="5" t="s">
        <v>1082</v>
      </c>
      <c r="AM252" s="5" t="s">
        <v>1078</v>
      </c>
      <c r="AN252" t="s">
        <v>110</v>
      </c>
      <c r="AO252" s="3" t="s">
        <v>119</v>
      </c>
      <c r="AP252" s="3" t="s">
        <v>120</v>
      </c>
      <c r="AQ252" s="3" t="s">
        <v>111</v>
      </c>
      <c r="AR252" s="3" t="s">
        <v>112</v>
      </c>
      <c r="AS252" s="3" t="s">
        <v>112</v>
      </c>
      <c r="AT252" s="3" t="s">
        <v>113</v>
      </c>
      <c r="AU252" s="3" t="s">
        <v>2303</v>
      </c>
      <c r="AV252" s="3" t="s">
        <v>2302</v>
      </c>
      <c r="AW252" s="3" t="s">
        <v>2300</v>
      </c>
      <c r="AX252" s="3" t="s">
        <v>2006</v>
      </c>
      <c r="AY252" s="19" t="s">
        <v>114</v>
      </c>
      <c r="AZ252" s="19" t="s">
        <v>114</v>
      </c>
      <c r="BA252" s="19" t="s">
        <v>114</v>
      </c>
      <c r="BB252" s="19" t="s">
        <v>114</v>
      </c>
      <c r="BC252" s="19" t="s">
        <v>114</v>
      </c>
      <c r="BD252" s="19" t="s">
        <v>114</v>
      </c>
      <c r="BE252" s="19" t="s">
        <v>114</v>
      </c>
      <c r="BF252" s="19" t="s">
        <v>114</v>
      </c>
      <c r="BG252" s="19" t="s">
        <v>114</v>
      </c>
      <c r="BH252" s="19" t="s">
        <v>114</v>
      </c>
      <c r="BI252" s="19" t="s">
        <v>114</v>
      </c>
      <c r="BJ252" s="19" t="s">
        <v>114</v>
      </c>
      <c r="BK252" s="19" t="s">
        <v>114</v>
      </c>
      <c r="BL252" s="19" t="s">
        <v>114</v>
      </c>
      <c r="BM252" s="19" t="s">
        <v>114</v>
      </c>
      <c r="BN252" s="19" t="s">
        <v>114</v>
      </c>
      <c r="BO252" s="19" t="s">
        <v>114</v>
      </c>
      <c r="BP252" s="19" t="s">
        <v>114</v>
      </c>
      <c r="BQ252" s="19" t="s">
        <v>114</v>
      </c>
      <c r="BR252" s="19" t="s">
        <v>114</v>
      </c>
      <c r="BS252" s="19" t="s">
        <v>114</v>
      </c>
      <c r="BT252" s="19" t="s">
        <v>114</v>
      </c>
      <c r="BU252" s="19" t="s">
        <v>114</v>
      </c>
      <c r="BV252" s="19" t="s">
        <v>114</v>
      </c>
      <c r="BW252" s="19" t="s">
        <v>114</v>
      </c>
      <c r="BX252" s="19" t="s">
        <v>114</v>
      </c>
      <c r="BY252" s="19" t="s">
        <v>114</v>
      </c>
      <c r="BZ252" s="21" t="s">
        <v>114</v>
      </c>
      <c r="CA252" s="21" t="s">
        <v>114</v>
      </c>
      <c r="CB252" s="21" t="s">
        <v>114</v>
      </c>
      <c r="CC252" s="21" t="s">
        <v>114</v>
      </c>
      <c r="CD252" s="21" t="s">
        <v>114</v>
      </c>
      <c r="CE252" s="21" t="s">
        <v>114</v>
      </c>
      <c r="CF252" s="19" t="s">
        <v>114</v>
      </c>
      <c r="CG252" s="19" t="s">
        <v>114</v>
      </c>
      <c r="CH252" s="19" t="s">
        <v>114</v>
      </c>
      <c r="CI252" s="21" t="s">
        <v>114</v>
      </c>
      <c r="CJ252" s="21">
        <v>98400</v>
      </c>
      <c r="CK252" s="21" t="s">
        <v>114</v>
      </c>
      <c r="CL252" s="21" t="s">
        <v>114</v>
      </c>
      <c r="CM252" s="21" t="s">
        <v>114</v>
      </c>
      <c r="CN252" s="21">
        <v>98408</v>
      </c>
      <c r="CO252" s="21" t="s">
        <v>114</v>
      </c>
      <c r="CP252" s="21" t="s">
        <v>114</v>
      </c>
      <c r="CQ252" s="21" t="s">
        <v>114</v>
      </c>
      <c r="CR252" s="21" t="s">
        <v>114</v>
      </c>
      <c r="CS252" s="21" t="s">
        <v>114</v>
      </c>
      <c r="CT252" s="21" t="s">
        <v>114</v>
      </c>
      <c r="CU252" s="21" t="s">
        <v>114</v>
      </c>
      <c r="CV252" s="21" t="s">
        <v>114</v>
      </c>
      <c r="CW252" s="21" t="s">
        <v>114</v>
      </c>
      <c r="CX252" s="21" t="s">
        <v>114</v>
      </c>
      <c r="CY252" s="21" t="s">
        <v>114</v>
      </c>
      <c r="CZ252" s="21" t="s">
        <v>114</v>
      </c>
      <c r="DA252" s="21" t="s">
        <v>114</v>
      </c>
      <c r="DB252" s="21" t="s">
        <v>114</v>
      </c>
      <c r="DC252" s="21">
        <v>98436</v>
      </c>
      <c r="DD252" s="21" t="s">
        <v>114</v>
      </c>
      <c r="DE252" s="21" t="s">
        <v>114</v>
      </c>
      <c r="DF252" s="19" t="s">
        <v>114</v>
      </c>
      <c r="DG252" s="19" t="s">
        <v>114</v>
      </c>
      <c r="DH252" s="19" t="s">
        <v>114</v>
      </c>
      <c r="DI252" s="19" t="s">
        <v>114</v>
      </c>
      <c r="DJ252" s="19" t="s">
        <v>114</v>
      </c>
      <c r="DK252" s="19" t="s">
        <v>114</v>
      </c>
      <c r="DL252" s="19" t="s">
        <v>114</v>
      </c>
      <c r="DM252" s="19" t="s">
        <v>114</v>
      </c>
      <c r="DN252" s="19" t="s">
        <v>114</v>
      </c>
      <c r="DO252" s="19" t="s">
        <v>114</v>
      </c>
    </row>
    <row r="253" spans="1:119" hidden="1" x14ac:dyDescent="0.45">
      <c r="A253" s="2" t="s">
        <v>1128</v>
      </c>
      <c r="B253" t="s">
        <v>1129</v>
      </c>
      <c r="C253" s="2">
        <v>643</v>
      </c>
      <c r="D253" s="6">
        <v>404</v>
      </c>
      <c r="E253" s="2" t="s">
        <v>1762</v>
      </c>
      <c r="F253" s="3" t="s">
        <v>1902</v>
      </c>
      <c r="G253" t="s">
        <v>2136</v>
      </c>
      <c r="H253" s="4" t="s">
        <v>1131</v>
      </c>
      <c r="I253" s="2" t="s">
        <v>1132</v>
      </c>
      <c r="J253" s="2">
        <v>150</v>
      </c>
      <c r="K253" t="s">
        <v>127</v>
      </c>
      <c r="L253" s="2">
        <v>151</v>
      </c>
      <c r="M253" t="s">
        <v>256</v>
      </c>
      <c r="P253" s="2" t="s">
        <v>203</v>
      </c>
      <c r="Q253" s="2" t="s">
        <v>129</v>
      </c>
      <c r="R253" s="2">
        <v>513</v>
      </c>
      <c r="S253" s="4" t="s">
        <v>1000</v>
      </c>
      <c r="T253" s="4">
        <v>150</v>
      </c>
      <c r="U253" s="4" t="s">
        <v>127</v>
      </c>
      <c r="V253" t="s">
        <v>2200</v>
      </c>
      <c r="W253" t="s">
        <v>2200</v>
      </c>
      <c r="X253" t="s">
        <v>2447</v>
      </c>
      <c r="Y253" t="s">
        <v>1103</v>
      </c>
      <c r="Z253" t="s">
        <v>1902</v>
      </c>
      <c r="AA253" s="3" t="s">
        <v>1761</v>
      </c>
      <c r="AB253" s="3" t="s">
        <v>1129</v>
      </c>
      <c r="AC253" s="2" t="s">
        <v>138</v>
      </c>
      <c r="AD253" s="4" t="s">
        <v>1891</v>
      </c>
      <c r="AE253" t="s">
        <v>131</v>
      </c>
      <c r="AF253" t="s">
        <v>1886</v>
      </c>
      <c r="AG253" t="s">
        <v>1887</v>
      </c>
      <c r="AH253" t="s">
        <v>105</v>
      </c>
      <c r="AI253" s="3" t="s">
        <v>105</v>
      </c>
      <c r="AJ253" s="3" t="s">
        <v>106</v>
      </c>
      <c r="AK253" s="3" t="s">
        <v>107</v>
      </c>
      <c r="AL253" s="5" t="s">
        <v>1133</v>
      </c>
      <c r="AM253" s="5" t="s">
        <v>109</v>
      </c>
      <c r="AN253" t="s">
        <v>110</v>
      </c>
      <c r="AO253" s="3" t="s">
        <v>119</v>
      </c>
      <c r="AP253" s="3" t="s">
        <v>120</v>
      </c>
      <c r="AQ253" s="3" t="s">
        <v>111</v>
      </c>
      <c r="AR253" s="3" t="s">
        <v>112</v>
      </c>
      <c r="AS253" s="3" t="s">
        <v>112</v>
      </c>
      <c r="AT253" s="3" t="s">
        <v>113</v>
      </c>
      <c r="AU253" s="3" t="s">
        <v>2303</v>
      </c>
      <c r="AV253" s="3" t="s">
        <v>2299</v>
      </c>
      <c r="AW253" s="3" t="s">
        <v>2300</v>
      </c>
      <c r="AX253" s="3" t="s">
        <v>2006</v>
      </c>
      <c r="AY253" s="19" t="s">
        <v>114</v>
      </c>
      <c r="AZ253" s="19" t="s">
        <v>114</v>
      </c>
      <c r="BA253" s="19" t="s">
        <v>114</v>
      </c>
      <c r="BB253" s="19" t="s">
        <v>114</v>
      </c>
      <c r="BC253" s="19" t="s">
        <v>114</v>
      </c>
      <c r="BD253" s="19" t="s">
        <v>114</v>
      </c>
      <c r="BE253" s="19" t="s">
        <v>114</v>
      </c>
      <c r="BF253" s="19" t="s">
        <v>114</v>
      </c>
      <c r="BG253" s="19" t="s">
        <v>114</v>
      </c>
      <c r="BH253" s="19" t="s">
        <v>114</v>
      </c>
      <c r="BI253" s="19" t="s">
        <v>114</v>
      </c>
      <c r="BJ253" s="19" t="s">
        <v>114</v>
      </c>
      <c r="BK253" s="19" t="s">
        <v>114</v>
      </c>
      <c r="BL253" s="19" t="s">
        <v>114</v>
      </c>
      <c r="BM253" s="19" t="s">
        <v>114</v>
      </c>
      <c r="BN253" s="19" t="s">
        <v>114</v>
      </c>
      <c r="BO253" s="19" t="s">
        <v>114</v>
      </c>
      <c r="BP253" s="19" t="s">
        <v>114</v>
      </c>
      <c r="BQ253" s="19" t="s">
        <v>114</v>
      </c>
      <c r="BR253" s="19" t="s">
        <v>114</v>
      </c>
      <c r="BS253" s="19" t="s">
        <v>114</v>
      </c>
      <c r="BT253" s="19" t="s">
        <v>114</v>
      </c>
      <c r="BU253" s="19" t="s">
        <v>114</v>
      </c>
      <c r="BV253" s="19" t="s">
        <v>114</v>
      </c>
      <c r="BW253" s="19" t="s">
        <v>114</v>
      </c>
      <c r="BX253" s="19" t="s">
        <v>114</v>
      </c>
      <c r="BY253" s="19" t="s">
        <v>114</v>
      </c>
      <c r="BZ253" s="21">
        <v>98200</v>
      </c>
      <c r="CA253" s="21">
        <v>98201</v>
      </c>
      <c r="CB253" s="21">
        <v>98202</v>
      </c>
      <c r="CC253" s="21" t="s">
        <v>114</v>
      </c>
      <c r="CD253" s="21" t="s">
        <v>114</v>
      </c>
      <c r="CE253" s="21" t="s">
        <v>114</v>
      </c>
      <c r="CF253" s="19">
        <v>98206</v>
      </c>
      <c r="CG253" s="19" t="s">
        <v>114</v>
      </c>
      <c r="CH253" s="19" t="s">
        <v>114</v>
      </c>
      <c r="CI253" s="21" t="s">
        <v>114</v>
      </c>
      <c r="CJ253" s="21">
        <v>98400</v>
      </c>
      <c r="CK253" s="21" t="s">
        <v>114</v>
      </c>
      <c r="CL253" s="21" t="s">
        <v>114</v>
      </c>
      <c r="CM253" s="21" t="s">
        <v>114</v>
      </c>
      <c r="CN253" s="21" t="s">
        <v>114</v>
      </c>
      <c r="CO253" s="21" t="s">
        <v>114</v>
      </c>
      <c r="CP253" s="21" t="s">
        <v>114</v>
      </c>
      <c r="CQ253" s="21">
        <v>98417</v>
      </c>
      <c r="CR253" s="21" t="s">
        <v>114</v>
      </c>
      <c r="CS253" s="21" t="s">
        <v>114</v>
      </c>
      <c r="CT253" s="21" t="s">
        <v>114</v>
      </c>
      <c r="CU253" s="21" t="s">
        <v>114</v>
      </c>
      <c r="CV253" s="21" t="s">
        <v>114</v>
      </c>
      <c r="CW253" s="21" t="s">
        <v>114</v>
      </c>
      <c r="CX253" s="21" t="s">
        <v>114</v>
      </c>
      <c r="CY253" s="21" t="s">
        <v>114</v>
      </c>
      <c r="CZ253" s="21" t="s">
        <v>114</v>
      </c>
      <c r="DA253" s="21" t="s">
        <v>114</v>
      </c>
      <c r="DB253" s="21" t="s">
        <v>114</v>
      </c>
      <c r="DC253" s="21" t="s">
        <v>114</v>
      </c>
      <c r="DD253" s="21">
        <v>98437</v>
      </c>
      <c r="DE253" s="21" t="s">
        <v>114</v>
      </c>
      <c r="DF253" s="19" t="s">
        <v>114</v>
      </c>
      <c r="DG253" s="19" t="s">
        <v>114</v>
      </c>
      <c r="DH253" s="19" t="s">
        <v>114</v>
      </c>
      <c r="DI253" s="19" t="s">
        <v>114</v>
      </c>
      <c r="DJ253" s="19" t="s">
        <v>114</v>
      </c>
      <c r="DK253" s="19" t="s">
        <v>114</v>
      </c>
      <c r="DL253" s="19" t="s">
        <v>114</v>
      </c>
      <c r="DM253" s="19" t="s">
        <v>114</v>
      </c>
      <c r="DN253" s="19" t="s">
        <v>114</v>
      </c>
      <c r="DO253" s="19" t="s">
        <v>114</v>
      </c>
    </row>
    <row r="254" spans="1:119" hidden="1" x14ac:dyDescent="0.45">
      <c r="A254" s="2" t="s">
        <v>1251</v>
      </c>
      <c r="B254" t="s">
        <v>1252</v>
      </c>
      <c r="C254" s="2">
        <v>710</v>
      </c>
      <c r="D254" s="6">
        <v>153</v>
      </c>
      <c r="E254" s="2" t="s">
        <v>1253</v>
      </c>
      <c r="F254" t="s">
        <v>1253</v>
      </c>
      <c r="G254" t="s">
        <v>2150</v>
      </c>
      <c r="H254" s="2" t="s">
        <v>1254</v>
      </c>
      <c r="I254" s="2" t="s">
        <v>1255</v>
      </c>
      <c r="J254" s="2">
        <v>2</v>
      </c>
      <c r="K254" t="s">
        <v>116</v>
      </c>
      <c r="L254" s="2">
        <v>202</v>
      </c>
      <c r="M254" t="s">
        <v>166</v>
      </c>
      <c r="N254">
        <v>18</v>
      </c>
      <c r="O254" t="s">
        <v>309</v>
      </c>
      <c r="P254" s="2" t="s">
        <v>116</v>
      </c>
      <c r="Q254" s="2" t="s">
        <v>166</v>
      </c>
      <c r="R254" s="2">
        <v>202</v>
      </c>
      <c r="S254" s="4" t="s">
        <v>166</v>
      </c>
      <c r="T254" s="2">
        <v>202</v>
      </c>
      <c r="U254" s="4" t="s">
        <v>166</v>
      </c>
      <c r="V254" t="s">
        <v>2457</v>
      </c>
      <c r="W254" t="s">
        <v>2457</v>
      </c>
      <c r="X254" t="s">
        <v>2440</v>
      </c>
      <c r="Y254" t="s">
        <v>309</v>
      </c>
      <c r="Z254" t="s">
        <v>1253</v>
      </c>
      <c r="AA254" s="3" t="s">
        <v>1253</v>
      </c>
      <c r="AB254" s="3" t="s">
        <v>1252</v>
      </c>
      <c r="AC254" s="2" t="s">
        <v>138</v>
      </c>
      <c r="AD254" s="4" t="s">
        <v>1891</v>
      </c>
      <c r="AE254" t="s">
        <v>104</v>
      </c>
      <c r="AF254" t="s">
        <v>1885</v>
      </c>
      <c r="AG254" t="s">
        <v>1884</v>
      </c>
      <c r="AH254" t="s">
        <v>105</v>
      </c>
      <c r="AI254" s="3" t="s">
        <v>105</v>
      </c>
      <c r="AJ254" s="3" t="s">
        <v>106</v>
      </c>
      <c r="AK254" s="3" t="s">
        <v>107</v>
      </c>
      <c r="AL254" s="5" t="s">
        <v>1256</v>
      </c>
      <c r="AM254" s="5" t="s">
        <v>109</v>
      </c>
      <c r="AN254" t="s">
        <v>110</v>
      </c>
      <c r="AO254" s="3" t="s">
        <v>119</v>
      </c>
      <c r="AP254" s="3" t="s">
        <v>120</v>
      </c>
      <c r="AQ254" s="3" t="s">
        <v>111</v>
      </c>
      <c r="AR254" s="3" t="s">
        <v>112</v>
      </c>
      <c r="AS254" s="3" t="s">
        <v>112</v>
      </c>
      <c r="AT254" s="3" t="s">
        <v>113</v>
      </c>
      <c r="AU254" s="3" t="s">
        <v>2303</v>
      </c>
      <c r="AV254" s="3" t="s">
        <v>2302</v>
      </c>
      <c r="AW254" s="3" t="s">
        <v>2300</v>
      </c>
      <c r="AX254" s="3" t="s">
        <v>2006</v>
      </c>
      <c r="AY254" s="19">
        <v>98100</v>
      </c>
      <c r="AZ254" s="19" t="s">
        <v>114</v>
      </c>
      <c r="BA254" s="19" t="s">
        <v>114</v>
      </c>
      <c r="BB254" s="19" t="s">
        <v>114</v>
      </c>
      <c r="BC254" s="19">
        <v>98104</v>
      </c>
      <c r="BD254" s="19" t="s">
        <v>114</v>
      </c>
      <c r="BE254" s="19">
        <v>98106</v>
      </c>
      <c r="BF254" s="19" t="s">
        <v>114</v>
      </c>
      <c r="BG254" s="19" t="s">
        <v>114</v>
      </c>
      <c r="BH254" s="19" t="s">
        <v>114</v>
      </c>
      <c r="BI254" s="19">
        <v>98110</v>
      </c>
      <c r="BJ254" s="19" t="s">
        <v>114</v>
      </c>
      <c r="BK254" s="19" t="s">
        <v>114</v>
      </c>
      <c r="BL254" s="19" t="s">
        <v>114</v>
      </c>
      <c r="BM254" s="19" t="s">
        <v>114</v>
      </c>
      <c r="BN254" s="19" t="s">
        <v>114</v>
      </c>
      <c r="BO254" s="19" t="s">
        <v>114</v>
      </c>
      <c r="BP254" s="19" t="s">
        <v>114</v>
      </c>
      <c r="BQ254" s="19" t="s">
        <v>114</v>
      </c>
      <c r="BR254" s="19">
        <v>98119</v>
      </c>
      <c r="BS254" s="19" t="s">
        <v>114</v>
      </c>
      <c r="BT254" s="19">
        <v>98121</v>
      </c>
      <c r="BU254" s="19" t="s">
        <v>114</v>
      </c>
      <c r="BV254" s="19" t="s">
        <v>114</v>
      </c>
      <c r="BW254" s="19" t="s">
        <v>114</v>
      </c>
      <c r="BX254" s="19" t="s">
        <v>114</v>
      </c>
      <c r="BY254" s="19">
        <v>98126</v>
      </c>
      <c r="BZ254" s="21" t="s">
        <v>114</v>
      </c>
      <c r="CA254" s="21" t="s">
        <v>114</v>
      </c>
      <c r="CB254" s="21" t="s">
        <v>114</v>
      </c>
      <c r="CC254" s="21" t="s">
        <v>114</v>
      </c>
      <c r="CD254" s="21" t="s">
        <v>114</v>
      </c>
      <c r="CE254" s="21" t="s">
        <v>114</v>
      </c>
      <c r="CF254" s="19" t="s">
        <v>114</v>
      </c>
      <c r="CG254" s="19" t="s">
        <v>114</v>
      </c>
      <c r="CH254" s="19" t="s">
        <v>114</v>
      </c>
      <c r="CI254" s="21" t="s">
        <v>114</v>
      </c>
      <c r="CJ254" s="21" t="s">
        <v>114</v>
      </c>
      <c r="CK254" s="21">
        <v>98405</v>
      </c>
      <c r="CL254" s="21" t="s">
        <v>114</v>
      </c>
      <c r="CM254" s="21" t="s">
        <v>114</v>
      </c>
      <c r="CN254" s="21" t="s">
        <v>114</v>
      </c>
      <c r="CO254" s="21" t="s">
        <v>114</v>
      </c>
      <c r="CP254" s="21" t="s">
        <v>114</v>
      </c>
      <c r="CQ254" s="21" t="s">
        <v>114</v>
      </c>
      <c r="CR254" s="21" t="s">
        <v>114</v>
      </c>
      <c r="CS254" s="21" t="s">
        <v>114</v>
      </c>
      <c r="CT254" s="21" t="s">
        <v>114</v>
      </c>
      <c r="CU254" s="21" t="s">
        <v>114</v>
      </c>
      <c r="CV254" s="21" t="s">
        <v>114</v>
      </c>
      <c r="CW254" s="21" t="s">
        <v>114</v>
      </c>
      <c r="CX254" s="21" t="s">
        <v>114</v>
      </c>
      <c r="CY254" s="21" t="s">
        <v>114</v>
      </c>
      <c r="CZ254" s="21" t="s">
        <v>114</v>
      </c>
      <c r="DA254" s="21" t="s">
        <v>114</v>
      </c>
      <c r="DB254" s="21" t="s">
        <v>114</v>
      </c>
      <c r="DC254" s="21" t="s">
        <v>114</v>
      </c>
      <c r="DD254" s="21" t="s">
        <v>114</v>
      </c>
      <c r="DE254" s="21" t="s">
        <v>114</v>
      </c>
      <c r="DF254" s="19" t="s">
        <v>114</v>
      </c>
      <c r="DG254" s="19" t="s">
        <v>114</v>
      </c>
      <c r="DH254" s="19" t="s">
        <v>114</v>
      </c>
      <c r="DI254" s="19" t="s">
        <v>114</v>
      </c>
      <c r="DJ254" s="19" t="s">
        <v>114</v>
      </c>
      <c r="DK254" s="19" t="s">
        <v>114</v>
      </c>
      <c r="DL254" s="19" t="s">
        <v>114</v>
      </c>
      <c r="DM254" s="19" t="s">
        <v>114</v>
      </c>
      <c r="DN254" s="19" t="s">
        <v>114</v>
      </c>
      <c r="DO254" s="19" t="s">
        <v>114</v>
      </c>
    </row>
    <row r="255" spans="1:119" hidden="1" x14ac:dyDescent="0.45">
      <c r="A255" s="2" t="s">
        <v>289</v>
      </c>
      <c r="B255" t="s">
        <v>290</v>
      </c>
      <c r="C255" s="2">
        <v>68</v>
      </c>
      <c r="D255" s="6">
        <v>902</v>
      </c>
      <c r="E255" s="2" t="s">
        <v>1558</v>
      </c>
      <c r="F255" s="3" t="s">
        <v>291</v>
      </c>
      <c r="G255" t="s">
        <v>2031</v>
      </c>
      <c r="H255" s="4" t="s">
        <v>292</v>
      </c>
      <c r="I255" s="2" t="s">
        <v>293</v>
      </c>
      <c r="J255" s="2">
        <v>19</v>
      </c>
      <c r="K255" t="s">
        <v>157</v>
      </c>
      <c r="L255" s="2">
        <v>419</v>
      </c>
      <c r="M255" t="s">
        <v>174</v>
      </c>
      <c r="N255">
        <v>5</v>
      </c>
      <c r="O255" t="s">
        <v>196</v>
      </c>
      <c r="P255" s="2" t="s">
        <v>196</v>
      </c>
      <c r="Q255" s="2" t="s">
        <v>177</v>
      </c>
      <c r="R255" s="2">
        <v>419</v>
      </c>
      <c r="S255" s="2" t="s">
        <v>174</v>
      </c>
      <c r="T255" s="2">
        <v>419</v>
      </c>
      <c r="U255" s="4" t="s">
        <v>174</v>
      </c>
      <c r="V255" t="s">
        <v>2455</v>
      </c>
      <c r="W255" t="s">
        <v>2455</v>
      </c>
      <c r="X255" t="s">
        <v>2440</v>
      </c>
      <c r="Y255" t="s">
        <v>196</v>
      </c>
      <c r="Z255" t="s">
        <v>2468</v>
      </c>
      <c r="AA255" s="3" t="s">
        <v>2762</v>
      </c>
      <c r="AB255" s="3" t="s">
        <v>2880</v>
      </c>
      <c r="AC255" s="2" t="s">
        <v>168</v>
      </c>
      <c r="AD255" s="2" t="s">
        <v>1890</v>
      </c>
      <c r="AE255" t="s">
        <v>104</v>
      </c>
      <c r="AF255" t="s">
        <v>1885</v>
      </c>
      <c r="AG255" t="s">
        <v>1884</v>
      </c>
      <c r="AH255" t="s">
        <v>105</v>
      </c>
      <c r="AI255" s="3" t="s">
        <v>178</v>
      </c>
      <c r="AJ255" s="3" t="s">
        <v>106</v>
      </c>
      <c r="AK255" s="3" t="s">
        <v>107</v>
      </c>
      <c r="AL255" s="5" t="s">
        <v>294</v>
      </c>
      <c r="AM255" s="5" t="s">
        <v>109</v>
      </c>
      <c r="AN255" t="s">
        <v>110</v>
      </c>
      <c r="AO255" s="3" t="s">
        <v>119</v>
      </c>
      <c r="AP255" s="3" t="s">
        <v>26</v>
      </c>
      <c r="AQ255" s="3" t="s">
        <v>111</v>
      </c>
      <c r="AR255" s="3" t="s">
        <v>112</v>
      </c>
      <c r="AS255" s="3" t="s">
        <v>112</v>
      </c>
      <c r="AT255" s="3" t="s">
        <v>113</v>
      </c>
      <c r="AU255" s="3" t="s">
        <v>2303</v>
      </c>
      <c r="AV255" s="3" t="s">
        <v>2302</v>
      </c>
      <c r="AW255" s="3" t="s">
        <v>2301</v>
      </c>
      <c r="AX255" s="3" t="s">
        <v>2006</v>
      </c>
      <c r="AY255" s="19" t="s">
        <v>114</v>
      </c>
      <c r="AZ255" s="19" t="s">
        <v>114</v>
      </c>
      <c r="BA255" s="19" t="s">
        <v>114</v>
      </c>
      <c r="BB255" s="19" t="s">
        <v>114</v>
      </c>
      <c r="BC255" s="19" t="s">
        <v>114</v>
      </c>
      <c r="BD255" s="19" t="s">
        <v>114</v>
      </c>
      <c r="BE255" s="19" t="s">
        <v>114</v>
      </c>
      <c r="BF255" s="19" t="s">
        <v>114</v>
      </c>
      <c r="BG255" s="19" t="s">
        <v>114</v>
      </c>
      <c r="BH255" s="19" t="s">
        <v>114</v>
      </c>
      <c r="BI255" s="19" t="s">
        <v>114</v>
      </c>
      <c r="BJ255" s="19" t="s">
        <v>114</v>
      </c>
      <c r="BK255" s="19" t="s">
        <v>114</v>
      </c>
      <c r="BL255" s="19" t="s">
        <v>114</v>
      </c>
      <c r="BM255" s="19" t="s">
        <v>114</v>
      </c>
      <c r="BN255" s="19" t="s">
        <v>114</v>
      </c>
      <c r="BO255" s="19" t="s">
        <v>114</v>
      </c>
      <c r="BP255" s="19" t="s">
        <v>114</v>
      </c>
      <c r="BQ255" s="19" t="s">
        <v>114</v>
      </c>
      <c r="BR255" s="19" t="s">
        <v>114</v>
      </c>
      <c r="BS255" s="19" t="s">
        <v>114</v>
      </c>
      <c r="BT255" s="19" t="s">
        <v>114</v>
      </c>
      <c r="BU255" s="19" t="s">
        <v>114</v>
      </c>
      <c r="BV255" s="19" t="s">
        <v>114</v>
      </c>
      <c r="BW255" s="19" t="s">
        <v>114</v>
      </c>
      <c r="BX255" s="19" t="s">
        <v>114</v>
      </c>
      <c r="BY255" s="19" t="s">
        <v>114</v>
      </c>
      <c r="BZ255" s="21" t="s">
        <v>114</v>
      </c>
      <c r="CA255" s="21" t="s">
        <v>114</v>
      </c>
      <c r="CB255" s="21" t="s">
        <v>114</v>
      </c>
      <c r="CC255" s="21" t="s">
        <v>114</v>
      </c>
      <c r="CD255" s="21" t="s">
        <v>114</v>
      </c>
      <c r="CE255" s="21" t="s">
        <v>114</v>
      </c>
      <c r="CF255" s="19" t="s">
        <v>114</v>
      </c>
      <c r="CG255" s="19">
        <v>98300</v>
      </c>
      <c r="CH255" s="19" t="s">
        <v>114</v>
      </c>
      <c r="CI255" s="21">
        <v>98302</v>
      </c>
      <c r="CJ255" s="21" t="s">
        <v>114</v>
      </c>
      <c r="CK255" s="21" t="s">
        <v>114</v>
      </c>
      <c r="CL255" s="21" t="s">
        <v>114</v>
      </c>
      <c r="CM255" s="21" t="s">
        <v>114</v>
      </c>
      <c r="CN255" s="21" t="s">
        <v>114</v>
      </c>
      <c r="CO255" s="21" t="s">
        <v>114</v>
      </c>
      <c r="CP255" s="21" t="s">
        <v>114</v>
      </c>
      <c r="CQ255" s="21" t="s">
        <v>114</v>
      </c>
      <c r="CR255" s="21" t="s">
        <v>114</v>
      </c>
      <c r="CS255" s="21" t="s">
        <v>114</v>
      </c>
      <c r="CT255" s="21" t="s">
        <v>114</v>
      </c>
      <c r="CU255" s="21" t="s">
        <v>114</v>
      </c>
      <c r="CV255" s="21">
        <v>98424</v>
      </c>
      <c r="CW255" s="21" t="s">
        <v>114</v>
      </c>
      <c r="CX255" s="21" t="s">
        <v>114</v>
      </c>
      <c r="CY255" s="21" t="s">
        <v>114</v>
      </c>
      <c r="CZ255" s="21" t="s">
        <v>114</v>
      </c>
      <c r="DA255" s="21" t="s">
        <v>114</v>
      </c>
      <c r="DB255" s="21" t="s">
        <v>114</v>
      </c>
      <c r="DC255" s="21" t="s">
        <v>114</v>
      </c>
      <c r="DD255" s="21" t="s">
        <v>114</v>
      </c>
      <c r="DE255" s="21" t="s">
        <v>114</v>
      </c>
      <c r="DF255" s="19" t="s">
        <v>114</v>
      </c>
      <c r="DG255" s="19" t="s">
        <v>114</v>
      </c>
      <c r="DH255" s="19" t="s">
        <v>114</v>
      </c>
      <c r="DI255" s="19" t="s">
        <v>114</v>
      </c>
      <c r="DJ255" s="19" t="s">
        <v>114</v>
      </c>
      <c r="DK255" s="19" t="s">
        <v>114</v>
      </c>
      <c r="DL255" s="19" t="s">
        <v>114</v>
      </c>
      <c r="DM255" s="19" t="s">
        <v>114</v>
      </c>
      <c r="DN255" s="19" t="s">
        <v>114</v>
      </c>
      <c r="DO255" s="19" t="s">
        <v>114</v>
      </c>
    </row>
    <row r="256" spans="1:119" hidden="1" x14ac:dyDescent="0.45">
      <c r="A256" s="2" t="s">
        <v>311</v>
      </c>
      <c r="B256" t="s">
        <v>312</v>
      </c>
      <c r="C256" s="2">
        <v>74</v>
      </c>
      <c r="D256" s="6">
        <v>105</v>
      </c>
      <c r="E256" s="2" t="s">
        <v>313</v>
      </c>
      <c r="F256" t="s">
        <v>313</v>
      </c>
      <c r="H256" s="2" t="s">
        <v>314</v>
      </c>
      <c r="I256" s="2" t="s">
        <v>315</v>
      </c>
      <c r="J256" s="2">
        <v>19</v>
      </c>
      <c r="K256" t="s">
        <v>157</v>
      </c>
      <c r="L256" s="2">
        <v>419</v>
      </c>
      <c r="M256" t="s">
        <v>174</v>
      </c>
      <c r="N256">
        <v>5</v>
      </c>
      <c r="O256" t="s">
        <v>196</v>
      </c>
      <c r="P256" s="2" t="s">
        <v>196</v>
      </c>
      <c r="Q256" s="2" t="s">
        <v>177</v>
      </c>
      <c r="R256" s="4">
        <v>419</v>
      </c>
      <c r="S256" s="4" t="s">
        <v>174</v>
      </c>
      <c r="T256" s="2">
        <v>419</v>
      </c>
      <c r="U256" s="4" t="s">
        <v>174</v>
      </c>
      <c r="V256" t="e">
        <v>#N/A</v>
      </c>
      <c r="W256" t="e">
        <v>#N/A</v>
      </c>
      <c r="X256" t="s">
        <v>2440</v>
      </c>
      <c r="Y256" t="s">
        <v>196</v>
      </c>
      <c r="Z256" t="s">
        <v>2468</v>
      </c>
      <c r="AA256" s="3" t="s">
        <v>2762</v>
      </c>
      <c r="AB256" s="3" t="s">
        <v>2880</v>
      </c>
      <c r="AC256" s="2" t="s">
        <v>1888</v>
      </c>
      <c r="AD256" s="2" t="s">
        <v>1888</v>
      </c>
      <c r="AE256" t="s">
        <v>104</v>
      </c>
      <c r="AF256" t="s">
        <v>1886</v>
      </c>
      <c r="AG256" s="3" t="s">
        <v>1887</v>
      </c>
      <c r="AH256" t="s">
        <v>105</v>
      </c>
      <c r="AI256" s="3" t="s">
        <v>178</v>
      </c>
      <c r="AJ256" s="3" t="s">
        <v>106</v>
      </c>
      <c r="AK256" s="3" t="s">
        <v>107</v>
      </c>
      <c r="AL256" s="5" t="s">
        <v>316</v>
      </c>
      <c r="AM256" s="5" t="s">
        <v>109</v>
      </c>
      <c r="AO256" s="3" t="s">
        <v>119</v>
      </c>
      <c r="AP256" s="3" t="s">
        <v>120</v>
      </c>
      <c r="AQ256" s="3" t="s">
        <v>111</v>
      </c>
      <c r="AR256" s="3" t="s">
        <v>112</v>
      </c>
      <c r="AS256" s="3" t="s">
        <v>112</v>
      </c>
      <c r="AT256" s="3" t="s">
        <v>113</v>
      </c>
      <c r="AU256" s="3" t="s">
        <v>2303</v>
      </c>
      <c r="AV256" s="3" t="s">
        <v>2302</v>
      </c>
      <c r="AW256" s="3" t="s">
        <v>2301</v>
      </c>
      <c r="AX256" s="3" t="s">
        <v>282</v>
      </c>
      <c r="AY256" s="19" t="s">
        <v>114</v>
      </c>
      <c r="AZ256" s="19" t="s">
        <v>114</v>
      </c>
      <c r="BA256" s="19" t="s">
        <v>114</v>
      </c>
      <c r="BB256" s="19" t="s">
        <v>114</v>
      </c>
      <c r="BC256" s="19" t="s">
        <v>114</v>
      </c>
      <c r="BD256" s="19" t="s">
        <v>114</v>
      </c>
      <c r="BE256" s="19" t="s">
        <v>114</v>
      </c>
      <c r="BF256" s="19" t="s">
        <v>114</v>
      </c>
      <c r="BG256" s="19" t="s">
        <v>114</v>
      </c>
      <c r="BH256" s="19" t="s">
        <v>114</v>
      </c>
      <c r="BI256" s="19" t="s">
        <v>114</v>
      </c>
      <c r="BJ256" s="19" t="s">
        <v>114</v>
      </c>
      <c r="BK256" s="19" t="s">
        <v>114</v>
      </c>
      <c r="BL256" s="19" t="s">
        <v>114</v>
      </c>
      <c r="BM256" s="19" t="s">
        <v>114</v>
      </c>
      <c r="BN256" s="19" t="s">
        <v>114</v>
      </c>
      <c r="BO256" s="19" t="s">
        <v>114</v>
      </c>
      <c r="BP256" s="19" t="s">
        <v>114</v>
      </c>
      <c r="BQ256" s="19" t="s">
        <v>114</v>
      </c>
      <c r="BR256" s="19" t="s">
        <v>114</v>
      </c>
      <c r="BS256" s="19" t="s">
        <v>114</v>
      </c>
      <c r="BT256" s="19" t="s">
        <v>114</v>
      </c>
      <c r="BU256" s="19" t="s">
        <v>114</v>
      </c>
      <c r="BV256" s="19" t="s">
        <v>114</v>
      </c>
      <c r="BW256" s="19" t="s">
        <v>114</v>
      </c>
      <c r="BX256" s="19" t="s">
        <v>114</v>
      </c>
      <c r="BY256" s="19" t="s">
        <v>114</v>
      </c>
      <c r="BZ256" s="21" t="s">
        <v>114</v>
      </c>
      <c r="CA256" s="21" t="s">
        <v>114</v>
      </c>
      <c r="CB256" s="21" t="s">
        <v>114</v>
      </c>
      <c r="CC256" s="21" t="s">
        <v>114</v>
      </c>
      <c r="CD256" s="21" t="s">
        <v>114</v>
      </c>
      <c r="CE256" s="21" t="s">
        <v>114</v>
      </c>
      <c r="CF256" s="19" t="s">
        <v>114</v>
      </c>
      <c r="CG256" s="19" t="s">
        <v>114</v>
      </c>
      <c r="CH256" s="19" t="s">
        <v>114</v>
      </c>
      <c r="CI256" s="21" t="s">
        <v>114</v>
      </c>
      <c r="CJ256" s="21" t="s">
        <v>114</v>
      </c>
      <c r="CK256" s="21" t="s">
        <v>114</v>
      </c>
      <c r="CL256" s="21" t="s">
        <v>114</v>
      </c>
      <c r="CM256" s="21" t="s">
        <v>114</v>
      </c>
      <c r="CN256" s="21" t="s">
        <v>114</v>
      </c>
      <c r="CO256" s="21" t="s">
        <v>114</v>
      </c>
      <c r="CP256" s="21" t="s">
        <v>114</v>
      </c>
      <c r="CQ256" s="21" t="s">
        <v>114</v>
      </c>
      <c r="CR256" s="21" t="s">
        <v>114</v>
      </c>
      <c r="CS256" s="21" t="s">
        <v>114</v>
      </c>
      <c r="CT256" s="21" t="s">
        <v>114</v>
      </c>
      <c r="CU256" s="21" t="s">
        <v>114</v>
      </c>
      <c r="CV256" s="21" t="s">
        <v>114</v>
      </c>
      <c r="CW256" s="21" t="s">
        <v>114</v>
      </c>
      <c r="CX256" s="21">
        <v>98426</v>
      </c>
      <c r="CY256" s="21" t="s">
        <v>114</v>
      </c>
      <c r="CZ256" s="21" t="s">
        <v>114</v>
      </c>
      <c r="DA256" s="21" t="s">
        <v>114</v>
      </c>
      <c r="DB256" s="21" t="s">
        <v>114</v>
      </c>
      <c r="DC256" s="21" t="s">
        <v>114</v>
      </c>
      <c r="DD256" s="21" t="s">
        <v>114</v>
      </c>
      <c r="DE256" s="21" t="s">
        <v>114</v>
      </c>
      <c r="DF256" s="19" t="s">
        <v>114</v>
      </c>
      <c r="DG256" s="19" t="s">
        <v>114</v>
      </c>
      <c r="DH256" s="19" t="s">
        <v>114</v>
      </c>
      <c r="DI256" s="19" t="s">
        <v>114</v>
      </c>
      <c r="DJ256" s="19" t="s">
        <v>114</v>
      </c>
      <c r="DK256" s="19" t="s">
        <v>114</v>
      </c>
      <c r="DL256" s="19" t="s">
        <v>114</v>
      </c>
      <c r="DM256" s="19" t="s">
        <v>114</v>
      </c>
      <c r="DN256" s="19" t="s">
        <v>114</v>
      </c>
      <c r="DO256" s="19" t="s">
        <v>114</v>
      </c>
    </row>
    <row r="257" spans="1:119" hidden="1" x14ac:dyDescent="0.45">
      <c r="A257" s="2" t="s">
        <v>439</v>
      </c>
      <c r="B257" t="s">
        <v>440</v>
      </c>
      <c r="C257" s="2">
        <v>170</v>
      </c>
      <c r="D257" s="6">
        <v>905</v>
      </c>
      <c r="E257" s="2" t="s">
        <v>441</v>
      </c>
      <c r="F257" t="s">
        <v>441</v>
      </c>
      <c r="G257" t="s">
        <v>2043</v>
      </c>
      <c r="H257" s="2" t="s">
        <v>442</v>
      </c>
      <c r="I257" s="2" t="s">
        <v>441</v>
      </c>
      <c r="J257" s="2">
        <v>19</v>
      </c>
      <c r="K257" t="s">
        <v>157</v>
      </c>
      <c r="L257" s="2">
        <v>419</v>
      </c>
      <c r="M257" t="s">
        <v>174</v>
      </c>
      <c r="N257">
        <v>5</v>
      </c>
      <c r="O257" t="s">
        <v>196</v>
      </c>
      <c r="P257" s="2" t="s">
        <v>196</v>
      </c>
      <c r="Q257" s="2" t="s">
        <v>177</v>
      </c>
      <c r="R257" s="2">
        <v>419</v>
      </c>
      <c r="S257" s="2" t="s">
        <v>174</v>
      </c>
      <c r="T257" s="2">
        <v>419</v>
      </c>
      <c r="U257" s="4" t="s">
        <v>174</v>
      </c>
      <c r="V257" t="s">
        <v>2455</v>
      </c>
      <c r="W257" t="s">
        <v>2455</v>
      </c>
      <c r="X257" t="s">
        <v>2440</v>
      </c>
      <c r="Y257" t="s">
        <v>196</v>
      </c>
      <c r="Z257" t="s">
        <v>2468</v>
      </c>
      <c r="AA257" s="3" t="s">
        <v>2762</v>
      </c>
      <c r="AB257" s="3" t="s">
        <v>2880</v>
      </c>
      <c r="AC257" s="2" t="s">
        <v>138</v>
      </c>
      <c r="AD257" s="4" t="s">
        <v>1891</v>
      </c>
      <c r="AE257" t="s">
        <v>104</v>
      </c>
      <c r="AF257" t="s">
        <v>1885</v>
      </c>
      <c r="AG257" t="s">
        <v>1884</v>
      </c>
      <c r="AH257" t="s">
        <v>18</v>
      </c>
      <c r="AI257" s="3" t="s">
        <v>372</v>
      </c>
      <c r="AJ257" s="3" t="s">
        <v>106</v>
      </c>
      <c r="AK257" s="3" t="s">
        <v>107</v>
      </c>
      <c r="AL257" s="5" t="s">
        <v>443</v>
      </c>
      <c r="AM257" s="5" t="s">
        <v>109</v>
      </c>
      <c r="AO257" s="3" t="s">
        <v>119</v>
      </c>
      <c r="AP257" s="3" t="s">
        <v>120</v>
      </c>
      <c r="AQ257" s="3" t="s">
        <v>111</v>
      </c>
      <c r="AR257" s="3" t="s">
        <v>112</v>
      </c>
      <c r="AS257" s="3" t="s">
        <v>112</v>
      </c>
      <c r="AT257" s="3" t="s">
        <v>113</v>
      </c>
      <c r="AU257" s="3" t="s">
        <v>2303</v>
      </c>
      <c r="AV257" s="3" t="s">
        <v>2302</v>
      </c>
      <c r="AW257" s="3" t="s">
        <v>2301</v>
      </c>
      <c r="AX257" s="3" t="s">
        <v>2006</v>
      </c>
      <c r="AY257" s="19" t="s">
        <v>114</v>
      </c>
      <c r="AZ257" s="19" t="s">
        <v>114</v>
      </c>
      <c r="BA257" s="19" t="s">
        <v>114</v>
      </c>
      <c r="BB257" s="19" t="s">
        <v>114</v>
      </c>
      <c r="BC257" s="19" t="s">
        <v>114</v>
      </c>
      <c r="BD257" s="19" t="s">
        <v>114</v>
      </c>
      <c r="BE257" s="19" t="s">
        <v>114</v>
      </c>
      <c r="BF257" s="19" t="s">
        <v>114</v>
      </c>
      <c r="BG257" s="19" t="s">
        <v>114</v>
      </c>
      <c r="BH257" s="19" t="s">
        <v>114</v>
      </c>
      <c r="BI257" s="19" t="s">
        <v>114</v>
      </c>
      <c r="BJ257" s="19" t="s">
        <v>114</v>
      </c>
      <c r="BK257" s="19" t="s">
        <v>114</v>
      </c>
      <c r="BL257" s="19" t="s">
        <v>114</v>
      </c>
      <c r="BM257" s="19" t="s">
        <v>114</v>
      </c>
      <c r="BN257" s="19" t="s">
        <v>114</v>
      </c>
      <c r="BO257" s="19" t="s">
        <v>114</v>
      </c>
      <c r="BP257" s="19" t="s">
        <v>114</v>
      </c>
      <c r="BQ257" s="19" t="s">
        <v>114</v>
      </c>
      <c r="BR257" s="19" t="s">
        <v>114</v>
      </c>
      <c r="BS257" s="19" t="s">
        <v>114</v>
      </c>
      <c r="BT257" s="19" t="s">
        <v>114</v>
      </c>
      <c r="BU257" s="19" t="s">
        <v>114</v>
      </c>
      <c r="BV257" s="19" t="s">
        <v>114</v>
      </c>
      <c r="BW257" s="19" t="s">
        <v>114</v>
      </c>
      <c r="BX257" s="19" t="s">
        <v>114</v>
      </c>
      <c r="BY257" s="19" t="s">
        <v>114</v>
      </c>
      <c r="BZ257" s="21" t="s">
        <v>114</v>
      </c>
      <c r="CA257" s="21" t="s">
        <v>114</v>
      </c>
      <c r="CB257" s="21" t="s">
        <v>114</v>
      </c>
      <c r="CC257" s="21" t="s">
        <v>114</v>
      </c>
      <c r="CD257" s="21" t="s">
        <v>114</v>
      </c>
      <c r="CE257" s="21" t="s">
        <v>114</v>
      </c>
      <c r="CF257" s="19" t="s">
        <v>114</v>
      </c>
      <c r="CG257" s="19">
        <v>98300</v>
      </c>
      <c r="CH257" s="19" t="s">
        <v>114</v>
      </c>
      <c r="CI257" s="21">
        <v>98302</v>
      </c>
      <c r="CJ257" s="21" t="s">
        <v>114</v>
      </c>
      <c r="CK257" s="21" t="s">
        <v>114</v>
      </c>
      <c r="CL257" s="21" t="s">
        <v>114</v>
      </c>
      <c r="CM257" s="21" t="s">
        <v>114</v>
      </c>
      <c r="CN257" s="21" t="s">
        <v>114</v>
      </c>
      <c r="CO257" s="21" t="s">
        <v>114</v>
      </c>
      <c r="CP257" s="21" t="s">
        <v>114</v>
      </c>
      <c r="CQ257" s="21" t="s">
        <v>114</v>
      </c>
      <c r="CR257" s="21" t="s">
        <v>114</v>
      </c>
      <c r="CS257" s="21" t="s">
        <v>114</v>
      </c>
      <c r="CT257" s="21" t="s">
        <v>114</v>
      </c>
      <c r="CU257" s="21" t="s">
        <v>114</v>
      </c>
      <c r="CV257" s="21">
        <v>98424</v>
      </c>
      <c r="CW257" s="21" t="s">
        <v>114</v>
      </c>
      <c r="CX257" s="21" t="s">
        <v>114</v>
      </c>
      <c r="CY257" s="21" t="s">
        <v>114</v>
      </c>
      <c r="CZ257" s="21" t="s">
        <v>114</v>
      </c>
      <c r="DA257" s="21" t="s">
        <v>114</v>
      </c>
      <c r="DB257" s="21" t="s">
        <v>114</v>
      </c>
      <c r="DC257" s="21" t="s">
        <v>114</v>
      </c>
      <c r="DD257" s="21" t="s">
        <v>114</v>
      </c>
      <c r="DE257" s="21" t="s">
        <v>114</v>
      </c>
      <c r="DF257" s="19" t="s">
        <v>114</v>
      </c>
      <c r="DG257" s="19" t="s">
        <v>114</v>
      </c>
      <c r="DH257" s="19" t="s">
        <v>114</v>
      </c>
      <c r="DI257" s="19" t="s">
        <v>114</v>
      </c>
      <c r="DJ257" s="19" t="s">
        <v>114</v>
      </c>
      <c r="DK257" s="19" t="s">
        <v>114</v>
      </c>
      <c r="DL257" s="19" t="s">
        <v>114</v>
      </c>
      <c r="DM257" s="19" t="s">
        <v>114</v>
      </c>
      <c r="DN257" s="19" t="s">
        <v>114</v>
      </c>
      <c r="DO257" s="19" t="s">
        <v>114</v>
      </c>
    </row>
    <row r="258" spans="1:119" hidden="1" x14ac:dyDescent="0.45">
      <c r="A258" s="2" t="s">
        <v>526</v>
      </c>
      <c r="B258" t="s">
        <v>527</v>
      </c>
      <c r="C258" s="2">
        <v>218</v>
      </c>
      <c r="D258" s="6">
        <v>906</v>
      </c>
      <c r="E258" s="2" t="s">
        <v>528</v>
      </c>
      <c r="F258" t="s">
        <v>528</v>
      </c>
      <c r="G258" t="s">
        <v>2058</v>
      </c>
      <c r="H258" s="2" t="s">
        <v>529</v>
      </c>
      <c r="I258" s="2" t="s">
        <v>528</v>
      </c>
      <c r="J258" s="2">
        <v>19</v>
      </c>
      <c r="K258" t="s">
        <v>157</v>
      </c>
      <c r="L258" s="2">
        <v>419</v>
      </c>
      <c r="M258" t="s">
        <v>174</v>
      </c>
      <c r="N258">
        <v>5</v>
      </c>
      <c r="O258" t="s">
        <v>196</v>
      </c>
      <c r="P258" s="2" t="s">
        <v>196</v>
      </c>
      <c r="Q258" s="2" t="s">
        <v>177</v>
      </c>
      <c r="R258" s="2">
        <v>419</v>
      </c>
      <c r="S258" s="2" t="s">
        <v>174</v>
      </c>
      <c r="T258" s="2">
        <v>419</v>
      </c>
      <c r="U258" s="4" t="s">
        <v>174</v>
      </c>
      <c r="V258" t="s">
        <v>2455</v>
      </c>
      <c r="W258" t="s">
        <v>2455</v>
      </c>
      <c r="X258" t="s">
        <v>2440</v>
      </c>
      <c r="Y258" t="s">
        <v>196</v>
      </c>
      <c r="Z258" t="s">
        <v>2468</v>
      </c>
      <c r="AA258" s="3" t="s">
        <v>2762</v>
      </c>
      <c r="AB258" s="3" t="s">
        <v>2880</v>
      </c>
      <c r="AC258" s="2" t="s">
        <v>138</v>
      </c>
      <c r="AD258" s="4" t="s">
        <v>1891</v>
      </c>
      <c r="AE258" t="s">
        <v>104</v>
      </c>
      <c r="AF258" t="s">
        <v>1885</v>
      </c>
      <c r="AG258" t="s">
        <v>1884</v>
      </c>
      <c r="AH258" t="s">
        <v>105</v>
      </c>
      <c r="AI258" s="3" t="s">
        <v>178</v>
      </c>
      <c r="AJ258" s="3" t="s">
        <v>106</v>
      </c>
      <c r="AK258" s="3" t="s">
        <v>107</v>
      </c>
      <c r="AL258" s="5" t="s">
        <v>156</v>
      </c>
      <c r="AM258" s="5" t="s">
        <v>109</v>
      </c>
      <c r="AN258" t="s">
        <v>110</v>
      </c>
      <c r="AO258" s="3" t="s">
        <v>119</v>
      </c>
      <c r="AP258" s="3" t="s">
        <v>120</v>
      </c>
      <c r="AQ258" s="3" t="s">
        <v>111</v>
      </c>
      <c r="AR258" s="3" t="s">
        <v>112</v>
      </c>
      <c r="AS258" s="3" t="s">
        <v>112</v>
      </c>
      <c r="AT258" s="3" t="s">
        <v>113</v>
      </c>
      <c r="AU258" s="3" t="s">
        <v>2303</v>
      </c>
      <c r="AV258" s="3" t="s">
        <v>2302</v>
      </c>
      <c r="AW258" s="3" t="s">
        <v>2301</v>
      </c>
      <c r="AX258" s="3" t="s">
        <v>2006</v>
      </c>
      <c r="AY258" s="19" t="s">
        <v>114</v>
      </c>
      <c r="AZ258" s="19" t="s">
        <v>114</v>
      </c>
      <c r="BA258" s="19" t="s">
        <v>114</v>
      </c>
      <c r="BB258" s="19" t="s">
        <v>114</v>
      </c>
      <c r="BC258" s="19" t="s">
        <v>114</v>
      </c>
      <c r="BD258" s="19" t="s">
        <v>114</v>
      </c>
      <c r="BE258" s="19" t="s">
        <v>114</v>
      </c>
      <c r="BF258" s="19" t="s">
        <v>114</v>
      </c>
      <c r="BG258" s="19" t="s">
        <v>114</v>
      </c>
      <c r="BH258" s="19" t="s">
        <v>114</v>
      </c>
      <c r="BI258" s="19" t="s">
        <v>114</v>
      </c>
      <c r="BJ258" s="19" t="s">
        <v>114</v>
      </c>
      <c r="BK258" s="19" t="s">
        <v>114</v>
      </c>
      <c r="BL258" s="19" t="s">
        <v>114</v>
      </c>
      <c r="BM258" s="19" t="s">
        <v>114</v>
      </c>
      <c r="BN258" s="19" t="s">
        <v>114</v>
      </c>
      <c r="BO258" s="19" t="s">
        <v>114</v>
      </c>
      <c r="BP258" s="19" t="s">
        <v>114</v>
      </c>
      <c r="BQ258" s="19" t="s">
        <v>114</v>
      </c>
      <c r="BR258" s="19" t="s">
        <v>114</v>
      </c>
      <c r="BS258" s="19" t="s">
        <v>114</v>
      </c>
      <c r="BT258" s="19" t="s">
        <v>114</v>
      </c>
      <c r="BU258" s="19" t="s">
        <v>114</v>
      </c>
      <c r="BV258" s="19" t="s">
        <v>114</v>
      </c>
      <c r="BW258" s="19" t="s">
        <v>114</v>
      </c>
      <c r="BX258" s="19" t="s">
        <v>114</v>
      </c>
      <c r="BY258" s="19" t="s">
        <v>114</v>
      </c>
      <c r="BZ258" s="21" t="s">
        <v>114</v>
      </c>
      <c r="CA258" s="21" t="s">
        <v>114</v>
      </c>
      <c r="CB258" s="21" t="s">
        <v>114</v>
      </c>
      <c r="CC258" s="21" t="s">
        <v>114</v>
      </c>
      <c r="CD258" s="21" t="s">
        <v>114</v>
      </c>
      <c r="CE258" s="21" t="s">
        <v>114</v>
      </c>
      <c r="CF258" s="19" t="s">
        <v>114</v>
      </c>
      <c r="CG258" s="19">
        <v>98300</v>
      </c>
      <c r="CH258" s="19" t="s">
        <v>114</v>
      </c>
      <c r="CI258" s="21">
        <v>98302</v>
      </c>
      <c r="CJ258" s="21" t="s">
        <v>114</v>
      </c>
      <c r="CK258" s="21" t="s">
        <v>114</v>
      </c>
      <c r="CL258" s="21" t="s">
        <v>114</v>
      </c>
      <c r="CM258" s="21" t="s">
        <v>114</v>
      </c>
      <c r="CN258" s="21" t="s">
        <v>114</v>
      </c>
      <c r="CO258" s="21" t="s">
        <v>114</v>
      </c>
      <c r="CP258" s="21" t="s">
        <v>114</v>
      </c>
      <c r="CQ258" s="21" t="s">
        <v>114</v>
      </c>
      <c r="CR258" s="21" t="s">
        <v>114</v>
      </c>
      <c r="CS258" s="21" t="s">
        <v>114</v>
      </c>
      <c r="CT258" s="21" t="s">
        <v>114</v>
      </c>
      <c r="CU258" s="21" t="s">
        <v>114</v>
      </c>
      <c r="CV258" s="21">
        <v>98424</v>
      </c>
      <c r="CW258" s="21" t="s">
        <v>114</v>
      </c>
      <c r="CX258" s="21" t="s">
        <v>114</v>
      </c>
      <c r="CY258" s="21" t="s">
        <v>114</v>
      </c>
      <c r="CZ258" s="21" t="s">
        <v>114</v>
      </c>
      <c r="DA258" s="21" t="s">
        <v>114</v>
      </c>
      <c r="DB258" s="21" t="s">
        <v>114</v>
      </c>
      <c r="DC258" s="21" t="s">
        <v>114</v>
      </c>
      <c r="DD258" s="21" t="s">
        <v>114</v>
      </c>
      <c r="DE258" s="21" t="s">
        <v>114</v>
      </c>
      <c r="DF258" s="19" t="s">
        <v>114</v>
      </c>
      <c r="DG258" s="19" t="s">
        <v>114</v>
      </c>
      <c r="DH258" s="19" t="s">
        <v>114</v>
      </c>
      <c r="DI258" s="19" t="s">
        <v>114</v>
      </c>
      <c r="DJ258" s="19" t="s">
        <v>114</v>
      </c>
      <c r="DK258" s="19" t="s">
        <v>114</v>
      </c>
      <c r="DL258" s="19" t="s">
        <v>114</v>
      </c>
      <c r="DM258" s="19" t="s">
        <v>114</v>
      </c>
      <c r="DN258" s="19" t="s">
        <v>114</v>
      </c>
      <c r="DO258" s="19" t="s">
        <v>114</v>
      </c>
    </row>
    <row r="259" spans="1:119" hidden="1" x14ac:dyDescent="0.45">
      <c r="A259" s="2" t="s">
        <v>573</v>
      </c>
      <c r="B259" t="s">
        <v>574</v>
      </c>
      <c r="C259" s="2">
        <v>238</v>
      </c>
      <c r="D259" s="6">
        <v>907</v>
      </c>
      <c r="E259" s="2" t="s">
        <v>1640</v>
      </c>
      <c r="F259" t="s">
        <v>575</v>
      </c>
      <c r="H259" s="2" t="s">
        <v>576</v>
      </c>
      <c r="I259" s="2" t="s">
        <v>577</v>
      </c>
      <c r="J259" s="2">
        <v>19</v>
      </c>
      <c r="K259" t="s">
        <v>157</v>
      </c>
      <c r="L259" s="2">
        <v>419</v>
      </c>
      <c r="M259" t="s">
        <v>174</v>
      </c>
      <c r="N259">
        <v>5</v>
      </c>
      <c r="O259" t="s">
        <v>196</v>
      </c>
      <c r="P259" s="2" t="s">
        <v>196</v>
      </c>
      <c r="Q259" s="2" t="s">
        <v>177</v>
      </c>
      <c r="R259" s="2">
        <v>419</v>
      </c>
      <c r="S259" s="2" t="s">
        <v>174</v>
      </c>
      <c r="T259" s="2">
        <v>419</v>
      </c>
      <c r="U259" s="4" t="s">
        <v>174</v>
      </c>
      <c r="V259" t="s">
        <v>2455</v>
      </c>
      <c r="W259" t="s">
        <v>2455</v>
      </c>
      <c r="X259" t="s">
        <v>2440</v>
      </c>
      <c r="Y259" t="s">
        <v>196</v>
      </c>
      <c r="Z259" t="s">
        <v>2468</v>
      </c>
      <c r="AA259" s="3" t="s">
        <v>2762</v>
      </c>
      <c r="AB259" s="3" t="s">
        <v>2880</v>
      </c>
      <c r="AC259" s="2" t="s">
        <v>1888</v>
      </c>
      <c r="AD259" s="2" t="s">
        <v>1888</v>
      </c>
      <c r="AE259" t="s">
        <v>104</v>
      </c>
      <c r="AF259" t="s">
        <v>1886</v>
      </c>
      <c r="AG259" s="3" t="s">
        <v>1887</v>
      </c>
      <c r="AH259" t="s">
        <v>105</v>
      </c>
      <c r="AI259" s="3" t="s">
        <v>178</v>
      </c>
      <c r="AJ259" s="3" t="s">
        <v>106</v>
      </c>
      <c r="AK259" s="3" t="s">
        <v>107</v>
      </c>
      <c r="AL259" s="5" t="s">
        <v>578</v>
      </c>
      <c r="AM259" s="5" t="s">
        <v>109</v>
      </c>
      <c r="AO259" s="3" t="s">
        <v>119</v>
      </c>
      <c r="AP259" s="3" t="s">
        <v>120</v>
      </c>
      <c r="AQ259" s="3" t="s">
        <v>111</v>
      </c>
      <c r="AR259" s="3" t="s">
        <v>112</v>
      </c>
      <c r="AS259" s="3" t="s">
        <v>112</v>
      </c>
      <c r="AT259" s="3" t="s">
        <v>113</v>
      </c>
      <c r="AU259" s="3" t="s">
        <v>2303</v>
      </c>
      <c r="AV259" s="3" t="s">
        <v>2302</v>
      </c>
      <c r="AW259" s="3" t="s">
        <v>2301</v>
      </c>
      <c r="AX259" s="3" t="s">
        <v>2006</v>
      </c>
      <c r="AY259" s="19" t="s">
        <v>114</v>
      </c>
      <c r="AZ259" s="19" t="s">
        <v>114</v>
      </c>
      <c r="BA259" s="19" t="s">
        <v>114</v>
      </c>
      <c r="BB259" s="19" t="s">
        <v>114</v>
      </c>
      <c r="BC259" s="19" t="s">
        <v>114</v>
      </c>
      <c r="BD259" s="19" t="s">
        <v>114</v>
      </c>
      <c r="BE259" s="19" t="s">
        <v>114</v>
      </c>
      <c r="BF259" s="19" t="s">
        <v>114</v>
      </c>
      <c r="BG259" s="19" t="s">
        <v>114</v>
      </c>
      <c r="BH259" s="19" t="s">
        <v>114</v>
      </c>
      <c r="BI259" s="19" t="s">
        <v>114</v>
      </c>
      <c r="BJ259" s="19" t="s">
        <v>114</v>
      </c>
      <c r="BK259" s="19" t="s">
        <v>114</v>
      </c>
      <c r="BL259" s="19" t="s">
        <v>114</v>
      </c>
      <c r="BM259" s="19" t="s">
        <v>114</v>
      </c>
      <c r="BN259" s="19" t="s">
        <v>114</v>
      </c>
      <c r="BO259" s="19" t="s">
        <v>114</v>
      </c>
      <c r="BP259" s="19" t="s">
        <v>114</v>
      </c>
      <c r="BQ259" s="19" t="s">
        <v>114</v>
      </c>
      <c r="BR259" s="19" t="s">
        <v>114</v>
      </c>
      <c r="BS259" s="19" t="s">
        <v>114</v>
      </c>
      <c r="BT259" s="19" t="s">
        <v>114</v>
      </c>
      <c r="BU259" s="19" t="s">
        <v>114</v>
      </c>
      <c r="BV259" s="19" t="s">
        <v>114</v>
      </c>
      <c r="BW259" s="19" t="s">
        <v>114</v>
      </c>
      <c r="BX259" s="19" t="s">
        <v>114</v>
      </c>
      <c r="BY259" s="19" t="s">
        <v>114</v>
      </c>
      <c r="BZ259" s="21" t="s">
        <v>114</v>
      </c>
      <c r="CA259" s="21" t="s">
        <v>114</v>
      </c>
      <c r="CB259" s="21" t="s">
        <v>114</v>
      </c>
      <c r="CC259" s="21" t="s">
        <v>114</v>
      </c>
      <c r="CD259" s="21" t="s">
        <v>114</v>
      </c>
      <c r="CE259" s="21" t="s">
        <v>114</v>
      </c>
      <c r="CF259" s="19" t="s">
        <v>114</v>
      </c>
      <c r="CG259" s="19" t="s">
        <v>114</v>
      </c>
      <c r="CH259" s="19" t="s">
        <v>114</v>
      </c>
      <c r="CI259" s="21" t="s">
        <v>114</v>
      </c>
      <c r="CJ259" s="21" t="s">
        <v>114</v>
      </c>
      <c r="CK259" s="21" t="s">
        <v>114</v>
      </c>
      <c r="CL259" s="21" t="s">
        <v>114</v>
      </c>
      <c r="CM259" s="21" t="s">
        <v>114</v>
      </c>
      <c r="CN259" s="21" t="s">
        <v>114</v>
      </c>
      <c r="CO259" s="21" t="s">
        <v>114</v>
      </c>
      <c r="CP259" s="21" t="s">
        <v>114</v>
      </c>
      <c r="CQ259" s="21" t="s">
        <v>114</v>
      </c>
      <c r="CR259" s="21" t="s">
        <v>114</v>
      </c>
      <c r="CS259" s="21" t="s">
        <v>114</v>
      </c>
      <c r="CT259" s="21" t="s">
        <v>114</v>
      </c>
      <c r="CU259" s="21" t="s">
        <v>114</v>
      </c>
      <c r="CV259" s="21">
        <v>98424</v>
      </c>
      <c r="CW259" s="21" t="s">
        <v>114</v>
      </c>
      <c r="CX259" s="21" t="s">
        <v>114</v>
      </c>
      <c r="CY259" s="21" t="s">
        <v>114</v>
      </c>
      <c r="CZ259" s="21" t="s">
        <v>114</v>
      </c>
      <c r="DA259" s="21" t="s">
        <v>114</v>
      </c>
      <c r="DB259" s="21" t="s">
        <v>114</v>
      </c>
      <c r="DC259" s="21" t="s">
        <v>114</v>
      </c>
      <c r="DD259" s="21" t="s">
        <v>114</v>
      </c>
      <c r="DE259" s="21" t="s">
        <v>114</v>
      </c>
      <c r="DF259" s="19" t="s">
        <v>114</v>
      </c>
      <c r="DG259" s="19" t="s">
        <v>114</v>
      </c>
      <c r="DH259" s="19" t="s">
        <v>114</v>
      </c>
      <c r="DI259" s="19" t="s">
        <v>114</v>
      </c>
      <c r="DJ259" s="19" t="s">
        <v>114</v>
      </c>
      <c r="DK259" s="19" t="s">
        <v>114</v>
      </c>
      <c r="DL259" s="19" t="s">
        <v>114</v>
      </c>
      <c r="DM259" s="19" t="s">
        <v>114</v>
      </c>
      <c r="DN259" s="19" t="s">
        <v>114</v>
      </c>
      <c r="DO259" s="19" t="s">
        <v>114</v>
      </c>
    </row>
    <row r="260" spans="1:119" hidden="1" x14ac:dyDescent="0.45">
      <c r="A260" s="2" t="s">
        <v>599</v>
      </c>
      <c r="B260" t="s">
        <v>600</v>
      </c>
      <c r="C260" s="2">
        <v>254</v>
      </c>
      <c r="D260" s="6">
        <v>908</v>
      </c>
      <c r="E260" s="2" t="s">
        <v>1648</v>
      </c>
      <c r="F260" t="s">
        <v>601</v>
      </c>
      <c r="H260" s="2" t="s">
        <v>602</v>
      </c>
      <c r="I260" s="2" t="s">
        <v>603</v>
      </c>
      <c r="J260" s="2">
        <v>19</v>
      </c>
      <c r="K260" t="s">
        <v>157</v>
      </c>
      <c r="L260" s="2">
        <v>419</v>
      </c>
      <c r="M260" t="s">
        <v>174</v>
      </c>
      <c r="N260">
        <v>5</v>
      </c>
      <c r="O260" t="s">
        <v>196</v>
      </c>
      <c r="P260" s="2" t="s">
        <v>196</v>
      </c>
      <c r="Q260" s="2" t="s">
        <v>177</v>
      </c>
      <c r="R260" s="2">
        <v>419</v>
      </c>
      <c r="S260" s="2" t="s">
        <v>174</v>
      </c>
      <c r="T260" s="2">
        <v>419</v>
      </c>
      <c r="U260" s="4" t="s">
        <v>174</v>
      </c>
      <c r="V260" t="s">
        <v>2455</v>
      </c>
      <c r="W260" t="s">
        <v>2455</v>
      </c>
      <c r="X260" t="s">
        <v>2440</v>
      </c>
      <c r="Y260" t="s">
        <v>196</v>
      </c>
      <c r="Z260" t="s">
        <v>2468</v>
      </c>
      <c r="AA260" s="3" t="s">
        <v>2762</v>
      </c>
      <c r="AB260" s="3" t="s">
        <v>2880</v>
      </c>
      <c r="AC260" s="2" t="s">
        <v>1888</v>
      </c>
      <c r="AD260" s="2" t="s">
        <v>1888</v>
      </c>
      <c r="AE260" t="s">
        <v>104</v>
      </c>
      <c r="AF260" t="s">
        <v>1886</v>
      </c>
      <c r="AG260" s="3" t="s">
        <v>1887</v>
      </c>
      <c r="AH260" t="s">
        <v>105</v>
      </c>
      <c r="AI260" s="3" t="s">
        <v>178</v>
      </c>
      <c r="AJ260" s="3" t="s">
        <v>106</v>
      </c>
      <c r="AK260" s="3" t="s">
        <v>107</v>
      </c>
      <c r="AL260" s="5" t="s">
        <v>132</v>
      </c>
      <c r="AM260" s="5" t="s">
        <v>109</v>
      </c>
      <c r="AO260" s="3" t="s">
        <v>119</v>
      </c>
      <c r="AP260" s="3" t="s">
        <v>120</v>
      </c>
      <c r="AQ260" s="3" t="s">
        <v>111</v>
      </c>
      <c r="AR260" s="3" t="s">
        <v>112</v>
      </c>
      <c r="AS260" s="3" t="s">
        <v>112</v>
      </c>
      <c r="AT260" s="3" t="s">
        <v>113</v>
      </c>
      <c r="AU260" s="3" t="s">
        <v>2303</v>
      </c>
      <c r="AV260" s="3" t="s">
        <v>2302</v>
      </c>
      <c r="AW260" s="3" t="s">
        <v>2301</v>
      </c>
      <c r="AX260" s="3" t="s">
        <v>2006</v>
      </c>
      <c r="AY260" s="19" t="s">
        <v>114</v>
      </c>
      <c r="AZ260" s="19" t="s">
        <v>114</v>
      </c>
      <c r="BA260" s="19" t="s">
        <v>114</v>
      </c>
      <c r="BB260" s="19" t="s">
        <v>114</v>
      </c>
      <c r="BC260" s="19" t="s">
        <v>114</v>
      </c>
      <c r="BD260" s="19" t="s">
        <v>114</v>
      </c>
      <c r="BE260" s="19" t="s">
        <v>114</v>
      </c>
      <c r="BF260" s="19" t="s">
        <v>114</v>
      </c>
      <c r="BG260" s="19" t="s">
        <v>114</v>
      </c>
      <c r="BH260" s="19" t="s">
        <v>114</v>
      </c>
      <c r="BI260" s="19" t="s">
        <v>114</v>
      </c>
      <c r="BJ260" s="19" t="s">
        <v>114</v>
      </c>
      <c r="BK260" s="19" t="s">
        <v>114</v>
      </c>
      <c r="BL260" s="19" t="s">
        <v>114</v>
      </c>
      <c r="BM260" s="19" t="s">
        <v>114</v>
      </c>
      <c r="BN260" s="19" t="s">
        <v>114</v>
      </c>
      <c r="BO260" s="19" t="s">
        <v>114</v>
      </c>
      <c r="BP260" s="19" t="s">
        <v>114</v>
      </c>
      <c r="BQ260" s="19" t="s">
        <v>114</v>
      </c>
      <c r="BR260" s="19" t="s">
        <v>114</v>
      </c>
      <c r="BS260" s="19" t="s">
        <v>114</v>
      </c>
      <c r="BT260" s="19" t="s">
        <v>114</v>
      </c>
      <c r="BU260" s="19" t="s">
        <v>114</v>
      </c>
      <c r="BV260" s="19" t="s">
        <v>114</v>
      </c>
      <c r="BW260" s="19" t="s">
        <v>114</v>
      </c>
      <c r="BX260" s="19" t="s">
        <v>114</v>
      </c>
      <c r="BY260" s="19" t="s">
        <v>114</v>
      </c>
      <c r="BZ260" s="21" t="s">
        <v>114</v>
      </c>
      <c r="CA260" s="21" t="s">
        <v>114</v>
      </c>
      <c r="CB260" s="21" t="s">
        <v>114</v>
      </c>
      <c r="CC260" s="21" t="s">
        <v>114</v>
      </c>
      <c r="CD260" s="21" t="s">
        <v>114</v>
      </c>
      <c r="CE260" s="21" t="s">
        <v>114</v>
      </c>
      <c r="CF260" s="19" t="s">
        <v>114</v>
      </c>
      <c r="CG260" s="19">
        <v>98300</v>
      </c>
      <c r="CH260" s="19">
        <v>98301</v>
      </c>
      <c r="CI260" s="21" t="s">
        <v>114</v>
      </c>
      <c r="CJ260" s="21" t="s">
        <v>114</v>
      </c>
      <c r="CK260" s="21" t="s">
        <v>114</v>
      </c>
      <c r="CL260" s="21" t="s">
        <v>114</v>
      </c>
      <c r="CM260" s="21" t="s">
        <v>114</v>
      </c>
      <c r="CN260" s="21" t="s">
        <v>114</v>
      </c>
      <c r="CO260" s="21" t="s">
        <v>114</v>
      </c>
      <c r="CP260" s="21" t="s">
        <v>114</v>
      </c>
      <c r="CQ260" s="21" t="s">
        <v>114</v>
      </c>
      <c r="CR260" s="21" t="s">
        <v>114</v>
      </c>
      <c r="CS260" s="21" t="s">
        <v>114</v>
      </c>
      <c r="CT260" s="21" t="s">
        <v>114</v>
      </c>
      <c r="CU260" s="21" t="s">
        <v>114</v>
      </c>
      <c r="CV260" s="21">
        <v>98424</v>
      </c>
      <c r="CW260" s="21" t="s">
        <v>114</v>
      </c>
      <c r="CX260" s="21" t="s">
        <v>114</v>
      </c>
      <c r="CY260" s="21" t="s">
        <v>114</v>
      </c>
      <c r="CZ260" s="21" t="s">
        <v>114</v>
      </c>
      <c r="DA260" s="21" t="s">
        <v>114</v>
      </c>
      <c r="DB260" s="21" t="s">
        <v>114</v>
      </c>
      <c r="DC260" s="21" t="s">
        <v>114</v>
      </c>
      <c r="DD260" s="21" t="s">
        <v>114</v>
      </c>
      <c r="DE260" s="21" t="s">
        <v>114</v>
      </c>
      <c r="DF260" s="19" t="s">
        <v>114</v>
      </c>
      <c r="DG260" s="19" t="s">
        <v>114</v>
      </c>
      <c r="DH260" s="19" t="s">
        <v>114</v>
      </c>
      <c r="DI260" s="19" t="s">
        <v>114</v>
      </c>
      <c r="DJ260" s="19" t="s">
        <v>114</v>
      </c>
      <c r="DK260" s="19" t="s">
        <v>114</v>
      </c>
      <c r="DL260" s="19" t="s">
        <v>114</v>
      </c>
      <c r="DM260" s="19" t="s">
        <v>114</v>
      </c>
      <c r="DN260" s="19" t="s">
        <v>114</v>
      </c>
      <c r="DO260" s="19" t="s">
        <v>114</v>
      </c>
    </row>
    <row r="261" spans="1:119" hidden="1" x14ac:dyDescent="0.45">
      <c r="A261" s="2" t="s">
        <v>684</v>
      </c>
      <c r="B261" t="s">
        <v>685</v>
      </c>
      <c r="C261" s="2">
        <v>328</v>
      </c>
      <c r="D261" s="6">
        <v>909</v>
      </c>
      <c r="E261" s="2" t="s">
        <v>686</v>
      </c>
      <c r="F261" t="s">
        <v>686</v>
      </c>
      <c r="G261" t="s">
        <v>2077</v>
      </c>
      <c r="H261" s="2" t="s">
        <v>686</v>
      </c>
      <c r="I261" s="2" t="s">
        <v>686</v>
      </c>
      <c r="J261" s="2">
        <v>19</v>
      </c>
      <c r="K261" t="s">
        <v>157</v>
      </c>
      <c r="L261" s="2">
        <v>419</v>
      </c>
      <c r="M261" t="s">
        <v>174</v>
      </c>
      <c r="N261">
        <v>5</v>
      </c>
      <c r="O261" t="s">
        <v>196</v>
      </c>
      <c r="P261" s="2" t="s">
        <v>196</v>
      </c>
      <c r="Q261" s="2" t="s">
        <v>177</v>
      </c>
      <c r="R261" s="2">
        <v>419</v>
      </c>
      <c r="S261" s="2" t="s">
        <v>174</v>
      </c>
      <c r="T261" s="2">
        <v>419</v>
      </c>
      <c r="U261" s="4" t="s">
        <v>174</v>
      </c>
      <c r="V261" t="s">
        <v>2455</v>
      </c>
      <c r="W261" t="s">
        <v>2455</v>
      </c>
      <c r="X261" t="s">
        <v>2440</v>
      </c>
      <c r="Y261" t="s">
        <v>196</v>
      </c>
      <c r="Z261" t="s">
        <v>2468</v>
      </c>
      <c r="AA261" s="3" t="s">
        <v>2762</v>
      </c>
      <c r="AB261" s="3" t="s">
        <v>2880</v>
      </c>
      <c r="AC261" s="2" t="s">
        <v>138</v>
      </c>
      <c r="AD261" s="2" t="s">
        <v>1890</v>
      </c>
      <c r="AE261" t="s">
        <v>104</v>
      </c>
      <c r="AF261" t="s">
        <v>1885</v>
      </c>
      <c r="AG261" t="s">
        <v>1884</v>
      </c>
      <c r="AH261" t="s">
        <v>105</v>
      </c>
      <c r="AI261" s="3" t="s">
        <v>178</v>
      </c>
      <c r="AJ261" s="3" t="s">
        <v>106</v>
      </c>
      <c r="AK261" s="3" t="s">
        <v>107</v>
      </c>
      <c r="AL261" s="5" t="s">
        <v>687</v>
      </c>
      <c r="AM261" s="5" t="s">
        <v>109</v>
      </c>
      <c r="AN261" t="s">
        <v>110</v>
      </c>
      <c r="AO261" s="3" t="s">
        <v>119</v>
      </c>
      <c r="AP261" s="3" t="s">
        <v>120</v>
      </c>
      <c r="AQ261" s="3" t="s">
        <v>27</v>
      </c>
      <c r="AR261" s="3" t="s">
        <v>112</v>
      </c>
      <c r="AS261" s="3" t="s">
        <v>112</v>
      </c>
      <c r="AT261" t="s">
        <v>191</v>
      </c>
      <c r="AU261" s="3" t="s">
        <v>2303</v>
      </c>
      <c r="AV261" s="3" t="s">
        <v>2302</v>
      </c>
      <c r="AW261" s="3" t="s">
        <v>2301</v>
      </c>
      <c r="AX261" s="3" t="s">
        <v>2006</v>
      </c>
      <c r="AY261" s="19" t="s">
        <v>114</v>
      </c>
      <c r="AZ261" s="19" t="s">
        <v>114</v>
      </c>
      <c r="BA261" s="19" t="s">
        <v>114</v>
      </c>
      <c r="BB261" s="19" t="s">
        <v>114</v>
      </c>
      <c r="BC261" s="19" t="s">
        <v>114</v>
      </c>
      <c r="BD261" s="19" t="s">
        <v>114</v>
      </c>
      <c r="BE261" s="19" t="s">
        <v>114</v>
      </c>
      <c r="BF261" s="19" t="s">
        <v>114</v>
      </c>
      <c r="BG261" s="19" t="s">
        <v>114</v>
      </c>
      <c r="BH261" s="19" t="s">
        <v>114</v>
      </c>
      <c r="BI261" s="19" t="s">
        <v>114</v>
      </c>
      <c r="BJ261" s="19" t="s">
        <v>114</v>
      </c>
      <c r="BK261" s="19" t="s">
        <v>114</v>
      </c>
      <c r="BL261" s="19" t="s">
        <v>114</v>
      </c>
      <c r="BM261" s="19" t="s">
        <v>114</v>
      </c>
      <c r="BN261" s="19" t="s">
        <v>114</v>
      </c>
      <c r="BO261" s="19" t="s">
        <v>114</v>
      </c>
      <c r="BP261" s="19" t="s">
        <v>114</v>
      </c>
      <c r="BQ261" s="19" t="s">
        <v>114</v>
      </c>
      <c r="BR261" s="19" t="s">
        <v>114</v>
      </c>
      <c r="BS261" s="19" t="s">
        <v>114</v>
      </c>
      <c r="BT261" s="19" t="s">
        <v>114</v>
      </c>
      <c r="BU261" s="19" t="s">
        <v>114</v>
      </c>
      <c r="BV261" s="19" t="s">
        <v>114</v>
      </c>
      <c r="BW261" s="19" t="s">
        <v>114</v>
      </c>
      <c r="BX261" s="19" t="s">
        <v>114</v>
      </c>
      <c r="BY261" s="19" t="s">
        <v>114</v>
      </c>
      <c r="BZ261" s="21" t="s">
        <v>114</v>
      </c>
      <c r="CA261" s="21" t="s">
        <v>114</v>
      </c>
      <c r="CB261" s="21" t="s">
        <v>114</v>
      </c>
      <c r="CC261" s="21" t="s">
        <v>114</v>
      </c>
      <c r="CD261" s="21" t="s">
        <v>114</v>
      </c>
      <c r="CE261" s="21" t="s">
        <v>114</v>
      </c>
      <c r="CF261" s="19" t="s">
        <v>114</v>
      </c>
      <c r="CG261" s="19">
        <v>98300</v>
      </c>
      <c r="CH261" s="19">
        <v>98301</v>
      </c>
      <c r="CI261" s="21" t="s">
        <v>114</v>
      </c>
      <c r="CJ261" s="21" t="s">
        <v>114</v>
      </c>
      <c r="CK261" s="21" t="s">
        <v>114</v>
      </c>
      <c r="CL261" s="21" t="s">
        <v>114</v>
      </c>
      <c r="CM261" s="21" t="s">
        <v>114</v>
      </c>
      <c r="CN261" s="21" t="s">
        <v>114</v>
      </c>
      <c r="CO261" s="21" t="s">
        <v>114</v>
      </c>
      <c r="CP261" s="21" t="s">
        <v>114</v>
      </c>
      <c r="CQ261" s="21" t="s">
        <v>114</v>
      </c>
      <c r="CR261" s="21" t="s">
        <v>114</v>
      </c>
      <c r="CS261" s="21" t="s">
        <v>114</v>
      </c>
      <c r="CT261" s="21" t="s">
        <v>114</v>
      </c>
      <c r="CU261" s="21" t="s">
        <v>114</v>
      </c>
      <c r="CV261" s="21">
        <v>98424</v>
      </c>
      <c r="CW261" s="21" t="s">
        <v>114</v>
      </c>
      <c r="CX261" s="21" t="s">
        <v>114</v>
      </c>
      <c r="CY261" s="21" t="s">
        <v>114</v>
      </c>
      <c r="CZ261" s="21" t="s">
        <v>114</v>
      </c>
      <c r="DA261" s="21" t="s">
        <v>114</v>
      </c>
      <c r="DB261" s="21" t="s">
        <v>114</v>
      </c>
      <c r="DC261" s="21" t="s">
        <v>114</v>
      </c>
      <c r="DD261" s="21" t="s">
        <v>114</v>
      </c>
      <c r="DE261" s="21" t="s">
        <v>114</v>
      </c>
      <c r="DF261" s="19" t="s">
        <v>114</v>
      </c>
      <c r="DG261" s="19" t="s">
        <v>114</v>
      </c>
      <c r="DH261" s="19" t="s">
        <v>114</v>
      </c>
      <c r="DI261" s="19" t="s">
        <v>114</v>
      </c>
      <c r="DJ261" s="19" t="s">
        <v>114</v>
      </c>
      <c r="DK261" s="19" t="s">
        <v>114</v>
      </c>
      <c r="DL261" s="19" t="s">
        <v>114</v>
      </c>
      <c r="DM261" s="19" t="s">
        <v>114</v>
      </c>
      <c r="DN261" s="19" t="s">
        <v>114</v>
      </c>
      <c r="DO261" s="19" t="s">
        <v>114</v>
      </c>
    </row>
    <row r="262" spans="1:119" hidden="1" x14ac:dyDescent="0.45">
      <c r="A262" s="2" t="s">
        <v>1042</v>
      </c>
      <c r="B262" t="s">
        <v>1043</v>
      </c>
      <c r="C262" s="2">
        <v>600</v>
      </c>
      <c r="D262" s="6">
        <v>910</v>
      </c>
      <c r="E262" s="2" t="s">
        <v>1044</v>
      </c>
      <c r="F262" t="s">
        <v>1044</v>
      </c>
      <c r="G262" t="s">
        <v>2128</v>
      </c>
      <c r="H262" s="2" t="s">
        <v>1044</v>
      </c>
      <c r="I262" s="2" t="s">
        <v>1044</v>
      </c>
      <c r="J262" s="2">
        <v>19</v>
      </c>
      <c r="K262" t="s">
        <v>157</v>
      </c>
      <c r="L262" s="2">
        <v>419</v>
      </c>
      <c r="M262" t="s">
        <v>174</v>
      </c>
      <c r="N262">
        <v>5</v>
      </c>
      <c r="O262" t="s">
        <v>196</v>
      </c>
      <c r="P262" s="2" t="s">
        <v>196</v>
      </c>
      <c r="Q262" s="2" t="s">
        <v>177</v>
      </c>
      <c r="R262" s="2">
        <v>419</v>
      </c>
      <c r="S262" s="2" t="s">
        <v>174</v>
      </c>
      <c r="T262" s="2">
        <v>419</v>
      </c>
      <c r="U262" s="4" t="s">
        <v>174</v>
      </c>
      <c r="V262" t="s">
        <v>2455</v>
      </c>
      <c r="W262" t="s">
        <v>2455</v>
      </c>
      <c r="X262" t="s">
        <v>2440</v>
      </c>
      <c r="Y262" t="s">
        <v>196</v>
      </c>
      <c r="Z262" t="s">
        <v>2468</v>
      </c>
      <c r="AA262" s="3" t="s">
        <v>2762</v>
      </c>
      <c r="AB262" s="3" t="s">
        <v>2880</v>
      </c>
      <c r="AC262" s="2" t="s">
        <v>138</v>
      </c>
      <c r="AD262" s="4" t="s">
        <v>1891</v>
      </c>
      <c r="AE262" t="s">
        <v>104</v>
      </c>
      <c r="AF262" t="s">
        <v>1885</v>
      </c>
      <c r="AG262" t="s">
        <v>1884</v>
      </c>
      <c r="AH262" t="s">
        <v>105</v>
      </c>
      <c r="AI262" s="3" t="s">
        <v>178</v>
      </c>
      <c r="AJ262" s="3" t="s">
        <v>106</v>
      </c>
      <c r="AK262" s="3" t="s">
        <v>107</v>
      </c>
      <c r="AL262" s="5" t="s">
        <v>1045</v>
      </c>
      <c r="AM262" s="5" t="s">
        <v>109</v>
      </c>
      <c r="AO262" s="3" t="s">
        <v>119</v>
      </c>
      <c r="AP262" s="3" t="s">
        <v>26</v>
      </c>
      <c r="AQ262" s="3" t="s">
        <v>111</v>
      </c>
      <c r="AR262" s="3" t="s">
        <v>112</v>
      </c>
      <c r="AS262" s="3" t="s">
        <v>112</v>
      </c>
      <c r="AT262" s="3" t="s">
        <v>113</v>
      </c>
      <c r="AU262" s="3" t="s">
        <v>2303</v>
      </c>
      <c r="AV262" s="3" t="s">
        <v>2302</v>
      </c>
      <c r="AW262" s="3" t="s">
        <v>2301</v>
      </c>
      <c r="AX262" s="3" t="s">
        <v>2006</v>
      </c>
      <c r="AY262" s="19" t="s">
        <v>114</v>
      </c>
      <c r="AZ262" s="19" t="s">
        <v>114</v>
      </c>
      <c r="BA262" s="19" t="s">
        <v>114</v>
      </c>
      <c r="BB262" s="19" t="s">
        <v>114</v>
      </c>
      <c r="BC262" s="19" t="s">
        <v>114</v>
      </c>
      <c r="BD262" s="19" t="s">
        <v>114</v>
      </c>
      <c r="BE262" s="19" t="s">
        <v>114</v>
      </c>
      <c r="BF262" s="19" t="s">
        <v>114</v>
      </c>
      <c r="BG262" s="19" t="s">
        <v>114</v>
      </c>
      <c r="BH262" s="19" t="s">
        <v>114</v>
      </c>
      <c r="BI262" s="19" t="s">
        <v>114</v>
      </c>
      <c r="BJ262" s="19" t="s">
        <v>114</v>
      </c>
      <c r="BK262" s="19" t="s">
        <v>114</v>
      </c>
      <c r="BL262" s="19" t="s">
        <v>114</v>
      </c>
      <c r="BM262" s="19" t="s">
        <v>114</v>
      </c>
      <c r="BN262" s="19" t="s">
        <v>114</v>
      </c>
      <c r="BO262" s="19" t="s">
        <v>114</v>
      </c>
      <c r="BP262" s="19" t="s">
        <v>114</v>
      </c>
      <c r="BQ262" s="19" t="s">
        <v>114</v>
      </c>
      <c r="BR262" s="19" t="s">
        <v>114</v>
      </c>
      <c r="BS262" s="19" t="s">
        <v>114</v>
      </c>
      <c r="BT262" s="19" t="s">
        <v>114</v>
      </c>
      <c r="BU262" s="19" t="s">
        <v>114</v>
      </c>
      <c r="BV262" s="19" t="s">
        <v>114</v>
      </c>
      <c r="BW262" s="19" t="s">
        <v>114</v>
      </c>
      <c r="BX262" s="19" t="s">
        <v>114</v>
      </c>
      <c r="BY262" s="19" t="s">
        <v>114</v>
      </c>
      <c r="BZ262" s="21" t="s">
        <v>114</v>
      </c>
      <c r="CA262" s="21" t="s">
        <v>114</v>
      </c>
      <c r="CB262" s="21" t="s">
        <v>114</v>
      </c>
      <c r="CC262" s="21" t="s">
        <v>114</v>
      </c>
      <c r="CD262" s="21" t="s">
        <v>114</v>
      </c>
      <c r="CE262" s="21" t="s">
        <v>114</v>
      </c>
      <c r="CF262" s="19" t="s">
        <v>114</v>
      </c>
      <c r="CG262" s="19">
        <v>98300</v>
      </c>
      <c r="CH262" s="19" t="s">
        <v>114</v>
      </c>
      <c r="CI262" s="21">
        <v>98302</v>
      </c>
      <c r="CJ262" s="21" t="s">
        <v>114</v>
      </c>
      <c r="CK262" s="21" t="s">
        <v>114</v>
      </c>
      <c r="CL262" s="21" t="s">
        <v>114</v>
      </c>
      <c r="CM262" s="21" t="s">
        <v>114</v>
      </c>
      <c r="CN262" s="21" t="s">
        <v>114</v>
      </c>
      <c r="CO262" s="21" t="s">
        <v>114</v>
      </c>
      <c r="CP262" s="21" t="s">
        <v>114</v>
      </c>
      <c r="CQ262" s="21" t="s">
        <v>114</v>
      </c>
      <c r="CR262" s="21" t="s">
        <v>114</v>
      </c>
      <c r="CS262" s="21" t="s">
        <v>114</v>
      </c>
      <c r="CT262" s="21" t="s">
        <v>114</v>
      </c>
      <c r="CU262" s="21" t="s">
        <v>114</v>
      </c>
      <c r="CV262" s="21">
        <v>98424</v>
      </c>
      <c r="CW262" s="21" t="s">
        <v>114</v>
      </c>
      <c r="CX262" s="21" t="s">
        <v>114</v>
      </c>
      <c r="CY262" s="21" t="s">
        <v>114</v>
      </c>
      <c r="CZ262" s="21" t="s">
        <v>114</v>
      </c>
      <c r="DA262" s="21" t="s">
        <v>114</v>
      </c>
      <c r="DB262" s="21" t="s">
        <v>114</v>
      </c>
      <c r="DC262" s="21" t="s">
        <v>114</v>
      </c>
      <c r="DD262" s="21" t="s">
        <v>114</v>
      </c>
      <c r="DE262" s="21" t="s">
        <v>114</v>
      </c>
      <c r="DF262" s="19" t="s">
        <v>114</v>
      </c>
      <c r="DG262" s="19" t="s">
        <v>114</v>
      </c>
      <c r="DH262" s="19" t="s">
        <v>114</v>
      </c>
      <c r="DI262" s="19" t="s">
        <v>114</v>
      </c>
      <c r="DJ262" s="19" t="s">
        <v>114</v>
      </c>
      <c r="DK262" s="19" t="s">
        <v>114</v>
      </c>
      <c r="DL262" s="19" t="s">
        <v>114</v>
      </c>
      <c r="DM262" s="19" t="s">
        <v>114</v>
      </c>
      <c r="DN262" s="19" t="s">
        <v>114</v>
      </c>
      <c r="DO262" s="19" t="s">
        <v>114</v>
      </c>
    </row>
    <row r="263" spans="1:119" hidden="1" x14ac:dyDescent="0.45">
      <c r="A263" s="2" t="s">
        <v>1046</v>
      </c>
      <c r="B263" t="s">
        <v>1047</v>
      </c>
      <c r="C263" s="2">
        <v>604</v>
      </c>
      <c r="D263" s="6">
        <v>911</v>
      </c>
      <c r="E263" s="2" t="s">
        <v>1048</v>
      </c>
      <c r="F263" t="s">
        <v>1048</v>
      </c>
      <c r="G263" t="s">
        <v>2129</v>
      </c>
      <c r="H263" s="2" t="s">
        <v>1049</v>
      </c>
      <c r="I263" s="2" t="s">
        <v>1050</v>
      </c>
      <c r="J263" s="2">
        <v>19</v>
      </c>
      <c r="K263" t="s">
        <v>157</v>
      </c>
      <c r="L263" s="2">
        <v>419</v>
      </c>
      <c r="M263" t="s">
        <v>174</v>
      </c>
      <c r="N263">
        <v>5</v>
      </c>
      <c r="O263" t="s">
        <v>196</v>
      </c>
      <c r="P263" s="2" t="s">
        <v>196</v>
      </c>
      <c r="Q263" s="2" t="s">
        <v>177</v>
      </c>
      <c r="R263" s="2">
        <v>419</v>
      </c>
      <c r="S263" s="2" t="s">
        <v>174</v>
      </c>
      <c r="T263" s="2">
        <v>419</v>
      </c>
      <c r="U263" s="4" t="s">
        <v>174</v>
      </c>
      <c r="V263" t="s">
        <v>2455</v>
      </c>
      <c r="W263" t="s">
        <v>2455</v>
      </c>
      <c r="X263" t="s">
        <v>2440</v>
      </c>
      <c r="Y263" t="s">
        <v>196</v>
      </c>
      <c r="Z263" t="s">
        <v>2468</v>
      </c>
      <c r="AA263" s="3" t="s">
        <v>2762</v>
      </c>
      <c r="AB263" s="3" t="s">
        <v>2880</v>
      </c>
      <c r="AC263" s="2" t="s">
        <v>138</v>
      </c>
      <c r="AD263" s="4" t="s">
        <v>1891</v>
      </c>
      <c r="AE263" t="s">
        <v>104</v>
      </c>
      <c r="AF263" t="s">
        <v>1885</v>
      </c>
      <c r="AG263" t="s">
        <v>1884</v>
      </c>
      <c r="AH263" t="s">
        <v>105</v>
      </c>
      <c r="AI263" s="3" t="s">
        <v>178</v>
      </c>
      <c r="AJ263" s="3" t="s">
        <v>106</v>
      </c>
      <c r="AK263" s="3" t="s">
        <v>107</v>
      </c>
      <c r="AL263" s="5" t="s">
        <v>1051</v>
      </c>
      <c r="AM263" s="5" t="s">
        <v>109</v>
      </c>
      <c r="AN263" t="s">
        <v>110</v>
      </c>
      <c r="AO263" s="3" t="s">
        <v>119</v>
      </c>
      <c r="AP263" s="3" t="s">
        <v>120</v>
      </c>
      <c r="AQ263" s="3" t="s">
        <v>111</v>
      </c>
      <c r="AR263" s="3" t="s">
        <v>112</v>
      </c>
      <c r="AS263" s="3" t="s">
        <v>112</v>
      </c>
      <c r="AT263" s="3" t="s">
        <v>113</v>
      </c>
      <c r="AU263" s="3" t="s">
        <v>2303</v>
      </c>
      <c r="AV263" s="3" t="s">
        <v>2302</v>
      </c>
      <c r="AW263" s="3" t="s">
        <v>2301</v>
      </c>
      <c r="AX263" s="3" t="s">
        <v>2006</v>
      </c>
      <c r="AY263" s="19" t="s">
        <v>114</v>
      </c>
      <c r="AZ263" s="19" t="s">
        <v>114</v>
      </c>
      <c r="BA263" s="19" t="s">
        <v>114</v>
      </c>
      <c r="BB263" s="19" t="s">
        <v>114</v>
      </c>
      <c r="BC263" s="19" t="s">
        <v>114</v>
      </c>
      <c r="BD263" s="19" t="s">
        <v>114</v>
      </c>
      <c r="BE263" s="19" t="s">
        <v>114</v>
      </c>
      <c r="BF263" s="19" t="s">
        <v>114</v>
      </c>
      <c r="BG263" s="19" t="s">
        <v>114</v>
      </c>
      <c r="BH263" s="19" t="s">
        <v>114</v>
      </c>
      <c r="BI263" s="19" t="s">
        <v>114</v>
      </c>
      <c r="BJ263" s="19" t="s">
        <v>114</v>
      </c>
      <c r="BK263" s="19" t="s">
        <v>114</v>
      </c>
      <c r="BL263" s="19" t="s">
        <v>114</v>
      </c>
      <c r="BM263" s="19" t="s">
        <v>114</v>
      </c>
      <c r="BN263" s="19" t="s">
        <v>114</v>
      </c>
      <c r="BO263" s="19" t="s">
        <v>114</v>
      </c>
      <c r="BP263" s="19" t="s">
        <v>114</v>
      </c>
      <c r="BQ263" s="19" t="s">
        <v>114</v>
      </c>
      <c r="BR263" s="19" t="s">
        <v>114</v>
      </c>
      <c r="BS263" s="19" t="s">
        <v>114</v>
      </c>
      <c r="BT263" s="19" t="s">
        <v>114</v>
      </c>
      <c r="BU263" s="19" t="s">
        <v>114</v>
      </c>
      <c r="BV263" s="19" t="s">
        <v>114</v>
      </c>
      <c r="BW263" s="19" t="s">
        <v>114</v>
      </c>
      <c r="BX263" s="19" t="s">
        <v>114</v>
      </c>
      <c r="BY263" s="19" t="s">
        <v>114</v>
      </c>
      <c r="BZ263" s="21" t="s">
        <v>114</v>
      </c>
      <c r="CA263" s="21" t="s">
        <v>114</v>
      </c>
      <c r="CB263" s="21" t="s">
        <v>114</v>
      </c>
      <c r="CC263" s="21" t="s">
        <v>114</v>
      </c>
      <c r="CD263" s="21" t="s">
        <v>114</v>
      </c>
      <c r="CE263" s="21" t="s">
        <v>114</v>
      </c>
      <c r="CF263" s="19" t="s">
        <v>114</v>
      </c>
      <c r="CG263" s="19">
        <v>98300</v>
      </c>
      <c r="CH263" s="19" t="s">
        <v>114</v>
      </c>
      <c r="CI263" s="21">
        <v>98302</v>
      </c>
      <c r="CJ263" s="21" t="s">
        <v>114</v>
      </c>
      <c r="CK263" s="21" t="s">
        <v>114</v>
      </c>
      <c r="CL263" s="21" t="s">
        <v>114</v>
      </c>
      <c r="CM263" s="21" t="s">
        <v>114</v>
      </c>
      <c r="CN263" s="21" t="s">
        <v>114</v>
      </c>
      <c r="CO263" s="21" t="s">
        <v>114</v>
      </c>
      <c r="CP263" s="21" t="s">
        <v>114</v>
      </c>
      <c r="CQ263" s="21" t="s">
        <v>114</v>
      </c>
      <c r="CR263" s="21" t="s">
        <v>114</v>
      </c>
      <c r="CS263" s="21" t="s">
        <v>114</v>
      </c>
      <c r="CT263" s="21" t="s">
        <v>114</v>
      </c>
      <c r="CU263" s="21" t="s">
        <v>114</v>
      </c>
      <c r="CV263" s="21">
        <v>98424</v>
      </c>
      <c r="CW263" s="21" t="s">
        <v>114</v>
      </c>
      <c r="CX263" s="21" t="s">
        <v>114</v>
      </c>
      <c r="CY263" s="21" t="s">
        <v>114</v>
      </c>
      <c r="CZ263" s="21" t="s">
        <v>114</v>
      </c>
      <c r="DA263" s="21" t="s">
        <v>114</v>
      </c>
      <c r="DB263" s="21" t="s">
        <v>114</v>
      </c>
      <c r="DC263" s="21" t="s">
        <v>114</v>
      </c>
      <c r="DD263" s="21" t="s">
        <v>114</v>
      </c>
      <c r="DE263" s="21" t="s">
        <v>114</v>
      </c>
      <c r="DF263" s="19" t="s">
        <v>114</v>
      </c>
      <c r="DG263" s="19" t="s">
        <v>114</v>
      </c>
      <c r="DH263" s="19" t="s">
        <v>114</v>
      </c>
      <c r="DI263" s="19" t="s">
        <v>114</v>
      </c>
      <c r="DJ263" s="19" t="s">
        <v>114</v>
      </c>
      <c r="DK263" s="19" t="s">
        <v>114</v>
      </c>
      <c r="DL263" s="19" t="s">
        <v>114</v>
      </c>
      <c r="DM263" s="19" t="s">
        <v>114</v>
      </c>
      <c r="DN263" s="19" t="s">
        <v>114</v>
      </c>
      <c r="DO263" s="19" t="s">
        <v>114</v>
      </c>
    </row>
    <row r="264" spans="1:119" hidden="1" x14ac:dyDescent="0.45">
      <c r="A264" s="2" t="s">
        <v>1259</v>
      </c>
      <c r="B264" t="s">
        <v>1260</v>
      </c>
      <c r="C264" s="2">
        <v>239</v>
      </c>
      <c r="D264" s="6">
        <v>912</v>
      </c>
      <c r="E264" s="2" t="s">
        <v>1786</v>
      </c>
      <c r="F264" t="s">
        <v>1261</v>
      </c>
      <c r="H264" s="2" t="s">
        <v>1262</v>
      </c>
      <c r="I264" s="2" t="s">
        <v>1263</v>
      </c>
      <c r="J264" s="2">
        <v>19</v>
      </c>
      <c r="K264" t="s">
        <v>157</v>
      </c>
      <c r="L264" s="2">
        <v>419</v>
      </c>
      <c r="M264" t="s">
        <v>174</v>
      </c>
      <c r="N264">
        <v>5</v>
      </c>
      <c r="O264" t="s">
        <v>196</v>
      </c>
      <c r="P264" s="2" t="s">
        <v>196</v>
      </c>
      <c r="Q264" s="2" t="s">
        <v>177</v>
      </c>
      <c r="R264" s="2">
        <v>419</v>
      </c>
      <c r="S264" s="2" t="s">
        <v>174</v>
      </c>
      <c r="T264" s="2">
        <v>419</v>
      </c>
      <c r="U264" s="4" t="s">
        <v>174</v>
      </c>
      <c r="V264" t="s">
        <v>2455</v>
      </c>
      <c r="W264" t="s">
        <v>2455</v>
      </c>
      <c r="X264" t="s">
        <v>2440</v>
      </c>
      <c r="Y264" t="s">
        <v>196</v>
      </c>
      <c r="Z264" t="s">
        <v>2468</v>
      </c>
      <c r="AA264" s="3" t="s">
        <v>2762</v>
      </c>
      <c r="AB264" s="3" t="s">
        <v>2880</v>
      </c>
      <c r="AC264" s="2" t="s">
        <v>1888</v>
      </c>
      <c r="AD264" s="2" t="s">
        <v>1888</v>
      </c>
      <c r="AE264" t="s">
        <v>104</v>
      </c>
      <c r="AF264" t="s">
        <v>1886</v>
      </c>
      <c r="AG264" s="3" t="s">
        <v>1887</v>
      </c>
      <c r="AH264" t="s">
        <v>105</v>
      </c>
      <c r="AI264" s="3" t="s">
        <v>178</v>
      </c>
      <c r="AJ264" s="3" t="s">
        <v>106</v>
      </c>
      <c r="AK264" s="3" t="s">
        <v>107</v>
      </c>
      <c r="AL264" s="5"/>
      <c r="AM264" s="5" t="s">
        <v>109</v>
      </c>
      <c r="AO264" s="3" t="s">
        <v>119</v>
      </c>
      <c r="AP264" s="3" t="s">
        <v>120</v>
      </c>
      <c r="AQ264" s="3" t="s">
        <v>111</v>
      </c>
      <c r="AR264" s="3" t="s">
        <v>112</v>
      </c>
      <c r="AS264" s="3" t="s">
        <v>112</v>
      </c>
      <c r="AT264" s="3" t="s">
        <v>113</v>
      </c>
      <c r="AU264" s="3" t="s">
        <v>2303</v>
      </c>
      <c r="AV264" s="3" t="s">
        <v>2302</v>
      </c>
      <c r="AW264" s="3" t="s">
        <v>2301</v>
      </c>
      <c r="AX264" s="3" t="s">
        <v>282</v>
      </c>
      <c r="AY264" s="19" t="s">
        <v>114</v>
      </c>
      <c r="AZ264" s="19" t="s">
        <v>114</v>
      </c>
      <c r="BA264" s="19" t="s">
        <v>114</v>
      </c>
      <c r="BB264" s="19" t="s">
        <v>114</v>
      </c>
      <c r="BC264" s="19" t="s">
        <v>114</v>
      </c>
      <c r="BD264" s="19" t="s">
        <v>114</v>
      </c>
      <c r="BE264" s="19" t="s">
        <v>114</v>
      </c>
      <c r="BF264" s="19" t="s">
        <v>114</v>
      </c>
      <c r="BG264" s="19" t="s">
        <v>114</v>
      </c>
      <c r="BH264" s="19" t="s">
        <v>114</v>
      </c>
      <c r="BI264" s="19" t="s">
        <v>114</v>
      </c>
      <c r="BJ264" s="19" t="s">
        <v>114</v>
      </c>
      <c r="BK264" s="19" t="s">
        <v>114</v>
      </c>
      <c r="BL264" s="19" t="s">
        <v>114</v>
      </c>
      <c r="BM264" s="19" t="s">
        <v>114</v>
      </c>
      <c r="BN264" s="19" t="s">
        <v>114</v>
      </c>
      <c r="BO264" s="19" t="s">
        <v>114</v>
      </c>
      <c r="BP264" s="19" t="s">
        <v>114</v>
      </c>
      <c r="BQ264" s="19" t="s">
        <v>114</v>
      </c>
      <c r="BR264" s="19" t="s">
        <v>114</v>
      </c>
      <c r="BS264" s="19" t="s">
        <v>114</v>
      </c>
      <c r="BT264" s="19" t="s">
        <v>114</v>
      </c>
      <c r="BU264" s="19" t="s">
        <v>114</v>
      </c>
      <c r="BV264" s="19" t="s">
        <v>114</v>
      </c>
      <c r="BW264" s="19" t="s">
        <v>114</v>
      </c>
      <c r="BX264" s="19" t="s">
        <v>114</v>
      </c>
      <c r="BY264" s="19" t="s">
        <v>114</v>
      </c>
      <c r="BZ264" s="21" t="s">
        <v>114</v>
      </c>
      <c r="CA264" s="21" t="s">
        <v>114</v>
      </c>
      <c r="CB264" s="21" t="s">
        <v>114</v>
      </c>
      <c r="CC264" s="21" t="s">
        <v>114</v>
      </c>
      <c r="CD264" s="21" t="s">
        <v>114</v>
      </c>
      <c r="CE264" s="21" t="s">
        <v>114</v>
      </c>
      <c r="CF264" s="19" t="s">
        <v>114</v>
      </c>
      <c r="CG264" s="19">
        <v>98300</v>
      </c>
      <c r="CH264" s="19" t="s">
        <v>114</v>
      </c>
      <c r="CI264" s="21">
        <v>98302</v>
      </c>
      <c r="CJ264" s="21" t="s">
        <v>114</v>
      </c>
      <c r="CK264" s="21" t="s">
        <v>114</v>
      </c>
      <c r="CL264" s="21" t="s">
        <v>114</v>
      </c>
      <c r="CM264" s="21" t="s">
        <v>114</v>
      </c>
      <c r="CN264" s="21" t="s">
        <v>114</v>
      </c>
      <c r="CO264" s="21" t="s">
        <v>114</v>
      </c>
      <c r="CP264" s="21" t="s">
        <v>114</v>
      </c>
      <c r="CQ264" s="21" t="s">
        <v>114</v>
      </c>
      <c r="CR264" s="21" t="s">
        <v>114</v>
      </c>
      <c r="CS264" s="21" t="s">
        <v>114</v>
      </c>
      <c r="CT264" s="21" t="s">
        <v>114</v>
      </c>
      <c r="CU264" s="21" t="s">
        <v>114</v>
      </c>
      <c r="CV264" s="21" t="s">
        <v>114</v>
      </c>
      <c r="CW264" s="21" t="s">
        <v>114</v>
      </c>
      <c r="CX264" s="21">
        <v>98426</v>
      </c>
      <c r="CY264" s="21" t="s">
        <v>114</v>
      </c>
      <c r="CZ264" s="21" t="s">
        <v>114</v>
      </c>
      <c r="DA264" s="21" t="s">
        <v>114</v>
      </c>
      <c r="DB264" s="21" t="s">
        <v>114</v>
      </c>
      <c r="DC264" s="21" t="s">
        <v>114</v>
      </c>
      <c r="DD264" s="21" t="s">
        <v>114</v>
      </c>
      <c r="DE264" s="21" t="s">
        <v>114</v>
      </c>
      <c r="DF264" s="19" t="s">
        <v>114</v>
      </c>
      <c r="DG264" s="19" t="s">
        <v>114</v>
      </c>
      <c r="DH264" s="19" t="s">
        <v>114</v>
      </c>
      <c r="DI264" s="19" t="s">
        <v>114</v>
      </c>
      <c r="DJ264" s="19" t="s">
        <v>114</v>
      </c>
      <c r="DK264" s="19" t="s">
        <v>114</v>
      </c>
      <c r="DL264" s="19" t="s">
        <v>114</v>
      </c>
      <c r="DM264" s="19" t="s">
        <v>114</v>
      </c>
      <c r="DN264" s="19" t="s">
        <v>114</v>
      </c>
      <c r="DO264" s="19" t="s">
        <v>114</v>
      </c>
    </row>
    <row r="265" spans="1:119" hidden="1" x14ac:dyDescent="0.45">
      <c r="A265" s="2" t="s">
        <v>1290</v>
      </c>
      <c r="B265" t="s">
        <v>1291</v>
      </c>
      <c r="C265" s="2">
        <v>740</v>
      </c>
      <c r="D265" s="6">
        <v>913</v>
      </c>
      <c r="E265" s="2" t="s">
        <v>1292</v>
      </c>
      <c r="F265" t="s">
        <v>1292</v>
      </c>
      <c r="G265" t="s">
        <v>2154</v>
      </c>
      <c r="H265" s="2" t="s">
        <v>1292</v>
      </c>
      <c r="I265" s="2" t="s">
        <v>1292</v>
      </c>
      <c r="J265" s="2">
        <v>19</v>
      </c>
      <c r="K265" t="s">
        <v>157</v>
      </c>
      <c r="L265" s="2">
        <v>419</v>
      </c>
      <c r="M265" t="s">
        <v>174</v>
      </c>
      <c r="N265">
        <v>5</v>
      </c>
      <c r="O265" t="s">
        <v>196</v>
      </c>
      <c r="P265" s="2" t="s">
        <v>196</v>
      </c>
      <c r="Q265" s="2" t="s">
        <v>177</v>
      </c>
      <c r="R265" s="2">
        <v>419</v>
      </c>
      <c r="S265" s="2" t="s">
        <v>174</v>
      </c>
      <c r="T265" s="2">
        <v>419</v>
      </c>
      <c r="U265" s="4" t="s">
        <v>174</v>
      </c>
      <c r="V265" t="s">
        <v>2455</v>
      </c>
      <c r="W265" t="s">
        <v>2455</v>
      </c>
      <c r="X265" t="s">
        <v>2440</v>
      </c>
      <c r="Y265" t="s">
        <v>196</v>
      </c>
      <c r="Z265" t="s">
        <v>2468</v>
      </c>
      <c r="AA265" s="3" t="s">
        <v>2762</v>
      </c>
      <c r="AB265" s="3" t="s">
        <v>2880</v>
      </c>
      <c r="AC265" s="2" t="s">
        <v>138</v>
      </c>
      <c r="AD265" s="4" t="s">
        <v>1891</v>
      </c>
      <c r="AE265" t="s">
        <v>104</v>
      </c>
      <c r="AF265" t="s">
        <v>1885</v>
      </c>
      <c r="AG265" t="s">
        <v>1884</v>
      </c>
      <c r="AH265" t="s">
        <v>105</v>
      </c>
      <c r="AI265" s="3" t="s">
        <v>178</v>
      </c>
      <c r="AJ265" s="3" t="s">
        <v>106</v>
      </c>
      <c r="AK265" s="3" t="s">
        <v>107</v>
      </c>
      <c r="AL265" s="5" t="s">
        <v>1293</v>
      </c>
      <c r="AM265" s="5" t="s">
        <v>109</v>
      </c>
      <c r="AN265" t="s">
        <v>110</v>
      </c>
      <c r="AO265" s="3" t="s">
        <v>119</v>
      </c>
      <c r="AP265" s="3" t="s">
        <v>120</v>
      </c>
      <c r="AQ265" s="3" t="s">
        <v>27</v>
      </c>
      <c r="AR265" s="3" t="s">
        <v>112</v>
      </c>
      <c r="AS265" s="3" t="s">
        <v>112</v>
      </c>
      <c r="AT265" s="3" t="s">
        <v>113</v>
      </c>
      <c r="AU265" s="3" t="s">
        <v>2303</v>
      </c>
      <c r="AV265" s="3" t="s">
        <v>2302</v>
      </c>
      <c r="AW265" s="3" t="s">
        <v>2301</v>
      </c>
      <c r="AX265" s="3" t="s">
        <v>2006</v>
      </c>
      <c r="AY265" s="19" t="s">
        <v>114</v>
      </c>
      <c r="AZ265" s="19" t="s">
        <v>114</v>
      </c>
      <c r="BA265" s="19" t="s">
        <v>114</v>
      </c>
      <c r="BB265" s="19" t="s">
        <v>114</v>
      </c>
      <c r="BC265" s="19" t="s">
        <v>114</v>
      </c>
      <c r="BD265" s="19" t="s">
        <v>114</v>
      </c>
      <c r="BE265" s="19" t="s">
        <v>114</v>
      </c>
      <c r="BF265" s="19" t="s">
        <v>114</v>
      </c>
      <c r="BG265" s="19" t="s">
        <v>114</v>
      </c>
      <c r="BH265" s="19" t="s">
        <v>114</v>
      </c>
      <c r="BI265" s="19" t="s">
        <v>114</v>
      </c>
      <c r="BJ265" s="19" t="s">
        <v>114</v>
      </c>
      <c r="BK265" s="19" t="s">
        <v>114</v>
      </c>
      <c r="BL265" s="19" t="s">
        <v>114</v>
      </c>
      <c r="BM265" s="19" t="s">
        <v>114</v>
      </c>
      <c r="BN265" s="19" t="s">
        <v>114</v>
      </c>
      <c r="BO265" s="19" t="s">
        <v>114</v>
      </c>
      <c r="BP265" s="19" t="s">
        <v>114</v>
      </c>
      <c r="BQ265" s="19" t="s">
        <v>114</v>
      </c>
      <c r="BR265" s="19" t="s">
        <v>114</v>
      </c>
      <c r="BS265" s="19" t="s">
        <v>114</v>
      </c>
      <c r="BT265" s="19" t="s">
        <v>114</v>
      </c>
      <c r="BU265" s="19" t="s">
        <v>114</v>
      </c>
      <c r="BV265" s="19" t="s">
        <v>114</v>
      </c>
      <c r="BW265" s="19" t="s">
        <v>114</v>
      </c>
      <c r="BX265" s="19" t="s">
        <v>114</v>
      </c>
      <c r="BY265" s="19" t="s">
        <v>114</v>
      </c>
      <c r="BZ265" s="21" t="s">
        <v>114</v>
      </c>
      <c r="CA265" s="21" t="s">
        <v>114</v>
      </c>
      <c r="CB265" s="21" t="s">
        <v>114</v>
      </c>
      <c r="CC265" s="21" t="s">
        <v>114</v>
      </c>
      <c r="CD265" s="21" t="s">
        <v>114</v>
      </c>
      <c r="CE265" s="21" t="s">
        <v>114</v>
      </c>
      <c r="CF265" s="19" t="s">
        <v>114</v>
      </c>
      <c r="CG265" s="19">
        <v>98300</v>
      </c>
      <c r="CH265" s="19">
        <v>98301</v>
      </c>
      <c r="CI265" s="21" t="s">
        <v>114</v>
      </c>
      <c r="CJ265" s="21" t="s">
        <v>114</v>
      </c>
      <c r="CK265" s="21" t="s">
        <v>114</v>
      </c>
      <c r="CL265" s="21" t="s">
        <v>114</v>
      </c>
      <c r="CM265" s="21" t="s">
        <v>114</v>
      </c>
      <c r="CN265" s="21" t="s">
        <v>114</v>
      </c>
      <c r="CO265" s="21" t="s">
        <v>114</v>
      </c>
      <c r="CP265" s="21" t="s">
        <v>114</v>
      </c>
      <c r="CQ265" s="21" t="s">
        <v>114</v>
      </c>
      <c r="CR265" s="21" t="s">
        <v>114</v>
      </c>
      <c r="CS265" s="21" t="s">
        <v>114</v>
      </c>
      <c r="CT265" s="21" t="s">
        <v>114</v>
      </c>
      <c r="CU265" s="21" t="s">
        <v>114</v>
      </c>
      <c r="CV265" s="21">
        <v>98424</v>
      </c>
      <c r="CW265" s="21" t="s">
        <v>114</v>
      </c>
      <c r="CX265" s="21" t="s">
        <v>114</v>
      </c>
      <c r="CY265" s="21" t="s">
        <v>114</v>
      </c>
      <c r="CZ265" s="21" t="s">
        <v>114</v>
      </c>
      <c r="DA265" s="21" t="s">
        <v>114</v>
      </c>
      <c r="DB265" s="21" t="s">
        <v>114</v>
      </c>
      <c r="DC265" s="21" t="s">
        <v>114</v>
      </c>
      <c r="DD265" s="21" t="s">
        <v>114</v>
      </c>
      <c r="DE265" s="21" t="s">
        <v>114</v>
      </c>
      <c r="DF265" s="19" t="s">
        <v>114</v>
      </c>
      <c r="DG265" s="19" t="s">
        <v>114</v>
      </c>
      <c r="DH265" s="19" t="s">
        <v>114</v>
      </c>
      <c r="DI265" s="19" t="s">
        <v>114</v>
      </c>
      <c r="DJ265" s="19" t="s">
        <v>114</v>
      </c>
      <c r="DK265" s="19" t="s">
        <v>114</v>
      </c>
      <c r="DL265" s="19" t="s">
        <v>114</v>
      </c>
      <c r="DM265" s="19" t="s">
        <v>114</v>
      </c>
      <c r="DN265" s="19" t="s">
        <v>114</v>
      </c>
      <c r="DO265" s="19" t="s">
        <v>114</v>
      </c>
    </row>
    <row r="266" spans="1:119" hidden="1" x14ac:dyDescent="0.45">
      <c r="A266" s="2" t="s">
        <v>1417</v>
      </c>
      <c r="B266" t="s">
        <v>1418</v>
      </c>
      <c r="C266" s="2">
        <v>858</v>
      </c>
      <c r="D266" s="6">
        <v>914</v>
      </c>
      <c r="E266" s="2" t="s">
        <v>1419</v>
      </c>
      <c r="F266" t="s">
        <v>1419</v>
      </c>
      <c r="G266" t="s">
        <v>2170</v>
      </c>
      <c r="H266" s="2" t="s">
        <v>1419</v>
      </c>
      <c r="I266" s="2" t="s">
        <v>1419</v>
      </c>
      <c r="J266" s="2">
        <v>19</v>
      </c>
      <c r="K266" t="s">
        <v>157</v>
      </c>
      <c r="L266" s="2">
        <v>419</v>
      </c>
      <c r="M266" t="s">
        <v>174</v>
      </c>
      <c r="N266">
        <v>5</v>
      </c>
      <c r="O266" t="s">
        <v>196</v>
      </c>
      <c r="P266" s="2" t="s">
        <v>196</v>
      </c>
      <c r="Q266" s="2" t="s">
        <v>177</v>
      </c>
      <c r="R266" s="2">
        <v>419</v>
      </c>
      <c r="S266" s="2" t="s">
        <v>174</v>
      </c>
      <c r="T266" s="2">
        <v>419</v>
      </c>
      <c r="U266" s="4" t="s">
        <v>174</v>
      </c>
      <c r="V266" t="s">
        <v>2455</v>
      </c>
      <c r="W266" t="s">
        <v>2455</v>
      </c>
      <c r="X266" t="s">
        <v>2440</v>
      </c>
      <c r="Y266" t="s">
        <v>196</v>
      </c>
      <c r="Z266" t="s">
        <v>2468</v>
      </c>
      <c r="AA266" s="3" t="s">
        <v>2762</v>
      </c>
      <c r="AB266" s="3" t="s">
        <v>2880</v>
      </c>
      <c r="AC266" s="2" t="s">
        <v>130</v>
      </c>
      <c r="AD266" s="4" t="s">
        <v>1891</v>
      </c>
      <c r="AE266" t="s">
        <v>104</v>
      </c>
      <c r="AF266" t="s">
        <v>1886</v>
      </c>
      <c r="AG266" t="s">
        <v>1884</v>
      </c>
      <c r="AH266" t="s">
        <v>105</v>
      </c>
      <c r="AI266" s="3" t="s">
        <v>178</v>
      </c>
      <c r="AJ266" s="3" t="s">
        <v>106</v>
      </c>
      <c r="AK266" s="3" t="s">
        <v>107</v>
      </c>
      <c r="AL266" s="5" t="s">
        <v>1420</v>
      </c>
      <c r="AM266" s="5" t="s">
        <v>109</v>
      </c>
      <c r="AN266" t="s">
        <v>110</v>
      </c>
      <c r="AO266" s="3" t="s">
        <v>119</v>
      </c>
      <c r="AP266" s="3" t="s">
        <v>120</v>
      </c>
      <c r="AQ266" s="3" t="s">
        <v>111</v>
      </c>
      <c r="AR266" s="3" t="s">
        <v>112</v>
      </c>
      <c r="AS266" s="3" t="s">
        <v>112</v>
      </c>
      <c r="AT266" s="3" t="s">
        <v>113</v>
      </c>
      <c r="AU266" s="3" t="s">
        <v>2303</v>
      </c>
      <c r="AV266" s="3" t="s">
        <v>2302</v>
      </c>
      <c r="AW266" s="3" t="s">
        <v>2301</v>
      </c>
      <c r="AX266" s="3" t="s">
        <v>2006</v>
      </c>
      <c r="AY266" s="19" t="s">
        <v>114</v>
      </c>
      <c r="AZ266" s="19" t="s">
        <v>114</v>
      </c>
      <c r="BA266" s="19" t="s">
        <v>114</v>
      </c>
      <c r="BB266" s="19" t="s">
        <v>114</v>
      </c>
      <c r="BC266" s="19" t="s">
        <v>114</v>
      </c>
      <c r="BD266" s="19" t="s">
        <v>114</v>
      </c>
      <c r="BE266" s="19" t="s">
        <v>114</v>
      </c>
      <c r="BF266" s="19" t="s">
        <v>114</v>
      </c>
      <c r="BG266" s="19" t="s">
        <v>114</v>
      </c>
      <c r="BH266" s="19" t="s">
        <v>114</v>
      </c>
      <c r="BI266" s="19" t="s">
        <v>114</v>
      </c>
      <c r="BJ266" s="19" t="s">
        <v>114</v>
      </c>
      <c r="BK266" s="19" t="s">
        <v>114</v>
      </c>
      <c r="BL266" s="19" t="s">
        <v>114</v>
      </c>
      <c r="BM266" s="19" t="s">
        <v>114</v>
      </c>
      <c r="BN266" s="19" t="s">
        <v>114</v>
      </c>
      <c r="BO266" s="19" t="s">
        <v>114</v>
      </c>
      <c r="BP266" s="19" t="s">
        <v>114</v>
      </c>
      <c r="BQ266" s="19" t="s">
        <v>114</v>
      </c>
      <c r="BR266" s="19" t="s">
        <v>114</v>
      </c>
      <c r="BS266" s="19" t="s">
        <v>114</v>
      </c>
      <c r="BT266" s="19" t="s">
        <v>114</v>
      </c>
      <c r="BU266" s="19" t="s">
        <v>114</v>
      </c>
      <c r="BV266" s="19" t="s">
        <v>114</v>
      </c>
      <c r="BW266" s="19" t="s">
        <v>114</v>
      </c>
      <c r="BX266" s="19" t="s">
        <v>114</v>
      </c>
      <c r="BY266" s="19" t="s">
        <v>114</v>
      </c>
      <c r="BZ266" s="21" t="s">
        <v>114</v>
      </c>
      <c r="CA266" s="21" t="s">
        <v>114</v>
      </c>
      <c r="CB266" s="21" t="s">
        <v>114</v>
      </c>
      <c r="CC266" s="21" t="s">
        <v>114</v>
      </c>
      <c r="CD266" s="21" t="s">
        <v>114</v>
      </c>
      <c r="CE266" s="21" t="s">
        <v>114</v>
      </c>
      <c r="CF266" s="19" t="s">
        <v>114</v>
      </c>
      <c r="CG266" s="19">
        <v>98300</v>
      </c>
      <c r="CH266" s="19" t="s">
        <v>114</v>
      </c>
      <c r="CI266" s="21">
        <v>98302</v>
      </c>
      <c r="CJ266" s="21" t="s">
        <v>114</v>
      </c>
      <c r="CK266" s="21" t="s">
        <v>114</v>
      </c>
      <c r="CL266" s="21" t="s">
        <v>114</v>
      </c>
      <c r="CM266" s="21" t="s">
        <v>114</v>
      </c>
      <c r="CN266" s="21" t="s">
        <v>114</v>
      </c>
      <c r="CO266" s="21" t="s">
        <v>114</v>
      </c>
      <c r="CP266" s="21" t="s">
        <v>114</v>
      </c>
      <c r="CQ266" s="21" t="s">
        <v>114</v>
      </c>
      <c r="CR266" s="21" t="s">
        <v>114</v>
      </c>
      <c r="CS266" s="21" t="s">
        <v>114</v>
      </c>
      <c r="CT266" s="21" t="s">
        <v>114</v>
      </c>
      <c r="CU266" s="21" t="s">
        <v>114</v>
      </c>
      <c r="CV266" s="21">
        <v>98424</v>
      </c>
      <c r="CW266" s="21" t="s">
        <v>114</v>
      </c>
      <c r="CX266" s="21" t="s">
        <v>114</v>
      </c>
      <c r="CY266" s="21" t="s">
        <v>114</v>
      </c>
      <c r="CZ266" s="21" t="s">
        <v>114</v>
      </c>
      <c r="DA266" s="21" t="s">
        <v>114</v>
      </c>
      <c r="DB266" s="21" t="s">
        <v>114</v>
      </c>
      <c r="DC266" s="21" t="s">
        <v>114</v>
      </c>
      <c r="DD266" s="21" t="s">
        <v>114</v>
      </c>
      <c r="DE266" s="21" t="s">
        <v>114</v>
      </c>
      <c r="DF266" s="19" t="s">
        <v>114</v>
      </c>
      <c r="DG266" s="19" t="s">
        <v>114</v>
      </c>
      <c r="DH266" s="19" t="s">
        <v>114</v>
      </c>
      <c r="DI266" s="19" t="s">
        <v>114</v>
      </c>
      <c r="DJ266" s="19" t="s">
        <v>114</v>
      </c>
      <c r="DK266" s="19" t="s">
        <v>114</v>
      </c>
      <c r="DL266" s="19" t="s">
        <v>114</v>
      </c>
      <c r="DM266" s="19" t="s">
        <v>114</v>
      </c>
      <c r="DN266" s="19" t="s">
        <v>114</v>
      </c>
      <c r="DO266" s="19" t="s">
        <v>114</v>
      </c>
    </row>
    <row r="267" spans="1:119" hidden="1" x14ac:dyDescent="0.45">
      <c r="A267" s="2" t="s">
        <v>1431</v>
      </c>
      <c r="B267" t="s">
        <v>1432</v>
      </c>
      <c r="C267" s="2">
        <v>862</v>
      </c>
      <c r="D267" s="6">
        <v>915</v>
      </c>
      <c r="E267" s="2" t="s">
        <v>1859</v>
      </c>
      <c r="F267" s="3" t="s">
        <v>1433</v>
      </c>
      <c r="G267" t="s">
        <v>2173</v>
      </c>
      <c r="H267" s="4" t="s">
        <v>1434</v>
      </c>
      <c r="I267" s="2" t="s">
        <v>1435</v>
      </c>
      <c r="J267" s="2">
        <v>19</v>
      </c>
      <c r="K267" t="s">
        <v>157</v>
      </c>
      <c r="L267" s="2">
        <v>419</v>
      </c>
      <c r="M267" t="s">
        <v>174</v>
      </c>
      <c r="N267">
        <v>5</v>
      </c>
      <c r="O267" t="s">
        <v>196</v>
      </c>
      <c r="P267" s="2" t="s">
        <v>196</v>
      </c>
      <c r="Q267" s="2" t="s">
        <v>177</v>
      </c>
      <c r="R267" s="2">
        <v>419</v>
      </c>
      <c r="S267" s="2" t="s">
        <v>174</v>
      </c>
      <c r="T267" s="2">
        <v>419</v>
      </c>
      <c r="U267" s="4" t="s">
        <v>174</v>
      </c>
      <c r="V267" t="s">
        <v>2455</v>
      </c>
      <c r="W267" t="s">
        <v>2455</v>
      </c>
      <c r="X267" t="s">
        <v>2440</v>
      </c>
      <c r="Y267" t="s">
        <v>196</v>
      </c>
      <c r="Z267" t="s">
        <v>2468</v>
      </c>
      <c r="AA267" s="3" t="s">
        <v>2762</v>
      </c>
      <c r="AB267" s="3" t="s">
        <v>2880</v>
      </c>
      <c r="AC267" s="4" t="s">
        <v>1888</v>
      </c>
      <c r="AD267" s="4" t="s">
        <v>1891</v>
      </c>
      <c r="AE267" t="s">
        <v>104</v>
      </c>
      <c r="AF267" t="s">
        <v>1885</v>
      </c>
      <c r="AG267" t="s">
        <v>1884</v>
      </c>
      <c r="AH267" t="s">
        <v>105</v>
      </c>
      <c r="AI267" s="3" t="s">
        <v>178</v>
      </c>
      <c r="AJ267" s="3" t="s">
        <v>106</v>
      </c>
      <c r="AK267" s="3" t="s">
        <v>107</v>
      </c>
      <c r="AL267" s="5" t="s">
        <v>1436</v>
      </c>
      <c r="AM267" s="5" t="s">
        <v>109</v>
      </c>
      <c r="AN267" t="s">
        <v>110</v>
      </c>
      <c r="AO267" s="3" t="s">
        <v>119</v>
      </c>
      <c r="AP267" s="3" t="s">
        <v>120</v>
      </c>
      <c r="AQ267" s="3" t="s">
        <v>111</v>
      </c>
      <c r="AR267" s="3" t="s">
        <v>112</v>
      </c>
      <c r="AS267" s="3" t="s">
        <v>112</v>
      </c>
      <c r="AT267" s="3" t="s">
        <v>113</v>
      </c>
      <c r="AU267" s="3" t="s">
        <v>2303</v>
      </c>
      <c r="AV267" s="3" t="s">
        <v>2302</v>
      </c>
      <c r="AW267" s="3" t="s">
        <v>2301</v>
      </c>
      <c r="AX267" s="3" t="s">
        <v>2006</v>
      </c>
      <c r="AY267" s="19" t="s">
        <v>114</v>
      </c>
      <c r="AZ267" s="19" t="s">
        <v>114</v>
      </c>
      <c r="BA267" s="19" t="s">
        <v>114</v>
      </c>
      <c r="BB267" s="19" t="s">
        <v>114</v>
      </c>
      <c r="BC267" s="19" t="s">
        <v>114</v>
      </c>
      <c r="BD267" s="19" t="s">
        <v>114</v>
      </c>
      <c r="BE267" s="19" t="s">
        <v>114</v>
      </c>
      <c r="BF267" s="19" t="s">
        <v>114</v>
      </c>
      <c r="BG267" s="19" t="s">
        <v>114</v>
      </c>
      <c r="BH267" s="19" t="s">
        <v>114</v>
      </c>
      <c r="BI267" s="19" t="s">
        <v>114</v>
      </c>
      <c r="BJ267" s="19" t="s">
        <v>114</v>
      </c>
      <c r="BK267" s="19" t="s">
        <v>114</v>
      </c>
      <c r="BL267" s="19" t="s">
        <v>114</v>
      </c>
      <c r="BM267" s="19" t="s">
        <v>114</v>
      </c>
      <c r="BN267" s="19" t="s">
        <v>114</v>
      </c>
      <c r="BO267" s="19" t="s">
        <v>114</v>
      </c>
      <c r="BP267" s="19" t="s">
        <v>114</v>
      </c>
      <c r="BQ267" s="19" t="s">
        <v>114</v>
      </c>
      <c r="BR267" s="19" t="s">
        <v>114</v>
      </c>
      <c r="BS267" s="19" t="s">
        <v>114</v>
      </c>
      <c r="BT267" s="19" t="s">
        <v>114</v>
      </c>
      <c r="BU267" s="19" t="s">
        <v>114</v>
      </c>
      <c r="BV267" s="19" t="s">
        <v>114</v>
      </c>
      <c r="BW267" s="19" t="s">
        <v>114</v>
      </c>
      <c r="BX267" s="19" t="s">
        <v>114</v>
      </c>
      <c r="BY267" s="19" t="s">
        <v>114</v>
      </c>
      <c r="BZ267" s="21" t="s">
        <v>114</v>
      </c>
      <c r="CA267" s="21" t="s">
        <v>114</v>
      </c>
      <c r="CB267" s="21" t="s">
        <v>114</v>
      </c>
      <c r="CC267" s="21" t="s">
        <v>114</v>
      </c>
      <c r="CD267" s="21" t="s">
        <v>114</v>
      </c>
      <c r="CE267" s="21" t="s">
        <v>114</v>
      </c>
      <c r="CF267" s="19" t="s">
        <v>114</v>
      </c>
      <c r="CG267" s="19">
        <v>98300</v>
      </c>
      <c r="CH267" s="19" t="s">
        <v>114</v>
      </c>
      <c r="CI267" s="21">
        <v>98302</v>
      </c>
      <c r="CJ267" s="21" t="s">
        <v>114</v>
      </c>
      <c r="CK267" s="21" t="s">
        <v>114</v>
      </c>
      <c r="CL267" s="21" t="s">
        <v>114</v>
      </c>
      <c r="CM267" s="21" t="s">
        <v>114</v>
      </c>
      <c r="CN267" s="21" t="s">
        <v>114</v>
      </c>
      <c r="CO267" s="21" t="s">
        <v>114</v>
      </c>
      <c r="CP267" s="21" t="s">
        <v>114</v>
      </c>
      <c r="CQ267" s="21" t="s">
        <v>114</v>
      </c>
      <c r="CR267" s="21" t="s">
        <v>114</v>
      </c>
      <c r="CS267" s="21" t="s">
        <v>114</v>
      </c>
      <c r="CT267" s="21" t="s">
        <v>114</v>
      </c>
      <c r="CU267" s="21" t="s">
        <v>114</v>
      </c>
      <c r="CV267" s="21">
        <v>98424</v>
      </c>
      <c r="CW267" s="21" t="s">
        <v>114</v>
      </c>
      <c r="CX267" s="21" t="s">
        <v>114</v>
      </c>
      <c r="CY267" s="21" t="s">
        <v>114</v>
      </c>
      <c r="CZ267" s="21" t="s">
        <v>114</v>
      </c>
      <c r="DA267" s="21" t="s">
        <v>114</v>
      </c>
      <c r="DB267" s="21" t="s">
        <v>114</v>
      </c>
      <c r="DC267" s="21" t="s">
        <v>114</v>
      </c>
      <c r="DD267" s="21" t="s">
        <v>114</v>
      </c>
      <c r="DE267" s="21" t="s">
        <v>114</v>
      </c>
      <c r="DF267" s="19" t="s">
        <v>114</v>
      </c>
      <c r="DG267" s="19" t="s">
        <v>114</v>
      </c>
      <c r="DH267" s="19" t="s">
        <v>114</v>
      </c>
      <c r="DI267" s="19" t="s">
        <v>114</v>
      </c>
      <c r="DJ267" s="19" t="s">
        <v>114</v>
      </c>
      <c r="DK267" s="19" t="s">
        <v>114</v>
      </c>
      <c r="DL267" s="19" t="s">
        <v>114</v>
      </c>
      <c r="DM267" s="19" t="s">
        <v>114</v>
      </c>
      <c r="DN267" s="19" t="s">
        <v>114</v>
      </c>
      <c r="DO267" s="19" t="s">
        <v>114</v>
      </c>
    </row>
    <row r="268" spans="1:119" hidden="1" x14ac:dyDescent="0.45">
      <c r="A268" s="2" t="s">
        <v>334</v>
      </c>
      <c r="B268" t="s">
        <v>335</v>
      </c>
      <c r="C268" s="2">
        <v>96</v>
      </c>
      <c r="D268" s="6">
        <v>204</v>
      </c>
      <c r="E268" s="2" t="s">
        <v>1570</v>
      </c>
      <c r="F268" t="s">
        <v>336</v>
      </c>
      <c r="G268" t="s">
        <v>336</v>
      </c>
      <c r="H268" s="2" t="s">
        <v>337</v>
      </c>
      <c r="I268" s="2" t="s">
        <v>336</v>
      </c>
      <c r="J268" s="2">
        <v>142</v>
      </c>
      <c r="K268" t="s">
        <v>100</v>
      </c>
      <c r="L268" s="2">
        <v>35</v>
      </c>
      <c r="M268" t="s">
        <v>338</v>
      </c>
      <c r="P268" s="2" t="s">
        <v>100</v>
      </c>
      <c r="Q268" s="2" t="s">
        <v>155</v>
      </c>
      <c r="R268" s="4">
        <v>753</v>
      </c>
      <c r="S268" s="4" t="s">
        <v>525</v>
      </c>
      <c r="T268" s="4">
        <v>35</v>
      </c>
      <c r="U268" s="4" t="s">
        <v>338</v>
      </c>
      <c r="V268" t="s">
        <v>2458</v>
      </c>
      <c r="W268" t="s">
        <v>2458</v>
      </c>
      <c r="X268" t="s">
        <v>2440</v>
      </c>
      <c r="Y268" t="s">
        <v>338</v>
      </c>
      <c r="Z268" t="s">
        <v>1934</v>
      </c>
      <c r="AA268" t="s">
        <v>338</v>
      </c>
      <c r="AB268" t="s">
        <v>2881</v>
      </c>
      <c r="AC268" s="2" t="s">
        <v>130</v>
      </c>
      <c r="AD268" s="4" t="s">
        <v>1891</v>
      </c>
      <c r="AE268" t="s">
        <v>104</v>
      </c>
      <c r="AF268" t="s">
        <v>1886</v>
      </c>
      <c r="AG268" s="3" t="s">
        <v>1887</v>
      </c>
      <c r="AH268" t="s">
        <v>105</v>
      </c>
      <c r="AI268" s="3" t="s">
        <v>105</v>
      </c>
      <c r="AJ268" s="3" t="s">
        <v>106</v>
      </c>
      <c r="AK268" s="3" t="s">
        <v>107</v>
      </c>
      <c r="AL268" s="5" t="s">
        <v>339</v>
      </c>
      <c r="AM268" s="5" t="s">
        <v>109</v>
      </c>
      <c r="AN268" t="s">
        <v>110</v>
      </c>
      <c r="AO268" s="3" t="s">
        <v>119</v>
      </c>
      <c r="AP268" s="3" t="s">
        <v>120</v>
      </c>
      <c r="AQ268" s="3" t="s">
        <v>111</v>
      </c>
      <c r="AR268" s="3" t="s">
        <v>112</v>
      </c>
      <c r="AS268" s="3" t="s">
        <v>112</v>
      </c>
      <c r="AT268" s="3" t="s">
        <v>113</v>
      </c>
      <c r="AU268" s="3" t="s">
        <v>2303</v>
      </c>
      <c r="AV268" s="3" t="s">
        <v>2302</v>
      </c>
      <c r="AW268" s="3" t="s">
        <v>2301</v>
      </c>
      <c r="AX268" s="3" t="s">
        <v>2006</v>
      </c>
      <c r="AY268" s="19" t="s">
        <v>114</v>
      </c>
      <c r="AZ268" s="19" t="s">
        <v>114</v>
      </c>
      <c r="BA268" s="19" t="s">
        <v>114</v>
      </c>
      <c r="BB268" s="19" t="s">
        <v>114</v>
      </c>
      <c r="BC268" s="19" t="s">
        <v>114</v>
      </c>
      <c r="BD268" s="19" t="s">
        <v>114</v>
      </c>
      <c r="BE268" s="19" t="s">
        <v>114</v>
      </c>
      <c r="BF268" s="19" t="s">
        <v>114</v>
      </c>
      <c r="BG268" s="19" t="s">
        <v>114</v>
      </c>
      <c r="BH268" s="19" t="s">
        <v>114</v>
      </c>
      <c r="BI268" s="19" t="s">
        <v>114</v>
      </c>
      <c r="BJ268" s="19" t="s">
        <v>114</v>
      </c>
      <c r="BK268" s="19" t="s">
        <v>114</v>
      </c>
      <c r="BL268" s="19" t="s">
        <v>114</v>
      </c>
      <c r="BM268" s="19" t="s">
        <v>114</v>
      </c>
      <c r="BN268" s="19" t="s">
        <v>114</v>
      </c>
      <c r="BO268" s="19" t="s">
        <v>114</v>
      </c>
      <c r="BP268" s="19" t="s">
        <v>114</v>
      </c>
      <c r="BQ268" s="19" t="s">
        <v>114</v>
      </c>
      <c r="BR268" s="19" t="s">
        <v>114</v>
      </c>
      <c r="BS268" s="19" t="s">
        <v>114</v>
      </c>
      <c r="BT268" s="19" t="s">
        <v>114</v>
      </c>
      <c r="BU268" s="19" t="s">
        <v>114</v>
      </c>
      <c r="BV268" s="19" t="s">
        <v>114</v>
      </c>
      <c r="BW268" s="19" t="s">
        <v>114</v>
      </c>
      <c r="BX268" s="19" t="s">
        <v>114</v>
      </c>
      <c r="BY268" s="19" t="s">
        <v>114</v>
      </c>
      <c r="BZ268" s="21" t="s">
        <v>114</v>
      </c>
      <c r="CA268" s="21" t="s">
        <v>114</v>
      </c>
      <c r="CB268" s="21" t="s">
        <v>114</v>
      </c>
      <c r="CC268" s="21" t="s">
        <v>114</v>
      </c>
      <c r="CD268" s="21" t="s">
        <v>114</v>
      </c>
      <c r="CE268" s="21" t="s">
        <v>114</v>
      </c>
      <c r="CF268" s="19" t="s">
        <v>114</v>
      </c>
      <c r="CG268" s="19" t="s">
        <v>114</v>
      </c>
      <c r="CH268" s="19" t="s">
        <v>114</v>
      </c>
      <c r="CI268" s="21" t="s">
        <v>114</v>
      </c>
      <c r="CJ268" s="21">
        <v>98400</v>
      </c>
      <c r="CK268" s="21" t="s">
        <v>114</v>
      </c>
      <c r="CL268" s="21">
        <v>98406</v>
      </c>
      <c r="CM268" s="21" t="s">
        <v>114</v>
      </c>
      <c r="CN268" s="21" t="s">
        <v>114</v>
      </c>
      <c r="CO268" s="21" t="s">
        <v>114</v>
      </c>
      <c r="CP268" s="21" t="s">
        <v>114</v>
      </c>
      <c r="CQ268" s="21" t="s">
        <v>114</v>
      </c>
      <c r="CR268" s="21" t="s">
        <v>114</v>
      </c>
      <c r="CS268" s="21">
        <v>98419</v>
      </c>
      <c r="CT268" s="21" t="s">
        <v>114</v>
      </c>
      <c r="CU268" s="21" t="s">
        <v>114</v>
      </c>
      <c r="CV268" s="21" t="s">
        <v>114</v>
      </c>
      <c r="CW268" s="21" t="s">
        <v>114</v>
      </c>
      <c r="CX268" s="21" t="s">
        <v>114</v>
      </c>
      <c r="CY268" s="21" t="s">
        <v>114</v>
      </c>
      <c r="CZ268" s="21" t="s">
        <v>114</v>
      </c>
      <c r="DA268" s="21" t="s">
        <v>114</v>
      </c>
      <c r="DB268" s="21" t="s">
        <v>114</v>
      </c>
      <c r="DC268" s="21">
        <v>98436</v>
      </c>
      <c r="DD268" s="21" t="s">
        <v>114</v>
      </c>
      <c r="DE268" s="21" t="s">
        <v>114</v>
      </c>
      <c r="DF268" s="19" t="s">
        <v>114</v>
      </c>
      <c r="DG268" s="19" t="s">
        <v>114</v>
      </c>
      <c r="DH268" s="19" t="s">
        <v>114</v>
      </c>
      <c r="DI268" s="19" t="s">
        <v>114</v>
      </c>
      <c r="DJ268" s="19" t="s">
        <v>114</v>
      </c>
      <c r="DK268" s="19" t="s">
        <v>114</v>
      </c>
      <c r="DL268" s="19" t="s">
        <v>114</v>
      </c>
      <c r="DM268" s="19" t="s">
        <v>114</v>
      </c>
      <c r="DN268" s="19" t="s">
        <v>114</v>
      </c>
      <c r="DO268" s="19" t="s">
        <v>114</v>
      </c>
    </row>
    <row r="269" spans="1:119" hidden="1" x14ac:dyDescent="0.45">
      <c r="A269" s="2" t="s">
        <v>356</v>
      </c>
      <c r="B269" t="s">
        <v>357</v>
      </c>
      <c r="C269" s="2">
        <v>116</v>
      </c>
      <c r="D269" s="6">
        <v>205</v>
      </c>
      <c r="E269" s="2" t="s">
        <v>358</v>
      </c>
      <c r="F269" t="s">
        <v>358</v>
      </c>
      <c r="G269" t="s">
        <v>2037</v>
      </c>
      <c r="H269" s="2" t="s">
        <v>359</v>
      </c>
      <c r="I269" s="2" t="s">
        <v>360</v>
      </c>
      <c r="J269" s="2">
        <v>142</v>
      </c>
      <c r="K269" t="s">
        <v>100</v>
      </c>
      <c r="L269" s="2">
        <v>35</v>
      </c>
      <c r="M269" t="s">
        <v>338</v>
      </c>
      <c r="P269" s="2" t="s">
        <v>100</v>
      </c>
      <c r="Q269" s="2" t="s">
        <v>155</v>
      </c>
      <c r="R269" s="4">
        <v>753</v>
      </c>
      <c r="S269" s="4" t="s">
        <v>525</v>
      </c>
      <c r="T269" s="4">
        <v>35</v>
      </c>
      <c r="U269" s="4" t="s">
        <v>338</v>
      </c>
      <c r="V269" t="s">
        <v>2458</v>
      </c>
      <c r="W269" t="s">
        <v>2458</v>
      </c>
      <c r="X269" t="s">
        <v>2440</v>
      </c>
      <c r="Y269" t="s">
        <v>338</v>
      </c>
      <c r="Z269" t="s">
        <v>1934</v>
      </c>
      <c r="AA269" t="s">
        <v>338</v>
      </c>
      <c r="AB269" t="s">
        <v>2881</v>
      </c>
      <c r="AC269" s="2" t="s">
        <v>168</v>
      </c>
      <c r="AD269" s="4" t="s">
        <v>1891</v>
      </c>
      <c r="AE269" t="s">
        <v>104</v>
      </c>
      <c r="AF269" t="s">
        <v>1885</v>
      </c>
      <c r="AG269" t="s">
        <v>1884</v>
      </c>
      <c r="AH269" t="s">
        <v>105</v>
      </c>
      <c r="AI269" s="3" t="s">
        <v>105</v>
      </c>
      <c r="AJ269" s="3" t="s">
        <v>106</v>
      </c>
      <c r="AK269" s="3" t="s">
        <v>107</v>
      </c>
      <c r="AL269" s="5" t="s">
        <v>361</v>
      </c>
      <c r="AM269" s="5" t="s">
        <v>109</v>
      </c>
      <c r="AN269" t="s">
        <v>110</v>
      </c>
      <c r="AO269" t="s">
        <v>25</v>
      </c>
      <c r="AP269" s="3" t="s">
        <v>120</v>
      </c>
      <c r="AQ269" s="3" t="s">
        <v>111</v>
      </c>
      <c r="AR269" s="3" t="s">
        <v>112</v>
      </c>
      <c r="AS269" s="3" t="s">
        <v>112</v>
      </c>
      <c r="AT269" s="3" t="s">
        <v>113</v>
      </c>
      <c r="AU269" s="3" t="s">
        <v>2303</v>
      </c>
      <c r="AV269" s="3" t="s">
        <v>2302</v>
      </c>
      <c r="AW269" s="3" t="s">
        <v>2301</v>
      </c>
      <c r="AX269" s="3" t="s">
        <v>2006</v>
      </c>
      <c r="AY269" s="19" t="s">
        <v>114</v>
      </c>
      <c r="AZ269" s="19" t="s">
        <v>114</v>
      </c>
      <c r="BA269" s="19" t="s">
        <v>114</v>
      </c>
      <c r="BB269" s="19" t="s">
        <v>114</v>
      </c>
      <c r="BC269" s="19" t="s">
        <v>114</v>
      </c>
      <c r="BD269" s="19" t="s">
        <v>114</v>
      </c>
      <c r="BE269" s="19" t="s">
        <v>114</v>
      </c>
      <c r="BF269" s="19" t="s">
        <v>114</v>
      </c>
      <c r="BG269" s="19" t="s">
        <v>114</v>
      </c>
      <c r="BH269" s="19" t="s">
        <v>114</v>
      </c>
      <c r="BI269" s="19" t="s">
        <v>114</v>
      </c>
      <c r="BJ269" s="19" t="s">
        <v>114</v>
      </c>
      <c r="BK269" s="19" t="s">
        <v>114</v>
      </c>
      <c r="BL269" s="19" t="s">
        <v>114</v>
      </c>
      <c r="BM269" s="19" t="s">
        <v>114</v>
      </c>
      <c r="BN269" s="19" t="s">
        <v>114</v>
      </c>
      <c r="BO269" s="19" t="s">
        <v>114</v>
      </c>
      <c r="BP269" s="19" t="s">
        <v>114</v>
      </c>
      <c r="BQ269" s="19" t="s">
        <v>114</v>
      </c>
      <c r="BR269" s="19" t="s">
        <v>114</v>
      </c>
      <c r="BS269" s="19" t="s">
        <v>114</v>
      </c>
      <c r="BT269" s="19" t="s">
        <v>114</v>
      </c>
      <c r="BU269" s="19" t="s">
        <v>114</v>
      </c>
      <c r="BV269" s="19" t="s">
        <v>114</v>
      </c>
      <c r="BW269" s="19" t="s">
        <v>114</v>
      </c>
      <c r="BX269" s="19" t="s">
        <v>114</v>
      </c>
      <c r="BY269" s="19" t="s">
        <v>114</v>
      </c>
      <c r="BZ269" s="21" t="s">
        <v>114</v>
      </c>
      <c r="CA269" s="21" t="s">
        <v>114</v>
      </c>
      <c r="CB269" s="21" t="s">
        <v>114</v>
      </c>
      <c r="CC269" s="21" t="s">
        <v>114</v>
      </c>
      <c r="CD269" s="21" t="s">
        <v>114</v>
      </c>
      <c r="CE269" s="21" t="s">
        <v>114</v>
      </c>
      <c r="CF269" s="19" t="s">
        <v>114</v>
      </c>
      <c r="CG269" s="19" t="s">
        <v>114</v>
      </c>
      <c r="CH269" s="19" t="s">
        <v>114</v>
      </c>
      <c r="CI269" s="21" t="s">
        <v>114</v>
      </c>
      <c r="CJ269" s="21">
        <v>98400</v>
      </c>
      <c r="CK269" s="21" t="s">
        <v>114</v>
      </c>
      <c r="CL269" s="21">
        <v>98406</v>
      </c>
      <c r="CM269" s="21" t="s">
        <v>114</v>
      </c>
      <c r="CN269" s="21" t="s">
        <v>114</v>
      </c>
      <c r="CO269" s="21">
        <v>98411</v>
      </c>
      <c r="CP269" s="21" t="s">
        <v>114</v>
      </c>
      <c r="CQ269" s="21" t="s">
        <v>114</v>
      </c>
      <c r="CR269" s="21" t="s">
        <v>114</v>
      </c>
      <c r="CS269" s="21">
        <v>98419</v>
      </c>
      <c r="CT269" s="21" t="s">
        <v>114</v>
      </c>
      <c r="CU269" s="21" t="s">
        <v>114</v>
      </c>
      <c r="CV269" s="21" t="s">
        <v>114</v>
      </c>
      <c r="CW269" s="21" t="s">
        <v>114</v>
      </c>
      <c r="CX269" s="21" t="s">
        <v>114</v>
      </c>
      <c r="CY269" s="21" t="s">
        <v>114</v>
      </c>
      <c r="CZ269" s="21" t="s">
        <v>114</v>
      </c>
      <c r="DA269" s="21">
        <v>98434</v>
      </c>
      <c r="DB269" s="21" t="s">
        <v>114</v>
      </c>
      <c r="DC269" s="21" t="s">
        <v>114</v>
      </c>
      <c r="DD269" s="21" t="s">
        <v>114</v>
      </c>
      <c r="DE269" s="21">
        <v>98438</v>
      </c>
      <c r="DF269" s="19" t="s">
        <v>114</v>
      </c>
      <c r="DG269" s="19" t="s">
        <v>114</v>
      </c>
      <c r="DH269" s="19" t="s">
        <v>114</v>
      </c>
      <c r="DI269" s="19" t="s">
        <v>114</v>
      </c>
      <c r="DJ269" s="19" t="s">
        <v>114</v>
      </c>
      <c r="DK269" s="19" t="s">
        <v>114</v>
      </c>
      <c r="DL269" s="19" t="s">
        <v>114</v>
      </c>
      <c r="DM269" s="19" t="s">
        <v>114</v>
      </c>
      <c r="DN269" s="19" t="s">
        <v>114</v>
      </c>
      <c r="DO269" s="19" t="s">
        <v>114</v>
      </c>
    </row>
    <row r="270" spans="1:119" hidden="1" x14ac:dyDescent="0.45">
      <c r="A270" s="2" t="s">
        <v>493</v>
      </c>
      <c r="B270" t="s">
        <v>494</v>
      </c>
      <c r="C270" s="2">
        <v>408</v>
      </c>
      <c r="D270" s="6">
        <v>214</v>
      </c>
      <c r="E270" s="2" t="s">
        <v>1689</v>
      </c>
      <c r="F270" s="3" t="s">
        <v>1898</v>
      </c>
      <c r="G270" t="s">
        <v>2052</v>
      </c>
      <c r="H270" s="4" t="s">
        <v>496</v>
      </c>
      <c r="I270" s="2" t="s">
        <v>497</v>
      </c>
      <c r="J270" s="2">
        <v>142</v>
      </c>
      <c r="K270" t="s">
        <v>100</v>
      </c>
      <c r="L270" s="2">
        <v>30</v>
      </c>
      <c r="M270" t="s">
        <v>407</v>
      </c>
      <c r="P270" s="2" t="s">
        <v>100</v>
      </c>
      <c r="Q270" s="2" t="s">
        <v>155</v>
      </c>
      <c r="R270" s="4">
        <v>753</v>
      </c>
      <c r="S270" s="4" t="s">
        <v>525</v>
      </c>
      <c r="T270" s="4">
        <v>30</v>
      </c>
      <c r="U270" s="4" t="s">
        <v>407</v>
      </c>
      <c r="V270" t="s">
        <v>2458</v>
      </c>
      <c r="W270" t="s">
        <v>2458</v>
      </c>
      <c r="X270" t="s">
        <v>2440</v>
      </c>
      <c r="Y270" t="s">
        <v>407</v>
      </c>
      <c r="Z270" t="s">
        <v>1933</v>
      </c>
      <c r="AA270" t="s">
        <v>338</v>
      </c>
      <c r="AB270" t="s">
        <v>2881</v>
      </c>
      <c r="AC270" s="2" t="s">
        <v>103</v>
      </c>
      <c r="AD270" s="4" t="s">
        <v>1891</v>
      </c>
      <c r="AE270" t="s">
        <v>104</v>
      </c>
      <c r="AF270" t="s">
        <v>1885</v>
      </c>
      <c r="AG270" t="s">
        <v>1884</v>
      </c>
      <c r="AH270" t="s">
        <v>105</v>
      </c>
      <c r="AI270" s="3" t="s">
        <v>105</v>
      </c>
      <c r="AJ270" s="3" t="s">
        <v>106</v>
      </c>
      <c r="AK270" s="3" t="s">
        <v>107</v>
      </c>
      <c r="AL270" s="5" t="s">
        <v>498</v>
      </c>
      <c r="AM270" s="5" t="s">
        <v>109</v>
      </c>
      <c r="AO270" s="3" t="s">
        <v>119</v>
      </c>
      <c r="AP270" s="3" t="s">
        <v>120</v>
      </c>
      <c r="AQ270" s="3" t="s">
        <v>111</v>
      </c>
      <c r="AR270" s="3" t="s">
        <v>112</v>
      </c>
      <c r="AS270" s="3" t="s">
        <v>112</v>
      </c>
      <c r="AT270" s="3" t="s">
        <v>113</v>
      </c>
      <c r="AU270" s="3" t="s">
        <v>2303</v>
      </c>
      <c r="AV270" s="3" t="s">
        <v>2302</v>
      </c>
      <c r="AW270" s="3" t="s">
        <v>2301</v>
      </c>
      <c r="AX270" s="3" t="s">
        <v>2006</v>
      </c>
      <c r="AY270" s="19" t="s">
        <v>114</v>
      </c>
      <c r="AZ270" s="19" t="s">
        <v>114</v>
      </c>
      <c r="BA270" s="19" t="s">
        <v>114</v>
      </c>
      <c r="BB270" s="19" t="s">
        <v>114</v>
      </c>
      <c r="BC270" s="19" t="s">
        <v>114</v>
      </c>
      <c r="BD270" s="19" t="s">
        <v>114</v>
      </c>
      <c r="BE270" s="19" t="s">
        <v>114</v>
      </c>
      <c r="BF270" s="19" t="s">
        <v>114</v>
      </c>
      <c r="BG270" s="19" t="s">
        <v>114</v>
      </c>
      <c r="BH270" s="19" t="s">
        <v>114</v>
      </c>
      <c r="BI270" s="19" t="s">
        <v>114</v>
      </c>
      <c r="BJ270" s="19" t="s">
        <v>114</v>
      </c>
      <c r="BK270" s="19" t="s">
        <v>114</v>
      </c>
      <c r="BL270" s="19" t="s">
        <v>114</v>
      </c>
      <c r="BM270" s="19" t="s">
        <v>114</v>
      </c>
      <c r="BN270" s="19" t="s">
        <v>114</v>
      </c>
      <c r="BO270" s="19" t="s">
        <v>114</v>
      </c>
      <c r="BP270" s="19" t="s">
        <v>114</v>
      </c>
      <c r="BQ270" s="19" t="s">
        <v>114</v>
      </c>
      <c r="BR270" s="19" t="s">
        <v>114</v>
      </c>
      <c r="BS270" s="19" t="s">
        <v>114</v>
      </c>
      <c r="BT270" s="19" t="s">
        <v>114</v>
      </c>
      <c r="BU270" s="19" t="s">
        <v>114</v>
      </c>
      <c r="BV270" s="19" t="s">
        <v>114</v>
      </c>
      <c r="BW270" s="19" t="s">
        <v>114</v>
      </c>
      <c r="BX270" s="19" t="s">
        <v>114</v>
      </c>
      <c r="BY270" s="19" t="s">
        <v>114</v>
      </c>
      <c r="BZ270" s="21" t="s">
        <v>114</v>
      </c>
      <c r="CA270" s="21" t="s">
        <v>114</v>
      </c>
      <c r="CB270" s="21" t="s">
        <v>114</v>
      </c>
      <c r="CC270" s="21" t="s">
        <v>114</v>
      </c>
      <c r="CD270" s="21" t="s">
        <v>114</v>
      </c>
      <c r="CE270" s="21" t="s">
        <v>114</v>
      </c>
      <c r="CF270" s="19" t="s">
        <v>114</v>
      </c>
      <c r="CG270" s="19" t="s">
        <v>114</v>
      </c>
      <c r="CH270" s="19" t="s">
        <v>114</v>
      </c>
      <c r="CI270" s="21" t="s">
        <v>114</v>
      </c>
      <c r="CJ270" s="21">
        <v>98400</v>
      </c>
      <c r="CK270" s="21" t="s">
        <v>114</v>
      </c>
      <c r="CL270" s="21" t="s">
        <v>114</v>
      </c>
      <c r="CM270" s="21" t="s">
        <v>114</v>
      </c>
      <c r="CN270" s="21">
        <v>98408</v>
      </c>
      <c r="CO270" s="21" t="s">
        <v>114</v>
      </c>
      <c r="CP270" s="21" t="s">
        <v>114</v>
      </c>
      <c r="CQ270" s="21" t="s">
        <v>114</v>
      </c>
      <c r="CR270" s="21" t="s">
        <v>114</v>
      </c>
      <c r="CS270" s="21" t="s">
        <v>114</v>
      </c>
      <c r="CT270" s="21" t="s">
        <v>114</v>
      </c>
      <c r="CU270" s="21" t="s">
        <v>114</v>
      </c>
      <c r="CV270" s="21" t="s">
        <v>114</v>
      </c>
      <c r="CW270" s="21" t="s">
        <v>114</v>
      </c>
      <c r="CX270" s="21" t="s">
        <v>114</v>
      </c>
      <c r="CY270" s="21" t="s">
        <v>114</v>
      </c>
      <c r="CZ270" s="21" t="s">
        <v>114</v>
      </c>
      <c r="DA270" s="21" t="s">
        <v>114</v>
      </c>
      <c r="DB270" s="21" t="s">
        <v>114</v>
      </c>
      <c r="DC270" s="21" t="s">
        <v>114</v>
      </c>
      <c r="DD270" s="21" t="s">
        <v>114</v>
      </c>
      <c r="DE270" s="21" t="s">
        <v>114</v>
      </c>
      <c r="DF270" s="19">
        <v>98439</v>
      </c>
      <c r="DG270" s="19" t="s">
        <v>114</v>
      </c>
      <c r="DH270" s="19" t="s">
        <v>114</v>
      </c>
      <c r="DI270" s="19" t="s">
        <v>114</v>
      </c>
      <c r="DJ270" s="19" t="s">
        <v>114</v>
      </c>
      <c r="DK270" s="19" t="s">
        <v>114</v>
      </c>
      <c r="DL270" s="19" t="s">
        <v>114</v>
      </c>
      <c r="DM270" s="19" t="s">
        <v>114</v>
      </c>
      <c r="DN270" s="19" t="s">
        <v>114</v>
      </c>
      <c r="DO270" s="19" t="s">
        <v>114</v>
      </c>
    </row>
    <row r="271" spans="1:119" hidden="1" x14ac:dyDescent="0.45">
      <c r="A271" s="2" t="s">
        <v>724</v>
      </c>
      <c r="B271" t="s">
        <v>725</v>
      </c>
      <c r="C271" s="2">
        <v>360</v>
      </c>
      <c r="D271" s="6">
        <v>211</v>
      </c>
      <c r="E271" s="2" t="s">
        <v>726</v>
      </c>
      <c r="F271" t="s">
        <v>726</v>
      </c>
      <c r="G271" t="s">
        <v>2081</v>
      </c>
      <c r="H271" s="2" t="s">
        <v>727</v>
      </c>
      <c r="I271" s="2" t="s">
        <v>726</v>
      </c>
      <c r="J271" s="2">
        <v>142</v>
      </c>
      <c r="K271" t="s">
        <v>100</v>
      </c>
      <c r="L271" s="2">
        <v>35</v>
      </c>
      <c r="M271" t="s">
        <v>338</v>
      </c>
      <c r="P271" s="2" t="s">
        <v>100</v>
      </c>
      <c r="Q271" s="2" t="s">
        <v>155</v>
      </c>
      <c r="R271" s="4">
        <v>753</v>
      </c>
      <c r="S271" s="4" t="s">
        <v>525</v>
      </c>
      <c r="T271" s="4">
        <v>35</v>
      </c>
      <c r="U271" s="4" t="s">
        <v>338</v>
      </c>
      <c r="V271" t="s">
        <v>2458</v>
      </c>
      <c r="W271" t="s">
        <v>2458</v>
      </c>
      <c r="X271" t="s">
        <v>2440</v>
      </c>
      <c r="Y271" t="s">
        <v>338</v>
      </c>
      <c r="Z271" t="s">
        <v>726</v>
      </c>
      <c r="AA271" t="s">
        <v>338</v>
      </c>
      <c r="AB271" t="s">
        <v>2881</v>
      </c>
      <c r="AC271" s="2" t="s">
        <v>168</v>
      </c>
      <c r="AD271" s="4" t="s">
        <v>1891</v>
      </c>
      <c r="AE271" t="s">
        <v>104</v>
      </c>
      <c r="AF271" t="s">
        <v>1885</v>
      </c>
      <c r="AG271" t="s">
        <v>1884</v>
      </c>
      <c r="AH271" t="s">
        <v>105</v>
      </c>
      <c r="AI271" s="3" t="s">
        <v>105</v>
      </c>
      <c r="AJ271" s="3" t="s">
        <v>106</v>
      </c>
      <c r="AK271" s="3" t="s">
        <v>107</v>
      </c>
      <c r="AL271" s="5" t="s">
        <v>728</v>
      </c>
      <c r="AM271" s="5" t="s">
        <v>109</v>
      </c>
      <c r="AN271" t="s">
        <v>110</v>
      </c>
      <c r="AO271" s="3" t="s">
        <v>119</v>
      </c>
      <c r="AP271" s="3" t="s">
        <v>120</v>
      </c>
      <c r="AQ271" s="3" t="s">
        <v>111</v>
      </c>
      <c r="AR271" s="3" t="s">
        <v>112</v>
      </c>
      <c r="AS271" s="3" t="s">
        <v>112</v>
      </c>
      <c r="AT271" s="3" t="s">
        <v>113</v>
      </c>
      <c r="AU271" s="3" t="s">
        <v>2303</v>
      </c>
      <c r="AV271" s="3" t="s">
        <v>2302</v>
      </c>
      <c r="AW271" s="3" t="s">
        <v>2300</v>
      </c>
      <c r="AX271" s="3" t="s">
        <v>2006</v>
      </c>
      <c r="AY271" s="19" t="s">
        <v>114</v>
      </c>
      <c r="AZ271" s="19" t="s">
        <v>114</v>
      </c>
      <c r="BA271" s="19" t="s">
        <v>114</v>
      </c>
      <c r="BB271" s="19" t="s">
        <v>114</v>
      </c>
      <c r="BC271" s="19" t="s">
        <v>114</v>
      </c>
      <c r="BD271" s="19" t="s">
        <v>114</v>
      </c>
      <c r="BE271" s="19" t="s">
        <v>114</v>
      </c>
      <c r="BF271" s="19" t="s">
        <v>114</v>
      </c>
      <c r="BG271" s="19" t="s">
        <v>114</v>
      </c>
      <c r="BH271" s="19" t="s">
        <v>114</v>
      </c>
      <c r="BI271" s="19" t="s">
        <v>114</v>
      </c>
      <c r="BJ271" s="19" t="s">
        <v>114</v>
      </c>
      <c r="BK271" s="19" t="s">
        <v>114</v>
      </c>
      <c r="BL271" s="19" t="s">
        <v>114</v>
      </c>
      <c r="BM271" s="19" t="s">
        <v>114</v>
      </c>
      <c r="BN271" s="19" t="s">
        <v>114</v>
      </c>
      <c r="BO271" s="19" t="s">
        <v>114</v>
      </c>
      <c r="BP271" s="19" t="s">
        <v>114</v>
      </c>
      <c r="BQ271" s="19" t="s">
        <v>114</v>
      </c>
      <c r="BR271" s="19" t="s">
        <v>114</v>
      </c>
      <c r="BS271" s="19" t="s">
        <v>114</v>
      </c>
      <c r="BT271" s="19" t="s">
        <v>114</v>
      </c>
      <c r="BU271" s="19" t="s">
        <v>114</v>
      </c>
      <c r="BV271" s="19" t="s">
        <v>114</v>
      </c>
      <c r="BW271" s="19" t="s">
        <v>114</v>
      </c>
      <c r="BX271" s="19" t="s">
        <v>114</v>
      </c>
      <c r="BY271" s="19" t="s">
        <v>114</v>
      </c>
      <c r="BZ271" s="21" t="s">
        <v>114</v>
      </c>
      <c r="CA271" s="21" t="s">
        <v>114</v>
      </c>
      <c r="CB271" s="21" t="s">
        <v>114</v>
      </c>
      <c r="CC271" s="21" t="s">
        <v>114</v>
      </c>
      <c r="CD271" s="21" t="s">
        <v>114</v>
      </c>
      <c r="CE271" s="21" t="s">
        <v>114</v>
      </c>
      <c r="CF271" s="19" t="s">
        <v>114</v>
      </c>
      <c r="CG271" s="19" t="s">
        <v>114</v>
      </c>
      <c r="CH271" s="19" t="s">
        <v>114</v>
      </c>
      <c r="CI271" s="21" t="s">
        <v>114</v>
      </c>
      <c r="CJ271" s="21">
        <v>98400</v>
      </c>
      <c r="CK271" s="21" t="s">
        <v>114</v>
      </c>
      <c r="CL271" s="21">
        <v>98406</v>
      </c>
      <c r="CM271" s="21" t="s">
        <v>114</v>
      </c>
      <c r="CN271" s="21" t="s">
        <v>114</v>
      </c>
      <c r="CO271" s="21" t="s">
        <v>114</v>
      </c>
      <c r="CP271" s="21" t="s">
        <v>114</v>
      </c>
      <c r="CQ271" s="21" t="s">
        <v>114</v>
      </c>
      <c r="CR271" s="21" t="s">
        <v>114</v>
      </c>
      <c r="CS271" s="21">
        <v>98419</v>
      </c>
      <c r="CT271" s="21" t="s">
        <v>114</v>
      </c>
      <c r="CU271" s="21" t="s">
        <v>114</v>
      </c>
      <c r="CV271" s="21" t="s">
        <v>114</v>
      </c>
      <c r="CW271" s="21" t="s">
        <v>114</v>
      </c>
      <c r="CX271" s="21" t="s">
        <v>114</v>
      </c>
      <c r="CY271" s="21" t="s">
        <v>114</v>
      </c>
      <c r="CZ271" s="21" t="s">
        <v>114</v>
      </c>
      <c r="DA271" s="21" t="s">
        <v>114</v>
      </c>
      <c r="DB271" s="21" t="s">
        <v>114</v>
      </c>
      <c r="DC271" s="21" t="s">
        <v>114</v>
      </c>
      <c r="DD271" s="21">
        <v>98437</v>
      </c>
      <c r="DE271" s="21" t="s">
        <v>114</v>
      </c>
      <c r="DF271" s="19" t="s">
        <v>114</v>
      </c>
      <c r="DG271" s="19" t="s">
        <v>114</v>
      </c>
      <c r="DH271" s="19" t="s">
        <v>114</v>
      </c>
      <c r="DI271" s="19" t="s">
        <v>114</v>
      </c>
      <c r="DJ271" s="19" t="s">
        <v>114</v>
      </c>
      <c r="DK271" s="19" t="s">
        <v>114</v>
      </c>
      <c r="DL271" s="19" t="s">
        <v>114</v>
      </c>
      <c r="DM271" s="19" t="s">
        <v>114</v>
      </c>
      <c r="DN271" s="19" t="s">
        <v>114</v>
      </c>
      <c r="DO271" s="19" t="s">
        <v>114</v>
      </c>
    </row>
    <row r="272" spans="1:119" hidden="1" x14ac:dyDescent="0.45">
      <c r="A272" s="2" t="s">
        <v>805</v>
      </c>
      <c r="B272" t="s">
        <v>806</v>
      </c>
      <c r="C272" s="2">
        <v>418</v>
      </c>
      <c r="D272" s="6">
        <v>217</v>
      </c>
      <c r="E272" s="2" t="s">
        <v>1699</v>
      </c>
      <c r="F272" s="3" t="s">
        <v>1900</v>
      </c>
      <c r="G272" t="s">
        <v>2092</v>
      </c>
      <c r="H272" s="4" t="s">
        <v>808</v>
      </c>
      <c r="I272" s="2" t="s">
        <v>809</v>
      </c>
      <c r="J272" s="2">
        <v>142</v>
      </c>
      <c r="K272" t="s">
        <v>100</v>
      </c>
      <c r="L272" s="2">
        <v>35</v>
      </c>
      <c r="M272" t="s">
        <v>338</v>
      </c>
      <c r="P272" s="2" t="s">
        <v>100</v>
      </c>
      <c r="Q272" s="2" t="s">
        <v>155</v>
      </c>
      <c r="R272" s="4">
        <v>753</v>
      </c>
      <c r="S272" s="4" t="s">
        <v>525</v>
      </c>
      <c r="T272" s="4">
        <v>35</v>
      </c>
      <c r="U272" s="4" t="s">
        <v>338</v>
      </c>
      <c r="V272" t="s">
        <v>2458</v>
      </c>
      <c r="W272" t="s">
        <v>2458</v>
      </c>
      <c r="X272" t="s">
        <v>2440</v>
      </c>
      <c r="Y272" t="s">
        <v>338</v>
      </c>
      <c r="Z272" t="s">
        <v>1934</v>
      </c>
      <c r="AA272" t="s">
        <v>338</v>
      </c>
      <c r="AB272" t="s">
        <v>2881</v>
      </c>
      <c r="AC272" s="2" t="s">
        <v>168</v>
      </c>
      <c r="AD272" s="4" t="s">
        <v>1891</v>
      </c>
      <c r="AE272" t="s">
        <v>104</v>
      </c>
      <c r="AF272" t="s">
        <v>1885</v>
      </c>
      <c r="AG272" t="s">
        <v>1884</v>
      </c>
      <c r="AH272" t="s">
        <v>105</v>
      </c>
      <c r="AI272" s="3" t="s">
        <v>105</v>
      </c>
      <c r="AJ272" s="3" t="s">
        <v>106</v>
      </c>
      <c r="AK272" s="3" t="s">
        <v>107</v>
      </c>
      <c r="AL272" s="5" t="s">
        <v>810</v>
      </c>
      <c r="AM272" s="5" t="s">
        <v>109</v>
      </c>
      <c r="AN272" t="s">
        <v>110</v>
      </c>
      <c r="AO272" t="s">
        <v>25</v>
      </c>
      <c r="AP272" s="3" t="s">
        <v>26</v>
      </c>
      <c r="AQ272" s="3" t="s">
        <v>111</v>
      </c>
      <c r="AR272" s="3" t="s">
        <v>112</v>
      </c>
      <c r="AS272" s="3" t="s">
        <v>112</v>
      </c>
      <c r="AT272" s="3" t="s">
        <v>113</v>
      </c>
      <c r="AU272" s="3" t="s">
        <v>2303</v>
      </c>
      <c r="AV272" s="3" t="s">
        <v>2302</v>
      </c>
      <c r="AW272" s="3" t="s">
        <v>2301</v>
      </c>
      <c r="AX272" s="3" t="s">
        <v>2006</v>
      </c>
      <c r="AY272" s="19" t="s">
        <v>114</v>
      </c>
      <c r="AZ272" s="19" t="s">
        <v>114</v>
      </c>
      <c r="BA272" s="19" t="s">
        <v>114</v>
      </c>
      <c r="BB272" s="19" t="s">
        <v>114</v>
      </c>
      <c r="BC272" s="19" t="s">
        <v>114</v>
      </c>
      <c r="BD272" s="19" t="s">
        <v>114</v>
      </c>
      <c r="BE272" s="19" t="s">
        <v>114</v>
      </c>
      <c r="BF272" s="19" t="s">
        <v>114</v>
      </c>
      <c r="BG272" s="19" t="s">
        <v>114</v>
      </c>
      <c r="BH272" s="19" t="s">
        <v>114</v>
      </c>
      <c r="BI272" s="19" t="s">
        <v>114</v>
      </c>
      <c r="BJ272" s="19" t="s">
        <v>114</v>
      </c>
      <c r="BK272" s="19" t="s">
        <v>114</v>
      </c>
      <c r="BL272" s="19" t="s">
        <v>114</v>
      </c>
      <c r="BM272" s="19" t="s">
        <v>114</v>
      </c>
      <c r="BN272" s="19" t="s">
        <v>114</v>
      </c>
      <c r="BO272" s="19" t="s">
        <v>114</v>
      </c>
      <c r="BP272" s="19" t="s">
        <v>114</v>
      </c>
      <c r="BQ272" s="19" t="s">
        <v>114</v>
      </c>
      <c r="BR272" s="19" t="s">
        <v>114</v>
      </c>
      <c r="BS272" s="19" t="s">
        <v>114</v>
      </c>
      <c r="BT272" s="19" t="s">
        <v>114</v>
      </c>
      <c r="BU272" s="19" t="s">
        <v>114</v>
      </c>
      <c r="BV272" s="19" t="s">
        <v>114</v>
      </c>
      <c r="BW272" s="19" t="s">
        <v>114</v>
      </c>
      <c r="BX272" s="19" t="s">
        <v>114</v>
      </c>
      <c r="BY272" s="19" t="s">
        <v>114</v>
      </c>
      <c r="BZ272" s="21" t="s">
        <v>114</v>
      </c>
      <c r="CA272" s="21" t="s">
        <v>114</v>
      </c>
      <c r="CB272" s="21" t="s">
        <v>114</v>
      </c>
      <c r="CC272" s="21" t="s">
        <v>114</v>
      </c>
      <c r="CD272" s="21" t="s">
        <v>114</v>
      </c>
      <c r="CE272" s="21" t="s">
        <v>114</v>
      </c>
      <c r="CF272" s="19" t="s">
        <v>114</v>
      </c>
      <c r="CG272" s="19" t="s">
        <v>114</v>
      </c>
      <c r="CH272" s="19" t="s">
        <v>114</v>
      </c>
      <c r="CI272" s="21" t="s">
        <v>114</v>
      </c>
      <c r="CJ272" s="21">
        <v>98400</v>
      </c>
      <c r="CK272" s="21" t="s">
        <v>114</v>
      </c>
      <c r="CL272" s="21">
        <v>98406</v>
      </c>
      <c r="CM272" s="21" t="s">
        <v>114</v>
      </c>
      <c r="CN272" s="21" t="s">
        <v>114</v>
      </c>
      <c r="CO272" s="21">
        <v>98411</v>
      </c>
      <c r="CP272" s="21">
        <v>98412</v>
      </c>
      <c r="CQ272" s="21" t="s">
        <v>114</v>
      </c>
      <c r="CR272" s="21" t="s">
        <v>114</v>
      </c>
      <c r="CS272" s="21">
        <v>98419</v>
      </c>
      <c r="CT272" s="21" t="s">
        <v>114</v>
      </c>
      <c r="CU272" s="21" t="s">
        <v>114</v>
      </c>
      <c r="CV272" s="21" t="s">
        <v>114</v>
      </c>
      <c r="CW272" s="21" t="s">
        <v>114</v>
      </c>
      <c r="CX272" s="21" t="s">
        <v>114</v>
      </c>
      <c r="CY272" s="21" t="s">
        <v>114</v>
      </c>
      <c r="CZ272" s="21" t="s">
        <v>114</v>
      </c>
      <c r="DA272" s="21">
        <v>98434</v>
      </c>
      <c r="DB272" s="21" t="s">
        <v>114</v>
      </c>
      <c r="DC272" s="21" t="s">
        <v>114</v>
      </c>
      <c r="DD272" s="21" t="s">
        <v>114</v>
      </c>
      <c r="DE272" s="21">
        <v>98438</v>
      </c>
      <c r="DF272" s="19" t="s">
        <v>114</v>
      </c>
      <c r="DG272" s="19" t="s">
        <v>114</v>
      </c>
      <c r="DH272" s="19" t="s">
        <v>114</v>
      </c>
      <c r="DI272" s="19" t="s">
        <v>114</v>
      </c>
      <c r="DJ272" s="19" t="s">
        <v>114</v>
      </c>
      <c r="DK272" s="19" t="s">
        <v>114</v>
      </c>
      <c r="DL272" s="19" t="s">
        <v>114</v>
      </c>
      <c r="DM272" s="19" t="s">
        <v>114</v>
      </c>
      <c r="DN272" s="19" t="s">
        <v>114</v>
      </c>
      <c r="DO272" s="19" t="s">
        <v>114</v>
      </c>
    </row>
    <row r="273" spans="1:119" hidden="1" x14ac:dyDescent="0.45">
      <c r="A273" s="2" t="s">
        <v>859</v>
      </c>
      <c r="B273" t="s">
        <v>860</v>
      </c>
      <c r="C273" s="2">
        <v>458</v>
      </c>
      <c r="D273" s="6">
        <v>218</v>
      </c>
      <c r="E273" s="2" t="s">
        <v>861</v>
      </c>
      <c r="F273" t="s">
        <v>861</v>
      </c>
      <c r="G273" t="s">
        <v>861</v>
      </c>
      <c r="H273" s="2" t="s">
        <v>862</v>
      </c>
      <c r="I273" s="2" t="s">
        <v>863</v>
      </c>
      <c r="J273" s="2">
        <v>142</v>
      </c>
      <c r="K273" t="s">
        <v>100</v>
      </c>
      <c r="L273" s="2">
        <v>35</v>
      </c>
      <c r="M273" t="s">
        <v>338</v>
      </c>
      <c r="P273" s="2" t="s">
        <v>100</v>
      </c>
      <c r="Q273" s="2" t="s">
        <v>155</v>
      </c>
      <c r="R273" s="4">
        <v>753</v>
      </c>
      <c r="S273" s="4" t="s">
        <v>525</v>
      </c>
      <c r="T273" s="4">
        <v>35</v>
      </c>
      <c r="U273" s="4" t="s">
        <v>338</v>
      </c>
      <c r="V273" t="s">
        <v>2458</v>
      </c>
      <c r="W273" t="s">
        <v>2458</v>
      </c>
      <c r="X273" t="s">
        <v>2440</v>
      </c>
      <c r="Y273" t="s">
        <v>338</v>
      </c>
      <c r="Z273" t="s">
        <v>1934</v>
      </c>
      <c r="AA273" t="s">
        <v>338</v>
      </c>
      <c r="AB273" t="s">
        <v>2881</v>
      </c>
      <c r="AC273" s="2" t="s">
        <v>138</v>
      </c>
      <c r="AD273" s="4" t="s">
        <v>1891</v>
      </c>
      <c r="AE273" t="s">
        <v>104</v>
      </c>
      <c r="AF273" t="s">
        <v>1885</v>
      </c>
      <c r="AG273" t="s">
        <v>1884</v>
      </c>
      <c r="AH273" t="s">
        <v>105</v>
      </c>
      <c r="AI273" s="3" t="s">
        <v>105</v>
      </c>
      <c r="AJ273" s="3" t="s">
        <v>106</v>
      </c>
      <c r="AK273" s="3" t="s">
        <v>107</v>
      </c>
      <c r="AL273" s="5" t="s">
        <v>864</v>
      </c>
      <c r="AM273" s="5" t="s">
        <v>109</v>
      </c>
      <c r="AN273" t="s">
        <v>110</v>
      </c>
      <c r="AO273" s="3" t="s">
        <v>119</v>
      </c>
      <c r="AP273" s="3" t="s">
        <v>120</v>
      </c>
      <c r="AQ273" s="3" t="s">
        <v>111</v>
      </c>
      <c r="AR273" s="3" t="s">
        <v>112</v>
      </c>
      <c r="AS273" s="3" t="s">
        <v>112</v>
      </c>
      <c r="AT273" s="3" t="s">
        <v>113</v>
      </c>
      <c r="AU273" s="3" t="s">
        <v>2303</v>
      </c>
      <c r="AV273" s="3" t="s">
        <v>2302</v>
      </c>
      <c r="AW273" s="3" t="s">
        <v>2301</v>
      </c>
      <c r="AX273" s="3" t="s">
        <v>2006</v>
      </c>
      <c r="AY273" s="19" t="s">
        <v>114</v>
      </c>
      <c r="AZ273" s="19" t="s">
        <v>114</v>
      </c>
      <c r="BA273" s="19" t="s">
        <v>114</v>
      </c>
      <c r="BB273" s="19" t="s">
        <v>114</v>
      </c>
      <c r="BC273" s="19" t="s">
        <v>114</v>
      </c>
      <c r="BD273" s="19" t="s">
        <v>114</v>
      </c>
      <c r="BE273" s="19" t="s">
        <v>114</v>
      </c>
      <c r="BF273" s="19" t="s">
        <v>114</v>
      </c>
      <c r="BG273" s="19" t="s">
        <v>114</v>
      </c>
      <c r="BH273" s="19" t="s">
        <v>114</v>
      </c>
      <c r="BI273" s="19" t="s">
        <v>114</v>
      </c>
      <c r="BJ273" s="19" t="s">
        <v>114</v>
      </c>
      <c r="BK273" s="19" t="s">
        <v>114</v>
      </c>
      <c r="BL273" s="19" t="s">
        <v>114</v>
      </c>
      <c r="BM273" s="19" t="s">
        <v>114</v>
      </c>
      <c r="BN273" s="19" t="s">
        <v>114</v>
      </c>
      <c r="BO273" s="19" t="s">
        <v>114</v>
      </c>
      <c r="BP273" s="19" t="s">
        <v>114</v>
      </c>
      <c r="BQ273" s="19" t="s">
        <v>114</v>
      </c>
      <c r="BR273" s="19" t="s">
        <v>114</v>
      </c>
      <c r="BS273" s="19" t="s">
        <v>114</v>
      </c>
      <c r="BT273" s="19" t="s">
        <v>114</v>
      </c>
      <c r="BU273" s="19" t="s">
        <v>114</v>
      </c>
      <c r="BV273" s="19" t="s">
        <v>114</v>
      </c>
      <c r="BW273" s="19" t="s">
        <v>114</v>
      </c>
      <c r="BX273" s="19" t="s">
        <v>114</v>
      </c>
      <c r="BY273" s="19" t="s">
        <v>114</v>
      </c>
      <c r="BZ273" s="21" t="s">
        <v>114</v>
      </c>
      <c r="CA273" s="21" t="s">
        <v>114</v>
      </c>
      <c r="CB273" s="21" t="s">
        <v>114</v>
      </c>
      <c r="CC273" s="21" t="s">
        <v>114</v>
      </c>
      <c r="CD273" s="21" t="s">
        <v>114</v>
      </c>
      <c r="CE273" s="21" t="s">
        <v>114</v>
      </c>
      <c r="CF273" s="19" t="s">
        <v>114</v>
      </c>
      <c r="CG273" s="19" t="s">
        <v>114</v>
      </c>
      <c r="CH273" s="19" t="s">
        <v>114</v>
      </c>
      <c r="CI273" s="21" t="s">
        <v>114</v>
      </c>
      <c r="CJ273" s="21">
        <v>98400</v>
      </c>
      <c r="CK273" s="21" t="s">
        <v>114</v>
      </c>
      <c r="CL273" s="21">
        <v>98406</v>
      </c>
      <c r="CM273" s="21" t="s">
        <v>114</v>
      </c>
      <c r="CN273" s="21" t="s">
        <v>114</v>
      </c>
      <c r="CO273" s="21" t="s">
        <v>114</v>
      </c>
      <c r="CP273" s="21" t="s">
        <v>114</v>
      </c>
      <c r="CQ273" s="21" t="s">
        <v>114</v>
      </c>
      <c r="CR273" s="21" t="s">
        <v>114</v>
      </c>
      <c r="CS273" s="21">
        <v>98419</v>
      </c>
      <c r="CT273" s="21" t="s">
        <v>114</v>
      </c>
      <c r="CU273" s="21" t="s">
        <v>114</v>
      </c>
      <c r="CV273" s="21" t="s">
        <v>114</v>
      </c>
      <c r="CW273" s="21" t="s">
        <v>114</v>
      </c>
      <c r="CX273" s="21" t="s">
        <v>114</v>
      </c>
      <c r="CY273" s="21" t="s">
        <v>114</v>
      </c>
      <c r="CZ273" s="21" t="s">
        <v>114</v>
      </c>
      <c r="DA273" s="21" t="s">
        <v>114</v>
      </c>
      <c r="DB273" s="21" t="s">
        <v>114</v>
      </c>
      <c r="DC273" s="21" t="s">
        <v>114</v>
      </c>
      <c r="DD273" s="21">
        <v>98437</v>
      </c>
      <c r="DE273" s="21" t="s">
        <v>114</v>
      </c>
      <c r="DF273" s="19" t="s">
        <v>114</v>
      </c>
      <c r="DG273" s="19" t="s">
        <v>114</v>
      </c>
      <c r="DH273" s="19" t="s">
        <v>114</v>
      </c>
      <c r="DI273" s="19" t="s">
        <v>114</v>
      </c>
      <c r="DJ273" s="19" t="s">
        <v>114</v>
      </c>
      <c r="DK273" s="19" t="s">
        <v>114</v>
      </c>
      <c r="DL273" s="19" t="s">
        <v>114</v>
      </c>
      <c r="DM273" s="19" t="s">
        <v>114</v>
      </c>
      <c r="DN273" s="19" t="s">
        <v>114</v>
      </c>
      <c r="DO273" s="19" t="s">
        <v>114</v>
      </c>
    </row>
    <row r="274" spans="1:119" hidden="1" x14ac:dyDescent="0.45">
      <c r="A274" s="2" t="s">
        <v>943</v>
      </c>
      <c r="B274" t="s">
        <v>944</v>
      </c>
      <c r="C274" s="2">
        <v>104</v>
      </c>
      <c r="D274" s="6">
        <v>221</v>
      </c>
      <c r="E274" s="2" t="s">
        <v>945</v>
      </c>
      <c r="F274" t="s">
        <v>945</v>
      </c>
      <c r="G274" t="s">
        <v>2114</v>
      </c>
      <c r="H274" s="2" t="s">
        <v>945</v>
      </c>
      <c r="I274" s="2" t="s">
        <v>945</v>
      </c>
      <c r="J274" s="2">
        <v>142</v>
      </c>
      <c r="K274" t="s">
        <v>100</v>
      </c>
      <c r="L274" s="2">
        <v>35</v>
      </c>
      <c r="M274" t="s">
        <v>338</v>
      </c>
      <c r="P274" s="2" t="s">
        <v>100</v>
      </c>
      <c r="Q274" s="2" t="s">
        <v>155</v>
      </c>
      <c r="R274" s="4">
        <v>753</v>
      </c>
      <c r="S274" s="4" t="s">
        <v>525</v>
      </c>
      <c r="T274" s="4">
        <v>35</v>
      </c>
      <c r="U274" s="4" t="s">
        <v>338</v>
      </c>
      <c r="V274" t="s">
        <v>2458</v>
      </c>
      <c r="W274" t="s">
        <v>2458</v>
      </c>
      <c r="X274" t="s">
        <v>2440</v>
      </c>
      <c r="Y274" t="s">
        <v>338</v>
      </c>
      <c r="Z274" t="s">
        <v>1934</v>
      </c>
      <c r="AA274" t="s">
        <v>338</v>
      </c>
      <c r="AB274" t="s">
        <v>2881</v>
      </c>
      <c r="AC274" s="2" t="s">
        <v>168</v>
      </c>
      <c r="AD274" s="4" t="s">
        <v>1891</v>
      </c>
      <c r="AE274" t="s">
        <v>104</v>
      </c>
      <c r="AF274" t="s">
        <v>1885</v>
      </c>
      <c r="AG274" t="s">
        <v>1884</v>
      </c>
      <c r="AH274" t="s">
        <v>105</v>
      </c>
      <c r="AI274" s="3" t="s">
        <v>105</v>
      </c>
      <c r="AJ274" s="3" t="s">
        <v>106</v>
      </c>
      <c r="AK274" s="3" t="s">
        <v>107</v>
      </c>
      <c r="AL274" s="5" t="s">
        <v>946</v>
      </c>
      <c r="AM274" s="5" t="s">
        <v>109</v>
      </c>
      <c r="AN274" t="s">
        <v>110</v>
      </c>
      <c r="AO274" t="s">
        <v>25</v>
      </c>
      <c r="AP274" s="3" t="s">
        <v>120</v>
      </c>
      <c r="AQ274" s="3" t="s">
        <v>111</v>
      </c>
      <c r="AR274" s="3" t="s">
        <v>112</v>
      </c>
      <c r="AS274" s="3" t="s">
        <v>112</v>
      </c>
      <c r="AT274" s="3" t="s">
        <v>113</v>
      </c>
      <c r="AU274" s="3" t="s">
        <v>2303</v>
      </c>
      <c r="AV274" s="3" t="s">
        <v>2302</v>
      </c>
      <c r="AW274" s="3" t="s">
        <v>2301</v>
      </c>
      <c r="AX274" s="3" t="s">
        <v>2006</v>
      </c>
      <c r="AY274" s="19" t="s">
        <v>114</v>
      </c>
      <c r="AZ274" s="19" t="s">
        <v>114</v>
      </c>
      <c r="BA274" s="19" t="s">
        <v>114</v>
      </c>
      <c r="BB274" s="19" t="s">
        <v>114</v>
      </c>
      <c r="BC274" s="19" t="s">
        <v>114</v>
      </c>
      <c r="BD274" s="19" t="s">
        <v>114</v>
      </c>
      <c r="BE274" s="19" t="s">
        <v>114</v>
      </c>
      <c r="BF274" s="19" t="s">
        <v>114</v>
      </c>
      <c r="BG274" s="19" t="s">
        <v>114</v>
      </c>
      <c r="BH274" s="19" t="s">
        <v>114</v>
      </c>
      <c r="BI274" s="19" t="s">
        <v>114</v>
      </c>
      <c r="BJ274" s="19" t="s">
        <v>114</v>
      </c>
      <c r="BK274" s="19" t="s">
        <v>114</v>
      </c>
      <c r="BL274" s="19" t="s">
        <v>114</v>
      </c>
      <c r="BM274" s="19" t="s">
        <v>114</v>
      </c>
      <c r="BN274" s="19" t="s">
        <v>114</v>
      </c>
      <c r="BO274" s="19" t="s">
        <v>114</v>
      </c>
      <c r="BP274" s="19" t="s">
        <v>114</v>
      </c>
      <c r="BQ274" s="19" t="s">
        <v>114</v>
      </c>
      <c r="BR274" s="19" t="s">
        <v>114</v>
      </c>
      <c r="BS274" s="19" t="s">
        <v>114</v>
      </c>
      <c r="BT274" s="19" t="s">
        <v>114</v>
      </c>
      <c r="BU274" s="19" t="s">
        <v>114</v>
      </c>
      <c r="BV274" s="19" t="s">
        <v>114</v>
      </c>
      <c r="BW274" s="19" t="s">
        <v>114</v>
      </c>
      <c r="BX274" s="19" t="s">
        <v>114</v>
      </c>
      <c r="BY274" s="19" t="s">
        <v>114</v>
      </c>
      <c r="BZ274" s="21" t="s">
        <v>114</v>
      </c>
      <c r="CA274" s="21" t="s">
        <v>114</v>
      </c>
      <c r="CB274" s="21" t="s">
        <v>114</v>
      </c>
      <c r="CC274" s="21" t="s">
        <v>114</v>
      </c>
      <c r="CD274" s="21" t="s">
        <v>114</v>
      </c>
      <c r="CE274" s="21" t="s">
        <v>114</v>
      </c>
      <c r="CF274" s="19" t="s">
        <v>114</v>
      </c>
      <c r="CG274" s="19" t="s">
        <v>114</v>
      </c>
      <c r="CH274" s="19" t="s">
        <v>114</v>
      </c>
      <c r="CI274" s="21" t="s">
        <v>114</v>
      </c>
      <c r="CJ274" s="21">
        <v>98400</v>
      </c>
      <c r="CK274" s="21" t="s">
        <v>114</v>
      </c>
      <c r="CL274" s="21">
        <v>98406</v>
      </c>
      <c r="CM274" s="21" t="s">
        <v>114</v>
      </c>
      <c r="CN274" s="21" t="s">
        <v>114</v>
      </c>
      <c r="CO274" s="21">
        <v>98411</v>
      </c>
      <c r="CP274" s="21" t="s">
        <v>114</v>
      </c>
      <c r="CQ274" s="21" t="s">
        <v>114</v>
      </c>
      <c r="CR274" s="21" t="s">
        <v>114</v>
      </c>
      <c r="CS274" s="21">
        <v>98419</v>
      </c>
      <c r="CT274" s="21" t="s">
        <v>114</v>
      </c>
      <c r="CU274" s="21" t="s">
        <v>114</v>
      </c>
      <c r="CV274" s="21" t="s">
        <v>114</v>
      </c>
      <c r="CW274" s="21" t="s">
        <v>114</v>
      </c>
      <c r="CX274" s="21" t="s">
        <v>114</v>
      </c>
      <c r="CY274" s="21" t="s">
        <v>114</v>
      </c>
      <c r="CZ274" s="21" t="s">
        <v>114</v>
      </c>
      <c r="DA274" s="21">
        <v>98434</v>
      </c>
      <c r="DB274" s="21" t="s">
        <v>114</v>
      </c>
      <c r="DC274" s="21" t="s">
        <v>114</v>
      </c>
      <c r="DD274" s="21" t="s">
        <v>114</v>
      </c>
      <c r="DE274" s="21">
        <v>98438</v>
      </c>
      <c r="DF274" s="19" t="s">
        <v>114</v>
      </c>
      <c r="DG274" s="19" t="s">
        <v>114</v>
      </c>
      <c r="DH274" s="19" t="s">
        <v>114</v>
      </c>
      <c r="DI274" s="19" t="s">
        <v>114</v>
      </c>
      <c r="DJ274" s="19" t="s">
        <v>114</v>
      </c>
      <c r="DK274" s="19" t="s">
        <v>114</v>
      </c>
      <c r="DL274" s="19" t="s">
        <v>114</v>
      </c>
      <c r="DM274" s="19" t="s">
        <v>114</v>
      </c>
      <c r="DN274" s="19" t="s">
        <v>114</v>
      </c>
      <c r="DO274" s="19" t="s">
        <v>114</v>
      </c>
    </row>
    <row r="275" spans="1:119" hidden="1" x14ac:dyDescent="0.45">
      <c r="A275" s="2" t="s">
        <v>1052</v>
      </c>
      <c r="B275" t="s">
        <v>1053</v>
      </c>
      <c r="C275" s="2">
        <v>608</v>
      </c>
      <c r="D275" s="6">
        <v>224</v>
      </c>
      <c r="E275" s="2" t="s">
        <v>1054</v>
      </c>
      <c r="F275" s="3" t="s">
        <v>2013</v>
      </c>
      <c r="G275" t="s">
        <v>2130</v>
      </c>
      <c r="H275" s="2" t="s">
        <v>1054</v>
      </c>
      <c r="I275" s="2" t="s">
        <v>1055</v>
      </c>
      <c r="J275" s="2">
        <v>142</v>
      </c>
      <c r="K275" t="s">
        <v>100</v>
      </c>
      <c r="L275" s="2">
        <v>35</v>
      </c>
      <c r="M275" t="s">
        <v>338</v>
      </c>
      <c r="P275" s="2" t="s">
        <v>100</v>
      </c>
      <c r="Q275" s="2" t="s">
        <v>155</v>
      </c>
      <c r="R275" s="4">
        <v>753</v>
      </c>
      <c r="S275" s="4" t="s">
        <v>525</v>
      </c>
      <c r="T275" s="4">
        <v>35</v>
      </c>
      <c r="U275" s="4" t="s">
        <v>338</v>
      </c>
      <c r="V275" t="s">
        <v>2458</v>
      </c>
      <c r="W275" t="s">
        <v>2458</v>
      </c>
      <c r="X275" t="s">
        <v>2440</v>
      </c>
      <c r="Y275" t="s">
        <v>338</v>
      </c>
      <c r="Z275" t="s">
        <v>1934</v>
      </c>
      <c r="AA275" t="s">
        <v>338</v>
      </c>
      <c r="AB275" t="s">
        <v>2881</v>
      </c>
      <c r="AC275" s="2" t="s">
        <v>168</v>
      </c>
      <c r="AD275" s="4" t="s">
        <v>1891</v>
      </c>
      <c r="AE275" t="s">
        <v>104</v>
      </c>
      <c r="AF275" t="s">
        <v>1885</v>
      </c>
      <c r="AG275" t="s">
        <v>1884</v>
      </c>
      <c r="AH275" t="s">
        <v>105</v>
      </c>
      <c r="AI275" s="3" t="s">
        <v>105</v>
      </c>
      <c r="AJ275" s="3" t="s">
        <v>106</v>
      </c>
      <c r="AK275" s="3" t="s">
        <v>107</v>
      </c>
      <c r="AL275" s="5" t="s">
        <v>1056</v>
      </c>
      <c r="AM275" s="5" t="s">
        <v>109</v>
      </c>
      <c r="AN275" t="s">
        <v>110</v>
      </c>
      <c r="AO275" s="3" t="s">
        <v>119</v>
      </c>
      <c r="AP275" s="3" t="s">
        <v>120</v>
      </c>
      <c r="AQ275" s="3" t="s">
        <v>111</v>
      </c>
      <c r="AR275" s="3" t="s">
        <v>112</v>
      </c>
      <c r="AS275" s="3" t="s">
        <v>112</v>
      </c>
      <c r="AT275" s="3" t="s">
        <v>113</v>
      </c>
      <c r="AU275" s="3" t="s">
        <v>2303</v>
      </c>
      <c r="AV275" s="3" t="s">
        <v>2302</v>
      </c>
      <c r="AW275" s="3" t="s">
        <v>2301</v>
      </c>
      <c r="AX275" s="3" t="s">
        <v>2006</v>
      </c>
      <c r="AY275" s="19" t="s">
        <v>114</v>
      </c>
      <c r="AZ275" s="19" t="s">
        <v>114</v>
      </c>
      <c r="BA275" s="19" t="s">
        <v>114</v>
      </c>
      <c r="BB275" s="19" t="s">
        <v>114</v>
      </c>
      <c r="BC275" s="19" t="s">
        <v>114</v>
      </c>
      <c r="BD275" s="19" t="s">
        <v>114</v>
      </c>
      <c r="BE275" s="19" t="s">
        <v>114</v>
      </c>
      <c r="BF275" s="19" t="s">
        <v>114</v>
      </c>
      <c r="BG275" s="19" t="s">
        <v>114</v>
      </c>
      <c r="BH275" s="19" t="s">
        <v>114</v>
      </c>
      <c r="BI275" s="19" t="s">
        <v>114</v>
      </c>
      <c r="BJ275" s="19" t="s">
        <v>114</v>
      </c>
      <c r="BK275" s="19" t="s">
        <v>114</v>
      </c>
      <c r="BL275" s="19" t="s">
        <v>114</v>
      </c>
      <c r="BM275" s="19" t="s">
        <v>114</v>
      </c>
      <c r="BN275" s="19" t="s">
        <v>114</v>
      </c>
      <c r="BO275" s="19" t="s">
        <v>114</v>
      </c>
      <c r="BP275" s="19" t="s">
        <v>114</v>
      </c>
      <c r="BQ275" s="19" t="s">
        <v>114</v>
      </c>
      <c r="BR275" s="19" t="s">
        <v>114</v>
      </c>
      <c r="BS275" s="19" t="s">
        <v>114</v>
      </c>
      <c r="BT275" s="19" t="s">
        <v>114</v>
      </c>
      <c r="BU275" s="19" t="s">
        <v>114</v>
      </c>
      <c r="BV275" s="19" t="s">
        <v>114</v>
      </c>
      <c r="BW275" s="19" t="s">
        <v>114</v>
      </c>
      <c r="BX275" s="19" t="s">
        <v>114</v>
      </c>
      <c r="BY275" s="19" t="s">
        <v>114</v>
      </c>
      <c r="BZ275" s="21" t="s">
        <v>114</v>
      </c>
      <c r="CA275" s="21" t="s">
        <v>114</v>
      </c>
      <c r="CB275" s="21" t="s">
        <v>114</v>
      </c>
      <c r="CC275" s="21" t="s">
        <v>114</v>
      </c>
      <c r="CD275" s="21" t="s">
        <v>114</v>
      </c>
      <c r="CE275" s="21" t="s">
        <v>114</v>
      </c>
      <c r="CF275" s="19" t="s">
        <v>114</v>
      </c>
      <c r="CG275" s="19" t="s">
        <v>114</v>
      </c>
      <c r="CH275" s="19" t="s">
        <v>114</v>
      </c>
      <c r="CI275" s="21" t="s">
        <v>114</v>
      </c>
      <c r="CJ275" s="21">
        <v>98400</v>
      </c>
      <c r="CK275" s="21" t="s">
        <v>114</v>
      </c>
      <c r="CL275" s="21">
        <v>98406</v>
      </c>
      <c r="CM275" s="21" t="s">
        <v>114</v>
      </c>
      <c r="CN275" s="21" t="s">
        <v>114</v>
      </c>
      <c r="CO275" s="21" t="s">
        <v>114</v>
      </c>
      <c r="CP275" s="21" t="s">
        <v>114</v>
      </c>
      <c r="CQ275" s="21" t="s">
        <v>114</v>
      </c>
      <c r="CR275" s="21" t="s">
        <v>114</v>
      </c>
      <c r="CS275" s="21">
        <v>98419</v>
      </c>
      <c r="CT275" s="21" t="s">
        <v>114</v>
      </c>
      <c r="CU275" s="21" t="s">
        <v>114</v>
      </c>
      <c r="CV275" s="21" t="s">
        <v>114</v>
      </c>
      <c r="CW275" s="21" t="s">
        <v>114</v>
      </c>
      <c r="CX275" s="21" t="s">
        <v>114</v>
      </c>
      <c r="CY275" s="21" t="s">
        <v>114</v>
      </c>
      <c r="CZ275" s="21" t="s">
        <v>114</v>
      </c>
      <c r="DA275" s="21" t="s">
        <v>114</v>
      </c>
      <c r="DB275" s="21" t="s">
        <v>114</v>
      </c>
      <c r="DC275" s="21" t="s">
        <v>114</v>
      </c>
      <c r="DD275" s="21" t="s">
        <v>114</v>
      </c>
      <c r="DE275" s="21">
        <v>98438</v>
      </c>
      <c r="DF275" s="19" t="s">
        <v>114</v>
      </c>
      <c r="DG275" s="19" t="s">
        <v>114</v>
      </c>
      <c r="DH275" s="19" t="s">
        <v>114</v>
      </c>
      <c r="DI275" s="19" t="s">
        <v>114</v>
      </c>
      <c r="DJ275" s="19" t="s">
        <v>114</v>
      </c>
      <c r="DK275" s="19" t="s">
        <v>114</v>
      </c>
      <c r="DL275" s="19" t="s">
        <v>114</v>
      </c>
      <c r="DM275" s="19" t="s">
        <v>114</v>
      </c>
      <c r="DN275" s="19" t="s">
        <v>114</v>
      </c>
      <c r="DO275" s="19" t="s">
        <v>114</v>
      </c>
    </row>
    <row r="276" spans="1:119" hidden="1" x14ac:dyDescent="0.45">
      <c r="A276" s="2" t="s">
        <v>1217</v>
      </c>
      <c r="B276" t="s">
        <v>1218</v>
      </c>
      <c r="C276" s="2">
        <v>702</v>
      </c>
      <c r="D276" s="6">
        <v>225</v>
      </c>
      <c r="E276" s="2" t="s">
        <v>1219</v>
      </c>
      <c r="F276" t="s">
        <v>1219</v>
      </c>
      <c r="G276" t="s">
        <v>2146</v>
      </c>
      <c r="H276" s="2" t="s">
        <v>1220</v>
      </c>
      <c r="I276" s="2" t="s">
        <v>1221</v>
      </c>
      <c r="J276" s="2">
        <v>142</v>
      </c>
      <c r="K276" t="s">
        <v>100</v>
      </c>
      <c r="L276" s="2">
        <v>35</v>
      </c>
      <c r="M276" t="s">
        <v>338</v>
      </c>
      <c r="P276" s="2" t="s">
        <v>100</v>
      </c>
      <c r="Q276" s="2" t="s">
        <v>155</v>
      </c>
      <c r="R276" s="4">
        <v>753</v>
      </c>
      <c r="S276" s="4" t="s">
        <v>525</v>
      </c>
      <c r="T276" s="4">
        <v>35</v>
      </c>
      <c r="U276" s="4" t="s">
        <v>338</v>
      </c>
      <c r="V276" t="s">
        <v>2458</v>
      </c>
      <c r="W276" t="s">
        <v>2458</v>
      </c>
      <c r="X276" t="s">
        <v>2440</v>
      </c>
      <c r="Y276" t="s">
        <v>338</v>
      </c>
      <c r="Z276" t="s">
        <v>1934</v>
      </c>
      <c r="AA276" t="s">
        <v>338</v>
      </c>
      <c r="AB276" t="s">
        <v>2881</v>
      </c>
      <c r="AC276" s="2" t="s">
        <v>130</v>
      </c>
      <c r="AD276" s="4" t="s">
        <v>1891</v>
      </c>
      <c r="AE276" t="s">
        <v>104</v>
      </c>
      <c r="AF276" t="s">
        <v>1886</v>
      </c>
      <c r="AG276" s="3" t="s">
        <v>1887</v>
      </c>
      <c r="AH276" t="s">
        <v>105</v>
      </c>
      <c r="AI276" s="3" t="s">
        <v>105</v>
      </c>
      <c r="AJ276" s="3" t="s">
        <v>106</v>
      </c>
      <c r="AK276" s="3" t="s">
        <v>107</v>
      </c>
      <c r="AL276" s="5" t="s">
        <v>1222</v>
      </c>
      <c r="AM276" s="5" t="s">
        <v>109</v>
      </c>
      <c r="AN276" t="s">
        <v>110</v>
      </c>
      <c r="AO276" s="3" t="s">
        <v>119</v>
      </c>
      <c r="AP276" s="3" t="s">
        <v>120</v>
      </c>
      <c r="AQ276" s="3" t="s">
        <v>27</v>
      </c>
      <c r="AR276" s="3" t="s">
        <v>112</v>
      </c>
      <c r="AS276" s="3" t="s">
        <v>112</v>
      </c>
      <c r="AT276" s="3" t="s">
        <v>113</v>
      </c>
      <c r="AU276" s="3" t="s">
        <v>2303</v>
      </c>
      <c r="AV276" s="3" t="s">
        <v>2302</v>
      </c>
      <c r="AW276" s="3" t="s">
        <v>2301</v>
      </c>
      <c r="AX276" s="3" t="s">
        <v>2006</v>
      </c>
      <c r="AY276" s="19" t="s">
        <v>114</v>
      </c>
      <c r="AZ276" s="19" t="s">
        <v>114</v>
      </c>
      <c r="BA276" s="19" t="s">
        <v>114</v>
      </c>
      <c r="BB276" s="19" t="s">
        <v>114</v>
      </c>
      <c r="BC276" s="19" t="s">
        <v>114</v>
      </c>
      <c r="BD276" s="19" t="s">
        <v>114</v>
      </c>
      <c r="BE276" s="19" t="s">
        <v>114</v>
      </c>
      <c r="BF276" s="19" t="s">
        <v>114</v>
      </c>
      <c r="BG276" s="19" t="s">
        <v>114</v>
      </c>
      <c r="BH276" s="19" t="s">
        <v>114</v>
      </c>
      <c r="BI276" s="19" t="s">
        <v>114</v>
      </c>
      <c r="BJ276" s="19" t="s">
        <v>114</v>
      </c>
      <c r="BK276" s="19" t="s">
        <v>114</v>
      </c>
      <c r="BL276" s="19" t="s">
        <v>114</v>
      </c>
      <c r="BM276" s="19" t="s">
        <v>114</v>
      </c>
      <c r="BN276" s="19" t="s">
        <v>114</v>
      </c>
      <c r="BO276" s="19" t="s">
        <v>114</v>
      </c>
      <c r="BP276" s="19" t="s">
        <v>114</v>
      </c>
      <c r="BQ276" s="19" t="s">
        <v>114</v>
      </c>
      <c r="BR276" s="19" t="s">
        <v>114</v>
      </c>
      <c r="BS276" s="19" t="s">
        <v>114</v>
      </c>
      <c r="BT276" s="19" t="s">
        <v>114</v>
      </c>
      <c r="BU276" s="19" t="s">
        <v>114</v>
      </c>
      <c r="BV276" s="19" t="s">
        <v>114</v>
      </c>
      <c r="BW276" s="19" t="s">
        <v>114</v>
      </c>
      <c r="BX276" s="19" t="s">
        <v>114</v>
      </c>
      <c r="BY276" s="19" t="s">
        <v>114</v>
      </c>
      <c r="BZ276" s="21" t="s">
        <v>114</v>
      </c>
      <c r="CA276" s="21" t="s">
        <v>114</v>
      </c>
      <c r="CB276" s="21" t="s">
        <v>114</v>
      </c>
      <c r="CC276" s="21" t="s">
        <v>114</v>
      </c>
      <c r="CD276" s="21" t="s">
        <v>114</v>
      </c>
      <c r="CE276" s="21" t="s">
        <v>114</v>
      </c>
      <c r="CF276" s="19" t="s">
        <v>114</v>
      </c>
      <c r="CG276" s="19" t="s">
        <v>114</v>
      </c>
      <c r="CH276" s="19" t="s">
        <v>114</v>
      </c>
      <c r="CI276" s="21" t="s">
        <v>114</v>
      </c>
      <c r="CJ276" s="21">
        <v>98400</v>
      </c>
      <c r="CK276" s="21" t="s">
        <v>114</v>
      </c>
      <c r="CL276" s="21">
        <v>98406</v>
      </c>
      <c r="CM276" s="21" t="s">
        <v>114</v>
      </c>
      <c r="CN276" s="21" t="s">
        <v>114</v>
      </c>
      <c r="CO276" s="21" t="s">
        <v>114</v>
      </c>
      <c r="CP276" s="21" t="s">
        <v>114</v>
      </c>
      <c r="CQ276" s="21" t="s">
        <v>114</v>
      </c>
      <c r="CR276" s="21" t="s">
        <v>114</v>
      </c>
      <c r="CS276" s="21">
        <v>98419</v>
      </c>
      <c r="CT276" s="21" t="s">
        <v>114</v>
      </c>
      <c r="CU276" s="21" t="s">
        <v>114</v>
      </c>
      <c r="CV276" s="21" t="s">
        <v>114</v>
      </c>
      <c r="CW276" s="21" t="s">
        <v>114</v>
      </c>
      <c r="CX276" s="21" t="s">
        <v>114</v>
      </c>
      <c r="CY276" s="21" t="s">
        <v>114</v>
      </c>
      <c r="CZ276" s="21" t="s">
        <v>114</v>
      </c>
      <c r="DA276" s="21" t="s">
        <v>114</v>
      </c>
      <c r="DB276" s="21">
        <v>98435</v>
      </c>
      <c r="DC276" s="21">
        <v>98436</v>
      </c>
      <c r="DD276" s="21" t="s">
        <v>114</v>
      </c>
      <c r="DE276" s="21" t="s">
        <v>114</v>
      </c>
      <c r="DF276" s="19" t="s">
        <v>114</v>
      </c>
      <c r="DG276" s="19" t="s">
        <v>114</v>
      </c>
      <c r="DH276" s="19" t="s">
        <v>114</v>
      </c>
      <c r="DI276" s="19" t="s">
        <v>114</v>
      </c>
      <c r="DJ276" s="19" t="s">
        <v>114</v>
      </c>
      <c r="DK276" s="19" t="s">
        <v>114</v>
      </c>
      <c r="DL276" s="19" t="s">
        <v>114</v>
      </c>
      <c r="DM276" s="19" t="s">
        <v>114</v>
      </c>
      <c r="DN276" s="19" t="s">
        <v>114</v>
      </c>
      <c r="DO276" s="19" t="s">
        <v>114</v>
      </c>
    </row>
    <row r="277" spans="1:119" hidden="1" x14ac:dyDescent="0.45">
      <c r="A277" s="2" t="s">
        <v>1322</v>
      </c>
      <c r="B277" t="s">
        <v>1323</v>
      </c>
      <c r="C277" s="2">
        <v>764</v>
      </c>
      <c r="D277" s="6">
        <v>228</v>
      </c>
      <c r="E277" s="2" t="s">
        <v>1324</v>
      </c>
      <c r="F277" t="s">
        <v>1324</v>
      </c>
      <c r="G277" t="s">
        <v>2158</v>
      </c>
      <c r="H277" s="2" t="s">
        <v>1325</v>
      </c>
      <c r="I277" s="2" t="s">
        <v>1326</v>
      </c>
      <c r="J277" s="2">
        <v>142</v>
      </c>
      <c r="K277" t="s">
        <v>100</v>
      </c>
      <c r="L277" s="2">
        <v>35</v>
      </c>
      <c r="M277" t="s">
        <v>338</v>
      </c>
      <c r="P277" s="2" t="s">
        <v>100</v>
      </c>
      <c r="Q277" s="2" t="s">
        <v>155</v>
      </c>
      <c r="R277" s="4">
        <v>753</v>
      </c>
      <c r="S277" s="4" t="s">
        <v>525</v>
      </c>
      <c r="T277" s="4">
        <v>35</v>
      </c>
      <c r="U277" s="4" t="s">
        <v>338</v>
      </c>
      <c r="V277" t="s">
        <v>2458</v>
      </c>
      <c r="W277" t="s">
        <v>2458</v>
      </c>
      <c r="X277" t="s">
        <v>2440</v>
      </c>
      <c r="Y277" t="s">
        <v>338</v>
      </c>
      <c r="Z277" t="s">
        <v>1934</v>
      </c>
      <c r="AA277" t="s">
        <v>338</v>
      </c>
      <c r="AB277" t="s">
        <v>2881</v>
      </c>
      <c r="AC277" s="2" t="s">
        <v>138</v>
      </c>
      <c r="AD277" s="4" t="s">
        <v>1891</v>
      </c>
      <c r="AE277" t="s">
        <v>104</v>
      </c>
      <c r="AF277" t="s">
        <v>1885</v>
      </c>
      <c r="AG277" t="s">
        <v>1884</v>
      </c>
      <c r="AH277" t="s">
        <v>105</v>
      </c>
      <c r="AI277" s="3" t="s">
        <v>105</v>
      </c>
      <c r="AJ277" s="3" t="s">
        <v>106</v>
      </c>
      <c r="AK277" s="3" t="s">
        <v>107</v>
      </c>
      <c r="AL277" s="5" t="s">
        <v>1327</v>
      </c>
      <c r="AM277" s="5" t="s">
        <v>109</v>
      </c>
      <c r="AN277" t="s">
        <v>110</v>
      </c>
      <c r="AO277" s="3" t="s">
        <v>119</v>
      </c>
      <c r="AP277" s="3" t="s">
        <v>120</v>
      </c>
      <c r="AQ277" s="3" t="s">
        <v>111</v>
      </c>
      <c r="AR277" s="3" t="s">
        <v>112</v>
      </c>
      <c r="AS277" s="3" t="s">
        <v>112</v>
      </c>
      <c r="AT277" s="3" t="s">
        <v>113</v>
      </c>
      <c r="AU277" s="3" t="s">
        <v>2303</v>
      </c>
      <c r="AV277" s="3" t="s">
        <v>2302</v>
      </c>
      <c r="AW277" s="3" t="s">
        <v>2301</v>
      </c>
      <c r="AX277" s="3" t="s">
        <v>2006</v>
      </c>
      <c r="AY277" s="19" t="s">
        <v>114</v>
      </c>
      <c r="AZ277" s="19" t="s">
        <v>114</v>
      </c>
      <c r="BA277" s="19" t="s">
        <v>114</v>
      </c>
      <c r="BB277" s="19" t="s">
        <v>114</v>
      </c>
      <c r="BC277" s="19" t="s">
        <v>114</v>
      </c>
      <c r="BD277" s="19" t="s">
        <v>114</v>
      </c>
      <c r="BE277" s="19" t="s">
        <v>114</v>
      </c>
      <c r="BF277" s="19" t="s">
        <v>114</v>
      </c>
      <c r="BG277" s="19" t="s">
        <v>114</v>
      </c>
      <c r="BH277" s="19" t="s">
        <v>114</v>
      </c>
      <c r="BI277" s="19" t="s">
        <v>114</v>
      </c>
      <c r="BJ277" s="19" t="s">
        <v>114</v>
      </c>
      <c r="BK277" s="19" t="s">
        <v>114</v>
      </c>
      <c r="BL277" s="19" t="s">
        <v>114</v>
      </c>
      <c r="BM277" s="19" t="s">
        <v>114</v>
      </c>
      <c r="BN277" s="19" t="s">
        <v>114</v>
      </c>
      <c r="BO277" s="19" t="s">
        <v>114</v>
      </c>
      <c r="BP277" s="19" t="s">
        <v>114</v>
      </c>
      <c r="BQ277" s="19" t="s">
        <v>114</v>
      </c>
      <c r="BR277" s="19" t="s">
        <v>114</v>
      </c>
      <c r="BS277" s="19" t="s">
        <v>114</v>
      </c>
      <c r="BT277" s="19" t="s">
        <v>114</v>
      </c>
      <c r="BU277" s="19" t="s">
        <v>114</v>
      </c>
      <c r="BV277" s="19" t="s">
        <v>114</v>
      </c>
      <c r="BW277" s="19" t="s">
        <v>114</v>
      </c>
      <c r="BX277" s="19" t="s">
        <v>114</v>
      </c>
      <c r="BY277" s="19" t="s">
        <v>114</v>
      </c>
      <c r="BZ277" s="21" t="s">
        <v>114</v>
      </c>
      <c r="CA277" s="21" t="s">
        <v>114</v>
      </c>
      <c r="CB277" s="21" t="s">
        <v>114</v>
      </c>
      <c r="CC277" s="21" t="s">
        <v>114</v>
      </c>
      <c r="CD277" s="21" t="s">
        <v>114</v>
      </c>
      <c r="CE277" s="21" t="s">
        <v>114</v>
      </c>
      <c r="CF277" s="19" t="s">
        <v>114</v>
      </c>
      <c r="CG277" s="19" t="s">
        <v>114</v>
      </c>
      <c r="CH277" s="19" t="s">
        <v>114</v>
      </c>
      <c r="CI277" s="21" t="s">
        <v>114</v>
      </c>
      <c r="CJ277" s="21">
        <v>98400</v>
      </c>
      <c r="CK277" s="21" t="s">
        <v>114</v>
      </c>
      <c r="CL277" s="21">
        <v>98406</v>
      </c>
      <c r="CM277" s="21" t="s">
        <v>114</v>
      </c>
      <c r="CN277" s="21" t="s">
        <v>114</v>
      </c>
      <c r="CO277" s="21" t="s">
        <v>114</v>
      </c>
      <c r="CP277" s="21" t="s">
        <v>114</v>
      </c>
      <c r="CQ277" s="21" t="s">
        <v>114</v>
      </c>
      <c r="CR277" s="21" t="s">
        <v>114</v>
      </c>
      <c r="CS277" s="21">
        <v>98419</v>
      </c>
      <c r="CT277" s="21" t="s">
        <v>114</v>
      </c>
      <c r="CU277" s="21" t="s">
        <v>114</v>
      </c>
      <c r="CV277" s="21" t="s">
        <v>114</v>
      </c>
      <c r="CW277" s="21" t="s">
        <v>114</v>
      </c>
      <c r="CX277" s="21" t="s">
        <v>114</v>
      </c>
      <c r="CY277" s="21" t="s">
        <v>114</v>
      </c>
      <c r="CZ277" s="21" t="s">
        <v>114</v>
      </c>
      <c r="DA277" s="21" t="s">
        <v>114</v>
      </c>
      <c r="DB277" s="21" t="s">
        <v>114</v>
      </c>
      <c r="DC277" s="21" t="s">
        <v>114</v>
      </c>
      <c r="DD277" s="21">
        <v>98437</v>
      </c>
      <c r="DE277" s="21" t="s">
        <v>114</v>
      </c>
      <c r="DF277" s="19" t="s">
        <v>114</v>
      </c>
      <c r="DG277" s="19" t="s">
        <v>114</v>
      </c>
      <c r="DH277" s="19" t="s">
        <v>114</v>
      </c>
      <c r="DI277" s="19" t="s">
        <v>114</v>
      </c>
      <c r="DJ277" s="19" t="s">
        <v>114</v>
      </c>
      <c r="DK277" s="19" t="s">
        <v>114</v>
      </c>
      <c r="DL277" s="19" t="s">
        <v>114</v>
      </c>
      <c r="DM277" s="19" t="s">
        <v>114</v>
      </c>
      <c r="DN277" s="19" t="s">
        <v>114</v>
      </c>
      <c r="DO277" s="19" t="s">
        <v>114</v>
      </c>
    </row>
    <row r="278" spans="1:119" hidden="1" x14ac:dyDescent="0.45">
      <c r="A278" s="2" t="s">
        <v>1328</v>
      </c>
      <c r="B278" t="s">
        <v>1329</v>
      </c>
      <c r="C278" s="2">
        <v>626</v>
      </c>
      <c r="D278" s="6">
        <v>229</v>
      </c>
      <c r="E278" s="2" t="s">
        <v>1833</v>
      </c>
      <c r="F278" s="3" t="s">
        <v>1330</v>
      </c>
      <c r="G278" t="s">
        <v>2159</v>
      </c>
      <c r="H278" s="2" t="s">
        <v>1330</v>
      </c>
      <c r="I278" s="2" t="s">
        <v>1330</v>
      </c>
      <c r="J278" s="2">
        <v>142</v>
      </c>
      <c r="K278" t="s">
        <v>100</v>
      </c>
      <c r="L278" s="2">
        <v>35</v>
      </c>
      <c r="M278" t="s">
        <v>338</v>
      </c>
      <c r="P278" s="2" t="s">
        <v>100</v>
      </c>
      <c r="Q278" s="2" t="s">
        <v>155</v>
      </c>
      <c r="R278" s="4">
        <v>753</v>
      </c>
      <c r="S278" s="4" t="s">
        <v>525</v>
      </c>
      <c r="T278" s="4">
        <v>35</v>
      </c>
      <c r="U278" s="4" t="s">
        <v>338</v>
      </c>
      <c r="V278" t="s">
        <v>2458</v>
      </c>
      <c r="W278" t="s">
        <v>2458</v>
      </c>
      <c r="X278" t="s">
        <v>2440</v>
      </c>
      <c r="Y278" t="s">
        <v>338</v>
      </c>
      <c r="Z278" t="s">
        <v>1934</v>
      </c>
      <c r="AA278" t="s">
        <v>338</v>
      </c>
      <c r="AB278" t="s">
        <v>2881</v>
      </c>
      <c r="AC278" s="2" t="s">
        <v>168</v>
      </c>
      <c r="AD278" s="4" t="s">
        <v>1891</v>
      </c>
      <c r="AE278" t="s">
        <v>104</v>
      </c>
      <c r="AF278" t="s">
        <v>1885</v>
      </c>
      <c r="AG278" t="s">
        <v>1884</v>
      </c>
      <c r="AH278" t="s">
        <v>105</v>
      </c>
      <c r="AI278" s="3" t="s">
        <v>105</v>
      </c>
      <c r="AJ278" s="3" t="s">
        <v>106</v>
      </c>
      <c r="AK278" s="3" t="s">
        <v>107</v>
      </c>
      <c r="AL278" s="5" t="s">
        <v>156</v>
      </c>
      <c r="AM278" s="5" t="s">
        <v>109</v>
      </c>
      <c r="AN278" t="s">
        <v>110</v>
      </c>
      <c r="AO278" t="s">
        <v>25</v>
      </c>
      <c r="AP278" s="3" t="s">
        <v>120</v>
      </c>
      <c r="AQ278" s="3" t="s">
        <v>27</v>
      </c>
      <c r="AR278" s="3" t="s">
        <v>112</v>
      </c>
      <c r="AS278" s="3" t="s">
        <v>112</v>
      </c>
      <c r="AT278" s="3" t="s">
        <v>113</v>
      </c>
      <c r="AU278" s="3" t="s">
        <v>2303</v>
      </c>
      <c r="AV278" s="3" t="s">
        <v>2302</v>
      </c>
      <c r="AW278" s="3" t="s">
        <v>2301</v>
      </c>
      <c r="AX278" s="3" t="s">
        <v>2006</v>
      </c>
      <c r="AY278" s="19" t="s">
        <v>114</v>
      </c>
      <c r="AZ278" s="19" t="s">
        <v>114</v>
      </c>
      <c r="BA278" s="19" t="s">
        <v>114</v>
      </c>
      <c r="BB278" s="19" t="s">
        <v>114</v>
      </c>
      <c r="BC278" s="19" t="s">
        <v>114</v>
      </c>
      <c r="BD278" s="19" t="s">
        <v>114</v>
      </c>
      <c r="BE278" s="19" t="s">
        <v>114</v>
      </c>
      <c r="BF278" s="19" t="s">
        <v>114</v>
      </c>
      <c r="BG278" s="19" t="s">
        <v>114</v>
      </c>
      <c r="BH278" s="19" t="s">
        <v>114</v>
      </c>
      <c r="BI278" s="19" t="s">
        <v>114</v>
      </c>
      <c r="BJ278" s="19" t="s">
        <v>114</v>
      </c>
      <c r="BK278" s="19" t="s">
        <v>114</v>
      </c>
      <c r="BL278" s="19" t="s">
        <v>114</v>
      </c>
      <c r="BM278" s="19" t="s">
        <v>114</v>
      </c>
      <c r="BN278" s="19" t="s">
        <v>114</v>
      </c>
      <c r="BO278" s="19" t="s">
        <v>114</v>
      </c>
      <c r="BP278" s="19" t="s">
        <v>114</v>
      </c>
      <c r="BQ278" s="19" t="s">
        <v>114</v>
      </c>
      <c r="BR278" s="19" t="s">
        <v>114</v>
      </c>
      <c r="BS278" s="19" t="s">
        <v>114</v>
      </c>
      <c r="BT278" s="19" t="s">
        <v>114</v>
      </c>
      <c r="BU278" s="19" t="s">
        <v>114</v>
      </c>
      <c r="BV278" s="19" t="s">
        <v>114</v>
      </c>
      <c r="BW278" s="19" t="s">
        <v>114</v>
      </c>
      <c r="BX278" s="19" t="s">
        <v>114</v>
      </c>
      <c r="BY278" s="19" t="s">
        <v>114</v>
      </c>
      <c r="BZ278" s="21" t="s">
        <v>114</v>
      </c>
      <c r="CA278" s="21" t="s">
        <v>114</v>
      </c>
      <c r="CB278" s="21" t="s">
        <v>114</v>
      </c>
      <c r="CC278" s="21" t="s">
        <v>114</v>
      </c>
      <c r="CD278" s="21" t="s">
        <v>114</v>
      </c>
      <c r="CE278" s="21" t="s">
        <v>114</v>
      </c>
      <c r="CF278" s="19" t="s">
        <v>114</v>
      </c>
      <c r="CG278" s="19" t="s">
        <v>114</v>
      </c>
      <c r="CH278" s="19" t="s">
        <v>114</v>
      </c>
      <c r="CI278" s="21" t="s">
        <v>114</v>
      </c>
      <c r="CJ278" s="21">
        <v>98400</v>
      </c>
      <c r="CK278" s="21" t="s">
        <v>114</v>
      </c>
      <c r="CL278" s="21">
        <v>98406</v>
      </c>
      <c r="CM278" s="21" t="s">
        <v>114</v>
      </c>
      <c r="CN278" s="21" t="s">
        <v>114</v>
      </c>
      <c r="CO278" s="21">
        <v>98411</v>
      </c>
      <c r="CP278" s="21" t="s">
        <v>114</v>
      </c>
      <c r="CQ278" s="21" t="s">
        <v>114</v>
      </c>
      <c r="CR278" s="21" t="s">
        <v>114</v>
      </c>
      <c r="CS278" s="21">
        <v>98419</v>
      </c>
      <c r="CT278" s="21" t="s">
        <v>114</v>
      </c>
      <c r="CU278" s="21" t="s">
        <v>114</v>
      </c>
      <c r="CV278" s="21" t="s">
        <v>114</v>
      </c>
      <c r="CW278" s="21" t="s">
        <v>114</v>
      </c>
      <c r="CX278" s="21" t="s">
        <v>114</v>
      </c>
      <c r="CY278" s="21" t="s">
        <v>114</v>
      </c>
      <c r="CZ278" s="21" t="s">
        <v>114</v>
      </c>
      <c r="DA278" s="21">
        <v>98434</v>
      </c>
      <c r="DB278" s="21">
        <v>98435</v>
      </c>
      <c r="DC278" s="21" t="s">
        <v>114</v>
      </c>
      <c r="DD278" s="21" t="s">
        <v>114</v>
      </c>
      <c r="DE278" s="21">
        <v>98438</v>
      </c>
      <c r="DF278" s="19" t="s">
        <v>114</v>
      </c>
      <c r="DG278" s="19" t="s">
        <v>114</v>
      </c>
      <c r="DH278" s="19" t="s">
        <v>114</v>
      </c>
      <c r="DI278" s="19" t="s">
        <v>114</v>
      </c>
      <c r="DJ278" s="19" t="s">
        <v>114</v>
      </c>
      <c r="DK278" s="19" t="s">
        <v>114</v>
      </c>
      <c r="DL278" s="19" t="s">
        <v>114</v>
      </c>
      <c r="DM278" s="19" t="s">
        <v>114</v>
      </c>
      <c r="DN278" s="19" t="s">
        <v>114</v>
      </c>
      <c r="DO278" s="19" t="s">
        <v>114</v>
      </c>
    </row>
    <row r="279" spans="1:119" hidden="1" x14ac:dyDescent="0.45">
      <c r="A279" s="2" t="s">
        <v>1437</v>
      </c>
      <c r="B279" t="s">
        <v>1438</v>
      </c>
      <c r="C279" s="2">
        <v>704</v>
      </c>
      <c r="D279" s="6">
        <v>232</v>
      </c>
      <c r="E279" s="2" t="s">
        <v>1439</v>
      </c>
      <c r="F279" s="3" t="s">
        <v>1439</v>
      </c>
      <c r="G279" t="s">
        <v>2174</v>
      </c>
      <c r="H279" s="4" t="s">
        <v>1439</v>
      </c>
      <c r="I279" s="2" t="s">
        <v>1439</v>
      </c>
      <c r="J279" s="2">
        <v>142</v>
      </c>
      <c r="K279" t="s">
        <v>100</v>
      </c>
      <c r="L279" s="2">
        <v>35</v>
      </c>
      <c r="M279" t="s">
        <v>338</v>
      </c>
      <c r="P279" s="2" t="s">
        <v>100</v>
      </c>
      <c r="Q279" s="2" t="s">
        <v>155</v>
      </c>
      <c r="R279" s="4">
        <v>753</v>
      </c>
      <c r="S279" s="4" t="s">
        <v>525</v>
      </c>
      <c r="T279" s="4">
        <v>35</v>
      </c>
      <c r="U279" s="4" t="s">
        <v>338</v>
      </c>
      <c r="V279" t="s">
        <v>2458</v>
      </c>
      <c r="W279" t="s">
        <v>2458</v>
      </c>
      <c r="X279" t="s">
        <v>2440</v>
      </c>
      <c r="Y279" t="s">
        <v>338</v>
      </c>
      <c r="Z279" t="s">
        <v>1934</v>
      </c>
      <c r="AA279" t="s">
        <v>338</v>
      </c>
      <c r="AB279" t="s">
        <v>2881</v>
      </c>
      <c r="AC279" s="2" t="s">
        <v>168</v>
      </c>
      <c r="AD279" s="4" t="s">
        <v>1891</v>
      </c>
      <c r="AE279" t="s">
        <v>104</v>
      </c>
      <c r="AF279" t="s">
        <v>1885</v>
      </c>
      <c r="AG279" t="s">
        <v>1884</v>
      </c>
      <c r="AH279" t="s">
        <v>105</v>
      </c>
      <c r="AI279" s="3" t="s">
        <v>105</v>
      </c>
      <c r="AJ279" s="3" t="s">
        <v>106</v>
      </c>
      <c r="AK279" s="3" t="s">
        <v>107</v>
      </c>
      <c r="AL279" s="5" t="s">
        <v>1440</v>
      </c>
      <c r="AM279" s="5" t="s">
        <v>109</v>
      </c>
      <c r="AN279" t="s">
        <v>110</v>
      </c>
      <c r="AO279" s="3" t="s">
        <v>119</v>
      </c>
      <c r="AP279" s="3" t="s">
        <v>120</v>
      </c>
      <c r="AQ279" s="3" t="s">
        <v>111</v>
      </c>
      <c r="AR279" s="3" t="s">
        <v>112</v>
      </c>
      <c r="AS279" s="3" t="s">
        <v>112</v>
      </c>
      <c r="AT279" s="3" t="s">
        <v>113</v>
      </c>
      <c r="AU279" s="3" t="s">
        <v>2303</v>
      </c>
      <c r="AV279" s="3" t="s">
        <v>2302</v>
      </c>
      <c r="AW279" s="3" t="s">
        <v>2301</v>
      </c>
      <c r="AX279" s="3" t="s">
        <v>2006</v>
      </c>
      <c r="AY279" s="19" t="s">
        <v>114</v>
      </c>
      <c r="AZ279" s="19" t="s">
        <v>114</v>
      </c>
      <c r="BA279" s="19" t="s">
        <v>114</v>
      </c>
      <c r="BB279" s="19" t="s">
        <v>114</v>
      </c>
      <c r="BC279" s="19" t="s">
        <v>114</v>
      </c>
      <c r="BD279" s="19" t="s">
        <v>114</v>
      </c>
      <c r="BE279" s="19" t="s">
        <v>114</v>
      </c>
      <c r="BF279" s="19" t="s">
        <v>114</v>
      </c>
      <c r="BG279" s="19" t="s">
        <v>114</v>
      </c>
      <c r="BH279" s="19" t="s">
        <v>114</v>
      </c>
      <c r="BI279" s="19" t="s">
        <v>114</v>
      </c>
      <c r="BJ279" s="19" t="s">
        <v>114</v>
      </c>
      <c r="BK279" s="19" t="s">
        <v>114</v>
      </c>
      <c r="BL279" s="19" t="s">
        <v>114</v>
      </c>
      <c r="BM279" s="19" t="s">
        <v>114</v>
      </c>
      <c r="BN279" s="19" t="s">
        <v>114</v>
      </c>
      <c r="BO279" s="19" t="s">
        <v>114</v>
      </c>
      <c r="BP279" s="19" t="s">
        <v>114</v>
      </c>
      <c r="BQ279" s="19" t="s">
        <v>114</v>
      </c>
      <c r="BR279" s="19" t="s">
        <v>114</v>
      </c>
      <c r="BS279" s="19" t="s">
        <v>114</v>
      </c>
      <c r="BT279" s="19" t="s">
        <v>114</v>
      </c>
      <c r="BU279" s="19" t="s">
        <v>114</v>
      </c>
      <c r="BV279" s="19" t="s">
        <v>114</v>
      </c>
      <c r="BW279" s="19" t="s">
        <v>114</v>
      </c>
      <c r="BX279" s="19" t="s">
        <v>114</v>
      </c>
      <c r="BY279" s="19" t="s">
        <v>114</v>
      </c>
      <c r="BZ279" s="21" t="s">
        <v>114</v>
      </c>
      <c r="CA279" s="21" t="s">
        <v>114</v>
      </c>
      <c r="CB279" s="21" t="s">
        <v>114</v>
      </c>
      <c r="CC279" s="21" t="s">
        <v>114</v>
      </c>
      <c r="CD279" s="21" t="s">
        <v>114</v>
      </c>
      <c r="CE279" s="21" t="s">
        <v>114</v>
      </c>
      <c r="CF279" s="19" t="s">
        <v>114</v>
      </c>
      <c r="CG279" s="19" t="s">
        <v>114</v>
      </c>
      <c r="CH279" s="19" t="s">
        <v>114</v>
      </c>
      <c r="CI279" s="21" t="s">
        <v>114</v>
      </c>
      <c r="CJ279" s="21">
        <v>98400</v>
      </c>
      <c r="CK279" s="21" t="s">
        <v>114</v>
      </c>
      <c r="CL279" s="21">
        <v>98406</v>
      </c>
      <c r="CM279" s="21" t="s">
        <v>114</v>
      </c>
      <c r="CN279" s="21" t="s">
        <v>114</v>
      </c>
      <c r="CO279" s="21" t="s">
        <v>114</v>
      </c>
      <c r="CP279" s="21" t="s">
        <v>114</v>
      </c>
      <c r="CQ279" s="21" t="s">
        <v>114</v>
      </c>
      <c r="CR279" s="21" t="s">
        <v>114</v>
      </c>
      <c r="CS279" s="21">
        <v>98419</v>
      </c>
      <c r="CT279" s="21" t="s">
        <v>114</v>
      </c>
      <c r="CU279" s="21" t="s">
        <v>114</v>
      </c>
      <c r="CV279" s="21" t="s">
        <v>114</v>
      </c>
      <c r="CW279" s="21" t="s">
        <v>114</v>
      </c>
      <c r="CX279" s="21" t="s">
        <v>114</v>
      </c>
      <c r="CY279" s="21" t="s">
        <v>114</v>
      </c>
      <c r="CZ279" s="21" t="s">
        <v>114</v>
      </c>
      <c r="DA279" s="21" t="s">
        <v>114</v>
      </c>
      <c r="DB279" s="21" t="s">
        <v>114</v>
      </c>
      <c r="DC279" s="21" t="s">
        <v>114</v>
      </c>
      <c r="DD279" s="21" t="s">
        <v>114</v>
      </c>
      <c r="DE279" s="21">
        <v>98438</v>
      </c>
      <c r="DF279" s="19" t="s">
        <v>114</v>
      </c>
      <c r="DG279" s="19" t="s">
        <v>114</v>
      </c>
      <c r="DH279" s="19" t="s">
        <v>114</v>
      </c>
      <c r="DI279" s="19" t="s">
        <v>114</v>
      </c>
      <c r="DJ279" s="19" t="s">
        <v>114</v>
      </c>
      <c r="DK279" s="19" t="s">
        <v>114</v>
      </c>
      <c r="DL279" s="19" t="s">
        <v>114</v>
      </c>
      <c r="DM279" s="19" t="s">
        <v>114</v>
      </c>
      <c r="DN279" s="19" t="s">
        <v>114</v>
      </c>
      <c r="DO279" s="19" t="s">
        <v>114</v>
      </c>
    </row>
    <row r="280" spans="1:119" hidden="1" x14ac:dyDescent="0.45">
      <c r="A280" s="2" t="s">
        <v>306</v>
      </c>
      <c r="B280" t="s">
        <v>307</v>
      </c>
      <c r="C280" s="2">
        <v>72</v>
      </c>
      <c r="D280" s="6">
        <v>104</v>
      </c>
      <c r="E280" s="2" t="s">
        <v>308</v>
      </c>
      <c r="F280" t="s">
        <v>308</v>
      </c>
      <c r="G280" t="s">
        <v>2032</v>
      </c>
      <c r="H280" s="2" t="s">
        <v>308</v>
      </c>
      <c r="I280" s="2" t="s">
        <v>308</v>
      </c>
      <c r="J280" s="2">
        <v>2</v>
      </c>
      <c r="K280" t="s">
        <v>116</v>
      </c>
      <c r="L280" s="2">
        <v>202</v>
      </c>
      <c r="M280" t="s">
        <v>166</v>
      </c>
      <c r="N280">
        <v>18</v>
      </c>
      <c r="O280" t="s">
        <v>309</v>
      </c>
      <c r="P280" s="2" t="s">
        <v>116</v>
      </c>
      <c r="Q280" s="2" t="s">
        <v>166</v>
      </c>
      <c r="R280" s="2">
        <v>202</v>
      </c>
      <c r="S280" s="4" t="s">
        <v>166</v>
      </c>
      <c r="T280" s="2">
        <v>202</v>
      </c>
      <c r="U280" s="4" t="s">
        <v>166</v>
      </c>
      <c r="V280" t="s">
        <v>2457</v>
      </c>
      <c r="W280" t="s">
        <v>2457</v>
      </c>
      <c r="X280" t="s">
        <v>2440</v>
      </c>
      <c r="Y280" t="s">
        <v>309</v>
      </c>
      <c r="Z280" t="s">
        <v>2470</v>
      </c>
      <c r="AA280" t="s">
        <v>2763</v>
      </c>
      <c r="AB280" t="s">
        <v>2882</v>
      </c>
      <c r="AC280" s="2" t="s">
        <v>138</v>
      </c>
      <c r="AD280" s="4" t="s">
        <v>1891</v>
      </c>
      <c r="AE280" t="s">
        <v>104</v>
      </c>
      <c r="AF280" t="s">
        <v>1885</v>
      </c>
      <c r="AG280" t="s">
        <v>1884</v>
      </c>
      <c r="AH280" t="s">
        <v>105</v>
      </c>
      <c r="AI280" s="3" t="s">
        <v>105</v>
      </c>
      <c r="AJ280" s="3" t="s">
        <v>106</v>
      </c>
      <c r="AK280" s="3" t="s">
        <v>107</v>
      </c>
      <c r="AL280" s="5" t="s">
        <v>310</v>
      </c>
      <c r="AM280" s="5" t="s">
        <v>109</v>
      </c>
      <c r="AO280" s="3" t="s">
        <v>119</v>
      </c>
      <c r="AP280" s="3" t="s">
        <v>26</v>
      </c>
      <c r="AQ280" s="3" t="s">
        <v>111</v>
      </c>
      <c r="AR280" s="3" t="s">
        <v>112</v>
      </c>
      <c r="AS280" s="3" t="s">
        <v>112</v>
      </c>
      <c r="AT280" s="3" t="s">
        <v>113</v>
      </c>
      <c r="AU280" s="3" t="s">
        <v>2303</v>
      </c>
      <c r="AV280" s="3" t="s">
        <v>2302</v>
      </c>
      <c r="AW280" s="3" t="s">
        <v>2301</v>
      </c>
      <c r="AX280" s="3" t="s">
        <v>2006</v>
      </c>
      <c r="AY280" s="19">
        <v>98100</v>
      </c>
      <c r="AZ280" s="19" t="s">
        <v>114</v>
      </c>
      <c r="BA280" s="19" t="s">
        <v>114</v>
      </c>
      <c r="BB280" s="19" t="s">
        <v>114</v>
      </c>
      <c r="BC280" s="19">
        <v>98104</v>
      </c>
      <c r="BD280" s="19" t="s">
        <v>114</v>
      </c>
      <c r="BE280" s="19">
        <v>98106</v>
      </c>
      <c r="BF280" s="19" t="s">
        <v>114</v>
      </c>
      <c r="BG280" s="19" t="s">
        <v>114</v>
      </c>
      <c r="BH280" s="19" t="s">
        <v>114</v>
      </c>
      <c r="BI280" s="19">
        <v>98110</v>
      </c>
      <c r="BJ280" s="19" t="s">
        <v>114</v>
      </c>
      <c r="BK280" s="19" t="s">
        <v>114</v>
      </c>
      <c r="BL280" s="19" t="s">
        <v>114</v>
      </c>
      <c r="BM280" s="19" t="s">
        <v>114</v>
      </c>
      <c r="BN280" s="19" t="s">
        <v>114</v>
      </c>
      <c r="BO280" s="19">
        <v>98116</v>
      </c>
      <c r="BP280" s="19" t="s">
        <v>114</v>
      </c>
      <c r="BQ280" s="19" t="s">
        <v>114</v>
      </c>
      <c r="BR280" s="19">
        <v>98119</v>
      </c>
      <c r="BS280" s="19" t="s">
        <v>114</v>
      </c>
      <c r="BT280" s="19">
        <v>98121</v>
      </c>
      <c r="BU280" s="19" t="s">
        <v>114</v>
      </c>
      <c r="BV280" s="19" t="s">
        <v>114</v>
      </c>
      <c r="BW280" s="19" t="s">
        <v>114</v>
      </c>
      <c r="BX280" s="19" t="s">
        <v>114</v>
      </c>
      <c r="BY280" s="19">
        <v>98126</v>
      </c>
      <c r="BZ280" s="21" t="s">
        <v>114</v>
      </c>
      <c r="CA280" s="21" t="s">
        <v>114</v>
      </c>
      <c r="CB280" s="21" t="s">
        <v>114</v>
      </c>
      <c r="CC280" s="21" t="s">
        <v>114</v>
      </c>
      <c r="CD280" s="21" t="s">
        <v>114</v>
      </c>
      <c r="CE280" s="21" t="s">
        <v>114</v>
      </c>
      <c r="CF280" s="19" t="s">
        <v>114</v>
      </c>
      <c r="CG280" s="19" t="s">
        <v>114</v>
      </c>
      <c r="CH280" s="19" t="s">
        <v>114</v>
      </c>
      <c r="CI280" s="21" t="s">
        <v>114</v>
      </c>
      <c r="CJ280" s="21" t="s">
        <v>114</v>
      </c>
      <c r="CK280" s="21">
        <v>98405</v>
      </c>
      <c r="CL280" s="21" t="s">
        <v>114</v>
      </c>
      <c r="CM280" s="21" t="s">
        <v>114</v>
      </c>
      <c r="CN280" s="21" t="s">
        <v>114</v>
      </c>
      <c r="CO280" s="21" t="s">
        <v>114</v>
      </c>
      <c r="CP280" s="21" t="s">
        <v>114</v>
      </c>
      <c r="CQ280" s="21" t="s">
        <v>114</v>
      </c>
      <c r="CR280" s="21" t="s">
        <v>114</v>
      </c>
      <c r="CS280" s="21" t="s">
        <v>114</v>
      </c>
      <c r="CT280" s="21" t="s">
        <v>114</v>
      </c>
      <c r="CU280" s="21" t="s">
        <v>114</v>
      </c>
      <c r="CV280" s="21" t="s">
        <v>114</v>
      </c>
      <c r="CW280" s="21" t="s">
        <v>114</v>
      </c>
      <c r="CX280" s="21" t="s">
        <v>114</v>
      </c>
      <c r="CY280" s="21" t="s">
        <v>114</v>
      </c>
      <c r="CZ280" s="21" t="s">
        <v>114</v>
      </c>
      <c r="DA280" s="21" t="s">
        <v>114</v>
      </c>
      <c r="DB280" s="21" t="s">
        <v>114</v>
      </c>
      <c r="DC280" s="21" t="s">
        <v>114</v>
      </c>
      <c r="DD280" s="21" t="s">
        <v>114</v>
      </c>
      <c r="DE280" s="21" t="s">
        <v>114</v>
      </c>
      <c r="DF280" s="19" t="s">
        <v>114</v>
      </c>
      <c r="DG280" s="19" t="s">
        <v>114</v>
      </c>
      <c r="DH280" s="19" t="s">
        <v>114</v>
      </c>
      <c r="DI280" s="19" t="s">
        <v>114</v>
      </c>
      <c r="DJ280" s="19" t="s">
        <v>114</v>
      </c>
      <c r="DK280" s="19" t="s">
        <v>114</v>
      </c>
      <c r="DL280" s="19" t="s">
        <v>114</v>
      </c>
      <c r="DM280" s="19" t="s">
        <v>114</v>
      </c>
      <c r="DN280" s="19" t="s">
        <v>114</v>
      </c>
      <c r="DO280" s="19" t="s">
        <v>114</v>
      </c>
    </row>
    <row r="281" spans="1:119" hidden="1" x14ac:dyDescent="0.45">
      <c r="A281" s="2" t="s">
        <v>554</v>
      </c>
      <c r="B281" t="s">
        <v>555</v>
      </c>
      <c r="C281" s="2">
        <v>748</v>
      </c>
      <c r="D281" s="6">
        <v>121</v>
      </c>
      <c r="E281" s="2" t="s">
        <v>556</v>
      </c>
      <c r="F281" t="s">
        <v>556</v>
      </c>
      <c r="G281" t="s">
        <v>2064</v>
      </c>
      <c r="H281" s="2" t="s">
        <v>556</v>
      </c>
      <c r="I281" s="2" t="s">
        <v>556</v>
      </c>
      <c r="J281" s="2">
        <v>2</v>
      </c>
      <c r="K281" t="s">
        <v>116</v>
      </c>
      <c r="L281" s="2">
        <v>202</v>
      </c>
      <c r="M281" t="s">
        <v>166</v>
      </c>
      <c r="N281">
        <v>18</v>
      </c>
      <c r="O281" t="s">
        <v>309</v>
      </c>
      <c r="P281" s="2" t="s">
        <v>116</v>
      </c>
      <c r="Q281" s="2" t="s">
        <v>166</v>
      </c>
      <c r="R281" s="2">
        <v>202</v>
      </c>
      <c r="S281" s="4" t="s">
        <v>166</v>
      </c>
      <c r="T281" s="2">
        <v>202</v>
      </c>
      <c r="U281" s="4" t="s">
        <v>166</v>
      </c>
      <c r="V281" t="s">
        <v>2457</v>
      </c>
      <c r="W281" t="s">
        <v>2457</v>
      </c>
      <c r="X281" t="s">
        <v>2440</v>
      </c>
      <c r="Y281" t="s">
        <v>309</v>
      </c>
      <c r="Z281" t="s">
        <v>2470</v>
      </c>
      <c r="AA281" t="s">
        <v>2763</v>
      </c>
      <c r="AB281" t="s">
        <v>2882</v>
      </c>
      <c r="AC281" s="2" t="s">
        <v>168</v>
      </c>
      <c r="AD281" s="4" t="s">
        <v>1891</v>
      </c>
      <c r="AE281" t="s">
        <v>104</v>
      </c>
      <c r="AF281" t="s">
        <v>1885</v>
      </c>
      <c r="AG281" t="s">
        <v>1884</v>
      </c>
      <c r="AH281" t="s">
        <v>105</v>
      </c>
      <c r="AI281" s="3" t="s">
        <v>105</v>
      </c>
      <c r="AJ281" s="3" t="s">
        <v>106</v>
      </c>
      <c r="AK281" s="3" t="s">
        <v>107</v>
      </c>
      <c r="AL281" s="5" t="s">
        <v>557</v>
      </c>
      <c r="AM281" s="5" t="s">
        <v>109</v>
      </c>
      <c r="AO281" s="3" t="s">
        <v>119</v>
      </c>
      <c r="AP281" s="3" t="s">
        <v>26</v>
      </c>
      <c r="AQ281" s="3" t="s">
        <v>111</v>
      </c>
      <c r="AR281" s="3" t="s">
        <v>112</v>
      </c>
      <c r="AS281" s="3" t="s">
        <v>112</v>
      </c>
      <c r="AT281" s="3" t="s">
        <v>113</v>
      </c>
      <c r="AU281" s="3" t="s">
        <v>2303</v>
      </c>
      <c r="AV281" s="3" t="s">
        <v>2302</v>
      </c>
      <c r="AW281" s="3" t="s">
        <v>2301</v>
      </c>
      <c r="AX281" s="3" t="s">
        <v>2006</v>
      </c>
      <c r="AY281" s="19">
        <v>98100</v>
      </c>
      <c r="AZ281" s="19" t="s">
        <v>114</v>
      </c>
      <c r="BA281" s="19" t="s">
        <v>114</v>
      </c>
      <c r="BB281" s="19" t="s">
        <v>114</v>
      </c>
      <c r="BC281" s="19">
        <v>98104</v>
      </c>
      <c r="BD281" s="19" t="s">
        <v>114</v>
      </c>
      <c r="BE281" s="19">
        <v>98106</v>
      </c>
      <c r="BF281" s="19" t="s">
        <v>114</v>
      </c>
      <c r="BG281" s="19" t="s">
        <v>114</v>
      </c>
      <c r="BH281" s="19" t="s">
        <v>114</v>
      </c>
      <c r="BI281" s="19">
        <v>98110</v>
      </c>
      <c r="BJ281" s="19" t="s">
        <v>114</v>
      </c>
      <c r="BK281" s="19" t="s">
        <v>114</v>
      </c>
      <c r="BL281" s="19">
        <v>98113</v>
      </c>
      <c r="BM281" s="19" t="s">
        <v>114</v>
      </c>
      <c r="BN281" s="19" t="s">
        <v>114</v>
      </c>
      <c r="BO281" s="19">
        <v>98116</v>
      </c>
      <c r="BP281" s="19" t="s">
        <v>114</v>
      </c>
      <c r="BQ281" s="19" t="s">
        <v>114</v>
      </c>
      <c r="BR281" s="19" t="s">
        <v>114</v>
      </c>
      <c r="BS281" s="19" t="s">
        <v>114</v>
      </c>
      <c r="BT281" s="19">
        <v>98121</v>
      </c>
      <c r="BU281" s="19" t="s">
        <v>114</v>
      </c>
      <c r="BV281" s="19" t="s">
        <v>114</v>
      </c>
      <c r="BW281" s="19" t="s">
        <v>114</v>
      </c>
      <c r="BX281" s="19" t="s">
        <v>114</v>
      </c>
      <c r="BY281" s="19">
        <v>98126</v>
      </c>
      <c r="BZ281" s="21" t="s">
        <v>114</v>
      </c>
      <c r="CA281" s="21" t="s">
        <v>114</v>
      </c>
      <c r="CB281" s="21" t="s">
        <v>114</v>
      </c>
      <c r="CC281" s="21" t="s">
        <v>114</v>
      </c>
      <c r="CD281" s="21" t="s">
        <v>114</v>
      </c>
      <c r="CE281" s="21" t="s">
        <v>114</v>
      </c>
      <c r="CF281" s="19" t="s">
        <v>114</v>
      </c>
      <c r="CG281" s="19" t="s">
        <v>114</v>
      </c>
      <c r="CH281" s="19" t="s">
        <v>114</v>
      </c>
      <c r="CI281" s="21" t="s">
        <v>114</v>
      </c>
      <c r="CJ281" s="21" t="s">
        <v>114</v>
      </c>
      <c r="CK281" s="21">
        <v>98405</v>
      </c>
      <c r="CL281" s="21" t="s">
        <v>114</v>
      </c>
      <c r="CM281" s="21" t="s">
        <v>114</v>
      </c>
      <c r="CN281" s="21" t="s">
        <v>114</v>
      </c>
      <c r="CO281" s="21" t="s">
        <v>114</v>
      </c>
      <c r="CP281" s="21" t="s">
        <v>114</v>
      </c>
      <c r="CQ281" s="21" t="s">
        <v>114</v>
      </c>
      <c r="CR281" s="21" t="s">
        <v>114</v>
      </c>
      <c r="CS281" s="21" t="s">
        <v>114</v>
      </c>
      <c r="CT281" s="21" t="s">
        <v>114</v>
      </c>
      <c r="CU281" s="21" t="s">
        <v>114</v>
      </c>
      <c r="CV281" s="21" t="s">
        <v>114</v>
      </c>
      <c r="CW281" s="21" t="s">
        <v>114</v>
      </c>
      <c r="CX281" s="21" t="s">
        <v>114</v>
      </c>
      <c r="CY281" s="21" t="s">
        <v>114</v>
      </c>
      <c r="CZ281" s="21" t="s">
        <v>114</v>
      </c>
      <c r="DA281" s="21" t="s">
        <v>114</v>
      </c>
      <c r="DB281" s="21" t="s">
        <v>114</v>
      </c>
      <c r="DC281" s="21" t="s">
        <v>114</v>
      </c>
      <c r="DD281" s="21" t="s">
        <v>114</v>
      </c>
      <c r="DE281" s="21" t="s">
        <v>114</v>
      </c>
      <c r="DF281" s="19" t="s">
        <v>114</v>
      </c>
      <c r="DG281" s="19" t="s">
        <v>114</v>
      </c>
      <c r="DH281" s="19" t="s">
        <v>114</v>
      </c>
      <c r="DI281" s="19" t="s">
        <v>114</v>
      </c>
      <c r="DJ281" s="19" t="s">
        <v>114</v>
      </c>
      <c r="DK281" s="19" t="s">
        <v>114</v>
      </c>
      <c r="DL281" s="19" t="s">
        <v>114</v>
      </c>
      <c r="DM281" s="19" t="s">
        <v>114</v>
      </c>
      <c r="DN281" s="19" t="s">
        <v>114</v>
      </c>
      <c r="DO281" s="19" t="s">
        <v>114</v>
      </c>
    </row>
    <row r="282" spans="1:119" hidden="1" x14ac:dyDescent="0.45">
      <c r="A282" s="2" t="s">
        <v>823</v>
      </c>
      <c r="B282" t="s">
        <v>824</v>
      </c>
      <c r="C282" s="2">
        <v>426</v>
      </c>
      <c r="D282" s="6">
        <v>131</v>
      </c>
      <c r="E282" s="2" t="s">
        <v>825</v>
      </c>
      <c r="F282" t="s">
        <v>825</v>
      </c>
      <c r="G282" t="s">
        <v>2095</v>
      </c>
      <c r="H282" s="2" t="s">
        <v>825</v>
      </c>
      <c r="I282" s="2" t="s">
        <v>825</v>
      </c>
      <c r="J282" s="2">
        <v>2</v>
      </c>
      <c r="K282" t="s">
        <v>116</v>
      </c>
      <c r="L282" s="2">
        <v>202</v>
      </c>
      <c r="M282" t="s">
        <v>166</v>
      </c>
      <c r="N282">
        <v>18</v>
      </c>
      <c r="O282" t="s">
        <v>309</v>
      </c>
      <c r="P282" s="2" t="s">
        <v>116</v>
      </c>
      <c r="Q282" s="2" t="s">
        <v>166</v>
      </c>
      <c r="R282" s="2">
        <v>202</v>
      </c>
      <c r="S282" s="4" t="s">
        <v>166</v>
      </c>
      <c r="T282" s="2">
        <v>202</v>
      </c>
      <c r="U282" s="4" t="s">
        <v>166</v>
      </c>
      <c r="V282" t="s">
        <v>2457</v>
      </c>
      <c r="W282" t="s">
        <v>2457</v>
      </c>
      <c r="X282" t="s">
        <v>2440</v>
      </c>
      <c r="Y282" t="s">
        <v>309</v>
      </c>
      <c r="Z282" t="s">
        <v>2470</v>
      </c>
      <c r="AA282" t="s">
        <v>2763</v>
      </c>
      <c r="AB282" t="s">
        <v>2882</v>
      </c>
      <c r="AC282" s="2" t="s">
        <v>168</v>
      </c>
      <c r="AD282" s="4" t="s">
        <v>1891</v>
      </c>
      <c r="AE282" t="s">
        <v>104</v>
      </c>
      <c r="AF282" t="s">
        <v>1885</v>
      </c>
      <c r="AG282" t="s">
        <v>1884</v>
      </c>
      <c r="AH282" t="s">
        <v>105</v>
      </c>
      <c r="AI282" s="3" t="s">
        <v>105</v>
      </c>
      <c r="AJ282" s="3" t="s">
        <v>106</v>
      </c>
      <c r="AK282" s="3" t="s">
        <v>107</v>
      </c>
      <c r="AL282" s="5" t="s">
        <v>826</v>
      </c>
      <c r="AM282" s="5" t="s">
        <v>109</v>
      </c>
      <c r="AO282" t="s">
        <v>25</v>
      </c>
      <c r="AP282" s="3" t="s">
        <v>26</v>
      </c>
      <c r="AQ282" s="3" t="s">
        <v>111</v>
      </c>
      <c r="AR282" s="3" t="s">
        <v>112</v>
      </c>
      <c r="AS282" s="3" t="s">
        <v>112</v>
      </c>
      <c r="AT282" s="3" t="s">
        <v>113</v>
      </c>
      <c r="AU282" s="3" t="s">
        <v>2303</v>
      </c>
      <c r="AV282" s="3" t="s">
        <v>2302</v>
      </c>
      <c r="AW282" s="3" t="s">
        <v>2301</v>
      </c>
      <c r="AX282" s="3" t="s">
        <v>2006</v>
      </c>
      <c r="AY282" s="19">
        <v>98100</v>
      </c>
      <c r="AZ282" s="19" t="s">
        <v>114</v>
      </c>
      <c r="BA282" s="19" t="s">
        <v>114</v>
      </c>
      <c r="BB282" s="19" t="s">
        <v>114</v>
      </c>
      <c r="BC282" s="19">
        <v>98104</v>
      </c>
      <c r="BD282" s="19" t="s">
        <v>114</v>
      </c>
      <c r="BE282" s="19">
        <v>98106</v>
      </c>
      <c r="BF282" s="19" t="s">
        <v>114</v>
      </c>
      <c r="BG282" s="19" t="s">
        <v>114</v>
      </c>
      <c r="BH282" s="19" t="s">
        <v>114</v>
      </c>
      <c r="BI282" s="19">
        <v>98110</v>
      </c>
      <c r="BJ282" s="19" t="s">
        <v>114</v>
      </c>
      <c r="BK282" s="19" t="s">
        <v>114</v>
      </c>
      <c r="BL282" s="19" t="s">
        <v>114</v>
      </c>
      <c r="BM282" s="19" t="s">
        <v>114</v>
      </c>
      <c r="BN282" s="19" t="s">
        <v>114</v>
      </c>
      <c r="BO282" s="19">
        <v>98116</v>
      </c>
      <c r="BP282" s="19">
        <v>98117</v>
      </c>
      <c r="BQ282" s="19">
        <v>98118</v>
      </c>
      <c r="BR282" s="19">
        <v>98119</v>
      </c>
      <c r="BS282" s="19">
        <v>98120</v>
      </c>
      <c r="BT282" s="19">
        <v>98121</v>
      </c>
      <c r="BU282" s="19" t="s">
        <v>114</v>
      </c>
      <c r="BV282" s="19" t="s">
        <v>114</v>
      </c>
      <c r="BW282" s="19" t="s">
        <v>114</v>
      </c>
      <c r="BX282" s="19" t="s">
        <v>114</v>
      </c>
      <c r="BY282" s="19">
        <v>98126</v>
      </c>
      <c r="BZ282" s="21" t="s">
        <v>114</v>
      </c>
      <c r="CA282" s="21" t="s">
        <v>114</v>
      </c>
      <c r="CB282" s="21" t="s">
        <v>114</v>
      </c>
      <c r="CC282" s="21" t="s">
        <v>114</v>
      </c>
      <c r="CD282" s="21" t="s">
        <v>114</v>
      </c>
      <c r="CE282" s="21" t="s">
        <v>114</v>
      </c>
      <c r="CF282" s="19" t="s">
        <v>114</v>
      </c>
      <c r="CG282" s="19" t="s">
        <v>114</v>
      </c>
      <c r="CH282" s="19" t="s">
        <v>114</v>
      </c>
      <c r="CI282" s="21" t="s">
        <v>114</v>
      </c>
      <c r="CJ282" s="21" t="s">
        <v>114</v>
      </c>
      <c r="CK282" s="21">
        <v>98405</v>
      </c>
      <c r="CL282" s="21" t="s">
        <v>114</v>
      </c>
      <c r="CM282" s="21" t="s">
        <v>114</v>
      </c>
      <c r="CN282" s="21" t="s">
        <v>114</v>
      </c>
      <c r="CO282" s="21" t="s">
        <v>114</v>
      </c>
      <c r="CP282" s="21" t="s">
        <v>114</v>
      </c>
      <c r="CQ282" s="21" t="s">
        <v>114</v>
      </c>
      <c r="CR282" s="21" t="s">
        <v>114</v>
      </c>
      <c r="CS282" s="21" t="s">
        <v>114</v>
      </c>
      <c r="CT282" s="21" t="s">
        <v>114</v>
      </c>
      <c r="CU282" s="21" t="s">
        <v>114</v>
      </c>
      <c r="CV282" s="21" t="s">
        <v>114</v>
      </c>
      <c r="CW282" s="21" t="s">
        <v>114</v>
      </c>
      <c r="CX282" s="21" t="s">
        <v>114</v>
      </c>
      <c r="CY282" s="21" t="s">
        <v>114</v>
      </c>
      <c r="CZ282" s="21" t="s">
        <v>114</v>
      </c>
      <c r="DA282" s="21" t="s">
        <v>114</v>
      </c>
      <c r="DB282" s="21" t="s">
        <v>114</v>
      </c>
      <c r="DC282" s="21" t="s">
        <v>114</v>
      </c>
      <c r="DD282" s="21" t="s">
        <v>114</v>
      </c>
      <c r="DE282" s="21" t="s">
        <v>114</v>
      </c>
      <c r="DF282" s="19" t="s">
        <v>114</v>
      </c>
      <c r="DG282" s="19" t="s">
        <v>114</v>
      </c>
      <c r="DH282" s="19" t="s">
        <v>114</v>
      </c>
      <c r="DI282" s="19" t="s">
        <v>114</v>
      </c>
      <c r="DJ282" s="19" t="s">
        <v>114</v>
      </c>
      <c r="DK282" s="19" t="s">
        <v>114</v>
      </c>
      <c r="DL282" s="19" t="s">
        <v>114</v>
      </c>
      <c r="DM282" s="19" t="s">
        <v>114</v>
      </c>
      <c r="DN282" s="19" t="s">
        <v>114</v>
      </c>
      <c r="DO282" s="19" t="s">
        <v>114</v>
      </c>
    </row>
    <row r="283" spans="1:119" hidden="1" x14ac:dyDescent="0.45">
      <c r="A283" s="2" t="s">
        <v>947</v>
      </c>
      <c r="B283" t="s">
        <v>948</v>
      </c>
      <c r="C283" s="2">
        <v>516</v>
      </c>
      <c r="D283" s="6">
        <v>142</v>
      </c>
      <c r="E283" s="2" t="s">
        <v>949</v>
      </c>
      <c r="F283" t="s">
        <v>949</v>
      </c>
      <c r="G283" t="s">
        <v>2115</v>
      </c>
      <c r="H283" s="2" t="s">
        <v>950</v>
      </c>
      <c r="I283" s="2" t="s">
        <v>949</v>
      </c>
      <c r="J283" s="2">
        <v>2</v>
      </c>
      <c r="K283" t="s">
        <v>116</v>
      </c>
      <c r="L283" s="2">
        <v>202</v>
      </c>
      <c r="M283" t="s">
        <v>166</v>
      </c>
      <c r="N283">
        <v>18</v>
      </c>
      <c r="O283" t="s">
        <v>309</v>
      </c>
      <c r="P283" s="2" t="s">
        <v>116</v>
      </c>
      <c r="Q283" s="2" t="s">
        <v>166</v>
      </c>
      <c r="R283" s="2">
        <v>202</v>
      </c>
      <c r="S283" s="4" t="s">
        <v>166</v>
      </c>
      <c r="T283" s="2">
        <v>202</v>
      </c>
      <c r="U283" s="4" t="s">
        <v>166</v>
      </c>
      <c r="V283" t="s">
        <v>2457</v>
      </c>
      <c r="W283" t="s">
        <v>2457</v>
      </c>
      <c r="X283" t="s">
        <v>2440</v>
      </c>
      <c r="Y283" t="s">
        <v>309</v>
      </c>
      <c r="Z283" t="s">
        <v>2470</v>
      </c>
      <c r="AA283" t="s">
        <v>2763</v>
      </c>
      <c r="AB283" t="s">
        <v>2882</v>
      </c>
      <c r="AC283" s="2" t="s">
        <v>138</v>
      </c>
      <c r="AD283" s="4" t="s">
        <v>1891</v>
      </c>
      <c r="AE283" t="s">
        <v>104</v>
      </c>
      <c r="AF283" t="s">
        <v>1885</v>
      </c>
      <c r="AG283" t="s">
        <v>1884</v>
      </c>
      <c r="AH283" t="s">
        <v>105</v>
      </c>
      <c r="AI283" s="3" t="s">
        <v>105</v>
      </c>
      <c r="AJ283" s="3" t="s">
        <v>106</v>
      </c>
      <c r="AK283" s="3" t="s">
        <v>107</v>
      </c>
      <c r="AL283" s="5" t="s">
        <v>951</v>
      </c>
      <c r="AM283" s="5" t="s">
        <v>109</v>
      </c>
      <c r="AN283" t="s">
        <v>110</v>
      </c>
      <c r="AO283" s="3" t="s">
        <v>119</v>
      </c>
      <c r="AP283" s="3" t="s">
        <v>120</v>
      </c>
      <c r="AQ283" s="3" t="s">
        <v>111</v>
      </c>
      <c r="AR283" s="3" t="s">
        <v>112</v>
      </c>
      <c r="AS283" s="3" t="s">
        <v>112</v>
      </c>
      <c r="AT283" s="3" t="s">
        <v>113</v>
      </c>
      <c r="AU283" s="3" t="s">
        <v>2303</v>
      </c>
      <c r="AV283" s="3" t="s">
        <v>2302</v>
      </c>
      <c r="AW283" s="3" t="s">
        <v>2301</v>
      </c>
      <c r="AX283" s="3" t="s">
        <v>2006</v>
      </c>
      <c r="AY283" s="19">
        <v>98100</v>
      </c>
      <c r="AZ283" s="19" t="s">
        <v>114</v>
      </c>
      <c r="BA283" s="19" t="s">
        <v>114</v>
      </c>
      <c r="BB283" s="19" t="s">
        <v>114</v>
      </c>
      <c r="BC283" s="19">
        <v>98104</v>
      </c>
      <c r="BD283" s="19" t="s">
        <v>114</v>
      </c>
      <c r="BE283" s="19">
        <v>98106</v>
      </c>
      <c r="BF283" s="19" t="s">
        <v>114</v>
      </c>
      <c r="BG283" s="19" t="s">
        <v>114</v>
      </c>
      <c r="BH283" s="19" t="s">
        <v>114</v>
      </c>
      <c r="BI283" s="19">
        <v>98110</v>
      </c>
      <c r="BJ283" s="19" t="s">
        <v>114</v>
      </c>
      <c r="BK283" s="19" t="s">
        <v>114</v>
      </c>
      <c r="BL283" s="19" t="s">
        <v>114</v>
      </c>
      <c r="BM283" s="19" t="s">
        <v>114</v>
      </c>
      <c r="BN283" s="19" t="s">
        <v>114</v>
      </c>
      <c r="BO283" s="19" t="s">
        <v>114</v>
      </c>
      <c r="BP283" s="19" t="s">
        <v>114</v>
      </c>
      <c r="BQ283" s="19" t="s">
        <v>114</v>
      </c>
      <c r="BR283" s="19">
        <v>98119</v>
      </c>
      <c r="BS283" s="19" t="s">
        <v>114</v>
      </c>
      <c r="BT283" s="19">
        <v>98121</v>
      </c>
      <c r="BU283" s="19" t="s">
        <v>114</v>
      </c>
      <c r="BV283" s="19" t="s">
        <v>114</v>
      </c>
      <c r="BW283" s="19" t="s">
        <v>114</v>
      </c>
      <c r="BX283" s="19" t="s">
        <v>114</v>
      </c>
      <c r="BY283" s="19">
        <v>98126</v>
      </c>
      <c r="BZ283" s="21" t="s">
        <v>114</v>
      </c>
      <c r="CA283" s="21" t="s">
        <v>114</v>
      </c>
      <c r="CB283" s="21" t="s">
        <v>114</v>
      </c>
      <c r="CC283" s="21" t="s">
        <v>114</v>
      </c>
      <c r="CD283" s="21" t="s">
        <v>114</v>
      </c>
      <c r="CE283" s="21" t="s">
        <v>114</v>
      </c>
      <c r="CF283" s="19" t="s">
        <v>114</v>
      </c>
      <c r="CG283" s="19" t="s">
        <v>114</v>
      </c>
      <c r="CH283" s="19" t="s">
        <v>114</v>
      </c>
      <c r="CI283" s="21" t="s">
        <v>114</v>
      </c>
      <c r="CJ283" s="21" t="s">
        <v>114</v>
      </c>
      <c r="CK283" s="21">
        <v>98405</v>
      </c>
      <c r="CL283" s="21" t="s">
        <v>114</v>
      </c>
      <c r="CM283" s="21" t="s">
        <v>114</v>
      </c>
      <c r="CN283" s="21" t="s">
        <v>114</v>
      </c>
      <c r="CO283" s="21" t="s">
        <v>114</v>
      </c>
      <c r="CP283" s="21" t="s">
        <v>114</v>
      </c>
      <c r="CQ283" s="21" t="s">
        <v>114</v>
      </c>
      <c r="CR283" s="21" t="s">
        <v>114</v>
      </c>
      <c r="CS283" s="21" t="s">
        <v>114</v>
      </c>
      <c r="CT283" s="21" t="s">
        <v>114</v>
      </c>
      <c r="CU283" s="21" t="s">
        <v>114</v>
      </c>
      <c r="CV283" s="21" t="s">
        <v>114</v>
      </c>
      <c r="CW283" s="21" t="s">
        <v>114</v>
      </c>
      <c r="CX283" s="21" t="s">
        <v>114</v>
      </c>
      <c r="CY283" s="21" t="s">
        <v>114</v>
      </c>
      <c r="CZ283" s="21" t="s">
        <v>114</v>
      </c>
      <c r="DA283" s="21" t="s">
        <v>114</v>
      </c>
      <c r="DB283" s="21" t="s">
        <v>114</v>
      </c>
      <c r="DC283" s="21" t="s">
        <v>114</v>
      </c>
      <c r="DD283" s="21" t="s">
        <v>114</v>
      </c>
      <c r="DE283" s="21" t="s">
        <v>114</v>
      </c>
      <c r="DF283" s="19" t="s">
        <v>114</v>
      </c>
      <c r="DG283" s="19" t="s">
        <v>114</v>
      </c>
      <c r="DH283" s="19" t="s">
        <v>114</v>
      </c>
      <c r="DI283" s="19" t="s">
        <v>114</v>
      </c>
      <c r="DJ283" s="19" t="s">
        <v>114</v>
      </c>
      <c r="DK283" s="19" t="s">
        <v>114</v>
      </c>
      <c r="DL283" s="19" t="s">
        <v>114</v>
      </c>
      <c r="DM283" s="19" t="s">
        <v>114</v>
      </c>
      <c r="DN283" s="19" t="s">
        <v>114</v>
      </c>
      <c r="DO283" s="19" t="s">
        <v>114</v>
      </c>
    </row>
    <row r="284" spans="1:119" hidden="1" x14ac:dyDescent="0.45">
      <c r="A284" s="2" t="s">
        <v>96</v>
      </c>
      <c r="B284" t="s">
        <v>97</v>
      </c>
      <c r="C284" s="2">
        <v>4</v>
      </c>
      <c r="D284" s="6">
        <v>201</v>
      </c>
      <c r="E284" s="2" t="s">
        <v>98</v>
      </c>
      <c r="F284" t="s">
        <v>98</v>
      </c>
      <c r="G284" t="s">
        <v>2015</v>
      </c>
      <c r="H284" s="2" t="s">
        <v>98</v>
      </c>
      <c r="I284" s="2" t="s">
        <v>99</v>
      </c>
      <c r="J284" s="2">
        <v>142</v>
      </c>
      <c r="K284" t="s">
        <v>100</v>
      </c>
      <c r="L284" s="2">
        <v>34</v>
      </c>
      <c r="M284" t="s">
        <v>101</v>
      </c>
      <c r="P284" s="2" t="s">
        <v>100</v>
      </c>
      <c r="Q284" s="2" t="s">
        <v>102</v>
      </c>
      <c r="R284" s="4">
        <v>62</v>
      </c>
      <c r="S284" s="4" t="s">
        <v>388</v>
      </c>
      <c r="T284" s="4">
        <v>34</v>
      </c>
      <c r="U284" s="4" t="s">
        <v>101</v>
      </c>
      <c r="V284" t="s">
        <v>2454</v>
      </c>
      <c r="W284" t="s">
        <v>2454</v>
      </c>
      <c r="X284" t="s">
        <v>2440</v>
      </c>
      <c r="Y284" t="s">
        <v>101</v>
      </c>
      <c r="Z284" t="s">
        <v>1927</v>
      </c>
      <c r="AA284" s="3" t="s">
        <v>2756</v>
      </c>
      <c r="AB284" s="3" t="s">
        <v>2883</v>
      </c>
      <c r="AC284" s="2" t="s">
        <v>103</v>
      </c>
      <c r="AD284" s="2" t="s">
        <v>1890</v>
      </c>
      <c r="AE284" t="s">
        <v>104</v>
      </c>
      <c r="AF284" t="s">
        <v>1885</v>
      </c>
      <c r="AG284" t="s">
        <v>1884</v>
      </c>
      <c r="AH284" t="s">
        <v>105</v>
      </c>
      <c r="AI284" s="3" t="s">
        <v>105</v>
      </c>
      <c r="AJ284" s="3" t="s">
        <v>106</v>
      </c>
      <c r="AK284" s="3" t="s">
        <v>107</v>
      </c>
      <c r="AL284" s="5" t="s">
        <v>108</v>
      </c>
      <c r="AM284" s="5" t="s">
        <v>109</v>
      </c>
      <c r="AN284" t="s">
        <v>110</v>
      </c>
      <c r="AO284" t="s">
        <v>25</v>
      </c>
      <c r="AP284" t="s">
        <v>26</v>
      </c>
      <c r="AQ284" s="3" t="s">
        <v>111</v>
      </c>
      <c r="AR284" s="3" t="s">
        <v>112</v>
      </c>
      <c r="AS284" s="3" t="s">
        <v>112</v>
      </c>
      <c r="AT284" s="3" t="s">
        <v>113</v>
      </c>
      <c r="AU284" s="3" t="s">
        <v>2303</v>
      </c>
      <c r="AV284" s="3" t="s">
        <v>2302</v>
      </c>
      <c r="AW284" s="3" t="s">
        <v>2301</v>
      </c>
      <c r="AX284" s="3" t="s">
        <v>2006</v>
      </c>
      <c r="AY284" s="19" t="s">
        <v>114</v>
      </c>
      <c r="AZ284" s="19" t="s">
        <v>114</v>
      </c>
      <c r="BA284" s="19" t="s">
        <v>114</v>
      </c>
      <c r="BB284" s="19" t="s">
        <v>114</v>
      </c>
      <c r="BC284" s="19" t="s">
        <v>114</v>
      </c>
      <c r="BD284" s="19" t="s">
        <v>114</v>
      </c>
      <c r="BE284" s="19" t="s">
        <v>114</v>
      </c>
      <c r="BF284" s="19" t="s">
        <v>114</v>
      </c>
      <c r="BG284" s="19" t="s">
        <v>114</v>
      </c>
      <c r="BH284" s="19" t="s">
        <v>114</v>
      </c>
      <c r="BI284" s="19" t="s">
        <v>114</v>
      </c>
      <c r="BJ284" s="19" t="s">
        <v>114</v>
      </c>
      <c r="BK284" s="19" t="s">
        <v>114</v>
      </c>
      <c r="BL284" s="19" t="s">
        <v>114</v>
      </c>
      <c r="BM284" s="19" t="s">
        <v>114</v>
      </c>
      <c r="BN284" s="19" t="s">
        <v>114</v>
      </c>
      <c r="BO284" s="19" t="s">
        <v>114</v>
      </c>
      <c r="BP284" s="19" t="s">
        <v>114</v>
      </c>
      <c r="BQ284" s="19" t="s">
        <v>114</v>
      </c>
      <c r="BR284" s="19" t="s">
        <v>114</v>
      </c>
      <c r="BS284" s="19" t="s">
        <v>114</v>
      </c>
      <c r="BT284" s="19" t="s">
        <v>114</v>
      </c>
      <c r="BU284" s="19" t="s">
        <v>114</v>
      </c>
      <c r="BV284" s="19" t="s">
        <v>114</v>
      </c>
      <c r="BW284" s="19" t="s">
        <v>114</v>
      </c>
      <c r="BX284" s="19" t="s">
        <v>114</v>
      </c>
      <c r="BY284" s="19" t="s">
        <v>114</v>
      </c>
      <c r="BZ284" s="21" t="s">
        <v>114</v>
      </c>
      <c r="CA284" s="21" t="s">
        <v>114</v>
      </c>
      <c r="CB284" s="21" t="s">
        <v>114</v>
      </c>
      <c r="CC284" s="21" t="s">
        <v>114</v>
      </c>
      <c r="CD284" s="21" t="s">
        <v>114</v>
      </c>
      <c r="CE284" s="21" t="s">
        <v>114</v>
      </c>
      <c r="CF284" s="19" t="s">
        <v>114</v>
      </c>
      <c r="CG284" s="19" t="s">
        <v>114</v>
      </c>
      <c r="CH284" s="19" t="s">
        <v>114</v>
      </c>
      <c r="CI284" s="21" t="s">
        <v>114</v>
      </c>
      <c r="CJ284" s="21">
        <v>98400</v>
      </c>
      <c r="CK284" s="21" t="s">
        <v>114</v>
      </c>
      <c r="CL284" s="21" t="s">
        <v>114</v>
      </c>
      <c r="CM284" s="21">
        <v>98407</v>
      </c>
      <c r="CN284" s="21" t="s">
        <v>114</v>
      </c>
      <c r="CO284" s="21">
        <v>98411</v>
      </c>
      <c r="CP284" s="21">
        <v>98412</v>
      </c>
      <c r="CQ284" s="21" t="s">
        <v>114</v>
      </c>
      <c r="CR284" s="21" t="s">
        <v>114</v>
      </c>
      <c r="CS284" s="21" t="s">
        <v>114</v>
      </c>
      <c r="CT284" s="21">
        <v>98420</v>
      </c>
      <c r="CU284" s="21" t="s">
        <v>114</v>
      </c>
      <c r="CV284" s="21" t="s">
        <v>114</v>
      </c>
      <c r="CW284" s="21" t="s">
        <v>114</v>
      </c>
      <c r="CX284" s="21" t="s">
        <v>114</v>
      </c>
      <c r="CY284" s="21" t="s">
        <v>114</v>
      </c>
      <c r="CZ284" s="21">
        <v>98428</v>
      </c>
      <c r="DA284" s="21">
        <v>98434</v>
      </c>
      <c r="DB284" s="21" t="s">
        <v>114</v>
      </c>
      <c r="DC284" s="21" t="s">
        <v>114</v>
      </c>
      <c r="DD284" s="21" t="s">
        <v>114</v>
      </c>
      <c r="DE284" s="21" t="s">
        <v>114</v>
      </c>
      <c r="DF284" s="19">
        <v>98439</v>
      </c>
      <c r="DG284" s="19" t="s">
        <v>114</v>
      </c>
      <c r="DH284" s="19" t="s">
        <v>114</v>
      </c>
      <c r="DI284" s="19" t="s">
        <v>114</v>
      </c>
      <c r="DJ284" s="19" t="s">
        <v>114</v>
      </c>
      <c r="DK284" s="19" t="s">
        <v>114</v>
      </c>
      <c r="DL284" s="19" t="s">
        <v>114</v>
      </c>
      <c r="DM284" s="19" t="s">
        <v>114</v>
      </c>
      <c r="DN284" s="19" t="s">
        <v>114</v>
      </c>
      <c r="DO284" s="19" t="s">
        <v>114</v>
      </c>
    </row>
    <row r="285" spans="1:119" hidden="1" x14ac:dyDescent="0.45">
      <c r="A285" s="2" t="s">
        <v>242</v>
      </c>
      <c r="B285" t="s">
        <v>243</v>
      </c>
      <c r="C285" s="2">
        <v>50</v>
      </c>
      <c r="D285" s="6">
        <v>202</v>
      </c>
      <c r="E285" s="2" t="s">
        <v>244</v>
      </c>
      <c r="F285" t="s">
        <v>244</v>
      </c>
      <c r="G285" t="s">
        <v>2026</v>
      </c>
      <c r="H285" s="2" t="s">
        <v>244</v>
      </c>
      <c r="I285" s="2" t="s">
        <v>244</v>
      </c>
      <c r="J285" s="2">
        <v>142</v>
      </c>
      <c r="K285" t="s">
        <v>100</v>
      </c>
      <c r="L285" s="2">
        <v>34</v>
      </c>
      <c r="M285" t="s">
        <v>101</v>
      </c>
      <c r="P285" s="2" t="s">
        <v>100</v>
      </c>
      <c r="Q285" s="2" t="s">
        <v>102</v>
      </c>
      <c r="R285" s="4">
        <v>62</v>
      </c>
      <c r="S285" s="4" t="s">
        <v>388</v>
      </c>
      <c r="T285" s="4">
        <v>34</v>
      </c>
      <c r="U285" s="4" t="s">
        <v>101</v>
      </c>
      <c r="V285" t="s">
        <v>2454</v>
      </c>
      <c r="W285" t="s">
        <v>2454</v>
      </c>
      <c r="X285" t="s">
        <v>2440</v>
      </c>
      <c r="Y285" t="s">
        <v>101</v>
      </c>
      <c r="Z285" t="s">
        <v>1927</v>
      </c>
      <c r="AA285" s="3" t="s">
        <v>2756</v>
      </c>
      <c r="AB285" s="3" t="s">
        <v>2883</v>
      </c>
      <c r="AC285" s="2" t="s">
        <v>168</v>
      </c>
      <c r="AD285" s="4" t="s">
        <v>1891</v>
      </c>
      <c r="AE285" t="s">
        <v>104</v>
      </c>
      <c r="AF285" t="s">
        <v>1885</v>
      </c>
      <c r="AG285" t="s">
        <v>1884</v>
      </c>
      <c r="AH285" t="s">
        <v>105</v>
      </c>
      <c r="AI285" s="3" t="s">
        <v>105</v>
      </c>
      <c r="AJ285" s="3" t="s">
        <v>106</v>
      </c>
      <c r="AK285" s="3" t="s">
        <v>107</v>
      </c>
      <c r="AL285" s="5" t="s">
        <v>245</v>
      </c>
      <c r="AM285" s="5" t="s">
        <v>109</v>
      </c>
      <c r="AN285" t="s">
        <v>110</v>
      </c>
      <c r="AO285" t="s">
        <v>25</v>
      </c>
      <c r="AP285" s="3" t="s">
        <v>120</v>
      </c>
      <c r="AQ285" s="3" t="s">
        <v>111</v>
      </c>
      <c r="AR285" s="3" t="s">
        <v>112</v>
      </c>
      <c r="AS285" s="3" t="s">
        <v>112</v>
      </c>
      <c r="AT285" s="3" t="s">
        <v>113</v>
      </c>
      <c r="AU285" s="3" t="s">
        <v>2303</v>
      </c>
      <c r="AV285" s="3" t="s">
        <v>2302</v>
      </c>
      <c r="AW285" s="3" t="s">
        <v>2301</v>
      </c>
      <c r="AX285" s="3" t="s">
        <v>2006</v>
      </c>
      <c r="AY285" s="19" t="s">
        <v>114</v>
      </c>
      <c r="AZ285" s="19" t="s">
        <v>114</v>
      </c>
      <c r="BA285" s="19" t="s">
        <v>114</v>
      </c>
      <c r="BB285" s="19" t="s">
        <v>114</v>
      </c>
      <c r="BC285" s="19" t="s">
        <v>114</v>
      </c>
      <c r="BD285" s="19" t="s">
        <v>114</v>
      </c>
      <c r="BE285" s="19" t="s">
        <v>114</v>
      </c>
      <c r="BF285" s="19" t="s">
        <v>114</v>
      </c>
      <c r="BG285" s="19" t="s">
        <v>114</v>
      </c>
      <c r="BH285" s="19" t="s">
        <v>114</v>
      </c>
      <c r="BI285" s="19" t="s">
        <v>114</v>
      </c>
      <c r="BJ285" s="19" t="s">
        <v>114</v>
      </c>
      <c r="BK285" s="19" t="s">
        <v>114</v>
      </c>
      <c r="BL285" s="19" t="s">
        <v>114</v>
      </c>
      <c r="BM285" s="19" t="s">
        <v>114</v>
      </c>
      <c r="BN285" s="19" t="s">
        <v>114</v>
      </c>
      <c r="BO285" s="19" t="s">
        <v>114</v>
      </c>
      <c r="BP285" s="19" t="s">
        <v>114</v>
      </c>
      <c r="BQ285" s="19" t="s">
        <v>114</v>
      </c>
      <c r="BR285" s="19" t="s">
        <v>114</v>
      </c>
      <c r="BS285" s="19" t="s">
        <v>114</v>
      </c>
      <c r="BT285" s="19" t="s">
        <v>114</v>
      </c>
      <c r="BU285" s="19" t="s">
        <v>114</v>
      </c>
      <c r="BV285" s="19" t="s">
        <v>114</v>
      </c>
      <c r="BW285" s="19" t="s">
        <v>114</v>
      </c>
      <c r="BX285" s="19" t="s">
        <v>114</v>
      </c>
      <c r="BY285" s="19" t="s">
        <v>114</v>
      </c>
      <c r="BZ285" s="21" t="s">
        <v>114</v>
      </c>
      <c r="CA285" s="21" t="s">
        <v>114</v>
      </c>
      <c r="CB285" s="21" t="s">
        <v>114</v>
      </c>
      <c r="CC285" s="21" t="s">
        <v>114</v>
      </c>
      <c r="CD285" s="21" t="s">
        <v>114</v>
      </c>
      <c r="CE285" s="21" t="s">
        <v>114</v>
      </c>
      <c r="CF285" s="19" t="s">
        <v>114</v>
      </c>
      <c r="CG285" s="19" t="s">
        <v>114</v>
      </c>
      <c r="CH285" s="19" t="s">
        <v>114</v>
      </c>
      <c r="CI285" s="21" t="s">
        <v>114</v>
      </c>
      <c r="CJ285" s="21">
        <v>98400</v>
      </c>
      <c r="CK285" s="21" t="s">
        <v>114</v>
      </c>
      <c r="CL285" s="21" t="s">
        <v>114</v>
      </c>
      <c r="CM285" s="21" t="s">
        <v>114</v>
      </c>
      <c r="CN285" s="21" t="s">
        <v>114</v>
      </c>
      <c r="CO285" s="21">
        <v>98411</v>
      </c>
      <c r="CP285" s="21" t="s">
        <v>114</v>
      </c>
      <c r="CQ285" s="21" t="s">
        <v>114</v>
      </c>
      <c r="CR285" s="21" t="s">
        <v>114</v>
      </c>
      <c r="CS285" s="21" t="s">
        <v>114</v>
      </c>
      <c r="CT285" s="21">
        <v>98420</v>
      </c>
      <c r="CU285" s="21" t="s">
        <v>114</v>
      </c>
      <c r="CV285" s="21" t="s">
        <v>114</v>
      </c>
      <c r="CW285" s="21" t="s">
        <v>114</v>
      </c>
      <c r="CX285" s="21" t="s">
        <v>114</v>
      </c>
      <c r="CY285" s="21" t="s">
        <v>114</v>
      </c>
      <c r="CZ285" s="21">
        <v>98428</v>
      </c>
      <c r="DA285" s="21">
        <v>98434</v>
      </c>
      <c r="DB285" s="21" t="s">
        <v>114</v>
      </c>
      <c r="DC285" s="21" t="s">
        <v>114</v>
      </c>
      <c r="DD285" s="21" t="s">
        <v>114</v>
      </c>
      <c r="DE285" s="21">
        <v>98438</v>
      </c>
      <c r="DF285" s="19" t="s">
        <v>114</v>
      </c>
      <c r="DG285" s="19" t="s">
        <v>114</v>
      </c>
      <c r="DH285" s="19" t="s">
        <v>114</v>
      </c>
      <c r="DI285" s="19" t="s">
        <v>114</v>
      </c>
      <c r="DJ285" s="19" t="s">
        <v>114</v>
      </c>
      <c r="DK285" s="19" t="s">
        <v>114</v>
      </c>
      <c r="DL285" s="19" t="s">
        <v>114</v>
      </c>
      <c r="DM285" s="19" t="s">
        <v>114</v>
      </c>
      <c r="DN285" s="19" t="s">
        <v>114</v>
      </c>
      <c r="DO285" s="19" t="s">
        <v>114</v>
      </c>
    </row>
    <row r="286" spans="1:119" hidden="1" x14ac:dyDescent="0.45">
      <c r="A286" s="2" t="s">
        <v>283</v>
      </c>
      <c r="B286" t="s">
        <v>284</v>
      </c>
      <c r="C286" s="2">
        <v>64</v>
      </c>
      <c r="D286" s="6">
        <v>203</v>
      </c>
      <c r="E286" s="2" t="s">
        <v>285</v>
      </c>
      <c r="F286" t="s">
        <v>285</v>
      </c>
      <c r="G286" t="s">
        <v>2030</v>
      </c>
      <c r="H286" s="2" t="s">
        <v>286</v>
      </c>
      <c r="I286" s="2" t="s">
        <v>287</v>
      </c>
      <c r="J286" s="2">
        <v>142</v>
      </c>
      <c r="K286" t="s">
        <v>100</v>
      </c>
      <c r="L286" s="2">
        <v>34</v>
      </c>
      <c r="M286" t="s">
        <v>101</v>
      </c>
      <c r="P286" s="2" t="s">
        <v>100</v>
      </c>
      <c r="Q286" s="2" t="s">
        <v>102</v>
      </c>
      <c r="R286" s="4">
        <v>62</v>
      </c>
      <c r="S286" s="4" t="s">
        <v>388</v>
      </c>
      <c r="T286" s="4">
        <v>34</v>
      </c>
      <c r="U286" s="4" t="s">
        <v>101</v>
      </c>
      <c r="V286" t="s">
        <v>2454</v>
      </c>
      <c r="W286" t="s">
        <v>2454</v>
      </c>
      <c r="X286" t="s">
        <v>2440</v>
      </c>
      <c r="Y286" t="s">
        <v>101</v>
      </c>
      <c r="Z286" t="s">
        <v>1927</v>
      </c>
      <c r="AA286" s="3" t="s">
        <v>2756</v>
      </c>
      <c r="AB286" s="3" t="s">
        <v>2883</v>
      </c>
      <c r="AC286" s="2" t="s">
        <v>168</v>
      </c>
      <c r="AD286" s="4" t="s">
        <v>1891</v>
      </c>
      <c r="AE286" t="s">
        <v>104</v>
      </c>
      <c r="AF286" t="s">
        <v>1885</v>
      </c>
      <c r="AG286" t="s">
        <v>1884</v>
      </c>
      <c r="AH286" t="s">
        <v>105</v>
      </c>
      <c r="AI286" s="3" t="s">
        <v>105</v>
      </c>
      <c r="AJ286" s="3" t="s">
        <v>106</v>
      </c>
      <c r="AK286" s="3" t="s">
        <v>107</v>
      </c>
      <c r="AL286" s="5" t="s">
        <v>288</v>
      </c>
      <c r="AM286" s="5" t="s">
        <v>109</v>
      </c>
      <c r="AN286" t="s">
        <v>110</v>
      </c>
      <c r="AO286" t="s">
        <v>119</v>
      </c>
      <c r="AP286" t="s">
        <v>26</v>
      </c>
      <c r="AQ286" s="3" t="s">
        <v>111</v>
      </c>
      <c r="AR286" s="3" t="s">
        <v>112</v>
      </c>
      <c r="AS286" s="3" t="s">
        <v>112</v>
      </c>
      <c r="AT286" s="3" t="s">
        <v>113</v>
      </c>
      <c r="AU286" s="3" t="s">
        <v>2303</v>
      </c>
      <c r="AV286" s="3" t="s">
        <v>2302</v>
      </c>
      <c r="AW286" s="3" t="s">
        <v>2301</v>
      </c>
      <c r="AX286" s="3" t="s">
        <v>2006</v>
      </c>
      <c r="AY286" s="19" t="s">
        <v>114</v>
      </c>
      <c r="AZ286" s="19" t="s">
        <v>114</v>
      </c>
      <c r="BA286" s="19" t="s">
        <v>114</v>
      </c>
      <c r="BB286" s="19" t="s">
        <v>114</v>
      </c>
      <c r="BC286" s="19" t="s">
        <v>114</v>
      </c>
      <c r="BD286" s="19" t="s">
        <v>114</v>
      </c>
      <c r="BE286" s="19" t="s">
        <v>114</v>
      </c>
      <c r="BF286" s="19" t="s">
        <v>114</v>
      </c>
      <c r="BG286" s="19" t="s">
        <v>114</v>
      </c>
      <c r="BH286" s="19" t="s">
        <v>114</v>
      </c>
      <c r="BI286" s="19" t="s">
        <v>114</v>
      </c>
      <c r="BJ286" s="19" t="s">
        <v>114</v>
      </c>
      <c r="BK286" s="19" t="s">
        <v>114</v>
      </c>
      <c r="BL286" s="19" t="s">
        <v>114</v>
      </c>
      <c r="BM286" s="19" t="s">
        <v>114</v>
      </c>
      <c r="BN286" s="19" t="s">
        <v>114</v>
      </c>
      <c r="BO286" s="19" t="s">
        <v>114</v>
      </c>
      <c r="BP286" s="19" t="s">
        <v>114</v>
      </c>
      <c r="BQ286" s="19" t="s">
        <v>114</v>
      </c>
      <c r="BR286" s="19" t="s">
        <v>114</v>
      </c>
      <c r="BS286" s="19" t="s">
        <v>114</v>
      </c>
      <c r="BT286" s="19" t="s">
        <v>114</v>
      </c>
      <c r="BU286" s="19" t="s">
        <v>114</v>
      </c>
      <c r="BV286" s="19" t="s">
        <v>114</v>
      </c>
      <c r="BW286" s="19" t="s">
        <v>114</v>
      </c>
      <c r="BX286" s="19" t="s">
        <v>114</v>
      </c>
      <c r="BY286" s="19" t="s">
        <v>114</v>
      </c>
      <c r="BZ286" s="21" t="s">
        <v>114</v>
      </c>
      <c r="CA286" s="21" t="s">
        <v>114</v>
      </c>
      <c r="CB286" s="21" t="s">
        <v>114</v>
      </c>
      <c r="CC286" s="21" t="s">
        <v>114</v>
      </c>
      <c r="CD286" s="21" t="s">
        <v>114</v>
      </c>
      <c r="CE286" s="21" t="s">
        <v>114</v>
      </c>
      <c r="CF286" s="19" t="s">
        <v>114</v>
      </c>
      <c r="CG286" s="19" t="s">
        <v>114</v>
      </c>
      <c r="CH286" s="19" t="s">
        <v>114</v>
      </c>
      <c r="CI286" s="21" t="s">
        <v>114</v>
      </c>
      <c r="CJ286" s="21">
        <v>98400</v>
      </c>
      <c r="CK286" s="21" t="s">
        <v>114</v>
      </c>
      <c r="CL286" s="21" t="s">
        <v>114</v>
      </c>
      <c r="CM286" s="21" t="s">
        <v>114</v>
      </c>
      <c r="CN286" s="21" t="s">
        <v>114</v>
      </c>
      <c r="CO286" s="21" t="s">
        <v>114</v>
      </c>
      <c r="CP286" s="21">
        <v>98412</v>
      </c>
      <c r="CQ286" s="21" t="s">
        <v>114</v>
      </c>
      <c r="CR286" s="21" t="s">
        <v>114</v>
      </c>
      <c r="CS286" s="21" t="s">
        <v>114</v>
      </c>
      <c r="CT286" s="21">
        <v>98420</v>
      </c>
      <c r="CU286" s="21" t="s">
        <v>114</v>
      </c>
      <c r="CV286" s="21" t="s">
        <v>114</v>
      </c>
      <c r="CW286" s="21" t="s">
        <v>114</v>
      </c>
      <c r="CX286" s="21" t="s">
        <v>114</v>
      </c>
      <c r="CY286" s="21" t="s">
        <v>114</v>
      </c>
      <c r="CZ286" s="21">
        <v>98428</v>
      </c>
      <c r="DA286" s="21">
        <v>98434</v>
      </c>
      <c r="DB286" s="21" t="s">
        <v>114</v>
      </c>
      <c r="DC286" s="21" t="s">
        <v>114</v>
      </c>
      <c r="DD286" s="21" t="s">
        <v>114</v>
      </c>
      <c r="DE286" s="21">
        <v>98438</v>
      </c>
      <c r="DF286" s="19" t="s">
        <v>114</v>
      </c>
      <c r="DG286" s="19" t="s">
        <v>114</v>
      </c>
      <c r="DH286" s="19" t="s">
        <v>114</v>
      </c>
      <c r="DI286" s="19" t="s">
        <v>114</v>
      </c>
      <c r="DJ286" s="19" t="s">
        <v>114</v>
      </c>
      <c r="DK286" s="19" t="s">
        <v>114</v>
      </c>
      <c r="DL286" s="19" t="s">
        <v>114</v>
      </c>
      <c r="DM286" s="19" t="s">
        <v>114</v>
      </c>
      <c r="DN286" s="19" t="s">
        <v>114</v>
      </c>
      <c r="DO286" s="19" t="s">
        <v>114</v>
      </c>
    </row>
    <row r="287" spans="1:119" hidden="1" x14ac:dyDescent="0.45">
      <c r="A287" s="2" t="s">
        <v>865</v>
      </c>
      <c r="B287" t="s">
        <v>866</v>
      </c>
      <c r="C287" s="2">
        <v>462</v>
      </c>
      <c r="D287" s="6">
        <v>219</v>
      </c>
      <c r="E287" s="2" t="s">
        <v>867</v>
      </c>
      <c r="F287" t="s">
        <v>867</v>
      </c>
      <c r="G287" t="s">
        <v>2103</v>
      </c>
      <c r="H287" s="2" t="s">
        <v>867</v>
      </c>
      <c r="I287" s="2" t="s">
        <v>868</v>
      </c>
      <c r="J287" s="2">
        <v>142</v>
      </c>
      <c r="K287" t="s">
        <v>100</v>
      </c>
      <c r="L287" s="2">
        <v>34</v>
      </c>
      <c r="M287" t="s">
        <v>101</v>
      </c>
      <c r="P287" s="2" t="s">
        <v>100</v>
      </c>
      <c r="Q287" s="2" t="s">
        <v>102</v>
      </c>
      <c r="R287" s="4">
        <v>62</v>
      </c>
      <c r="S287" s="4" t="s">
        <v>388</v>
      </c>
      <c r="T287" s="4">
        <v>34</v>
      </c>
      <c r="U287" s="4" t="s">
        <v>101</v>
      </c>
      <c r="V287" t="s">
        <v>2458</v>
      </c>
      <c r="W287" t="s">
        <v>2458</v>
      </c>
      <c r="X287" t="s">
        <v>2440</v>
      </c>
      <c r="Y287" t="s">
        <v>101</v>
      </c>
      <c r="Z287" t="s">
        <v>1927</v>
      </c>
      <c r="AA287" s="3" t="s">
        <v>2756</v>
      </c>
      <c r="AB287" s="3" t="s">
        <v>2883</v>
      </c>
      <c r="AC287" s="2" t="s">
        <v>138</v>
      </c>
      <c r="AD287" s="4" t="s">
        <v>1891</v>
      </c>
      <c r="AE287" t="s">
        <v>104</v>
      </c>
      <c r="AF287" t="s">
        <v>1885</v>
      </c>
      <c r="AG287" t="s">
        <v>1884</v>
      </c>
      <c r="AH287" t="s">
        <v>105</v>
      </c>
      <c r="AI287" s="3" t="s">
        <v>105</v>
      </c>
      <c r="AJ287" s="3" t="s">
        <v>106</v>
      </c>
      <c r="AK287" s="3" t="s">
        <v>107</v>
      </c>
      <c r="AL287" s="5" t="s">
        <v>869</v>
      </c>
      <c r="AM287" s="5" t="s">
        <v>109</v>
      </c>
      <c r="AN287" t="s">
        <v>110</v>
      </c>
      <c r="AO287" s="3" t="s">
        <v>119</v>
      </c>
      <c r="AP287" s="3" t="s">
        <v>120</v>
      </c>
      <c r="AQ287" s="3" t="s">
        <v>27</v>
      </c>
      <c r="AR287" s="3" t="s">
        <v>112</v>
      </c>
      <c r="AS287" s="3" t="s">
        <v>112</v>
      </c>
      <c r="AT287" t="s">
        <v>191</v>
      </c>
      <c r="AU287" s="3" t="s">
        <v>2303</v>
      </c>
      <c r="AV287" s="3" t="s">
        <v>2302</v>
      </c>
      <c r="AW287" s="3" t="s">
        <v>2301</v>
      </c>
      <c r="AX287" s="3" t="s">
        <v>2006</v>
      </c>
      <c r="AY287" s="19" t="s">
        <v>114</v>
      </c>
      <c r="AZ287" s="19" t="s">
        <v>114</v>
      </c>
      <c r="BA287" s="19" t="s">
        <v>114</v>
      </c>
      <c r="BB287" s="19" t="s">
        <v>114</v>
      </c>
      <c r="BC287" s="19" t="s">
        <v>114</v>
      </c>
      <c r="BD287" s="19" t="s">
        <v>114</v>
      </c>
      <c r="BE287" s="19" t="s">
        <v>114</v>
      </c>
      <c r="BF287" s="19" t="s">
        <v>114</v>
      </c>
      <c r="BG287" s="19" t="s">
        <v>114</v>
      </c>
      <c r="BH287" s="19" t="s">
        <v>114</v>
      </c>
      <c r="BI287" s="19" t="s">
        <v>114</v>
      </c>
      <c r="BJ287" s="19" t="s">
        <v>114</v>
      </c>
      <c r="BK287" s="19" t="s">
        <v>114</v>
      </c>
      <c r="BL287" s="19" t="s">
        <v>114</v>
      </c>
      <c r="BM287" s="19" t="s">
        <v>114</v>
      </c>
      <c r="BN287" s="19" t="s">
        <v>114</v>
      </c>
      <c r="BO287" s="19" t="s">
        <v>114</v>
      </c>
      <c r="BP287" s="19" t="s">
        <v>114</v>
      </c>
      <c r="BQ287" s="19" t="s">
        <v>114</v>
      </c>
      <c r="BR287" s="19" t="s">
        <v>114</v>
      </c>
      <c r="BS287" s="19" t="s">
        <v>114</v>
      </c>
      <c r="BT287" s="19" t="s">
        <v>114</v>
      </c>
      <c r="BU287" s="19" t="s">
        <v>114</v>
      </c>
      <c r="BV287" s="19" t="s">
        <v>114</v>
      </c>
      <c r="BW287" s="19" t="s">
        <v>114</v>
      </c>
      <c r="BX287" s="19" t="s">
        <v>114</v>
      </c>
      <c r="BY287" s="19" t="s">
        <v>114</v>
      </c>
      <c r="BZ287" s="21" t="s">
        <v>114</v>
      </c>
      <c r="CA287" s="21" t="s">
        <v>114</v>
      </c>
      <c r="CB287" s="21" t="s">
        <v>114</v>
      </c>
      <c r="CC287" s="21" t="s">
        <v>114</v>
      </c>
      <c r="CD287" s="21" t="s">
        <v>114</v>
      </c>
      <c r="CE287" s="21" t="s">
        <v>114</v>
      </c>
      <c r="CF287" s="19" t="s">
        <v>114</v>
      </c>
      <c r="CG287" s="19" t="s">
        <v>114</v>
      </c>
      <c r="CH287" s="19" t="s">
        <v>114</v>
      </c>
      <c r="CI287" s="21" t="s">
        <v>114</v>
      </c>
      <c r="CJ287" s="21">
        <v>98400</v>
      </c>
      <c r="CK287" s="21" t="s">
        <v>114</v>
      </c>
      <c r="CL287" s="21" t="s">
        <v>114</v>
      </c>
      <c r="CM287" s="21" t="s">
        <v>114</v>
      </c>
      <c r="CN287" s="21" t="s">
        <v>114</v>
      </c>
      <c r="CO287" s="21" t="s">
        <v>114</v>
      </c>
      <c r="CP287" s="21" t="s">
        <v>114</v>
      </c>
      <c r="CQ287" s="21" t="s">
        <v>114</v>
      </c>
      <c r="CR287" s="21" t="s">
        <v>114</v>
      </c>
      <c r="CS287" s="21" t="s">
        <v>114</v>
      </c>
      <c r="CT287" s="21">
        <v>98420</v>
      </c>
      <c r="CU287" s="21" t="s">
        <v>114</v>
      </c>
      <c r="CV287" s="21" t="s">
        <v>114</v>
      </c>
      <c r="CW287" s="21" t="s">
        <v>114</v>
      </c>
      <c r="CX287" s="21" t="s">
        <v>114</v>
      </c>
      <c r="CY287" s="21" t="s">
        <v>114</v>
      </c>
      <c r="CZ287" s="21">
        <v>98428</v>
      </c>
      <c r="DA287" s="21">
        <v>98434</v>
      </c>
      <c r="DB287" s="21">
        <v>98435</v>
      </c>
      <c r="DC287" s="21" t="s">
        <v>114</v>
      </c>
      <c r="DD287" s="21">
        <v>98437</v>
      </c>
      <c r="DE287" s="21" t="s">
        <v>114</v>
      </c>
      <c r="DF287" s="19" t="s">
        <v>114</v>
      </c>
      <c r="DG287" s="19" t="s">
        <v>114</v>
      </c>
      <c r="DH287" s="19" t="s">
        <v>114</v>
      </c>
      <c r="DI287" s="19" t="s">
        <v>114</v>
      </c>
      <c r="DJ287" s="19" t="s">
        <v>114</v>
      </c>
      <c r="DK287" s="19" t="s">
        <v>114</v>
      </c>
      <c r="DL287" s="19" t="s">
        <v>114</v>
      </c>
      <c r="DM287" s="19" t="s">
        <v>114</v>
      </c>
      <c r="DN287" s="19" t="s">
        <v>114</v>
      </c>
      <c r="DO287" s="19" t="s">
        <v>114</v>
      </c>
    </row>
    <row r="288" spans="1:119" hidden="1" x14ac:dyDescent="0.45">
      <c r="A288" s="2" t="s">
        <v>955</v>
      </c>
      <c r="B288" t="s">
        <v>956</v>
      </c>
      <c r="C288" s="2">
        <v>524</v>
      </c>
      <c r="D288" s="6">
        <v>222</v>
      </c>
      <c r="E288" s="2" t="s">
        <v>957</v>
      </c>
      <c r="F288" t="s">
        <v>957</v>
      </c>
      <c r="G288" t="s">
        <v>957</v>
      </c>
      <c r="H288" s="2" t="s">
        <v>958</v>
      </c>
      <c r="I288" s="2" t="s">
        <v>957</v>
      </c>
      <c r="J288" s="2">
        <v>142</v>
      </c>
      <c r="K288" t="s">
        <v>100</v>
      </c>
      <c r="L288" s="2">
        <v>34</v>
      </c>
      <c r="M288" t="s">
        <v>101</v>
      </c>
      <c r="P288" s="2" t="s">
        <v>100</v>
      </c>
      <c r="Q288" s="2" t="s">
        <v>102</v>
      </c>
      <c r="R288" s="4">
        <v>62</v>
      </c>
      <c r="S288" s="4" t="s">
        <v>388</v>
      </c>
      <c r="T288" s="4">
        <v>34</v>
      </c>
      <c r="U288" s="4" t="s">
        <v>101</v>
      </c>
      <c r="V288" t="s">
        <v>2454</v>
      </c>
      <c r="W288" t="s">
        <v>2454</v>
      </c>
      <c r="X288" t="s">
        <v>2440</v>
      </c>
      <c r="Y288" t="s">
        <v>101</v>
      </c>
      <c r="Z288" t="s">
        <v>1927</v>
      </c>
      <c r="AA288" s="3" t="s">
        <v>2756</v>
      </c>
      <c r="AB288" s="3" t="s">
        <v>2883</v>
      </c>
      <c r="AC288" s="2" t="s">
        <v>168</v>
      </c>
      <c r="AD288" s="4" t="s">
        <v>1891</v>
      </c>
      <c r="AE288" t="s">
        <v>104</v>
      </c>
      <c r="AF288" t="s">
        <v>1885</v>
      </c>
      <c r="AG288" t="s">
        <v>1884</v>
      </c>
      <c r="AH288" t="s">
        <v>105</v>
      </c>
      <c r="AI288" s="3" t="s">
        <v>105</v>
      </c>
      <c r="AJ288" s="3" t="s">
        <v>106</v>
      </c>
      <c r="AK288" s="3" t="s">
        <v>107</v>
      </c>
      <c r="AL288" s="5" t="s">
        <v>959</v>
      </c>
      <c r="AM288" s="5" t="s">
        <v>109</v>
      </c>
      <c r="AN288" t="s">
        <v>110</v>
      </c>
      <c r="AO288" t="s">
        <v>25</v>
      </c>
      <c r="AP288" s="3" t="s">
        <v>26</v>
      </c>
      <c r="AQ288" s="3" t="s">
        <v>111</v>
      </c>
      <c r="AR288" s="3" t="s">
        <v>112</v>
      </c>
      <c r="AS288" s="3" t="s">
        <v>112</v>
      </c>
      <c r="AT288" s="3" t="s">
        <v>113</v>
      </c>
      <c r="AU288" s="3" t="s">
        <v>2303</v>
      </c>
      <c r="AV288" s="3" t="s">
        <v>2302</v>
      </c>
      <c r="AW288" s="3" t="s">
        <v>2301</v>
      </c>
      <c r="AX288" s="3" t="s">
        <v>2006</v>
      </c>
      <c r="AY288" s="19" t="s">
        <v>114</v>
      </c>
      <c r="AZ288" s="19" t="s">
        <v>114</v>
      </c>
      <c r="BA288" s="19" t="s">
        <v>114</v>
      </c>
      <c r="BB288" s="19" t="s">
        <v>114</v>
      </c>
      <c r="BC288" s="19" t="s">
        <v>114</v>
      </c>
      <c r="BD288" s="19" t="s">
        <v>114</v>
      </c>
      <c r="BE288" s="19" t="s">
        <v>114</v>
      </c>
      <c r="BF288" s="19" t="s">
        <v>114</v>
      </c>
      <c r="BG288" s="19" t="s">
        <v>114</v>
      </c>
      <c r="BH288" s="19" t="s">
        <v>114</v>
      </c>
      <c r="BI288" s="19" t="s">
        <v>114</v>
      </c>
      <c r="BJ288" s="19" t="s">
        <v>114</v>
      </c>
      <c r="BK288" s="19" t="s">
        <v>114</v>
      </c>
      <c r="BL288" s="19" t="s">
        <v>114</v>
      </c>
      <c r="BM288" s="19" t="s">
        <v>114</v>
      </c>
      <c r="BN288" s="19" t="s">
        <v>114</v>
      </c>
      <c r="BO288" s="19" t="s">
        <v>114</v>
      </c>
      <c r="BP288" s="19" t="s">
        <v>114</v>
      </c>
      <c r="BQ288" s="19" t="s">
        <v>114</v>
      </c>
      <c r="BR288" s="19" t="s">
        <v>114</v>
      </c>
      <c r="BS288" s="19" t="s">
        <v>114</v>
      </c>
      <c r="BT288" s="19" t="s">
        <v>114</v>
      </c>
      <c r="BU288" s="19" t="s">
        <v>114</v>
      </c>
      <c r="BV288" s="19" t="s">
        <v>114</v>
      </c>
      <c r="BW288" s="19" t="s">
        <v>114</v>
      </c>
      <c r="BX288" s="19" t="s">
        <v>114</v>
      </c>
      <c r="BY288" s="19" t="s">
        <v>114</v>
      </c>
      <c r="BZ288" s="21" t="s">
        <v>114</v>
      </c>
      <c r="CA288" s="21" t="s">
        <v>114</v>
      </c>
      <c r="CB288" s="21" t="s">
        <v>114</v>
      </c>
      <c r="CC288" s="21" t="s">
        <v>114</v>
      </c>
      <c r="CD288" s="21" t="s">
        <v>114</v>
      </c>
      <c r="CE288" s="21" t="s">
        <v>114</v>
      </c>
      <c r="CF288" s="19" t="s">
        <v>114</v>
      </c>
      <c r="CG288" s="19" t="s">
        <v>114</v>
      </c>
      <c r="CH288" s="19" t="s">
        <v>114</v>
      </c>
      <c r="CI288" s="21" t="s">
        <v>114</v>
      </c>
      <c r="CJ288" s="21">
        <v>98400</v>
      </c>
      <c r="CK288" s="21" t="s">
        <v>114</v>
      </c>
      <c r="CL288" s="21" t="s">
        <v>114</v>
      </c>
      <c r="CM288" s="21" t="s">
        <v>114</v>
      </c>
      <c r="CN288" s="21" t="s">
        <v>114</v>
      </c>
      <c r="CO288" s="21">
        <v>98411</v>
      </c>
      <c r="CP288" s="21">
        <v>98412</v>
      </c>
      <c r="CQ288" s="21" t="s">
        <v>114</v>
      </c>
      <c r="CR288" s="21" t="s">
        <v>114</v>
      </c>
      <c r="CS288" s="21" t="s">
        <v>114</v>
      </c>
      <c r="CT288" s="21">
        <v>98420</v>
      </c>
      <c r="CU288" s="21" t="s">
        <v>114</v>
      </c>
      <c r="CV288" s="21" t="s">
        <v>114</v>
      </c>
      <c r="CW288" s="21" t="s">
        <v>114</v>
      </c>
      <c r="CX288" s="21" t="s">
        <v>114</v>
      </c>
      <c r="CY288" s="21" t="s">
        <v>114</v>
      </c>
      <c r="CZ288" s="21">
        <v>98428</v>
      </c>
      <c r="DA288" s="21">
        <v>98434</v>
      </c>
      <c r="DB288" s="21" t="s">
        <v>114</v>
      </c>
      <c r="DC288" s="21" t="s">
        <v>114</v>
      </c>
      <c r="DD288" s="21" t="s">
        <v>114</v>
      </c>
      <c r="DE288" s="21">
        <v>98438</v>
      </c>
      <c r="DF288" s="19" t="s">
        <v>114</v>
      </c>
      <c r="DG288" s="19" t="s">
        <v>114</v>
      </c>
      <c r="DH288" s="19" t="s">
        <v>114</v>
      </c>
      <c r="DI288" s="19" t="s">
        <v>114</v>
      </c>
      <c r="DJ288" s="19" t="s">
        <v>114</v>
      </c>
      <c r="DK288" s="19" t="s">
        <v>114</v>
      </c>
      <c r="DL288" s="19" t="s">
        <v>114</v>
      </c>
      <c r="DM288" s="19" t="s">
        <v>114</v>
      </c>
      <c r="DN288" s="19" t="s">
        <v>114</v>
      </c>
      <c r="DO288" s="19" t="s">
        <v>114</v>
      </c>
    </row>
    <row r="289" spans="1:119" hidden="1" x14ac:dyDescent="0.45">
      <c r="A289" s="2" t="s">
        <v>1022</v>
      </c>
      <c r="B289" t="s">
        <v>1023</v>
      </c>
      <c r="C289" s="2">
        <v>586</v>
      </c>
      <c r="D289" s="6">
        <v>223</v>
      </c>
      <c r="E289" s="2" t="s">
        <v>1024</v>
      </c>
      <c r="F289" t="s">
        <v>1024</v>
      </c>
      <c r="G289" t="s">
        <v>2124</v>
      </c>
      <c r="H289" s="2" t="s">
        <v>1024</v>
      </c>
      <c r="I289" s="2" t="s">
        <v>1025</v>
      </c>
      <c r="J289" s="2">
        <v>142</v>
      </c>
      <c r="K289" t="s">
        <v>100</v>
      </c>
      <c r="L289" s="2">
        <v>34</v>
      </c>
      <c r="M289" t="s">
        <v>101</v>
      </c>
      <c r="P289" s="2" t="s">
        <v>100</v>
      </c>
      <c r="Q289" s="2" t="s">
        <v>102</v>
      </c>
      <c r="R289" s="4">
        <v>62</v>
      </c>
      <c r="S289" s="4" t="s">
        <v>388</v>
      </c>
      <c r="T289" s="4">
        <v>34</v>
      </c>
      <c r="U289" s="4" t="s">
        <v>101</v>
      </c>
      <c r="V289" t="s">
        <v>2454</v>
      </c>
      <c r="W289" t="s">
        <v>2454</v>
      </c>
      <c r="X289" t="s">
        <v>2440</v>
      </c>
      <c r="Y289" t="s">
        <v>101</v>
      </c>
      <c r="Z289" t="s">
        <v>1927</v>
      </c>
      <c r="AA289" s="3" t="s">
        <v>2756</v>
      </c>
      <c r="AB289" s="3" t="s">
        <v>2883</v>
      </c>
      <c r="AC289" s="2" t="s">
        <v>168</v>
      </c>
      <c r="AD289" s="4" t="s">
        <v>1891</v>
      </c>
      <c r="AE289" t="s">
        <v>104</v>
      </c>
      <c r="AF289" t="s">
        <v>1885</v>
      </c>
      <c r="AG289" t="s">
        <v>1884</v>
      </c>
      <c r="AH289" t="s">
        <v>105</v>
      </c>
      <c r="AI289" s="3" t="s">
        <v>105</v>
      </c>
      <c r="AJ289" s="3" t="s">
        <v>106</v>
      </c>
      <c r="AK289" s="3" t="s">
        <v>107</v>
      </c>
      <c r="AL289" s="5" t="s">
        <v>1026</v>
      </c>
      <c r="AM289" s="5" t="s">
        <v>109</v>
      </c>
      <c r="AN289" t="s">
        <v>110</v>
      </c>
      <c r="AO289" s="3" t="s">
        <v>119</v>
      </c>
      <c r="AP289" s="3" t="s">
        <v>120</v>
      </c>
      <c r="AQ289" s="3" t="s">
        <v>111</v>
      </c>
      <c r="AR289" s="3" t="s">
        <v>112</v>
      </c>
      <c r="AS289" s="3" t="s">
        <v>112</v>
      </c>
      <c r="AT289" s="3" t="s">
        <v>113</v>
      </c>
      <c r="AU289" s="3" t="s">
        <v>2303</v>
      </c>
      <c r="AV289" s="3" t="s">
        <v>2302</v>
      </c>
      <c r="AW289" s="3" t="s">
        <v>2301</v>
      </c>
      <c r="AX289" s="3" t="s">
        <v>2006</v>
      </c>
      <c r="AY289" s="19" t="s">
        <v>114</v>
      </c>
      <c r="AZ289" s="19" t="s">
        <v>114</v>
      </c>
      <c r="BA289" s="19" t="s">
        <v>114</v>
      </c>
      <c r="BB289" s="19" t="s">
        <v>114</v>
      </c>
      <c r="BC289" s="19" t="s">
        <v>114</v>
      </c>
      <c r="BD289" s="19" t="s">
        <v>114</v>
      </c>
      <c r="BE289" s="19" t="s">
        <v>114</v>
      </c>
      <c r="BF289" s="19" t="s">
        <v>114</v>
      </c>
      <c r="BG289" s="19" t="s">
        <v>114</v>
      </c>
      <c r="BH289" s="19" t="s">
        <v>114</v>
      </c>
      <c r="BI289" s="19" t="s">
        <v>114</v>
      </c>
      <c r="BJ289" s="19" t="s">
        <v>114</v>
      </c>
      <c r="BK289" s="19" t="s">
        <v>114</v>
      </c>
      <c r="BL289" s="19" t="s">
        <v>114</v>
      </c>
      <c r="BM289" s="19" t="s">
        <v>114</v>
      </c>
      <c r="BN289" s="19" t="s">
        <v>114</v>
      </c>
      <c r="BO289" s="19" t="s">
        <v>114</v>
      </c>
      <c r="BP289" s="19" t="s">
        <v>114</v>
      </c>
      <c r="BQ289" s="19" t="s">
        <v>114</v>
      </c>
      <c r="BR289" s="19" t="s">
        <v>114</v>
      </c>
      <c r="BS289" s="19" t="s">
        <v>114</v>
      </c>
      <c r="BT289" s="19" t="s">
        <v>114</v>
      </c>
      <c r="BU289" s="19" t="s">
        <v>114</v>
      </c>
      <c r="BV289" s="19" t="s">
        <v>114</v>
      </c>
      <c r="BW289" s="19" t="s">
        <v>114</v>
      </c>
      <c r="BX289" s="19" t="s">
        <v>114</v>
      </c>
      <c r="BY289" s="19" t="s">
        <v>114</v>
      </c>
      <c r="BZ289" s="21" t="s">
        <v>114</v>
      </c>
      <c r="CA289" s="21" t="s">
        <v>114</v>
      </c>
      <c r="CB289" s="21" t="s">
        <v>114</v>
      </c>
      <c r="CC289" s="21" t="s">
        <v>114</v>
      </c>
      <c r="CD289" s="21" t="s">
        <v>114</v>
      </c>
      <c r="CE289" s="21" t="s">
        <v>114</v>
      </c>
      <c r="CF289" s="19" t="s">
        <v>114</v>
      </c>
      <c r="CG289" s="19" t="s">
        <v>114</v>
      </c>
      <c r="CH289" s="19" t="s">
        <v>114</v>
      </c>
      <c r="CI289" s="21" t="s">
        <v>114</v>
      </c>
      <c r="CJ289" s="21">
        <v>98400</v>
      </c>
      <c r="CK289" s="21" t="s">
        <v>114</v>
      </c>
      <c r="CL289" s="21" t="s">
        <v>114</v>
      </c>
      <c r="CM289" s="21">
        <v>98407</v>
      </c>
      <c r="CN289" s="21" t="s">
        <v>114</v>
      </c>
      <c r="CO289" s="21" t="s">
        <v>114</v>
      </c>
      <c r="CP289" s="21" t="s">
        <v>114</v>
      </c>
      <c r="CQ289" s="21" t="s">
        <v>114</v>
      </c>
      <c r="CR289" s="21" t="s">
        <v>114</v>
      </c>
      <c r="CS289" s="21" t="s">
        <v>114</v>
      </c>
      <c r="CT289" s="21">
        <v>98420</v>
      </c>
      <c r="CU289" s="21" t="s">
        <v>114</v>
      </c>
      <c r="CV289" s="21" t="s">
        <v>114</v>
      </c>
      <c r="CW289" s="21" t="s">
        <v>114</v>
      </c>
      <c r="CX289" s="21" t="s">
        <v>114</v>
      </c>
      <c r="CY289" s="21" t="s">
        <v>114</v>
      </c>
      <c r="CZ289" s="21">
        <v>98428</v>
      </c>
      <c r="DA289" s="21" t="s">
        <v>114</v>
      </c>
      <c r="DB289" s="21" t="s">
        <v>114</v>
      </c>
      <c r="DC289" s="21" t="s">
        <v>114</v>
      </c>
      <c r="DD289" s="21" t="s">
        <v>114</v>
      </c>
      <c r="DE289" s="21">
        <v>98438</v>
      </c>
      <c r="DF289" s="19" t="s">
        <v>114</v>
      </c>
      <c r="DG289" s="19" t="s">
        <v>114</v>
      </c>
      <c r="DH289" s="19" t="s">
        <v>114</v>
      </c>
      <c r="DI289" s="19" t="s">
        <v>114</v>
      </c>
      <c r="DJ289" s="19" t="s">
        <v>114</v>
      </c>
      <c r="DK289" s="19" t="s">
        <v>114</v>
      </c>
      <c r="DL289" s="19" t="s">
        <v>114</v>
      </c>
      <c r="DM289" s="19" t="s">
        <v>114</v>
      </c>
      <c r="DN289" s="19" t="s">
        <v>114</v>
      </c>
      <c r="DO289" s="19" t="s">
        <v>114</v>
      </c>
    </row>
    <row r="290" spans="1:119" hidden="1" x14ac:dyDescent="0.45">
      <c r="A290" s="2" t="s">
        <v>1275</v>
      </c>
      <c r="B290" t="s">
        <v>1276</v>
      </c>
      <c r="C290" s="2">
        <v>144</v>
      </c>
      <c r="D290" s="6">
        <v>226</v>
      </c>
      <c r="E290" s="2" t="s">
        <v>1277</v>
      </c>
      <c r="F290" t="s">
        <v>1277</v>
      </c>
      <c r="G290" t="s">
        <v>2152</v>
      </c>
      <c r="H290" s="2" t="s">
        <v>1277</v>
      </c>
      <c r="I290" s="2" t="s">
        <v>1277</v>
      </c>
      <c r="J290" s="2">
        <v>142</v>
      </c>
      <c r="K290" t="s">
        <v>100</v>
      </c>
      <c r="L290" s="2">
        <v>34</v>
      </c>
      <c r="M290" t="s">
        <v>101</v>
      </c>
      <c r="P290" s="2" t="s">
        <v>100</v>
      </c>
      <c r="Q290" s="2" t="s">
        <v>102</v>
      </c>
      <c r="R290" s="4">
        <v>62</v>
      </c>
      <c r="S290" s="4" t="s">
        <v>388</v>
      </c>
      <c r="T290" s="4">
        <v>34</v>
      </c>
      <c r="U290" s="4" t="s">
        <v>101</v>
      </c>
      <c r="V290" t="s">
        <v>2454</v>
      </c>
      <c r="W290" t="s">
        <v>2454</v>
      </c>
      <c r="X290" t="s">
        <v>2440</v>
      </c>
      <c r="Y290" t="s">
        <v>101</v>
      </c>
      <c r="Z290" t="s">
        <v>1927</v>
      </c>
      <c r="AA290" s="3" t="s">
        <v>2756</v>
      </c>
      <c r="AB290" s="3" t="s">
        <v>2883</v>
      </c>
      <c r="AC290" s="2" t="s">
        <v>168</v>
      </c>
      <c r="AD290" s="4" t="s">
        <v>1891</v>
      </c>
      <c r="AE290" t="s">
        <v>104</v>
      </c>
      <c r="AF290" t="s">
        <v>1885</v>
      </c>
      <c r="AG290" t="s">
        <v>1884</v>
      </c>
      <c r="AH290" t="s">
        <v>105</v>
      </c>
      <c r="AI290" s="3" t="s">
        <v>105</v>
      </c>
      <c r="AJ290" s="3" t="s">
        <v>106</v>
      </c>
      <c r="AK290" s="3" t="s">
        <v>107</v>
      </c>
      <c r="AL290" s="5" t="s">
        <v>1278</v>
      </c>
      <c r="AM290" s="5" t="s">
        <v>109</v>
      </c>
      <c r="AN290" t="s">
        <v>110</v>
      </c>
      <c r="AO290" s="3" t="s">
        <v>119</v>
      </c>
      <c r="AP290" s="3" t="s">
        <v>120</v>
      </c>
      <c r="AQ290" s="3" t="s">
        <v>111</v>
      </c>
      <c r="AR290" s="3" t="s">
        <v>112</v>
      </c>
      <c r="AS290" s="3" t="s">
        <v>112</v>
      </c>
      <c r="AT290" s="3" t="s">
        <v>113</v>
      </c>
      <c r="AU290" s="3" t="s">
        <v>2303</v>
      </c>
      <c r="AV290" s="3" t="s">
        <v>2302</v>
      </c>
      <c r="AW290" s="3" t="s">
        <v>2301</v>
      </c>
      <c r="AX290" s="3" t="s">
        <v>2006</v>
      </c>
      <c r="AY290" s="19" t="s">
        <v>114</v>
      </c>
      <c r="AZ290" s="19" t="s">
        <v>114</v>
      </c>
      <c r="BA290" s="19" t="s">
        <v>114</v>
      </c>
      <c r="BB290" s="19" t="s">
        <v>114</v>
      </c>
      <c r="BC290" s="19" t="s">
        <v>114</v>
      </c>
      <c r="BD290" s="19" t="s">
        <v>114</v>
      </c>
      <c r="BE290" s="19" t="s">
        <v>114</v>
      </c>
      <c r="BF290" s="19" t="s">
        <v>114</v>
      </c>
      <c r="BG290" s="19" t="s">
        <v>114</v>
      </c>
      <c r="BH290" s="19" t="s">
        <v>114</v>
      </c>
      <c r="BI290" s="19" t="s">
        <v>114</v>
      </c>
      <c r="BJ290" s="19" t="s">
        <v>114</v>
      </c>
      <c r="BK290" s="19" t="s">
        <v>114</v>
      </c>
      <c r="BL290" s="19" t="s">
        <v>114</v>
      </c>
      <c r="BM290" s="19" t="s">
        <v>114</v>
      </c>
      <c r="BN290" s="19" t="s">
        <v>114</v>
      </c>
      <c r="BO290" s="19" t="s">
        <v>114</v>
      </c>
      <c r="BP290" s="19" t="s">
        <v>114</v>
      </c>
      <c r="BQ290" s="19" t="s">
        <v>114</v>
      </c>
      <c r="BR290" s="19" t="s">
        <v>114</v>
      </c>
      <c r="BS290" s="19" t="s">
        <v>114</v>
      </c>
      <c r="BT290" s="19" t="s">
        <v>114</v>
      </c>
      <c r="BU290" s="19" t="s">
        <v>114</v>
      </c>
      <c r="BV290" s="19" t="s">
        <v>114</v>
      </c>
      <c r="BW290" s="19" t="s">
        <v>114</v>
      </c>
      <c r="BX290" s="19" t="s">
        <v>114</v>
      </c>
      <c r="BY290" s="19" t="s">
        <v>114</v>
      </c>
      <c r="BZ290" s="21" t="s">
        <v>114</v>
      </c>
      <c r="CA290" s="21" t="s">
        <v>114</v>
      </c>
      <c r="CB290" s="21" t="s">
        <v>114</v>
      </c>
      <c r="CC290" s="21" t="s">
        <v>114</v>
      </c>
      <c r="CD290" s="21" t="s">
        <v>114</v>
      </c>
      <c r="CE290" s="21" t="s">
        <v>114</v>
      </c>
      <c r="CF290" s="19" t="s">
        <v>114</v>
      </c>
      <c r="CG290" s="19" t="s">
        <v>114</v>
      </c>
      <c r="CH290" s="19" t="s">
        <v>114</v>
      </c>
      <c r="CI290" s="21" t="s">
        <v>114</v>
      </c>
      <c r="CJ290" s="21">
        <v>98400</v>
      </c>
      <c r="CK290" s="21" t="s">
        <v>114</v>
      </c>
      <c r="CL290" s="21" t="s">
        <v>114</v>
      </c>
      <c r="CM290" s="21" t="s">
        <v>114</v>
      </c>
      <c r="CN290" s="21" t="s">
        <v>114</v>
      </c>
      <c r="CO290" s="21" t="s">
        <v>114</v>
      </c>
      <c r="CP290" s="21" t="s">
        <v>114</v>
      </c>
      <c r="CQ290" s="21" t="s">
        <v>114</v>
      </c>
      <c r="CR290" s="21" t="s">
        <v>114</v>
      </c>
      <c r="CS290" s="21" t="s">
        <v>114</v>
      </c>
      <c r="CT290" s="21">
        <v>98420</v>
      </c>
      <c r="CU290" s="21" t="s">
        <v>114</v>
      </c>
      <c r="CV290" s="21" t="s">
        <v>114</v>
      </c>
      <c r="CW290" s="21" t="s">
        <v>114</v>
      </c>
      <c r="CX290" s="21" t="s">
        <v>114</v>
      </c>
      <c r="CY290" s="21" t="s">
        <v>114</v>
      </c>
      <c r="CZ290" s="21">
        <v>98428</v>
      </c>
      <c r="DA290" s="21" t="s">
        <v>114</v>
      </c>
      <c r="DB290" s="21" t="s">
        <v>114</v>
      </c>
      <c r="DC290" s="21" t="s">
        <v>114</v>
      </c>
      <c r="DD290" s="21" t="s">
        <v>114</v>
      </c>
      <c r="DE290" s="21">
        <v>98438</v>
      </c>
      <c r="DF290" s="19" t="s">
        <v>114</v>
      </c>
      <c r="DG290" s="19" t="s">
        <v>114</v>
      </c>
      <c r="DH290" s="19" t="s">
        <v>114</v>
      </c>
      <c r="DI290" s="19" t="s">
        <v>114</v>
      </c>
      <c r="DJ290" s="19" t="s">
        <v>114</v>
      </c>
      <c r="DK290" s="19" t="s">
        <v>114</v>
      </c>
      <c r="DL290" s="19" t="s">
        <v>114</v>
      </c>
      <c r="DM290" s="19" t="s">
        <v>114</v>
      </c>
      <c r="DN290" s="19" t="s">
        <v>114</v>
      </c>
      <c r="DO290" s="19" t="s">
        <v>114</v>
      </c>
    </row>
    <row r="291" spans="1:119" hidden="1" x14ac:dyDescent="0.45">
      <c r="A291" s="2" t="s">
        <v>1305</v>
      </c>
      <c r="B291" t="s">
        <v>1306</v>
      </c>
      <c r="C291" s="2">
        <v>756</v>
      </c>
      <c r="D291" s="6">
        <v>552</v>
      </c>
      <c r="E291" s="2" t="s">
        <v>1307</v>
      </c>
      <c r="F291" t="s">
        <v>1307</v>
      </c>
      <c r="G291" t="s">
        <v>2156</v>
      </c>
      <c r="H291" s="2" t="s">
        <v>1308</v>
      </c>
      <c r="I291" s="2" t="s">
        <v>1309</v>
      </c>
      <c r="J291" s="2">
        <v>150</v>
      </c>
      <c r="K291" t="s">
        <v>127</v>
      </c>
      <c r="L291" s="2">
        <v>155</v>
      </c>
      <c r="M291" t="s">
        <v>223</v>
      </c>
      <c r="P291" s="2" t="s">
        <v>127</v>
      </c>
      <c r="Q291" s="2" t="s">
        <v>129</v>
      </c>
      <c r="R291" s="2">
        <v>513</v>
      </c>
      <c r="S291" s="2" t="s">
        <v>1000</v>
      </c>
      <c r="T291" s="2">
        <v>150</v>
      </c>
      <c r="U291" s="2" t="s">
        <v>127</v>
      </c>
      <c r="V291" t="s">
        <v>2451</v>
      </c>
      <c r="W291" t="s">
        <v>2451</v>
      </c>
      <c r="X291" t="s">
        <v>2442</v>
      </c>
      <c r="Y291" t="s">
        <v>1103</v>
      </c>
      <c r="Z291" s="3" t="s">
        <v>1307</v>
      </c>
      <c r="AA291" s="3" t="s">
        <v>1307</v>
      </c>
      <c r="AB291" s="3" t="s">
        <v>1306</v>
      </c>
      <c r="AC291" s="2" t="s">
        <v>130</v>
      </c>
      <c r="AD291" s="4" t="s">
        <v>1891</v>
      </c>
      <c r="AE291" t="s">
        <v>131</v>
      </c>
      <c r="AF291" t="s">
        <v>1886</v>
      </c>
      <c r="AG291" t="s">
        <v>1887</v>
      </c>
      <c r="AH291" s="3" t="s">
        <v>18</v>
      </c>
      <c r="AI291" s="3" t="s">
        <v>224</v>
      </c>
      <c r="AJ291" s="3" t="s">
        <v>20</v>
      </c>
      <c r="AK291" s="3" t="s">
        <v>107</v>
      </c>
      <c r="AL291" s="5" t="s">
        <v>841</v>
      </c>
      <c r="AM291" s="5" t="s">
        <v>1306</v>
      </c>
      <c r="AO291" s="3" t="s">
        <v>119</v>
      </c>
      <c r="AP291" s="3" t="s">
        <v>120</v>
      </c>
      <c r="AQ291" s="3" t="s">
        <v>111</v>
      </c>
      <c r="AR291" s="3" t="s">
        <v>112</v>
      </c>
      <c r="AS291" s="3" t="s">
        <v>112</v>
      </c>
      <c r="AT291" s="3" t="s">
        <v>113</v>
      </c>
      <c r="AU291" s="3" t="s">
        <v>2303</v>
      </c>
      <c r="AV291" s="3" t="s">
        <v>2302</v>
      </c>
      <c r="AW291" s="3" t="s">
        <v>2301</v>
      </c>
      <c r="AX291" s="3" t="s">
        <v>2006</v>
      </c>
      <c r="AY291" s="19" t="s">
        <v>114</v>
      </c>
      <c r="AZ291" s="19" t="s">
        <v>114</v>
      </c>
      <c r="BA291" s="19" t="s">
        <v>114</v>
      </c>
      <c r="BB291" s="19" t="s">
        <v>114</v>
      </c>
      <c r="BC291" s="19" t="s">
        <v>114</v>
      </c>
      <c r="BD291" s="19" t="s">
        <v>114</v>
      </c>
      <c r="BE291" s="19" t="s">
        <v>114</v>
      </c>
      <c r="BF291" s="19" t="s">
        <v>114</v>
      </c>
      <c r="BG291" s="19" t="s">
        <v>114</v>
      </c>
      <c r="BH291" s="19" t="s">
        <v>114</v>
      </c>
      <c r="BI291" s="19" t="s">
        <v>114</v>
      </c>
      <c r="BJ291" s="19" t="s">
        <v>114</v>
      </c>
      <c r="BK291" s="19" t="s">
        <v>114</v>
      </c>
      <c r="BL291" s="19" t="s">
        <v>114</v>
      </c>
      <c r="BM291" s="19" t="s">
        <v>114</v>
      </c>
      <c r="BN291" s="19" t="s">
        <v>114</v>
      </c>
      <c r="BO291" s="19" t="s">
        <v>114</v>
      </c>
      <c r="BP291" s="19" t="s">
        <v>114</v>
      </c>
      <c r="BQ291" s="19" t="s">
        <v>114</v>
      </c>
      <c r="BR291" s="19" t="s">
        <v>114</v>
      </c>
      <c r="BS291" s="19" t="s">
        <v>114</v>
      </c>
      <c r="BT291" s="19" t="s">
        <v>114</v>
      </c>
      <c r="BU291" s="19" t="s">
        <v>114</v>
      </c>
      <c r="BV291" s="19" t="s">
        <v>114</v>
      </c>
      <c r="BW291" s="19" t="s">
        <v>114</v>
      </c>
      <c r="BX291" s="19" t="s">
        <v>114</v>
      </c>
      <c r="BY291" s="19" t="s">
        <v>114</v>
      </c>
      <c r="BZ291" s="21">
        <v>98200</v>
      </c>
      <c r="CA291" s="21" t="s">
        <v>114</v>
      </c>
      <c r="CB291" s="21" t="s">
        <v>114</v>
      </c>
      <c r="CC291" s="21" t="s">
        <v>114</v>
      </c>
      <c r="CD291" s="21" t="s">
        <v>114</v>
      </c>
      <c r="CE291" s="21" t="s">
        <v>114</v>
      </c>
      <c r="CF291" s="19" t="s">
        <v>114</v>
      </c>
      <c r="CG291" s="19" t="s">
        <v>114</v>
      </c>
      <c r="CH291" s="19" t="s">
        <v>114</v>
      </c>
      <c r="CI291" s="21" t="s">
        <v>114</v>
      </c>
      <c r="CJ291" s="21" t="s">
        <v>114</v>
      </c>
      <c r="CK291" s="21" t="s">
        <v>114</v>
      </c>
      <c r="CL291" s="21" t="s">
        <v>114</v>
      </c>
      <c r="CM291" s="21" t="s">
        <v>114</v>
      </c>
      <c r="CN291" s="21" t="s">
        <v>114</v>
      </c>
      <c r="CO291" s="21" t="s">
        <v>114</v>
      </c>
      <c r="CP291" s="21" t="s">
        <v>114</v>
      </c>
      <c r="CQ291" s="21" t="s">
        <v>114</v>
      </c>
      <c r="CR291" s="21" t="s">
        <v>114</v>
      </c>
      <c r="CS291" s="21" t="s">
        <v>114</v>
      </c>
      <c r="CT291" s="21" t="s">
        <v>114</v>
      </c>
      <c r="CU291" s="21">
        <v>98423</v>
      </c>
      <c r="CV291" s="21" t="s">
        <v>114</v>
      </c>
      <c r="CW291" s="21" t="s">
        <v>114</v>
      </c>
      <c r="CX291" s="21" t="s">
        <v>114</v>
      </c>
      <c r="CY291" s="21" t="s">
        <v>114</v>
      </c>
      <c r="CZ291" s="21" t="s">
        <v>114</v>
      </c>
      <c r="DA291" s="21" t="s">
        <v>114</v>
      </c>
      <c r="DB291" s="21" t="s">
        <v>114</v>
      </c>
      <c r="DC291" s="21" t="s">
        <v>114</v>
      </c>
      <c r="DD291" s="21" t="s">
        <v>114</v>
      </c>
      <c r="DE291" s="21" t="s">
        <v>114</v>
      </c>
      <c r="DF291" s="19" t="s">
        <v>114</v>
      </c>
      <c r="DG291" s="19" t="s">
        <v>114</v>
      </c>
      <c r="DH291" s="19" t="s">
        <v>114</v>
      </c>
      <c r="DI291" s="19" t="s">
        <v>114</v>
      </c>
      <c r="DJ291" s="19" t="s">
        <v>114</v>
      </c>
      <c r="DK291" s="19" t="s">
        <v>114</v>
      </c>
      <c r="DL291" s="19" t="s">
        <v>114</v>
      </c>
      <c r="DM291" s="19" t="s">
        <v>114</v>
      </c>
      <c r="DN291" s="19" t="s">
        <v>114</v>
      </c>
      <c r="DO291" s="19" t="s">
        <v>114</v>
      </c>
    </row>
    <row r="292" spans="1:119" hidden="1" x14ac:dyDescent="0.45">
      <c r="A292" s="2" t="s">
        <v>148</v>
      </c>
      <c r="B292" t="s">
        <v>149</v>
      </c>
      <c r="C292" s="2">
        <v>16</v>
      </c>
      <c r="D292" s="6">
        <v>801</v>
      </c>
      <c r="E292" s="2" t="s">
        <v>1546</v>
      </c>
      <c r="F292" t="s">
        <v>150</v>
      </c>
      <c r="H292" s="2" t="s">
        <v>151</v>
      </c>
      <c r="I292" s="2" t="s">
        <v>152</v>
      </c>
      <c r="J292" s="2">
        <v>9</v>
      </c>
      <c r="K292" t="s">
        <v>153</v>
      </c>
      <c r="L292" s="2">
        <v>61</v>
      </c>
      <c r="M292" t="s">
        <v>154</v>
      </c>
      <c r="P292" s="2" t="s">
        <v>153</v>
      </c>
      <c r="Q292" s="2" t="s">
        <v>155</v>
      </c>
      <c r="R292" s="2">
        <v>9</v>
      </c>
      <c r="S292" s="4" t="s">
        <v>153</v>
      </c>
      <c r="T292" s="2">
        <v>543</v>
      </c>
      <c r="U292" s="4" t="s">
        <v>1012</v>
      </c>
      <c r="V292" t="s">
        <v>2458</v>
      </c>
      <c r="W292" t="s">
        <v>2458</v>
      </c>
      <c r="X292" t="s">
        <v>2440</v>
      </c>
      <c r="Y292" t="s">
        <v>154</v>
      </c>
      <c r="Z292" s="3" t="s">
        <v>1109</v>
      </c>
      <c r="AA292" s="3" t="s">
        <v>2761</v>
      </c>
      <c r="AB292" s="3" t="s">
        <v>2884</v>
      </c>
      <c r="AC292" s="2" t="s">
        <v>138</v>
      </c>
      <c r="AD292" s="4" t="s">
        <v>1891</v>
      </c>
      <c r="AE292" t="s">
        <v>104</v>
      </c>
      <c r="AF292" t="s">
        <v>1886</v>
      </c>
      <c r="AG292" s="3" t="s">
        <v>1887</v>
      </c>
      <c r="AH292" t="s">
        <v>105</v>
      </c>
      <c r="AI292" s="3" t="s">
        <v>105</v>
      </c>
      <c r="AJ292" s="3" t="s">
        <v>106</v>
      </c>
      <c r="AK292" s="3" t="s">
        <v>107</v>
      </c>
      <c r="AL292" s="5" t="s">
        <v>156</v>
      </c>
      <c r="AM292" s="5" t="s">
        <v>109</v>
      </c>
      <c r="AO292" s="3" t="s">
        <v>119</v>
      </c>
      <c r="AP292" s="3" t="s">
        <v>120</v>
      </c>
      <c r="AQ292" s="3" t="s">
        <v>27</v>
      </c>
      <c r="AR292" s="3" t="s">
        <v>112</v>
      </c>
      <c r="AS292" s="3" t="s">
        <v>112</v>
      </c>
      <c r="AT292" s="3" t="s">
        <v>113</v>
      </c>
      <c r="AU292" s="3" t="s">
        <v>2303</v>
      </c>
      <c r="AV292" s="3" t="s">
        <v>2302</v>
      </c>
      <c r="AW292" s="3" t="s">
        <v>2301</v>
      </c>
      <c r="AX292" s="3" t="s">
        <v>2006</v>
      </c>
      <c r="AY292" s="19" t="s">
        <v>114</v>
      </c>
      <c r="AZ292" s="19" t="s">
        <v>114</v>
      </c>
      <c r="BA292" s="19" t="s">
        <v>114</v>
      </c>
      <c r="BB292" s="19" t="s">
        <v>114</v>
      </c>
      <c r="BC292" s="19" t="s">
        <v>114</v>
      </c>
      <c r="BD292" s="19" t="s">
        <v>114</v>
      </c>
      <c r="BE292" s="19" t="s">
        <v>114</v>
      </c>
      <c r="BF292" s="19" t="s">
        <v>114</v>
      </c>
      <c r="BG292" s="19" t="s">
        <v>114</v>
      </c>
      <c r="BH292" s="19" t="s">
        <v>114</v>
      </c>
      <c r="BI292" s="19" t="s">
        <v>114</v>
      </c>
      <c r="BJ292" s="19" t="s">
        <v>114</v>
      </c>
      <c r="BK292" s="19" t="s">
        <v>114</v>
      </c>
      <c r="BL292" s="19" t="s">
        <v>114</v>
      </c>
      <c r="BM292" s="19" t="s">
        <v>114</v>
      </c>
      <c r="BN292" s="19" t="s">
        <v>114</v>
      </c>
      <c r="BO292" s="19" t="s">
        <v>114</v>
      </c>
      <c r="BP292" s="19" t="s">
        <v>114</v>
      </c>
      <c r="BQ292" s="19" t="s">
        <v>114</v>
      </c>
      <c r="BR292" s="19" t="s">
        <v>114</v>
      </c>
      <c r="BS292" s="19" t="s">
        <v>114</v>
      </c>
      <c r="BT292" s="19" t="s">
        <v>114</v>
      </c>
      <c r="BU292" s="19" t="s">
        <v>114</v>
      </c>
      <c r="BV292" s="19" t="s">
        <v>114</v>
      </c>
      <c r="BW292" s="19" t="s">
        <v>114</v>
      </c>
      <c r="BX292" s="19" t="s">
        <v>114</v>
      </c>
      <c r="BY292" s="19" t="s">
        <v>114</v>
      </c>
      <c r="BZ292" s="21" t="s">
        <v>114</v>
      </c>
      <c r="CA292" s="21" t="s">
        <v>114</v>
      </c>
      <c r="CB292" s="21" t="s">
        <v>114</v>
      </c>
      <c r="CC292" s="21" t="s">
        <v>114</v>
      </c>
      <c r="CD292" s="21" t="s">
        <v>114</v>
      </c>
      <c r="CE292" s="21" t="s">
        <v>114</v>
      </c>
      <c r="CF292" s="19" t="s">
        <v>114</v>
      </c>
      <c r="CG292" s="19" t="s">
        <v>114</v>
      </c>
      <c r="CH292" s="19" t="s">
        <v>114</v>
      </c>
      <c r="CI292" s="21" t="s">
        <v>114</v>
      </c>
      <c r="CJ292" s="21">
        <v>98400</v>
      </c>
      <c r="CK292" s="21" t="s">
        <v>114</v>
      </c>
      <c r="CL292" s="21" t="s">
        <v>114</v>
      </c>
      <c r="CM292" s="21" t="s">
        <v>114</v>
      </c>
      <c r="CN292" s="21" t="s">
        <v>114</v>
      </c>
      <c r="CO292" s="21" t="s">
        <v>114</v>
      </c>
      <c r="CP292" s="21" t="s">
        <v>114</v>
      </c>
      <c r="CQ292" s="21" t="s">
        <v>114</v>
      </c>
      <c r="CR292" s="21">
        <v>98418</v>
      </c>
      <c r="CS292" s="21" t="s">
        <v>114</v>
      </c>
      <c r="CT292" s="21" t="s">
        <v>114</v>
      </c>
      <c r="CU292" s="21" t="s">
        <v>114</v>
      </c>
      <c r="CV292" s="21" t="s">
        <v>114</v>
      </c>
      <c r="CW292" s="21" t="s">
        <v>114</v>
      </c>
      <c r="CX292" s="21" t="s">
        <v>114</v>
      </c>
      <c r="CY292" s="21">
        <v>98427</v>
      </c>
      <c r="CZ292" s="21" t="s">
        <v>114</v>
      </c>
      <c r="DA292" s="21">
        <v>98434</v>
      </c>
      <c r="DB292" s="21">
        <v>98435</v>
      </c>
      <c r="DC292" s="21">
        <v>98436</v>
      </c>
      <c r="DD292" s="21" t="s">
        <v>114</v>
      </c>
      <c r="DE292" s="21" t="s">
        <v>114</v>
      </c>
      <c r="DF292" s="19" t="s">
        <v>114</v>
      </c>
      <c r="DG292" s="19" t="s">
        <v>114</v>
      </c>
      <c r="DH292" s="19" t="s">
        <v>114</v>
      </c>
      <c r="DI292" s="19" t="s">
        <v>114</v>
      </c>
      <c r="DJ292" s="19" t="s">
        <v>114</v>
      </c>
      <c r="DK292" s="19" t="s">
        <v>114</v>
      </c>
      <c r="DL292" s="19" t="s">
        <v>114</v>
      </c>
      <c r="DM292" s="19" t="s">
        <v>114</v>
      </c>
      <c r="DN292" s="19" t="s">
        <v>114</v>
      </c>
      <c r="DO292" s="19" t="s">
        <v>114</v>
      </c>
    </row>
    <row r="293" spans="1:119" hidden="1" x14ac:dyDescent="0.45">
      <c r="A293" s="2" t="s">
        <v>453</v>
      </c>
      <c r="B293" t="s">
        <v>454</v>
      </c>
      <c r="C293" s="2">
        <v>184</v>
      </c>
      <c r="D293" s="6">
        <v>805</v>
      </c>
      <c r="E293" s="2" t="s">
        <v>1609</v>
      </c>
      <c r="F293" t="s">
        <v>2181</v>
      </c>
      <c r="G293" t="s">
        <v>2182</v>
      </c>
      <c r="H293" s="2" t="s">
        <v>456</v>
      </c>
      <c r="I293" s="2" t="s">
        <v>457</v>
      </c>
      <c r="J293" s="2">
        <v>9</v>
      </c>
      <c r="K293" t="s">
        <v>153</v>
      </c>
      <c r="L293" s="2">
        <v>61</v>
      </c>
      <c r="M293" t="s">
        <v>154</v>
      </c>
      <c r="P293" s="2" t="s">
        <v>153</v>
      </c>
      <c r="Q293" s="2" t="s">
        <v>155</v>
      </c>
      <c r="R293" s="2">
        <v>9</v>
      </c>
      <c r="S293" s="4" t="s">
        <v>153</v>
      </c>
      <c r="T293" s="2">
        <v>543</v>
      </c>
      <c r="U293" s="4" t="s">
        <v>1012</v>
      </c>
      <c r="V293" t="s">
        <v>2458</v>
      </c>
      <c r="W293" t="s">
        <v>2458</v>
      </c>
      <c r="X293" t="s">
        <v>2440</v>
      </c>
      <c r="Y293" t="s">
        <v>154</v>
      </c>
      <c r="Z293" s="3" t="s">
        <v>1109</v>
      </c>
      <c r="AA293" s="3" t="s">
        <v>2761</v>
      </c>
      <c r="AB293" s="3" t="s">
        <v>2884</v>
      </c>
      <c r="AC293" s="2" t="s">
        <v>1888</v>
      </c>
      <c r="AD293" s="2" t="s">
        <v>1888</v>
      </c>
      <c r="AE293" t="s">
        <v>104</v>
      </c>
      <c r="AF293" t="s">
        <v>1886</v>
      </c>
      <c r="AG293" t="s">
        <v>1884</v>
      </c>
      <c r="AH293" t="s">
        <v>105</v>
      </c>
      <c r="AI293" s="3" t="s">
        <v>105</v>
      </c>
      <c r="AJ293" s="3" t="s">
        <v>106</v>
      </c>
      <c r="AK293" s="3" t="s">
        <v>107</v>
      </c>
      <c r="AL293" s="5" t="s">
        <v>458</v>
      </c>
      <c r="AM293" s="5" t="s">
        <v>109</v>
      </c>
      <c r="AN293" t="s">
        <v>110</v>
      </c>
      <c r="AO293" s="3" t="s">
        <v>119</v>
      </c>
      <c r="AP293" s="3" t="s">
        <v>120</v>
      </c>
      <c r="AQ293" s="3" t="s">
        <v>27</v>
      </c>
      <c r="AR293" s="3" t="s">
        <v>112</v>
      </c>
      <c r="AS293" s="3" t="s">
        <v>112</v>
      </c>
      <c r="AT293" s="3" t="s">
        <v>113</v>
      </c>
      <c r="AU293" s="3" t="s">
        <v>2303</v>
      </c>
      <c r="AV293" s="3" t="s">
        <v>2302</v>
      </c>
      <c r="AW293" s="3" t="s">
        <v>2301</v>
      </c>
      <c r="AX293" s="3" t="s">
        <v>2006</v>
      </c>
      <c r="AY293" s="19" t="s">
        <v>114</v>
      </c>
      <c r="AZ293" s="19" t="s">
        <v>114</v>
      </c>
      <c r="BA293" s="19" t="s">
        <v>114</v>
      </c>
      <c r="BB293" s="19" t="s">
        <v>114</v>
      </c>
      <c r="BC293" s="19" t="s">
        <v>114</v>
      </c>
      <c r="BD293" s="19" t="s">
        <v>114</v>
      </c>
      <c r="BE293" s="19" t="s">
        <v>114</v>
      </c>
      <c r="BF293" s="19" t="s">
        <v>114</v>
      </c>
      <c r="BG293" s="19" t="s">
        <v>114</v>
      </c>
      <c r="BH293" s="19" t="s">
        <v>114</v>
      </c>
      <c r="BI293" s="19" t="s">
        <v>114</v>
      </c>
      <c r="BJ293" s="19" t="s">
        <v>114</v>
      </c>
      <c r="BK293" s="19" t="s">
        <v>114</v>
      </c>
      <c r="BL293" s="19" t="s">
        <v>114</v>
      </c>
      <c r="BM293" s="19" t="s">
        <v>114</v>
      </c>
      <c r="BN293" s="19" t="s">
        <v>114</v>
      </c>
      <c r="BO293" s="19" t="s">
        <v>114</v>
      </c>
      <c r="BP293" s="19" t="s">
        <v>114</v>
      </c>
      <c r="BQ293" s="19" t="s">
        <v>114</v>
      </c>
      <c r="BR293" s="19" t="s">
        <v>114</v>
      </c>
      <c r="BS293" s="19" t="s">
        <v>114</v>
      </c>
      <c r="BT293" s="19" t="s">
        <v>114</v>
      </c>
      <c r="BU293" s="19" t="s">
        <v>114</v>
      </c>
      <c r="BV293" s="19" t="s">
        <v>114</v>
      </c>
      <c r="BW293" s="19" t="s">
        <v>114</v>
      </c>
      <c r="BX293" s="19" t="s">
        <v>114</v>
      </c>
      <c r="BY293" s="19" t="s">
        <v>114</v>
      </c>
      <c r="BZ293" s="21" t="s">
        <v>114</v>
      </c>
      <c r="CA293" s="21" t="s">
        <v>114</v>
      </c>
      <c r="CB293" s="21" t="s">
        <v>114</v>
      </c>
      <c r="CC293" s="21" t="s">
        <v>114</v>
      </c>
      <c r="CD293" s="21" t="s">
        <v>114</v>
      </c>
      <c r="CE293" s="21" t="s">
        <v>114</v>
      </c>
      <c r="CF293" s="19" t="s">
        <v>114</v>
      </c>
      <c r="CG293" s="19" t="s">
        <v>114</v>
      </c>
      <c r="CH293" s="19" t="s">
        <v>114</v>
      </c>
      <c r="CI293" s="21" t="s">
        <v>114</v>
      </c>
      <c r="CJ293" s="21">
        <v>98400</v>
      </c>
      <c r="CK293" s="21" t="s">
        <v>114</v>
      </c>
      <c r="CL293" s="21" t="s">
        <v>114</v>
      </c>
      <c r="CM293" s="21" t="s">
        <v>114</v>
      </c>
      <c r="CN293" s="21" t="s">
        <v>114</v>
      </c>
      <c r="CO293" s="21" t="s">
        <v>114</v>
      </c>
      <c r="CP293" s="21" t="s">
        <v>114</v>
      </c>
      <c r="CQ293" s="21" t="s">
        <v>114</v>
      </c>
      <c r="CR293" s="21">
        <v>98418</v>
      </c>
      <c r="CS293" s="21" t="s">
        <v>114</v>
      </c>
      <c r="CT293" s="21" t="s">
        <v>114</v>
      </c>
      <c r="CU293" s="21" t="s">
        <v>114</v>
      </c>
      <c r="CV293" s="21" t="s">
        <v>114</v>
      </c>
      <c r="CW293" s="21" t="s">
        <v>114</v>
      </c>
      <c r="CX293" s="21" t="s">
        <v>114</v>
      </c>
      <c r="CY293" s="21">
        <v>98427</v>
      </c>
      <c r="CZ293" s="21" t="s">
        <v>114</v>
      </c>
      <c r="DA293" s="21">
        <v>98434</v>
      </c>
      <c r="DB293" s="21">
        <v>98435</v>
      </c>
      <c r="DC293" s="21" t="s">
        <v>114</v>
      </c>
      <c r="DD293" s="21" t="s">
        <v>114</v>
      </c>
      <c r="DE293" s="21" t="s">
        <v>114</v>
      </c>
      <c r="DF293" s="19" t="s">
        <v>114</v>
      </c>
      <c r="DG293" s="19" t="s">
        <v>114</v>
      </c>
      <c r="DH293" s="19" t="s">
        <v>114</v>
      </c>
      <c r="DI293" s="19" t="s">
        <v>114</v>
      </c>
      <c r="DJ293" s="19" t="s">
        <v>114</v>
      </c>
      <c r="DK293" s="19" t="s">
        <v>114</v>
      </c>
      <c r="DL293" s="19" t="s">
        <v>114</v>
      </c>
      <c r="DM293" s="19" t="s">
        <v>114</v>
      </c>
      <c r="DN293" s="19" t="s">
        <v>114</v>
      </c>
      <c r="DO293" s="19" t="s">
        <v>114</v>
      </c>
    </row>
    <row r="294" spans="1:119" hidden="1" x14ac:dyDescent="0.45">
      <c r="A294" s="2" t="s">
        <v>584</v>
      </c>
      <c r="B294" t="s">
        <v>585</v>
      </c>
      <c r="C294" s="2">
        <v>242</v>
      </c>
      <c r="D294" s="6">
        <v>806</v>
      </c>
      <c r="E294" s="2" t="s">
        <v>586</v>
      </c>
      <c r="F294" t="s">
        <v>586</v>
      </c>
      <c r="G294" t="s">
        <v>2066</v>
      </c>
      <c r="H294" s="2" t="s">
        <v>587</v>
      </c>
      <c r="I294" s="2" t="s">
        <v>586</v>
      </c>
      <c r="J294" s="2">
        <v>9</v>
      </c>
      <c r="K294" t="s">
        <v>153</v>
      </c>
      <c r="L294" s="2">
        <v>54</v>
      </c>
      <c r="M294" t="s">
        <v>588</v>
      </c>
      <c r="P294" s="2" t="s">
        <v>153</v>
      </c>
      <c r="Q294" s="2" t="s">
        <v>155</v>
      </c>
      <c r="R294" s="2">
        <v>9</v>
      </c>
      <c r="S294" s="4" t="s">
        <v>153</v>
      </c>
      <c r="T294" s="2">
        <v>543</v>
      </c>
      <c r="U294" s="4" t="s">
        <v>1012</v>
      </c>
      <c r="V294" t="s">
        <v>2458</v>
      </c>
      <c r="W294" t="s">
        <v>2458</v>
      </c>
      <c r="X294" t="s">
        <v>2440</v>
      </c>
      <c r="Y294" t="s">
        <v>588</v>
      </c>
      <c r="Z294" s="3" t="s">
        <v>1109</v>
      </c>
      <c r="AA294" s="3" t="s">
        <v>2761</v>
      </c>
      <c r="AB294" s="3" t="s">
        <v>2884</v>
      </c>
      <c r="AC294" s="2" t="s">
        <v>138</v>
      </c>
      <c r="AD294" s="4" t="s">
        <v>1891</v>
      </c>
      <c r="AE294" t="s">
        <v>104</v>
      </c>
      <c r="AF294" t="s">
        <v>1885</v>
      </c>
      <c r="AG294" t="s">
        <v>1884</v>
      </c>
      <c r="AH294" t="s">
        <v>105</v>
      </c>
      <c r="AI294" s="3" t="s">
        <v>105</v>
      </c>
      <c r="AJ294" s="3" t="s">
        <v>106</v>
      </c>
      <c r="AK294" s="3" t="s">
        <v>107</v>
      </c>
      <c r="AL294" s="5" t="s">
        <v>589</v>
      </c>
      <c r="AM294" s="5" t="s">
        <v>109</v>
      </c>
      <c r="AN294" t="s">
        <v>110</v>
      </c>
      <c r="AO294" s="3" t="s">
        <v>119</v>
      </c>
      <c r="AP294" s="3" t="s">
        <v>120</v>
      </c>
      <c r="AQ294" s="3" t="s">
        <v>27</v>
      </c>
      <c r="AR294" s="3" t="s">
        <v>112</v>
      </c>
      <c r="AS294" s="3" t="s">
        <v>112</v>
      </c>
      <c r="AT294" t="s">
        <v>191</v>
      </c>
      <c r="AU294" s="3" t="s">
        <v>2303</v>
      </c>
      <c r="AV294" s="3" t="s">
        <v>2302</v>
      </c>
      <c r="AW294" s="3" t="s">
        <v>2301</v>
      </c>
      <c r="AX294" s="3" t="s">
        <v>2006</v>
      </c>
      <c r="AY294" s="19" t="s">
        <v>114</v>
      </c>
      <c r="AZ294" s="19" t="s">
        <v>114</v>
      </c>
      <c r="BA294" s="19" t="s">
        <v>114</v>
      </c>
      <c r="BB294" s="19" t="s">
        <v>114</v>
      </c>
      <c r="BC294" s="19" t="s">
        <v>114</v>
      </c>
      <c r="BD294" s="19" t="s">
        <v>114</v>
      </c>
      <c r="BE294" s="19" t="s">
        <v>114</v>
      </c>
      <c r="BF294" s="19" t="s">
        <v>114</v>
      </c>
      <c r="BG294" s="19" t="s">
        <v>114</v>
      </c>
      <c r="BH294" s="19" t="s">
        <v>114</v>
      </c>
      <c r="BI294" s="19" t="s">
        <v>114</v>
      </c>
      <c r="BJ294" s="19" t="s">
        <v>114</v>
      </c>
      <c r="BK294" s="19" t="s">
        <v>114</v>
      </c>
      <c r="BL294" s="19" t="s">
        <v>114</v>
      </c>
      <c r="BM294" s="19" t="s">
        <v>114</v>
      </c>
      <c r="BN294" s="19" t="s">
        <v>114</v>
      </c>
      <c r="BO294" s="19" t="s">
        <v>114</v>
      </c>
      <c r="BP294" s="19" t="s">
        <v>114</v>
      </c>
      <c r="BQ294" s="19" t="s">
        <v>114</v>
      </c>
      <c r="BR294" s="19" t="s">
        <v>114</v>
      </c>
      <c r="BS294" s="19" t="s">
        <v>114</v>
      </c>
      <c r="BT294" s="19" t="s">
        <v>114</v>
      </c>
      <c r="BU294" s="19" t="s">
        <v>114</v>
      </c>
      <c r="BV294" s="19" t="s">
        <v>114</v>
      </c>
      <c r="BW294" s="19" t="s">
        <v>114</v>
      </c>
      <c r="BX294" s="19" t="s">
        <v>114</v>
      </c>
      <c r="BY294" s="19" t="s">
        <v>114</v>
      </c>
      <c r="BZ294" s="21" t="s">
        <v>114</v>
      </c>
      <c r="CA294" s="21" t="s">
        <v>114</v>
      </c>
      <c r="CB294" s="21" t="s">
        <v>114</v>
      </c>
      <c r="CC294" s="21" t="s">
        <v>114</v>
      </c>
      <c r="CD294" s="21" t="s">
        <v>114</v>
      </c>
      <c r="CE294" s="21" t="s">
        <v>114</v>
      </c>
      <c r="CF294" s="19" t="s">
        <v>114</v>
      </c>
      <c r="CG294" s="19" t="s">
        <v>114</v>
      </c>
      <c r="CH294" s="19" t="s">
        <v>114</v>
      </c>
      <c r="CI294" s="21" t="s">
        <v>114</v>
      </c>
      <c r="CJ294" s="21">
        <v>98400</v>
      </c>
      <c r="CK294" s="21" t="s">
        <v>114</v>
      </c>
      <c r="CL294" s="21" t="s">
        <v>114</v>
      </c>
      <c r="CM294" s="21" t="s">
        <v>114</v>
      </c>
      <c r="CN294" s="21" t="s">
        <v>114</v>
      </c>
      <c r="CO294" s="21" t="s">
        <v>114</v>
      </c>
      <c r="CP294" s="21" t="s">
        <v>114</v>
      </c>
      <c r="CQ294" s="21" t="s">
        <v>114</v>
      </c>
      <c r="CR294" s="21">
        <v>98418</v>
      </c>
      <c r="CS294" s="21" t="s">
        <v>114</v>
      </c>
      <c r="CT294" s="21" t="s">
        <v>114</v>
      </c>
      <c r="CU294" s="21" t="s">
        <v>114</v>
      </c>
      <c r="CV294" s="21" t="s">
        <v>114</v>
      </c>
      <c r="CW294" s="21" t="s">
        <v>114</v>
      </c>
      <c r="CX294" s="21" t="s">
        <v>114</v>
      </c>
      <c r="CY294" s="21">
        <v>98427</v>
      </c>
      <c r="CZ294" s="21" t="s">
        <v>114</v>
      </c>
      <c r="DA294" s="21">
        <v>98434</v>
      </c>
      <c r="DB294" s="21">
        <v>98435</v>
      </c>
      <c r="DC294" s="21" t="s">
        <v>114</v>
      </c>
      <c r="DD294" s="21">
        <v>98437</v>
      </c>
      <c r="DE294" s="21" t="s">
        <v>114</v>
      </c>
      <c r="DF294" s="19" t="s">
        <v>114</v>
      </c>
      <c r="DG294" s="19" t="s">
        <v>114</v>
      </c>
      <c r="DH294" s="19" t="s">
        <v>114</v>
      </c>
      <c r="DI294" s="19" t="s">
        <v>114</v>
      </c>
      <c r="DJ294" s="19" t="s">
        <v>114</v>
      </c>
      <c r="DK294" s="19" t="s">
        <v>114</v>
      </c>
      <c r="DL294" s="19" t="s">
        <v>114</v>
      </c>
      <c r="DM294" s="19" t="s">
        <v>114</v>
      </c>
      <c r="DN294" s="19" t="s">
        <v>114</v>
      </c>
      <c r="DO294" s="19" t="s">
        <v>114</v>
      </c>
    </row>
    <row r="295" spans="1:119" hidden="1" x14ac:dyDescent="0.45">
      <c r="A295" s="2" t="s">
        <v>604</v>
      </c>
      <c r="B295" t="s">
        <v>605</v>
      </c>
      <c r="C295" s="2">
        <v>258</v>
      </c>
      <c r="D295" s="6">
        <v>807</v>
      </c>
      <c r="E295" s="2" t="s">
        <v>1649</v>
      </c>
      <c r="F295" t="s">
        <v>606</v>
      </c>
      <c r="H295" s="2" t="s">
        <v>607</v>
      </c>
      <c r="I295" s="2" t="s">
        <v>608</v>
      </c>
      <c r="J295" s="2">
        <v>9</v>
      </c>
      <c r="K295" t="s">
        <v>153</v>
      </c>
      <c r="L295" s="2">
        <v>61</v>
      </c>
      <c r="M295" t="s">
        <v>154</v>
      </c>
      <c r="P295" s="2" t="s">
        <v>153</v>
      </c>
      <c r="Q295" s="2" t="s">
        <v>155</v>
      </c>
      <c r="R295" s="2">
        <v>9</v>
      </c>
      <c r="S295" s="4" t="s">
        <v>153</v>
      </c>
      <c r="T295" s="2">
        <v>543</v>
      </c>
      <c r="U295" s="4" t="s">
        <v>1012</v>
      </c>
      <c r="V295" t="s">
        <v>2458</v>
      </c>
      <c r="W295" t="s">
        <v>2458</v>
      </c>
      <c r="X295" t="s">
        <v>2440</v>
      </c>
      <c r="Y295" t="s">
        <v>154</v>
      </c>
      <c r="Z295" s="3" t="s">
        <v>1109</v>
      </c>
      <c r="AA295" s="3" t="s">
        <v>2761</v>
      </c>
      <c r="AB295" s="3" t="s">
        <v>2884</v>
      </c>
      <c r="AC295" s="2" t="s">
        <v>130</v>
      </c>
      <c r="AD295" s="4" t="s">
        <v>1891</v>
      </c>
      <c r="AE295" t="s">
        <v>104</v>
      </c>
      <c r="AF295" t="s">
        <v>1886</v>
      </c>
      <c r="AG295" t="s">
        <v>1884</v>
      </c>
      <c r="AH295" t="s">
        <v>105</v>
      </c>
      <c r="AI295" s="3" t="s">
        <v>105</v>
      </c>
      <c r="AJ295" s="3" t="s">
        <v>106</v>
      </c>
      <c r="AK295" s="3" t="s">
        <v>107</v>
      </c>
      <c r="AL295" s="5" t="s">
        <v>609</v>
      </c>
      <c r="AM295" s="5" t="s">
        <v>109</v>
      </c>
      <c r="AO295" s="3" t="s">
        <v>119</v>
      </c>
      <c r="AP295" s="3" t="s">
        <v>120</v>
      </c>
      <c r="AQ295" s="3" t="s">
        <v>27</v>
      </c>
      <c r="AR295" s="3" t="s">
        <v>112</v>
      </c>
      <c r="AS295" s="3" t="s">
        <v>112</v>
      </c>
      <c r="AT295" s="3" t="s">
        <v>113</v>
      </c>
      <c r="AU295" s="3" t="s">
        <v>2303</v>
      </c>
      <c r="AV295" s="3" t="s">
        <v>2302</v>
      </c>
      <c r="AW295" s="3" t="s">
        <v>2301</v>
      </c>
      <c r="AX295" s="3" t="s">
        <v>2006</v>
      </c>
      <c r="AY295" s="19" t="s">
        <v>114</v>
      </c>
      <c r="AZ295" s="19" t="s">
        <v>114</v>
      </c>
      <c r="BA295" s="19" t="s">
        <v>114</v>
      </c>
      <c r="BB295" s="19" t="s">
        <v>114</v>
      </c>
      <c r="BC295" s="19" t="s">
        <v>114</v>
      </c>
      <c r="BD295" s="19" t="s">
        <v>114</v>
      </c>
      <c r="BE295" s="19" t="s">
        <v>114</v>
      </c>
      <c r="BF295" s="19" t="s">
        <v>114</v>
      </c>
      <c r="BG295" s="19" t="s">
        <v>114</v>
      </c>
      <c r="BH295" s="19" t="s">
        <v>114</v>
      </c>
      <c r="BI295" s="19" t="s">
        <v>114</v>
      </c>
      <c r="BJ295" s="19" t="s">
        <v>114</v>
      </c>
      <c r="BK295" s="19" t="s">
        <v>114</v>
      </c>
      <c r="BL295" s="19" t="s">
        <v>114</v>
      </c>
      <c r="BM295" s="19" t="s">
        <v>114</v>
      </c>
      <c r="BN295" s="19" t="s">
        <v>114</v>
      </c>
      <c r="BO295" s="19" t="s">
        <v>114</v>
      </c>
      <c r="BP295" s="19" t="s">
        <v>114</v>
      </c>
      <c r="BQ295" s="19" t="s">
        <v>114</v>
      </c>
      <c r="BR295" s="19" t="s">
        <v>114</v>
      </c>
      <c r="BS295" s="19" t="s">
        <v>114</v>
      </c>
      <c r="BT295" s="19" t="s">
        <v>114</v>
      </c>
      <c r="BU295" s="19" t="s">
        <v>114</v>
      </c>
      <c r="BV295" s="19" t="s">
        <v>114</v>
      </c>
      <c r="BW295" s="19" t="s">
        <v>114</v>
      </c>
      <c r="BX295" s="19" t="s">
        <v>114</v>
      </c>
      <c r="BY295" s="19" t="s">
        <v>114</v>
      </c>
      <c r="BZ295" s="21" t="s">
        <v>114</v>
      </c>
      <c r="CA295" s="21" t="s">
        <v>114</v>
      </c>
      <c r="CB295" s="21" t="s">
        <v>114</v>
      </c>
      <c r="CC295" s="21" t="s">
        <v>114</v>
      </c>
      <c r="CD295" s="21" t="s">
        <v>114</v>
      </c>
      <c r="CE295" s="21" t="s">
        <v>114</v>
      </c>
      <c r="CF295" s="19" t="s">
        <v>114</v>
      </c>
      <c r="CG295" s="19" t="s">
        <v>114</v>
      </c>
      <c r="CH295" s="19" t="s">
        <v>114</v>
      </c>
      <c r="CI295" s="21" t="s">
        <v>114</v>
      </c>
      <c r="CJ295" s="21">
        <v>98400</v>
      </c>
      <c r="CK295" s="21" t="s">
        <v>114</v>
      </c>
      <c r="CL295" s="21" t="s">
        <v>114</v>
      </c>
      <c r="CM295" s="21" t="s">
        <v>114</v>
      </c>
      <c r="CN295" s="21" t="s">
        <v>114</v>
      </c>
      <c r="CO295" s="21" t="s">
        <v>114</v>
      </c>
      <c r="CP295" s="21" t="s">
        <v>114</v>
      </c>
      <c r="CQ295" s="21" t="s">
        <v>114</v>
      </c>
      <c r="CR295" s="21">
        <v>98418</v>
      </c>
      <c r="CS295" s="21" t="s">
        <v>114</v>
      </c>
      <c r="CT295" s="21" t="s">
        <v>114</v>
      </c>
      <c r="CU295" s="21" t="s">
        <v>114</v>
      </c>
      <c r="CV295" s="21" t="s">
        <v>114</v>
      </c>
      <c r="CW295" s="21" t="s">
        <v>114</v>
      </c>
      <c r="CX295" s="21" t="s">
        <v>114</v>
      </c>
      <c r="CY295" s="21">
        <v>98427</v>
      </c>
      <c r="CZ295" s="21" t="s">
        <v>114</v>
      </c>
      <c r="DA295" s="21">
        <v>98434</v>
      </c>
      <c r="DB295" s="21">
        <v>98435</v>
      </c>
      <c r="DC295" s="21">
        <v>98436</v>
      </c>
      <c r="DD295" s="21" t="s">
        <v>114</v>
      </c>
      <c r="DE295" s="21" t="s">
        <v>114</v>
      </c>
      <c r="DF295" s="19" t="s">
        <v>114</v>
      </c>
      <c r="DG295" s="19" t="s">
        <v>114</v>
      </c>
      <c r="DH295" s="19" t="s">
        <v>114</v>
      </c>
      <c r="DI295" s="19" t="s">
        <v>114</v>
      </c>
      <c r="DJ295" s="19" t="s">
        <v>114</v>
      </c>
      <c r="DK295" s="19" t="s">
        <v>114</v>
      </c>
      <c r="DL295" s="19" t="s">
        <v>114</v>
      </c>
      <c r="DM295" s="19" t="s">
        <v>114</v>
      </c>
      <c r="DN295" s="19" t="s">
        <v>114</v>
      </c>
      <c r="DO295" s="19" t="s">
        <v>114</v>
      </c>
    </row>
    <row r="296" spans="1:119" hidden="1" x14ac:dyDescent="0.45">
      <c r="A296" s="2" t="s">
        <v>662</v>
      </c>
      <c r="B296" t="s">
        <v>663</v>
      </c>
      <c r="C296" s="2">
        <v>316</v>
      </c>
      <c r="D296" s="6">
        <v>808</v>
      </c>
      <c r="E296" s="2" t="s">
        <v>664</v>
      </c>
      <c r="F296" t="s">
        <v>664</v>
      </c>
      <c r="H296" s="2" t="s">
        <v>664</v>
      </c>
      <c r="I296" s="2" t="s">
        <v>664</v>
      </c>
      <c r="J296" s="2">
        <v>9</v>
      </c>
      <c r="K296" t="s">
        <v>153</v>
      </c>
      <c r="L296" s="2">
        <v>57</v>
      </c>
      <c r="M296" t="s">
        <v>665</v>
      </c>
      <c r="P296" s="2" t="s">
        <v>153</v>
      </c>
      <c r="Q296" s="2" t="s">
        <v>155</v>
      </c>
      <c r="R296" s="2">
        <v>9</v>
      </c>
      <c r="S296" s="4" t="s">
        <v>153</v>
      </c>
      <c r="T296" s="2">
        <v>543</v>
      </c>
      <c r="U296" s="4" t="s">
        <v>1012</v>
      </c>
      <c r="V296" t="s">
        <v>2458</v>
      </c>
      <c r="W296" t="s">
        <v>2458</v>
      </c>
      <c r="X296" t="s">
        <v>2440</v>
      </c>
      <c r="Y296" t="s">
        <v>665</v>
      </c>
      <c r="Z296" s="3" t="s">
        <v>1109</v>
      </c>
      <c r="AA296" s="3" t="s">
        <v>2761</v>
      </c>
      <c r="AB296" s="3" t="s">
        <v>2884</v>
      </c>
      <c r="AC296" s="2" t="s">
        <v>130</v>
      </c>
      <c r="AD296" s="4" t="s">
        <v>1891</v>
      </c>
      <c r="AE296" t="s">
        <v>104</v>
      </c>
      <c r="AF296" t="s">
        <v>1886</v>
      </c>
      <c r="AG296" s="3" t="s">
        <v>1887</v>
      </c>
      <c r="AH296" t="s">
        <v>105</v>
      </c>
      <c r="AI296" s="3" t="s">
        <v>105</v>
      </c>
      <c r="AJ296" s="3" t="s">
        <v>106</v>
      </c>
      <c r="AK296" s="3" t="s">
        <v>107</v>
      </c>
      <c r="AL296" s="5" t="s">
        <v>156</v>
      </c>
      <c r="AM296" s="5" t="s">
        <v>109</v>
      </c>
      <c r="AO296" s="3" t="s">
        <v>119</v>
      </c>
      <c r="AP296" s="3" t="s">
        <v>120</v>
      </c>
      <c r="AQ296" s="3" t="s">
        <v>27</v>
      </c>
      <c r="AR296" s="3" t="s">
        <v>112</v>
      </c>
      <c r="AS296" s="3" t="s">
        <v>112</v>
      </c>
      <c r="AT296" s="3" t="s">
        <v>113</v>
      </c>
      <c r="AU296" s="3" t="s">
        <v>2303</v>
      </c>
      <c r="AV296" s="3" t="s">
        <v>2302</v>
      </c>
      <c r="AW296" s="3" t="s">
        <v>2301</v>
      </c>
      <c r="AX296" s="3" t="s">
        <v>2006</v>
      </c>
      <c r="AY296" s="19" t="s">
        <v>114</v>
      </c>
      <c r="AZ296" s="19" t="s">
        <v>114</v>
      </c>
      <c r="BA296" s="19" t="s">
        <v>114</v>
      </c>
      <c r="BB296" s="19" t="s">
        <v>114</v>
      </c>
      <c r="BC296" s="19" t="s">
        <v>114</v>
      </c>
      <c r="BD296" s="19" t="s">
        <v>114</v>
      </c>
      <c r="BE296" s="19" t="s">
        <v>114</v>
      </c>
      <c r="BF296" s="19" t="s">
        <v>114</v>
      </c>
      <c r="BG296" s="19" t="s">
        <v>114</v>
      </c>
      <c r="BH296" s="19" t="s">
        <v>114</v>
      </c>
      <c r="BI296" s="19" t="s">
        <v>114</v>
      </c>
      <c r="BJ296" s="19" t="s">
        <v>114</v>
      </c>
      <c r="BK296" s="19" t="s">
        <v>114</v>
      </c>
      <c r="BL296" s="19" t="s">
        <v>114</v>
      </c>
      <c r="BM296" s="19" t="s">
        <v>114</v>
      </c>
      <c r="BN296" s="19" t="s">
        <v>114</v>
      </c>
      <c r="BO296" s="19" t="s">
        <v>114</v>
      </c>
      <c r="BP296" s="19" t="s">
        <v>114</v>
      </c>
      <c r="BQ296" s="19" t="s">
        <v>114</v>
      </c>
      <c r="BR296" s="19" t="s">
        <v>114</v>
      </c>
      <c r="BS296" s="19" t="s">
        <v>114</v>
      </c>
      <c r="BT296" s="19" t="s">
        <v>114</v>
      </c>
      <c r="BU296" s="19" t="s">
        <v>114</v>
      </c>
      <c r="BV296" s="19" t="s">
        <v>114</v>
      </c>
      <c r="BW296" s="19" t="s">
        <v>114</v>
      </c>
      <c r="BX296" s="19" t="s">
        <v>114</v>
      </c>
      <c r="BY296" s="19" t="s">
        <v>114</v>
      </c>
      <c r="BZ296" s="21" t="s">
        <v>114</v>
      </c>
      <c r="CA296" s="21" t="s">
        <v>114</v>
      </c>
      <c r="CB296" s="21" t="s">
        <v>114</v>
      </c>
      <c r="CC296" s="21" t="s">
        <v>114</v>
      </c>
      <c r="CD296" s="21" t="s">
        <v>114</v>
      </c>
      <c r="CE296" s="21" t="s">
        <v>114</v>
      </c>
      <c r="CF296" s="19" t="s">
        <v>114</v>
      </c>
      <c r="CG296" s="19" t="s">
        <v>114</v>
      </c>
      <c r="CH296" s="19" t="s">
        <v>114</v>
      </c>
      <c r="CI296" s="21" t="s">
        <v>114</v>
      </c>
      <c r="CJ296" s="21">
        <v>98400</v>
      </c>
      <c r="CK296" s="21" t="s">
        <v>114</v>
      </c>
      <c r="CL296" s="21" t="s">
        <v>114</v>
      </c>
      <c r="CM296" s="21" t="s">
        <v>114</v>
      </c>
      <c r="CN296" s="21" t="s">
        <v>114</v>
      </c>
      <c r="CO296" s="21" t="s">
        <v>114</v>
      </c>
      <c r="CP296" s="21" t="s">
        <v>114</v>
      </c>
      <c r="CQ296" s="21" t="s">
        <v>114</v>
      </c>
      <c r="CR296" s="21">
        <v>98418</v>
      </c>
      <c r="CS296" s="21" t="s">
        <v>114</v>
      </c>
      <c r="CT296" s="21" t="s">
        <v>114</v>
      </c>
      <c r="CU296" s="21" t="s">
        <v>114</v>
      </c>
      <c r="CV296" s="21" t="s">
        <v>114</v>
      </c>
      <c r="CW296" s="21" t="s">
        <v>114</v>
      </c>
      <c r="CX296" s="21" t="s">
        <v>114</v>
      </c>
      <c r="CY296" s="21">
        <v>98427</v>
      </c>
      <c r="CZ296" s="21" t="s">
        <v>114</v>
      </c>
      <c r="DA296" s="21">
        <v>98434</v>
      </c>
      <c r="DB296" s="21">
        <v>98435</v>
      </c>
      <c r="DC296" s="21">
        <v>98436</v>
      </c>
      <c r="DD296" s="21" t="s">
        <v>114</v>
      </c>
      <c r="DE296" s="21" t="s">
        <v>114</v>
      </c>
      <c r="DF296" s="19" t="s">
        <v>114</v>
      </c>
      <c r="DG296" s="19" t="s">
        <v>114</v>
      </c>
      <c r="DH296" s="19" t="s">
        <v>114</v>
      </c>
      <c r="DI296" s="19" t="s">
        <v>114</v>
      </c>
      <c r="DJ296" s="19" t="s">
        <v>114</v>
      </c>
      <c r="DK296" s="19" t="s">
        <v>114</v>
      </c>
      <c r="DL296" s="19" t="s">
        <v>114</v>
      </c>
      <c r="DM296" s="19" t="s">
        <v>114</v>
      </c>
      <c r="DN296" s="19" t="s">
        <v>114</v>
      </c>
      <c r="DO296" s="19" t="s">
        <v>114</v>
      </c>
    </row>
    <row r="297" spans="1:119" hidden="1" x14ac:dyDescent="0.45">
      <c r="A297" s="2" t="s">
        <v>788</v>
      </c>
      <c r="B297" t="s">
        <v>789</v>
      </c>
      <c r="C297" s="2">
        <v>296</v>
      </c>
      <c r="D297" s="6">
        <v>809</v>
      </c>
      <c r="E297" s="2" t="s">
        <v>790</v>
      </c>
      <c r="F297" t="s">
        <v>790</v>
      </c>
      <c r="G297" t="s">
        <v>2089</v>
      </c>
      <c r="H297" s="2" t="s">
        <v>790</v>
      </c>
      <c r="I297" s="2" t="s">
        <v>790</v>
      </c>
      <c r="J297" s="2">
        <v>9</v>
      </c>
      <c r="K297" t="s">
        <v>153</v>
      </c>
      <c r="L297" s="2">
        <v>57</v>
      </c>
      <c r="M297" t="s">
        <v>665</v>
      </c>
      <c r="P297" s="2" t="s">
        <v>153</v>
      </c>
      <c r="Q297" s="2" t="s">
        <v>155</v>
      </c>
      <c r="R297" s="2">
        <v>9</v>
      </c>
      <c r="S297" s="4" t="s">
        <v>153</v>
      </c>
      <c r="T297" s="2">
        <v>543</v>
      </c>
      <c r="U297" s="4" t="s">
        <v>1012</v>
      </c>
      <c r="V297" t="s">
        <v>2458</v>
      </c>
      <c r="W297" t="s">
        <v>2458</v>
      </c>
      <c r="X297" t="s">
        <v>2440</v>
      </c>
      <c r="Y297" t="s">
        <v>665</v>
      </c>
      <c r="Z297" s="3" t="s">
        <v>1109</v>
      </c>
      <c r="AA297" s="3" t="s">
        <v>2761</v>
      </c>
      <c r="AB297" s="3" t="s">
        <v>2884</v>
      </c>
      <c r="AC297" s="2" t="s">
        <v>168</v>
      </c>
      <c r="AD297" s="4" t="s">
        <v>1891</v>
      </c>
      <c r="AE297" t="s">
        <v>104</v>
      </c>
      <c r="AF297" t="s">
        <v>1885</v>
      </c>
      <c r="AG297" t="s">
        <v>1884</v>
      </c>
      <c r="AH297" t="s">
        <v>105</v>
      </c>
      <c r="AI297" s="3" t="s">
        <v>105</v>
      </c>
      <c r="AJ297" s="3" t="s">
        <v>106</v>
      </c>
      <c r="AK297" s="3" t="s">
        <v>107</v>
      </c>
      <c r="AL297" s="5" t="s">
        <v>217</v>
      </c>
      <c r="AM297" s="5" t="s">
        <v>109</v>
      </c>
      <c r="AO297" t="s">
        <v>25</v>
      </c>
      <c r="AP297" s="3" t="s">
        <v>120</v>
      </c>
      <c r="AQ297" s="3" t="s">
        <v>27</v>
      </c>
      <c r="AR297" s="3" t="s">
        <v>112</v>
      </c>
      <c r="AS297" s="3" t="s">
        <v>112</v>
      </c>
      <c r="AT297" t="s">
        <v>191</v>
      </c>
      <c r="AU297" s="3" t="s">
        <v>2303</v>
      </c>
      <c r="AV297" s="3" t="s">
        <v>2302</v>
      </c>
      <c r="AW297" s="3" t="s">
        <v>2301</v>
      </c>
      <c r="AX297" s="3" t="s">
        <v>2006</v>
      </c>
      <c r="AY297" s="19" t="s">
        <v>114</v>
      </c>
      <c r="AZ297" s="19" t="s">
        <v>114</v>
      </c>
      <c r="BA297" s="19" t="s">
        <v>114</v>
      </c>
      <c r="BB297" s="19" t="s">
        <v>114</v>
      </c>
      <c r="BC297" s="19" t="s">
        <v>114</v>
      </c>
      <c r="BD297" s="19" t="s">
        <v>114</v>
      </c>
      <c r="BE297" s="19" t="s">
        <v>114</v>
      </c>
      <c r="BF297" s="19" t="s">
        <v>114</v>
      </c>
      <c r="BG297" s="19" t="s">
        <v>114</v>
      </c>
      <c r="BH297" s="19" t="s">
        <v>114</v>
      </c>
      <c r="BI297" s="19" t="s">
        <v>114</v>
      </c>
      <c r="BJ297" s="19" t="s">
        <v>114</v>
      </c>
      <c r="BK297" s="19" t="s">
        <v>114</v>
      </c>
      <c r="BL297" s="19" t="s">
        <v>114</v>
      </c>
      <c r="BM297" s="19" t="s">
        <v>114</v>
      </c>
      <c r="BN297" s="19" t="s">
        <v>114</v>
      </c>
      <c r="BO297" s="19" t="s">
        <v>114</v>
      </c>
      <c r="BP297" s="19" t="s">
        <v>114</v>
      </c>
      <c r="BQ297" s="19" t="s">
        <v>114</v>
      </c>
      <c r="BR297" s="19" t="s">
        <v>114</v>
      </c>
      <c r="BS297" s="19" t="s">
        <v>114</v>
      </c>
      <c r="BT297" s="19" t="s">
        <v>114</v>
      </c>
      <c r="BU297" s="19" t="s">
        <v>114</v>
      </c>
      <c r="BV297" s="19" t="s">
        <v>114</v>
      </c>
      <c r="BW297" s="19" t="s">
        <v>114</v>
      </c>
      <c r="BX297" s="19" t="s">
        <v>114</v>
      </c>
      <c r="BY297" s="19" t="s">
        <v>114</v>
      </c>
      <c r="BZ297" s="21" t="s">
        <v>114</v>
      </c>
      <c r="CA297" s="21" t="s">
        <v>114</v>
      </c>
      <c r="CB297" s="21" t="s">
        <v>114</v>
      </c>
      <c r="CC297" s="21" t="s">
        <v>114</v>
      </c>
      <c r="CD297" s="21" t="s">
        <v>114</v>
      </c>
      <c r="CE297" s="21" t="s">
        <v>114</v>
      </c>
      <c r="CF297" s="19" t="s">
        <v>114</v>
      </c>
      <c r="CG297" s="19" t="s">
        <v>114</v>
      </c>
      <c r="CH297" s="19" t="s">
        <v>114</v>
      </c>
      <c r="CI297" s="21" t="s">
        <v>114</v>
      </c>
      <c r="CJ297" s="21">
        <v>98400</v>
      </c>
      <c r="CK297" s="21" t="s">
        <v>114</v>
      </c>
      <c r="CL297" s="21" t="s">
        <v>114</v>
      </c>
      <c r="CM297" s="21" t="s">
        <v>114</v>
      </c>
      <c r="CN297" s="21" t="s">
        <v>114</v>
      </c>
      <c r="CO297" s="21">
        <v>98411</v>
      </c>
      <c r="CP297" s="21" t="s">
        <v>114</v>
      </c>
      <c r="CQ297" s="21" t="s">
        <v>114</v>
      </c>
      <c r="CR297" s="21">
        <v>98418</v>
      </c>
      <c r="CS297" s="21" t="s">
        <v>114</v>
      </c>
      <c r="CT297" s="21" t="s">
        <v>114</v>
      </c>
      <c r="CU297" s="21" t="s">
        <v>114</v>
      </c>
      <c r="CV297" s="21" t="s">
        <v>114</v>
      </c>
      <c r="CW297" s="21" t="s">
        <v>114</v>
      </c>
      <c r="CX297" s="21" t="s">
        <v>114</v>
      </c>
      <c r="CY297" s="21">
        <v>98427</v>
      </c>
      <c r="CZ297" s="21" t="s">
        <v>114</v>
      </c>
      <c r="DA297" s="21">
        <v>98434</v>
      </c>
      <c r="DB297" s="21">
        <v>98435</v>
      </c>
      <c r="DC297" s="21" t="s">
        <v>114</v>
      </c>
      <c r="DD297" s="21" t="s">
        <v>114</v>
      </c>
      <c r="DE297" s="21">
        <v>98438</v>
      </c>
      <c r="DF297" s="19" t="s">
        <v>114</v>
      </c>
      <c r="DG297" s="19" t="s">
        <v>114</v>
      </c>
      <c r="DH297" s="19" t="s">
        <v>114</v>
      </c>
      <c r="DI297" s="19" t="s">
        <v>114</v>
      </c>
      <c r="DJ297" s="19" t="s">
        <v>114</v>
      </c>
      <c r="DK297" s="19" t="s">
        <v>114</v>
      </c>
      <c r="DL297" s="19" t="s">
        <v>114</v>
      </c>
      <c r="DM297" s="19" t="s">
        <v>114</v>
      </c>
      <c r="DN297" s="19" t="s">
        <v>114</v>
      </c>
      <c r="DO297" s="19" t="s">
        <v>114</v>
      </c>
    </row>
    <row r="298" spans="1:119" hidden="1" x14ac:dyDescent="0.45">
      <c r="A298" s="2" t="s">
        <v>878</v>
      </c>
      <c r="B298" t="s">
        <v>879</v>
      </c>
      <c r="C298" s="2">
        <v>584</v>
      </c>
      <c r="D298" s="6">
        <v>810</v>
      </c>
      <c r="E298" s="2" t="s">
        <v>1710</v>
      </c>
      <c r="F298" s="3" t="s">
        <v>2012</v>
      </c>
      <c r="G298" t="s">
        <v>2106</v>
      </c>
      <c r="H298" s="2" t="s">
        <v>881</v>
      </c>
      <c r="I298" s="2" t="s">
        <v>882</v>
      </c>
      <c r="J298" s="2">
        <v>9</v>
      </c>
      <c r="K298" t="s">
        <v>153</v>
      </c>
      <c r="L298" s="2">
        <v>57</v>
      </c>
      <c r="M298" t="s">
        <v>665</v>
      </c>
      <c r="P298" s="2" t="s">
        <v>153</v>
      </c>
      <c r="Q298" s="2" t="s">
        <v>155</v>
      </c>
      <c r="R298" s="2">
        <v>9</v>
      </c>
      <c r="S298" s="4" t="s">
        <v>153</v>
      </c>
      <c r="T298" s="2">
        <v>543</v>
      </c>
      <c r="U298" s="4" t="s">
        <v>1012</v>
      </c>
      <c r="V298" t="s">
        <v>2458</v>
      </c>
      <c r="W298" t="s">
        <v>2458</v>
      </c>
      <c r="X298" t="s">
        <v>2440</v>
      </c>
      <c r="Y298" t="s">
        <v>665</v>
      </c>
      <c r="Z298" s="3" t="s">
        <v>1109</v>
      </c>
      <c r="AA298" s="3" t="s">
        <v>2761</v>
      </c>
      <c r="AB298" s="3" t="s">
        <v>2884</v>
      </c>
      <c r="AC298" s="2" t="s">
        <v>138</v>
      </c>
      <c r="AD298" s="4" t="s">
        <v>1891</v>
      </c>
      <c r="AE298" t="s">
        <v>104</v>
      </c>
      <c r="AF298" t="s">
        <v>1885</v>
      </c>
      <c r="AG298" t="s">
        <v>1884</v>
      </c>
      <c r="AH298" t="s">
        <v>105</v>
      </c>
      <c r="AI298" s="3" t="s">
        <v>105</v>
      </c>
      <c r="AJ298" s="3" t="s">
        <v>106</v>
      </c>
      <c r="AK298" s="3" t="s">
        <v>107</v>
      </c>
      <c r="AL298" s="5" t="s">
        <v>156</v>
      </c>
      <c r="AM298" s="5" t="s">
        <v>109</v>
      </c>
      <c r="AO298" s="3" t="s">
        <v>119</v>
      </c>
      <c r="AP298" s="3" t="s">
        <v>120</v>
      </c>
      <c r="AQ298" s="3" t="s">
        <v>27</v>
      </c>
      <c r="AR298" s="3" t="s">
        <v>112</v>
      </c>
      <c r="AS298" s="3" t="s">
        <v>112</v>
      </c>
      <c r="AT298" t="s">
        <v>191</v>
      </c>
      <c r="AU298" s="3" t="s">
        <v>2303</v>
      </c>
      <c r="AV298" s="3" t="s">
        <v>2302</v>
      </c>
      <c r="AW298" s="3" t="s">
        <v>2301</v>
      </c>
      <c r="AX298" s="3" t="s">
        <v>2006</v>
      </c>
      <c r="AY298" s="19" t="s">
        <v>114</v>
      </c>
      <c r="AZ298" s="19" t="s">
        <v>114</v>
      </c>
      <c r="BA298" s="19" t="s">
        <v>114</v>
      </c>
      <c r="BB298" s="19" t="s">
        <v>114</v>
      </c>
      <c r="BC298" s="19" t="s">
        <v>114</v>
      </c>
      <c r="BD298" s="19" t="s">
        <v>114</v>
      </c>
      <c r="BE298" s="19" t="s">
        <v>114</v>
      </c>
      <c r="BF298" s="19" t="s">
        <v>114</v>
      </c>
      <c r="BG298" s="19" t="s">
        <v>114</v>
      </c>
      <c r="BH298" s="19" t="s">
        <v>114</v>
      </c>
      <c r="BI298" s="19" t="s">
        <v>114</v>
      </c>
      <c r="BJ298" s="19" t="s">
        <v>114</v>
      </c>
      <c r="BK298" s="19" t="s">
        <v>114</v>
      </c>
      <c r="BL298" s="19" t="s">
        <v>114</v>
      </c>
      <c r="BM298" s="19" t="s">
        <v>114</v>
      </c>
      <c r="BN298" s="19" t="s">
        <v>114</v>
      </c>
      <c r="BO298" s="19" t="s">
        <v>114</v>
      </c>
      <c r="BP298" s="19" t="s">
        <v>114</v>
      </c>
      <c r="BQ298" s="19" t="s">
        <v>114</v>
      </c>
      <c r="BR298" s="19" t="s">
        <v>114</v>
      </c>
      <c r="BS298" s="19" t="s">
        <v>114</v>
      </c>
      <c r="BT298" s="19" t="s">
        <v>114</v>
      </c>
      <c r="BU298" s="19" t="s">
        <v>114</v>
      </c>
      <c r="BV298" s="19" t="s">
        <v>114</v>
      </c>
      <c r="BW298" s="19" t="s">
        <v>114</v>
      </c>
      <c r="BX298" s="19" t="s">
        <v>114</v>
      </c>
      <c r="BY298" s="19" t="s">
        <v>114</v>
      </c>
      <c r="BZ298" s="21" t="s">
        <v>114</v>
      </c>
      <c r="CA298" s="21" t="s">
        <v>114</v>
      </c>
      <c r="CB298" s="21" t="s">
        <v>114</v>
      </c>
      <c r="CC298" s="21" t="s">
        <v>114</v>
      </c>
      <c r="CD298" s="21" t="s">
        <v>114</v>
      </c>
      <c r="CE298" s="21" t="s">
        <v>114</v>
      </c>
      <c r="CF298" s="19" t="s">
        <v>114</v>
      </c>
      <c r="CG298" s="19" t="s">
        <v>114</v>
      </c>
      <c r="CH298" s="19" t="s">
        <v>114</v>
      </c>
      <c r="CI298" s="21" t="s">
        <v>114</v>
      </c>
      <c r="CJ298" s="21">
        <v>98400</v>
      </c>
      <c r="CK298" s="21" t="s">
        <v>114</v>
      </c>
      <c r="CL298" s="21" t="s">
        <v>114</v>
      </c>
      <c r="CM298" s="21" t="s">
        <v>114</v>
      </c>
      <c r="CN298" s="21" t="s">
        <v>114</v>
      </c>
      <c r="CO298" s="21" t="s">
        <v>114</v>
      </c>
      <c r="CP298" s="21" t="s">
        <v>114</v>
      </c>
      <c r="CQ298" s="21" t="s">
        <v>114</v>
      </c>
      <c r="CR298" s="21">
        <v>98418</v>
      </c>
      <c r="CS298" s="21" t="s">
        <v>114</v>
      </c>
      <c r="CT298" s="21" t="s">
        <v>114</v>
      </c>
      <c r="CU298" s="21" t="s">
        <v>114</v>
      </c>
      <c r="CV298" s="21" t="s">
        <v>114</v>
      </c>
      <c r="CW298" s="21" t="s">
        <v>114</v>
      </c>
      <c r="CX298" s="21" t="s">
        <v>114</v>
      </c>
      <c r="CY298" s="21">
        <v>98427</v>
      </c>
      <c r="CZ298" s="21" t="s">
        <v>114</v>
      </c>
      <c r="DA298" s="21">
        <v>98434</v>
      </c>
      <c r="DB298" s="21">
        <v>98435</v>
      </c>
      <c r="DC298" s="21" t="s">
        <v>114</v>
      </c>
      <c r="DD298" s="21">
        <v>98437</v>
      </c>
      <c r="DE298" s="21" t="s">
        <v>114</v>
      </c>
      <c r="DF298" s="19" t="s">
        <v>114</v>
      </c>
      <c r="DG298" s="19" t="s">
        <v>114</v>
      </c>
      <c r="DH298" s="19" t="s">
        <v>114</v>
      </c>
      <c r="DI298" s="19" t="s">
        <v>114</v>
      </c>
      <c r="DJ298" s="19" t="s">
        <v>114</v>
      </c>
      <c r="DK298" s="19" t="s">
        <v>114</v>
      </c>
      <c r="DL298" s="19" t="s">
        <v>114</v>
      </c>
      <c r="DM298" s="19" t="s">
        <v>114</v>
      </c>
      <c r="DN298" s="19" t="s">
        <v>114</v>
      </c>
      <c r="DO298" s="19" t="s">
        <v>114</v>
      </c>
    </row>
    <row r="299" spans="1:119" hidden="1" x14ac:dyDescent="0.45">
      <c r="A299" s="2" t="s">
        <v>907</v>
      </c>
      <c r="B299" t="s">
        <v>908</v>
      </c>
      <c r="C299" s="2">
        <v>583</v>
      </c>
      <c r="D299" s="6">
        <v>811</v>
      </c>
      <c r="E299" s="2" t="s">
        <v>665</v>
      </c>
      <c r="F299" s="3" t="s">
        <v>909</v>
      </c>
      <c r="G299" t="s">
        <v>2110</v>
      </c>
      <c r="H299" s="4" t="s">
        <v>910</v>
      </c>
      <c r="I299" s="2" t="s">
        <v>911</v>
      </c>
      <c r="J299" s="2">
        <v>9</v>
      </c>
      <c r="K299" t="s">
        <v>153</v>
      </c>
      <c r="L299" s="2">
        <v>57</v>
      </c>
      <c r="M299" t="s">
        <v>665</v>
      </c>
      <c r="P299" s="2" t="s">
        <v>153</v>
      </c>
      <c r="Q299" s="2" t="s">
        <v>155</v>
      </c>
      <c r="R299" s="2">
        <v>9</v>
      </c>
      <c r="S299" s="4" t="s">
        <v>153</v>
      </c>
      <c r="T299" s="2">
        <v>543</v>
      </c>
      <c r="U299" s="4" t="s">
        <v>1012</v>
      </c>
      <c r="V299" t="s">
        <v>2458</v>
      </c>
      <c r="W299" t="s">
        <v>2458</v>
      </c>
      <c r="X299" t="s">
        <v>2440</v>
      </c>
      <c r="Y299" t="s">
        <v>665</v>
      </c>
      <c r="Z299" s="3" t="s">
        <v>1109</v>
      </c>
      <c r="AA299" s="3" t="s">
        <v>2761</v>
      </c>
      <c r="AB299" s="3" t="s">
        <v>2884</v>
      </c>
      <c r="AC299" s="2" t="s">
        <v>168</v>
      </c>
      <c r="AD299" s="4" t="s">
        <v>1891</v>
      </c>
      <c r="AE299" t="s">
        <v>104</v>
      </c>
      <c r="AF299" t="s">
        <v>1885</v>
      </c>
      <c r="AG299" t="s">
        <v>1884</v>
      </c>
      <c r="AH299" t="s">
        <v>105</v>
      </c>
      <c r="AI299" s="3" t="s">
        <v>105</v>
      </c>
      <c r="AJ299" s="3" t="s">
        <v>106</v>
      </c>
      <c r="AK299" s="3" t="s">
        <v>107</v>
      </c>
      <c r="AL299" s="5" t="s">
        <v>156</v>
      </c>
      <c r="AM299" s="5" t="s">
        <v>109</v>
      </c>
      <c r="AN299" t="s">
        <v>110</v>
      </c>
      <c r="AO299" s="3" t="s">
        <v>119</v>
      </c>
      <c r="AP299" s="3" t="s">
        <v>120</v>
      </c>
      <c r="AQ299" s="3" t="s">
        <v>27</v>
      </c>
      <c r="AR299" s="3" t="s">
        <v>112</v>
      </c>
      <c r="AS299" s="3" t="s">
        <v>112</v>
      </c>
      <c r="AT299" t="s">
        <v>191</v>
      </c>
      <c r="AU299" s="3" t="s">
        <v>2303</v>
      </c>
      <c r="AV299" s="3" t="s">
        <v>2302</v>
      </c>
      <c r="AW299" s="3" t="s">
        <v>2301</v>
      </c>
      <c r="AX299" s="3" t="s">
        <v>2006</v>
      </c>
      <c r="AY299" s="19" t="s">
        <v>114</v>
      </c>
      <c r="AZ299" s="19" t="s">
        <v>114</v>
      </c>
      <c r="BA299" s="19" t="s">
        <v>114</v>
      </c>
      <c r="BB299" s="19" t="s">
        <v>114</v>
      </c>
      <c r="BC299" s="19" t="s">
        <v>114</v>
      </c>
      <c r="BD299" s="19" t="s">
        <v>114</v>
      </c>
      <c r="BE299" s="19" t="s">
        <v>114</v>
      </c>
      <c r="BF299" s="19" t="s">
        <v>114</v>
      </c>
      <c r="BG299" s="19" t="s">
        <v>114</v>
      </c>
      <c r="BH299" s="19" t="s">
        <v>114</v>
      </c>
      <c r="BI299" s="19" t="s">
        <v>114</v>
      </c>
      <c r="BJ299" s="19" t="s">
        <v>114</v>
      </c>
      <c r="BK299" s="19" t="s">
        <v>114</v>
      </c>
      <c r="BL299" s="19" t="s">
        <v>114</v>
      </c>
      <c r="BM299" s="19" t="s">
        <v>114</v>
      </c>
      <c r="BN299" s="19" t="s">
        <v>114</v>
      </c>
      <c r="BO299" s="19" t="s">
        <v>114</v>
      </c>
      <c r="BP299" s="19" t="s">
        <v>114</v>
      </c>
      <c r="BQ299" s="19" t="s">
        <v>114</v>
      </c>
      <c r="BR299" s="19" t="s">
        <v>114</v>
      </c>
      <c r="BS299" s="19" t="s">
        <v>114</v>
      </c>
      <c r="BT299" s="19" t="s">
        <v>114</v>
      </c>
      <c r="BU299" s="19" t="s">
        <v>114</v>
      </c>
      <c r="BV299" s="19" t="s">
        <v>114</v>
      </c>
      <c r="BW299" s="19" t="s">
        <v>114</v>
      </c>
      <c r="BX299" s="19" t="s">
        <v>114</v>
      </c>
      <c r="BY299" s="19" t="s">
        <v>114</v>
      </c>
      <c r="BZ299" s="21" t="s">
        <v>114</v>
      </c>
      <c r="CA299" s="21" t="s">
        <v>114</v>
      </c>
      <c r="CB299" s="21" t="s">
        <v>114</v>
      </c>
      <c r="CC299" s="21" t="s">
        <v>114</v>
      </c>
      <c r="CD299" s="21" t="s">
        <v>114</v>
      </c>
      <c r="CE299" s="21" t="s">
        <v>114</v>
      </c>
      <c r="CF299" s="19" t="s">
        <v>114</v>
      </c>
      <c r="CG299" s="19" t="s">
        <v>114</v>
      </c>
      <c r="CH299" s="19" t="s">
        <v>114</v>
      </c>
      <c r="CI299" s="21" t="s">
        <v>114</v>
      </c>
      <c r="CJ299" s="21">
        <v>98400</v>
      </c>
      <c r="CK299" s="21" t="s">
        <v>114</v>
      </c>
      <c r="CL299" s="21" t="s">
        <v>114</v>
      </c>
      <c r="CM299" s="21" t="s">
        <v>114</v>
      </c>
      <c r="CN299" s="21" t="s">
        <v>114</v>
      </c>
      <c r="CO299" s="21" t="s">
        <v>114</v>
      </c>
      <c r="CP299" s="21" t="s">
        <v>114</v>
      </c>
      <c r="CQ299" s="21" t="s">
        <v>114</v>
      </c>
      <c r="CR299" s="21">
        <v>98418</v>
      </c>
      <c r="CS299" s="21" t="s">
        <v>114</v>
      </c>
      <c r="CT299" s="21" t="s">
        <v>114</v>
      </c>
      <c r="CU299" s="21" t="s">
        <v>114</v>
      </c>
      <c r="CV299" s="21" t="s">
        <v>114</v>
      </c>
      <c r="CW299" s="21" t="s">
        <v>114</v>
      </c>
      <c r="CX299" s="21" t="s">
        <v>114</v>
      </c>
      <c r="CY299" s="21">
        <v>98427</v>
      </c>
      <c r="CZ299" s="21" t="s">
        <v>114</v>
      </c>
      <c r="DA299" s="21">
        <v>98434</v>
      </c>
      <c r="DB299" s="21">
        <v>98435</v>
      </c>
      <c r="DC299" s="21" t="s">
        <v>114</v>
      </c>
      <c r="DD299" s="21" t="s">
        <v>114</v>
      </c>
      <c r="DE299" s="21">
        <v>98438</v>
      </c>
      <c r="DF299" s="19" t="s">
        <v>114</v>
      </c>
      <c r="DG299" s="19" t="s">
        <v>114</v>
      </c>
      <c r="DH299" s="19" t="s">
        <v>114</v>
      </c>
      <c r="DI299" s="19" t="s">
        <v>114</v>
      </c>
      <c r="DJ299" s="19" t="s">
        <v>114</v>
      </c>
      <c r="DK299" s="19" t="s">
        <v>114</v>
      </c>
      <c r="DL299" s="19" t="s">
        <v>114</v>
      </c>
      <c r="DM299" s="19" t="s">
        <v>114</v>
      </c>
      <c r="DN299" s="19" t="s">
        <v>114</v>
      </c>
      <c r="DO299" s="19" t="s">
        <v>114</v>
      </c>
    </row>
    <row r="300" spans="1:119" hidden="1" x14ac:dyDescent="0.45">
      <c r="A300" s="2" t="s">
        <v>952</v>
      </c>
      <c r="B300" t="s">
        <v>953</v>
      </c>
      <c r="C300" s="2">
        <v>520</v>
      </c>
      <c r="D300" s="6">
        <v>812</v>
      </c>
      <c r="E300" s="2" t="s">
        <v>954</v>
      </c>
      <c r="F300" t="s">
        <v>954</v>
      </c>
      <c r="G300" t="s">
        <v>2116</v>
      </c>
      <c r="H300" s="2" t="s">
        <v>954</v>
      </c>
      <c r="I300" s="2" t="s">
        <v>954</v>
      </c>
      <c r="J300" s="2">
        <v>9</v>
      </c>
      <c r="K300" t="s">
        <v>153</v>
      </c>
      <c r="L300" s="2">
        <v>57</v>
      </c>
      <c r="M300" t="s">
        <v>665</v>
      </c>
      <c r="P300" s="2" t="s">
        <v>153</v>
      </c>
      <c r="Q300" s="2" t="s">
        <v>155</v>
      </c>
      <c r="R300" s="2">
        <v>9</v>
      </c>
      <c r="S300" s="4" t="s">
        <v>153</v>
      </c>
      <c r="T300" s="2">
        <v>543</v>
      </c>
      <c r="U300" s="4" t="s">
        <v>1012</v>
      </c>
      <c r="V300" t="s">
        <v>2458</v>
      </c>
      <c r="W300" t="s">
        <v>2458</v>
      </c>
      <c r="X300" t="s">
        <v>2440</v>
      </c>
      <c r="Y300" t="s">
        <v>665</v>
      </c>
      <c r="Z300" s="3" t="s">
        <v>1109</v>
      </c>
      <c r="AA300" s="3" t="s">
        <v>2761</v>
      </c>
      <c r="AB300" s="3" t="s">
        <v>2884</v>
      </c>
      <c r="AC300" s="2" t="s">
        <v>130</v>
      </c>
      <c r="AD300" s="4" t="s">
        <v>1891</v>
      </c>
      <c r="AE300" t="s">
        <v>104</v>
      </c>
      <c r="AF300" t="s">
        <v>1885</v>
      </c>
      <c r="AG300" t="s">
        <v>1884</v>
      </c>
      <c r="AH300" t="s">
        <v>105</v>
      </c>
      <c r="AI300" s="3" t="s">
        <v>105</v>
      </c>
      <c r="AJ300" s="3" t="s">
        <v>106</v>
      </c>
      <c r="AK300" s="3" t="s">
        <v>107</v>
      </c>
      <c r="AL300" s="5" t="s">
        <v>217</v>
      </c>
      <c r="AM300" s="5" t="s">
        <v>109</v>
      </c>
      <c r="AO300" s="3" t="s">
        <v>119</v>
      </c>
      <c r="AP300" s="3" t="s">
        <v>120</v>
      </c>
      <c r="AQ300" s="3" t="s">
        <v>27</v>
      </c>
      <c r="AR300" s="3" t="s">
        <v>112</v>
      </c>
      <c r="AS300" s="3" t="s">
        <v>112</v>
      </c>
      <c r="AT300" t="s">
        <v>191</v>
      </c>
      <c r="AU300" s="3" t="s">
        <v>2303</v>
      </c>
      <c r="AV300" s="3" t="s">
        <v>2302</v>
      </c>
      <c r="AW300" s="3" t="s">
        <v>2301</v>
      </c>
      <c r="AX300" s="3" t="s">
        <v>2006</v>
      </c>
      <c r="AY300" s="19" t="s">
        <v>114</v>
      </c>
      <c r="AZ300" s="19" t="s">
        <v>114</v>
      </c>
      <c r="BA300" s="19" t="s">
        <v>114</v>
      </c>
      <c r="BB300" s="19" t="s">
        <v>114</v>
      </c>
      <c r="BC300" s="19" t="s">
        <v>114</v>
      </c>
      <c r="BD300" s="19" t="s">
        <v>114</v>
      </c>
      <c r="BE300" s="19" t="s">
        <v>114</v>
      </c>
      <c r="BF300" s="19" t="s">
        <v>114</v>
      </c>
      <c r="BG300" s="19" t="s">
        <v>114</v>
      </c>
      <c r="BH300" s="19" t="s">
        <v>114</v>
      </c>
      <c r="BI300" s="19" t="s">
        <v>114</v>
      </c>
      <c r="BJ300" s="19" t="s">
        <v>114</v>
      </c>
      <c r="BK300" s="19" t="s">
        <v>114</v>
      </c>
      <c r="BL300" s="19" t="s">
        <v>114</v>
      </c>
      <c r="BM300" s="19" t="s">
        <v>114</v>
      </c>
      <c r="BN300" s="19" t="s">
        <v>114</v>
      </c>
      <c r="BO300" s="19" t="s">
        <v>114</v>
      </c>
      <c r="BP300" s="19" t="s">
        <v>114</v>
      </c>
      <c r="BQ300" s="19" t="s">
        <v>114</v>
      </c>
      <c r="BR300" s="19" t="s">
        <v>114</v>
      </c>
      <c r="BS300" s="19" t="s">
        <v>114</v>
      </c>
      <c r="BT300" s="19" t="s">
        <v>114</v>
      </c>
      <c r="BU300" s="19" t="s">
        <v>114</v>
      </c>
      <c r="BV300" s="19" t="s">
        <v>114</v>
      </c>
      <c r="BW300" s="19" t="s">
        <v>114</v>
      </c>
      <c r="BX300" s="19" t="s">
        <v>114</v>
      </c>
      <c r="BY300" s="19" t="s">
        <v>114</v>
      </c>
      <c r="BZ300" s="21" t="s">
        <v>114</v>
      </c>
      <c r="CA300" s="21" t="s">
        <v>114</v>
      </c>
      <c r="CB300" s="21" t="s">
        <v>114</v>
      </c>
      <c r="CC300" s="21" t="s">
        <v>114</v>
      </c>
      <c r="CD300" s="21" t="s">
        <v>114</v>
      </c>
      <c r="CE300" s="21" t="s">
        <v>114</v>
      </c>
      <c r="CF300" s="19" t="s">
        <v>114</v>
      </c>
      <c r="CG300" s="19" t="s">
        <v>114</v>
      </c>
      <c r="CH300" s="19" t="s">
        <v>114</v>
      </c>
      <c r="CI300" s="21" t="s">
        <v>114</v>
      </c>
      <c r="CJ300" s="21">
        <v>98400</v>
      </c>
      <c r="CK300" s="21" t="s">
        <v>114</v>
      </c>
      <c r="CL300" s="21" t="s">
        <v>114</v>
      </c>
      <c r="CM300" s="21" t="s">
        <v>114</v>
      </c>
      <c r="CN300" s="21" t="s">
        <v>114</v>
      </c>
      <c r="CO300" s="21" t="s">
        <v>114</v>
      </c>
      <c r="CP300" s="21" t="s">
        <v>114</v>
      </c>
      <c r="CQ300" s="21" t="s">
        <v>114</v>
      </c>
      <c r="CR300" s="21">
        <v>98418</v>
      </c>
      <c r="CS300" s="21" t="s">
        <v>114</v>
      </c>
      <c r="CT300" s="21" t="s">
        <v>114</v>
      </c>
      <c r="CU300" s="21" t="s">
        <v>114</v>
      </c>
      <c r="CV300" s="21" t="s">
        <v>114</v>
      </c>
      <c r="CW300" s="21" t="s">
        <v>114</v>
      </c>
      <c r="CX300" s="21" t="s">
        <v>114</v>
      </c>
      <c r="CY300" s="21">
        <v>98427</v>
      </c>
      <c r="CZ300" s="21" t="s">
        <v>114</v>
      </c>
      <c r="DA300" s="21">
        <v>98434</v>
      </c>
      <c r="DB300" s="21">
        <v>98435</v>
      </c>
      <c r="DC300" s="21">
        <v>98436</v>
      </c>
      <c r="DD300" s="21" t="s">
        <v>114</v>
      </c>
      <c r="DE300" s="21" t="s">
        <v>114</v>
      </c>
      <c r="DF300" s="19" t="s">
        <v>114</v>
      </c>
      <c r="DG300" s="19" t="s">
        <v>114</v>
      </c>
      <c r="DH300" s="19" t="s">
        <v>114</v>
      </c>
      <c r="DI300" s="19" t="s">
        <v>114</v>
      </c>
      <c r="DJ300" s="19" t="s">
        <v>114</v>
      </c>
      <c r="DK300" s="19" t="s">
        <v>114</v>
      </c>
      <c r="DL300" s="19" t="s">
        <v>114</v>
      </c>
      <c r="DM300" s="19" t="s">
        <v>114</v>
      </c>
      <c r="DN300" s="19" t="s">
        <v>114</v>
      </c>
      <c r="DO300" s="19" t="s">
        <v>114</v>
      </c>
    </row>
    <row r="301" spans="1:119" hidden="1" x14ac:dyDescent="0.45">
      <c r="A301" s="2" t="s">
        <v>965</v>
      </c>
      <c r="B301" t="s">
        <v>966</v>
      </c>
      <c r="C301" s="2">
        <v>540</v>
      </c>
      <c r="D301" s="6">
        <v>813</v>
      </c>
      <c r="E301" s="2" t="s">
        <v>1727</v>
      </c>
      <c r="F301" t="s">
        <v>967</v>
      </c>
      <c r="H301" s="2" t="s">
        <v>968</v>
      </c>
      <c r="I301" s="2" t="s">
        <v>969</v>
      </c>
      <c r="J301" s="2">
        <v>9</v>
      </c>
      <c r="K301" t="s">
        <v>153</v>
      </c>
      <c r="L301" s="2">
        <v>54</v>
      </c>
      <c r="M301" t="s">
        <v>588</v>
      </c>
      <c r="P301" s="2" t="s">
        <v>153</v>
      </c>
      <c r="Q301" s="2" t="s">
        <v>155</v>
      </c>
      <c r="R301" s="2">
        <v>9</v>
      </c>
      <c r="S301" s="4" t="s">
        <v>153</v>
      </c>
      <c r="T301" s="2">
        <v>543</v>
      </c>
      <c r="U301" s="4" t="s">
        <v>1012</v>
      </c>
      <c r="V301" t="s">
        <v>2458</v>
      </c>
      <c r="W301" t="s">
        <v>2458</v>
      </c>
      <c r="X301" t="s">
        <v>2440</v>
      </c>
      <c r="Y301" t="s">
        <v>588</v>
      </c>
      <c r="Z301" s="3" t="s">
        <v>1109</v>
      </c>
      <c r="AA301" s="3" t="s">
        <v>2761</v>
      </c>
      <c r="AB301" s="3" t="s">
        <v>2884</v>
      </c>
      <c r="AC301" s="2" t="s">
        <v>130</v>
      </c>
      <c r="AD301" s="4" t="s">
        <v>1891</v>
      </c>
      <c r="AE301" t="s">
        <v>104</v>
      </c>
      <c r="AF301" t="s">
        <v>1886</v>
      </c>
      <c r="AG301" t="s">
        <v>1884</v>
      </c>
      <c r="AH301" t="s">
        <v>105</v>
      </c>
      <c r="AI301" s="3" t="s">
        <v>105</v>
      </c>
      <c r="AJ301" s="3" t="s">
        <v>106</v>
      </c>
      <c r="AK301" s="3" t="s">
        <v>107</v>
      </c>
      <c r="AL301" s="5" t="s">
        <v>609</v>
      </c>
      <c r="AM301" s="5" t="s">
        <v>109</v>
      </c>
      <c r="AO301" s="3" t="s">
        <v>119</v>
      </c>
      <c r="AP301" s="3" t="s">
        <v>120</v>
      </c>
      <c r="AQ301" s="3" t="s">
        <v>27</v>
      </c>
      <c r="AR301" s="3" t="s">
        <v>112</v>
      </c>
      <c r="AS301" s="3" t="s">
        <v>112</v>
      </c>
      <c r="AT301" s="3" t="s">
        <v>113</v>
      </c>
      <c r="AU301" s="3" t="s">
        <v>2303</v>
      </c>
      <c r="AV301" s="3" t="s">
        <v>2302</v>
      </c>
      <c r="AW301" s="3" t="s">
        <v>2301</v>
      </c>
      <c r="AX301" s="3" t="s">
        <v>2006</v>
      </c>
      <c r="AY301" s="19" t="s">
        <v>114</v>
      </c>
      <c r="AZ301" s="19" t="s">
        <v>114</v>
      </c>
      <c r="BA301" s="19" t="s">
        <v>114</v>
      </c>
      <c r="BB301" s="19" t="s">
        <v>114</v>
      </c>
      <c r="BC301" s="19" t="s">
        <v>114</v>
      </c>
      <c r="BD301" s="19" t="s">
        <v>114</v>
      </c>
      <c r="BE301" s="19" t="s">
        <v>114</v>
      </c>
      <c r="BF301" s="19" t="s">
        <v>114</v>
      </c>
      <c r="BG301" s="19" t="s">
        <v>114</v>
      </c>
      <c r="BH301" s="19" t="s">
        <v>114</v>
      </c>
      <c r="BI301" s="19" t="s">
        <v>114</v>
      </c>
      <c r="BJ301" s="19" t="s">
        <v>114</v>
      </c>
      <c r="BK301" s="19" t="s">
        <v>114</v>
      </c>
      <c r="BL301" s="19" t="s">
        <v>114</v>
      </c>
      <c r="BM301" s="19" t="s">
        <v>114</v>
      </c>
      <c r="BN301" s="19" t="s">
        <v>114</v>
      </c>
      <c r="BO301" s="19" t="s">
        <v>114</v>
      </c>
      <c r="BP301" s="19" t="s">
        <v>114</v>
      </c>
      <c r="BQ301" s="19" t="s">
        <v>114</v>
      </c>
      <c r="BR301" s="19" t="s">
        <v>114</v>
      </c>
      <c r="BS301" s="19" t="s">
        <v>114</v>
      </c>
      <c r="BT301" s="19" t="s">
        <v>114</v>
      </c>
      <c r="BU301" s="19" t="s">
        <v>114</v>
      </c>
      <c r="BV301" s="19" t="s">
        <v>114</v>
      </c>
      <c r="BW301" s="19" t="s">
        <v>114</v>
      </c>
      <c r="BX301" s="19" t="s">
        <v>114</v>
      </c>
      <c r="BY301" s="19" t="s">
        <v>114</v>
      </c>
      <c r="BZ301" s="21" t="s">
        <v>114</v>
      </c>
      <c r="CA301" s="21" t="s">
        <v>114</v>
      </c>
      <c r="CB301" s="21" t="s">
        <v>114</v>
      </c>
      <c r="CC301" s="21" t="s">
        <v>114</v>
      </c>
      <c r="CD301" s="21" t="s">
        <v>114</v>
      </c>
      <c r="CE301" s="21" t="s">
        <v>114</v>
      </c>
      <c r="CF301" s="19" t="s">
        <v>114</v>
      </c>
      <c r="CG301" s="19" t="s">
        <v>114</v>
      </c>
      <c r="CH301" s="19" t="s">
        <v>114</v>
      </c>
      <c r="CI301" s="21" t="s">
        <v>114</v>
      </c>
      <c r="CJ301" s="21">
        <v>98400</v>
      </c>
      <c r="CK301" s="21" t="s">
        <v>114</v>
      </c>
      <c r="CL301" s="21" t="s">
        <v>114</v>
      </c>
      <c r="CM301" s="21" t="s">
        <v>114</v>
      </c>
      <c r="CN301" s="21" t="s">
        <v>114</v>
      </c>
      <c r="CO301" s="21" t="s">
        <v>114</v>
      </c>
      <c r="CP301" s="21" t="s">
        <v>114</v>
      </c>
      <c r="CQ301" s="21" t="s">
        <v>114</v>
      </c>
      <c r="CR301" s="21">
        <v>98418</v>
      </c>
      <c r="CS301" s="21" t="s">
        <v>114</v>
      </c>
      <c r="CT301" s="21" t="s">
        <v>114</v>
      </c>
      <c r="CU301" s="21" t="s">
        <v>114</v>
      </c>
      <c r="CV301" s="21" t="s">
        <v>114</v>
      </c>
      <c r="CW301" s="21" t="s">
        <v>114</v>
      </c>
      <c r="CX301" s="21" t="s">
        <v>114</v>
      </c>
      <c r="CY301" s="21">
        <v>98427</v>
      </c>
      <c r="CZ301" s="21" t="s">
        <v>114</v>
      </c>
      <c r="DA301" s="21">
        <v>98434</v>
      </c>
      <c r="DB301" s="21">
        <v>98435</v>
      </c>
      <c r="DC301" s="21">
        <v>98436</v>
      </c>
      <c r="DD301" s="21" t="s">
        <v>114</v>
      </c>
      <c r="DE301" s="21" t="s">
        <v>114</v>
      </c>
      <c r="DF301" s="19" t="s">
        <v>114</v>
      </c>
      <c r="DG301" s="19" t="s">
        <v>114</v>
      </c>
      <c r="DH301" s="19" t="s">
        <v>114</v>
      </c>
      <c r="DI301" s="19" t="s">
        <v>114</v>
      </c>
      <c r="DJ301" s="19" t="s">
        <v>114</v>
      </c>
      <c r="DK301" s="19" t="s">
        <v>114</v>
      </c>
      <c r="DL301" s="19" t="s">
        <v>114</v>
      </c>
      <c r="DM301" s="19" t="s">
        <v>114</v>
      </c>
      <c r="DN301" s="19" t="s">
        <v>114</v>
      </c>
      <c r="DO301" s="19" t="s">
        <v>114</v>
      </c>
    </row>
    <row r="302" spans="1:119" hidden="1" x14ac:dyDescent="0.45">
      <c r="A302" s="2" t="s">
        <v>988</v>
      </c>
      <c r="B302" t="s">
        <v>989</v>
      </c>
      <c r="C302" s="2">
        <v>570</v>
      </c>
      <c r="D302" s="6">
        <v>815</v>
      </c>
      <c r="E302" s="2" t="s">
        <v>990</v>
      </c>
      <c r="F302" t="s">
        <v>990</v>
      </c>
      <c r="G302" t="s">
        <v>990</v>
      </c>
      <c r="H302" s="2" t="s">
        <v>991</v>
      </c>
      <c r="I302" s="2" t="s">
        <v>990</v>
      </c>
      <c r="J302" s="2">
        <v>9</v>
      </c>
      <c r="K302" t="s">
        <v>153</v>
      </c>
      <c r="L302" s="2">
        <v>61</v>
      </c>
      <c r="M302" t="s">
        <v>154</v>
      </c>
      <c r="P302" s="2" t="s">
        <v>153</v>
      </c>
      <c r="Q302" s="2" t="s">
        <v>155</v>
      </c>
      <c r="R302" s="2">
        <v>9</v>
      </c>
      <c r="S302" s="4" t="s">
        <v>153</v>
      </c>
      <c r="T302" s="2">
        <v>543</v>
      </c>
      <c r="U302" s="4" t="s">
        <v>1012</v>
      </c>
      <c r="V302" t="s">
        <v>2458</v>
      </c>
      <c r="W302" t="s">
        <v>2458</v>
      </c>
      <c r="X302" t="s">
        <v>2440</v>
      </c>
      <c r="Y302" t="s">
        <v>154</v>
      </c>
      <c r="Z302" s="3" t="s">
        <v>1109</v>
      </c>
      <c r="AA302" s="3" t="s">
        <v>2761</v>
      </c>
      <c r="AB302" s="3" t="s">
        <v>2884</v>
      </c>
      <c r="AC302" s="2" t="s">
        <v>1888</v>
      </c>
      <c r="AD302" s="2" t="s">
        <v>1888</v>
      </c>
      <c r="AE302" t="s">
        <v>104</v>
      </c>
      <c r="AF302" t="s">
        <v>1885</v>
      </c>
      <c r="AG302" t="s">
        <v>1884</v>
      </c>
      <c r="AH302" t="s">
        <v>105</v>
      </c>
      <c r="AI302" s="3" t="s">
        <v>105</v>
      </c>
      <c r="AJ302" s="3" t="s">
        <v>106</v>
      </c>
      <c r="AK302" s="3" t="s">
        <v>107</v>
      </c>
      <c r="AL302" s="5" t="s">
        <v>458</v>
      </c>
      <c r="AM302" s="5" t="s">
        <v>109</v>
      </c>
      <c r="AN302" t="s">
        <v>110</v>
      </c>
      <c r="AO302" s="3" t="s">
        <v>119</v>
      </c>
      <c r="AP302" s="3" t="s">
        <v>120</v>
      </c>
      <c r="AQ302" s="3" t="s">
        <v>27</v>
      </c>
      <c r="AR302" s="3" t="s">
        <v>112</v>
      </c>
      <c r="AS302" s="3" t="s">
        <v>112</v>
      </c>
      <c r="AT302" s="3" t="s">
        <v>113</v>
      </c>
      <c r="AU302" s="3" t="s">
        <v>2303</v>
      </c>
      <c r="AV302" s="3" t="s">
        <v>2302</v>
      </c>
      <c r="AW302" s="3" t="s">
        <v>2301</v>
      </c>
      <c r="AX302" s="3" t="s">
        <v>2006</v>
      </c>
      <c r="AY302" s="19" t="s">
        <v>114</v>
      </c>
      <c r="AZ302" s="19" t="s">
        <v>114</v>
      </c>
      <c r="BA302" s="19" t="s">
        <v>114</v>
      </c>
      <c r="BB302" s="19" t="s">
        <v>114</v>
      </c>
      <c r="BC302" s="19" t="s">
        <v>114</v>
      </c>
      <c r="BD302" s="19" t="s">
        <v>114</v>
      </c>
      <c r="BE302" s="19" t="s">
        <v>114</v>
      </c>
      <c r="BF302" s="19" t="s">
        <v>114</v>
      </c>
      <c r="BG302" s="19" t="s">
        <v>114</v>
      </c>
      <c r="BH302" s="19" t="s">
        <v>114</v>
      </c>
      <c r="BI302" s="19" t="s">
        <v>114</v>
      </c>
      <c r="BJ302" s="19" t="s">
        <v>114</v>
      </c>
      <c r="BK302" s="19" t="s">
        <v>114</v>
      </c>
      <c r="BL302" s="19" t="s">
        <v>114</v>
      </c>
      <c r="BM302" s="19" t="s">
        <v>114</v>
      </c>
      <c r="BN302" s="19" t="s">
        <v>114</v>
      </c>
      <c r="BO302" s="19" t="s">
        <v>114</v>
      </c>
      <c r="BP302" s="19" t="s">
        <v>114</v>
      </c>
      <c r="BQ302" s="19" t="s">
        <v>114</v>
      </c>
      <c r="BR302" s="19" t="s">
        <v>114</v>
      </c>
      <c r="BS302" s="19" t="s">
        <v>114</v>
      </c>
      <c r="BT302" s="19" t="s">
        <v>114</v>
      </c>
      <c r="BU302" s="19" t="s">
        <v>114</v>
      </c>
      <c r="BV302" s="19" t="s">
        <v>114</v>
      </c>
      <c r="BW302" s="19" t="s">
        <v>114</v>
      </c>
      <c r="BX302" s="19" t="s">
        <v>114</v>
      </c>
      <c r="BY302" s="19" t="s">
        <v>114</v>
      </c>
      <c r="BZ302" s="21" t="s">
        <v>114</v>
      </c>
      <c r="CA302" s="21" t="s">
        <v>114</v>
      </c>
      <c r="CB302" s="21" t="s">
        <v>114</v>
      </c>
      <c r="CC302" s="21" t="s">
        <v>114</v>
      </c>
      <c r="CD302" s="21" t="s">
        <v>114</v>
      </c>
      <c r="CE302" s="21" t="s">
        <v>114</v>
      </c>
      <c r="CF302" s="19" t="s">
        <v>114</v>
      </c>
      <c r="CG302" s="19" t="s">
        <v>114</v>
      </c>
      <c r="CH302" s="19" t="s">
        <v>114</v>
      </c>
      <c r="CI302" s="21" t="s">
        <v>114</v>
      </c>
      <c r="CJ302" s="21">
        <v>98400</v>
      </c>
      <c r="CK302" s="21" t="s">
        <v>114</v>
      </c>
      <c r="CL302" s="21" t="s">
        <v>114</v>
      </c>
      <c r="CM302" s="21" t="s">
        <v>114</v>
      </c>
      <c r="CN302" s="21" t="s">
        <v>114</v>
      </c>
      <c r="CO302" s="21" t="s">
        <v>114</v>
      </c>
      <c r="CP302" s="21" t="s">
        <v>114</v>
      </c>
      <c r="CQ302" s="21" t="s">
        <v>114</v>
      </c>
      <c r="CR302" s="21">
        <v>98418</v>
      </c>
      <c r="CS302" s="21" t="s">
        <v>114</v>
      </c>
      <c r="CT302" s="21" t="s">
        <v>114</v>
      </c>
      <c r="CU302" s="21" t="s">
        <v>114</v>
      </c>
      <c r="CV302" s="21" t="s">
        <v>114</v>
      </c>
      <c r="CW302" s="21" t="s">
        <v>114</v>
      </c>
      <c r="CX302" s="21" t="s">
        <v>114</v>
      </c>
      <c r="CY302" s="21">
        <v>98427</v>
      </c>
      <c r="CZ302" s="21" t="s">
        <v>114</v>
      </c>
      <c r="DA302" s="21">
        <v>98434</v>
      </c>
      <c r="DB302" s="21">
        <v>98435</v>
      </c>
      <c r="DC302" s="21" t="s">
        <v>114</v>
      </c>
      <c r="DD302" s="21" t="s">
        <v>114</v>
      </c>
      <c r="DE302" s="21" t="s">
        <v>114</v>
      </c>
      <c r="DF302" s="19" t="s">
        <v>114</v>
      </c>
      <c r="DG302" s="19" t="s">
        <v>114</v>
      </c>
      <c r="DH302" s="19" t="s">
        <v>114</v>
      </c>
      <c r="DI302" s="19" t="s">
        <v>114</v>
      </c>
      <c r="DJ302" s="19" t="s">
        <v>114</v>
      </c>
      <c r="DK302" s="19" t="s">
        <v>114</v>
      </c>
      <c r="DL302" s="19" t="s">
        <v>114</v>
      </c>
      <c r="DM302" s="19" t="s">
        <v>114</v>
      </c>
      <c r="DN302" s="19" t="s">
        <v>114</v>
      </c>
      <c r="DO302" s="19" t="s">
        <v>114</v>
      </c>
    </row>
    <row r="303" spans="1:119" hidden="1" x14ac:dyDescent="0.45">
      <c r="A303" s="2" t="s">
        <v>1001</v>
      </c>
      <c r="B303" t="s">
        <v>1002</v>
      </c>
      <c r="C303" s="2">
        <v>580</v>
      </c>
      <c r="D303" s="6">
        <v>817</v>
      </c>
      <c r="E303" s="2" t="s">
        <v>1740</v>
      </c>
      <c r="F303" t="s">
        <v>1003</v>
      </c>
      <c r="H303" s="2" t="s">
        <v>1004</v>
      </c>
      <c r="I303" s="2" t="s">
        <v>1005</v>
      </c>
      <c r="J303" s="2">
        <v>9</v>
      </c>
      <c r="K303" t="s">
        <v>153</v>
      </c>
      <c r="L303" s="2">
        <v>57</v>
      </c>
      <c r="M303" t="s">
        <v>665</v>
      </c>
      <c r="P303" s="2" t="s">
        <v>153</v>
      </c>
      <c r="Q303" s="2" t="s">
        <v>155</v>
      </c>
      <c r="R303" s="2">
        <v>9</v>
      </c>
      <c r="S303" s="4" t="s">
        <v>153</v>
      </c>
      <c r="T303" s="2">
        <v>543</v>
      </c>
      <c r="U303" s="4" t="s">
        <v>1012</v>
      </c>
      <c r="V303" t="s">
        <v>1406</v>
      </c>
      <c r="W303" t="s">
        <v>1406</v>
      </c>
      <c r="X303" t="s">
        <v>2440</v>
      </c>
      <c r="Y303" t="s">
        <v>665</v>
      </c>
      <c r="Z303" s="3" t="s">
        <v>1109</v>
      </c>
      <c r="AA303" s="3" t="s">
        <v>2761</v>
      </c>
      <c r="AB303" s="3" t="s">
        <v>2884</v>
      </c>
      <c r="AC303" s="2" t="s">
        <v>130</v>
      </c>
      <c r="AD303" s="4" t="s">
        <v>1891</v>
      </c>
      <c r="AE303" t="s">
        <v>104</v>
      </c>
      <c r="AF303" t="s">
        <v>1886</v>
      </c>
      <c r="AG303" s="3" t="s">
        <v>1887</v>
      </c>
      <c r="AH303" t="s">
        <v>105</v>
      </c>
      <c r="AI303" s="3" t="s">
        <v>105</v>
      </c>
      <c r="AJ303" s="3" t="s">
        <v>106</v>
      </c>
      <c r="AK303" s="3" t="s">
        <v>107</v>
      </c>
      <c r="AL303" s="5" t="s">
        <v>156</v>
      </c>
      <c r="AM303" s="5" t="s">
        <v>109</v>
      </c>
      <c r="AO303" s="3" t="s">
        <v>119</v>
      </c>
      <c r="AP303" s="3" t="s">
        <v>120</v>
      </c>
      <c r="AQ303" s="3" t="s">
        <v>27</v>
      </c>
      <c r="AR303" s="3" t="s">
        <v>112</v>
      </c>
      <c r="AS303" s="3" t="s">
        <v>112</v>
      </c>
      <c r="AT303" s="3" t="s">
        <v>113</v>
      </c>
      <c r="AU303" s="3" t="s">
        <v>2303</v>
      </c>
      <c r="AV303" s="3" t="s">
        <v>2302</v>
      </c>
      <c r="AW303" s="3" t="s">
        <v>2301</v>
      </c>
      <c r="AX303" t="s">
        <v>282</v>
      </c>
      <c r="AY303" s="19" t="s">
        <v>114</v>
      </c>
      <c r="AZ303" s="19" t="s">
        <v>114</v>
      </c>
      <c r="BA303" s="19" t="s">
        <v>114</v>
      </c>
      <c r="BB303" s="19" t="s">
        <v>114</v>
      </c>
      <c r="BC303" s="19" t="s">
        <v>114</v>
      </c>
      <c r="BD303" s="19" t="s">
        <v>114</v>
      </c>
      <c r="BE303" s="19" t="s">
        <v>114</v>
      </c>
      <c r="BF303" s="19" t="s">
        <v>114</v>
      </c>
      <c r="BG303" s="19" t="s">
        <v>114</v>
      </c>
      <c r="BH303" s="19" t="s">
        <v>114</v>
      </c>
      <c r="BI303" s="19" t="s">
        <v>114</v>
      </c>
      <c r="BJ303" s="19" t="s">
        <v>114</v>
      </c>
      <c r="BK303" s="19" t="s">
        <v>114</v>
      </c>
      <c r="BL303" s="19" t="s">
        <v>114</v>
      </c>
      <c r="BM303" s="19" t="s">
        <v>114</v>
      </c>
      <c r="BN303" s="19" t="s">
        <v>114</v>
      </c>
      <c r="BO303" s="19" t="s">
        <v>114</v>
      </c>
      <c r="BP303" s="19" t="s">
        <v>114</v>
      </c>
      <c r="BQ303" s="19" t="s">
        <v>114</v>
      </c>
      <c r="BR303" s="19" t="s">
        <v>114</v>
      </c>
      <c r="BS303" s="19" t="s">
        <v>114</v>
      </c>
      <c r="BT303" s="19" t="s">
        <v>114</v>
      </c>
      <c r="BU303" s="19" t="s">
        <v>114</v>
      </c>
      <c r="BV303" s="19" t="s">
        <v>114</v>
      </c>
      <c r="BW303" s="19" t="s">
        <v>114</v>
      </c>
      <c r="BX303" s="19" t="s">
        <v>114</v>
      </c>
      <c r="BY303" s="19" t="s">
        <v>114</v>
      </c>
      <c r="BZ303" s="21" t="s">
        <v>114</v>
      </c>
      <c r="CA303" s="21" t="s">
        <v>114</v>
      </c>
      <c r="CB303" s="21" t="s">
        <v>114</v>
      </c>
      <c r="CC303" s="21" t="s">
        <v>114</v>
      </c>
      <c r="CD303" s="21" t="s">
        <v>114</v>
      </c>
      <c r="CE303" s="21" t="s">
        <v>114</v>
      </c>
      <c r="CF303" s="19" t="s">
        <v>114</v>
      </c>
      <c r="CG303" s="19" t="s">
        <v>114</v>
      </c>
      <c r="CH303" s="19" t="s">
        <v>114</v>
      </c>
      <c r="CI303" s="21" t="s">
        <v>114</v>
      </c>
      <c r="CJ303" s="21">
        <v>98400</v>
      </c>
      <c r="CK303" s="21" t="s">
        <v>114</v>
      </c>
      <c r="CL303" s="21" t="s">
        <v>114</v>
      </c>
      <c r="CM303" s="21" t="s">
        <v>114</v>
      </c>
      <c r="CN303" s="21" t="s">
        <v>114</v>
      </c>
      <c r="CO303" s="21" t="s">
        <v>114</v>
      </c>
      <c r="CP303" s="21" t="s">
        <v>114</v>
      </c>
      <c r="CQ303" s="21" t="s">
        <v>114</v>
      </c>
      <c r="CR303" s="21">
        <v>98418</v>
      </c>
      <c r="CS303" s="21" t="s">
        <v>114</v>
      </c>
      <c r="CT303" s="21" t="s">
        <v>114</v>
      </c>
      <c r="CU303" s="21" t="s">
        <v>114</v>
      </c>
      <c r="CV303" s="21" t="s">
        <v>114</v>
      </c>
      <c r="CW303" s="21" t="s">
        <v>114</v>
      </c>
      <c r="CX303" s="21" t="s">
        <v>114</v>
      </c>
      <c r="CY303" s="21">
        <v>98427</v>
      </c>
      <c r="CZ303" s="21" t="s">
        <v>114</v>
      </c>
      <c r="DA303" s="21">
        <v>98434</v>
      </c>
      <c r="DB303" s="21">
        <v>98435</v>
      </c>
      <c r="DC303" s="21">
        <v>98436</v>
      </c>
      <c r="DD303" s="21" t="s">
        <v>114</v>
      </c>
      <c r="DE303" s="21" t="s">
        <v>114</v>
      </c>
      <c r="DF303" s="19" t="s">
        <v>114</v>
      </c>
      <c r="DG303" s="19" t="s">
        <v>114</v>
      </c>
      <c r="DH303" s="19" t="s">
        <v>114</v>
      </c>
      <c r="DI303" s="19" t="s">
        <v>114</v>
      </c>
      <c r="DJ303" s="19" t="s">
        <v>114</v>
      </c>
      <c r="DK303" s="19" t="s">
        <v>114</v>
      </c>
      <c r="DL303" s="19" t="s">
        <v>114</v>
      </c>
      <c r="DM303" s="19" t="s">
        <v>114</v>
      </c>
      <c r="DN303" s="19" t="s">
        <v>114</v>
      </c>
      <c r="DO303" s="19" t="s">
        <v>114</v>
      </c>
    </row>
    <row r="304" spans="1:119" hidden="1" x14ac:dyDescent="0.45">
      <c r="A304" s="2" t="s">
        <v>1027</v>
      </c>
      <c r="B304" t="s">
        <v>1028</v>
      </c>
      <c r="C304" s="2">
        <v>585</v>
      </c>
      <c r="D304" s="6">
        <v>818</v>
      </c>
      <c r="E304" s="2" t="s">
        <v>1029</v>
      </c>
      <c r="F304" t="s">
        <v>1029</v>
      </c>
      <c r="G304" t="s">
        <v>2125</v>
      </c>
      <c r="H304" s="2" t="s">
        <v>1030</v>
      </c>
      <c r="I304" s="2" t="s">
        <v>1029</v>
      </c>
      <c r="J304" s="2">
        <v>9</v>
      </c>
      <c r="K304" t="s">
        <v>153</v>
      </c>
      <c r="L304" s="2">
        <v>57</v>
      </c>
      <c r="M304" t="s">
        <v>665</v>
      </c>
      <c r="P304" s="2" t="s">
        <v>153</v>
      </c>
      <c r="Q304" s="2" t="s">
        <v>155</v>
      </c>
      <c r="R304" s="2">
        <v>9</v>
      </c>
      <c r="S304" s="4" t="s">
        <v>153</v>
      </c>
      <c r="T304" s="2">
        <v>543</v>
      </c>
      <c r="U304" s="4" t="s">
        <v>1012</v>
      </c>
      <c r="V304" t="s">
        <v>2458</v>
      </c>
      <c r="W304" t="s">
        <v>2458</v>
      </c>
      <c r="X304" t="s">
        <v>2440</v>
      </c>
      <c r="Y304" t="s">
        <v>665</v>
      </c>
      <c r="Z304" s="3" t="s">
        <v>1109</v>
      </c>
      <c r="AA304" s="3" t="s">
        <v>2761</v>
      </c>
      <c r="AB304" s="3" t="s">
        <v>2884</v>
      </c>
      <c r="AC304" s="2" t="s">
        <v>138</v>
      </c>
      <c r="AD304" s="4" t="s">
        <v>1891</v>
      </c>
      <c r="AE304" t="s">
        <v>104</v>
      </c>
      <c r="AF304" t="s">
        <v>1885</v>
      </c>
      <c r="AG304" t="s">
        <v>1884</v>
      </c>
      <c r="AH304" t="s">
        <v>105</v>
      </c>
      <c r="AI304" s="3" t="s">
        <v>105</v>
      </c>
      <c r="AJ304" s="3" t="s">
        <v>106</v>
      </c>
      <c r="AK304" s="3" t="s">
        <v>107</v>
      </c>
      <c r="AL304" s="5" t="s">
        <v>156</v>
      </c>
      <c r="AM304" s="5" t="s">
        <v>109</v>
      </c>
      <c r="AO304" s="3" t="s">
        <v>119</v>
      </c>
      <c r="AP304" s="3" t="s">
        <v>120</v>
      </c>
      <c r="AQ304" s="3" t="s">
        <v>27</v>
      </c>
      <c r="AR304" s="3" t="s">
        <v>112</v>
      </c>
      <c r="AS304" s="3" t="s">
        <v>112</v>
      </c>
      <c r="AT304" t="s">
        <v>191</v>
      </c>
      <c r="AU304" s="3" t="s">
        <v>2303</v>
      </c>
      <c r="AV304" s="3" t="s">
        <v>2302</v>
      </c>
      <c r="AW304" s="3" t="s">
        <v>2301</v>
      </c>
      <c r="AX304" s="3" t="s">
        <v>2006</v>
      </c>
      <c r="AY304" s="19" t="s">
        <v>114</v>
      </c>
      <c r="AZ304" s="19" t="s">
        <v>114</v>
      </c>
      <c r="BA304" s="19" t="s">
        <v>114</v>
      </c>
      <c r="BB304" s="19" t="s">
        <v>114</v>
      </c>
      <c r="BC304" s="19" t="s">
        <v>114</v>
      </c>
      <c r="BD304" s="19" t="s">
        <v>114</v>
      </c>
      <c r="BE304" s="19" t="s">
        <v>114</v>
      </c>
      <c r="BF304" s="19" t="s">
        <v>114</v>
      </c>
      <c r="BG304" s="19" t="s">
        <v>114</v>
      </c>
      <c r="BH304" s="19" t="s">
        <v>114</v>
      </c>
      <c r="BI304" s="19" t="s">
        <v>114</v>
      </c>
      <c r="BJ304" s="19" t="s">
        <v>114</v>
      </c>
      <c r="BK304" s="19" t="s">
        <v>114</v>
      </c>
      <c r="BL304" s="19" t="s">
        <v>114</v>
      </c>
      <c r="BM304" s="19" t="s">
        <v>114</v>
      </c>
      <c r="BN304" s="19" t="s">
        <v>114</v>
      </c>
      <c r="BO304" s="19" t="s">
        <v>114</v>
      </c>
      <c r="BP304" s="19" t="s">
        <v>114</v>
      </c>
      <c r="BQ304" s="19" t="s">
        <v>114</v>
      </c>
      <c r="BR304" s="19" t="s">
        <v>114</v>
      </c>
      <c r="BS304" s="19" t="s">
        <v>114</v>
      </c>
      <c r="BT304" s="19" t="s">
        <v>114</v>
      </c>
      <c r="BU304" s="19" t="s">
        <v>114</v>
      </c>
      <c r="BV304" s="19" t="s">
        <v>114</v>
      </c>
      <c r="BW304" s="19" t="s">
        <v>114</v>
      </c>
      <c r="BX304" s="19" t="s">
        <v>114</v>
      </c>
      <c r="BY304" s="19" t="s">
        <v>114</v>
      </c>
      <c r="BZ304" s="21" t="s">
        <v>114</v>
      </c>
      <c r="CA304" s="21" t="s">
        <v>114</v>
      </c>
      <c r="CB304" s="21" t="s">
        <v>114</v>
      </c>
      <c r="CC304" s="21" t="s">
        <v>114</v>
      </c>
      <c r="CD304" s="21" t="s">
        <v>114</v>
      </c>
      <c r="CE304" s="21" t="s">
        <v>114</v>
      </c>
      <c r="CF304" s="19" t="s">
        <v>114</v>
      </c>
      <c r="CG304" s="19" t="s">
        <v>114</v>
      </c>
      <c r="CH304" s="19" t="s">
        <v>114</v>
      </c>
      <c r="CI304" s="21" t="s">
        <v>114</v>
      </c>
      <c r="CJ304" s="21">
        <v>98400</v>
      </c>
      <c r="CK304" s="21" t="s">
        <v>114</v>
      </c>
      <c r="CL304" s="21" t="s">
        <v>114</v>
      </c>
      <c r="CM304" s="21" t="s">
        <v>114</v>
      </c>
      <c r="CN304" s="21" t="s">
        <v>114</v>
      </c>
      <c r="CO304" s="21" t="s">
        <v>114</v>
      </c>
      <c r="CP304" s="21" t="s">
        <v>114</v>
      </c>
      <c r="CQ304" s="21" t="s">
        <v>114</v>
      </c>
      <c r="CR304" s="21">
        <v>98418</v>
      </c>
      <c r="CS304" s="21" t="s">
        <v>114</v>
      </c>
      <c r="CT304" s="21" t="s">
        <v>114</v>
      </c>
      <c r="CU304" s="21" t="s">
        <v>114</v>
      </c>
      <c r="CV304" s="21" t="s">
        <v>114</v>
      </c>
      <c r="CW304" s="21" t="s">
        <v>114</v>
      </c>
      <c r="CX304" s="21" t="s">
        <v>114</v>
      </c>
      <c r="CY304" s="21">
        <v>98427</v>
      </c>
      <c r="CZ304" s="21" t="s">
        <v>114</v>
      </c>
      <c r="DA304" s="21">
        <v>98434</v>
      </c>
      <c r="DB304" s="21">
        <v>98435</v>
      </c>
      <c r="DC304" s="21" t="s">
        <v>114</v>
      </c>
      <c r="DD304" s="21">
        <v>98437</v>
      </c>
      <c r="DE304" s="21" t="s">
        <v>114</v>
      </c>
      <c r="DF304" s="19" t="s">
        <v>114</v>
      </c>
      <c r="DG304" s="19" t="s">
        <v>114</v>
      </c>
      <c r="DH304" s="19" t="s">
        <v>114</v>
      </c>
      <c r="DI304" s="19" t="s">
        <v>114</v>
      </c>
      <c r="DJ304" s="19" t="s">
        <v>114</v>
      </c>
      <c r="DK304" s="19" t="s">
        <v>114</v>
      </c>
      <c r="DL304" s="19" t="s">
        <v>114</v>
      </c>
      <c r="DM304" s="19" t="s">
        <v>114</v>
      </c>
      <c r="DN304" s="19" t="s">
        <v>114</v>
      </c>
      <c r="DO304" s="19" t="s">
        <v>114</v>
      </c>
    </row>
    <row r="305" spans="1:119" hidden="1" x14ac:dyDescent="0.45">
      <c r="A305" s="2" t="s">
        <v>1036</v>
      </c>
      <c r="B305" t="s">
        <v>1037</v>
      </c>
      <c r="C305" s="2">
        <v>598</v>
      </c>
      <c r="D305" s="6">
        <v>819</v>
      </c>
      <c r="E305" s="2" t="s">
        <v>1751</v>
      </c>
      <c r="F305" t="s">
        <v>1038</v>
      </c>
      <c r="G305" t="s">
        <v>2127</v>
      </c>
      <c r="H305" s="2" t="s">
        <v>1039</v>
      </c>
      <c r="I305" s="2" t="s">
        <v>1040</v>
      </c>
      <c r="J305" s="2">
        <v>9</v>
      </c>
      <c r="K305" t="s">
        <v>153</v>
      </c>
      <c r="L305" s="2">
        <v>54</v>
      </c>
      <c r="M305" t="s">
        <v>588</v>
      </c>
      <c r="P305" s="2" t="s">
        <v>153</v>
      </c>
      <c r="Q305" s="2" t="s">
        <v>155</v>
      </c>
      <c r="R305" s="2">
        <v>9</v>
      </c>
      <c r="S305" s="4" t="s">
        <v>153</v>
      </c>
      <c r="T305" s="2">
        <v>543</v>
      </c>
      <c r="U305" s="4" t="s">
        <v>1012</v>
      </c>
      <c r="V305" t="s">
        <v>2458</v>
      </c>
      <c r="W305" t="s">
        <v>2458</v>
      </c>
      <c r="X305" t="s">
        <v>2440</v>
      </c>
      <c r="Y305" t="s">
        <v>588</v>
      </c>
      <c r="Z305" s="3" t="s">
        <v>1109</v>
      </c>
      <c r="AA305" s="3" t="s">
        <v>2761</v>
      </c>
      <c r="AB305" s="3" t="s">
        <v>2884</v>
      </c>
      <c r="AC305" s="2" t="s">
        <v>168</v>
      </c>
      <c r="AD305" s="4" t="s">
        <v>1891</v>
      </c>
      <c r="AE305" t="s">
        <v>104</v>
      </c>
      <c r="AF305" t="s">
        <v>1885</v>
      </c>
      <c r="AG305" t="s">
        <v>1884</v>
      </c>
      <c r="AH305" t="s">
        <v>105</v>
      </c>
      <c r="AI305" s="3" t="s">
        <v>105</v>
      </c>
      <c r="AJ305" s="3" t="s">
        <v>106</v>
      </c>
      <c r="AK305" s="3" t="s">
        <v>107</v>
      </c>
      <c r="AL305" s="5" t="s">
        <v>1041</v>
      </c>
      <c r="AM305" s="5" t="s">
        <v>109</v>
      </c>
      <c r="AN305" t="s">
        <v>110</v>
      </c>
      <c r="AO305" s="3" t="s">
        <v>119</v>
      </c>
      <c r="AP305" s="3" t="s">
        <v>120</v>
      </c>
      <c r="AQ305" s="3" t="s">
        <v>27</v>
      </c>
      <c r="AR305" s="3" t="s">
        <v>112</v>
      </c>
      <c r="AS305" s="3" t="s">
        <v>112</v>
      </c>
      <c r="AT305" t="s">
        <v>191</v>
      </c>
      <c r="AU305" s="3" t="s">
        <v>2303</v>
      </c>
      <c r="AV305" s="3" t="s">
        <v>2302</v>
      </c>
      <c r="AW305" s="3" t="s">
        <v>2301</v>
      </c>
      <c r="AX305" s="3" t="s">
        <v>2006</v>
      </c>
      <c r="AY305" s="19" t="s">
        <v>114</v>
      </c>
      <c r="AZ305" s="19" t="s">
        <v>114</v>
      </c>
      <c r="BA305" s="19" t="s">
        <v>114</v>
      </c>
      <c r="BB305" s="19" t="s">
        <v>114</v>
      </c>
      <c r="BC305" s="19" t="s">
        <v>114</v>
      </c>
      <c r="BD305" s="19" t="s">
        <v>114</v>
      </c>
      <c r="BE305" s="19" t="s">
        <v>114</v>
      </c>
      <c r="BF305" s="19" t="s">
        <v>114</v>
      </c>
      <c r="BG305" s="19" t="s">
        <v>114</v>
      </c>
      <c r="BH305" s="19" t="s">
        <v>114</v>
      </c>
      <c r="BI305" s="19" t="s">
        <v>114</v>
      </c>
      <c r="BJ305" s="19" t="s">
        <v>114</v>
      </c>
      <c r="BK305" s="19" t="s">
        <v>114</v>
      </c>
      <c r="BL305" s="19" t="s">
        <v>114</v>
      </c>
      <c r="BM305" s="19" t="s">
        <v>114</v>
      </c>
      <c r="BN305" s="19" t="s">
        <v>114</v>
      </c>
      <c r="BO305" s="19" t="s">
        <v>114</v>
      </c>
      <c r="BP305" s="19" t="s">
        <v>114</v>
      </c>
      <c r="BQ305" s="19" t="s">
        <v>114</v>
      </c>
      <c r="BR305" s="19" t="s">
        <v>114</v>
      </c>
      <c r="BS305" s="19" t="s">
        <v>114</v>
      </c>
      <c r="BT305" s="19" t="s">
        <v>114</v>
      </c>
      <c r="BU305" s="19" t="s">
        <v>114</v>
      </c>
      <c r="BV305" s="19" t="s">
        <v>114</v>
      </c>
      <c r="BW305" s="19" t="s">
        <v>114</v>
      </c>
      <c r="BX305" s="19" t="s">
        <v>114</v>
      </c>
      <c r="BY305" s="19" t="s">
        <v>114</v>
      </c>
      <c r="BZ305" s="21" t="s">
        <v>114</v>
      </c>
      <c r="CA305" s="21" t="s">
        <v>114</v>
      </c>
      <c r="CB305" s="21" t="s">
        <v>114</v>
      </c>
      <c r="CC305" s="21" t="s">
        <v>114</v>
      </c>
      <c r="CD305" s="21" t="s">
        <v>114</v>
      </c>
      <c r="CE305" s="21" t="s">
        <v>114</v>
      </c>
      <c r="CF305" s="19" t="s">
        <v>114</v>
      </c>
      <c r="CG305" s="19" t="s">
        <v>114</v>
      </c>
      <c r="CH305" s="19" t="s">
        <v>114</v>
      </c>
      <c r="CI305" s="21" t="s">
        <v>114</v>
      </c>
      <c r="CJ305" s="21">
        <v>98400</v>
      </c>
      <c r="CK305" s="21" t="s">
        <v>114</v>
      </c>
      <c r="CL305" s="21" t="s">
        <v>114</v>
      </c>
      <c r="CM305" s="21" t="s">
        <v>114</v>
      </c>
      <c r="CN305" s="21" t="s">
        <v>114</v>
      </c>
      <c r="CO305" s="21" t="s">
        <v>114</v>
      </c>
      <c r="CP305" s="21" t="s">
        <v>114</v>
      </c>
      <c r="CQ305" s="21" t="s">
        <v>114</v>
      </c>
      <c r="CR305" s="21">
        <v>98418</v>
      </c>
      <c r="CS305" s="21" t="s">
        <v>114</v>
      </c>
      <c r="CT305" s="21" t="s">
        <v>114</v>
      </c>
      <c r="CU305" s="21" t="s">
        <v>114</v>
      </c>
      <c r="CV305" s="21" t="s">
        <v>114</v>
      </c>
      <c r="CW305" s="21" t="s">
        <v>114</v>
      </c>
      <c r="CX305" s="21" t="s">
        <v>114</v>
      </c>
      <c r="CY305" s="21">
        <v>98427</v>
      </c>
      <c r="CZ305" s="21" t="s">
        <v>114</v>
      </c>
      <c r="DA305" s="21">
        <v>98434</v>
      </c>
      <c r="DB305" s="21">
        <v>98435</v>
      </c>
      <c r="DC305" s="21" t="s">
        <v>114</v>
      </c>
      <c r="DD305" s="21" t="s">
        <v>114</v>
      </c>
      <c r="DE305" s="21">
        <v>98438</v>
      </c>
      <c r="DF305" s="19" t="s">
        <v>114</v>
      </c>
      <c r="DG305" s="19" t="s">
        <v>114</v>
      </c>
      <c r="DH305" s="19" t="s">
        <v>114</v>
      </c>
      <c r="DI305" s="19" t="s">
        <v>114</v>
      </c>
      <c r="DJ305" s="19" t="s">
        <v>114</v>
      </c>
      <c r="DK305" s="19" t="s">
        <v>114</v>
      </c>
      <c r="DL305" s="19" t="s">
        <v>114</v>
      </c>
      <c r="DM305" s="19" t="s">
        <v>114</v>
      </c>
      <c r="DN305" s="19" t="s">
        <v>114</v>
      </c>
      <c r="DO305" s="19" t="s">
        <v>114</v>
      </c>
    </row>
    <row r="306" spans="1:119" hidden="1" x14ac:dyDescent="0.45">
      <c r="A306" s="2" t="s">
        <v>1057</v>
      </c>
      <c r="B306" t="s">
        <v>1058</v>
      </c>
      <c r="C306" s="2">
        <v>612</v>
      </c>
      <c r="D306" s="6">
        <v>820</v>
      </c>
      <c r="E306" s="2" t="s">
        <v>1059</v>
      </c>
      <c r="F306" t="s">
        <v>1059</v>
      </c>
      <c r="H306" s="2" t="s">
        <v>1059</v>
      </c>
      <c r="I306" s="2" t="s">
        <v>1059</v>
      </c>
      <c r="J306" s="2">
        <v>9</v>
      </c>
      <c r="K306" t="s">
        <v>153</v>
      </c>
      <c r="L306" s="2">
        <v>61</v>
      </c>
      <c r="M306" t="s">
        <v>154</v>
      </c>
      <c r="P306" s="2" t="s">
        <v>153</v>
      </c>
      <c r="Q306" s="2" t="s">
        <v>155</v>
      </c>
      <c r="R306" s="2">
        <v>9</v>
      </c>
      <c r="S306" s="4" t="s">
        <v>153</v>
      </c>
      <c r="T306" s="2">
        <v>543</v>
      </c>
      <c r="U306" s="4" t="s">
        <v>1012</v>
      </c>
      <c r="V306" t="s">
        <v>2458</v>
      </c>
      <c r="W306" t="s">
        <v>2458</v>
      </c>
      <c r="X306" t="s">
        <v>2440</v>
      </c>
      <c r="Y306" t="s">
        <v>154</v>
      </c>
      <c r="Z306" s="3" t="s">
        <v>1109</v>
      </c>
      <c r="AA306" s="3" t="s">
        <v>2761</v>
      </c>
      <c r="AB306" s="3" t="s">
        <v>2884</v>
      </c>
      <c r="AC306" s="2" t="s">
        <v>1888</v>
      </c>
      <c r="AD306" s="2" t="s">
        <v>1888</v>
      </c>
      <c r="AE306" t="s">
        <v>104</v>
      </c>
      <c r="AF306" t="s">
        <v>1886</v>
      </c>
      <c r="AG306" s="3" t="s">
        <v>1887</v>
      </c>
      <c r="AH306" t="s">
        <v>105</v>
      </c>
      <c r="AI306" s="3" t="s">
        <v>105</v>
      </c>
      <c r="AJ306" s="3" t="s">
        <v>106</v>
      </c>
      <c r="AK306" s="3" t="s">
        <v>107</v>
      </c>
      <c r="AL306" s="5" t="s">
        <v>458</v>
      </c>
      <c r="AM306" s="5" t="s">
        <v>109</v>
      </c>
      <c r="AO306" s="3" t="s">
        <v>119</v>
      </c>
      <c r="AP306" s="3" t="s">
        <v>120</v>
      </c>
      <c r="AQ306" s="3" t="s">
        <v>111</v>
      </c>
      <c r="AR306" s="3" t="s">
        <v>112</v>
      </c>
      <c r="AS306" s="3" t="s">
        <v>112</v>
      </c>
      <c r="AT306" s="3" t="s">
        <v>113</v>
      </c>
      <c r="AU306" s="3" t="s">
        <v>2303</v>
      </c>
      <c r="AV306" s="3" t="s">
        <v>2302</v>
      </c>
      <c r="AW306" s="3" t="s">
        <v>2301</v>
      </c>
      <c r="AX306" s="3" t="s">
        <v>282</v>
      </c>
      <c r="AY306" s="19" t="s">
        <v>114</v>
      </c>
      <c r="AZ306" s="19" t="s">
        <v>114</v>
      </c>
      <c r="BA306" s="19" t="s">
        <v>114</v>
      </c>
      <c r="BB306" s="19" t="s">
        <v>114</v>
      </c>
      <c r="BC306" s="19" t="s">
        <v>114</v>
      </c>
      <c r="BD306" s="19" t="s">
        <v>114</v>
      </c>
      <c r="BE306" s="19" t="s">
        <v>114</v>
      </c>
      <c r="BF306" s="19" t="s">
        <v>114</v>
      </c>
      <c r="BG306" s="19" t="s">
        <v>114</v>
      </c>
      <c r="BH306" s="19" t="s">
        <v>114</v>
      </c>
      <c r="BI306" s="19" t="s">
        <v>114</v>
      </c>
      <c r="BJ306" s="19" t="s">
        <v>114</v>
      </c>
      <c r="BK306" s="19" t="s">
        <v>114</v>
      </c>
      <c r="BL306" s="19" t="s">
        <v>114</v>
      </c>
      <c r="BM306" s="19" t="s">
        <v>114</v>
      </c>
      <c r="BN306" s="19" t="s">
        <v>114</v>
      </c>
      <c r="BO306" s="19" t="s">
        <v>114</v>
      </c>
      <c r="BP306" s="19" t="s">
        <v>114</v>
      </c>
      <c r="BQ306" s="19" t="s">
        <v>114</v>
      </c>
      <c r="BR306" s="19" t="s">
        <v>114</v>
      </c>
      <c r="BS306" s="19" t="s">
        <v>114</v>
      </c>
      <c r="BT306" s="19" t="s">
        <v>114</v>
      </c>
      <c r="BU306" s="19" t="s">
        <v>114</v>
      </c>
      <c r="BV306" s="19" t="s">
        <v>114</v>
      </c>
      <c r="BW306" s="19" t="s">
        <v>114</v>
      </c>
      <c r="BX306" s="19" t="s">
        <v>114</v>
      </c>
      <c r="BY306" s="19" t="s">
        <v>114</v>
      </c>
      <c r="BZ306" s="21" t="s">
        <v>114</v>
      </c>
      <c r="CA306" s="21" t="s">
        <v>114</v>
      </c>
      <c r="CB306" s="21" t="s">
        <v>114</v>
      </c>
      <c r="CC306" s="21" t="s">
        <v>114</v>
      </c>
      <c r="CD306" s="21" t="s">
        <v>114</v>
      </c>
      <c r="CE306" s="21" t="s">
        <v>114</v>
      </c>
      <c r="CF306" s="19" t="s">
        <v>114</v>
      </c>
      <c r="CG306" s="19" t="s">
        <v>114</v>
      </c>
      <c r="CH306" s="19" t="s">
        <v>114</v>
      </c>
      <c r="CI306" s="21" t="s">
        <v>114</v>
      </c>
      <c r="CJ306" s="21" t="s">
        <v>114</v>
      </c>
      <c r="CK306" s="21" t="s">
        <v>114</v>
      </c>
      <c r="CL306" s="21" t="s">
        <v>114</v>
      </c>
      <c r="CM306" s="21" t="s">
        <v>114</v>
      </c>
      <c r="CN306" s="21" t="s">
        <v>114</v>
      </c>
      <c r="CO306" s="21" t="s">
        <v>114</v>
      </c>
      <c r="CP306" s="21" t="s">
        <v>114</v>
      </c>
      <c r="CQ306" s="21" t="s">
        <v>114</v>
      </c>
      <c r="CR306" s="21" t="s">
        <v>114</v>
      </c>
      <c r="CS306" s="21" t="s">
        <v>114</v>
      </c>
      <c r="CT306" s="21" t="s">
        <v>114</v>
      </c>
      <c r="CU306" s="21" t="s">
        <v>114</v>
      </c>
      <c r="CV306" s="21" t="s">
        <v>114</v>
      </c>
      <c r="CW306" s="21" t="s">
        <v>114</v>
      </c>
      <c r="CX306" s="21">
        <v>98426</v>
      </c>
      <c r="CY306" s="21" t="s">
        <v>114</v>
      </c>
      <c r="CZ306" s="21" t="s">
        <v>114</v>
      </c>
      <c r="DA306" s="21" t="s">
        <v>114</v>
      </c>
      <c r="DB306" s="21" t="s">
        <v>114</v>
      </c>
      <c r="DC306" s="21" t="s">
        <v>114</v>
      </c>
      <c r="DD306" s="21" t="s">
        <v>114</v>
      </c>
      <c r="DE306" s="21" t="s">
        <v>114</v>
      </c>
      <c r="DF306" s="19" t="s">
        <v>114</v>
      </c>
      <c r="DG306" s="19" t="s">
        <v>114</v>
      </c>
      <c r="DH306" s="19" t="s">
        <v>114</v>
      </c>
      <c r="DI306" s="19" t="s">
        <v>114</v>
      </c>
      <c r="DJ306" s="19" t="s">
        <v>114</v>
      </c>
      <c r="DK306" s="19" t="s">
        <v>114</v>
      </c>
      <c r="DL306" s="19" t="s">
        <v>114</v>
      </c>
      <c r="DM306" s="19" t="s">
        <v>114</v>
      </c>
      <c r="DN306" s="19" t="s">
        <v>114</v>
      </c>
      <c r="DO306" s="19" t="s">
        <v>114</v>
      </c>
    </row>
    <row r="307" spans="1:119" hidden="1" x14ac:dyDescent="0.45">
      <c r="A307" s="2" t="s">
        <v>1176</v>
      </c>
      <c r="B307" t="s">
        <v>1177</v>
      </c>
      <c r="C307" s="2">
        <v>882</v>
      </c>
      <c r="D307" s="6">
        <v>821</v>
      </c>
      <c r="E307" s="2" t="s">
        <v>1178</v>
      </c>
      <c r="F307" t="s">
        <v>1178</v>
      </c>
      <c r="G307" t="s">
        <v>2138</v>
      </c>
      <c r="H307" s="2" t="s">
        <v>1178</v>
      </c>
      <c r="I307" s="2" t="s">
        <v>1178</v>
      </c>
      <c r="J307" s="2">
        <v>9</v>
      </c>
      <c r="K307" t="s">
        <v>153</v>
      </c>
      <c r="L307" s="2">
        <v>61</v>
      </c>
      <c r="M307" t="s">
        <v>154</v>
      </c>
      <c r="P307" s="2" t="s">
        <v>153</v>
      </c>
      <c r="Q307" s="2" t="s">
        <v>155</v>
      </c>
      <c r="R307" s="2">
        <v>9</v>
      </c>
      <c r="S307" s="4" t="s">
        <v>153</v>
      </c>
      <c r="T307" s="2">
        <v>543</v>
      </c>
      <c r="U307" s="4" t="s">
        <v>1012</v>
      </c>
      <c r="V307" t="s">
        <v>2458</v>
      </c>
      <c r="W307" t="s">
        <v>2458</v>
      </c>
      <c r="X307" t="s">
        <v>2440</v>
      </c>
      <c r="Y307" t="s">
        <v>154</v>
      </c>
      <c r="Z307" s="3" t="s">
        <v>1109</v>
      </c>
      <c r="AA307" s="3" t="s">
        <v>2761</v>
      </c>
      <c r="AB307" s="3" t="s">
        <v>2884</v>
      </c>
      <c r="AC307" s="2" t="s">
        <v>168</v>
      </c>
      <c r="AD307" s="4" t="s">
        <v>1891</v>
      </c>
      <c r="AE307" t="s">
        <v>104</v>
      </c>
      <c r="AF307" t="s">
        <v>1885</v>
      </c>
      <c r="AG307" t="s">
        <v>1884</v>
      </c>
      <c r="AH307" t="s">
        <v>105</v>
      </c>
      <c r="AI307" s="3" t="s">
        <v>105</v>
      </c>
      <c r="AJ307" s="3" t="s">
        <v>106</v>
      </c>
      <c r="AK307" s="3" t="s">
        <v>107</v>
      </c>
      <c r="AL307" s="5" t="s">
        <v>1179</v>
      </c>
      <c r="AM307" s="5" t="s">
        <v>109</v>
      </c>
      <c r="AN307" t="s">
        <v>110</v>
      </c>
      <c r="AO307" s="3" t="s">
        <v>119</v>
      </c>
      <c r="AP307" s="3" t="s">
        <v>120</v>
      </c>
      <c r="AQ307" s="3" t="s">
        <v>27</v>
      </c>
      <c r="AR307" s="3" t="s">
        <v>112</v>
      </c>
      <c r="AS307" s="3" t="s">
        <v>112</v>
      </c>
      <c r="AT307" t="s">
        <v>191</v>
      </c>
      <c r="AU307" s="3" t="s">
        <v>2303</v>
      </c>
      <c r="AV307" s="3" t="s">
        <v>2302</v>
      </c>
      <c r="AW307" s="3" t="s">
        <v>2301</v>
      </c>
      <c r="AX307" s="3" t="s">
        <v>2006</v>
      </c>
      <c r="AY307" s="19" t="s">
        <v>114</v>
      </c>
      <c r="AZ307" s="19" t="s">
        <v>114</v>
      </c>
      <c r="BA307" s="19" t="s">
        <v>114</v>
      </c>
      <c r="BB307" s="19" t="s">
        <v>114</v>
      </c>
      <c r="BC307" s="19" t="s">
        <v>114</v>
      </c>
      <c r="BD307" s="19" t="s">
        <v>114</v>
      </c>
      <c r="BE307" s="19" t="s">
        <v>114</v>
      </c>
      <c r="BF307" s="19" t="s">
        <v>114</v>
      </c>
      <c r="BG307" s="19" t="s">
        <v>114</v>
      </c>
      <c r="BH307" s="19" t="s">
        <v>114</v>
      </c>
      <c r="BI307" s="19" t="s">
        <v>114</v>
      </c>
      <c r="BJ307" s="19" t="s">
        <v>114</v>
      </c>
      <c r="BK307" s="19" t="s">
        <v>114</v>
      </c>
      <c r="BL307" s="19" t="s">
        <v>114</v>
      </c>
      <c r="BM307" s="19" t="s">
        <v>114</v>
      </c>
      <c r="BN307" s="19" t="s">
        <v>114</v>
      </c>
      <c r="BO307" s="19" t="s">
        <v>114</v>
      </c>
      <c r="BP307" s="19" t="s">
        <v>114</v>
      </c>
      <c r="BQ307" s="19" t="s">
        <v>114</v>
      </c>
      <c r="BR307" s="19" t="s">
        <v>114</v>
      </c>
      <c r="BS307" s="19" t="s">
        <v>114</v>
      </c>
      <c r="BT307" s="19" t="s">
        <v>114</v>
      </c>
      <c r="BU307" s="19" t="s">
        <v>114</v>
      </c>
      <c r="BV307" s="19" t="s">
        <v>114</v>
      </c>
      <c r="BW307" s="19" t="s">
        <v>114</v>
      </c>
      <c r="BX307" s="19" t="s">
        <v>114</v>
      </c>
      <c r="BY307" s="19" t="s">
        <v>114</v>
      </c>
      <c r="BZ307" s="21" t="s">
        <v>114</v>
      </c>
      <c r="CA307" s="21" t="s">
        <v>114</v>
      </c>
      <c r="CB307" s="21" t="s">
        <v>114</v>
      </c>
      <c r="CC307" s="21" t="s">
        <v>114</v>
      </c>
      <c r="CD307" s="21" t="s">
        <v>114</v>
      </c>
      <c r="CE307" s="21" t="s">
        <v>114</v>
      </c>
      <c r="CF307" s="19" t="s">
        <v>114</v>
      </c>
      <c r="CG307" s="19" t="s">
        <v>114</v>
      </c>
      <c r="CH307" s="19" t="s">
        <v>114</v>
      </c>
      <c r="CI307" s="21" t="s">
        <v>114</v>
      </c>
      <c r="CJ307" s="21">
        <v>98400</v>
      </c>
      <c r="CK307" s="21" t="s">
        <v>114</v>
      </c>
      <c r="CL307" s="21" t="s">
        <v>114</v>
      </c>
      <c r="CM307" s="21" t="s">
        <v>114</v>
      </c>
      <c r="CN307" s="21" t="s">
        <v>114</v>
      </c>
      <c r="CO307" s="21" t="s">
        <v>114</v>
      </c>
      <c r="CP307" s="21" t="s">
        <v>114</v>
      </c>
      <c r="CQ307" s="21" t="s">
        <v>114</v>
      </c>
      <c r="CR307" s="21">
        <v>98418</v>
      </c>
      <c r="CS307" s="21" t="s">
        <v>114</v>
      </c>
      <c r="CT307" s="21" t="s">
        <v>114</v>
      </c>
      <c r="CU307" s="21" t="s">
        <v>114</v>
      </c>
      <c r="CV307" s="21" t="s">
        <v>114</v>
      </c>
      <c r="CW307" s="21" t="s">
        <v>114</v>
      </c>
      <c r="CX307" s="21" t="s">
        <v>114</v>
      </c>
      <c r="CY307" s="21">
        <v>98427</v>
      </c>
      <c r="CZ307" s="21" t="s">
        <v>114</v>
      </c>
      <c r="DA307" s="21">
        <v>98434</v>
      </c>
      <c r="DB307" s="21">
        <v>98435</v>
      </c>
      <c r="DC307" s="21" t="s">
        <v>114</v>
      </c>
      <c r="DD307" s="21" t="s">
        <v>114</v>
      </c>
      <c r="DE307" s="21">
        <v>98438</v>
      </c>
      <c r="DF307" s="19" t="s">
        <v>114</v>
      </c>
      <c r="DG307" s="19" t="s">
        <v>114</v>
      </c>
      <c r="DH307" s="19" t="s">
        <v>114</v>
      </c>
      <c r="DI307" s="19" t="s">
        <v>114</v>
      </c>
      <c r="DJ307" s="19" t="s">
        <v>114</v>
      </c>
      <c r="DK307" s="19" t="s">
        <v>114</v>
      </c>
      <c r="DL307" s="19" t="s">
        <v>114</v>
      </c>
      <c r="DM307" s="19" t="s">
        <v>114</v>
      </c>
      <c r="DN307" s="19" t="s">
        <v>114</v>
      </c>
      <c r="DO307" s="19" t="s">
        <v>114</v>
      </c>
    </row>
    <row r="308" spans="1:119" hidden="1" x14ac:dyDescent="0.45">
      <c r="A308" s="2" t="s">
        <v>1240</v>
      </c>
      <c r="B308" t="s">
        <v>1241</v>
      </c>
      <c r="C308" s="2">
        <v>90</v>
      </c>
      <c r="D308" s="6">
        <v>822</v>
      </c>
      <c r="E308" s="2" t="s">
        <v>1780</v>
      </c>
      <c r="F308" t="s">
        <v>1242</v>
      </c>
      <c r="G308" t="s">
        <v>1242</v>
      </c>
      <c r="H308" s="2" t="s">
        <v>1243</v>
      </c>
      <c r="I308" s="2" t="s">
        <v>1244</v>
      </c>
      <c r="J308" s="2">
        <v>9</v>
      </c>
      <c r="K308" t="s">
        <v>153</v>
      </c>
      <c r="L308" s="2">
        <v>54</v>
      </c>
      <c r="M308" t="s">
        <v>588</v>
      </c>
      <c r="P308" s="2" t="s">
        <v>153</v>
      </c>
      <c r="Q308" s="2" t="s">
        <v>155</v>
      </c>
      <c r="R308" s="2">
        <v>9</v>
      </c>
      <c r="S308" s="4" t="s">
        <v>153</v>
      </c>
      <c r="T308" s="2">
        <v>543</v>
      </c>
      <c r="U308" s="4" t="s">
        <v>1012</v>
      </c>
      <c r="V308" t="s">
        <v>2458</v>
      </c>
      <c r="W308" t="s">
        <v>2458</v>
      </c>
      <c r="X308" t="s">
        <v>2440</v>
      </c>
      <c r="Y308" t="s">
        <v>588</v>
      </c>
      <c r="Z308" s="3" t="s">
        <v>1109</v>
      </c>
      <c r="AA308" s="3" t="s">
        <v>2761</v>
      </c>
      <c r="AB308" s="3" t="s">
        <v>2884</v>
      </c>
      <c r="AC308" s="2" t="s">
        <v>168</v>
      </c>
      <c r="AD308" s="4" t="s">
        <v>1891</v>
      </c>
      <c r="AE308" t="s">
        <v>104</v>
      </c>
      <c r="AF308" t="s">
        <v>1885</v>
      </c>
      <c r="AG308" t="s">
        <v>1884</v>
      </c>
      <c r="AH308" t="s">
        <v>105</v>
      </c>
      <c r="AI308" s="3" t="s">
        <v>105</v>
      </c>
      <c r="AJ308" s="3" t="s">
        <v>106</v>
      </c>
      <c r="AK308" s="3" t="s">
        <v>107</v>
      </c>
      <c r="AL308" s="5" t="s">
        <v>1245</v>
      </c>
      <c r="AM308" s="5" t="s">
        <v>109</v>
      </c>
      <c r="AO308" t="s">
        <v>25</v>
      </c>
      <c r="AP308" s="3" t="s">
        <v>120</v>
      </c>
      <c r="AQ308" s="3" t="s">
        <v>27</v>
      </c>
      <c r="AR308" s="3" t="s">
        <v>112</v>
      </c>
      <c r="AS308" s="3" t="s">
        <v>112</v>
      </c>
      <c r="AT308" t="s">
        <v>191</v>
      </c>
      <c r="AU308" s="3" t="s">
        <v>2303</v>
      </c>
      <c r="AV308" s="3" t="s">
        <v>2302</v>
      </c>
      <c r="AW308" s="3" t="s">
        <v>2301</v>
      </c>
      <c r="AX308" s="3" t="s">
        <v>2006</v>
      </c>
      <c r="AY308" s="19" t="s">
        <v>114</v>
      </c>
      <c r="AZ308" s="19" t="s">
        <v>114</v>
      </c>
      <c r="BA308" s="19" t="s">
        <v>114</v>
      </c>
      <c r="BB308" s="19" t="s">
        <v>114</v>
      </c>
      <c r="BC308" s="19" t="s">
        <v>114</v>
      </c>
      <c r="BD308" s="19" t="s">
        <v>114</v>
      </c>
      <c r="BE308" s="19" t="s">
        <v>114</v>
      </c>
      <c r="BF308" s="19" t="s">
        <v>114</v>
      </c>
      <c r="BG308" s="19" t="s">
        <v>114</v>
      </c>
      <c r="BH308" s="19" t="s">
        <v>114</v>
      </c>
      <c r="BI308" s="19" t="s">
        <v>114</v>
      </c>
      <c r="BJ308" s="19" t="s">
        <v>114</v>
      </c>
      <c r="BK308" s="19" t="s">
        <v>114</v>
      </c>
      <c r="BL308" s="19" t="s">
        <v>114</v>
      </c>
      <c r="BM308" s="19" t="s">
        <v>114</v>
      </c>
      <c r="BN308" s="19" t="s">
        <v>114</v>
      </c>
      <c r="BO308" s="19" t="s">
        <v>114</v>
      </c>
      <c r="BP308" s="19" t="s">
        <v>114</v>
      </c>
      <c r="BQ308" s="19" t="s">
        <v>114</v>
      </c>
      <c r="BR308" s="19" t="s">
        <v>114</v>
      </c>
      <c r="BS308" s="19" t="s">
        <v>114</v>
      </c>
      <c r="BT308" s="19" t="s">
        <v>114</v>
      </c>
      <c r="BU308" s="19" t="s">
        <v>114</v>
      </c>
      <c r="BV308" s="19" t="s">
        <v>114</v>
      </c>
      <c r="BW308" s="19" t="s">
        <v>114</v>
      </c>
      <c r="BX308" s="19" t="s">
        <v>114</v>
      </c>
      <c r="BY308" s="19" t="s">
        <v>114</v>
      </c>
      <c r="BZ308" s="21" t="s">
        <v>114</v>
      </c>
      <c r="CA308" s="21" t="s">
        <v>114</v>
      </c>
      <c r="CB308" s="21" t="s">
        <v>114</v>
      </c>
      <c r="CC308" s="21" t="s">
        <v>114</v>
      </c>
      <c r="CD308" s="21" t="s">
        <v>114</v>
      </c>
      <c r="CE308" s="21" t="s">
        <v>114</v>
      </c>
      <c r="CF308" s="19" t="s">
        <v>114</v>
      </c>
      <c r="CG308" s="19" t="s">
        <v>114</v>
      </c>
      <c r="CH308" s="19" t="s">
        <v>114</v>
      </c>
      <c r="CI308" s="21" t="s">
        <v>114</v>
      </c>
      <c r="CJ308" s="21">
        <v>98400</v>
      </c>
      <c r="CK308" s="21" t="s">
        <v>114</v>
      </c>
      <c r="CL308" s="21" t="s">
        <v>114</v>
      </c>
      <c r="CM308" s="21" t="s">
        <v>114</v>
      </c>
      <c r="CN308" s="21" t="s">
        <v>114</v>
      </c>
      <c r="CO308" s="21">
        <v>98411</v>
      </c>
      <c r="CP308" s="21" t="s">
        <v>114</v>
      </c>
      <c r="CQ308" s="21" t="s">
        <v>114</v>
      </c>
      <c r="CR308" s="21">
        <v>98418</v>
      </c>
      <c r="CS308" s="21" t="s">
        <v>114</v>
      </c>
      <c r="CT308" s="21" t="s">
        <v>114</v>
      </c>
      <c r="CU308" s="21" t="s">
        <v>114</v>
      </c>
      <c r="CV308" s="21" t="s">
        <v>114</v>
      </c>
      <c r="CW308" s="21" t="s">
        <v>114</v>
      </c>
      <c r="CX308" s="21" t="s">
        <v>114</v>
      </c>
      <c r="CY308" s="21">
        <v>98427</v>
      </c>
      <c r="CZ308" s="21" t="s">
        <v>114</v>
      </c>
      <c r="DA308" s="21">
        <v>98434</v>
      </c>
      <c r="DB308" s="21">
        <v>98435</v>
      </c>
      <c r="DC308" s="21" t="s">
        <v>114</v>
      </c>
      <c r="DD308" s="21" t="s">
        <v>114</v>
      </c>
      <c r="DE308" s="21">
        <v>98438</v>
      </c>
      <c r="DF308" s="19" t="s">
        <v>114</v>
      </c>
      <c r="DG308" s="19" t="s">
        <v>114</v>
      </c>
      <c r="DH308" s="19" t="s">
        <v>114</v>
      </c>
      <c r="DI308" s="19" t="s">
        <v>114</v>
      </c>
      <c r="DJ308" s="19" t="s">
        <v>114</v>
      </c>
      <c r="DK308" s="19" t="s">
        <v>114</v>
      </c>
      <c r="DL308" s="19" t="s">
        <v>114</v>
      </c>
      <c r="DM308" s="19" t="s">
        <v>114</v>
      </c>
      <c r="DN308" s="19" t="s">
        <v>114</v>
      </c>
      <c r="DO308" s="19" t="s">
        <v>114</v>
      </c>
    </row>
    <row r="309" spans="1:119" hidden="1" x14ac:dyDescent="0.45">
      <c r="A309" s="2" t="s">
        <v>1334</v>
      </c>
      <c r="B309" t="s">
        <v>1335</v>
      </c>
      <c r="C309" s="2">
        <v>772</v>
      </c>
      <c r="D309" s="6">
        <v>823</v>
      </c>
      <c r="E309" s="2" t="s">
        <v>1336</v>
      </c>
      <c r="F309" t="s">
        <v>1336</v>
      </c>
      <c r="H309" s="2" t="s">
        <v>1337</v>
      </c>
      <c r="I309" s="2" t="s">
        <v>1336</v>
      </c>
      <c r="J309" s="2">
        <v>9</v>
      </c>
      <c r="K309" t="s">
        <v>153</v>
      </c>
      <c r="L309" s="2">
        <v>61</v>
      </c>
      <c r="M309" t="s">
        <v>154</v>
      </c>
      <c r="P309" s="2" t="s">
        <v>153</v>
      </c>
      <c r="Q309" s="2" t="s">
        <v>155</v>
      </c>
      <c r="R309" s="2">
        <v>9</v>
      </c>
      <c r="S309" s="4" t="s">
        <v>153</v>
      </c>
      <c r="T309" s="2">
        <v>543</v>
      </c>
      <c r="U309" s="4" t="s">
        <v>1012</v>
      </c>
      <c r="V309" t="s">
        <v>2458</v>
      </c>
      <c r="W309" t="s">
        <v>2458</v>
      </c>
      <c r="X309" t="s">
        <v>2440</v>
      </c>
      <c r="Y309" t="s">
        <v>154</v>
      </c>
      <c r="Z309" s="3" t="s">
        <v>1109</v>
      </c>
      <c r="AA309" s="3" t="s">
        <v>2761</v>
      </c>
      <c r="AB309" s="3" t="s">
        <v>2884</v>
      </c>
      <c r="AC309" s="2" t="s">
        <v>1888</v>
      </c>
      <c r="AD309" s="2" t="s">
        <v>1888</v>
      </c>
      <c r="AE309" t="s">
        <v>104</v>
      </c>
      <c r="AF309" t="s">
        <v>1885</v>
      </c>
      <c r="AG309" t="s">
        <v>1884</v>
      </c>
      <c r="AH309" t="s">
        <v>105</v>
      </c>
      <c r="AI309" s="3" t="s">
        <v>105</v>
      </c>
      <c r="AJ309" s="3" t="s">
        <v>106</v>
      </c>
      <c r="AK309" s="3" t="s">
        <v>107</v>
      </c>
      <c r="AL309" s="5" t="s">
        <v>458</v>
      </c>
      <c r="AM309" s="5" t="s">
        <v>109</v>
      </c>
      <c r="AO309" s="3" t="s">
        <v>119</v>
      </c>
      <c r="AP309" s="3" t="s">
        <v>120</v>
      </c>
      <c r="AQ309" s="3" t="s">
        <v>111</v>
      </c>
      <c r="AR309" s="3" t="s">
        <v>112</v>
      </c>
      <c r="AS309" s="3" t="s">
        <v>112</v>
      </c>
      <c r="AT309" s="3" t="s">
        <v>113</v>
      </c>
      <c r="AU309" s="3" t="s">
        <v>2303</v>
      </c>
      <c r="AV309" s="3" t="s">
        <v>2302</v>
      </c>
      <c r="AW309" s="3" t="s">
        <v>2301</v>
      </c>
      <c r="AX309" s="3" t="s">
        <v>2006</v>
      </c>
      <c r="AY309" s="19" t="s">
        <v>114</v>
      </c>
      <c r="AZ309" s="19" t="s">
        <v>114</v>
      </c>
      <c r="BA309" s="19" t="s">
        <v>114</v>
      </c>
      <c r="BB309" s="19" t="s">
        <v>114</v>
      </c>
      <c r="BC309" s="19" t="s">
        <v>114</v>
      </c>
      <c r="BD309" s="19" t="s">
        <v>114</v>
      </c>
      <c r="BE309" s="19" t="s">
        <v>114</v>
      </c>
      <c r="BF309" s="19" t="s">
        <v>114</v>
      </c>
      <c r="BG309" s="19" t="s">
        <v>114</v>
      </c>
      <c r="BH309" s="19" t="s">
        <v>114</v>
      </c>
      <c r="BI309" s="19" t="s">
        <v>114</v>
      </c>
      <c r="BJ309" s="19" t="s">
        <v>114</v>
      </c>
      <c r="BK309" s="19" t="s">
        <v>114</v>
      </c>
      <c r="BL309" s="19" t="s">
        <v>114</v>
      </c>
      <c r="BM309" s="19" t="s">
        <v>114</v>
      </c>
      <c r="BN309" s="19" t="s">
        <v>114</v>
      </c>
      <c r="BO309" s="19" t="s">
        <v>114</v>
      </c>
      <c r="BP309" s="19" t="s">
        <v>114</v>
      </c>
      <c r="BQ309" s="19" t="s">
        <v>114</v>
      </c>
      <c r="BR309" s="19" t="s">
        <v>114</v>
      </c>
      <c r="BS309" s="19" t="s">
        <v>114</v>
      </c>
      <c r="BT309" s="19" t="s">
        <v>114</v>
      </c>
      <c r="BU309" s="19" t="s">
        <v>114</v>
      </c>
      <c r="BV309" s="19" t="s">
        <v>114</v>
      </c>
      <c r="BW309" s="19" t="s">
        <v>114</v>
      </c>
      <c r="BX309" s="19" t="s">
        <v>114</v>
      </c>
      <c r="BY309" s="19" t="s">
        <v>114</v>
      </c>
      <c r="BZ309" s="21" t="s">
        <v>114</v>
      </c>
      <c r="CA309" s="21" t="s">
        <v>114</v>
      </c>
      <c r="CB309" s="21" t="s">
        <v>114</v>
      </c>
      <c r="CC309" s="21" t="s">
        <v>114</v>
      </c>
      <c r="CD309" s="21" t="s">
        <v>114</v>
      </c>
      <c r="CE309" s="21" t="s">
        <v>114</v>
      </c>
      <c r="CF309" s="19" t="s">
        <v>114</v>
      </c>
      <c r="CG309" s="19" t="s">
        <v>114</v>
      </c>
      <c r="CH309" s="19" t="s">
        <v>114</v>
      </c>
      <c r="CI309" s="21" t="s">
        <v>114</v>
      </c>
      <c r="CJ309" s="21" t="s">
        <v>114</v>
      </c>
      <c r="CK309" s="21" t="s">
        <v>114</v>
      </c>
      <c r="CL309" s="21" t="s">
        <v>114</v>
      </c>
      <c r="CM309" s="21" t="s">
        <v>114</v>
      </c>
      <c r="CN309" s="21" t="s">
        <v>114</v>
      </c>
      <c r="CO309" s="21" t="s">
        <v>114</v>
      </c>
      <c r="CP309" s="21" t="s">
        <v>114</v>
      </c>
      <c r="CQ309" s="21" t="s">
        <v>114</v>
      </c>
      <c r="CR309" s="21" t="s">
        <v>114</v>
      </c>
      <c r="CS309" s="21" t="s">
        <v>114</v>
      </c>
      <c r="CT309" s="21" t="s">
        <v>114</v>
      </c>
      <c r="CU309" s="21" t="s">
        <v>114</v>
      </c>
      <c r="CV309" s="21" t="s">
        <v>114</v>
      </c>
      <c r="CW309" s="21" t="s">
        <v>114</v>
      </c>
      <c r="CX309" s="21">
        <v>98426</v>
      </c>
      <c r="CY309" s="21" t="s">
        <v>114</v>
      </c>
      <c r="CZ309" s="21" t="s">
        <v>114</v>
      </c>
      <c r="DA309" s="21" t="s">
        <v>114</v>
      </c>
      <c r="DB309" s="21" t="s">
        <v>114</v>
      </c>
      <c r="DC309" s="21" t="s">
        <v>114</v>
      </c>
      <c r="DD309" s="21" t="s">
        <v>114</v>
      </c>
      <c r="DE309" s="21" t="s">
        <v>114</v>
      </c>
      <c r="DF309" s="19" t="s">
        <v>114</v>
      </c>
      <c r="DG309" s="19" t="s">
        <v>114</v>
      </c>
      <c r="DH309" s="19" t="s">
        <v>114</v>
      </c>
      <c r="DI309" s="19" t="s">
        <v>114</v>
      </c>
      <c r="DJ309" s="19" t="s">
        <v>114</v>
      </c>
      <c r="DK309" s="19" t="s">
        <v>114</v>
      </c>
      <c r="DL309" s="19" t="s">
        <v>114</v>
      </c>
      <c r="DM309" s="19" t="s">
        <v>114</v>
      </c>
      <c r="DN309" s="19" t="s">
        <v>114</v>
      </c>
      <c r="DO309" s="19" t="s">
        <v>114</v>
      </c>
    </row>
    <row r="310" spans="1:119" hidden="1" x14ac:dyDescent="0.45">
      <c r="A310" s="2" t="s">
        <v>1338</v>
      </c>
      <c r="B310" t="s">
        <v>1339</v>
      </c>
      <c r="C310" s="2">
        <v>776</v>
      </c>
      <c r="D310" s="6">
        <v>824</v>
      </c>
      <c r="E310" s="2" t="s">
        <v>1340</v>
      </c>
      <c r="F310" t="s">
        <v>1340</v>
      </c>
      <c r="G310" t="s">
        <v>2161</v>
      </c>
      <c r="H310" s="2" t="s">
        <v>1340</v>
      </c>
      <c r="I310" s="2" t="s">
        <v>1340</v>
      </c>
      <c r="J310" s="2">
        <v>9</v>
      </c>
      <c r="K310" t="s">
        <v>153</v>
      </c>
      <c r="L310" s="2">
        <v>61</v>
      </c>
      <c r="M310" t="s">
        <v>154</v>
      </c>
      <c r="P310" s="2" t="s">
        <v>153</v>
      </c>
      <c r="Q310" s="2" t="s">
        <v>155</v>
      </c>
      <c r="R310" s="2">
        <v>9</v>
      </c>
      <c r="S310" s="4" t="s">
        <v>153</v>
      </c>
      <c r="T310" s="2">
        <v>543</v>
      </c>
      <c r="U310" s="4" t="s">
        <v>1012</v>
      </c>
      <c r="V310" t="s">
        <v>2458</v>
      </c>
      <c r="W310" t="s">
        <v>2458</v>
      </c>
      <c r="X310" t="s">
        <v>2440</v>
      </c>
      <c r="Y310" t="s">
        <v>154</v>
      </c>
      <c r="Z310" s="3" t="s">
        <v>1109</v>
      </c>
      <c r="AA310" s="3" t="s">
        <v>2761</v>
      </c>
      <c r="AB310" s="3" t="s">
        <v>2884</v>
      </c>
      <c r="AC310" s="2" t="s">
        <v>138</v>
      </c>
      <c r="AD310" s="4" t="s">
        <v>1891</v>
      </c>
      <c r="AE310" t="s">
        <v>104</v>
      </c>
      <c r="AF310" t="s">
        <v>1885</v>
      </c>
      <c r="AG310" t="s">
        <v>1884</v>
      </c>
      <c r="AH310" t="s">
        <v>105</v>
      </c>
      <c r="AI310" s="3" t="s">
        <v>105</v>
      </c>
      <c r="AJ310" s="3" t="s">
        <v>106</v>
      </c>
      <c r="AK310" s="3" t="s">
        <v>107</v>
      </c>
      <c r="AL310" s="5" t="s">
        <v>1341</v>
      </c>
      <c r="AM310" s="5" t="s">
        <v>109</v>
      </c>
      <c r="AN310" t="s">
        <v>110</v>
      </c>
      <c r="AO310" s="3" t="s">
        <v>119</v>
      </c>
      <c r="AP310" s="3" t="s">
        <v>120</v>
      </c>
      <c r="AQ310" s="3" t="s">
        <v>27</v>
      </c>
      <c r="AR310" s="3" t="s">
        <v>112</v>
      </c>
      <c r="AS310" s="3" t="s">
        <v>112</v>
      </c>
      <c r="AT310" t="s">
        <v>191</v>
      </c>
      <c r="AU310" s="3" t="s">
        <v>2303</v>
      </c>
      <c r="AV310" s="3" t="s">
        <v>2302</v>
      </c>
      <c r="AW310" s="3" t="s">
        <v>2301</v>
      </c>
      <c r="AX310" s="3" t="s">
        <v>2006</v>
      </c>
      <c r="AY310" s="19" t="s">
        <v>114</v>
      </c>
      <c r="AZ310" s="19" t="s">
        <v>114</v>
      </c>
      <c r="BA310" s="19" t="s">
        <v>114</v>
      </c>
      <c r="BB310" s="19" t="s">
        <v>114</v>
      </c>
      <c r="BC310" s="19" t="s">
        <v>114</v>
      </c>
      <c r="BD310" s="19" t="s">
        <v>114</v>
      </c>
      <c r="BE310" s="19" t="s">
        <v>114</v>
      </c>
      <c r="BF310" s="19" t="s">
        <v>114</v>
      </c>
      <c r="BG310" s="19" t="s">
        <v>114</v>
      </c>
      <c r="BH310" s="19" t="s">
        <v>114</v>
      </c>
      <c r="BI310" s="19" t="s">
        <v>114</v>
      </c>
      <c r="BJ310" s="19" t="s">
        <v>114</v>
      </c>
      <c r="BK310" s="19" t="s">
        <v>114</v>
      </c>
      <c r="BL310" s="19" t="s">
        <v>114</v>
      </c>
      <c r="BM310" s="19" t="s">
        <v>114</v>
      </c>
      <c r="BN310" s="19" t="s">
        <v>114</v>
      </c>
      <c r="BO310" s="19" t="s">
        <v>114</v>
      </c>
      <c r="BP310" s="19" t="s">
        <v>114</v>
      </c>
      <c r="BQ310" s="19" t="s">
        <v>114</v>
      </c>
      <c r="BR310" s="19" t="s">
        <v>114</v>
      </c>
      <c r="BS310" s="19" t="s">
        <v>114</v>
      </c>
      <c r="BT310" s="19" t="s">
        <v>114</v>
      </c>
      <c r="BU310" s="19" t="s">
        <v>114</v>
      </c>
      <c r="BV310" s="19" t="s">
        <v>114</v>
      </c>
      <c r="BW310" s="19" t="s">
        <v>114</v>
      </c>
      <c r="BX310" s="19" t="s">
        <v>114</v>
      </c>
      <c r="BY310" s="19" t="s">
        <v>114</v>
      </c>
      <c r="BZ310" s="21" t="s">
        <v>114</v>
      </c>
      <c r="CA310" s="21" t="s">
        <v>114</v>
      </c>
      <c r="CB310" s="21" t="s">
        <v>114</v>
      </c>
      <c r="CC310" s="21" t="s">
        <v>114</v>
      </c>
      <c r="CD310" s="21" t="s">
        <v>114</v>
      </c>
      <c r="CE310" s="21" t="s">
        <v>114</v>
      </c>
      <c r="CF310" s="19" t="s">
        <v>114</v>
      </c>
      <c r="CG310" s="19" t="s">
        <v>114</v>
      </c>
      <c r="CH310" s="19" t="s">
        <v>114</v>
      </c>
      <c r="CI310" s="21" t="s">
        <v>114</v>
      </c>
      <c r="CJ310" s="21">
        <v>98400</v>
      </c>
      <c r="CK310" s="21" t="s">
        <v>114</v>
      </c>
      <c r="CL310" s="21" t="s">
        <v>114</v>
      </c>
      <c r="CM310" s="21" t="s">
        <v>114</v>
      </c>
      <c r="CN310" s="21" t="s">
        <v>114</v>
      </c>
      <c r="CO310" s="21" t="s">
        <v>114</v>
      </c>
      <c r="CP310" s="21" t="s">
        <v>114</v>
      </c>
      <c r="CQ310" s="21" t="s">
        <v>114</v>
      </c>
      <c r="CR310" s="21">
        <v>98418</v>
      </c>
      <c r="CS310" s="21" t="s">
        <v>114</v>
      </c>
      <c r="CT310" s="21" t="s">
        <v>114</v>
      </c>
      <c r="CU310" s="21" t="s">
        <v>114</v>
      </c>
      <c r="CV310" s="21" t="s">
        <v>114</v>
      </c>
      <c r="CW310" s="21" t="s">
        <v>114</v>
      </c>
      <c r="CX310" s="21" t="s">
        <v>114</v>
      </c>
      <c r="CY310" s="21">
        <v>98427</v>
      </c>
      <c r="CZ310" s="21" t="s">
        <v>114</v>
      </c>
      <c r="DA310" s="21">
        <v>98434</v>
      </c>
      <c r="DB310" s="21">
        <v>98435</v>
      </c>
      <c r="DC310" s="21" t="s">
        <v>114</v>
      </c>
      <c r="DD310" s="21">
        <v>98437</v>
      </c>
      <c r="DE310" s="21" t="s">
        <v>114</v>
      </c>
      <c r="DF310" s="19" t="s">
        <v>114</v>
      </c>
      <c r="DG310" s="19" t="s">
        <v>114</v>
      </c>
      <c r="DH310" s="19" t="s">
        <v>114</v>
      </c>
      <c r="DI310" s="19" t="s">
        <v>114</v>
      </c>
      <c r="DJ310" s="19" t="s">
        <v>114</v>
      </c>
      <c r="DK310" s="19" t="s">
        <v>114</v>
      </c>
      <c r="DL310" s="19" t="s">
        <v>114</v>
      </c>
      <c r="DM310" s="19" t="s">
        <v>114</v>
      </c>
      <c r="DN310" s="19" t="s">
        <v>114</v>
      </c>
      <c r="DO310" s="19" t="s">
        <v>114</v>
      </c>
    </row>
    <row r="311" spans="1:119" hidden="1" x14ac:dyDescent="0.45">
      <c r="A311" s="2" t="s">
        <v>1369</v>
      </c>
      <c r="B311" t="s">
        <v>1370</v>
      </c>
      <c r="C311" s="2">
        <v>798</v>
      </c>
      <c r="D311" s="6">
        <v>825</v>
      </c>
      <c r="E311" s="2" t="s">
        <v>1371</v>
      </c>
      <c r="F311" t="s">
        <v>1371</v>
      </c>
      <c r="G311" t="s">
        <v>1371</v>
      </c>
      <c r="H311" s="2" t="s">
        <v>1371</v>
      </c>
      <c r="I311" s="2" t="s">
        <v>1371</v>
      </c>
      <c r="J311" s="2">
        <v>9</v>
      </c>
      <c r="K311" t="s">
        <v>153</v>
      </c>
      <c r="L311" s="2">
        <v>61</v>
      </c>
      <c r="M311" t="s">
        <v>154</v>
      </c>
      <c r="P311" s="2" t="s">
        <v>153</v>
      </c>
      <c r="Q311" s="2" t="s">
        <v>155</v>
      </c>
      <c r="R311" s="2">
        <v>9</v>
      </c>
      <c r="S311" s="4" t="s">
        <v>153</v>
      </c>
      <c r="T311" s="2">
        <v>543</v>
      </c>
      <c r="U311" s="4" t="s">
        <v>1012</v>
      </c>
      <c r="V311" t="s">
        <v>2458</v>
      </c>
      <c r="W311" t="s">
        <v>2458</v>
      </c>
      <c r="X311" t="s">
        <v>2440</v>
      </c>
      <c r="Y311" t="s">
        <v>154</v>
      </c>
      <c r="Z311" s="3" t="s">
        <v>1109</v>
      </c>
      <c r="AA311" s="3" t="s">
        <v>2761</v>
      </c>
      <c r="AB311" s="3" t="s">
        <v>2884</v>
      </c>
      <c r="AC311" s="2" t="s">
        <v>138</v>
      </c>
      <c r="AD311" s="4" t="s">
        <v>1891</v>
      </c>
      <c r="AE311" t="s">
        <v>104</v>
      </c>
      <c r="AF311" t="s">
        <v>1885</v>
      </c>
      <c r="AG311" t="s">
        <v>1884</v>
      </c>
      <c r="AH311" t="s">
        <v>105</v>
      </c>
      <c r="AI311" s="3" t="s">
        <v>105</v>
      </c>
      <c r="AJ311" s="3" t="s">
        <v>106</v>
      </c>
      <c r="AK311" s="3" t="s">
        <v>107</v>
      </c>
      <c r="AL311" s="5" t="s">
        <v>217</v>
      </c>
      <c r="AM311" s="5" t="s">
        <v>109</v>
      </c>
      <c r="AO311" t="s">
        <v>25</v>
      </c>
      <c r="AP311" s="3" t="s">
        <v>120</v>
      </c>
      <c r="AQ311" s="3" t="s">
        <v>27</v>
      </c>
      <c r="AR311" s="3" t="s">
        <v>112</v>
      </c>
      <c r="AS311" s="3" t="s">
        <v>112</v>
      </c>
      <c r="AT311" t="s">
        <v>191</v>
      </c>
      <c r="AU311" s="3" t="s">
        <v>2303</v>
      </c>
      <c r="AV311" s="3" t="s">
        <v>2302</v>
      </c>
      <c r="AW311" s="3" t="s">
        <v>2301</v>
      </c>
      <c r="AX311" s="3" t="s">
        <v>2006</v>
      </c>
      <c r="AY311" s="19" t="s">
        <v>114</v>
      </c>
      <c r="AZ311" s="19" t="s">
        <v>114</v>
      </c>
      <c r="BA311" s="19" t="s">
        <v>114</v>
      </c>
      <c r="BB311" s="19" t="s">
        <v>114</v>
      </c>
      <c r="BC311" s="19" t="s">
        <v>114</v>
      </c>
      <c r="BD311" s="19" t="s">
        <v>114</v>
      </c>
      <c r="BE311" s="19" t="s">
        <v>114</v>
      </c>
      <c r="BF311" s="19" t="s">
        <v>114</v>
      </c>
      <c r="BG311" s="19" t="s">
        <v>114</v>
      </c>
      <c r="BH311" s="19" t="s">
        <v>114</v>
      </c>
      <c r="BI311" s="19" t="s">
        <v>114</v>
      </c>
      <c r="BJ311" s="19" t="s">
        <v>114</v>
      </c>
      <c r="BK311" s="19" t="s">
        <v>114</v>
      </c>
      <c r="BL311" s="19" t="s">
        <v>114</v>
      </c>
      <c r="BM311" s="19" t="s">
        <v>114</v>
      </c>
      <c r="BN311" s="19" t="s">
        <v>114</v>
      </c>
      <c r="BO311" s="19" t="s">
        <v>114</v>
      </c>
      <c r="BP311" s="19" t="s">
        <v>114</v>
      </c>
      <c r="BQ311" s="19" t="s">
        <v>114</v>
      </c>
      <c r="BR311" s="19" t="s">
        <v>114</v>
      </c>
      <c r="BS311" s="19" t="s">
        <v>114</v>
      </c>
      <c r="BT311" s="19" t="s">
        <v>114</v>
      </c>
      <c r="BU311" s="19" t="s">
        <v>114</v>
      </c>
      <c r="BV311" s="19" t="s">
        <v>114</v>
      </c>
      <c r="BW311" s="19" t="s">
        <v>114</v>
      </c>
      <c r="BX311" s="19" t="s">
        <v>114</v>
      </c>
      <c r="BY311" s="19" t="s">
        <v>114</v>
      </c>
      <c r="BZ311" s="21" t="s">
        <v>114</v>
      </c>
      <c r="CA311" s="21" t="s">
        <v>114</v>
      </c>
      <c r="CB311" s="21" t="s">
        <v>114</v>
      </c>
      <c r="CC311" s="21" t="s">
        <v>114</v>
      </c>
      <c r="CD311" s="21" t="s">
        <v>114</v>
      </c>
      <c r="CE311" s="21" t="s">
        <v>114</v>
      </c>
      <c r="CF311" s="19" t="s">
        <v>114</v>
      </c>
      <c r="CG311" s="19" t="s">
        <v>114</v>
      </c>
      <c r="CH311" s="19" t="s">
        <v>114</v>
      </c>
      <c r="CI311" s="21" t="s">
        <v>114</v>
      </c>
      <c r="CJ311" s="21">
        <v>98400</v>
      </c>
      <c r="CK311" s="21" t="s">
        <v>114</v>
      </c>
      <c r="CL311" s="21" t="s">
        <v>114</v>
      </c>
      <c r="CM311" s="21" t="s">
        <v>114</v>
      </c>
      <c r="CN311" s="21" t="s">
        <v>114</v>
      </c>
      <c r="CO311" s="21">
        <v>98411</v>
      </c>
      <c r="CP311" s="21" t="s">
        <v>114</v>
      </c>
      <c r="CQ311" s="21" t="s">
        <v>114</v>
      </c>
      <c r="CR311" s="21">
        <v>98418</v>
      </c>
      <c r="CS311" s="21" t="s">
        <v>114</v>
      </c>
      <c r="CT311" s="21" t="s">
        <v>114</v>
      </c>
      <c r="CU311" s="21" t="s">
        <v>114</v>
      </c>
      <c r="CV311" s="21" t="s">
        <v>114</v>
      </c>
      <c r="CW311" s="21" t="s">
        <v>114</v>
      </c>
      <c r="CX311" s="21" t="s">
        <v>114</v>
      </c>
      <c r="CY311" s="21">
        <v>98427</v>
      </c>
      <c r="CZ311" s="21" t="s">
        <v>114</v>
      </c>
      <c r="DA311" s="21">
        <v>98434</v>
      </c>
      <c r="DB311" s="21">
        <v>98435</v>
      </c>
      <c r="DC311" s="21" t="s">
        <v>114</v>
      </c>
      <c r="DD311" s="21">
        <v>98437</v>
      </c>
      <c r="DE311" s="21" t="s">
        <v>114</v>
      </c>
      <c r="DF311" s="19" t="s">
        <v>114</v>
      </c>
      <c r="DG311" s="19" t="s">
        <v>114</v>
      </c>
      <c r="DH311" s="19" t="s">
        <v>114</v>
      </c>
      <c r="DI311" s="19" t="s">
        <v>114</v>
      </c>
      <c r="DJ311" s="19" t="s">
        <v>114</v>
      </c>
      <c r="DK311" s="19" t="s">
        <v>114</v>
      </c>
      <c r="DL311" s="19" t="s">
        <v>114</v>
      </c>
      <c r="DM311" s="19" t="s">
        <v>114</v>
      </c>
      <c r="DN311" s="19" t="s">
        <v>114</v>
      </c>
      <c r="DO311" s="19" t="s">
        <v>114</v>
      </c>
    </row>
    <row r="312" spans="1:119" hidden="1" x14ac:dyDescent="0.45">
      <c r="A312" s="2" t="s">
        <v>1400</v>
      </c>
      <c r="B312" t="s">
        <v>1401</v>
      </c>
      <c r="C312" s="2">
        <v>581</v>
      </c>
      <c r="D312" s="6">
        <v>826</v>
      </c>
      <c r="E312" s="2" t="s">
        <v>1854</v>
      </c>
      <c r="F312" t="s">
        <v>1402</v>
      </c>
      <c r="H312" s="2" t="s">
        <v>1403</v>
      </c>
      <c r="I312" s="2" t="s">
        <v>1404</v>
      </c>
      <c r="J312" s="2">
        <v>9</v>
      </c>
      <c r="K312" t="s">
        <v>153</v>
      </c>
      <c r="L312" s="2">
        <v>57</v>
      </c>
      <c r="M312" t="s">
        <v>665</v>
      </c>
      <c r="P312" s="2" t="s">
        <v>153</v>
      </c>
      <c r="Q312" s="2" t="s">
        <v>155</v>
      </c>
      <c r="R312" s="2">
        <v>9</v>
      </c>
      <c r="S312" s="4" t="s">
        <v>153</v>
      </c>
      <c r="T312" s="2">
        <v>543</v>
      </c>
      <c r="U312" s="4" t="s">
        <v>1012</v>
      </c>
      <c r="V312" t="s">
        <v>1406</v>
      </c>
      <c r="W312" t="s">
        <v>1406</v>
      </c>
      <c r="X312" t="s">
        <v>2446</v>
      </c>
      <c r="Y312" t="s">
        <v>665</v>
      </c>
      <c r="Z312" s="3" t="s">
        <v>1109</v>
      </c>
      <c r="AA312" s="3" t="s">
        <v>2761</v>
      </c>
      <c r="AB312" s="3" t="s">
        <v>2884</v>
      </c>
      <c r="AC312" s="2" t="s">
        <v>1888</v>
      </c>
      <c r="AD312" s="2" t="s">
        <v>1888</v>
      </c>
      <c r="AE312" t="s">
        <v>104</v>
      </c>
      <c r="AF312" t="s">
        <v>1886</v>
      </c>
      <c r="AG312" s="3" t="s">
        <v>1887</v>
      </c>
      <c r="AH312" t="s">
        <v>105</v>
      </c>
      <c r="AI312" s="3" t="s">
        <v>105</v>
      </c>
      <c r="AJ312" s="3" t="s">
        <v>106</v>
      </c>
      <c r="AK312" s="3" t="s">
        <v>107</v>
      </c>
      <c r="AL312" s="5" t="s">
        <v>156</v>
      </c>
      <c r="AM312" s="5" t="s">
        <v>109</v>
      </c>
      <c r="AO312" s="3" t="s">
        <v>119</v>
      </c>
      <c r="AP312" s="3" t="s">
        <v>120</v>
      </c>
      <c r="AQ312" s="3" t="s">
        <v>111</v>
      </c>
      <c r="AR312" s="3" t="s">
        <v>112</v>
      </c>
      <c r="AS312" s="3" t="s">
        <v>112</v>
      </c>
      <c r="AT312" s="3" t="s">
        <v>113</v>
      </c>
      <c r="AU312" s="3" t="s">
        <v>2303</v>
      </c>
      <c r="AV312" s="3" t="s">
        <v>2302</v>
      </c>
      <c r="AW312" s="3" t="s">
        <v>2301</v>
      </c>
      <c r="AX312" s="3" t="s">
        <v>282</v>
      </c>
      <c r="AY312" s="19" t="s">
        <v>114</v>
      </c>
      <c r="AZ312" s="19" t="s">
        <v>114</v>
      </c>
      <c r="BA312" s="19" t="s">
        <v>114</v>
      </c>
      <c r="BB312" s="19" t="s">
        <v>114</v>
      </c>
      <c r="BC312" s="19" t="s">
        <v>114</v>
      </c>
      <c r="BD312" s="19" t="s">
        <v>114</v>
      </c>
      <c r="BE312" s="19" t="s">
        <v>114</v>
      </c>
      <c r="BF312" s="19" t="s">
        <v>114</v>
      </c>
      <c r="BG312" s="19" t="s">
        <v>114</v>
      </c>
      <c r="BH312" s="19" t="s">
        <v>114</v>
      </c>
      <c r="BI312" s="19" t="s">
        <v>114</v>
      </c>
      <c r="BJ312" s="19" t="s">
        <v>114</v>
      </c>
      <c r="BK312" s="19" t="s">
        <v>114</v>
      </c>
      <c r="BL312" s="19" t="s">
        <v>114</v>
      </c>
      <c r="BM312" s="19" t="s">
        <v>114</v>
      </c>
      <c r="BN312" s="19" t="s">
        <v>114</v>
      </c>
      <c r="BO312" s="19" t="s">
        <v>114</v>
      </c>
      <c r="BP312" s="19" t="s">
        <v>114</v>
      </c>
      <c r="BQ312" s="19" t="s">
        <v>114</v>
      </c>
      <c r="BR312" s="19" t="s">
        <v>114</v>
      </c>
      <c r="BS312" s="19" t="s">
        <v>114</v>
      </c>
      <c r="BT312" s="19" t="s">
        <v>114</v>
      </c>
      <c r="BU312" s="19" t="s">
        <v>114</v>
      </c>
      <c r="BV312" s="19" t="s">
        <v>114</v>
      </c>
      <c r="BW312" s="19" t="s">
        <v>114</v>
      </c>
      <c r="BX312" s="19" t="s">
        <v>114</v>
      </c>
      <c r="BY312" s="19" t="s">
        <v>114</v>
      </c>
      <c r="BZ312" s="21" t="s">
        <v>114</v>
      </c>
      <c r="CA312" s="21" t="s">
        <v>114</v>
      </c>
      <c r="CB312" s="21" t="s">
        <v>114</v>
      </c>
      <c r="CC312" s="21" t="s">
        <v>114</v>
      </c>
      <c r="CD312" s="21" t="s">
        <v>114</v>
      </c>
      <c r="CE312" s="21" t="s">
        <v>114</v>
      </c>
      <c r="CF312" s="19" t="s">
        <v>114</v>
      </c>
      <c r="CG312" s="19" t="s">
        <v>114</v>
      </c>
      <c r="CH312" s="19" t="s">
        <v>114</v>
      </c>
      <c r="CI312" s="21" t="s">
        <v>114</v>
      </c>
      <c r="CJ312" s="21" t="s">
        <v>114</v>
      </c>
      <c r="CK312" s="21" t="s">
        <v>114</v>
      </c>
      <c r="CL312" s="21" t="s">
        <v>114</v>
      </c>
      <c r="CM312" s="21" t="s">
        <v>114</v>
      </c>
      <c r="CN312" s="21" t="s">
        <v>114</v>
      </c>
      <c r="CO312" s="21" t="s">
        <v>114</v>
      </c>
      <c r="CP312" s="21" t="s">
        <v>114</v>
      </c>
      <c r="CQ312" s="21" t="s">
        <v>114</v>
      </c>
      <c r="CR312" s="21" t="s">
        <v>114</v>
      </c>
      <c r="CS312" s="21" t="s">
        <v>114</v>
      </c>
      <c r="CT312" s="21" t="s">
        <v>114</v>
      </c>
      <c r="CU312" s="21" t="s">
        <v>114</v>
      </c>
      <c r="CV312" s="21" t="s">
        <v>114</v>
      </c>
      <c r="CW312" s="21" t="s">
        <v>114</v>
      </c>
      <c r="CX312" s="21">
        <v>98426</v>
      </c>
      <c r="CY312" s="21" t="s">
        <v>114</v>
      </c>
      <c r="CZ312" s="21" t="s">
        <v>114</v>
      </c>
      <c r="DA312" s="21" t="s">
        <v>114</v>
      </c>
      <c r="DB312" s="21" t="s">
        <v>114</v>
      </c>
      <c r="DC312" s="21" t="s">
        <v>114</v>
      </c>
      <c r="DD312" s="21" t="s">
        <v>114</v>
      </c>
      <c r="DE312" s="21" t="s">
        <v>114</v>
      </c>
      <c r="DF312" s="19" t="s">
        <v>114</v>
      </c>
      <c r="DG312" s="19" t="s">
        <v>114</v>
      </c>
      <c r="DH312" s="19" t="s">
        <v>114</v>
      </c>
      <c r="DI312" s="19" t="s">
        <v>114</v>
      </c>
      <c r="DJ312" s="19" t="s">
        <v>114</v>
      </c>
      <c r="DK312" s="19" t="s">
        <v>114</v>
      </c>
      <c r="DL312" s="19" t="s">
        <v>114</v>
      </c>
      <c r="DM312" s="19" t="s">
        <v>114</v>
      </c>
      <c r="DN312" s="19" t="s">
        <v>114</v>
      </c>
      <c r="DO312" s="19" t="s">
        <v>114</v>
      </c>
    </row>
    <row r="313" spans="1:119" hidden="1" x14ac:dyDescent="0.45">
      <c r="A313" s="2" t="s">
        <v>1427</v>
      </c>
      <c r="B313" t="s">
        <v>1428</v>
      </c>
      <c r="C313" s="2">
        <v>548</v>
      </c>
      <c r="D313" s="6">
        <v>827</v>
      </c>
      <c r="E313" s="2" t="s">
        <v>1429</v>
      </c>
      <c r="F313" t="s">
        <v>1429</v>
      </c>
      <c r="G313" t="s">
        <v>2172</v>
      </c>
      <c r="H313" s="2" t="s">
        <v>1429</v>
      </c>
      <c r="I313" s="2" t="s">
        <v>1429</v>
      </c>
      <c r="J313" s="2">
        <v>9</v>
      </c>
      <c r="K313" t="s">
        <v>153</v>
      </c>
      <c r="L313" s="2">
        <v>54</v>
      </c>
      <c r="M313" t="s">
        <v>588</v>
      </c>
      <c r="P313" s="2" t="s">
        <v>153</v>
      </c>
      <c r="Q313" s="2" t="s">
        <v>155</v>
      </c>
      <c r="R313" s="2">
        <v>9</v>
      </c>
      <c r="S313" s="4" t="s">
        <v>153</v>
      </c>
      <c r="T313" s="2">
        <v>543</v>
      </c>
      <c r="U313" s="4" t="s">
        <v>1012</v>
      </c>
      <c r="V313" t="s">
        <v>2458</v>
      </c>
      <c r="W313" t="s">
        <v>2458</v>
      </c>
      <c r="X313" t="s">
        <v>2440</v>
      </c>
      <c r="Y313" t="s">
        <v>588</v>
      </c>
      <c r="Z313" s="3" t="s">
        <v>1109</v>
      </c>
      <c r="AA313" s="3" t="s">
        <v>2761</v>
      </c>
      <c r="AB313" s="3" t="s">
        <v>2884</v>
      </c>
      <c r="AC313" s="2" t="s">
        <v>168</v>
      </c>
      <c r="AD313" s="4" t="s">
        <v>1891</v>
      </c>
      <c r="AE313" t="s">
        <v>104</v>
      </c>
      <c r="AF313" t="s">
        <v>1885</v>
      </c>
      <c r="AG313" t="s">
        <v>1884</v>
      </c>
      <c r="AH313" t="s">
        <v>105</v>
      </c>
      <c r="AI313" s="3" t="s">
        <v>105</v>
      </c>
      <c r="AJ313" s="3" t="s">
        <v>106</v>
      </c>
      <c r="AK313" s="3" t="s">
        <v>107</v>
      </c>
      <c r="AL313" s="5" t="s">
        <v>1430</v>
      </c>
      <c r="AM313" s="5" t="s">
        <v>109</v>
      </c>
      <c r="AN313" t="s">
        <v>110</v>
      </c>
      <c r="AO313" s="3" t="s">
        <v>119</v>
      </c>
      <c r="AP313" s="3" t="s">
        <v>120</v>
      </c>
      <c r="AQ313" s="3" t="s">
        <v>27</v>
      </c>
      <c r="AR313" s="3" t="s">
        <v>112</v>
      </c>
      <c r="AS313" s="3" t="s">
        <v>112</v>
      </c>
      <c r="AT313" t="s">
        <v>191</v>
      </c>
      <c r="AU313" s="3" t="s">
        <v>2303</v>
      </c>
      <c r="AV313" s="3" t="s">
        <v>2302</v>
      </c>
      <c r="AW313" s="3" t="s">
        <v>2301</v>
      </c>
      <c r="AX313" s="3" t="s">
        <v>2006</v>
      </c>
      <c r="AY313" s="19" t="s">
        <v>114</v>
      </c>
      <c r="AZ313" s="19" t="s">
        <v>114</v>
      </c>
      <c r="BA313" s="19" t="s">
        <v>114</v>
      </c>
      <c r="BB313" s="19" t="s">
        <v>114</v>
      </c>
      <c r="BC313" s="19" t="s">
        <v>114</v>
      </c>
      <c r="BD313" s="19" t="s">
        <v>114</v>
      </c>
      <c r="BE313" s="19" t="s">
        <v>114</v>
      </c>
      <c r="BF313" s="19" t="s">
        <v>114</v>
      </c>
      <c r="BG313" s="19" t="s">
        <v>114</v>
      </c>
      <c r="BH313" s="19" t="s">
        <v>114</v>
      </c>
      <c r="BI313" s="19" t="s">
        <v>114</v>
      </c>
      <c r="BJ313" s="19" t="s">
        <v>114</v>
      </c>
      <c r="BK313" s="19" t="s">
        <v>114</v>
      </c>
      <c r="BL313" s="19" t="s">
        <v>114</v>
      </c>
      <c r="BM313" s="19" t="s">
        <v>114</v>
      </c>
      <c r="BN313" s="19" t="s">
        <v>114</v>
      </c>
      <c r="BO313" s="19" t="s">
        <v>114</v>
      </c>
      <c r="BP313" s="19" t="s">
        <v>114</v>
      </c>
      <c r="BQ313" s="19" t="s">
        <v>114</v>
      </c>
      <c r="BR313" s="19" t="s">
        <v>114</v>
      </c>
      <c r="BS313" s="19" t="s">
        <v>114</v>
      </c>
      <c r="BT313" s="19" t="s">
        <v>114</v>
      </c>
      <c r="BU313" s="19" t="s">
        <v>114</v>
      </c>
      <c r="BV313" s="19" t="s">
        <v>114</v>
      </c>
      <c r="BW313" s="19" t="s">
        <v>114</v>
      </c>
      <c r="BX313" s="19" t="s">
        <v>114</v>
      </c>
      <c r="BY313" s="19" t="s">
        <v>114</v>
      </c>
      <c r="BZ313" s="21" t="s">
        <v>114</v>
      </c>
      <c r="CA313" s="21" t="s">
        <v>114</v>
      </c>
      <c r="CB313" s="21" t="s">
        <v>114</v>
      </c>
      <c r="CC313" s="21" t="s">
        <v>114</v>
      </c>
      <c r="CD313" s="21" t="s">
        <v>114</v>
      </c>
      <c r="CE313" s="21" t="s">
        <v>114</v>
      </c>
      <c r="CF313" s="19" t="s">
        <v>114</v>
      </c>
      <c r="CG313" s="19" t="s">
        <v>114</v>
      </c>
      <c r="CH313" s="19" t="s">
        <v>114</v>
      </c>
      <c r="CI313" s="21" t="s">
        <v>114</v>
      </c>
      <c r="CJ313" s="21">
        <v>98400</v>
      </c>
      <c r="CK313" s="21" t="s">
        <v>114</v>
      </c>
      <c r="CL313" s="21" t="s">
        <v>114</v>
      </c>
      <c r="CM313" s="21" t="s">
        <v>114</v>
      </c>
      <c r="CN313" s="21" t="s">
        <v>114</v>
      </c>
      <c r="CO313" s="21" t="s">
        <v>114</v>
      </c>
      <c r="CP313" s="21" t="s">
        <v>114</v>
      </c>
      <c r="CQ313" s="21" t="s">
        <v>114</v>
      </c>
      <c r="CR313" s="21">
        <v>98418</v>
      </c>
      <c r="CS313" s="21" t="s">
        <v>114</v>
      </c>
      <c r="CT313" s="21" t="s">
        <v>114</v>
      </c>
      <c r="CU313" s="21" t="s">
        <v>114</v>
      </c>
      <c r="CV313" s="21" t="s">
        <v>114</v>
      </c>
      <c r="CW313" s="21" t="s">
        <v>114</v>
      </c>
      <c r="CX313" s="21" t="s">
        <v>114</v>
      </c>
      <c r="CY313" s="21">
        <v>98427</v>
      </c>
      <c r="CZ313" s="21" t="s">
        <v>114</v>
      </c>
      <c r="DA313" s="21">
        <v>98434</v>
      </c>
      <c r="DB313" s="21">
        <v>98435</v>
      </c>
      <c r="DC313" s="21" t="s">
        <v>114</v>
      </c>
      <c r="DD313" s="21" t="s">
        <v>114</v>
      </c>
      <c r="DE313" s="21">
        <v>98438</v>
      </c>
      <c r="DF313" s="19" t="s">
        <v>114</v>
      </c>
      <c r="DG313" s="19" t="s">
        <v>114</v>
      </c>
      <c r="DH313" s="19" t="s">
        <v>114</v>
      </c>
      <c r="DI313" s="19" t="s">
        <v>114</v>
      </c>
      <c r="DJ313" s="19" t="s">
        <v>114</v>
      </c>
      <c r="DK313" s="19" t="s">
        <v>114</v>
      </c>
      <c r="DL313" s="19" t="s">
        <v>114</v>
      </c>
      <c r="DM313" s="19" t="s">
        <v>114</v>
      </c>
      <c r="DN313" s="19" t="s">
        <v>114</v>
      </c>
      <c r="DO313" s="19" t="s">
        <v>114</v>
      </c>
    </row>
    <row r="314" spans="1:119" hidden="1" x14ac:dyDescent="0.45">
      <c r="A314" s="2" t="s">
        <v>1441</v>
      </c>
      <c r="B314" t="s">
        <v>1442</v>
      </c>
      <c r="C314" s="2">
        <v>876</v>
      </c>
      <c r="D314" s="6">
        <v>828</v>
      </c>
      <c r="E314" s="2" t="s">
        <v>1870</v>
      </c>
      <c r="F314" t="s">
        <v>1443</v>
      </c>
      <c r="H314" s="2" t="s">
        <v>1444</v>
      </c>
      <c r="I314" s="2" t="s">
        <v>1445</v>
      </c>
      <c r="J314" s="2">
        <v>9</v>
      </c>
      <c r="K314" t="s">
        <v>153</v>
      </c>
      <c r="L314" s="2">
        <v>61</v>
      </c>
      <c r="M314" t="s">
        <v>154</v>
      </c>
      <c r="P314" s="2" t="s">
        <v>153</v>
      </c>
      <c r="Q314" s="2" t="s">
        <v>155</v>
      </c>
      <c r="R314" s="2">
        <v>9</v>
      </c>
      <c r="S314" s="4" t="s">
        <v>153</v>
      </c>
      <c r="T314" s="2">
        <v>543</v>
      </c>
      <c r="U314" s="4" t="s">
        <v>1012</v>
      </c>
      <c r="V314" t="s">
        <v>2458</v>
      </c>
      <c r="W314" t="s">
        <v>2458</v>
      </c>
      <c r="X314" t="s">
        <v>2440</v>
      </c>
      <c r="Y314" t="s">
        <v>154</v>
      </c>
      <c r="Z314" s="3" t="s">
        <v>1109</v>
      </c>
      <c r="AA314" s="3" t="s">
        <v>2761</v>
      </c>
      <c r="AB314" s="3" t="s">
        <v>2884</v>
      </c>
      <c r="AC314" s="2" t="s">
        <v>1888</v>
      </c>
      <c r="AD314" s="2" t="s">
        <v>1888</v>
      </c>
      <c r="AE314" t="s">
        <v>104</v>
      </c>
      <c r="AF314" t="s">
        <v>1885</v>
      </c>
      <c r="AG314" t="s">
        <v>1884</v>
      </c>
      <c r="AH314" t="s">
        <v>105</v>
      </c>
      <c r="AI314" s="3" t="s">
        <v>105</v>
      </c>
      <c r="AJ314" s="3" t="s">
        <v>106</v>
      </c>
      <c r="AK314" s="3" t="s">
        <v>107</v>
      </c>
      <c r="AL314" s="5" t="s">
        <v>609</v>
      </c>
      <c r="AM314" s="5" t="s">
        <v>109</v>
      </c>
      <c r="AO314" s="3" t="s">
        <v>119</v>
      </c>
      <c r="AP314" s="3" t="s">
        <v>120</v>
      </c>
      <c r="AQ314" s="3" t="s">
        <v>111</v>
      </c>
      <c r="AR314" s="3" t="s">
        <v>112</v>
      </c>
      <c r="AS314" s="3" t="s">
        <v>112</v>
      </c>
      <c r="AT314" s="3" t="s">
        <v>113</v>
      </c>
      <c r="AU314" s="3" t="s">
        <v>2303</v>
      </c>
      <c r="AV314" s="3" t="s">
        <v>2302</v>
      </c>
      <c r="AW314" s="3" t="s">
        <v>2301</v>
      </c>
      <c r="AX314" t="s">
        <v>282</v>
      </c>
      <c r="AY314" s="19" t="s">
        <v>114</v>
      </c>
      <c r="AZ314" s="19" t="s">
        <v>114</v>
      </c>
      <c r="BA314" s="19" t="s">
        <v>114</v>
      </c>
      <c r="BB314" s="19" t="s">
        <v>114</v>
      </c>
      <c r="BC314" s="19" t="s">
        <v>114</v>
      </c>
      <c r="BD314" s="19" t="s">
        <v>114</v>
      </c>
      <c r="BE314" s="19" t="s">
        <v>114</v>
      </c>
      <c r="BF314" s="19" t="s">
        <v>114</v>
      </c>
      <c r="BG314" s="19" t="s">
        <v>114</v>
      </c>
      <c r="BH314" s="19" t="s">
        <v>114</v>
      </c>
      <c r="BI314" s="19" t="s">
        <v>114</v>
      </c>
      <c r="BJ314" s="19" t="s">
        <v>114</v>
      </c>
      <c r="BK314" s="19" t="s">
        <v>114</v>
      </c>
      <c r="BL314" s="19" t="s">
        <v>114</v>
      </c>
      <c r="BM314" s="19" t="s">
        <v>114</v>
      </c>
      <c r="BN314" s="19" t="s">
        <v>114</v>
      </c>
      <c r="BO314" s="19" t="s">
        <v>114</v>
      </c>
      <c r="BP314" s="19" t="s">
        <v>114</v>
      </c>
      <c r="BQ314" s="19" t="s">
        <v>114</v>
      </c>
      <c r="BR314" s="19" t="s">
        <v>114</v>
      </c>
      <c r="BS314" s="19" t="s">
        <v>114</v>
      </c>
      <c r="BT314" s="19" t="s">
        <v>114</v>
      </c>
      <c r="BU314" s="19" t="s">
        <v>114</v>
      </c>
      <c r="BV314" s="19" t="s">
        <v>114</v>
      </c>
      <c r="BW314" s="19" t="s">
        <v>114</v>
      </c>
      <c r="BX314" s="19" t="s">
        <v>114</v>
      </c>
      <c r="BY314" s="19" t="s">
        <v>114</v>
      </c>
      <c r="BZ314" s="21" t="s">
        <v>114</v>
      </c>
      <c r="CA314" s="21" t="s">
        <v>114</v>
      </c>
      <c r="CB314" s="21" t="s">
        <v>114</v>
      </c>
      <c r="CC314" s="21" t="s">
        <v>114</v>
      </c>
      <c r="CD314" s="21" t="s">
        <v>114</v>
      </c>
      <c r="CE314" s="21" t="s">
        <v>114</v>
      </c>
      <c r="CF314" s="19" t="s">
        <v>114</v>
      </c>
      <c r="CG314" s="19" t="s">
        <v>114</v>
      </c>
      <c r="CH314" s="19" t="s">
        <v>114</v>
      </c>
      <c r="CI314" s="21" t="s">
        <v>114</v>
      </c>
      <c r="CJ314" s="21" t="s">
        <v>114</v>
      </c>
      <c r="CK314" s="21" t="s">
        <v>114</v>
      </c>
      <c r="CL314" s="21" t="s">
        <v>114</v>
      </c>
      <c r="CM314" s="21" t="s">
        <v>114</v>
      </c>
      <c r="CN314" s="21" t="s">
        <v>114</v>
      </c>
      <c r="CO314" s="21" t="s">
        <v>114</v>
      </c>
      <c r="CP314" s="21" t="s">
        <v>114</v>
      </c>
      <c r="CQ314" s="21" t="s">
        <v>114</v>
      </c>
      <c r="CR314" s="21" t="s">
        <v>114</v>
      </c>
      <c r="CS314" s="21" t="s">
        <v>114</v>
      </c>
      <c r="CT314" s="21" t="s">
        <v>114</v>
      </c>
      <c r="CU314" s="21" t="s">
        <v>114</v>
      </c>
      <c r="CV314" s="21" t="s">
        <v>114</v>
      </c>
      <c r="CW314" s="21" t="s">
        <v>114</v>
      </c>
      <c r="CX314" s="21">
        <v>98426</v>
      </c>
      <c r="CY314" s="21" t="s">
        <v>114</v>
      </c>
      <c r="CZ314" s="21" t="s">
        <v>114</v>
      </c>
      <c r="DA314" s="21" t="s">
        <v>114</v>
      </c>
      <c r="DB314" s="21" t="s">
        <v>114</v>
      </c>
      <c r="DC314" s="21" t="s">
        <v>114</v>
      </c>
      <c r="DD314" s="21" t="s">
        <v>114</v>
      </c>
      <c r="DE314" s="21" t="s">
        <v>114</v>
      </c>
      <c r="DF314" s="19" t="s">
        <v>114</v>
      </c>
      <c r="DG314" s="19" t="s">
        <v>114</v>
      </c>
      <c r="DH314" s="19" t="s">
        <v>114</v>
      </c>
      <c r="DI314" s="19" t="s">
        <v>114</v>
      </c>
      <c r="DJ314" s="19" t="s">
        <v>114</v>
      </c>
      <c r="DK314" s="19" t="s">
        <v>114</v>
      </c>
      <c r="DL314" s="19" t="s">
        <v>114</v>
      </c>
      <c r="DM314" s="19" t="s">
        <v>114</v>
      </c>
      <c r="DN314" s="19" t="s">
        <v>114</v>
      </c>
      <c r="DO314" s="19" t="s">
        <v>114</v>
      </c>
    </row>
    <row r="315" spans="1:119" hidden="1" x14ac:dyDescent="0.45">
      <c r="A315" s="2" t="s">
        <v>1388</v>
      </c>
      <c r="B315" t="s">
        <v>1389</v>
      </c>
      <c r="C315" s="2">
        <v>826</v>
      </c>
      <c r="D315" s="6">
        <v>553</v>
      </c>
      <c r="E315" s="2" t="s">
        <v>1846</v>
      </c>
      <c r="F315" s="3" t="s">
        <v>1905</v>
      </c>
      <c r="G315" t="s">
        <v>2167</v>
      </c>
      <c r="H315" s="4" t="s">
        <v>1392</v>
      </c>
      <c r="I315" s="2" t="s">
        <v>1393</v>
      </c>
      <c r="J315" s="2">
        <v>150</v>
      </c>
      <c r="K315" t="s">
        <v>127</v>
      </c>
      <c r="L315" s="2">
        <v>154</v>
      </c>
      <c r="M315" t="s">
        <v>128</v>
      </c>
      <c r="P315" s="2" t="s">
        <v>127</v>
      </c>
      <c r="Q315" s="2" t="s">
        <v>129</v>
      </c>
      <c r="R315" s="2">
        <v>513</v>
      </c>
      <c r="S315" s="2" t="s">
        <v>1000</v>
      </c>
      <c r="T315" s="2">
        <v>150</v>
      </c>
      <c r="U315" s="2" t="s">
        <v>127</v>
      </c>
      <c r="V315" t="s">
        <v>2451</v>
      </c>
      <c r="W315" t="s">
        <v>2451</v>
      </c>
      <c r="X315" t="s">
        <v>2438</v>
      </c>
      <c r="Y315" t="s">
        <v>1103</v>
      </c>
      <c r="Z315" t="s">
        <v>1905</v>
      </c>
      <c r="AA315" s="3" t="s">
        <v>1390</v>
      </c>
      <c r="AB315" s="3" t="s">
        <v>1389</v>
      </c>
      <c r="AC315" s="2" t="s">
        <v>130</v>
      </c>
      <c r="AD315" s="4" t="s">
        <v>1891</v>
      </c>
      <c r="AE315" t="s">
        <v>131</v>
      </c>
      <c r="AF315" t="s">
        <v>1886</v>
      </c>
      <c r="AG315" t="s">
        <v>1887</v>
      </c>
      <c r="AH315" s="3" t="s">
        <v>18</v>
      </c>
      <c r="AI315" s="3" t="s">
        <v>224</v>
      </c>
      <c r="AJ315" s="3" t="s">
        <v>20</v>
      </c>
      <c r="AK315" s="3" t="s">
        <v>107</v>
      </c>
      <c r="AL315" s="5" t="s">
        <v>674</v>
      </c>
      <c r="AM315" s="5" t="s">
        <v>1389</v>
      </c>
      <c r="AO315" s="3" t="s">
        <v>119</v>
      </c>
      <c r="AP315" s="3" t="s">
        <v>120</v>
      </c>
      <c r="AQ315" s="3" t="s">
        <v>111</v>
      </c>
      <c r="AR315" t="s">
        <v>28</v>
      </c>
      <c r="AS315" s="3" t="s">
        <v>112</v>
      </c>
      <c r="AT315" s="3" t="s">
        <v>113</v>
      </c>
      <c r="AU315" s="3" t="s">
        <v>2298</v>
      </c>
      <c r="AV315" s="3" t="s">
        <v>2299</v>
      </c>
      <c r="AW315" s="3" t="s">
        <v>2300</v>
      </c>
      <c r="AX315" s="3" t="s">
        <v>2006</v>
      </c>
      <c r="AY315" s="19" t="s">
        <v>114</v>
      </c>
      <c r="AZ315" s="19" t="s">
        <v>114</v>
      </c>
      <c r="BA315" s="19" t="s">
        <v>114</v>
      </c>
      <c r="BB315" s="19" t="s">
        <v>114</v>
      </c>
      <c r="BC315" s="19" t="s">
        <v>114</v>
      </c>
      <c r="BD315" s="19" t="s">
        <v>114</v>
      </c>
      <c r="BE315" s="19" t="s">
        <v>114</v>
      </c>
      <c r="BF315" s="19" t="s">
        <v>114</v>
      </c>
      <c r="BG315" s="19" t="s">
        <v>114</v>
      </c>
      <c r="BH315" s="19" t="s">
        <v>114</v>
      </c>
      <c r="BI315" s="19" t="s">
        <v>114</v>
      </c>
      <c r="BJ315" s="19" t="s">
        <v>114</v>
      </c>
      <c r="BK315" s="19" t="s">
        <v>114</v>
      </c>
      <c r="BL315" s="19" t="s">
        <v>114</v>
      </c>
      <c r="BM315" s="19" t="s">
        <v>114</v>
      </c>
      <c r="BN315" s="19" t="s">
        <v>114</v>
      </c>
      <c r="BO315" s="19" t="s">
        <v>114</v>
      </c>
      <c r="BP315" s="19" t="s">
        <v>114</v>
      </c>
      <c r="BQ315" s="19" t="s">
        <v>114</v>
      </c>
      <c r="BR315" s="19" t="s">
        <v>114</v>
      </c>
      <c r="BS315" s="19" t="s">
        <v>114</v>
      </c>
      <c r="BT315" s="19" t="s">
        <v>114</v>
      </c>
      <c r="BU315" s="19" t="s">
        <v>114</v>
      </c>
      <c r="BV315" s="19" t="s">
        <v>114</v>
      </c>
      <c r="BW315" s="19" t="s">
        <v>114</v>
      </c>
      <c r="BX315" s="19" t="s">
        <v>114</v>
      </c>
      <c r="BY315" s="19" t="s">
        <v>114</v>
      </c>
      <c r="BZ315" s="21">
        <v>98200</v>
      </c>
      <c r="CA315" s="21" t="s">
        <v>114</v>
      </c>
      <c r="CB315" s="21" t="s">
        <v>114</v>
      </c>
      <c r="CC315" s="21" t="s">
        <v>114</v>
      </c>
      <c r="CD315" s="21" t="s">
        <v>114</v>
      </c>
      <c r="CE315" s="21" t="s">
        <v>114</v>
      </c>
      <c r="CF315" s="19" t="s">
        <v>114</v>
      </c>
      <c r="CG315" s="19" t="s">
        <v>114</v>
      </c>
      <c r="CH315" s="19" t="s">
        <v>114</v>
      </c>
      <c r="CI315" s="21" t="s">
        <v>114</v>
      </c>
      <c r="CJ315" s="21" t="s">
        <v>114</v>
      </c>
      <c r="CK315" s="21" t="s">
        <v>114</v>
      </c>
      <c r="CL315" s="21" t="s">
        <v>114</v>
      </c>
      <c r="CM315" s="21" t="s">
        <v>114</v>
      </c>
      <c r="CN315" s="21" t="s">
        <v>114</v>
      </c>
      <c r="CO315" s="21" t="s">
        <v>114</v>
      </c>
      <c r="CP315" s="21" t="s">
        <v>114</v>
      </c>
      <c r="CQ315" s="21" t="s">
        <v>114</v>
      </c>
      <c r="CR315" s="21" t="s">
        <v>114</v>
      </c>
      <c r="CS315" s="21" t="s">
        <v>114</v>
      </c>
      <c r="CT315" s="21" t="s">
        <v>114</v>
      </c>
      <c r="CU315" s="21">
        <v>98423</v>
      </c>
      <c r="CV315" s="21" t="s">
        <v>114</v>
      </c>
      <c r="CW315" s="21" t="s">
        <v>114</v>
      </c>
      <c r="CX315" s="21" t="s">
        <v>114</v>
      </c>
      <c r="CY315" s="21" t="s">
        <v>114</v>
      </c>
      <c r="CZ315" s="21" t="s">
        <v>114</v>
      </c>
      <c r="DA315" s="21" t="s">
        <v>114</v>
      </c>
      <c r="DB315" s="21" t="s">
        <v>114</v>
      </c>
      <c r="DC315" s="21" t="s">
        <v>114</v>
      </c>
      <c r="DD315" s="21" t="s">
        <v>114</v>
      </c>
      <c r="DE315" s="21" t="s">
        <v>114</v>
      </c>
      <c r="DF315" s="19" t="s">
        <v>114</v>
      </c>
      <c r="DG315" s="19" t="s">
        <v>114</v>
      </c>
      <c r="DH315" s="19" t="s">
        <v>114</v>
      </c>
      <c r="DI315" s="19" t="s">
        <v>114</v>
      </c>
      <c r="DJ315" s="19" t="s">
        <v>114</v>
      </c>
      <c r="DK315" s="19" t="s">
        <v>114</v>
      </c>
      <c r="DL315" s="19" t="s">
        <v>114</v>
      </c>
      <c r="DM315" s="19" t="s">
        <v>114</v>
      </c>
      <c r="DN315" s="19" t="s">
        <v>114</v>
      </c>
      <c r="DO315" s="19" t="s">
        <v>114</v>
      </c>
    </row>
    <row r="316" spans="1:119" hidden="1" x14ac:dyDescent="0.45">
      <c r="A316" s="2" t="s">
        <v>1405</v>
      </c>
      <c r="B316" t="s">
        <v>1406</v>
      </c>
      <c r="C316" s="2">
        <v>840</v>
      </c>
      <c r="D316" s="6">
        <v>706</v>
      </c>
      <c r="E316" s="2" t="s">
        <v>1406</v>
      </c>
      <c r="F316" s="3" t="s">
        <v>1906</v>
      </c>
      <c r="G316" t="s">
        <v>2169</v>
      </c>
      <c r="H316" s="4" t="s">
        <v>1408</v>
      </c>
      <c r="I316" s="2" t="s">
        <v>1409</v>
      </c>
      <c r="J316" s="2">
        <v>19</v>
      </c>
      <c r="K316" t="s">
        <v>157</v>
      </c>
      <c r="L316" s="2">
        <v>21</v>
      </c>
      <c r="M316" t="s">
        <v>279</v>
      </c>
      <c r="N316" s="2"/>
      <c r="P316" s="2" t="s">
        <v>280</v>
      </c>
      <c r="Q316" s="2" t="s">
        <v>280</v>
      </c>
      <c r="R316" s="2">
        <v>513</v>
      </c>
      <c r="S316" s="2" t="s">
        <v>1000</v>
      </c>
      <c r="T316" s="2">
        <v>21</v>
      </c>
      <c r="U316" s="4" t="s">
        <v>279</v>
      </c>
      <c r="V316" t="s">
        <v>1406</v>
      </c>
      <c r="W316" t="s">
        <v>1406</v>
      </c>
      <c r="X316" t="s">
        <v>2446</v>
      </c>
      <c r="Y316" t="s">
        <v>279</v>
      </c>
      <c r="Z316" t="s">
        <v>1906</v>
      </c>
      <c r="AA316" s="3" t="s">
        <v>1851</v>
      </c>
      <c r="AB316" s="3" t="s">
        <v>1406</v>
      </c>
      <c r="AC316" s="2" t="s">
        <v>130</v>
      </c>
      <c r="AD316" s="4" t="s">
        <v>1891</v>
      </c>
      <c r="AE316" t="s">
        <v>131</v>
      </c>
      <c r="AF316" t="s">
        <v>1886</v>
      </c>
      <c r="AG316" t="s">
        <v>1887</v>
      </c>
      <c r="AH316" s="3" t="s">
        <v>18</v>
      </c>
      <c r="AI316" s="3" t="s">
        <v>372</v>
      </c>
      <c r="AJ316" s="3" t="s">
        <v>20</v>
      </c>
      <c r="AK316" s="3" t="s">
        <v>107</v>
      </c>
      <c r="AL316" s="5" t="s">
        <v>156</v>
      </c>
      <c r="AM316" s="5" t="s">
        <v>1406</v>
      </c>
      <c r="AO316" s="3" t="s">
        <v>119</v>
      </c>
      <c r="AP316" s="3" t="s">
        <v>120</v>
      </c>
      <c r="AQ316" s="3" t="s">
        <v>111</v>
      </c>
      <c r="AR316" s="3" t="s">
        <v>112</v>
      </c>
      <c r="AS316" s="3" t="s">
        <v>112</v>
      </c>
      <c r="AT316" s="3" t="s">
        <v>113</v>
      </c>
      <c r="AU316" s="3" t="s">
        <v>2298</v>
      </c>
      <c r="AV316" s="3" t="s">
        <v>2299</v>
      </c>
      <c r="AW316" s="3" t="s">
        <v>2300</v>
      </c>
      <c r="AX316" s="3" t="s">
        <v>2006</v>
      </c>
      <c r="AY316" s="19" t="s">
        <v>114</v>
      </c>
      <c r="AZ316" s="19" t="s">
        <v>114</v>
      </c>
      <c r="BA316" s="19" t="s">
        <v>114</v>
      </c>
      <c r="BB316" s="19" t="s">
        <v>114</v>
      </c>
      <c r="BC316" s="19" t="s">
        <v>114</v>
      </c>
      <c r="BD316" s="19" t="s">
        <v>114</v>
      </c>
      <c r="BE316" s="19" t="s">
        <v>114</v>
      </c>
      <c r="BF316" s="19" t="s">
        <v>114</v>
      </c>
      <c r="BG316" s="19" t="s">
        <v>114</v>
      </c>
      <c r="BH316" s="19" t="s">
        <v>114</v>
      </c>
      <c r="BI316" s="19" t="s">
        <v>114</v>
      </c>
      <c r="BJ316" s="19" t="s">
        <v>114</v>
      </c>
      <c r="BK316" s="19" t="s">
        <v>114</v>
      </c>
      <c r="BL316" s="19" t="s">
        <v>114</v>
      </c>
      <c r="BM316" s="19" t="s">
        <v>114</v>
      </c>
      <c r="BN316" s="19" t="s">
        <v>114</v>
      </c>
      <c r="BO316" s="19" t="s">
        <v>114</v>
      </c>
      <c r="BP316" s="19" t="s">
        <v>114</v>
      </c>
      <c r="BQ316" s="19" t="s">
        <v>114</v>
      </c>
      <c r="BR316" s="19" t="s">
        <v>114</v>
      </c>
      <c r="BS316" s="19" t="s">
        <v>114</v>
      </c>
      <c r="BT316" s="19" t="s">
        <v>114</v>
      </c>
      <c r="BU316" s="19" t="s">
        <v>114</v>
      </c>
      <c r="BV316" s="19" t="s">
        <v>114</v>
      </c>
      <c r="BW316" s="19" t="s">
        <v>114</v>
      </c>
      <c r="BX316" s="19" t="s">
        <v>114</v>
      </c>
      <c r="BY316" s="19" t="s">
        <v>114</v>
      </c>
      <c r="BZ316" s="21">
        <v>98200</v>
      </c>
      <c r="CA316" s="21" t="s">
        <v>114</v>
      </c>
      <c r="CB316" s="21" t="s">
        <v>114</v>
      </c>
      <c r="CC316" s="21" t="s">
        <v>114</v>
      </c>
      <c r="CD316" s="21" t="s">
        <v>114</v>
      </c>
      <c r="CE316" s="21" t="s">
        <v>114</v>
      </c>
      <c r="CF316" s="19" t="s">
        <v>114</v>
      </c>
      <c r="CG316" s="19" t="s">
        <v>114</v>
      </c>
      <c r="CH316" s="19" t="s">
        <v>114</v>
      </c>
      <c r="CI316" s="21" t="s">
        <v>114</v>
      </c>
      <c r="CJ316" s="21" t="s">
        <v>114</v>
      </c>
      <c r="CK316" s="21" t="s">
        <v>114</v>
      </c>
      <c r="CL316" s="21" t="s">
        <v>114</v>
      </c>
      <c r="CM316" s="21" t="s">
        <v>114</v>
      </c>
      <c r="CN316" s="21" t="s">
        <v>114</v>
      </c>
      <c r="CO316" s="21" t="s">
        <v>114</v>
      </c>
      <c r="CP316" s="21" t="s">
        <v>114</v>
      </c>
      <c r="CQ316" s="21" t="s">
        <v>114</v>
      </c>
      <c r="CR316" s="21" t="s">
        <v>114</v>
      </c>
      <c r="CS316" s="21" t="s">
        <v>114</v>
      </c>
      <c r="CT316" s="21" t="s">
        <v>114</v>
      </c>
      <c r="CU316" s="21" t="s">
        <v>114</v>
      </c>
      <c r="CV316" s="21" t="s">
        <v>114</v>
      </c>
      <c r="CW316" s="21">
        <v>98425</v>
      </c>
      <c r="CX316" s="21" t="s">
        <v>114</v>
      </c>
      <c r="CY316" s="21" t="s">
        <v>114</v>
      </c>
      <c r="CZ316" s="21" t="s">
        <v>114</v>
      </c>
      <c r="DA316" s="21" t="s">
        <v>114</v>
      </c>
      <c r="DB316" s="21" t="s">
        <v>114</v>
      </c>
      <c r="DC316" s="21" t="s">
        <v>114</v>
      </c>
      <c r="DD316" s="21" t="s">
        <v>114</v>
      </c>
      <c r="DE316" s="21" t="s">
        <v>114</v>
      </c>
      <c r="DF316" s="19" t="s">
        <v>114</v>
      </c>
      <c r="DG316" s="19" t="s">
        <v>114</v>
      </c>
      <c r="DH316" s="19" t="s">
        <v>114</v>
      </c>
      <c r="DI316" s="19" t="s">
        <v>114</v>
      </c>
      <c r="DJ316" s="19" t="s">
        <v>114</v>
      </c>
      <c r="DK316" s="19" t="s">
        <v>114</v>
      </c>
      <c r="DL316" s="19" t="s">
        <v>114</v>
      </c>
      <c r="DM316" s="19" t="s">
        <v>114</v>
      </c>
      <c r="DN316" s="19" t="s">
        <v>114</v>
      </c>
      <c r="DO316" s="19" t="s">
        <v>114</v>
      </c>
    </row>
    <row r="317" spans="1:119" hidden="1" x14ac:dyDescent="0.45">
      <c r="A317" s="2" t="s">
        <v>269</v>
      </c>
      <c r="B317" t="s">
        <v>270</v>
      </c>
      <c r="C317" s="2">
        <v>204</v>
      </c>
      <c r="D317" s="6">
        <v>103</v>
      </c>
      <c r="E317" s="2" t="s">
        <v>271</v>
      </c>
      <c r="F317" t="s">
        <v>271</v>
      </c>
      <c r="G317" t="s">
        <v>2029</v>
      </c>
      <c r="H317" s="2" t="s">
        <v>272</v>
      </c>
      <c r="I317" s="2" t="s">
        <v>271</v>
      </c>
      <c r="J317" s="2">
        <v>2</v>
      </c>
      <c r="K317" t="s">
        <v>116</v>
      </c>
      <c r="L317" s="2">
        <v>202</v>
      </c>
      <c r="M317" t="s">
        <v>166</v>
      </c>
      <c r="N317">
        <v>11</v>
      </c>
      <c r="O317" t="s">
        <v>273</v>
      </c>
      <c r="P317" s="2" t="s">
        <v>116</v>
      </c>
      <c r="Q317" s="2" t="s">
        <v>166</v>
      </c>
      <c r="R317" s="2">
        <v>202</v>
      </c>
      <c r="S317" s="4" t="s">
        <v>166</v>
      </c>
      <c r="T317" s="2">
        <v>202</v>
      </c>
      <c r="U317" s="4" t="s">
        <v>166</v>
      </c>
      <c r="V317" t="s">
        <v>2457</v>
      </c>
      <c r="W317" t="s">
        <v>2457</v>
      </c>
      <c r="X317" t="s">
        <v>2440</v>
      </c>
      <c r="Y317" t="s">
        <v>273</v>
      </c>
      <c r="Z317" t="s">
        <v>273</v>
      </c>
      <c r="AA317" t="s">
        <v>273</v>
      </c>
      <c r="AB317" t="s">
        <v>2885</v>
      </c>
      <c r="AC317" s="2" t="s">
        <v>168</v>
      </c>
      <c r="AD317" s="2" t="s">
        <v>1890</v>
      </c>
      <c r="AE317" t="s">
        <v>104</v>
      </c>
      <c r="AF317" t="s">
        <v>1885</v>
      </c>
      <c r="AG317" t="s">
        <v>1884</v>
      </c>
      <c r="AH317" t="s">
        <v>105</v>
      </c>
      <c r="AI317" s="3" t="s">
        <v>105</v>
      </c>
      <c r="AJ317" s="3" t="s">
        <v>106</v>
      </c>
      <c r="AK317" s="3" t="s">
        <v>107</v>
      </c>
      <c r="AL317" s="5" t="s">
        <v>274</v>
      </c>
      <c r="AM317" s="5" t="s">
        <v>109</v>
      </c>
      <c r="AO317" t="s">
        <v>25</v>
      </c>
      <c r="AP317" s="3" t="s">
        <v>120</v>
      </c>
      <c r="AQ317" s="3" t="s">
        <v>111</v>
      </c>
      <c r="AR317" s="3" t="s">
        <v>112</v>
      </c>
      <c r="AS317" s="3" t="s">
        <v>112</v>
      </c>
      <c r="AT317" s="3" t="s">
        <v>113</v>
      </c>
      <c r="AU317" s="3" t="s">
        <v>2303</v>
      </c>
      <c r="AV317" s="3" t="s">
        <v>2302</v>
      </c>
      <c r="AW317" s="3" t="s">
        <v>2301</v>
      </c>
      <c r="AX317" s="3" t="s">
        <v>2006</v>
      </c>
      <c r="AY317" s="19">
        <v>98100</v>
      </c>
      <c r="AZ317" s="19" t="s">
        <v>114</v>
      </c>
      <c r="BA317" s="19" t="s">
        <v>114</v>
      </c>
      <c r="BB317" s="19" t="s">
        <v>114</v>
      </c>
      <c r="BC317" s="19" t="s">
        <v>114</v>
      </c>
      <c r="BD317" s="19">
        <v>98105</v>
      </c>
      <c r="BE317" s="19">
        <v>98106</v>
      </c>
      <c r="BF317" s="19" t="s">
        <v>114</v>
      </c>
      <c r="BG317" s="19">
        <v>98108</v>
      </c>
      <c r="BH317" s="19" t="s">
        <v>114</v>
      </c>
      <c r="BI317" s="19" t="s">
        <v>114</v>
      </c>
      <c r="BJ317" s="19" t="s">
        <v>114</v>
      </c>
      <c r="BK317" s="19">
        <v>98112</v>
      </c>
      <c r="BL317" s="19" t="s">
        <v>114</v>
      </c>
      <c r="BM317" s="19" t="s">
        <v>114</v>
      </c>
      <c r="BN317" s="19" t="s">
        <v>114</v>
      </c>
      <c r="BO317" s="19" t="s">
        <v>114</v>
      </c>
      <c r="BP317" s="19" t="s">
        <v>114</v>
      </c>
      <c r="BQ317" s="19">
        <v>98118</v>
      </c>
      <c r="BR317" s="19">
        <v>98119</v>
      </c>
      <c r="BS317" s="19">
        <v>98120</v>
      </c>
      <c r="BT317" s="19">
        <v>98121</v>
      </c>
      <c r="BU317" s="19" t="s">
        <v>114</v>
      </c>
      <c r="BV317" s="19" t="s">
        <v>114</v>
      </c>
      <c r="BW317" s="19" t="s">
        <v>114</v>
      </c>
      <c r="BX317" s="19" t="s">
        <v>114</v>
      </c>
      <c r="BY317" s="19">
        <v>98126</v>
      </c>
      <c r="BZ317" s="21" t="s">
        <v>114</v>
      </c>
      <c r="CA317" s="21" t="s">
        <v>114</v>
      </c>
      <c r="CB317" s="21" t="s">
        <v>114</v>
      </c>
      <c r="CC317" s="21" t="s">
        <v>114</v>
      </c>
      <c r="CD317" s="21" t="s">
        <v>114</v>
      </c>
      <c r="CE317" s="21" t="s">
        <v>114</v>
      </c>
      <c r="CF317" s="19" t="s">
        <v>114</v>
      </c>
      <c r="CG317" s="19" t="s">
        <v>114</v>
      </c>
      <c r="CH317" s="19" t="s">
        <v>114</v>
      </c>
      <c r="CI317" s="21" t="s">
        <v>114</v>
      </c>
      <c r="CJ317" s="21" t="s">
        <v>114</v>
      </c>
      <c r="CK317" s="21">
        <v>98405</v>
      </c>
      <c r="CL317" s="21" t="s">
        <v>114</v>
      </c>
      <c r="CM317" s="21" t="s">
        <v>114</v>
      </c>
      <c r="CN317" s="21" t="s">
        <v>114</v>
      </c>
      <c r="CO317" s="21" t="s">
        <v>114</v>
      </c>
      <c r="CP317" s="21" t="s">
        <v>114</v>
      </c>
      <c r="CQ317" s="21" t="s">
        <v>114</v>
      </c>
      <c r="CR317" s="21" t="s">
        <v>114</v>
      </c>
      <c r="CS317" s="21" t="s">
        <v>114</v>
      </c>
      <c r="CT317" s="21" t="s">
        <v>114</v>
      </c>
      <c r="CU317" s="21" t="s">
        <v>114</v>
      </c>
      <c r="CV317" s="21" t="s">
        <v>114</v>
      </c>
      <c r="CW317" s="21" t="s">
        <v>114</v>
      </c>
      <c r="CX317" s="21" t="s">
        <v>114</v>
      </c>
      <c r="CY317" s="21" t="s">
        <v>114</v>
      </c>
      <c r="CZ317" s="21" t="s">
        <v>114</v>
      </c>
      <c r="DA317" s="21" t="s">
        <v>114</v>
      </c>
      <c r="DB317" s="21" t="s">
        <v>114</v>
      </c>
      <c r="DC317" s="21" t="s">
        <v>114</v>
      </c>
      <c r="DD317" s="21" t="s">
        <v>114</v>
      </c>
      <c r="DE317" s="21" t="s">
        <v>114</v>
      </c>
      <c r="DF317" s="19" t="s">
        <v>114</v>
      </c>
      <c r="DG317" s="19" t="s">
        <v>114</v>
      </c>
      <c r="DH317" s="19" t="s">
        <v>114</v>
      </c>
      <c r="DI317" s="19" t="s">
        <v>114</v>
      </c>
      <c r="DJ317" s="19" t="s">
        <v>114</v>
      </c>
      <c r="DK317" s="19" t="s">
        <v>114</v>
      </c>
      <c r="DL317" s="19" t="s">
        <v>114</v>
      </c>
      <c r="DM317" s="19" t="s">
        <v>114</v>
      </c>
      <c r="DN317" s="19" t="s">
        <v>114</v>
      </c>
      <c r="DO317" s="19" t="s">
        <v>114</v>
      </c>
    </row>
    <row r="318" spans="1:119" hidden="1" x14ac:dyDescent="0.45">
      <c r="A318" s="2" t="s">
        <v>345</v>
      </c>
      <c r="B318" t="s">
        <v>346</v>
      </c>
      <c r="C318" s="2">
        <v>854</v>
      </c>
      <c r="D318" s="6">
        <v>107</v>
      </c>
      <c r="E318" s="2" t="s">
        <v>347</v>
      </c>
      <c r="F318" t="s">
        <v>347</v>
      </c>
      <c r="G318" t="s">
        <v>347</v>
      </c>
      <c r="H318" s="2" t="s">
        <v>347</v>
      </c>
      <c r="I318" s="2" t="s">
        <v>347</v>
      </c>
      <c r="J318" s="2">
        <v>2</v>
      </c>
      <c r="K318" t="s">
        <v>116</v>
      </c>
      <c r="L318" s="2">
        <v>202</v>
      </c>
      <c r="M318" t="s">
        <v>166</v>
      </c>
      <c r="N318">
        <v>11</v>
      </c>
      <c r="O318" t="s">
        <v>273</v>
      </c>
      <c r="P318" s="2" t="s">
        <v>116</v>
      </c>
      <c r="Q318" s="2" t="s">
        <v>166</v>
      </c>
      <c r="R318" s="2">
        <v>202</v>
      </c>
      <c r="S318" s="4" t="s">
        <v>166</v>
      </c>
      <c r="T318" s="2">
        <v>202</v>
      </c>
      <c r="U318" s="4" t="s">
        <v>166</v>
      </c>
      <c r="V318" t="s">
        <v>2457</v>
      </c>
      <c r="W318" t="s">
        <v>2457</v>
      </c>
      <c r="X318" t="s">
        <v>2440</v>
      </c>
      <c r="Y318" t="s">
        <v>273</v>
      </c>
      <c r="Z318" t="s">
        <v>273</v>
      </c>
      <c r="AA318" t="s">
        <v>273</v>
      </c>
      <c r="AB318" t="s">
        <v>2885</v>
      </c>
      <c r="AC318" s="2" t="s">
        <v>103</v>
      </c>
      <c r="AD318" s="2" t="s">
        <v>1890</v>
      </c>
      <c r="AE318" t="s">
        <v>104</v>
      </c>
      <c r="AF318" t="s">
        <v>1885</v>
      </c>
      <c r="AG318" t="s">
        <v>1884</v>
      </c>
      <c r="AH318" t="s">
        <v>105</v>
      </c>
      <c r="AI318" s="3" t="s">
        <v>105</v>
      </c>
      <c r="AJ318" s="3" t="s">
        <v>106</v>
      </c>
      <c r="AK318" s="3" t="s">
        <v>107</v>
      </c>
      <c r="AL318" s="5" t="s">
        <v>274</v>
      </c>
      <c r="AM318" s="5" t="s">
        <v>109</v>
      </c>
      <c r="AO318" t="s">
        <v>25</v>
      </c>
      <c r="AP318" s="3" t="s">
        <v>26</v>
      </c>
      <c r="AQ318" s="3" t="s">
        <v>111</v>
      </c>
      <c r="AR318" s="3" t="s">
        <v>112</v>
      </c>
      <c r="AS318" s="3" t="s">
        <v>112</v>
      </c>
      <c r="AT318" s="3" t="s">
        <v>113</v>
      </c>
      <c r="AU318" s="3" t="s">
        <v>2303</v>
      </c>
      <c r="AV318" s="3" t="s">
        <v>2302</v>
      </c>
      <c r="AW318" s="3" t="s">
        <v>2301</v>
      </c>
      <c r="AX318" s="3" t="s">
        <v>2006</v>
      </c>
      <c r="AY318" s="19">
        <v>98100</v>
      </c>
      <c r="AZ318" s="19" t="s">
        <v>114</v>
      </c>
      <c r="BA318" s="19" t="s">
        <v>114</v>
      </c>
      <c r="BB318" s="19" t="s">
        <v>114</v>
      </c>
      <c r="BC318" s="19" t="s">
        <v>114</v>
      </c>
      <c r="BD318" s="19">
        <v>98105</v>
      </c>
      <c r="BE318" s="19">
        <v>98106</v>
      </c>
      <c r="BF318" s="19" t="s">
        <v>114</v>
      </c>
      <c r="BG318" s="19">
        <v>98108</v>
      </c>
      <c r="BH318" s="19" t="s">
        <v>114</v>
      </c>
      <c r="BI318" s="19" t="s">
        <v>114</v>
      </c>
      <c r="BJ318" s="19" t="s">
        <v>114</v>
      </c>
      <c r="BK318" s="19">
        <v>98112</v>
      </c>
      <c r="BL318" s="19" t="s">
        <v>114</v>
      </c>
      <c r="BM318" s="19" t="s">
        <v>114</v>
      </c>
      <c r="BN318" s="19" t="s">
        <v>114</v>
      </c>
      <c r="BO318" s="19">
        <v>98116</v>
      </c>
      <c r="BP318" s="19">
        <v>98117</v>
      </c>
      <c r="BQ318" s="19">
        <v>98118</v>
      </c>
      <c r="BR318" s="19">
        <v>98119</v>
      </c>
      <c r="BS318" s="19">
        <v>98120</v>
      </c>
      <c r="BT318" s="19">
        <v>98121</v>
      </c>
      <c r="BU318" s="19" t="s">
        <v>114</v>
      </c>
      <c r="BV318" s="19" t="s">
        <v>114</v>
      </c>
      <c r="BW318" s="19">
        <v>98124</v>
      </c>
      <c r="BX318" s="19" t="s">
        <v>114</v>
      </c>
      <c r="BY318" s="19">
        <v>98126</v>
      </c>
      <c r="BZ318" s="21" t="s">
        <v>114</v>
      </c>
      <c r="CA318" s="21" t="s">
        <v>114</v>
      </c>
      <c r="CB318" s="21" t="s">
        <v>114</v>
      </c>
      <c r="CC318" s="21" t="s">
        <v>114</v>
      </c>
      <c r="CD318" s="21" t="s">
        <v>114</v>
      </c>
      <c r="CE318" s="21" t="s">
        <v>114</v>
      </c>
      <c r="CF318" s="19" t="s">
        <v>114</v>
      </c>
      <c r="CG318" s="19" t="s">
        <v>114</v>
      </c>
      <c r="CH318" s="19" t="s">
        <v>114</v>
      </c>
      <c r="CI318" s="21" t="s">
        <v>114</v>
      </c>
      <c r="CJ318" s="21" t="s">
        <v>114</v>
      </c>
      <c r="CK318" s="21">
        <v>98405</v>
      </c>
      <c r="CL318" s="21" t="s">
        <v>114</v>
      </c>
      <c r="CM318" s="21" t="s">
        <v>114</v>
      </c>
      <c r="CN318" s="21" t="s">
        <v>114</v>
      </c>
      <c r="CO318" s="21" t="s">
        <v>114</v>
      </c>
      <c r="CP318" s="21" t="s">
        <v>114</v>
      </c>
      <c r="CQ318" s="21" t="s">
        <v>114</v>
      </c>
      <c r="CR318" s="21" t="s">
        <v>114</v>
      </c>
      <c r="CS318" s="21" t="s">
        <v>114</v>
      </c>
      <c r="CT318" s="21" t="s">
        <v>114</v>
      </c>
      <c r="CU318" s="21" t="s">
        <v>114</v>
      </c>
      <c r="CV318" s="21" t="s">
        <v>114</v>
      </c>
      <c r="CW318" s="21" t="s">
        <v>114</v>
      </c>
      <c r="CX318" s="21" t="s">
        <v>114</v>
      </c>
      <c r="CY318" s="21" t="s">
        <v>114</v>
      </c>
      <c r="CZ318" s="21" t="s">
        <v>114</v>
      </c>
      <c r="DA318" s="21" t="s">
        <v>114</v>
      </c>
      <c r="DB318" s="21" t="s">
        <v>114</v>
      </c>
      <c r="DC318" s="21" t="s">
        <v>114</v>
      </c>
      <c r="DD318" s="21" t="s">
        <v>114</v>
      </c>
      <c r="DE318" s="21" t="s">
        <v>114</v>
      </c>
      <c r="DF318" s="19" t="s">
        <v>114</v>
      </c>
      <c r="DG318" s="19" t="s">
        <v>114</v>
      </c>
      <c r="DH318" s="19" t="s">
        <v>114</v>
      </c>
      <c r="DI318" s="19" t="s">
        <v>114</v>
      </c>
      <c r="DJ318" s="19" t="s">
        <v>114</v>
      </c>
      <c r="DK318" s="19" t="s">
        <v>114</v>
      </c>
      <c r="DL318" s="19" t="s">
        <v>114</v>
      </c>
      <c r="DM318" s="19" t="s">
        <v>114</v>
      </c>
      <c r="DN318" s="19" t="s">
        <v>114</v>
      </c>
      <c r="DO318" s="19" t="s">
        <v>114</v>
      </c>
    </row>
    <row r="319" spans="1:119" hidden="1" x14ac:dyDescent="0.45">
      <c r="A319" s="2" t="s">
        <v>352</v>
      </c>
      <c r="B319" t="s">
        <v>353</v>
      </c>
      <c r="C319" s="2">
        <v>132</v>
      </c>
      <c r="D319" s="6">
        <v>109</v>
      </c>
      <c r="E319" s="2" t="s">
        <v>354</v>
      </c>
      <c r="F319" t="s">
        <v>354</v>
      </c>
      <c r="G319" t="s">
        <v>2036</v>
      </c>
      <c r="H319" s="2" t="s">
        <v>354</v>
      </c>
      <c r="I319" s="2" t="s">
        <v>354</v>
      </c>
      <c r="J319" s="2">
        <v>2</v>
      </c>
      <c r="K319" t="s">
        <v>116</v>
      </c>
      <c r="L319" s="2">
        <v>202</v>
      </c>
      <c r="M319" t="s">
        <v>166</v>
      </c>
      <c r="N319">
        <v>11</v>
      </c>
      <c r="O319" t="s">
        <v>273</v>
      </c>
      <c r="P319" s="2" t="s">
        <v>116</v>
      </c>
      <c r="Q319" s="2" t="s">
        <v>166</v>
      </c>
      <c r="R319" s="2">
        <v>202</v>
      </c>
      <c r="S319" s="4" t="s">
        <v>166</v>
      </c>
      <c r="T319" s="2">
        <v>202</v>
      </c>
      <c r="U319" s="4" t="s">
        <v>166</v>
      </c>
      <c r="V319" t="s">
        <v>2457</v>
      </c>
      <c r="W319" t="s">
        <v>2457</v>
      </c>
      <c r="X319" t="s">
        <v>2440</v>
      </c>
      <c r="Y319" t="s">
        <v>273</v>
      </c>
      <c r="Z319" t="s">
        <v>273</v>
      </c>
      <c r="AA319" t="s">
        <v>273</v>
      </c>
      <c r="AB319" t="s">
        <v>2885</v>
      </c>
      <c r="AC319" s="2" t="s">
        <v>168</v>
      </c>
      <c r="AD319" s="4" t="s">
        <v>1891</v>
      </c>
      <c r="AE319" t="s">
        <v>104</v>
      </c>
      <c r="AF319" t="s">
        <v>1885</v>
      </c>
      <c r="AG319" t="s">
        <v>1884</v>
      </c>
      <c r="AH319" t="s">
        <v>105</v>
      </c>
      <c r="AI319" s="3" t="s">
        <v>105</v>
      </c>
      <c r="AJ319" s="3" t="s">
        <v>106</v>
      </c>
      <c r="AK319" s="3" t="s">
        <v>107</v>
      </c>
      <c r="AL319" s="5" t="s">
        <v>355</v>
      </c>
      <c r="AM319" s="5" t="s">
        <v>109</v>
      </c>
      <c r="AN319" t="s">
        <v>110</v>
      </c>
      <c r="AO319" s="3" t="s">
        <v>119</v>
      </c>
      <c r="AP319" s="3" t="s">
        <v>120</v>
      </c>
      <c r="AQ319" s="3" t="s">
        <v>27</v>
      </c>
      <c r="AR319" s="3" t="s">
        <v>112</v>
      </c>
      <c r="AS319" s="3" t="s">
        <v>112</v>
      </c>
      <c r="AT319" t="s">
        <v>191</v>
      </c>
      <c r="AU319" s="3" t="s">
        <v>2303</v>
      </c>
      <c r="AV319" s="3" t="s">
        <v>2302</v>
      </c>
      <c r="AW319" s="3" t="s">
        <v>2301</v>
      </c>
      <c r="AX319" s="3" t="s">
        <v>2006</v>
      </c>
      <c r="AY319" s="19">
        <v>98100</v>
      </c>
      <c r="AZ319" s="19" t="s">
        <v>114</v>
      </c>
      <c r="BA319" s="19" t="s">
        <v>114</v>
      </c>
      <c r="BB319" s="19" t="s">
        <v>114</v>
      </c>
      <c r="BC319" s="19" t="s">
        <v>114</v>
      </c>
      <c r="BD319" s="19">
        <v>98105</v>
      </c>
      <c r="BE319" s="19">
        <v>98106</v>
      </c>
      <c r="BF319" s="19" t="s">
        <v>114</v>
      </c>
      <c r="BG319" s="19">
        <v>98108</v>
      </c>
      <c r="BH319" s="19" t="s">
        <v>114</v>
      </c>
      <c r="BI319" s="19" t="s">
        <v>114</v>
      </c>
      <c r="BJ319" s="19" t="s">
        <v>114</v>
      </c>
      <c r="BK319" s="19" t="s">
        <v>114</v>
      </c>
      <c r="BL319" s="19" t="s">
        <v>114</v>
      </c>
      <c r="BM319" s="19" t="s">
        <v>114</v>
      </c>
      <c r="BN319" s="19">
        <v>98115</v>
      </c>
      <c r="BO319" s="19" t="s">
        <v>114</v>
      </c>
      <c r="BP319" s="19" t="s">
        <v>114</v>
      </c>
      <c r="BQ319" s="19" t="s">
        <v>114</v>
      </c>
      <c r="BR319" s="19" t="s">
        <v>114</v>
      </c>
      <c r="BS319" s="19" t="s">
        <v>114</v>
      </c>
      <c r="BT319" s="19">
        <v>98121</v>
      </c>
      <c r="BU319" s="19" t="s">
        <v>114</v>
      </c>
      <c r="BV319" s="19" t="s">
        <v>114</v>
      </c>
      <c r="BW319" s="19" t="s">
        <v>114</v>
      </c>
      <c r="BX319" s="19">
        <v>98125</v>
      </c>
      <c r="BY319" s="19">
        <v>98126</v>
      </c>
      <c r="BZ319" s="21" t="s">
        <v>114</v>
      </c>
      <c r="CA319" s="21" t="s">
        <v>114</v>
      </c>
      <c r="CB319" s="21" t="s">
        <v>114</v>
      </c>
      <c r="CC319" s="21" t="s">
        <v>114</v>
      </c>
      <c r="CD319" s="21" t="s">
        <v>114</v>
      </c>
      <c r="CE319" s="21" t="s">
        <v>114</v>
      </c>
      <c r="CF319" s="19" t="s">
        <v>114</v>
      </c>
      <c r="CG319" s="19" t="s">
        <v>114</v>
      </c>
      <c r="CH319" s="19" t="s">
        <v>114</v>
      </c>
      <c r="CI319" s="21" t="s">
        <v>114</v>
      </c>
      <c r="CJ319" s="21" t="s">
        <v>114</v>
      </c>
      <c r="CK319" s="21">
        <v>98405</v>
      </c>
      <c r="CL319" s="21" t="s">
        <v>114</v>
      </c>
      <c r="CM319" s="21" t="s">
        <v>114</v>
      </c>
      <c r="CN319" s="21" t="s">
        <v>114</v>
      </c>
      <c r="CO319" s="21" t="s">
        <v>114</v>
      </c>
      <c r="CP319" s="21" t="s">
        <v>114</v>
      </c>
      <c r="CQ319" s="21" t="s">
        <v>114</v>
      </c>
      <c r="CR319" s="21" t="s">
        <v>114</v>
      </c>
      <c r="CS319" s="21" t="s">
        <v>114</v>
      </c>
      <c r="CT319" s="21" t="s">
        <v>114</v>
      </c>
      <c r="CU319" s="21" t="s">
        <v>114</v>
      </c>
      <c r="CV319" s="21" t="s">
        <v>114</v>
      </c>
      <c r="CW319" s="21" t="s">
        <v>114</v>
      </c>
      <c r="CX319" s="21" t="s">
        <v>114</v>
      </c>
      <c r="CY319" s="21" t="s">
        <v>114</v>
      </c>
      <c r="CZ319" s="21" t="s">
        <v>114</v>
      </c>
      <c r="DA319" s="21" t="s">
        <v>114</v>
      </c>
      <c r="DB319" s="21" t="s">
        <v>114</v>
      </c>
      <c r="DC319" s="21" t="s">
        <v>114</v>
      </c>
      <c r="DD319" s="21" t="s">
        <v>114</v>
      </c>
      <c r="DE319" s="21" t="s">
        <v>114</v>
      </c>
      <c r="DF319" s="19" t="s">
        <v>114</v>
      </c>
      <c r="DG319" s="19" t="s">
        <v>114</v>
      </c>
      <c r="DH319" s="19" t="s">
        <v>114</v>
      </c>
      <c r="DI319" s="19" t="s">
        <v>114</v>
      </c>
      <c r="DJ319" s="19" t="s">
        <v>114</v>
      </c>
      <c r="DK319" s="19" t="s">
        <v>114</v>
      </c>
      <c r="DL319" s="19" t="s">
        <v>114</v>
      </c>
      <c r="DM319" s="19" t="s">
        <v>114</v>
      </c>
      <c r="DN319" s="19" t="s">
        <v>114</v>
      </c>
      <c r="DO319" s="19" t="s">
        <v>114</v>
      </c>
    </row>
    <row r="320" spans="1:119" hidden="1" x14ac:dyDescent="0.45">
      <c r="A320" s="2" t="s">
        <v>463</v>
      </c>
      <c r="B320" t="s">
        <v>464</v>
      </c>
      <c r="C320" s="2">
        <v>384</v>
      </c>
      <c r="D320" s="6">
        <v>116</v>
      </c>
      <c r="E320" s="2" t="s">
        <v>1612</v>
      </c>
      <c r="F320" s="3" t="s">
        <v>466</v>
      </c>
      <c r="G320" t="s">
        <v>2047</v>
      </c>
      <c r="H320" s="4" t="s">
        <v>466</v>
      </c>
      <c r="I320" s="2" t="s">
        <v>466</v>
      </c>
      <c r="J320" s="2">
        <v>2</v>
      </c>
      <c r="K320" t="s">
        <v>116</v>
      </c>
      <c r="L320" s="2">
        <v>202</v>
      </c>
      <c r="M320" t="s">
        <v>166</v>
      </c>
      <c r="N320">
        <v>11</v>
      </c>
      <c r="O320" t="s">
        <v>273</v>
      </c>
      <c r="P320" s="2" t="s">
        <v>116</v>
      </c>
      <c r="Q320" s="2" t="s">
        <v>166</v>
      </c>
      <c r="R320" s="2">
        <v>202</v>
      </c>
      <c r="S320" s="4" t="s">
        <v>166</v>
      </c>
      <c r="T320" s="2">
        <v>202</v>
      </c>
      <c r="U320" s="4" t="s">
        <v>166</v>
      </c>
      <c r="V320" t="s">
        <v>2457</v>
      </c>
      <c r="W320" t="s">
        <v>2457</v>
      </c>
      <c r="X320" t="s">
        <v>2440</v>
      </c>
      <c r="Y320" t="s">
        <v>273</v>
      </c>
      <c r="Z320" t="s">
        <v>273</v>
      </c>
      <c r="AA320" t="s">
        <v>273</v>
      </c>
      <c r="AB320" t="s">
        <v>2885</v>
      </c>
      <c r="AC320" s="2" t="s">
        <v>168</v>
      </c>
      <c r="AD320" s="2" t="s">
        <v>1890</v>
      </c>
      <c r="AE320" t="s">
        <v>104</v>
      </c>
      <c r="AF320" t="s">
        <v>1885</v>
      </c>
      <c r="AG320" t="s">
        <v>1884</v>
      </c>
      <c r="AH320" t="s">
        <v>105</v>
      </c>
      <c r="AI320" s="3" t="s">
        <v>105</v>
      </c>
      <c r="AJ320" s="3" t="s">
        <v>106</v>
      </c>
      <c r="AK320" s="3" t="s">
        <v>107</v>
      </c>
      <c r="AL320" s="5" t="s">
        <v>274</v>
      </c>
      <c r="AM320" s="5" t="s">
        <v>109</v>
      </c>
      <c r="AN320" t="s">
        <v>110</v>
      </c>
      <c r="AO320" s="3" t="s">
        <v>119</v>
      </c>
      <c r="AP320" s="3" t="s">
        <v>120</v>
      </c>
      <c r="AQ320" s="3" t="s">
        <v>111</v>
      </c>
      <c r="AR320" s="3" t="s">
        <v>112</v>
      </c>
      <c r="AS320" s="3" t="s">
        <v>112</v>
      </c>
      <c r="AT320" s="3" t="s">
        <v>113</v>
      </c>
      <c r="AU320" s="3" t="s">
        <v>2303</v>
      </c>
      <c r="AV320" s="3" t="s">
        <v>2302</v>
      </c>
      <c r="AW320" s="3" t="s">
        <v>2301</v>
      </c>
      <c r="AX320" s="3" t="s">
        <v>2006</v>
      </c>
      <c r="AY320" s="19">
        <v>98100</v>
      </c>
      <c r="AZ320" s="19" t="s">
        <v>114</v>
      </c>
      <c r="BA320" s="19" t="s">
        <v>114</v>
      </c>
      <c r="BB320" s="19" t="s">
        <v>114</v>
      </c>
      <c r="BC320" s="19" t="s">
        <v>114</v>
      </c>
      <c r="BD320" s="19">
        <v>98105</v>
      </c>
      <c r="BE320" s="19">
        <v>98106</v>
      </c>
      <c r="BF320" s="19" t="s">
        <v>114</v>
      </c>
      <c r="BG320" s="19">
        <v>98108</v>
      </c>
      <c r="BH320" s="19" t="s">
        <v>114</v>
      </c>
      <c r="BI320" s="19" t="s">
        <v>114</v>
      </c>
      <c r="BJ320" s="19" t="s">
        <v>114</v>
      </c>
      <c r="BK320" s="19">
        <v>98112</v>
      </c>
      <c r="BL320" s="19" t="s">
        <v>114</v>
      </c>
      <c r="BM320" s="19" t="s">
        <v>114</v>
      </c>
      <c r="BN320" s="19" t="s">
        <v>114</v>
      </c>
      <c r="BO320" s="19" t="s">
        <v>114</v>
      </c>
      <c r="BP320" s="19" t="s">
        <v>114</v>
      </c>
      <c r="BQ320" s="19" t="s">
        <v>114</v>
      </c>
      <c r="BR320" s="19" t="s">
        <v>114</v>
      </c>
      <c r="BS320" s="19" t="s">
        <v>114</v>
      </c>
      <c r="BT320" s="19" t="s">
        <v>114</v>
      </c>
      <c r="BU320" s="19" t="s">
        <v>114</v>
      </c>
      <c r="BV320" s="19">
        <v>98123</v>
      </c>
      <c r="BW320" s="19" t="s">
        <v>114</v>
      </c>
      <c r="BX320" s="19" t="s">
        <v>114</v>
      </c>
      <c r="BY320" s="19">
        <v>98126</v>
      </c>
      <c r="BZ320" s="21" t="s">
        <v>114</v>
      </c>
      <c r="CA320" s="21" t="s">
        <v>114</v>
      </c>
      <c r="CB320" s="21" t="s">
        <v>114</v>
      </c>
      <c r="CC320" s="21" t="s">
        <v>114</v>
      </c>
      <c r="CD320" s="21" t="s">
        <v>114</v>
      </c>
      <c r="CE320" s="21" t="s">
        <v>114</v>
      </c>
      <c r="CF320" s="19" t="s">
        <v>114</v>
      </c>
      <c r="CG320" s="19" t="s">
        <v>114</v>
      </c>
      <c r="CH320" s="19" t="s">
        <v>114</v>
      </c>
      <c r="CI320" s="21" t="s">
        <v>114</v>
      </c>
      <c r="CJ320" s="21" t="s">
        <v>114</v>
      </c>
      <c r="CK320" s="21">
        <v>98405</v>
      </c>
      <c r="CL320" s="21" t="s">
        <v>114</v>
      </c>
      <c r="CM320" s="21" t="s">
        <v>114</v>
      </c>
      <c r="CN320" s="21" t="s">
        <v>114</v>
      </c>
      <c r="CO320" s="21" t="s">
        <v>114</v>
      </c>
      <c r="CP320" s="21" t="s">
        <v>114</v>
      </c>
      <c r="CQ320" s="21" t="s">
        <v>114</v>
      </c>
      <c r="CR320" s="21" t="s">
        <v>114</v>
      </c>
      <c r="CS320" s="21" t="s">
        <v>114</v>
      </c>
      <c r="CT320" s="21" t="s">
        <v>114</v>
      </c>
      <c r="CU320" s="21" t="s">
        <v>114</v>
      </c>
      <c r="CV320" s="21" t="s">
        <v>114</v>
      </c>
      <c r="CW320" s="21" t="s">
        <v>114</v>
      </c>
      <c r="CX320" s="21" t="s">
        <v>114</v>
      </c>
      <c r="CY320" s="21" t="s">
        <v>114</v>
      </c>
      <c r="CZ320" s="21" t="s">
        <v>114</v>
      </c>
      <c r="DA320" s="21" t="s">
        <v>114</v>
      </c>
      <c r="DB320" s="21" t="s">
        <v>114</v>
      </c>
      <c r="DC320" s="21" t="s">
        <v>114</v>
      </c>
      <c r="DD320" s="21" t="s">
        <v>114</v>
      </c>
      <c r="DE320" s="21" t="s">
        <v>114</v>
      </c>
      <c r="DF320" s="19" t="s">
        <v>114</v>
      </c>
      <c r="DG320" s="19" t="s">
        <v>114</v>
      </c>
      <c r="DH320" s="19" t="s">
        <v>114</v>
      </c>
      <c r="DI320" s="19" t="s">
        <v>114</v>
      </c>
      <c r="DJ320" s="19" t="s">
        <v>114</v>
      </c>
      <c r="DK320" s="19" t="s">
        <v>114</v>
      </c>
      <c r="DL320" s="19" t="s">
        <v>114</v>
      </c>
      <c r="DM320" s="19" t="s">
        <v>114</v>
      </c>
      <c r="DN320" s="19" t="s">
        <v>114</v>
      </c>
      <c r="DO320" s="19" t="s">
        <v>114</v>
      </c>
    </row>
    <row r="321" spans="1:119" hidden="1" x14ac:dyDescent="0.45">
      <c r="A321" s="2" t="s">
        <v>620</v>
      </c>
      <c r="B321" t="s">
        <v>621</v>
      </c>
      <c r="C321" s="2">
        <v>270</v>
      </c>
      <c r="D321" s="6">
        <v>125</v>
      </c>
      <c r="E321" s="2" t="s">
        <v>622</v>
      </c>
      <c r="F321" s="3" t="s">
        <v>2010</v>
      </c>
      <c r="G321" t="s">
        <v>2070</v>
      </c>
      <c r="H321" s="2" t="s">
        <v>623</v>
      </c>
      <c r="I321" s="2" t="s">
        <v>622</v>
      </c>
      <c r="J321" s="2">
        <v>2</v>
      </c>
      <c r="K321" t="s">
        <v>116</v>
      </c>
      <c r="L321" s="2">
        <v>202</v>
      </c>
      <c r="M321" t="s">
        <v>166</v>
      </c>
      <c r="N321">
        <v>11</v>
      </c>
      <c r="O321" t="s">
        <v>273</v>
      </c>
      <c r="P321" s="2" t="s">
        <v>116</v>
      </c>
      <c r="Q321" s="2" t="s">
        <v>166</v>
      </c>
      <c r="R321" s="2">
        <v>202</v>
      </c>
      <c r="S321" s="4" t="s">
        <v>166</v>
      </c>
      <c r="T321" s="2">
        <v>202</v>
      </c>
      <c r="U321" s="4" t="s">
        <v>166</v>
      </c>
      <c r="V321" t="s">
        <v>2457</v>
      </c>
      <c r="W321" t="s">
        <v>2457</v>
      </c>
      <c r="X321" t="s">
        <v>2440</v>
      </c>
      <c r="Y321" t="s">
        <v>273</v>
      </c>
      <c r="Z321" t="s">
        <v>273</v>
      </c>
      <c r="AA321" t="s">
        <v>273</v>
      </c>
      <c r="AB321" t="s">
        <v>2885</v>
      </c>
      <c r="AC321" s="2" t="s">
        <v>103</v>
      </c>
      <c r="AD321" s="2" t="s">
        <v>1890</v>
      </c>
      <c r="AE321" t="s">
        <v>104</v>
      </c>
      <c r="AF321" t="s">
        <v>1885</v>
      </c>
      <c r="AG321" t="s">
        <v>1884</v>
      </c>
      <c r="AH321" t="s">
        <v>105</v>
      </c>
      <c r="AI321" s="3" t="s">
        <v>105</v>
      </c>
      <c r="AJ321" s="3" t="s">
        <v>106</v>
      </c>
      <c r="AK321" s="3" t="s">
        <v>107</v>
      </c>
      <c r="AL321" s="5" t="s">
        <v>624</v>
      </c>
      <c r="AM321" s="5" t="s">
        <v>109</v>
      </c>
      <c r="AN321" t="s">
        <v>110</v>
      </c>
      <c r="AO321" t="s">
        <v>25</v>
      </c>
      <c r="AP321" s="3" t="s">
        <v>120</v>
      </c>
      <c r="AQ321" s="3" t="s">
        <v>111</v>
      </c>
      <c r="AR321" s="3" t="s">
        <v>112</v>
      </c>
      <c r="AS321" s="3" t="s">
        <v>112</v>
      </c>
      <c r="AT321" s="3" t="s">
        <v>113</v>
      </c>
      <c r="AU321" s="3" t="s">
        <v>2303</v>
      </c>
      <c r="AV321" s="3" t="s">
        <v>2302</v>
      </c>
      <c r="AW321" s="3" t="s">
        <v>2301</v>
      </c>
      <c r="AX321" s="3" t="s">
        <v>2006</v>
      </c>
      <c r="AY321" s="19">
        <v>98100</v>
      </c>
      <c r="AZ321" s="19" t="s">
        <v>114</v>
      </c>
      <c r="BA321" s="19" t="s">
        <v>114</v>
      </c>
      <c r="BB321" s="19" t="s">
        <v>114</v>
      </c>
      <c r="BC321" s="19" t="s">
        <v>114</v>
      </c>
      <c r="BD321" s="19">
        <v>98105</v>
      </c>
      <c r="BE321" s="19">
        <v>98106</v>
      </c>
      <c r="BF321" s="19" t="s">
        <v>114</v>
      </c>
      <c r="BG321" s="19">
        <v>98108</v>
      </c>
      <c r="BH321" s="19" t="s">
        <v>114</v>
      </c>
      <c r="BI321" s="19" t="s">
        <v>114</v>
      </c>
      <c r="BJ321" s="19" t="s">
        <v>114</v>
      </c>
      <c r="BK321" s="19">
        <v>98112</v>
      </c>
      <c r="BL321" s="19" t="s">
        <v>114</v>
      </c>
      <c r="BM321" s="19" t="s">
        <v>114</v>
      </c>
      <c r="BN321" s="19" t="s">
        <v>114</v>
      </c>
      <c r="BO321" s="19" t="s">
        <v>114</v>
      </c>
      <c r="BP321" s="19" t="s">
        <v>114</v>
      </c>
      <c r="BQ321" s="19">
        <v>98118</v>
      </c>
      <c r="BR321" s="19" t="s">
        <v>114</v>
      </c>
      <c r="BS321" s="19">
        <v>98120</v>
      </c>
      <c r="BT321" s="19">
        <v>98121</v>
      </c>
      <c r="BU321" s="19" t="s">
        <v>114</v>
      </c>
      <c r="BV321" s="19" t="s">
        <v>114</v>
      </c>
      <c r="BW321" s="19">
        <v>98124</v>
      </c>
      <c r="BX321" s="19" t="s">
        <v>114</v>
      </c>
      <c r="BY321" s="19">
        <v>98126</v>
      </c>
      <c r="BZ321" s="21" t="s">
        <v>114</v>
      </c>
      <c r="CA321" s="21" t="s">
        <v>114</v>
      </c>
      <c r="CB321" s="21" t="s">
        <v>114</v>
      </c>
      <c r="CC321" s="21" t="s">
        <v>114</v>
      </c>
      <c r="CD321" s="21" t="s">
        <v>114</v>
      </c>
      <c r="CE321" s="21" t="s">
        <v>114</v>
      </c>
      <c r="CF321" s="19" t="s">
        <v>114</v>
      </c>
      <c r="CG321" s="19" t="s">
        <v>114</v>
      </c>
      <c r="CH321" s="19" t="s">
        <v>114</v>
      </c>
      <c r="CI321" s="21" t="s">
        <v>114</v>
      </c>
      <c r="CJ321" s="21" t="s">
        <v>114</v>
      </c>
      <c r="CK321" s="21">
        <v>98405</v>
      </c>
      <c r="CL321" s="21" t="s">
        <v>114</v>
      </c>
      <c r="CM321" s="21" t="s">
        <v>114</v>
      </c>
      <c r="CN321" s="21" t="s">
        <v>114</v>
      </c>
      <c r="CO321" s="21" t="s">
        <v>114</v>
      </c>
      <c r="CP321" s="21" t="s">
        <v>114</v>
      </c>
      <c r="CQ321" s="21" t="s">
        <v>114</v>
      </c>
      <c r="CR321" s="21" t="s">
        <v>114</v>
      </c>
      <c r="CS321" s="21" t="s">
        <v>114</v>
      </c>
      <c r="CT321" s="21" t="s">
        <v>114</v>
      </c>
      <c r="CU321" s="21" t="s">
        <v>114</v>
      </c>
      <c r="CV321" s="21" t="s">
        <v>114</v>
      </c>
      <c r="CW321" s="21" t="s">
        <v>114</v>
      </c>
      <c r="CX321" s="21" t="s">
        <v>114</v>
      </c>
      <c r="CY321" s="21" t="s">
        <v>114</v>
      </c>
      <c r="CZ321" s="21" t="s">
        <v>114</v>
      </c>
      <c r="DA321" s="21" t="s">
        <v>114</v>
      </c>
      <c r="DB321" s="21" t="s">
        <v>114</v>
      </c>
      <c r="DC321" s="21" t="s">
        <v>114</v>
      </c>
      <c r="DD321" s="21" t="s">
        <v>114</v>
      </c>
      <c r="DE321" s="21" t="s">
        <v>114</v>
      </c>
      <c r="DF321" s="19" t="s">
        <v>114</v>
      </c>
      <c r="DG321" s="19" t="s">
        <v>114</v>
      </c>
      <c r="DH321" s="19" t="s">
        <v>114</v>
      </c>
      <c r="DI321" s="19" t="s">
        <v>114</v>
      </c>
      <c r="DJ321" s="19" t="s">
        <v>114</v>
      </c>
      <c r="DK321" s="19" t="s">
        <v>114</v>
      </c>
      <c r="DL321" s="19" t="s">
        <v>114</v>
      </c>
      <c r="DM321" s="19" t="s">
        <v>114</v>
      </c>
      <c r="DN321" s="19" t="s">
        <v>114</v>
      </c>
      <c r="DO321" s="19" t="s">
        <v>114</v>
      </c>
    </row>
    <row r="322" spans="1:119" hidden="1" x14ac:dyDescent="0.45">
      <c r="A322" s="2" t="s">
        <v>635</v>
      </c>
      <c r="B322" t="s">
        <v>636</v>
      </c>
      <c r="C322" s="2">
        <v>288</v>
      </c>
      <c r="D322" s="6">
        <v>126</v>
      </c>
      <c r="E322" s="2" t="s">
        <v>637</v>
      </c>
      <c r="F322" t="s">
        <v>637</v>
      </c>
      <c r="G322" t="s">
        <v>2072</v>
      </c>
      <c r="H322" s="2" t="s">
        <v>637</v>
      </c>
      <c r="I322" s="2" t="s">
        <v>637</v>
      </c>
      <c r="J322" s="2">
        <v>2</v>
      </c>
      <c r="K322" t="s">
        <v>116</v>
      </c>
      <c r="L322" s="2">
        <v>202</v>
      </c>
      <c r="M322" t="s">
        <v>166</v>
      </c>
      <c r="N322">
        <v>11</v>
      </c>
      <c r="O322" t="s">
        <v>273</v>
      </c>
      <c r="P322" s="2" t="s">
        <v>116</v>
      </c>
      <c r="Q322" s="2" t="s">
        <v>166</v>
      </c>
      <c r="R322" s="2">
        <v>202</v>
      </c>
      <c r="S322" s="4" t="s">
        <v>166</v>
      </c>
      <c r="T322" s="2">
        <v>202</v>
      </c>
      <c r="U322" s="4" t="s">
        <v>166</v>
      </c>
      <c r="V322" t="s">
        <v>2457</v>
      </c>
      <c r="W322" t="s">
        <v>2457</v>
      </c>
      <c r="X322" t="s">
        <v>2440</v>
      </c>
      <c r="Y322" t="s">
        <v>273</v>
      </c>
      <c r="Z322" t="s">
        <v>273</v>
      </c>
      <c r="AA322" t="s">
        <v>273</v>
      </c>
      <c r="AB322" t="s">
        <v>2885</v>
      </c>
      <c r="AC322" s="2" t="s">
        <v>168</v>
      </c>
      <c r="AD322" s="2" t="s">
        <v>1890</v>
      </c>
      <c r="AE322" t="s">
        <v>104</v>
      </c>
      <c r="AF322" t="s">
        <v>1885</v>
      </c>
      <c r="AG322" t="s">
        <v>1884</v>
      </c>
      <c r="AH322" t="s">
        <v>105</v>
      </c>
      <c r="AI322" s="3" t="s">
        <v>105</v>
      </c>
      <c r="AJ322" s="3" t="s">
        <v>106</v>
      </c>
      <c r="AK322" s="3" t="s">
        <v>107</v>
      </c>
      <c r="AL322" s="5" t="s">
        <v>638</v>
      </c>
      <c r="AM322" s="5" t="s">
        <v>109</v>
      </c>
      <c r="AN322" t="s">
        <v>110</v>
      </c>
      <c r="AO322" s="3" t="s">
        <v>119</v>
      </c>
      <c r="AP322" s="3" t="s">
        <v>120</v>
      </c>
      <c r="AQ322" s="3" t="s">
        <v>111</v>
      </c>
      <c r="AR322" s="3" t="s">
        <v>112</v>
      </c>
      <c r="AS322" s="3" t="s">
        <v>112</v>
      </c>
      <c r="AT322" s="3" t="s">
        <v>113</v>
      </c>
      <c r="AU322" s="3" t="s">
        <v>2303</v>
      </c>
      <c r="AV322" s="3" t="s">
        <v>2302</v>
      </c>
      <c r="AW322" s="3" t="s">
        <v>2301</v>
      </c>
      <c r="AX322" s="3" t="s">
        <v>2006</v>
      </c>
      <c r="AY322" s="19">
        <v>98100</v>
      </c>
      <c r="AZ322" s="19" t="s">
        <v>114</v>
      </c>
      <c r="BA322" s="19" t="s">
        <v>114</v>
      </c>
      <c r="BB322" s="19" t="s">
        <v>114</v>
      </c>
      <c r="BC322" s="19" t="s">
        <v>114</v>
      </c>
      <c r="BD322" s="19">
        <v>98105</v>
      </c>
      <c r="BE322" s="19">
        <v>98106</v>
      </c>
      <c r="BF322" s="19" t="s">
        <v>114</v>
      </c>
      <c r="BG322" s="19">
        <v>98108</v>
      </c>
      <c r="BH322" s="19" t="s">
        <v>114</v>
      </c>
      <c r="BI322" s="19" t="s">
        <v>114</v>
      </c>
      <c r="BJ322" s="19" t="s">
        <v>114</v>
      </c>
      <c r="BK322" s="19">
        <v>98112</v>
      </c>
      <c r="BL322" s="19" t="s">
        <v>114</v>
      </c>
      <c r="BM322" s="19" t="s">
        <v>114</v>
      </c>
      <c r="BN322" s="19" t="s">
        <v>114</v>
      </c>
      <c r="BO322" s="19" t="s">
        <v>114</v>
      </c>
      <c r="BP322" s="19" t="s">
        <v>114</v>
      </c>
      <c r="BQ322" s="19" t="s">
        <v>114</v>
      </c>
      <c r="BR322" s="19">
        <v>98119</v>
      </c>
      <c r="BS322" s="19" t="s">
        <v>114</v>
      </c>
      <c r="BT322" s="19" t="s">
        <v>114</v>
      </c>
      <c r="BU322" s="19" t="s">
        <v>114</v>
      </c>
      <c r="BV322" s="19">
        <v>98123</v>
      </c>
      <c r="BW322" s="19" t="s">
        <v>114</v>
      </c>
      <c r="BX322" s="19" t="s">
        <v>114</v>
      </c>
      <c r="BY322" s="19">
        <v>98126</v>
      </c>
      <c r="BZ322" s="21" t="s">
        <v>114</v>
      </c>
      <c r="CA322" s="21" t="s">
        <v>114</v>
      </c>
      <c r="CB322" s="21" t="s">
        <v>114</v>
      </c>
      <c r="CC322" s="21" t="s">
        <v>114</v>
      </c>
      <c r="CD322" s="21" t="s">
        <v>114</v>
      </c>
      <c r="CE322" s="21" t="s">
        <v>114</v>
      </c>
      <c r="CF322" s="19" t="s">
        <v>114</v>
      </c>
      <c r="CG322" s="19" t="s">
        <v>114</v>
      </c>
      <c r="CH322" s="19" t="s">
        <v>114</v>
      </c>
      <c r="CI322" s="21" t="s">
        <v>114</v>
      </c>
      <c r="CJ322" s="21" t="s">
        <v>114</v>
      </c>
      <c r="CK322" s="21">
        <v>98405</v>
      </c>
      <c r="CL322" s="21" t="s">
        <v>114</v>
      </c>
      <c r="CM322" s="21" t="s">
        <v>114</v>
      </c>
      <c r="CN322" s="21" t="s">
        <v>114</v>
      </c>
      <c r="CO322" s="21" t="s">
        <v>114</v>
      </c>
      <c r="CP322" s="21" t="s">
        <v>114</v>
      </c>
      <c r="CQ322" s="21" t="s">
        <v>114</v>
      </c>
      <c r="CR322" s="21" t="s">
        <v>114</v>
      </c>
      <c r="CS322" s="21" t="s">
        <v>114</v>
      </c>
      <c r="CT322" s="21" t="s">
        <v>114</v>
      </c>
      <c r="CU322" s="21" t="s">
        <v>114</v>
      </c>
      <c r="CV322" s="21" t="s">
        <v>114</v>
      </c>
      <c r="CW322" s="21" t="s">
        <v>114</v>
      </c>
      <c r="CX322" s="21" t="s">
        <v>114</v>
      </c>
      <c r="CY322" s="21" t="s">
        <v>114</v>
      </c>
      <c r="CZ322" s="21" t="s">
        <v>114</v>
      </c>
      <c r="DA322" s="21" t="s">
        <v>114</v>
      </c>
      <c r="DB322" s="21" t="s">
        <v>114</v>
      </c>
      <c r="DC322" s="21" t="s">
        <v>114</v>
      </c>
      <c r="DD322" s="21" t="s">
        <v>114</v>
      </c>
      <c r="DE322" s="21" t="s">
        <v>114</v>
      </c>
      <c r="DF322" s="19" t="s">
        <v>114</v>
      </c>
      <c r="DG322" s="19" t="s">
        <v>114</v>
      </c>
      <c r="DH322" s="19" t="s">
        <v>114</v>
      </c>
      <c r="DI322" s="19" t="s">
        <v>114</v>
      </c>
      <c r="DJ322" s="19" t="s">
        <v>114</v>
      </c>
      <c r="DK322" s="19" t="s">
        <v>114</v>
      </c>
      <c r="DL322" s="19" t="s">
        <v>114</v>
      </c>
      <c r="DM322" s="19" t="s">
        <v>114</v>
      </c>
      <c r="DN322" s="19" t="s">
        <v>114</v>
      </c>
      <c r="DO322" s="19" t="s">
        <v>114</v>
      </c>
    </row>
    <row r="323" spans="1:119" hidden="1" x14ac:dyDescent="0.45">
      <c r="A323" s="2" t="s">
        <v>675</v>
      </c>
      <c r="B323" t="s">
        <v>676</v>
      </c>
      <c r="C323" s="2">
        <v>324</v>
      </c>
      <c r="D323" s="6">
        <v>127</v>
      </c>
      <c r="E323" s="2" t="s">
        <v>677</v>
      </c>
      <c r="F323" t="s">
        <v>677</v>
      </c>
      <c r="G323" t="s">
        <v>2075</v>
      </c>
      <c r="H323" s="2" t="s">
        <v>678</v>
      </c>
      <c r="I323" s="2" t="s">
        <v>677</v>
      </c>
      <c r="J323" s="2">
        <v>2</v>
      </c>
      <c r="K323" t="s">
        <v>116</v>
      </c>
      <c r="L323" s="2">
        <v>202</v>
      </c>
      <c r="M323" t="s">
        <v>166</v>
      </c>
      <c r="N323">
        <v>11</v>
      </c>
      <c r="O323" t="s">
        <v>273</v>
      </c>
      <c r="P323" s="2" t="s">
        <v>116</v>
      </c>
      <c r="Q323" s="2" t="s">
        <v>166</v>
      </c>
      <c r="R323" s="2">
        <v>202</v>
      </c>
      <c r="S323" s="4" t="s">
        <v>166</v>
      </c>
      <c r="T323" s="2">
        <v>202</v>
      </c>
      <c r="U323" s="4" t="s">
        <v>166</v>
      </c>
      <c r="V323" t="s">
        <v>2457</v>
      </c>
      <c r="W323" t="s">
        <v>2457</v>
      </c>
      <c r="X323" t="s">
        <v>2440</v>
      </c>
      <c r="Y323" t="s">
        <v>273</v>
      </c>
      <c r="Z323" t="s">
        <v>273</v>
      </c>
      <c r="AA323" t="s">
        <v>273</v>
      </c>
      <c r="AB323" t="s">
        <v>2885</v>
      </c>
      <c r="AC323" s="2" t="s">
        <v>103</v>
      </c>
      <c r="AD323" s="2" t="s">
        <v>1890</v>
      </c>
      <c r="AE323" t="s">
        <v>104</v>
      </c>
      <c r="AF323" t="s">
        <v>1885</v>
      </c>
      <c r="AG323" t="s">
        <v>1884</v>
      </c>
      <c r="AH323" t="s">
        <v>105</v>
      </c>
      <c r="AI323" s="3" t="s">
        <v>105</v>
      </c>
      <c r="AJ323" s="3" t="s">
        <v>106</v>
      </c>
      <c r="AK323" s="3" t="s">
        <v>107</v>
      </c>
      <c r="AL323" s="5" t="s">
        <v>679</v>
      </c>
      <c r="AM323" s="5" t="s">
        <v>109</v>
      </c>
      <c r="AN323" t="s">
        <v>110</v>
      </c>
      <c r="AO323" t="s">
        <v>25</v>
      </c>
      <c r="AP323" s="3" t="s">
        <v>120</v>
      </c>
      <c r="AQ323" s="3" t="s">
        <v>111</v>
      </c>
      <c r="AR323" s="3" t="s">
        <v>112</v>
      </c>
      <c r="AS323" s="3" t="s">
        <v>112</v>
      </c>
      <c r="AT323" s="3" t="s">
        <v>113</v>
      </c>
      <c r="AU323" s="3" t="s">
        <v>2303</v>
      </c>
      <c r="AV323" s="3" t="s">
        <v>2302</v>
      </c>
      <c r="AW323" s="3" t="s">
        <v>2301</v>
      </c>
      <c r="AX323" s="3" t="s">
        <v>2006</v>
      </c>
      <c r="AY323" s="19">
        <v>98100</v>
      </c>
      <c r="AZ323" s="19" t="s">
        <v>114</v>
      </c>
      <c r="BA323" s="19" t="s">
        <v>114</v>
      </c>
      <c r="BB323" s="19" t="s">
        <v>114</v>
      </c>
      <c r="BC323" s="19" t="s">
        <v>114</v>
      </c>
      <c r="BD323" s="19">
        <v>98105</v>
      </c>
      <c r="BE323" s="19">
        <v>98106</v>
      </c>
      <c r="BF323" s="19" t="s">
        <v>114</v>
      </c>
      <c r="BG323" s="19">
        <v>98108</v>
      </c>
      <c r="BH323" s="19" t="s">
        <v>114</v>
      </c>
      <c r="BI323" s="19" t="s">
        <v>114</v>
      </c>
      <c r="BJ323" s="19" t="s">
        <v>114</v>
      </c>
      <c r="BK323" s="19" t="s">
        <v>114</v>
      </c>
      <c r="BL323" s="19" t="s">
        <v>114</v>
      </c>
      <c r="BM323" s="19" t="s">
        <v>114</v>
      </c>
      <c r="BN323" s="19" t="s">
        <v>114</v>
      </c>
      <c r="BO323" s="19" t="s">
        <v>114</v>
      </c>
      <c r="BP323" s="19" t="s">
        <v>114</v>
      </c>
      <c r="BQ323" s="19">
        <v>98118</v>
      </c>
      <c r="BR323" s="19">
        <v>98119</v>
      </c>
      <c r="BS323" s="19">
        <v>98120</v>
      </c>
      <c r="BT323" s="19">
        <v>98121</v>
      </c>
      <c r="BU323" s="19" t="s">
        <v>114</v>
      </c>
      <c r="BV323" s="19" t="s">
        <v>114</v>
      </c>
      <c r="BW323" s="19">
        <v>98124</v>
      </c>
      <c r="BX323" s="19" t="s">
        <v>114</v>
      </c>
      <c r="BY323" s="19">
        <v>98126</v>
      </c>
      <c r="BZ323" s="21" t="s">
        <v>114</v>
      </c>
      <c r="CA323" s="21" t="s">
        <v>114</v>
      </c>
      <c r="CB323" s="21" t="s">
        <v>114</v>
      </c>
      <c r="CC323" s="21" t="s">
        <v>114</v>
      </c>
      <c r="CD323" s="21" t="s">
        <v>114</v>
      </c>
      <c r="CE323" s="21" t="s">
        <v>114</v>
      </c>
      <c r="CF323" s="19" t="s">
        <v>114</v>
      </c>
      <c r="CG323" s="19" t="s">
        <v>114</v>
      </c>
      <c r="CH323" s="19" t="s">
        <v>114</v>
      </c>
      <c r="CI323" s="21" t="s">
        <v>114</v>
      </c>
      <c r="CJ323" s="21" t="s">
        <v>114</v>
      </c>
      <c r="CK323" s="21">
        <v>98405</v>
      </c>
      <c r="CL323" s="21" t="s">
        <v>114</v>
      </c>
      <c r="CM323" s="21" t="s">
        <v>114</v>
      </c>
      <c r="CN323" s="21" t="s">
        <v>114</v>
      </c>
      <c r="CO323" s="21" t="s">
        <v>114</v>
      </c>
      <c r="CP323" s="21" t="s">
        <v>114</v>
      </c>
      <c r="CQ323" s="21" t="s">
        <v>114</v>
      </c>
      <c r="CR323" s="21" t="s">
        <v>114</v>
      </c>
      <c r="CS323" s="21" t="s">
        <v>114</v>
      </c>
      <c r="CT323" s="21" t="s">
        <v>114</v>
      </c>
      <c r="CU323" s="21" t="s">
        <v>114</v>
      </c>
      <c r="CV323" s="21" t="s">
        <v>114</v>
      </c>
      <c r="CW323" s="21" t="s">
        <v>114</v>
      </c>
      <c r="CX323" s="21" t="s">
        <v>114</v>
      </c>
      <c r="CY323" s="21" t="s">
        <v>114</v>
      </c>
      <c r="CZ323" s="21" t="s">
        <v>114</v>
      </c>
      <c r="DA323" s="21" t="s">
        <v>114</v>
      </c>
      <c r="DB323" s="21" t="s">
        <v>114</v>
      </c>
      <c r="DC323" s="21" t="s">
        <v>114</v>
      </c>
      <c r="DD323" s="21" t="s">
        <v>114</v>
      </c>
      <c r="DE323" s="21" t="s">
        <v>114</v>
      </c>
      <c r="DF323" s="19" t="s">
        <v>114</v>
      </c>
      <c r="DG323" s="19" t="s">
        <v>114</v>
      </c>
      <c r="DH323" s="19" t="s">
        <v>114</v>
      </c>
      <c r="DI323" s="19" t="s">
        <v>114</v>
      </c>
      <c r="DJ323" s="19" t="s">
        <v>114</v>
      </c>
      <c r="DK323" s="19" t="s">
        <v>114</v>
      </c>
      <c r="DL323" s="19" t="s">
        <v>114</v>
      </c>
      <c r="DM323" s="19" t="s">
        <v>114</v>
      </c>
      <c r="DN323" s="19" t="s">
        <v>114</v>
      </c>
      <c r="DO323" s="19" t="s">
        <v>114</v>
      </c>
    </row>
    <row r="324" spans="1:119" hidden="1" x14ac:dyDescent="0.45">
      <c r="A324" s="2" t="s">
        <v>680</v>
      </c>
      <c r="B324" t="s">
        <v>681</v>
      </c>
      <c r="C324" s="2">
        <v>624</v>
      </c>
      <c r="D324" s="6">
        <v>128</v>
      </c>
      <c r="E324" s="2" t="s">
        <v>1663</v>
      </c>
      <c r="F324" t="s">
        <v>682</v>
      </c>
      <c r="G324" t="s">
        <v>2076</v>
      </c>
      <c r="H324" s="2" t="s">
        <v>683</v>
      </c>
      <c r="I324" s="2" t="s">
        <v>682</v>
      </c>
      <c r="J324" s="2">
        <v>2</v>
      </c>
      <c r="K324" t="s">
        <v>116</v>
      </c>
      <c r="L324" s="2">
        <v>202</v>
      </c>
      <c r="M324" t="s">
        <v>166</v>
      </c>
      <c r="N324">
        <v>11</v>
      </c>
      <c r="O324" t="s">
        <v>273</v>
      </c>
      <c r="P324" s="2" t="s">
        <v>116</v>
      </c>
      <c r="Q324" s="2" t="s">
        <v>166</v>
      </c>
      <c r="R324" s="2">
        <v>202</v>
      </c>
      <c r="S324" s="4" t="s">
        <v>166</v>
      </c>
      <c r="T324" s="2">
        <v>202</v>
      </c>
      <c r="U324" s="4" t="s">
        <v>166</v>
      </c>
      <c r="V324" t="s">
        <v>2457</v>
      </c>
      <c r="W324" t="s">
        <v>2457</v>
      </c>
      <c r="X324" t="s">
        <v>2440</v>
      </c>
      <c r="Y324" t="s">
        <v>273</v>
      </c>
      <c r="Z324" t="s">
        <v>273</v>
      </c>
      <c r="AA324" t="s">
        <v>273</v>
      </c>
      <c r="AB324" t="s">
        <v>2885</v>
      </c>
      <c r="AC324" s="2" t="s">
        <v>103</v>
      </c>
      <c r="AD324" s="2" t="s">
        <v>1890</v>
      </c>
      <c r="AE324" t="s">
        <v>104</v>
      </c>
      <c r="AF324" t="s">
        <v>1885</v>
      </c>
      <c r="AG324" t="s">
        <v>1884</v>
      </c>
      <c r="AH324" t="s">
        <v>105</v>
      </c>
      <c r="AI324" s="3" t="s">
        <v>105</v>
      </c>
      <c r="AJ324" s="3" t="s">
        <v>106</v>
      </c>
      <c r="AK324" s="3" t="s">
        <v>107</v>
      </c>
      <c r="AL324" s="5" t="s">
        <v>274</v>
      </c>
      <c r="AM324" s="5" t="s">
        <v>109</v>
      </c>
      <c r="AO324" t="s">
        <v>25</v>
      </c>
      <c r="AP324" s="3" t="s">
        <v>120</v>
      </c>
      <c r="AQ324" s="3" t="s">
        <v>27</v>
      </c>
      <c r="AR324" s="3" t="s">
        <v>112</v>
      </c>
      <c r="AS324" s="3" t="s">
        <v>112</v>
      </c>
      <c r="AT324" s="3" t="s">
        <v>113</v>
      </c>
      <c r="AU324" s="3" t="s">
        <v>2303</v>
      </c>
      <c r="AV324" s="3" t="s">
        <v>2302</v>
      </c>
      <c r="AW324" s="3" t="s">
        <v>2301</v>
      </c>
      <c r="AX324" s="3" t="s">
        <v>2006</v>
      </c>
      <c r="AY324" s="19">
        <v>98100</v>
      </c>
      <c r="AZ324" s="19" t="s">
        <v>114</v>
      </c>
      <c r="BA324" s="19" t="s">
        <v>114</v>
      </c>
      <c r="BB324" s="19" t="s">
        <v>114</v>
      </c>
      <c r="BC324" s="19" t="s">
        <v>114</v>
      </c>
      <c r="BD324" s="19">
        <v>98105</v>
      </c>
      <c r="BE324" s="19">
        <v>98106</v>
      </c>
      <c r="BF324" s="19" t="s">
        <v>114</v>
      </c>
      <c r="BG324" s="19">
        <v>98108</v>
      </c>
      <c r="BH324" s="19" t="s">
        <v>114</v>
      </c>
      <c r="BI324" s="19" t="s">
        <v>114</v>
      </c>
      <c r="BJ324" s="19" t="s">
        <v>114</v>
      </c>
      <c r="BK324" s="19">
        <v>98112</v>
      </c>
      <c r="BL324" s="19" t="s">
        <v>114</v>
      </c>
      <c r="BM324" s="19" t="s">
        <v>114</v>
      </c>
      <c r="BN324" s="19" t="s">
        <v>114</v>
      </c>
      <c r="BO324" s="19" t="s">
        <v>114</v>
      </c>
      <c r="BP324" s="19" t="s">
        <v>114</v>
      </c>
      <c r="BQ324" s="19">
        <v>98118</v>
      </c>
      <c r="BR324" s="19" t="s">
        <v>114</v>
      </c>
      <c r="BS324" s="19">
        <v>98120</v>
      </c>
      <c r="BT324" s="19">
        <v>98121</v>
      </c>
      <c r="BU324" s="19" t="s">
        <v>114</v>
      </c>
      <c r="BV324" s="19" t="s">
        <v>114</v>
      </c>
      <c r="BW324" s="19" t="s">
        <v>114</v>
      </c>
      <c r="BX324" s="19" t="s">
        <v>114</v>
      </c>
      <c r="BY324" s="19">
        <v>98126</v>
      </c>
      <c r="BZ324" s="21" t="s">
        <v>114</v>
      </c>
      <c r="CA324" s="21" t="s">
        <v>114</v>
      </c>
      <c r="CB324" s="21" t="s">
        <v>114</v>
      </c>
      <c r="CC324" s="21" t="s">
        <v>114</v>
      </c>
      <c r="CD324" s="21" t="s">
        <v>114</v>
      </c>
      <c r="CE324" s="21" t="s">
        <v>114</v>
      </c>
      <c r="CF324" s="19" t="s">
        <v>114</v>
      </c>
      <c r="CG324" s="19" t="s">
        <v>114</v>
      </c>
      <c r="CH324" s="19" t="s">
        <v>114</v>
      </c>
      <c r="CI324" s="21" t="s">
        <v>114</v>
      </c>
      <c r="CJ324" s="21" t="s">
        <v>114</v>
      </c>
      <c r="CK324" s="21">
        <v>98405</v>
      </c>
      <c r="CL324" s="21" t="s">
        <v>114</v>
      </c>
      <c r="CM324" s="21" t="s">
        <v>114</v>
      </c>
      <c r="CN324" s="21" t="s">
        <v>114</v>
      </c>
      <c r="CO324" s="21" t="s">
        <v>114</v>
      </c>
      <c r="CP324" s="21" t="s">
        <v>114</v>
      </c>
      <c r="CQ324" s="21" t="s">
        <v>114</v>
      </c>
      <c r="CR324" s="21" t="s">
        <v>114</v>
      </c>
      <c r="CS324" s="21" t="s">
        <v>114</v>
      </c>
      <c r="CT324" s="21" t="s">
        <v>114</v>
      </c>
      <c r="CU324" s="21" t="s">
        <v>114</v>
      </c>
      <c r="CV324" s="21" t="s">
        <v>114</v>
      </c>
      <c r="CW324" s="21" t="s">
        <v>114</v>
      </c>
      <c r="CX324" s="21" t="s">
        <v>114</v>
      </c>
      <c r="CY324" s="21" t="s">
        <v>114</v>
      </c>
      <c r="CZ324" s="21" t="s">
        <v>114</v>
      </c>
      <c r="DA324" s="21" t="s">
        <v>114</v>
      </c>
      <c r="DB324" s="21" t="s">
        <v>114</v>
      </c>
      <c r="DC324" s="21" t="s">
        <v>114</v>
      </c>
      <c r="DD324" s="21" t="s">
        <v>114</v>
      </c>
      <c r="DE324" s="21" t="s">
        <v>114</v>
      </c>
      <c r="DF324" s="19" t="s">
        <v>114</v>
      </c>
      <c r="DG324" s="19" t="s">
        <v>114</v>
      </c>
      <c r="DH324" s="19" t="s">
        <v>114</v>
      </c>
      <c r="DI324" s="19" t="s">
        <v>114</v>
      </c>
      <c r="DJ324" s="19" t="s">
        <v>114</v>
      </c>
      <c r="DK324" s="19" t="s">
        <v>114</v>
      </c>
      <c r="DL324" s="19" t="s">
        <v>114</v>
      </c>
      <c r="DM324" s="19" t="s">
        <v>114</v>
      </c>
      <c r="DN324" s="19" t="s">
        <v>114</v>
      </c>
      <c r="DO324" s="19" t="s">
        <v>114</v>
      </c>
    </row>
    <row r="325" spans="1:119" hidden="1" x14ac:dyDescent="0.45">
      <c r="A325" s="2" t="s">
        <v>827</v>
      </c>
      <c r="B325" t="s">
        <v>828</v>
      </c>
      <c r="C325" s="2">
        <v>430</v>
      </c>
      <c r="D325" s="6">
        <v>132</v>
      </c>
      <c r="E325" s="2" t="s">
        <v>829</v>
      </c>
      <c r="F325" t="s">
        <v>829</v>
      </c>
      <c r="G325" t="s">
        <v>2096</v>
      </c>
      <c r="H325" s="2" t="s">
        <v>830</v>
      </c>
      <c r="I325" s="2" t="s">
        <v>829</v>
      </c>
      <c r="J325" s="2">
        <v>2</v>
      </c>
      <c r="K325" t="s">
        <v>116</v>
      </c>
      <c r="L325" s="2">
        <v>202</v>
      </c>
      <c r="M325" t="s">
        <v>166</v>
      </c>
      <c r="N325">
        <v>11</v>
      </c>
      <c r="O325" t="s">
        <v>273</v>
      </c>
      <c r="P325" s="2" t="s">
        <v>116</v>
      </c>
      <c r="Q325" s="2" t="s">
        <v>166</v>
      </c>
      <c r="R325" s="2">
        <v>202</v>
      </c>
      <c r="S325" s="4" t="s">
        <v>166</v>
      </c>
      <c r="T325" s="2">
        <v>202</v>
      </c>
      <c r="U325" s="4" t="s">
        <v>166</v>
      </c>
      <c r="V325" t="s">
        <v>2457</v>
      </c>
      <c r="W325" t="s">
        <v>2457</v>
      </c>
      <c r="X325" t="s">
        <v>2440</v>
      </c>
      <c r="Y325" t="s">
        <v>273</v>
      </c>
      <c r="Z325" t="s">
        <v>273</v>
      </c>
      <c r="AA325" t="s">
        <v>273</v>
      </c>
      <c r="AB325" t="s">
        <v>2885</v>
      </c>
      <c r="AC325" s="2" t="s">
        <v>103</v>
      </c>
      <c r="AD325" s="2" t="s">
        <v>1890</v>
      </c>
      <c r="AE325" t="s">
        <v>104</v>
      </c>
      <c r="AF325" t="s">
        <v>1885</v>
      </c>
      <c r="AG325" t="s">
        <v>1884</v>
      </c>
      <c r="AH325" t="s">
        <v>105</v>
      </c>
      <c r="AI325" s="3" t="s">
        <v>105</v>
      </c>
      <c r="AJ325" s="3" t="s">
        <v>106</v>
      </c>
      <c r="AK325" s="3" t="s">
        <v>107</v>
      </c>
      <c r="AL325" s="5" t="s">
        <v>831</v>
      </c>
      <c r="AM325" s="5" t="s">
        <v>109</v>
      </c>
      <c r="AN325" t="s">
        <v>110</v>
      </c>
      <c r="AO325" t="s">
        <v>25</v>
      </c>
      <c r="AP325" s="3" t="s">
        <v>120</v>
      </c>
      <c r="AQ325" s="3" t="s">
        <v>111</v>
      </c>
      <c r="AR325" s="3" t="s">
        <v>112</v>
      </c>
      <c r="AS325" s="3" t="s">
        <v>112</v>
      </c>
      <c r="AT325" s="3" t="s">
        <v>113</v>
      </c>
      <c r="AU325" s="3" t="s">
        <v>2303</v>
      </c>
      <c r="AV325" s="3" t="s">
        <v>2302</v>
      </c>
      <c r="AW325" s="3" t="s">
        <v>2301</v>
      </c>
      <c r="AX325" s="3" t="s">
        <v>2006</v>
      </c>
      <c r="AY325" s="19">
        <v>98100</v>
      </c>
      <c r="AZ325" s="19" t="s">
        <v>114</v>
      </c>
      <c r="BA325" s="19" t="s">
        <v>114</v>
      </c>
      <c r="BB325" s="19" t="s">
        <v>114</v>
      </c>
      <c r="BC325" s="19" t="s">
        <v>114</v>
      </c>
      <c r="BD325" s="19">
        <v>98105</v>
      </c>
      <c r="BE325" s="19">
        <v>98106</v>
      </c>
      <c r="BF325" s="19" t="s">
        <v>114</v>
      </c>
      <c r="BG325" s="19">
        <v>98108</v>
      </c>
      <c r="BH325" s="19" t="s">
        <v>114</v>
      </c>
      <c r="BI325" s="19" t="s">
        <v>114</v>
      </c>
      <c r="BJ325" s="19" t="s">
        <v>114</v>
      </c>
      <c r="BK325" s="19" t="s">
        <v>114</v>
      </c>
      <c r="BL325" s="19" t="s">
        <v>114</v>
      </c>
      <c r="BM325" s="19" t="s">
        <v>114</v>
      </c>
      <c r="BN325" s="19" t="s">
        <v>114</v>
      </c>
      <c r="BO325" s="19" t="s">
        <v>114</v>
      </c>
      <c r="BP325" s="19" t="s">
        <v>114</v>
      </c>
      <c r="BQ325" s="19">
        <v>98118</v>
      </c>
      <c r="BR325" s="19">
        <v>98119</v>
      </c>
      <c r="BS325" s="19">
        <v>98120</v>
      </c>
      <c r="BT325" s="19">
        <v>98121</v>
      </c>
      <c r="BU325" s="19" t="s">
        <v>114</v>
      </c>
      <c r="BV325" s="19" t="s">
        <v>114</v>
      </c>
      <c r="BW325" s="19" t="s">
        <v>114</v>
      </c>
      <c r="BX325" s="19" t="s">
        <v>114</v>
      </c>
      <c r="BY325" s="19">
        <v>98126</v>
      </c>
      <c r="BZ325" s="21" t="s">
        <v>114</v>
      </c>
      <c r="CA325" s="21" t="s">
        <v>114</v>
      </c>
      <c r="CB325" s="21" t="s">
        <v>114</v>
      </c>
      <c r="CC325" s="21" t="s">
        <v>114</v>
      </c>
      <c r="CD325" s="21" t="s">
        <v>114</v>
      </c>
      <c r="CE325" s="21" t="s">
        <v>114</v>
      </c>
      <c r="CF325" s="19" t="s">
        <v>114</v>
      </c>
      <c r="CG325" s="19" t="s">
        <v>114</v>
      </c>
      <c r="CH325" s="19" t="s">
        <v>114</v>
      </c>
      <c r="CI325" s="21" t="s">
        <v>114</v>
      </c>
      <c r="CJ325" s="21" t="s">
        <v>114</v>
      </c>
      <c r="CK325" s="21">
        <v>98405</v>
      </c>
      <c r="CL325" s="21" t="s">
        <v>114</v>
      </c>
      <c r="CM325" s="21" t="s">
        <v>114</v>
      </c>
      <c r="CN325" s="21" t="s">
        <v>114</v>
      </c>
      <c r="CO325" s="21" t="s">
        <v>114</v>
      </c>
      <c r="CP325" s="21" t="s">
        <v>114</v>
      </c>
      <c r="CQ325" s="21" t="s">
        <v>114</v>
      </c>
      <c r="CR325" s="21" t="s">
        <v>114</v>
      </c>
      <c r="CS325" s="21" t="s">
        <v>114</v>
      </c>
      <c r="CT325" s="21" t="s">
        <v>114</v>
      </c>
      <c r="CU325" s="21" t="s">
        <v>114</v>
      </c>
      <c r="CV325" s="21" t="s">
        <v>114</v>
      </c>
      <c r="CW325" s="21" t="s">
        <v>114</v>
      </c>
      <c r="CX325" s="21" t="s">
        <v>114</v>
      </c>
      <c r="CY325" s="21" t="s">
        <v>114</v>
      </c>
      <c r="CZ325" s="21" t="s">
        <v>114</v>
      </c>
      <c r="DA325" s="21" t="s">
        <v>114</v>
      </c>
      <c r="DB325" s="21" t="s">
        <v>114</v>
      </c>
      <c r="DC325" s="21" t="s">
        <v>114</v>
      </c>
      <c r="DD325" s="21" t="s">
        <v>114</v>
      </c>
      <c r="DE325" s="21" t="s">
        <v>114</v>
      </c>
      <c r="DF325" s="19" t="s">
        <v>114</v>
      </c>
      <c r="DG325" s="19" t="s">
        <v>114</v>
      </c>
      <c r="DH325" s="19" t="s">
        <v>114</v>
      </c>
      <c r="DI325" s="19" t="s">
        <v>114</v>
      </c>
      <c r="DJ325" s="19" t="s">
        <v>114</v>
      </c>
      <c r="DK325" s="19" t="s">
        <v>114</v>
      </c>
      <c r="DL325" s="19" t="s">
        <v>114</v>
      </c>
      <c r="DM325" s="19" t="s">
        <v>114</v>
      </c>
      <c r="DN325" s="19" t="s">
        <v>114</v>
      </c>
      <c r="DO325" s="19" t="s">
        <v>114</v>
      </c>
    </row>
    <row r="326" spans="1:119" hidden="1" x14ac:dyDescent="0.45">
      <c r="A326" s="2" t="s">
        <v>870</v>
      </c>
      <c r="B326" t="s">
        <v>871</v>
      </c>
      <c r="C326" s="2">
        <v>466</v>
      </c>
      <c r="D326" s="6">
        <v>136</v>
      </c>
      <c r="E326" s="2" t="s">
        <v>872</v>
      </c>
      <c r="F326" t="s">
        <v>872</v>
      </c>
      <c r="G326" t="s">
        <v>2104</v>
      </c>
      <c r="H326" s="2" t="s">
        <v>872</v>
      </c>
      <c r="I326" s="2" t="s">
        <v>873</v>
      </c>
      <c r="J326" s="2">
        <v>2</v>
      </c>
      <c r="K326" t="s">
        <v>116</v>
      </c>
      <c r="L326" s="2">
        <v>202</v>
      </c>
      <c r="M326" t="s">
        <v>166</v>
      </c>
      <c r="N326">
        <v>11</v>
      </c>
      <c r="O326" t="s">
        <v>273</v>
      </c>
      <c r="P326" s="2" t="s">
        <v>116</v>
      </c>
      <c r="Q326" s="2" t="s">
        <v>166</v>
      </c>
      <c r="R326" s="2">
        <v>202</v>
      </c>
      <c r="S326" s="4" t="s">
        <v>166</v>
      </c>
      <c r="T326" s="2">
        <v>202</v>
      </c>
      <c r="U326" s="4" t="s">
        <v>166</v>
      </c>
      <c r="V326" t="s">
        <v>2457</v>
      </c>
      <c r="W326" t="s">
        <v>2457</v>
      </c>
      <c r="X326" t="s">
        <v>2440</v>
      </c>
      <c r="Y326" t="s">
        <v>273</v>
      </c>
      <c r="Z326" t="s">
        <v>273</v>
      </c>
      <c r="AA326" t="s">
        <v>273</v>
      </c>
      <c r="AB326" t="s">
        <v>2885</v>
      </c>
      <c r="AC326" s="2" t="s">
        <v>103</v>
      </c>
      <c r="AD326" s="2" t="s">
        <v>1890</v>
      </c>
      <c r="AE326" t="s">
        <v>104</v>
      </c>
      <c r="AF326" t="s">
        <v>1885</v>
      </c>
      <c r="AG326" t="s">
        <v>1884</v>
      </c>
      <c r="AH326" t="s">
        <v>105</v>
      </c>
      <c r="AI326" s="3" t="s">
        <v>105</v>
      </c>
      <c r="AJ326" s="3" t="s">
        <v>106</v>
      </c>
      <c r="AK326" s="3" t="s">
        <v>107</v>
      </c>
      <c r="AL326" s="5" t="s">
        <v>274</v>
      </c>
      <c r="AM326" s="5" t="s">
        <v>109</v>
      </c>
      <c r="AO326" t="s">
        <v>25</v>
      </c>
      <c r="AP326" s="3" t="s">
        <v>26</v>
      </c>
      <c r="AQ326" s="3" t="s">
        <v>111</v>
      </c>
      <c r="AR326" s="3" t="s">
        <v>112</v>
      </c>
      <c r="AS326" s="3" t="s">
        <v>112</v>
      </c>
      <c r="AT326" s="3" t="s">
        <v>113</v>
      </c>
      <c r="AU326" s="3" t="s">
        <v>2303</v>
      </c>
      <c r="AV326" s="3" t="s">
        <v>2302</v>
      </c>
      <c r="AW326" s="3" t="s">
        <v>2301</v>
      </c>
      <c r="AX326" s="3" t="s">
        <v>2006</v>
      </c>
      <c r="AY326" s="19">
        <v>98100</v>
      </c>
      <c r="AZ326" s="19" t="s">
        <v>114</v>
      </c>
      <c r="BA326" s="19" t="s">
        <v>114</v>
      </c>
      <c r="BB326" s="19" t="s">
        <v>114</v>
      </c>
      <c r="BC326" s="19" t="s">
        <v>114</v>
      </c>
      <c r="BD326" s="19">
        <v>98105</v>
      </c>
      <c r="BE326" s="19">
        <v>98106</v>
      </c>
      <c r="BF326" s="19" t="s">
        <v>114</v>
      </c>
      <c r="BG326" s="19">
        <v>98108</v>
      </c>
      <c r="BH326" s="19" t="s">
        <v>114</v>
      </c>
      <c r="BI326" s="19" t="s">
        <v>114</v>
      </c>
      <c r="BJ326" s="19" t="s">
        <v>114</v>
      </c>
      <c r="BK326" s="19">
        <v>98112</v>
      </c>
      <c r="BL326" s="19" t="s">
        <v>114</v>
      </c>
      <c r="BM326" s="19" t="s">
        <v>114</v>
      </c>
      <c r="BN326" s="19" t="s">
        <v>114</v>
      </c>
      <c r="BO326" s="19">
        <v>98116</v>
      </c>
      <c r="BP326" s="19">
        <v>98117</v>
      </c>
      <c r="BQ326" s="19">
        <v>98118</v>
      </c>
      <c r="BR326" s="19">
        <v>98119</v>
      </c>
      <c r="BS326" s="19">
        <v>98120</v>
      </c>
      <c r="BT326" s="19">
        <v>98121</v>
      </c>
      <c r="BU326" s="19" t="s">
        <v>114</v>
      </c>
      <c r="BV326" s="19" t="s">
        <v>114</v>
      </c>
      <c r="BW326" s="19">
        <v>98124</v>
      </c>
      <c r="BX326" s="19" t="s">
        <v>114</v>
      </c>
      <c r="BY326" s="19">
        <v>98126</v>
      </c>
      <c r="BZ326" s="21" t="s">
        <v>114</v>
      </c>
      <c r="CA326" s="21" t="s">
        <v>114</v>
      </c>
      <c r="CB326" s="21" t="s">
        <v>114</v>
      </c>
      <c r="CC326" s="21" t="s">
        <v>114</v>
      </c>
      <c r="CD326" s="21" t="s">
        <v>114</v>
      </c>
      <c r="CE326" s="21" t="s">
        <v>114</v>
      </c>
      <c r="CF326" s="19" t="s">
        <v>114</v>
      </c>
      <c r="CG326" s="19" t="s">
        <v>114</v>
      </c>
      <c r="CH326" s="19" t="s">
        <v>114</v>
      </c>
      <c r="CI326" s="21" t="s">
        <v>114</v>
      </c>
      <c r="CJ326" s="21" t="s">
        <v>114</v>
      </c>
      <c r="CK326" s="21">
        <v>98405</v>
      </c>
      <c r="CL326" s="21" t="s">
        <v>114</v>
      </c>
      <c r="CM326" s="21" t="s">
        <v>114</v>
      </c>
      <c r="CN326" s="21" t="s">
        <v>114</v>
      </c>
      <c r="CO326" s="21" t="s">
        <v>114</v>
      </c>
      <c r="CP326" s="21" t="s">
        <v>114</v>
      </c>
      <c r="CQ326" s="21" t="s">
        <v>114</v>
      </c>
      <c r="CR326" s="21" t="s">
        <v>114</v>
      </c>
      <c r="CS326" s="21" t="s">
        <v>114</v>
      </c>
      <c r="CT326" s="21" t="s">
        <v>114</v>
      </c>
      <c r="CU326" s="21" t="s">
        <v>114</v>
      </c>
      <c r="CV326" s="21" t="s">
        <v>114</v>
      </c>
      <c r="CW326" s="21" t="s">
        <v>114</v>
      </c>
      <c r="CX326" s="21" t="s">
        <v>114</v>
      </c>
      <c r="CY326" s="21" t="s">
        <v>114</v>
      </c>
      <c r="CZ326" s="21" t="s">
        <v>114</v>
      </c>
      <c r="DA326" s="21" t="s">
        <v>114</v>
      </c>
      <c r="DB326" s="21" t="s">
        <v>114</v>
      </c>
      <c r="DC326" s="21" t="s">
        <v>114</v>
      </c>
      <c r="DD326" s="21" t="s">
        <v>114</v>
      </c>
      <c r="DE326" s="21" t="s">
        <v>114</v>
      </c>
      <c r="DF326" s="19" t="s">
        <v>114</v>
      </c>
      <c r="DG326" s="19" t="s">
        <v>114</v>
      </c>
      <c r="DH326" s="19" t="s">
        <v>114</v>
      </c>
      <c r="DI326" s="19" t="s">
        <v>114</v>
      </c>
      <c r="DJ326" s="19" t="s">
        <v>114</v>
      </c>
      <c r="DK326" s="19" t="s">
        <v>114</v>
      </c>
      <c r="DL326" s="19" t="s">
        <v>114</v>
      </c>
      <c r="DM326" s="19" t="s">
        <v>114</v>
      </c>
      <c r="DN326" s="19" t="s">
        <v>114</v>
      </c>
      <c r="DO326" s="19" t="s">
        <v>114</v>
      </c>
    </row>
    <row r="327" spans="1:119" hidden="1" x14ac:dyDescent="0.45">
      <c r="A327" s="2" t="s">
        <v>887</v>
      </c>
      <c r="B327" t="s">
        <v>888</v>
      </c>
      <c r="C327" s="2">
        <v>478</v>
      </c>
      <c r="D327" s="6">
        <v>137</v>
      </c>
      <c r="E327" s="2" t="s">
        <v>889</v>
      </c>
      <c r="F327" t="s">
        <v>889</v>
      </c>
      <c r="G327" t="s">
        <v>2107</v>
      </c>
      <c r="H327" s="2" t="s">
        <v>890</v>
      </c>
      <c r="I327" s="2" t="s">
        <v>889</v>
      </c>
      <c r="J327" s="2">
        <v>2</v>
      </c>
      <c r="K327" t="s">
        <v>116</v>
      </c>
      <c r="L327" s="2">
        <v>202</v>
      </c>
      <c r="M327" t="s">
        <v>166</v>
      </c>
      <c r="N327">
        <v>11</v>
      </c>
      <c r="O327" t="s">
        <v>273</v>
      </c>
      <c r="P327" s="2" t="s">
        <v>116</v>
      </c>
      <c r="Q327" s="2" t="s">
        <v>166</v>
      </c>
      <c r="R327" s="2">
        <v>202</v>
      </c>
      <c r="S327" s="4" t="s">
        <v>166</v>
      </c>
      <c r="T327" s="2">
        <v>202</v>
      </c>
      <c r="U327" s="4" t="s">
        <v>166</v>
      </c>
      <c r="V327" t="s">
        <v>2457</v>
      </c>
      <c r="W327" t="s">
        <v>2457</v>
      </c>
      <c r="X327" t="s">
        <v>2440</v>
      </c>
      <c r="Y327" t="s">
        <v>273</v>
      </c>
      <c r="Z327" t="s">
        <v>273</v>
      </c>
      <c r="AA327" t="s">
        <v>273</v>
      </c>
      <c r="AB327" t="s">
        <v>2885</v>
      </c>
      <c r="AC327" s="2" t="s">
        <v>168</v>
      </c>
      <c r="AD327" s="2" t="s">
        <v>1890</v>
      </c>
      <c r="AE327" t="s">
        <v>104</v>
      </c>
      <c r="AF327" t="s">
        <v>1885</v>
      </c>
      <c r="AG327" t="s">
        <v>1884</v>
      </c>
      <c r="AH327" t="s">
        <v>105</v>
      </c>
      <c r="AI327" s="3" t="s">
        <v>105</v>
      </c>
      <c r="AJ327" s="3" t="s">
        <v>106</v>
      </c>
      <c r="AK327" s="3" t="s">
        <v>107</v>
      </c>
      <c r="AL327" s="5" t="s">
        <v>891</v>
      </c>
      <c r="AM327" s="5" t="s">
        <v>109</v>
      </c>
      <c r="AN327" t="s">
        <v>110</v>
      </c>
      <c r="AO327" t="s">
        <v>25</v>
      </c>
      <c r="AP327" s="3" t="s">
        <v>120</v>
      </c>
      <c r="AQ327" s="3" t="s">
        <v>111</v>
      </c>
      <c r="AR327" s="3" t="s">
        <v>112</v>
      </c>
      <c r="AS327" s="3" t="s">
        <v>112</v>
      </c>
      <c r="AT327" s="3" t="s">
        <v>113</v>
      </c>
      <c r="AU327" s="3" t="s">
        <v>2303</v>
      </c>
      <c r="AV327" s="3" t="s">
        <v>2302</v>
      </c>
      <c r="AW327" s="3" t="s">
        <v>2301</v>
      </c>
      <c r="AX327" s="3" t="s">
        <v>2006</v>
      </c>
      <c r="AY327" s="19">
        <v>98100</v>
      </c>
      <c r="AZ327" s="19" t="s">
        <v>114</v>
      </c>
      <c r="BA327" s="19" t="s">
        <v>114</v>
      </c>
      <c r="BB327" s="19">
        <v>98103</v>
      </c>
      <c r="BC327" s="19" t="s">
        <v>114</v>
      </c>
      <c r="BD327" s="19" t="s">
        <v>114</v>
      </c>
      <c r="BE327" s="19">
        <v>98106</v>
      </c>
      <c r="BF327" s="19" t="s">
        <v>114</v>
      </c>
      <c r="BG327" s="19" t="s">
        <v>114</v>
      </c>
      <c r="BH327" s="19" t="s">
        <v>114</v>
      </c>
      <c r="BI327" s="19" t="s">
        <v>114</v>
      </c>
      <c r="BJ327" s="19">
        <v>98111</v>
      </c>
      <c r="BK327" s="19">
        <v>98112</v>
      </c>
      <c r="BL327" s="19" t="s">
        <v>114</v>
      </c>
      <c r="BM327" s="19" t="s">
        <v>114</v>
      </c>
      <c r="BN327" s="19" t="s">
        <v>114</v>
      </c>
      <c r="BO327" s="19" t="s">
        <v>114</v>
      </c>
      <c r="BP327" s="19" t="s">
        <v>114</v>
      </c>
      <c r="BQ327" s="19">
        <v>98118</v>
      </c>
      <c r="BR327" s="19">
        <v>98119</v>
      </c>
      <c r="BS327" s="19">
        <v>98120</v>
      </c>
      <c r="BT327" s="19">
        <v>98121</v>
      </c>
      <c r="BU327" s="19" t="s">
        <v>114</v>
      </c>
      <c r="BV327" s="19" t="s">
        <v>114</v>
      </c>
      <c r="BW327" s="19">
        <v>98124</v>
      </c>
      <c r="BX327" s="19" t="s">
        <v>114</v>
      </c>
      <c r="BY327" s="19" t="s">
        <v>114</v>
      </c>
      <c r="BZ327" s="21" t="s">
        <v>114</v>
      </c>
      <c r="CA327" s="21" t="s">
        <v>114</v>
      </c>
      <c r="CB327" s="21" t="s">
        <v>114</v>
      </c>
      <c r="CC327" s="21" t="s">
        <v>114</v>
      </c>
      <c r="CD327" s="21" t="s">
        <v>114</v>
      </c>
      <c r="CE327" s="21" t="s">
        <v>114</v>
      </c>
      <c r="CF327" s="19" t="s">
        <v>114</v>
      </c>
      <c r="CG327" s="19" t="s">
        <v>114</v>
      </c>
      <c r="CH327" s="19" t="s">
        <v>114</v>
      </c>
      <c r="CI327" s="21" t="s">
        <v>114</v>
      </c>
      <c r="CJ327" s="21" t="s">
        <v>114</v>
      </c>
      <c r="CK327" s="21">
        <v>98405</v>
      </c>
      <c r="CL327" s="21" t="s">
        <v>114</v>
      </c>
      <c r="CM327" s="21" t="s">
        <v>114</v>
      </c>
      <c r="CN327" s="21" t="s">
        <v>114</v>
      </c>
      <c r="CO327" s="21" t="s">
        <v>114</v>
      </c>
      <c r="CP327" s="21" t="s">
        <v>114</v>
      </c>
      <c r="CQ327" s="21" t="s">
        <v>114</v>
      </c>
      <c r="CR327" s="21" t="s">
        <v>114</v>
      </c>
      <c r="CS327" s="21" t="s">
        <v>114</v>
      </c>
      <c r="CT327" s="21" t="s">
        <v>114</v>
      </c>
      <c r="CU327" s="21" t="s">
        <v>114</v>
      </c>
      <c r="CV327" s="21" t="s">
        <v>114</v>
      </c>
      <c r="CW327" s="21" t="s">
        <v>114</v>
      </c>
      <c r="CX327" s="21" t="s">
        <v>114</v>
      </c>
      <c r="CY327" s="21" t="s">
        <v>114</v>
      </c>
      <c r="CZ327" s="21" t="s">
        <v>114</v>
      </c>
      <c r="DA327" s="21" t="s">
        <v>114</v>
      </c>
      <c r="DB327" s="21" t="s">
        <v>114</v>
      </c>
      <c r="DC327" s="21" t="s">
        <v>114</v>
      </c>
      <c r="DD327" s="21" t="s">
        <v>114</v>
      </c>
      <c r="DE327" s="21" t="s">
        <v>114</v>
      </c>
      <c r="DF327" s="19" t="s">
        <v>114</v>
      </c>
      <c r="DG327" s="19">
        <v>98501</v>
      </c>
      <c r="DH327" s="19" t="s">
        <v>114</v>
      </c>
      <c r="DI327" s="19" t="s">
        <v>114</v>
      </c>
      <c r="DJ327" s="19" t="s">
        <v>114</v>
      </c>
      <c r="DK327" s="19">
        <v>98505</v>
      </c>
      <c r="DL327" s="19" t="s">
        <v>114</v>
      </c>
      <c r="DM327" s="19" t="s">
        <v>114</v>
      </c>
      <c r="DN327" s="19">
        <v>98508</v>
      </c>
      <c r="DO327" s="19" t="s">
        <v>114</v>
      </c>
    </row>
    <row r="328" spans="1:119" hidden="1" x14ac:dyDescent="0.45">
      <c r="A328" s="2" t="s">
        <v>979</v>
      </c>
      <c r="B328" t="s">
        <v>980</v>
      </c>
      <c r="C328" s="2">
        <v>562</v>
      </c>
      <c r="D328" s="6">
        <v>143</v>
      </c>
      <c r="E328" s="2" t="s">
        <v>981</v>
      </c>
      <c r="F328" s="3" t="s">
        <v>2011</v>
      </c>
      <c r="G328" t="s">
        <v>2119</v>
      </c>
      <c r="H328" s="2" t="s">
        <v>981</v>
      </c>
      <c r="I328" s="2" t="s">
        <v>982</v>
      </c>
      <c r="J328" s="2">
        <v>2</v>
      </c>
      <c r="K328" t="s">
        <v>116</v>
      </c>
      <c r="L328" s="2">
        <v>202</v>
      </c>
      <c r="M328" t="s">
        <v>166</v>
      </c>
      <c r="N328">
        <v>11</v>
      </c>
      <c r="O328" t="s">
        <v>273</v>
      </c>
      <c r="P328" s="2" t="s">
        <v>116</v>
      </c>
      <c r="Q328" s="2" t="s">
        <v>166</v>
      </c>
      <c r="R328" s="2">
        <v>202</v>
      </c>
      <c r="S328" s="4" t="s">
        <v>166</v>
      </c>
      <c r="T328" s="2">
        <v>202</v>
      </c>
      <c r="U328" s="4" t="s">
        <v>166</v>
      </c>
      <c r="V328" t="s">
        <v>2457</v>
      </c>
      <c r="W328" t="s">
        <v>2457</v>
      </c>
      <c r="X328" t="s">
        <v>2440</v>
      </c>
      <c r="Y328" t="s">
        <v>273</v>
      </c>
      <c r="Z328" t="s">
        <v>273</v>
      </c>
      <c r="AA328" t="s">
        <v>273</v>
      </c>
      <c r="AB328" t="s">
        <v>2885</v>
      </c>
      <c r="AC328" s="2" t="s">
        <v>103</v>
      </c>
      <c r="AD328" s="2" t="s">
        <v>1890</v>
      </c>
      <c r="AE328" t="s">
        <v>104</v>
      </c>
      <c r="AF328" t="s">
        <v>1885</v>
      </c>
      <c r="AG328" t="s">
        <v>1884</v>
      </c>
      <c r="AH328" t="s">
        <v>105</v>
      </c>
      <c r="AI328" s="3" t="s">
        <v>105</v>
      </c>
      <c r="AJ328" s="3" t="s">
        <v>106</v>
      </c>
      <c r="AK328" s="3" t="s">
        <v>107</v>
      </c>
      <c r="AL328" s="5" t="s">
        <v>274</v>
      </c>
      <c r="AM328" s="5" t="s">
        <v>109</v>
      </c>
      <c r="AO328" t="s">
        <v>25</v>
      </c>
      <c r="AP328" s="3" t="s">
        <v>26</v>
      </c>
      <c r="AQ328" s="3" t="s">
        <v>111</v>
      </c>
      <c r="AR328" s="3" t="s">
        <v>112</v>
      </c>
      <c r="AS328" s="3" t="s">
        <v>112</v>
      </c>
      <c r="AT328" s="3" t="s">
        <v>113</v>
      </c>
      <c r="AU328" s="3" t="s">
        <v>2303</v>
      </c>
      <c r="AV328" s="3" t="s">
        <v>2302</v>
      </c>
      <c r="AW328" s="3" t="s">
        <v>2301</v>
      </c>
      <c r="AX328" s="3" t="s">
        <v>2006</v>
      </c>
      <c r="AY328" s="19">
        <v>98100</v>
      </c>
      <c r="AZ328" s="19" t="s">
        <v>114</v>
      </c>
      <c r="BA328" s="19" t="s">
        <v>114</v>
      </c>
      <c r="BB328" s="19" t="s">
        <v>114</v>
      </c>
      <c r="BC328" s="19" t="s">
        <v>114</v>
      </c>
      <c r="BD328" s="19">
        <v>98105</v>
      </c>
      <c r="BE328" s="19">
        <v>98106</v>
      </c>
      <c r="BF328" s="19" t="s">
        <v>114</v>
      </c>
      <c r="BG328" s="19">
        <v>98108</v>
      </c>
      <c r="BH328" s="19" t="s">
        <v>114</v>
      </c>
      <c r="BI328" s="19" t="s">
        <v>114</v>
      </c>
      <c r="BJ328" s="19" t="s">
        <v>114</v>
      </c>
      <c r="BK328" s="19">
        <v>98112</v>
      </c>
      <c r="BL328" s="19" t="s">
        <v>114</v>
      </c>
      <c r="BM328" s="19" t="s">
        <v>114</v>
      </c>
      <c r="BN328" s="19" t="s">
        <v>114</v>
      </c>
      <c r="BO328" s="19">
        <v>98116</v>
      </c>
      <c r="BP328" s="19">
        <v>98117</v>
      </c>
      <c r="BQ328" s="19">
        <v>98118</v>
      </c>
      <c r="BR328" s="19">
        <v>98119</v>
      </c>
      <c r="BS328" s="19" t="s">
        <v>114</v>
      </c>
      <c r="BT328" s="19" t="s">
        <v>114</v>
      </c>
      <c r="BU328" s="19">
        <v>98122</v>
      </c>
      <c r="BV328" s="19">
        <v>98123</v>
      </c>
      <c r="BW328" s="19">
        <v>98124</v>
      </c>
      <c r="BX328" s="19" t="s">
        <v>114</v>
      </c>
      <c r="BY328" s="19">
        <v>98126</v>
      </c>
      <c r="BZ328" s="21" t="s">
        <v>114</v>
      </c>
      <c r="CA328" s="21" t="s">
        <v>114</v>
      </c>
      <c r="CB328" s="21" t="s">
        <v>114</v>
      </c>
      <c r="CC328" s="21" t="s">
        <v>114</v>
      </c>
      <c r="CD328" s="21" t="s">
        <v>114</v>
      </c>
      <c r="CE328" s="21" t="s">
        <v>114</v>
      </c>
      <c r="CF328" s="19" t="s">
        <v>114</v>
      </c>
      <c r="CG328" s="19" t="s">
        <v>114</v>
      </c>
      <c r="CH328" s="19" t="s">
        <v>114</v>
      </c>
      <c r="CI328" s="21" t="s">
        <v>114</v>
      </c>
      <c r="CJ328" s="21" t="s">
        <v>114</v>
      </c>
      <c r="CK328" s="21">
        <v>98405</v>
      </c>
      <c r="CL328" s="21" t="s">
        <v>114</v>
      </c>
      <c r="CM328" s="21" t="s">
        <v>114</v>
      </c>
      <c r="CN328" s="21" t="s">
        <v>114</v>
      </c>
      <c r="CO328" s="21" t="s">
        <v>114</v>
      </c>
      <c r="CP328" s="21" t="s">
        <v>114</v>
      </c>
      <c r="CQ328" s="21" t="s">
        <v>114</v>
      </c>
      <c r="CR328" s="21" t="s">
        <v>114</v>
      </c>
      <c r="CS328" s="21" t="s">
        <v>114</v>
      </c>
      <c r="CT328" s="21" t="s">
        <v>114</v>
      </c>
      <c r="CU328" s="21" t="s">
        <v>114</v>
      </c>
      <c r="CV328" s="21" t="s">
        <v>114</v>
      </c>
      <c r="CW328" s="21" t="s">
        <v>114</v>
      </c>
      <c r="CX328" s="21" t="s">
        <v>114</v>
      </c>
      <c r="CY328" s="21" t="s">
        <v>114</v>
      </c>
      <c r="CZ328" s="21" t="s">
        <v>114</v>
      </c>
      <c r="DA328" s="21" t="s">
        <v>114</v>
      </c>
      <c r="DB328" s="21" t="s">
        <v>114</v>
      </c>
      <c r="DC328" s="21" t="s">
        <v>114</v>
      </c>
      <c r="DD328" s="21" t="s">
        <v>114</v>
      </c>
      <c r="DE328" s="21" t="s">
        <v>114</v>
      </c>
      <c r="DF328" s="19" t="s">
        <v>114</v>
      </c>
      <c r="DG328" s="19" t="s">
        <v>114</v>
      </c>
      <c r="DH328" s="19" t="s">
        <v>114</v>
      </c>
      <c r="DI328" s="19" t="s">
        <v>114</v>
      </c>
      <c r="DJ328" s="19" t="s">
        <v>114</v>
      </c>
      <c r="DK328" s="19" t="s">
        <v>114</v>
      </c>
      <c r="DL328" s="19" t="s">
        <v>114</v>
      </c>
      <c r="DM328" s="19" t="s">
        <v>114</v>
      </c>
      <c r="DN328" s="19" t="s">
        <v>114</v>
      </c>
      <c r="DO328" s="19" t="s">
        <v>114</v>
      </c>
    </row>
    <row r="329" spans="1:119" hidden="1" x14ac:dyDescent="0.45">
      <c r="A329" s="2" t="s">
        <v>983</v>
      </c>
      <c r="B329" t="s">
        <v>984</v>
      </c>
      <c r="C329" s="2">
        <v>566</v>
      </c>
      <c r="D329" s="6">
        <v>144</v>
      </c>
      <c r="E329" s="2" t="s">
        <v>985</v>
      </c>
      <c r="F329" t="s">
        <v>985</v>
      </c>
      <c r="G329" t="s">
        <v>2120</v>
      </c>
      <c r="H329" s="2" t="s">
        <v>986</v>
      </c>
      <c r="I329" s="2" t="s">
        <v>985</v>
      </c>
      <c r="J329" s="2">
        <v>2</v>
      </c>
      <c r="K329" t="s">
        <v>116</v>
      </c>
      <c r="L329" s="2">
        <v>202</v>
      </c>
      <c r="M329" t="s">
        <v>166</v>
      </c>
      <c r="N329">
        <v>11</v>
      </c>
      <c r="O329" t="s">
        <v>273</v>
      </c>
      <c r="P329" s="2" t="s">
        <v>116</v>
      </c>
      <c r="Q329" s="2" t="s">
        <v>166</v>
      </c>
      <c r="R329" s="2">
        <v>202</v>
      </c>
      <c r="S329" s="4" t="s">
        <v>166</v>
      </c>
      <c r="T329" s="2">
        <v>202</v>
      </c>
      <c r="U329" s="4" t="s">
        <v>166</v>
      </c>
      <c r="V329" t="s">
        <v>2457</v>
      </c>
      <c r="W329" t="s">
        <v>2457</v>
      </c>
      <c r="X329" t="s">
        <v>2440</v>
      </c>
      <c r="Y329" t="s">
        <v>273</v>
      </c>
      <c r="Z329" t="s">
        <v>273</v>
      </c>
      <c r="AA329" t="s">
        <v>273</v>
      </c>
      <c r="AB329" t="s">
        <v>2885</v>
      </c>
      <c r="AC329" s="2" t="s">
        <v>168</v>
      </c>
      <c r="AD329" s="4" t="s">
        <v>1891</v>
      </c>
      <c r="AE329" t="s">
        <v>104</v>
      </c>
      <c r="AF329" t="s">
        <v>1885</v>
      </c>
      <c r="AG329" t="s">
        <v>1884</v>
      </c>
      <c r="AH329" t="s">
        <v>105</v>
      </c>
      <c r="AI329" s="3" t="s">
        <v>105</v>
      </c>
      <c r="AJ329" s="3" t="s">
        <v>106</v>
      </c>
      <c r="AK329" s="3" t="s">
        <v>107</v>
      </c>
      <c r="AL329" s="5" t="s">
        <v>987</v>
      </c>
      <c r="AM329" s="5" t="s">
        <v>109</v>
      </c>
      <c r="AN329" t="s">
        <v>110</v>
      </c>
      <c r="AO329" s="3" t="s">
        <v>119</v>
      </c>
      <c r="AP329" s="3" t="s">
        <v>120</v>
      </c>
      <c r="AQ329" s="3" t="s">
        <v>111</v>
      </c>
      <c r="AR329" s="3" t="s">
        <v>112</v>
      </c>
      <c r="AS329" s="3" t="s">
        <v>112</v>
      </c>
      <c r="AT329" s="3" t="s">
        <v>113</v>
      </c>
      <c r="AU329" s="3" t="s">
        <v>2303</v>
      </c>
      <c r="AV329" s="3" t="s">
        <v>2302</v>
      </c>
      <c r="AW329" s="3" t="s">
        <v>2301</v>
      </c>
      <c r="AX329" s="3" t="s">
        <v>2006</v>
      </c>
      <c r="AY329" s="19">
        <v>98100</v>
      </c>
      <c r="AZ329" s="19" t="s">
        <v>114</v>
      </c>
      <c r="BA329" s="19" t="s">
        <v>114</v>
      </c>
      <c r="BB329" s="19" t="s">
        <v>114</v>
      </c>
      <c r="BC329" s="19" t="s">
        <v>114</v>
      </c>
      <c r="BD329" s="19">
        <v>98105</v>
      </c>
      <c r="BE329" s="19">
        <v>98106</v>
      </c>
      <c r="BF329" s="19" t="s">
        <v>114</v>
      </c>
      <c r="BG329" s="19">
        <v>98108</v>
      </c>
      <c r="BH329" s="19" t="s">
        <v>114</v>
      </c>
      <c r="BI329" s="19" t="s">
        <v>114</v>
      </c>
      <c r="BJ329" s="19" t="s">
        <v>114</v>
      </c>
      <c r="BK329" s="19">
        <v>98112</v>
      </c>
      <c r="BL329" s="19" t="s">
        <v>114</v>
      </c>
      <c r="BM329" s="19" t="s">
        <v>114</v>
      </c>
      <c r="BN329" s="19" t="s">
        <v>114</v>
      </c>
      <c r="BO329" s="19" t="s">
        <v>114</v>
      </c>
      <c r="BP329" s="19" t="s">
        <v>114</v>
      </c>
      <c r="BQ329" s="19" t="s">
        <v>114</v>
      </c>
      <c r="BR329" s="19" t="s">
        <v>114</v>
      </c>
      <c r="BS329" s="19" t="s">
        <v>114</v>
      </c>
      <c r="BT329" s="19" t="s">
        <v>114</v>
      </c>
      <c r="BU329" s="19" t="s">
        <v>114</v>
      </c>
      <c r="BV329" s="19">
        <v>98123</v>
      </c>
      <c r="BW329" s="19">
        <v>98124</v>
      </c>
      <c r="BX329" s="19" t="s">
        <v>114</v>
      </c>
      <c r="BY329" s="19">
        <v>98126</v>
      </c>
      <c r="BZ329" s="21" t="s">
        <v>114</v>
      </c>
      <c r="CA329" s="21" t="s">
        <v>114</v>
      </c>
      <c r="CB329" s="21" t="s">
        <v>114</v>
      </c>
      <c r="CC329" s="21" t="s">
        <v>114</v>
      </c>
      <c r="CD329" s="21" t="s">
        <v>114</v>
      </c>
      <c r="CE329" s="21" t="s">
        <v>114</v>
      </c>
      <c r="CF329" s="19" t="s">
        <v>114</v>
      </c>
      <c r="CG329" s="19" t="s">
        <v>114</v>
      </c>
      <c r="CH329" s="19" t="s">
        <v>114</v>
      </c>
      <c r="CI329" s="21" t="s">
        <v>114</v>
      </c>
      <c r="CJ329" s="21" t="s">
        <v>114</v>
      </c>
      <c r="CK329" s="21">
        <v>98405</v>
      </c>
      <c r="CL329" s="21" t="s">
        <v>114</v>
      </c>
      <c r="CM329" s="21" t="s">
        <v>114</v>
      </c>
      <c r="CN329" s="21" t="s">
        <v>114</v>
      </c>
      <c r="CO329" s="21" t="s">
        <v>114</v>
      </c>
      <c r="CP329" s="21" t="s">
        <v>114</v>
      </c>
      <c r="CQ329" s="21" t="s">
        <v>114</v>
      </c>
      <c r="CR329" s="21" t="s">
        <v>114</v>
      </c>
      <c r="CS329" s="21" t="s">
        <v>114</v>
      </c>
      <c r="CT329" s="21" t="s">
        <v>114</v>
      </c>
      <c r="CU329" s="21" t="s">
        <v>114</v>
      </c>
      <c r="CV329" s="21" t="s">
        <v>114</v>
      </c>
      <c r="CW329" s="21" t="s">
        <v>114</v>
      </c>
      <c r="CX329" s="21" t="s">
        <v>114</v>
      </c>
      <c r="CY329" s="21" t="s">
        <v>114</v>
      </c>
      <c r="CZ329" s="21" t="s">
        <v>114</v>
      </c>
      <c r="DA329" s="21" t="s">
        <v>114</v>
      </c>
      <c r="DB329" s="21" t="s">
        <v>114</v>
      </c>
      <c r="DC329" s="21" t="s">
        <v>114</v>
      </c>
      <c r="DD329" s="21" t="s">
        <v>114</v>
      </c>
      <c r="DE329" s="21" t="s">
        <v>114</v>
      </c>
      <c r="DF329" s="19" t="s">
        <v>114</v>
      </c>
      <c r="DG329" s="19" t="s">
        <v>114</v>
      </c>
      <c r="DH329" s="19" t="s">
        <v>114</v>
      </c>
      <c r="DI329" s="19" t="s">
        <v>114</v>
      </c>
      <c r="DJ329" s="19" t="s">
        <v>114</v>
      </c>
      <c r="DK329" s="19" t="s">
        <v>114</v>
      </c>
      <c r="DL329" s="19" t="s">
        <v>114</v>
      </c>
      <c r="DM329" s="19" t="s">
        <v>114</v>
      </c>
      <c r="DN329" s="19" t="s">
        <v>114</v>
      </c>
      <c r="DO329" s="19" t="s">
        <v>114</v>
      </c>
    </row>
    <row r="330" spans="1:119" hidden="1" x14ac:dyDescent="0.45">
      <c r="A330" s="2" t="s">
        <v>1144</v>
      </c>
      <c r="B330" t="s">
        <v>1145</v>
      </c>
      <c r="C330" s="2">
        <v>654</v>
      </c>
      <c r="D330" s="6">
        <v>147</v>
      </c>
      <c r="E330" s="2" t="s">
        <v>1146</v>
      </c>
      <c r="F330" t="s">
        <v>1146</v>
      </c>
      <c r="H330" s="2" t="s">
        <v>1147</v>
      </c>
      <c r="I330" s="2" t="s">
        <v>1148</v>
      </c>
      <c r="J330" s="2">
        <v>2</v>
      </c>
      <c r="K330" t="s">
        <v>116</v>
      </c>
      <c r="L330" s="2">
        <v>202</v>
      </c>
      <c r="M330" t="s">
        <v>166</v>
      </c>
      <c r="N330">
        <v>11</v>
      </c>
      <c r="O330" t="s">
        <v>273</v>
      </c>
      <c r="P330" s="2" t="s">
        <v>116</v>
      </c>
      <c r="Q330" s="2" t="s">
        <v>166</v>
      </c>
      <c r="R330" s="2">
        <v>202</v>
      </c>
      <c r="S330" s="4" t="s">
        <v>166</v>
      </c>
      <c r="T330" s="2">
        <v>202</v>
      </c>
      <c r="U330" s="4" t="s">
        <v>166</v>
      </c>
      <c r="V330" t="s">
        <v>2457</v>
      </c>
      <c r="W330" t="s">
        <v>2457</v>
      </c>
      <c r="X330" t="s">
        <v>2440</v>
      </c>
      <c r="Y330" t="s">
        <v>273</v>
      </c>
      <c r="Z330" t="s">
        <v>273</v>
      </c>
      <c r="AA330" t="s">
        <v>273</v>
      </c>
      <c r="AB330" t="s">
        <v>2885</v>
      </c>
      <c r="AC330" s="2" t="s">
        <v>1888</v>
      </c>
      <c r="AD330" s="2" t="s">
        <v>1888</v>
      </c>
      <c r="AE330" t="s">
        <v>104</v>
      </c>
      <c r="AF330" t="s">
        <v>1885</v>
      </c>
      <c r="AG330" t="s">
        <v>1884</v>
      </c>
      <c r="AH330" t="s">
        <v>105</v>
      </c>
      <c r="AI330" s="3" t="s">
        <v>105</v>
      </c>
      <c r="AJ330" s="3" t="s">
        <v>106</v>
      </c>
      <c r="AK330" s="3" t="s">
        <v>107</v>
      </c>
      <c r="AL330" s="5" t="s">
        <v>1149</v>
      </c>
      <c r="AM330" s="5" t="s">
        <v>109</v>
      </c>
      <c r="AO330" s="3" t="s">
        <v>119</v>
      </c>
      <c r="AP330" s="3" t="s">
        <v>120</v>
      </c>
      <c r="AQ330" s="3" t="s">
        <v>111</v>
      </c>
      <c r="AR330" s="3" t="s">
        <v>112</v>
      </c>
      <c r="AS330" s="3" t="s">
        <v>112</v>
      </c>
      <c r="AT330" s="3" t="s">
        <v>113</v>
      </c>
      <c r="AU330" s="3" t="s">
        <v>2303</v>
      </c>
      <c r="AV330" s="3" t="s">
        <v>2302</v>
      </c>
      <c r="AW330" s="3" t="s">
        <v>2301</v>
      </c>
      <c r="AX330" t="s">
        <v>282</v>
      </c>
      <c r="AY330" s="19" t="s">
        <v>114</v>
      </c>
      <c r="AZ330" s="19" t="s">
        <v>114</v>
      </c>
      <c r="BA330" s="19" t="s">
        <v>114</v>
      </c>
      <c r="BB330" s="19" t="s">
        <v>114</v>
      </c>
      <c r="BC330" s="19" t="s">
        <v>114</v>
      </c>
      <c r="BD330" s="19" t="s">
        <v>114</v>
      </c>
      <c r="BE330" s="19" t="s">
        <v>114</v>
      </c>
      <c r="BF330" s="19" t="s">
        <v>114</v>
      </c>
      <c r="BG330" s="19" t="s">
        <v>114</v>
      </c>
      <c r="BH330" s="19" t="s">
        <v>114</v>
      </c>
      <c r="BI330" s="19" t="s">
        <v>114</v>
      </c>
      <c r="BJ330" s="19" t="s">
        <v>114</v>
      </c>
      <c r="BK330" s="19" t="s">
        <v>114</v>
      </c>
      <c r="BL330" s="19" t="s">
        <v>114</v>
      </c>
      <c r="BM330" s="19" t="s">
        <v>114</v>
      </c>
      <c r="BN330" s="19" t="s">
        <v>114</v>
      </c>
      <c r="BO330" s="19" t="s">
        <v>114</v>
      </c>
      <c r="BP330" s="19" t="s">
        <v>114</v>
      </c>
      <c r="BQ330" s="19" t="s">
        <v>114</v>
      </c>
      <c r="BR330" s="19" t="s">
        <v>114</v>
      </c>
      <c r="BS330" s="19" t="s">
        <v>114</v>
      </c>
      <c r="BT330" s="19" t="s">
        <v>114</v>
      </c>
      <c r="BU330" s="19" t="s">
        <v>114</v>
      </c>
      <c r="BV330" s="19" t="s">
        <v>114</v>
      </c>
      <c r="BW330" s="19" t="s">
        <v>114</v>
      </c>
      <c r="BX330" s="19" t="s">
        <v>114</v>
      </c>
      <c r="BY330" s="19" t="s">
        <v>114</v>
      </c>
      <c r="BZ330" s="21" t="s">
        <v>114</v>
      </c>
      <c r="CA330" s="21" t="s">
        <v>114</v>
      </c>
      <c r="CB330" s="21" t="s">
        <v>114</v>
      </c>
      <c r="CC330" s="21" t="s">
        <v>114</v>
      </c>
      <c r="CD330" s="21" t="s">
        <v>114</v>
      </c>
      <c r="CE330" s="21" t="s">
        <v>114</v>
      </c>
      <c r="CF330" s="19" t="s">
        <v>114</v>
      </c>
      <c r="CG330" s="19" t="s">
        <v>114</v>
      </c>
      <c r="CH330" s="19" t="s">
        <v>114</v>
      </c>
      <c r="CI330" s="21" t="s">
        <v>114</v>
      </c>
      <c r="CJ330" s="21" t="s">
        <v>114</v>
      </c>
      <c r="CK330" s="21">
        <v>98405</v>
      </c>
      <c r="CL330" s="21" t="s">
        <v>114</v>
      </c>
      <c r="CM330" s="21" t="s">
        <v>114</v>
      </c>
      <c r="CN330" s="21" t="s">
        <v>114</v>
      </c>
      <c r="CO330" s="21" t="s">
        <v>114</v>
      </c>
      <c r="CP330" s="21" t="s">
        <v>114</v>
      </c>
      <c r="CQ330" s="21" t="s">
        <v>114</v>
      </c>
      <c r="CR330" s="21" t="s">
        <v>114</v>
      </c>
      <c r="CS330" s="21" t="s">
        <v>114</v>
      </c>
      <c r="CT330" s="21" t="s">
        <v>114</v>
      </c>
      <c r="CU330" s="21" t="s">
        <v>114</v>
      </c>
      <c r="CV330" s="21" t="s">
        <v>114</v>
      </c>
      <c r="CW330" s="21" t="s">
        <v>114</v>
      </c>
      <c r="CX330" s="21" t="s">
        <v>114</v>
      </c>
      <c r="CY330" s="21" t="s">
        <v>114</v>
      </c>
      <c r="CZ330" s="21" t="s">
        <v>114</v>
      </c>
      <c r="DA330" s="21" t="s">
        <v>114</v>
      </c>
      <c r="DB330" s="21" t="s">
        <v>114</v>
      </c>
      <c r="DC330" s="21" t="s">
        <v>114</v>
      </c>
      <c r="DD330" s="21" t="s">
        <v>114</v>
      </c>
      <c r="DE330" s="21" t="s">
        <v>114</v>
      </c>
      <c r="DF330" s="19" t="s">
        <v>114</v>
      </c>
      <c r="DG330" s="19" t="s">
        <v>114</v>
      </c>
      <c r="DH330" s="19" t="s">
        <v>114</v>
      </c>
      <c r="DI330" s="19" t="s">
        <v>114</v>
      </c>
      <c r="DJ330" s="19" t="s">
        <v>114</v>
      </c>
      <c r="DK330" s="19" t="s">
        <v>114</v>
      </c>
      <c r="DL330" s="19" t="s">
        <v>114</v>
      </c>
      <c r="DM330" s="19" t="s">
        <v>114</v>
      </c>
      <c r="DN330" s="19" t="s">
        <v>114</v>
      </c>
      <c r="DO330" s="19" t="s">
        <v>114</v>
      </c>
    </row>
    <row r="331" spans="1:119" hidden="1" x14ac:dyDescent="0.45">
      <c r="A331" s="2" t="s">
        <v>1199</v>
      </c>
      <c r="B331" t="s">
        <v>1200</v>
      </c>
      <c r="C331" s="2">
        <v>686</v>
      </c>
      <c r="D331" s="6">
        <v>149</v>
      </c>
      <c r="E331" s="2" t="s">
        <v>1201</v>
      </c>
      <c r="F331" t="s">
        <v>1201</v>
      </c>
      <c r="G331" t="s">
        <v>2142</v>
      </c>
      <c r="H331" s="2" t="s">
        <v>1202</v>
      </c>
      <c r="I331" s="2" t="s">
        <v>1201</v>
      </c>
      <c r="J331" s="2">
        <v>2</v>
      </c>
      <c r="K331" t="s">
        <v>116</v>
      </c>
      <c r="L331" s="2">
        <v>202</v>
      </c>
      <c r="M331" t="s">
        <v>166</v>
      </c>
      <c r="N331">
        <v>11</v>
      </c>
      <c r="O331" t="s">
        <v>273</v>
      </c>
      <c r="P331" s="2" t="s">
        <v>116</v>
      </c>
      <c r="Q331" s="2" t="s">
        <v>166</v>
      </c>
      <c r="R331" s="2">
        <v>202</v>
      </c>
      <c r="S331" s="4" t="s">
        <v>166</v>
      </c>
      <c r="T331" s="2">
        <v>202</v>
      </c>
      <c r="U331" s="4" t="s">
        <v>166</v>
      </c>
      <c r="V331" t="s">
        <v>2457</v>
      </c>
      <c r="W331" t="s">
        <v>2457</v>
      </c>
      <c r="X331" t="s">
        <v>2440</v>
      </c>
      <c r="Y331" t="s">
        <v>273</v>
      </c>
      <c r="Z331" t="s">
        <v>273</v>
      </c>
      <c r="AA331" t="s">
        <v>273</v>
      </c>
      <c r="AB331" t="s">
        <v>2885</v>
      </c>
      <c r="AC331" s="2" t="s">
        <v>168</v>
      </c>
      <c r="AD331" s="2" t="s">
        <v>1890</v>
      </c>
      <c r="AE331" t="s">
        <v>104</v>
      </c>
      <c r="AF331" t="s">
        <v>1885</v>
      </c>
      <c r="AG331" t="s">
        <v>1884</v>
      </c>
      <c r="AH331" t="s">
        <v>105</v>
      </c>
      <c r="AI331" s="3" t="s">
        <v>105</v>
      </c>
      <c r="AJ331" s="3" t="s">
        <v>106</v>
      </c>
      <c r="AK331" s="3" t="s">
        <v>107</v>
      </c>
      <c r="AL331" s="5" t="s">
        <v>274</v>
      </c>
      <c r="AM331" s="5" t="s">
        <v>109</v>
      </c>
      <c r="AN331" t="s">
        <v>110</v>
      </c>
      <c r="AO331" t="s">
        <v>25</v>
      </c>
      <c r="AP331" s="3" t="s">
        <v>120</v>
      </c>
      <c r="AQ331" s="3" t="s">
        <v>111</v>
      </c>
      <c r="AR331" s="3" t="s">
        <v>112</v>
      </c>
      <c r="AS331" s="3" t="s">
        <v>112</v>
      </c>
      <c r="AT331" s="3" t="s">
        <v>113</v>
      </c>
      <c r="AU331" s="3" t="s">
        <v>2303</v>
      </c>
      <c r="AV331" s="3" t="s">
        <v>2302</v>
      </c>
      <c r="AW331" s="3" t="s">
        <v>2301</v>
      </c>
      <c r="AX331" s="3" t="s">
        <v>2006</v>
      </c>
      <c r="AY331" s="19">
        <v>98100</v>
      </c>
      <c r="AZ331" s="19" t="s">
        <v>114</v>
      </c>
      <c r="BA331" s="19" t="s">
        <v>114</v>
      </c>
      <c r="BB331" s="19" t="s">
        <v>114</v>
      </c>
      <c r="BC331" s="19" t="s">
        <v>114</v>
      </c>
      <c r="BD331" s="19">
        <v>98105</v>
      </c>
      <c r="BE331" s="19">
        <v>98106</v>
      </c>
      <c r="BF331" s="19" t="s">
        <v>114</v>
      </c>
      <c r="BG331" s="19">
        <v>98108</v>
      </c>
      <c r="BH331" s="19" t="s">
        <v>114</v>
      </c>
      <c r="BI331" s="19" t="s">
        <v>114</v>
      </c>
      <c r="BJ331" s="19" t="s">
        <v>114</v>
      </c>
      <c r="BK331" s="19">
        <v>98112</v>
      </c>
      <c r="BL331" s="19" t="s">
        <v>114</v>
      </c>
      <c r="BM331" s="19" t="s">
        <v>114</v>
      </c>
      <c r="BN331" s="19" t="s">
        <v>114</v>
      </c>
      <c r="BO331" s="19" t="s">
        <v>114</v>
      </c>
      <c r="BP331" s="19" t="s">
        <v>114</v>
      </c>
      <c r="BQ331" s="19">
        <v>98118</v>
      </c>
      <c r="BR331" s="19" t="s">
        <v>114</v>
      </c>
      <c r="BS331" s="19">
        <v>98120</v>
      </c>
      <c r="BT331" s="19">
        <v>98121</v>
      </c>
      <c r="BU331" s="19" t="s">
        <v>114</v>
      </c>
      <c r="BV331" s="19" t="s">
        <v>114</v>
      </c>
      <c r="BW331" s="19">
        <v>98124</v>
      </c>
      <c r="BX331" s="19" t="s">
        <v>114</v>
      </c>
      <c r="BY331" s="19">
        <v>98126</v>
      </c>
      <c r="BZ331" s="21" t="s">
        <v>114</v>
      </c>
      <c r="CA331" s="21" t="s">
        <v>114</v>
      </c>
      <c r="CB331" s="21" t="s">
        <v>114</v>
      </c>
      <c r="CC331" s="21" t="s">
        <v>114</v>
      </c>
      <c r="CD331" s="21" t="s">
        <v>114</v>
      </c>
      <c r="CE331" s="21" t="s">
        <v>114</v>
      </c>
      <c r="CF331" s="19" t="s">
        <v>114</v>
      </c>
      <c r="CG331" s="19" t="s">
        <v>114</v>
      </c>
      <c r="CH331" s="19" t="s">
        <v>114</v>
      </c>
      <c r="CI331" s="21" t="s">
        <v>114</v>
      </c>
      <c r="CJ331" s="21" t="s">
        <v>114</v>
      </c>
      <c r="CK331" s="21">
        <v>98405</v>
      </c>
      <c r="CL331" s="21" t="s">
        <v>114</v>
      </c>
      <c r="CM331" s="21" t="s">
        <v>114</v>
      </c>
      <c r="CN331" s="21" t="s">
        <v>114</v>
      </c>
      <c r="CO331" s="21" t="s">
        <v>114</v>
      </c>
      <c r="CP331" s="21" t="s">
        <v>114</v>
      </c>
      <c r="CQ331" s="21" t="s">
        <v>114</v>
      </c>
      <c r="CR331" s="21" t="s">
        <v>114</v>
      </c>
      <c r="CS331" s="21" t="s">
        <v>114</v>
      </c>
      <c r="CT331" s="21" t="s">
        <v>114</v>
      </c>
      <c r="CU331" s="21" t="s">
        <v>114</v>
      </c>
      <c r="CV331" s="21" t="s">
        <v>114</v>
      </c>
      <c r="CW331" s="21" t="s">
        <v>114</v>
      </c>
      <c r="CX331" s="21" t="s">
        <v>114</v>
      </c>
      <c r="CY331" s="21" t="s">
        <v>114</v>
      </c>
      <c r="CZ331" s="21" t="s">
        <v>114</v>
      </c>
      <c r="DA331" s="21" t="s">
        <v>114</v>
      </c>
      <c r="DB331" s="21" t="s">
        <v>114</v>
      </c>
      <c r="DC331" s="21" t="s">
        <v>114</v>
      </c>
      <c r="DD331" s="21" t="s">
        <v>114</v>
      </c>
      <c r="DE331" s="21" t="s">
        <v>114</v>
      </c>
      <c r="DF331" s="19" t="s">
        <v>114</v>
      </c>
      <c r="DG331" s="19" t="s">
        <v>114</v>
      </c>
      <c r="DH331" s="19" t="s">
        <v>114</v>
      </c>
      <c r="DI331" s="19" t="s">
        <v>114</v>
      </c>
      <c r="DJ331" s="19" t="s">
        <v>114</v>
      </c>
      <c r="DK331" s="19" t="s">
        <v>114</v>
      </c>
      <c r="DL331" s="19" t="s">
        <v>114</v>
      </c>
      <c r="DM331" s="19" t="s">
        <v>114</v>
      </c>
      <c r="DN331" s="19" t="s">
        <v>114</v>
      </c>
      <c r="DO331" s="19" t="s">
        <v>114</v>
      </c>
    </row>
    <row r="332" spans="1:119" hidden="1" x14ac:dyDescent="0.45">
      <c r="A332" s="2" t="s">
        <v>1212</v>
      </c>
      <c r="B332" t="s">
        <v>1213</v>
      </c>
      <c r="C332" s="2">
        <v>694</v>
      </c>
      <c r="D332" s="6">
        <v>151</v>
      </c>
      <c r="E332" s="2" t="s">
        <v>1214</v>
      </c>
      <c r="F332" t="s">
        <v>1214</v>
      </c>
      <c r="G332" t="s">
        <v>2145</v>
      </c>
      <c r="H332" s="2" t="s">
        <v>1214</v>
      </c>
      <c r="I332" s="2" t="s">
        <v>1215</v>
      </c>
      <c r="J332" s="2">
        <v>2</v>
      </c>
      <c r="K332" t="s">
        <v>116</v>
      </c>
      <c r="L332" s="2">
        <v>202</v>
      </c>
      <c r="M332" t="s">
        <v>166</v>
      </c>
      <c r="N332">
        <v>11</v>
      </c>
      <c r="O332" t="s">
        <v>273</v>
      </c>
      <c r="P332" s="2" t="s">
        <v>116</v>
      </c>
      <c r="Q332" s="2" t="s">
        <v>166</v>
      </c>
      <c r="R332" s="2">
        <v>202</v>
      </c>
      <c r="S332" s="4" t="s">
        <v>166</v>
      </c>
      <c r="T332" s="2">
        <v>202</v>
      </c>
      <c r="U332" s="4" t="s">
        <v>166</v>
      </c>
      <c r="V332" t="s">
        <v>2457</v>
      </c>
      <c r="W332" t="s">
        <v>2457</v>
      </c>
      <c r="X332" t="s">
        <v>2440</v>
      </c>
      <c r="Y332" t="s">
        <v>273</v>
      </c>
      <c r="Z332" t="s">
        <v>273</v>
      </c>
      <c r="AA332" t="s">
        <v>273</v>
      </c>
      <c r="AB332" t="s">
        <v>2885</v>
      </c>
      <c r="AC332" s="2" t="s">
        <v>103</v>
      </c>
      <c r="AD332" s="2" t="s">
        <v>1890</v>
      </c>
      <c r="AE332" t="s">
        <v>104</v>
      </c>
      <c r="AF332" t="s">
        <v>1885</v>
      </c>
      <c r="AG332" t="s">
        <v>1884</v>
      </c>
      <c r="AH332" t="s">
        <v>105</v>
      </c>
      <c r="AI332" s="3" t="s">
        <v>105</v>
      </c>
      <c r="AJ332" s="3" t="s">
        <v>106</v>
      </c>
      <c r="AK332" s="3" t="s">
        <v>107</v>
      </c>
      <c r="AL332" s="5" t="s">
        <v>1216</v>
      </c>
      <c r="AM332" s="5" t="s">
        <v>109</v>
      </c>
      <c r="AN332" t="s">
        <v>110</v>
      </c>
      <c r="AO332" t="s">
        <v>25</v>
      </c>
      <c r="AP332" s="3" t="s">
        <v>120</v>
      </c>
      <c r="AQ332" s="3" t="s">
        <v>111</v>
      </c>
      <c r="AR332" s="3" t="s">
        <v>112</v>
      </c>
      <c r="AS332" s="3" t="s">
        <v>112</v>
      </c>
      <c r="AT332" s="3" t="s">
        <v>113</v>
      </c>
      <c r="AU332" s="3" t="s">
        <v>2303</v>
      </c>
      <c r="AV332" s="3" t="s">
        <v>2302</v>
      </c>
      <c r="AW332" s="3" t="s">
        <v>2301</v>
      </c>
      <c r="AX332" s="3" t="s">
        <v>2006</v>
      </c>
      <c r="AY332" s="19">
        <v>98100</v>
      </c>
      <c r="AZ332" s="19" t="s">
        <v>114</v>
      </c>
      <c r="BA332" s="19" t="s">
        <v>114</v>
      </c>
      <c r="BB332" s="19" t="s">
        <v>114</v>
      </c>
      <c r="BC332" s="19" t="s">
        <v>114</v>
      </c>
      <c r="BD332" s="19">
        <v>98105</v>
      </c>
      <c r="BE332" s="19">
        <v>98106</v>
      </c>
      <c r="BF332" s="19" t="s">
        <v>114</v>
      </c>
      <c r="BG332" s="19">
        <v>98108</v>
      </c>
      <c r="BH332" s="19" t="s">
        <v>114</v>
      </c>
      <c r="BI332" s="19" t="s">
        <v>114</v>
      </c>
      <c r="BJ332" s="19" t="s">
        <v>114</v>
      </c>
      <c r="BK332" s="19">
        <v>98112</v>
      </c>
      <c r="BL332" s="19" t="s">
        <v>114</v>
      </c>
      <c r="BM332" s="19" t="s">
        <v>114</v>
      </c>
      <c r="BN332" s="19" t="s">
        <v>114</v>
      </c>
      <c r="BO332" s="19" t="s">
        <v>114</v>
      </c>
      <c r="BP332" s="19" t="s">
        <v>114</v>
      </c>
      <c r="BQ332" s="19">
        <v>98118</v>
      </c>
      <c r="BR332" s="19">
        <v>98119</v>
      </c>
      <c r="BS332" s="19">
        <v>98120</v>
      </c>
      <c r="BT332" s="19">
        <v>98121</v>
      </c>
      <c r="BU332" s="19" t="s">
        <v>114</v>
      </c>
      <c r="BV332" s="19" t="s">
        <v>114</v>
      </c>
      <c r="BW332" s="19" t="s">
        <v>114</v>
      </c>
      <c r="BX332" s="19" t="s">
        <v>114</v>
      </c>
      <c r="BY332" s="19">
        <v>98126</v>
      </c>
      <c r="BZ332" s="21" t="s">
        <v>114</v>
      </c>
      <c r="CA332" s="21" t="s">
        <v>114</v>
      </c>
      <c r="CB332" s="21" t="s">
        <v>114</v>
      </c>
      <c r="CC332" s="21" t="s">
        <v>114</v>
      </c>
      <c r="CD332" s="21" t="s">
        <v>114</v>
      </c>
      <c r="CE332" s="21" t="s">
        <v>114</v>
      </c>
      <c r="CF332" s="19" t="s">
        <v>114</v>
      </c>
      <c r="CG332" s="19" t="s">
        <v>114</v>
      </c>
      <c r="CH332" s="19" t="s">
        <v>114</v>
      </c>
      <c r="CI332" s="21" t="s">
        <v>114</v>
      </c>
      <c r="CJ332" s="21" t="s">
        <v>114</v>
      </c>
      <c r="CK332" s="21">
        <v>98405</v>
      </c>
      <c r="CL332" s="21" t="s">
        <v>114</v>
      </c>
      <c r="CM332" s="21" t="s">
        <v>114</v>
      </c>
      <c r="CN332" s="21" t="s">
        <v>114</v>
      </c>
      <c r="CO332" s="21" t="s">
        <v>114</v>
      </c>
      <c r="CP332" s="21" t="s">
        <v>114</v>
      </c>
      <c r="CQ332" s="21" t="s">
        <v>114</v>
      </c>
      <c r="CR332" s="21" t="s">
        <v>114</v>
      </c>
      <c r="CS332" s="21" t="s">
        <v>114</v>
      </c>
      <c r="CT332" s="21" t="s">
        <v>114</v>
      </c>
      <c r="CU332" s="21" t="s">
        <v>114</v>
      </c>
      <c r="CV332" s="21" t="s">
        <v>114</v>
      </c>
      <c r="CW332" s="21" t="s">
        <v>114</v>
      </c>
      <c r="CX332" s="21" t="s">
        <v>114</v>
      </c>
      <c r="CY332" s="21" t="s">
        <v>114</v>
      </c>
      <c r="CZ332" s="21" t="s">
        <v>114</v>
      </c>
      <c r="DA332" s="21" t="s">
        <v>114</v>
      </c>
      <c r="DB332" s="21" t="s">
        <v>114</v>
      </c>
      <c r="DC332" s="21" t="s">
        <v>114</v>
      </c>
      <c r="DD332" s="21" t="s">
        <v>114</v>
      </c>
      <c r="DE332" s="21" t="s">
        <v>114</v>
      </c>
      <c r="DF332" s="19" t="s">
        <v>114</v>
      </c>
      <c r="DG332" s="19" t="s">
        <v>114</v>
      </c>
      <c r="DH332" s="19" t="s">
        <v>114</v>
      </c>
      <c r="DI332" s="19" t="s">
        <v>114</v>
      </c>
      <c r="DJ332" s="19" t="s">
        <v>114</v>
      </c>
      <c r="DK332" s="19" t="s">
        <v>114</v>
      </c>
      <c r="DL332" s="19" t="s">
        <v>114</v>
      </c>
      <c r="DM332" s="19" t="s">
        <v>114</v>
      </c>
      <c r="DN332" s="19" t="s">
        <v>114</v>
      </c>
      <c r="DO332" s="19" t="s">
        <v>114</v>
      </c>
    </row>
    <row r="333" spans="1:119" hidden="1" x14ac:dyDescent="0.45">
      <c r="A333" s="2" t="s">
        <v>1331</v>
      </c>
      <c r="B333" t="s">
        <v>1332</v>
      </c>
      <c r="C333" s="2">
        <v>768</v>
      </c>
      <c r="D333" s="6">
        <v>157</v>
      </c>
      <c r="E333" s="2" t="s">
        <v>1333</v>
      </c>
      <c r="F333" t="s">
        <v>1333</v>
      </c>
      <c r="G333" t="s">
        <v>2160</v>
      </c>
      <c r="H333" s="2" t="s">
        <v>1333</v>
      </c>
      <c r="I333" s="2" t="s">
        <v>1333</v>
      </c>
      <c r="J333" s="2">
        <v>2</v>
      </c>
      <c r="K333" t="s">
        <v>116</v>
      </c>
      <c r="L333" s="2">
        <v>202</v>
      </c>
      <c r="M333" t="s">
        <v>166</v>
      </c>
      <c r="N333">
        <v>11</v>
      </c>
      <c r="O333" t="s">
        <v>273</v>
      </c>
      <c r="P333" s="2" t="s">
        <v>116</v>
      </c>
      <c r="Q333" s="2" t="s">
        <v>166</v>
      </c>
      <c r="R333" s="2">
        <v>202</v>
      </c>
      <c r="S333" s="4" t="s">
        <v>166</v>
      </c>
      <c r="T333" s="2">
        <v>202</v>
      </c>
      <c r="U333" s="4" t="s">
        <v>166</v>
      </c>
      <c r="V333" t="s">
        <v>2457</v>
      </c>
      <c r="W333" t="s">
        <v>2457</v>
      </c>
      <c r="X333" t="s">
        <v>2440</v>
      </c>
      <c r="Y333" t="s">
        <v>273</v>
      </c>
      <c r="Z333" t="s">
        <v>273</v>
      </c>
      <c r="AA333" t="s">
        <v>273</v>
      </c>
      <c r="AB333" t="s">
        <v>2885</v>
      </c>
      <c r="AC333" s="2" t="s">
        <v>103</v>
      </c>
      <c r="AD333" s="2" t="s">
        <v>1890</v>
      </c>
      <c r="AE333" t="s">
        <v>104</v>
      </c>
      <c r="AF333" t="s">
        <v>1885</v>
      </c>
      <c r="AG333" t="s">
        <v>1884</v>
      </c>
      <c r="AH333" t="s">
        <v>105</v>
      </c>
      <c r="AI333" s="3" t="s">
        <v>105</v>
      </c>
      <c r="AJ333" s="3" t="s">
        <v>106</v>
      </c>
      <c r="AK333" s="3" t="s">
        <v>107</v>
      </c>
      <c r="AL333" s="5" t="s">
        <v>274</v>
      </c>
      <c r="AM333" s="5" t="s">
        <v>109</v>
      </c>
      <c r="AN333" t="s">
        <v>110</v>
      </c>
      <c r="AO333" t="s">
        <v>25</v>
      </c>
      <c r="AP333" s="3" t="s">
        <v>120</v>
      </c>
      <c r="AQ333" s="3" t="s">
        <v>111</v>
      </c>
      <c r="AR333" s="3" t="s">
        <v>112</v>
      </c>
      <c r="AS333" s="3" t="s">
        <v>112</v>
      </c>
      <c r="AT333" s="3" t="s">
        <v>113</v>
      </c>
      <c r="AU333" s="3" t="s">
        <v>2303</v>
      </c>
      <c r="AV333" s="3" t="s">
        <v>2302</v>
      </c>
      <c r="AW333" s="3" t="s">
        <v>2301</v>
      </c>
      <c r="AX333" s="3" t="s">
        <v>2006</v>
      </c>
      <c r="AY333" s="19">
        <v>98100</v>
      </c>
      <c r="AZ333" s="19" t="s">
        <v>114</v>
      </c>
      <c r="BA333" s="19" t="s">
        <v>114</v>
      </c>
      <c r="BB333" s="19" t="s">
        <v>114</v>
      </c>
      <c r="BC333" s="19" t="s">
        <v>114</v>
      </c>
      <c r="BD333" s="19">
        <v>98105</v>
      </c>
      <c r="BE333" s="19">
        <v>98106</v>
      </c>
      <c r="BF333" s="19" t="s">
        <v>114</v>
      </c>
      <c r="BG333" s="19">
        <v>98108</v>
      </c>
      <c r="BH333" s="19" t="s">
        <v>114</v>
      </c>
      <c r="BI333" s="19" t="s">
        <v>114</v>
      </c>
      <c r="BJ333" s="19" t="s">
        <v>114</v>
      </c>
      <c r="BK333" s="19">
        <v>98112</v>
      </c>
      <c r="BL333" s="19" t="s">
        <v>114</v>
      </c>
      <c r="BM333" s="19" t="s">
        <v>114</v>
      </c>
      <c r="BN333" s="19" t="s">
        <v>114</v>
      </c>
      <c r="BO333" s="19" t="s">
        <v>114</v>
      </c>
      <c r="BP333" s="19" t="s">
        <v>114</v>
      </c>
      <c r="BQ333" s="19">
        <v>98118</v>
      </c>
      <c r="BR333" s="19">
        <v>98119</v>
      </c>
      <c r="BS333" s="19">
        <v>98120</v>
      </c>
      <c r="BT333" s="19">
        <v>98121</v>
      </c>
      <c r="BU333" s="19" t="s">
        <v>114</v>
      </c>
      <c r="BV333" s="19" t="s">
        <v>114</v>
      </c>
      <c r="BW333" s="19" t="s">
        <v>114</v>
      </c>
      <c r="BX333" s="19" t="s">
        <v>114</v>
      </c>
      <c r="BY333" s="19">
        <v>98126</v>
      </c>
      <c r="BZ333" s="21" t="s">
        <v>114</v>
      </c>
      <c r="CA333" s="21" t="s">
        <v>114</v>
      </c>
      <c r="CB333" s="21" t="s">
        <v>114</v>
      </c>
      <c r="CC333" s="21" t="s">
        <v>114</v>
      </c>
      <c r="CD333" s="21" t="s">
        <v>114</v>
      </c>
      <c r="CE333" s="21" t="s">
        <v>114</v>
      </c>
      <c r="CF333" s="19" t="s">
        <v>114</v>
      </c>
      <c r="CG333" s="19" t="s">
        <v>114</v>
      </c>
      <c r="CH333" s="19" t="s">
        <v>114</v>
      </c>
      <c r="CI333" s="21" t="s">
        <v>114</v>
      </c>
      <c r="CJ333" s="21" t="s">
        <v>114</v>
      </c>
      <c r="CK333" s="21">
        <v>98405</v>
      </c>
      <c r="CL333" s="21" t="s">
        <v>114</v>
      </c>
      <c r="CM333" s="21" t="s">
        <v>114</v>
      </c>
      <c r="CN333" s="21" t="s">
        <v>114</v>
      </c>
      <c r="CO333" s="21" t="s">
        <v>114</v>
      </c>
      <c r="CP333" s="21" t="s">
        <v>114</v>
      </c>
      <c r="CQ333" s="21" t="s">
        <v>114</v>
      </c>
      <c r="CR333" s="21" t="s">
        <v>114</v>
      </c>
      <c r="CS333" s="21" t="s">
        <v>114</v>
      </c>
      <c r="CT333" s="21" t="s">
        <v>114</v>
      </c>
      <c r="CU333" s="21" t="s">
        <v>114</v>
      </c>
      <c r="CV333" s="21" t="s">
        <v>114</v>
      </c>
      <c r="CW333" s="21" t="s">
        <v>114</v>
      </c>
      <c r="CX333" s="21" t="s">
        <v>114</v>
      </c>
      <c r="CY333" s="21" t="s">
        <v>114</v>
      </c>
      <c r="CZ333" s="21" t="s">
        <v>114</v>
      </c>
      <c r="DA333" s="21" t="s">
        <v>114</v>
      </c>
      <c r="DB333" s="21" t="s">
        <v>114</v>
      </c>
      <c r="DC333" s="21" t="s">
        <v>114</v>
      </c>
      <c r="DD333" s="21" t="s">
        <v>114</v>
      </c>
      <c r="DE333" s="21" t="s">
        <v>114</v>
      </c>
      <c r="DF333" s="19" t="s">
        <v>114</v>
      </c>
      <c r="DG333" s="19" t="s">
        <v>114</v>
      </c>
      <c r="DH333" s="19" t="s">
        <v>114</v>
      </c>
      <c r="DI333" s="19" t="s">
        <v>114</v>
      </c>
      <c r="DJ333" s="19" t="s">
        <v>114</v>
      </c>
      <c r="DK333" s="19" t="s">
        <v>114</v>
      </c>
      <c r="DL333" s="19" t="s">
        <v>114</v>
      </c>
      <c r="DM333" s="19" t="s">
        <v>114</v>
      </c>
      <c r="DN333" s="19" t="s">
        <v>114</v>
      </c>
      <c r="DO333" s="19" t="s">
        <v>114</v>
      </c>
    </row>
  </sheetData>
  <phoneticPr fontId="28" type="noConversion"/>
  <conditionalFormatting sqref="B5:B328">
    <cfRule type="duplicateValues" dxfId="58" priority="1341"/>
  </conditionalFormatting>
  <conditionalFormatting sqref="B257:B277">
    <cfRule type="duplicateValues" dxfId="57" priority="1343"/>
  </conditionalFormatting>
  <conditionalFormatting sqref="B329:B331">
    <cfRule type="duplicateValues" dxfId="56" priority="3"/>
  </conditionalFormatting>
  <conditionalFormatting sqref="C5:C226 C228:C322">
    <cfRule type="duplicateValues" dxfId="55" priority="1345"/>
  </conditionalFormatting>
  <conditionalFormatting sqref="C5:C333">
    <cfRule type="duplicateValues" dxfId="54" priority="1399"/>
  </conditionalFormatting>
  <conditionalFormatting sqref="C227">
    <cfRule type="duplicateValues" dxfId="53" priority="87"/>
  </conditionalFormatting>
  <conditionalFormatting sqref="C326:C328">
    <cfRule type="duplicateValues" dxfId="52" priority="9"/>
  </conditionalFormatting>
  <conditionalFormatting sqref="F329:F331">
    <cfRule type="duplicateValues" dxfId="51" priority="4"/>
  </conditionalFormatting>
  <conditionalFormatting sqref="J325">
    <cfRule type="duplicateValues" dxfId="50" priority="16"/>
  </conditionalFormatting>
  <conditionalFormatting sqref="L325">
    <cfRule type="duplicateValues" dxfId="49" priority="15"/>
  </conditionalFormatting>
  <conditionalFormatting sqref="N325">
    <cfRule type="duplicateValues" dxfId="48" priority="14"/>
  </conditionalFormatting>
  <conditionalFormatting sqref="R325">
    <cfRule type="duplicateValues" dxfId="47" priority="13"/>
  </conditionalFormatting>
  <conditionalFormatting sqref="T325">
    <cfRule type="duplicateValues" dxfId="46" priority="12"/>
  </conditionalFormatting>
  <conditionalFormatting sqref="AC5:AC333">
    <cfRule type="containsText" dxfId="45" priority="80" operator="containsText" text="Unc">
      <formula>NOT(ISERROR(SEARCH("Unc",AC5)))</formula>
    </cfRule>
  </conditionalFormatting>
  <conditionalFormatting sqref="AD5:AD333">
    <cfRule type="containsText" dxfId="44" priority="77" operator="containsText" text="Non-HIPC">
      <formula>NOT(ISERROR(SEARCH("Non-HIPC",AD5)))</formula>
    </cfRule>
    <cfRule type="containsText" dxfId="43" priority="78" operator="containsText" text="HIPC">
      <formula>NOT(ISERROR(SEARCH("HIPC",AD5)))</formula>
    </cfRule>
    <cfRule type="containsText" dxfId="42" priority="79" operator="containsText" text="Un">
      <formula>NOT(ISERROR(SEARCH("Un",AD5)))</formula>
    </cfRule>
  </conditionalFormatting>
  <conditionalFormatting sqref="AE5:AE333">
    <cfRule type="cellIs" dxfId="41" priority="75" operator="equal">
      <formula>"Developing"</formula>
    </cfRule>
    <cfRule type="cellIs" dxfId="40" priority="74" operator="equal">
      <formula>"Developed"</formula>
    </cfRule>
    <cfRule type="containsText" dxfId="39" priority="73" operator="containsText" text="Unspecified">
      <formula>NOT(ISERROR(SEARCH("Unspecified",AE5)))</formula>
    </cfRule>
  </conditionalFormatting>
  <conditionalFormatting sqref="AF5:AF333">
    <cfRule type="containsText" dxfId="38" priority="84" operator="containsText" text="ODA">
      <formula>NOT(ISERROR(SEARCH("ODA",AF5)))</formula>
    </cfRule>
    <cfRule type="containsText" dxfId="37" priority="83" operator="containsText" text="Non">
      <formula>NOT(ISERROR(SEARCH("Non",AF5)))</formula>
    </cfRule>
  </conditionalFormatting>
  <conditionalFormatting sqref="AG1:AG1048576">
    <cfRule type="containsText" dxfId="36" priority="94" operator="containsText" text="SDG 7a1">
      <formula>NOT(ISERROR(SEARCH("SDG 7a1",AG1)))</formula>
    </cfRule>
    <cfRule type="containsText" dxfId="35" priority="70" operator="containsText" text="Unspecified">
      <formula>NOT(ISERROR(SEARCH("Unspecified",AG1)))</formula>
    </cfRule>
    <cfRule type="cellIs" dxfId="34" priority="71" operator="equal">
      <formula>"Developed"</formula>
    </cfRule>
    <cfRule type="cellIs" dxfId="33" priority="72" operator="equal">
      <formula>"Developing"</formula>
    </cfRule>
    <cfRule type="containsText" dxfId="32" priority="81" operator="containsText" text="Non">
      <formula>NOT(ISERROR(SEARCH("Non",AG1)))</formula>
    </cfRule>
  </conditionalFormatting>
  <conditionalFormatting sqref="AO5:AQ333">
    <cfRule type="containsText" dxfId="31" priority="17" operator="containsText" text="Non">
      <formula>NOT(ISERROR(SEARCH("Non",AO5)))</formula>
    </cfRule>
    <cfRule type="containsText" dxfId="30" priority="18" operator="containsText" text="LDC">
      <formula>NOT(ISERROR(SEARCH("LDC",AO5)))</formula>
    </cfRule>
  </conditionalFormatting>
  <conditionalFormatting sqref="AO312:AQ314">
    <cfRule type="containsText" dxfId="29" priority="46" operator="containsText" text="Non">
      <formula>NOT(ISERROR(SEARCH("Non",AO312)))</formula>
    </cfRule>
    <cfRule type="containsText" dxfId="28" priority="47" operator="containsText" text="LDC">
      <formula>NOT(ISERROR(SEARCH("LDC",AO312)))</formula>
    </cfRule>
  </conditionalFormatting>
  <conditionalFormatting sqref="AO314:AQ321">
    <cfRule type="containsText" dxfId="27" priority="35" operator="containsText" text="LDC">
      <formula>NOT(ISERROR(SEARCH("LDC",AO314)))</formula>
    </cfRule>
    <cfRule type="containsText" dxfId="26" priority="34" operator="containsText" text="Non">
      <formula>NOT(ISERROR(SEARCH("Non",AO314)))</formula>
    </cfRule>
  </conditionalFormatting>
  <conditionalFormatting sqref="AO315:AQ316">
    <cfRule type="containsText" dxfId="25" priority="33" operator="containsText" text="LDC">
      <formula>NOT(ISERROR(SEARCH("LDC",AO315)))</formula>
    </cfRule>
    <cfRule type="containsText" dxfId="24" priority="32" operator="containsText" text="Non">
      <formula>NOT(ISERROR(SEARCH("Non",AO315)))</formula>
    </cfRule>
  </conditionalFormatting>
  <conditionalFormatting sqref="AO317:AQ317">
    <cfRule type="containsText" dxfId="23" priority="42" operator="containsText" text="Non">
      <formula>NOT(ISERROR(SEARCH("Non",AO317)))</formula>
    </cfRule>
    <cfRule type="containsText" dxfId="22" priority="43" operator="containsText" text="LDC">
      <formula>NOT(ISERROR(SEARCH("LDC",AO317)))</formula>
    </cfRule>
  </conditionalFormatting>
  <conditionalFormatting sqref="AO322:AQ323">
    <cfRule type="containsText" dxfId="21" priority="28" operator="containsText" text="LDC">
      <formula>NOT(ISERROR(SEARCH("LDC",AO322)))</formula>
    </cfRule>
    <cfRule type="containsText" dxfId="20" priority="27" operator="containsText" text="Non">
      <formula>NOT(ISERROR(SEARCH("Non",AO322)))</formula>
    </cfRule>
  </conditionalFormatting>
  <conditionalFormatting sqref="AO325:AQ325">
    <cfRule type="containsText" dxfId="19" priority="19" operator="containsText" text="Non">
      <formula>NOT(ISERROR(SEARCH("Non",AO325)))</formula>
    </cfRule>
    <cfRule type="containsText" dxfId="18" priority="20" operator="containsText" text="LDC">
      <formula>NOT(ISERROR(SEARCH("LDC",AO325)))</formula>
    </cfRule>
  </conditionalFormatting>
  <conditionalFormatting sqref="AO326:AQ331">
    <cfRule type="containsText" dxfId="17" priority="1" operator="containsText" text="Non">
      <formula>NOT(ISERROR(SEARCH("Non",AO326)))</formula>
    </cfRule>
    <cfRule type="containsText" dxfId="16" priority="2" operator="containsText" text="LDC">
      <formula>NOT(ISERROR(SEARCH("LDC",AO326)))</formula>
    </cfRule>
  </conditionalFormatting>
  <conditionalFormatting sqref="AQ5:AQ333">
    <cfRule type="containsText" dxfId="15" priority="62" operator="containsText" text="SIDS">
      <formula>NOT(ISERROR(SEARCH("SIDS",AQ5)))</formula>
    </cfRule>
  </conditionalFormatting>
  <conditionalFormatting sqref="AQ324:AQ325">
    <cfRule type="containsText" dxfId="14" priority="21" operator="containsText" text="Non">
      <formula>NOT(ISERROR(SEARCH("Non",AQ324)))</formula>
    </cfRule>
    <cfRule type="containsText" dxfId="13" priority="22" operator="containsText" text="LDC">
      <formula>NOT(ISERROR(SEARCH("LDC",AQ324)))</formula>
    </cfRule>
  </conditionalFormatting>
  <conditionalFormatting sqref="AU5:AW333">
    <cfRule type="containsText" dxfId="12" priority="10" operator="containsText" text="Non">
      <formula>NOT(ISERROR(SEARCH("Non",AU5)))</formula>
    </cfRule>
    <cfRule type="containsText" dxfId="11" priority="11" operator="containsText" text="G">
      <formula>NOT(ISERROR(SEARCH("G",AU5)))</formula>
    </cfRule>
  </conditionalFormatting>
  <conditionalFormatting sqref="AU326:AW331">
    <cfRule type="containsText" dxfId="10" priority="5" operator="containsText" text="Non">
      <formula>NOT(ISERROR(SEARCH("Non",AU326)))</formula>
    </cfRule>
    <cfRule type="containsText" dxfId="9" priority="6" operator="containsText" text="G">
      <formula>NOT(ISERROR(SEARCH("G",AU326)))</formula>
    </cfRule>
  </conditionalFormatting>
  <conditionalFormatting sqref="AX5:AX333">
    <cfRule type="containsText" dxfId="8" priority="25" operator="containsText" text="Incl">
      <formula>NOT(ISERROR(SEARCH("Incl",AX5)))</formula>
    </cfRule>
    <cfRule type="containsText" dxfId="7" priority="26" operator="containsText" text="DNI">
      <formula>NOT(ISERROR(SEARCH("DNI",AX5)))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491D-D5F1-45E6-BA15-F27979B644A5}">
  <sheetPr codeName="Sheet3"/>
  <dimension ref="A1:F1325"/>
  <sheetViews>
    <sheetView showGridLines="0" zoomScale="70" zoomScaleNormal="70" workbookViewId="0">
      <selection activeCell="B14" sqref="B14"/>
    </sheetView>
  </sheetViews>
  <sheetFormatPr defaultColWidth="8.86328125" defaultRowHeight="14.25" x14ac:dyDescent="0.45"/>
  <cols>
    <col min="1" max="1" width="8.86328125" customWidth="1"/>
    <col min="2" max="2" width="9.3984375" customWidth="1"/>
    <col min="3" max="3" width="16" bestFit="1" customWidth="1"/>
    <col min="4" max="4" width="11.3984375" bestFit="1" customWidth="1"/>
    <col min="5" max="5" width="20" customWidth="1"/>
    <col min="8" max="75" width="15.86328125" bestFit="1" customWidth="1"/>
    <col min="76" max="76" width="10.265625" bestFit="1" customWidth="1"/>
  </cols>
  <sheetData>
    <row r="1" spans="1:6" x14ac:dyDescent="0.45">
      <c r="A1" t="s">
        <v>1469</v>
      </c>
    </row>
    <row r="2" spans="1:6" x14ac:dyDescent="0.45">
      <c r="A2" s="14" t="s">
        <v>1470</v>
      </c>
      <c r="B2" s="15" t="s">
        <v>2353</v>
      </c>
    </row>
    <row r="4" spans="1:6" x14ac:dyDescent="0.45">
      <c r="B4" t="s">
        <v>2</v>
      </c>
      <c r="C4" s="17" t="s">
        <v>1471</v>
      </c>
      <c r="D4" t="s">
        <v>1472</v>
      </c>
      <c r="E4" t="s">
        <v>1473</v>
      </c>
      <c r="F4" t="s">
        <v>2358</v>
      </c>
    </row>
    <row r="5" spans="1:6" x14ac:dyDescent="0.45">
      <c r="B5">
        <v>12</v>
      </c>
      <c r="C5" s="16">
        <v>98100</v>
      </c>
      <c r="D5" s="16" t="s">
        <v>1474</v>
      </c>
      <c r="E5" s="16" t="s">
        <v>1475</v>
      </c>
      <c r="F5" s="25" t="s">
        <v>32</v>
      </c>
    </row>
    <row r="6" spans="1:6" x14ac:dyDescent="0.45">
      <c r="B6">
        <v>24</v>
      </c>
      <c r="C6" s="16">
        <v>98100</v>
      </c>
      <c r="D6" s="16" t="s">
        <v>1474</v>
      </c>
      <c r="E6" s="16" t="s">
        <v>1475</v>
      </c>
      <c r="F6" s="25" t="s">
        <v>32</v>
      </c>
    </row>
    <row r="7" spans="1:6" x14ac:dyDescent="0.45">
      <c r="B7">
        <v>72</v>
      </c>
      <c r="C7" s="16">
        <v>98100</v>
      </c>
      <c r="D7" s="16" t="s">
        <v>1474</v>
      </c>
      <c r="E7" s="16" t="s">
        <v>1475</v>
      </c>
      <c r="F7" s="25" t="s">
        <v>32</v>
      </c>
    </row>
    <row r="8" spans="1:6" x14ac:dyDescent="0.45">
      <c r="B8">
        <v>108</v>
      </c>
      <c r="C8" s="16">
        <v>98100</v>
      </c>
      <c r="D8" s="16" t="s">
        <v>1474</v>
      </c>
      <c r="E8" s="16" t="s">
        <v>1475</v>
      </c>
      <c r="F8" s="25" t="s">
        <v>32</v>
      </c>
    </row>
    <row r="9" spans="1:6" x14ac:dyDescent="0.45">
      <c r="B9">
        <v>120</v>
      </c>
      <c r="C9" s="16">
        <v>98100</v>
      </c>
      <c r="D9" s="16" t="s">
        <v>1474</v>
      </c>
      <c r="E9" s="16" t="s">
        <v>1475</v>
      </c>
      <c r="F9" s="25" t="s">
        <v>32</v>
      </c>
    </row>
    <row r="10" spans="1:6" x14ac:dyDescent="0.45">
      <c r="B10">
        <v>132</v>
      </c>
      <c r="C10" s="16">
        <v>98100</v>
      </c>
      <c r="D10" s="16" t="s">
        <v>1474</v>
      </c>
      <c r="E10" s="16" t="s">
        <v>1475</v>
      </c>
      <c r="F10" s="25" t="s">
        <v>32</v>
      </c>
    </row>
    <row r="11" spans="1:6" x14ac:dyDescent="0.45">
      <c r="B11">
        <v>140</v>
      </c>
      <c r="C11" s="16">
        <v>98100</v>
      </c>
      <c r="D11" s="16" t="s">
        <v>1474</v>
      </c>
      <c r="E11" s="16" t="s">
        <v>1475</v>
      </c>
      <c r="F11" s="25" t="s">
        <v>32</v>
      </c>
    </row>
    <row r="12" spans="1:6" x14ac:dyDescent="0.45">
      <c r="B12">
        <v>148</v>
      </c>
      <c r="C12" s="16">
        <v>98100</v>
      </c>
      <c r="D12" s="16" t="s">
        <v>1474</v>
      </c>
      <c r="E12" s="16" t="s">
        <v>1475</v>
      </c>
      <c r="F12" s="25" t="s">
        <v>32</v>
      </c>
    </row>
    <row r="13" spans="1:6" x14ac:dyDescent="0.45">
      <c r="B13">
        <v>174</v>
      </c>
      <c r="C13" s="16">
        <v>98100</v>
      </c>
      <c r="D13" s="16" t="s">
        <v>1474</v>
      </c>
      <c r="E13" s="16" t="s">
        <v>1475</v>
      </c>
      <c r="F13" s="25" t="s">
        <v>32</v>
      </c>
    </row>
    <row r="14" spans="1:6" x14ac:dyDescent="0.45">
      <c r="B14">
        <v>178</v>
      </c>
      <c r="C14" s="16">
        <v>98100</v>
      </c>
      <c r="D14" s="16" t="s">
        <v>1474</v>
      </c>
      <c r="E14" s="16" t="s">
        <v>1475</v>
      </c>
      <c r="F14" s="25" t="s">
        <v>32</v>
      </c>
    </row>
    <row r="15" spans="1:6" x14ac:dyDescent="0.45">
      <c r="B15">
        <v>180</v>
      </c>
      <c r="C15" s="16">
        <v>98100</v>
      </c>
      <c r="D15" s="16" t="s">
        <v>1474</v>
      </c>
      <c r="E15" s="16" t="s">
        <v>1475</v>
      </c>
      <c r="F15" s="25" t="s">
        <v>32</v>
      </c>
    </row>
    <row r="16" spans="1:6" x14ac:dyDescent="0.45">
      <c r="B16">
        <v>204</v>
      </c>
      <c r="C16" s="16">
        <v>98100</v>
      </c>
      <c r="D16" s="16" t="s">
        <v>1474</v>
      </c>
      <c r="E16" s="16" t="s">
        <v>1475</v>
      </c>
      <c r="F16" s="25" t="s">
        <v>32</v>
      </c>
    </row>
    <row r="17" spans="2:6" x14ac:dyDescent="0.45">
      <c r="B17">
        <v>226</v>
      </c>
      <c r="C17" s="16">
        <v>98100</v>
      </c>
      <c r="D17" s="16" t="s">
        <v>1474</v>
      </c>
      <c r="E17" s="16" t="s">
        <v>1475</v>
      </c>
      <c r="F17" s="25" t="s">
        <v>32</v>
      </c>
    </row>
    <row r="18" spans="2:6" x14ac:dyDescent="0.45">
      <c r="B18">
        <v>231</v>
      </c>
      <c r="C18" s="16">
        <v>98100</v>
      </c>
      <c r="D18" s="16" t="s">
        <v>1474</v>
      </c>
      <c r="E18" s="16" t="s">
        <v>1475</v>
      </c>
      <c r="F18" s="25" t="s">
        <v>32</v>
      </c>
    </row>
    <row r="19" spans="2:6" x14ac:dyDescent="0.45">
      <c r="B19">
        <v>232</v>
      </c>
      <c r="C19" s="16">
        <v>98100</v>
      </c>
      <c r="D19" s="16" t="s">
        <v>1474</v>
      </c>
      <c r="E19" s="16" t="s">
        <v>1475</v>
      </c>
      <c r="F19" s="25" t="s">
        <v>32</v>
      </c>
    </row>
    <row r="20" spans="2:6" x14ac:dyDescent="0.45">
      <c r="B20">
        <v>262</v>
      </c>
      <c r="C20" s="16">
        <v>98100</v>
      </c>
      <c r="D20" s="16" t="s">
        <v>1474</v>
      </c>
      <c r="E20" s="16" t="s">
        <v>1475</v>
      </c>
      <c r="F20" s="25" t="s">
        <v>32</v>
      </c>
    </row>
    <row r="21" spans="2:6" x14ac:dyDescent="0.45">
      <c r="B21">
        <v>266</v>
      </c>
      <c r="C21" s="16">
        <v>98100</v>
      </c>
      <c r="D21" s="16" t="s">
        <v>1474</v>
      </c>
      <c r="E21" s="16" t="s">
        <v>1475</v>
      </c>
      <c r="F21" s="25" t="s">
        <v>32</v>
      </c>
    </row>
    <row r="22" spans="2:6" x14ac:dyDescent="0.45">
      <c r="B22">
        <v>270</v>
      </c>
      <c r="C22" s="16">
        <v>98100</v>
      </c>
      <c r="D22" s="16" t="s">
        <v>1474</v>
      </c>
      <c r="E22" s="16" t="s">
        <v>1475</v>
      </c>
      <c r="F22" s="25" t="s">
        <v>32</v>
      </c>
    </row>
    <row r="23" spans="2:6" x14ac:dyDescent="0.45">
      <c r="B23">
        <v>288</v>
      </c>
      <c r="C23" s="16">
        <v>98100</v>
      </c>
      <c r="D23" s="16" t="s">
        <v>1474</v>
      </c>
      <c r="E23" s="16" t="s">
        <v>1475</v>
      </c>
      <c r="F23" s="25" t="s">
        <v>32</v>
      </c>
    </row>
    <row r="24" spans="2:6" x14ac:dyDescent="0.45">
      <c r="B24">
        <v>324</v>
      </c>
      <c r="C24" s="16">
        <v>98100</v>
      </c>
      <c r="D24" s="16" t="s">
        <v>1474</v>
      </c>
      <c r="E24" s="16" t="s">
        <v>1475</v>
      </c>
      <c r="F24" s="25" t="s">
        <v>32</v>
      </c>
    </row>
    <row r="25" spans="2:6" x14ac:dyDescent="0.45">
      <c r="B25">
        <v>384</v>
      </c>
      <c r="C25" s="16">
        <v>98100</v>
      </c>
      <c r="D25" s="16" t="s">
        <v>1474</v>
      </c>
      <c r="E25" s="16" t="s">
        <v>1475</v>
      </c>
      <c r="F25" s="25" t="s">
        <v>32</v>
      </c>
    </row>
    <row r="26" spans="2:6" x14ac:dyDescent="0.45">
      <c r="B26">
        <v>404</v>
      </c>
      <c r="C26" s="16">
        <v>98100</v>
      </c>
      <c r="D26" s="16" t="s">
        <v>1474</v>
      </c>
      <c r="E26" s="16" t="s">
        <v>1475</v>
      </c>
      <c r="F26" s="25" t="s">
        <v>32</v>
      </c>
    </row>
    <row r="27" spans="2:6" x14ac:dyDescent="0.45">
      <c r="B27">
        <v>426</v>
      </c>
      <c r="C27" s="16">
        <v>98100</v>
      </c>
      <c r="D27" s="16" t="s">
        <v>1474</v>
      </c>
      <c r="E27" s="16" t="s">
        <v>1475</v>
      </c>
      <c r="F27" s="25" t="s">
        <v>32</v>
      </c>
    </row>
    <row r="28" spans="2:6" x14ac:dyDescent="0.45">
      <c r="B28">
        <v>430</v>
      </c>
      <c r="C28" s="16">
        <v>98100</v>
      </c>
      <c r="D28" s="16" t="s">
        <v>1474</v>
      </c>
      <c r="E28" s="16" t="s">
        <v>1475</v>
      </c>
      <c r="F28" s="25" t="s">
        <v>32</v>
      </c>
    </row>
    <row r="29" spans="2:6" x14ac:dyDescent="0.45">
      <c r="B29">
        <v>434</v>
      </c>
      <c r="C29" s="16">
        <v>98100</v>
      </c>
      <c r="D29" s="16" t="s">
        <v>1474</v>
      </c>
      <c r="E29" s="16" t="s">
        <v>1475</v>
      </c>
      <c r="F29" s="25" t="s">
        <v>32</v>
      </c>
    </row>
    <row r="30" spans="2:6" x14ac:dyDescent="0.45">
      <c r="B30">
        <v>450</v>
      </c>
      <c r="C30" s="16">
        <v>98100</v>
      </c>
      <c r="D30" s="16" t="s">
        <v>1474</v>
      </c>
      <c r="E30" s="16" t="s">
        <v>1475</v>
      </c>
      <c r="F30" s="25" t="s">
        <v>32</v>
      </c>
    </row>
    <row r="31" spans="2:6" x14ac:dyDescent="0.45">
      <c r="B31">
        <v>454</v>
      </c>
      <c r="C31" s="16">
        <v>98100</v>
      </c>
      <c r="D31" s="16" t="s">
        <v>1474</v>
      </c>
      <c r="E31" s="16" t="s">
        <v>1475</v>
      </c>
      <c r="F31" s="25" t="s">
        <v>32</v>
      </c>
    </row>
    <row r="32" spans="2:6" x14ac:dyDescent="0.45">
      <c r="B32">
        <v>466</v>
      </c>
      <c r="C32" s="16">
        <v>98100</v>
      </c>
      <c r="D32" s="16" t="s">
        <v>1474</v>
      </c>
      <c r="E32" s="16" t="s">
        <v>1475</v>
      </c>
      <c r="F32" s="25" t="s">
        <v>32</v>
      </c>
    </row>
    <row r="33" spans="2:6" x14ac:dyDescent="0.45">
      <c r="B33">
        <v>478</v>
      </c>
      <c r="C33" s="16">
        <v>98100</v>
      </c>
      <c r="D33" s="16" t="s">
        <v>1474</v>
      </c>
      <c r="E33" s="16" t="s">
        <v>1475</v>
      </c>
      <c r="F33" s="25" t="s">
        <v>32</v>
      </c>
    </row>
    <row r="34" spans="2:6" x14ac:dyDescent="0.45">
      <c r="B34">
        <v>480</v>
      </c>
      <c r="C34" s="16">
        <v>98100</v>
      </c>
      <c r="D34" s="16" t="s">
        <v>1474</v>
      </c>
      <c r="E34" s="16" t="s">
        <v>1475</v>
      </c>
      <c r="F34" s="25" t="s">
        <v>32</v>
      </c>
    </row>
    <row r="35" spans="2:6" x14ac:dyDescent="0.45">
      <c r="B35">
        <v>504</v>
      </c>
      <c r="C35" s="16">
        <v>98100</v>
      </c>
      <c r="D35" s="16" t="s">
        <v>1474</v>
      </c>
      <c r="E35" s="16" t="s">
        <v>1475</v>
      </c>
      <c r="F35" s="25" t="s">
        <v>32</v>
      </c>
    </row>
    <row r="36" spans="2:6" x14ac:dyDescent="0.45">
      <c r="B36">
        <v>508</v>
      </c>
      <c r="C36" s="16">
        <v>98100</v>
      </c>
      <c r="D36" s="16" t="s">
        <v>1474</v>
      </c>
      <c r="E36" s="16" t="s">
        <v>1475</v>
      </c>
      <c r="F36" s="25" t="s">
        <v>32</v>
      </c>
    </row>
    <row r="37" spans="2:6" x14ac:dyDescent="0.45">
      <c r="B37">
        <v>516</v>
      </c>
      <c r="C37" s="16">
        <v>98100</v>
      </c>
      <c r="D37" s="16" t="s">
        <v>1474</v>
      </c>
      <c r="E37" s="16" t="s">
        <v>1475</v>
      </c>
      <c r="F37" s="25" t="s">
        <v>32</v>
      </c>
    </row>
    <row r="38" spans="2:6" x14ac:dyDescent="0.45">
      <c r="B38">
        <v>562</v>
      </c>
      <c r="C38" s="16">
        <v>98100</v>
      </c>
      <c r="D38" s="16" t="s">
        <v>1474</v>
      </c>
      <c r="E38" s="16" t="s">
        <v>1475</v>
      </c>
      <c r="F38" s="25" t="s">
        <v>32</v>
      </c>
    </row>
    <row r="39" spans="2:6" x14ac:dyDescent="0.45">
      <c r="B39">
        <v>566</v>
      </c>
      <c r="C39" s="16">
        <v>98100</v>
      </c>
      <c r="D39" s="16" t="s">
        <v>1474</v>
      </c>
      <c r="E39" s="16" t="s">
        <v>1475</v>
      </c>
      <c r="F39" s="25" t="s">
        <v>32</v>
      </c>
    </row>
    <row r="40" spans="2:6" x14ac:dyDescent="0.45">
      <c r="B40">
        <v>624</v>
      </c>
      <c r="C40" s="16">
        <v>98100</v>
      </c>
      <c r="D40" s="16" t="s">
        <v>1474</v>
      </c>
      <c r="E40" s="16" t="s">
        <v>1475</v>
      </c>
      <c r="F40" s="25" t="s">
        <v>32</v>
      </c>
    </row>
    <row r="41" spans="2:6" x14ac:dyDescent="0.45">
      <c r="B41">
        <v>646</v>
      </c>
      <c r="C41" s="16">
        <v>98100</v>
      </c>
      <c r="D41" s="16" t="s">
        <v>1474</v>
      </c>
      <c r="E41" s="16" t="s">
        <v>1475</v>
      </c>
      <c r="F41" s="25" t="s">
        <v>32</v>
      </c>
    </row>
    <row r="42" spans="2:6" x14ac:dyDescent="0.45">
      <c r="B42">
        <v>678</v>
      </c>
      <c r="C42" s="16">
        <v>98100</v>
      </c>
      <c r="D42" s="16" t="s">
        <v>1474</v>
      </c>
      <c r="E42" s="16" t="s">
        <v>1475</v>
      </c>
      <c r="F42" s="25" t="s">
        <v>32</v>
      </c>
    </row>
    <row r="43" spans="2:6" x14ac:dyDescent="0.45">
      <c r="B43">
        <v>686</v>
      </c>
      <c r="C43" s="16">
        <v>98100</v>
      </c>
      <c r="D43" s="16" t="s">
        <v>1474</v>
      </c>
      <c r="E43" s="16" t="s">
        <v>1475</v>
      </c>
      <c r="F43" s="25" t="s">
        <v>32</v>
      </c>
    </row>
    <row r="44" spans="2:6" x14ac:dyDescent="0.45">
      <c r="B44">
        <v>690</v>
      </c>
      <c r="C44" s="16">
        <v>98100</v>
      </c>
      <c r="D44" s="16" t="s">
        <v>1474</v>
      </c>
      <c r="E44" s="16" t="s">
        <v>1475</v>
      </c>
      <c r="F44" s="25" t="s">
        <v>32</v>
      </c>
    </row>
    <row r="45" spans="2:6" x14ac:dyDescent="0.45">
      <c r="B45">
        <v>694</v>
      </c>
      <c r="C45" s="16">
        <v>98100</v>
      </c>
      <c r="D45" s="16" t="s">
        <v>1474</v>
      </c>
      <c r="E45" s="16" t="s">
        <v>1475</v>
      </c>
      <c r="F45" s="25" t="s">
        <v>32</v>
      </c>
    </row>
    <row r="46" spans="2:6" x14ac:dyDescent="0.45">
      <c r="B46">
        <v>706</v>
      </c>
      <c r="C46" s="16">
        <v>98100</v>
      </c>
      <c r="D46" s="16" t="s">
        <v>1474</v>
      </c>
      <c r="E46" s="16" t="s">
        <v>1475</v>
      </c>
      <c r="F46" s="25" t="s">
        <v>32</v>
      </c>
    </row>
    <row r="47" spans="2:6" x14ac:dyDescent="0.45">
      <c r="B47">
        <v>710</v>
      </c>
      <c r="C47" s="16">
        <v>98100</v>
      </c>
      <c r="D47" s="16" t="s">
        <v>1474</v>
      </c>
      <c r="E47" s="16" t="s">
        <v>1475</v>
      </c>
      <c r="F47" s="25" t="s">
        <v>32</v>
      </c>
    </row>
    <row r="48" spans="2:6" x14ac:dyDescent="0.45">
      <c r="B48">
        <v>716</v>
      </c>
      <c r="C48" s="16">
        <v>98100</v>
      </c>
      <c r="D48" s="16" t="s">
        <v>1474</v>
      </c>
      <c r="E48" s="16" t="s">
        <v>1475</v>
      </c>
      <c r="F48" s="25" t="s">
        <v>32</v>
      </c>
    </row>
    <row r="49" spans="2:6" x14ac:dyDescent="0.45">
      <c r="B49">
        <v>728</v>
      </c>
      <c r="C49" s="16">
        <v>98100</v>
      </c>
      <c r="D49" s="16" t="s">
        <v>1474</v>
      </c>
      <c r="E49" s="16" t="s">
        <v>1475</v>
      </c>
      <c r="F49" s="25" t="s">
        <v>32</v>
      </c>
    </row>
    <row r="50" spans="2:6" x14ac:dyDescent="0.45">
      <c r="B50">
        <v>729</v>
      </c>
      <c r="C50" s="16">
        <v>98100</v>
      </c>
      <c r="D50" s="16" t="s">
        <v>1474</v>
      </c>
      <c r="E50" s="16" t="s">
        <v>1475</v>
      </c>
      <c r="F50" s="25" t="s">
        <v>32</v>
      </c>
    </row>
    <row r="51" spans="2:6" x14ac:dyDescent="0.45">
      <c r="B51">
        <v>748</v>
      </c>
      <c r="C51" s="16">
        <v>98100</v>
      </c>
      <c r="D51" s="16" t="s">
        <v>1474</v>
      </c>
      <c r="E51" s="16" t="s">
        <v>1475</v>
      </c>
      <c r="F51" s="25" t="s">
        <v>32</v>
      </c>
    </row>
    <row r="52" spans="2:6" x14ac:dyDescent="0.45">
      <c r="B52">
        <v>768</v>
      </c>
      <c r="C52" s="16">
        <v>98100</v>
      </c>
      <c r="D52" s="16" t="s">
        <v>1474</v>
      </c>
      <c r="E52" s="16" t="s">
        <v>1475</v>
      </c>
      <c r="F52" s="25" t="s">
        <v>32</v>
      </c>
    </row>
    <row r="53" spans="2:6" x14ac:dyDescent="0.45">
      <c r="B53">
        <v>788</v>
      </c>
      <c r="C53" s="16">
        <v>98100</v>
      </c>
      <c r="D53" s="16" t="s">
        <v>1474</v>
      </c>
      <c r="E53" s="16" t="s">
        <v>1475</v>
      </c>
      <c r="F53" s="25" t="s">
        <v>32</v>
      </c>
    </row>
    <row r="54" spans="2:6" x14ac:dyDescent="0.45">
      <c r="B54">
        <v>800</v>
      </c>
      <c r="C54" s="16">
        <v>98100</v>
      </c>
      <c r="D54" s="16" t="s">
        <v>1474</v>
      </c>
      <c r="E54" s="16" t="s">
        <v>1475</v>
      </c>
      <c r="F54" s="25" t="s">
        <v>32</v>
      </c>
    </row>
    <row r="55" spans="2:6" x14ac:dyDescent="0.45">
      <c r="B55">
        <v>818</v>
      </c>
      <c r="C55" s="16">
        <v>98100</v>
      </c>
      <c r="D55" s="16" t="s">
        <v>1474</v>
      </c>
      <c r="E55" s="16" t="s">
        <v>1475</v>
      </c>
      <c r="F55" s="25" t="s">
        <v>32</v>
      </c>
    </row>
    <row r="56" spans="2:6" x14ac:dyDescent="0.45">
      <c r="B56">
        <v>834</v>
      </c>
      <c r="C56" s="16">
        <v>98100</v>
      </c>
      <c r="D56" s="16" t="s">
        <v>1474</v>
      </c>
      <c r="E56" s="16" t="s">
        <v>1475</v>
      </c>
      <c r="F56" s="25" t="s">
        <v>32</v>
      </c>
    </row>
    <row r="57" spans="2:6" x14ac:dyDescent="0.45">
      <c r="B57">
        <v>854</v>
      </c>
      <c r="C57" s="16">
        <v>98100</v>
      </c>
      <c r="D57" s="16" t="s">
        <v>1474</v>
      </c>
      <c r="E57" s="16" t="s">
        <v>1475</v>
      </c>
      <c r="F57" s="25" t="s">
        <v>32</v>
      </c>
    </row>
    <row r="58" spans="2:6" x14ac:dyDescent="0.45">
      <c r="B58">
        <v>894</v>
      </c>
      <c r="C58" s="16">
        <v>98100</v>
      </c>
      <c r="D58" s="16" t="s">
        <v>1474</v>
      </c>
      <c r="E58" s="16" t="s">
        <v>1475</v>
      </c>
      <c r="F58" s="25" t="s">
        <v>32</v>
      </c>
    </row>
    <row r="59" spans="2:6" x14ac:dyDescent="0.45">
      <c r="B59">
        <v>120</v>
      </c>
      <c r="C59" s="16">
        <v>98101</v>
      </c>
      <c r="D59" s="16" t="s">
        <v>1474</v>
      </c>
      <c r="E59" s="16" t="s">
        <v>1476</v>
      </c>
      <c r="F59" s="25" t="s">
        <v>33</v>
      </c>
    </row>
    <row r="60" spans="2:6" x14ac:dyDescent="0.45">
      <c r="B60">
        <v>140</v>
      </c>
      <c r="C60" s="16">
        <v>98101</v>
      </c>
      <c r="D60" s="16" t="s">
        <v>1474</v>
      </c>
      <c r="E60" s="16" t="s">
        <v>1476</v>
      </c>
      <c r="F60" s="25" t="s">
        <v>33</v>
      </c>
    </row>
    <row r="61" spans="2:6" x14ac:dyDescent="0.45">
      <c r="B61">
        <v>148</v>
      </c>
      <c r="C61" s="16">
        <v>98101</v>
      </c>
      <c r="D61" s="16" t="s">
        <v>1474</v>
      </c>
      <c r="E61" s="16" t="s">
        <v>1476</v>
      </c>
      <c r="F61" s="25" t="s">
        <v>33</v>
      </c>
    </row>
    <row r="62" spans="2:6" x14ac:dyDescent="0.45">
      <c r="B62">
        <v>178</v>
      </c>
      <c r="C62" s="16">
        <v>98101</v>
      </c>
      <c r="D62" s="16" t="s">
        <v>1474</v>
      </c>
      <c r="E62" s="16" t="s">
        <v>1476</v>
      </c>
      <c r="F62" s="25" t="s">
        <v>33</v>
      </c>
    </row>
    <row r="63" spans="2:6" x14ac:dyDescent="0.45">
      <c r="B63">
        <v>226</v>
      </c>
      <c r="C63" s="16">
        <v>98101</v>
      </c>
      <c r="D63" s="16" t="s">
        <v>1474</v>
      </c>
      <c r="E63" s="16" t="s">
        <v>1476</v>
      </c>
      <c r="F63" s="25" t="s">
        <v>33</v>
      </c>
    </row>
    <row r="64" spans="2:6" x14ac:dyDescent="0.45">
      <c r="B64">
        <v>266</v>
      </c>
      <c r="C64" s="16">
        <v>98101</v>
      </c>
      <c r="D64" s="16" t="s">
        <v>1474</v>
      </c>
      <c r="E64" s="16" t="s">
        <v>1476</v>
      </c>
      <c r="F64" s="25" t="s">
        <v>33</v>
      </c>
    </row>
    <row r="65" spans="2:6" x14ac:dyDescent="0.45">
      <c r="B65">
        <v>678</v>
      </c>
      <c r="C65" s="16">
        <v>98101</v>
      </c>
      <c r="D65" s="16" t="s">
        <v>1474</v>
      </c>
      <c r="E65" s="16" t="s">
        <v>1476</v>
      </c>
      <c r="F65" s="25" t="s">
        <v>33</v>
      </c>
    </row>
    <row r="66" spans="2:6" x14ac:dyDescent="0.45">
      <c r="B66">
        <v>108</v>
      </c>
      <c r="C66" s="16">
        <v>98102</v>
      </c>
      <c r="D66" s="16" t="s">
        <v>1474</v>
      </c>
      <c r="E66" s="16" t="s">
        <v>1477</v>
      </c>
      <c r="F66" s="25" t="s">
        <v>34</v>
      </c>
    </row>
    <row r="67" spans="2:6" x14ac:dyDescent="0.45">
      <c r="B67">
        <v>174</v>
      </c>
      <c r="C67" s="16">
        <v>98102</v>
      </c>
      <c r="D67" s="16" t="s">
        <v>1474</v>
      </c>
      <c r="E67" s="16" t="s">
        <v>1477</v>
      </c>
      <c r="F67" s="25" t="s">
        <v>34</v>
      </c>
    </row>
    <row r="68" spans="2:6" x14ac:dyDescent="0.45">
      <c r="B68" s="25">
        <v>180</v>
      </c>
      <c r="C68" s="26">
        <v>98102</v>
      </c>
      <c r="D68" s="26" t="s">
        <v>1474</v>
      </c>
      <c r="E68" s="26" t="s">
        <v>1477</v>
      </c>
      <c r="F68" s="25" t="s">
        <v>34</v>
      </c>
    </row>
    <row r="69" spans="2:6" x14ac:dyDescent="0.45">
      <c r="B69">
        <v>231</v>
      </c>
      <c r="C69" s="16">
        <v>98102</v>
      </c>
      <c r="D69" s="16" t="s">
        <v>1474</v>
      </c>
      <c r="E69" s="16" t="s">
        <v>1477</v>
      </c>
      <c r="F69" s="25" t="s">
        <v>34</v>
      </c>
    </row>
    <row r="70" spans="2:6" x14ac:dyDescent="0.45">
      <c r="B70">
        <v>232</v>
      </c>
      <c r="C70" s="16">
        <v>98102</v>
      </c>
      <c r="D70" s="16" t="s">
        <v>1474</v>
      </c>
      <c r="E70" s="16" t="s">
        <v>1477</v>
      </c>
      <c r="F70" s="25" t="s">
        <v>34</v>
      </c>
    </row>
    <row r="71" spans="2:6" x14ac:dyDescent="0.45">
      <c r="B71">
        <v>262</v>
      </c>
      <c r="C71" s="16">
        <v>98102</v>
      </c>
      <c r="D71" s="16" t="s">
        <v>1474</v>
      </c>
      <c r="E71" s="16" t="s">
        <v>1477</v>
      </c>
      <c r="F71" s="25" t="s">
        <v>34</v>
      </c>
    </row>
    <row r="72" spans="2:6" x14ac:dyDescent="0.45">
      <c r="B72">
        <v>404</v>
      </c>
      <c r="C72" s="16">
        <v>98102</v>
      </c>
      <c r="D72" s="16" t="s">
        <v>1474</v>
      </c>
      <c r="E72" s="16" t="s">
        <v>1477</v>
      </c>
      <c r="F72" s="25" t="s">
        <v>34</v>
      </c>
    </row>
    <row r="73" spans="2:6" x14ac:dyDescent="0.45">
      <c r="B73">
        <v>450</v>
      </c>
      <c r="C73" s="16">
        <v>98102</v>
      </c>
      <c r="D73" s="16" t="s">
        <v>1474</v>
      </c>
      <c r="E73" s="16" t="s">
        <v>1477</v>
      </c>
      <c r="F73" s="25" t="s">
        <v>34</v>
      </c>
    </row>
    <row r="74" spans="2:6" x14ac:dyDescent="0.45">
      <c r="B74">
        <v>646</v>
      </c>
      <c r="C74" s="16">
        <v>98102</v>
      </c>
      <c r="D74" s="16" t="s">
        <v>1474</v>
      </c>
      <c r="E74" s="16" t="s">
        <v>1477</v>
      </c>
      <c r="F74" s="25" t="s">
        <v>34</v>
      </c>
    </row>
    <row r="75" spans="2:6" x14ac:dyDescent="0.45">
      <c r="B75">
        <v>690</v>
      </c>
      <c r="C75" s="16">
        <v>98102</v>
      </c>
      <c r="D75" s="16" t="s">
        <v>1474</v>
      </c>
      <c r="E75" s="16" t="s">
        <v>1477</v>
      </c>
      <c r="F75" s="25" t="s">
        <v>34</v>
      </c>
    </row>
    <row r="76" spans="2:6" x14ac:dyDescent="0.45">
      <c r="B76">
        <v>706</v>
      </c>
      <c r="C76" s="16">
        <v>98102</v>
      </c>
      <c r="D76" s="16" t="s">
        <v>1474</v>
      </c>
      <c r="E76" s="16" t="s">
        <v>1477</v>
      </c>
      <c r="F76" s="25" t="s">
        <v>34</v>
      </c>
    </row>
    <row r="77" spans="2:6" x14ac:dyDescent="0.45">
      <c r="B77">
        <v>728</v>
      </c>
      <c r="C77" s="16">
        <v>98102</v>
      </c>
      <c r="D77" s="16" t="s">
        <v>1474</v>
      </c>
      <c r="E77" s="16" t="s">
        <v>1477</v>
      </c>
      <c r="F77" s="25" t="s">
        <v>34</v>
      </c>
    </row>
    <row r="78" spans="2:6" x14ac:dyDescent="0.45">
      <c r="B78">
        <v>800</v>
      </c>
      <c r="C78" s="16">
        <v>98102</v>
      </c>
      <c r="D78" s="16" t="s">
        <v>1474</v>
      </c>
      <c r="E78" s="16" t="s">
        <v>1477</v>
      </c>
      <c r="F78" s="25" t="s">
        <v>34</v>
      </c>
    </row>
    <row r="79" spans="2:6" x14ac:dyDescent="0.45">
      <c r="B79">
        <v>834</v>
      </c>
      <c r="C79" s="16">
        <v>98102</v>
      </c>
      <c r="D79" s="16" t="s">
        <v>1474</v>
      </c>
      <c r="E79" s="16" t="s">
        <v>1477</v>
      </c>
      <c r="F79" s="25" t="s">
        <v>34</v>
      </c>
    </row>
    <row r="80" spans="2:6" x14ac:dyDescent="0.45">
      <c r="B80">
        <v>12</v>
      </c>
      <c r="C80" s="16">
        <v>98103</v>
      </c>
      <c r="D80" s="16" t="s">
        <v>1474</v>
      </c>
      <c r="E80" s="16" t="s">
        <v>1478</v>
      </c>
      <c r="F80" s="25" t="s">
        <v>35</v>
      </c>
    </row>
    <row r="81" spans="2:6" x14ac:dyDescent="0.45">
      <c r="B81">
        <v>434</v>
      </c>
      <c r="C81" s="16">
        <v>98103</v>
      </c>
      <c r="D81" s="16" t="s">
        <v>1474</v>
      </c>
      <c r="E81" s="16" t="s">
        <v>1478</v>
      </c>
      <c r="F81" s="25" t="s">
        <v>35</v>
      </c>
    </row>
    <row r="82" spans="2:6" x14ac:dyDescent="0.45">
      <c r="B82">
        <v>478</v>
      </c>
      <c r="C82" s="16">
        <v>98103</v>
      </c>
      <c r="D82" s="16" t="s">
        <v>1474</v>
      </c>
      <c r="E82" s="16" t="s">
        <v>1478</v>
      </c>
      <c r="F82" s="25" t="s">
        <v>35</v>
      </c>
    </row>
    <row r="83" spans="2:6" x14ac:dyDescent="0.45">
      <c r="B83">
        <v>504</v>
      </c>
      <c r="C83" s="16">
        <v>98103</v>
      </c>
      <c r="D83" s="16" t="s">
        <v>1474</v>
      </c>
      <c r="E83" s="16" t="s">
        <v>1478</v>
      </c>
      <c r="F83" s="25" t="s">
        <v>35</v>
      </c>
    </row>
    <row r="84" spans="2:6" x14ac:dyDescent="0.45">
      <c r="B84">
        <v>729</v>
      </c>
      <c r="C84" s="16">
        <v>98103</v>
      </c>
      <c r="D84" s="16" t="s">
        <v>1474</v>
      </c>
      <c r="E84" s="16" t="s">
        <v>1478</v>
      </c>
      <c r="F84" s="25" t="s">
        <v>35</v>
      </c>
    </row>
    <row r="85" spans="2:6" x14ac:dyDescent="0.45">
      <c r="B85">
        <v>788</v>
      </c>
      <c r="C85" s="16">
        <v>98103</v>
      </c>
      <c r="D85" s="16" t="s">
        <v>1474</v>
      </c>
      <c r="E85" s="16" t="s">
        <v>1478</v>
      </c>
      <c r="F85" s="25" t="s">
        <v>35</v>
      </c>
    </row>
    <row r="86" spans="2:6" x14ac:dyDescent="0.45">
      <c r="B86">
        <v>818</v>
      </c>
      <c r="C86" s="16">
        <v>98103</v>
      </c>
      <c r="D86" s="16" t="s">
        <v>1474</v>
      </c>
      <c r="E86" s="16" t="s">
        <v>1478</v>
      </c>
      <c r="F86" s="25" t="s">
        <v>35</v>
      </c>
    </row>
    <row r="87" spans="2:6" x14ac:dyDescent="0.45">
      <c r="B87">
        <v>24</v>
      </c>
      <c r="C87" s="16">
        <v>98104</v>
      </c>
      <c r="D87" s="16" t="s">
        <v>1474</v>
      </c>
      <c r="E87" s="16" t="s">
        <v>1479</v>
      </c>
      <c r="F87" s="25" t="s">
        <v>36</v>
      </c>
    </row>
    <row r="88" spans="2:6" x14ac:dyDescent="0.45">
      <c r="B88">
        <v>72</v>
      </c>
      <c r="C88" s="16">
        <v>98104</v>
      </c>
      <c r="D88" s="16" t="s">
        <v>1474</v>
      </c>
      <c r="E88" s="16" t="s">
        <v>1479</v>
      </c>
      <c r="F88" s="25" t="s">
        <v>36</v>
      </c>
    </row>
    <row r="89" spans="2:6" x14ac:dyDescent="0.45">
      <c r="B89">
        <v>426</v>
      </c>
      <c r="C89" s="16">
        <v>98104</v>
      </c>
      <c r="D89" s="16" t="s">
        <v>1474</v>
      </c>
      <c r="E89" s="16" t="s">
        <v>1479</v>
      </c>
      <c r="F89" s="25" t="s">
        <v>36</v>
      </c>
    </row>
    <row r="90" spans="2:6" x14ac:dyDescent="0.45">
      <c r="B90">
        <v>454</v>
      </c>
      <c r="C90" s="16">
        <v>98104</v>
      </c>
      <c r="D90" s="16" t="s">
        <v>1474</v>
      </c>
      <c r="E90" s="16" t="s">
        <v>1479</v>
      </c>
      <c r="F90" s="25" t="s">
        <v>36</v>
      </c>
    </row>
    <row r="91" spans="2:6" x14ac:dyDescent="0.45">
      <c r="B91">
        <v>480</v>
      </c>
      <c r="C91" s="16">
        <v>98104</v>
      </c>
      <c r="D91" s="16" t="s">
        <v>1474</v>
      </c>
      <c r="E91" s="16" t="s">
        <v>1479</v>
      </c>
      <c r="F91" s="25" t="s">
        <v>36</v>
      </c>
    </row>
    <row r="92" spans="2:6" x14ac:dyDescent="0.45">
      <c r="B92">
        <v>508</v>
      </c>
      <c r="C92" s="16">
        <v>98104</v>
      </c>
      <c r="D92" s="16" t="s">
        <v>1474</v>
      </c>
      <c r="E92" s="16" t="s">
        <v>1479</v>
      </c>
      <c r="F92" s="25" t="s">
        <v>36</v>
      </c>
    </row>
    <row r="93" spans="2:6" x14ac:dyDescent="0.45">
      <c r="B93">
        <v>516</v>
      </c>
      <c r="C93" s="16">
        <v>98104</v>
      </c>
      <c r="D93" s="16" t="s">
        <v>1474</v>
      </c>
      <c r="E93" s="16" t="s">
        <v>1479</v>
      </c>
      <c r="F93" s="25" t="s">
        <v>36</v>
      </c>
    </row>
    <row r="94" spans="2:6" x14ac:dyDescent="0.45">
      <c r="B94">
        <v>710</v>
      </c>
      <c r="C94" s="16">
        <v>98104</v>
      </c>
      <c r="D94" s="16" t="s">
        <v>1474</v>
      </c>
      <c r="E94" s="16" t="s">
        <v>1479</v>
      </c>
      <c r="F94" s="25" t="s">
        <v>36</v>
      </c>
    </row>
    <row r="95" spans="2:6" x14ac:dyDescent="0.45">
      <c r="B95">
        <v>716</v>
      </c>
      <c r="C95" s="16">
        <v>98104</v>
      </c>
      <c r="D95" s="16" t="s">
        <v>1474</v>
      </c>
      <c r="E95" s="16" t="s">
        <v>1479</v>
      </c>
      <c r="F95" s="25" t="s">
        <v>36</v>
      </c>
    </row>
    <row r="96" spans="2:6" x14ac:dyDescent="0.45">
      <c r="B96">
        <v>748</v>
      </c>
      <c r="C96" s="16">
        <v>98104</v>
      </c>
      <c r="D96" s="16" t="s">
        <v>1474</v>
      </c>
      <c r="E96" s="16" t="s">
        <v>1479</v>
      </c>
      <c r="F96" s="25" t="s">
        <v>36</v>
      </c>
    </row>
    <row r="97" spans="2:6" x14ac:dyDescent="0.45">
      <c r="B97">
        <v>894</v>
      </c>
      <c r="C97" s="16">
        <v>98104</v>
      </c>
      <c r="D97" s="16" t="s">
        <v>1474</v>
      </c>
      <c r="E97" s="16" t="s">
        <v>1479</v>
      </c>
      <c r="F97" s="25" t="s">
        <v>36</v>
      </c>
    </row>
    <row r="98" spans="2:6" x14ac:dyDescent="0.45">
      <c r="B98">
        <v>132</v>
      </c>
      <c r="C98" s="16">
        <v>98105</v>
      </c>
      <c r="D98" s="16" t="s">
        <v>1474</v>
      </c>
      <c r="E98" s="16" t="s">
        <v>1480</v>
      </c>
      <c r="F98" s="25" t="s">
        <v>37</v>
      </c>
    </row>
    <row r="99" spans="2:6" x14ac:dyDescent="0.45">
      <c r="B99">
        <v>204</v>
      </c>
      <c r="C99" s="16">
        <v>98105</v>
      </c>
      <c r="D99" s="16" t="s">
        <v>1474</v>
      </c>
      <c r="E99" s="16" t="s">
        <v>1480</v>
      </c>
      <c r="F99" s="25" t="s">
        <v>37</v>
      </c>
    </row>
    <row r="100" spans="2:6" x14ac:dyDescent="0.45">
      <c r="B100">
        <v>270</v>
      </c>
      <c r="C100" s="16">
        <v>98105</v>
      </c>
      <c r="D100" s="16" t="s">
        <v>1474</v>
      </c>
      <c r="E100" s="16" t="s">
        <v>1480</v>
      </c>
      <c r="F100" s="25" t="s">
        <v>37</v>
      </c>
    </row>
    <row r="101" spans="2:6" x14ac:dyDescent="0.45">
      <c r="B101">
        <v>288</v>
      </c>
      <c r="C101" s="16">
        <v>98105</v>
      </c>
      <c r="D101" s="16" t="s">
        <v>1474</v>
      </c>
      <c r="E101" s="16" t="s">
        <v>1480</v>
      </c>
      <c r="F101" s="25" t="s">
        <v>37</v>
      </c>
    </row>
    <row r="102" spans="2:6" x14ac:dyDescent="0.45">
      <c r="B102">
        <v>324</v>
      </c>
      <c r="C102" s="16">
        <v>98105</v>
      </c>
      <c r="D102" s="16" t="s">
        <v>1474</v>
      </c>
      <c r="E102" s="16" t="s">
        <v>1480</v>
      </c>
      <c r="F102" s="25" t="s">
        <v>37</v>
      </c>
    </row>
    <row r="103" spans="2:6" x14ac:dyDescent="0.45">
      <c r="B103">
        <v>384</v>
      </c>
      <c r="C103" s="16">
        <v>98105</v>
      </c>
      <c r="D103" s="16" t="s">
        <v>1474</v>
      </c>
      <c r="E103" s="16" t="s">
        <v>1480</v>
      </c>
      <c r="F103" s="25" t="s">
        <v>37</v>
      </c>
    </row>
    <row r="104" spans="2:6" x14ac:dyDescent="0.45">
      <c r="B104">
        <v>430</v>
      </c>
      <c r="C104" s="16">
        <v>98105</v>
      </c>
      <c r="D104" s="16" t="s">
        <v>1474</v>
      </c>
      <c r="E104" s="16" t="s">
        <v>1480</v>
      </c>
      <c r="F104" s="25" t="s">
        <v>37</v>
      </c>
    </row>
    <row r="105" spans="2:6" x14ac:dyDescent="0.45">
      <c r="B105">
        <v>466</v>
      </c>
      <c r="C105" s="16">
        <v>98105</v>
      </c>
      <c r="D105" s="16" t="s">
        <v>1474</v>
      </c>
      <c r="E105" s="16" t="s">
        <v>1480</v>
      </c>
      <c r="F105" s="25" t="s">
        <v>37</v>
      </c>
    </row>
    <row r="106" spans="2:6" x14ac:dyDescent="0.45">
      <c r="B106">
        <v>562</v>
      </c>
      <c r="C106" s="16">
        <v>98105</v>
      </c>
      <c r="D106" s="16" t="s">
        <v>1474</v>
      </c>
      <c r="E106" s="16" t="s">
        <v>1480</v>
      </c>
      <c r="F106" s="25" t="s">
        <v>37</v>
      </c>
    </row>
    <row r="107" spans="2:6" x14ac:dyDescent="0.45">
      <c r="B107">
        <v>566</v>
      </c>
      <c r="C107" s="16">
        <v>98105</v>
      </c>
      <c r="D107" s="16" t="s">
        <v>1474</v>
      </c>
      <c r="E107" s="16" t="s">
        <v>1480</v>
      </c>
      <c r="F107" s="25" t="s">
        <v>37</v>
      </c>
    </row>
    <row r="108" spans="2:6" x14ac:dyDescent="0.45">
      <c r="B108">
        <v>624</v>
      </c>
      <c r="C108" s="16">
        <v>98105</v>
      </c>
      <c r="D108" s="16" t="s">
        <v>1474</v>
      </c>
      <c r="E108" s="16" t="s">
        <v>1480</v>
      </c>
      <c r="F108" s="25" t="s">
        <v>37</v>
      </c>
    </row>
    <row r="109" spans="2:6" x14ac:dyDescent="0.45">
      <c r="B109">
        <v>686</v>
      </c>
      <c r="C109" s="16">
        <v>98105</v>
      </c>
      <c r="D109" s="16" t="s">
        <v>1474</v>
      </c>
      <c r="E109" s="16" t="s">
        <v>1480</v>
      </c>
      <c r="F109" s="25" t="s">
        <v>37</v>
      </c>
    </row>
    <row r="110" spans="2:6" x14ac:dyDescent="0.45">
      <c r="B110">
        <v>694</v>
      </c>
      <c r="C110" s="16">
        <v>98105</v>
      </c>
      <c r="D110" s="16" t="s">
        <v>1474</v>
      </c>
      <c r="E110" s="16" t="s">
        <v>1480</v>
      </c>
      <c r="F110" s="25" t="s">
        <v>37</v>
      </c>
    </row>
    <row r="111" spans="2:6" x14ac:dyDescent="0.45">
      <c r="B111">
        <v>768</v>
      </c>
      <c r="C111" s="16">
        <v>98105</v>
      </c>
      <c r="D111" s="16" t="s">
        <v>1474</v>
      </c>
      <c r="E111" s="16" t="s">
        <v>1480</v>
      </c>
      <c r="F111" s="25" t="s">
        <v>37</v>
      </c>
    </row>
    <row r="112" spans="2:6" x14ac:dyDescent="0.45">
      <c r="B112">
        <v>854</v>
      </c>
      <c r="C112" s="16">
        <v>98105</v>
      </c>
      <c r="D112" s="16" t="s">
        <v>1474</v>
      </c>
      <c r="E112" s="16" t="s">
        <v>1480</v>
      </c>
      <c r="F112" s="25" t="s">
        <v>37</v>
      </c>
    </row>
    <row r="113" spans="2:6" x14ac:dyDescent="0.45">
      <c r="B113">
        <v>12</v>
      </c>
      <c r="C113" s="16">
        <v>98106</v>
      </c>
      <c r="D113" s="16" t="s">
        <v>1474</v>
      </c>
      <c r="E113" s="16" t="s">
        <v>1481</v>
      </c>
      <c r="F113" s="25" t="s">
        <v>38</v>
      </c>
    </row>
    <row r="114" spans="2:6" x14ac:dyDescent="0.45">
      <c r="B114">
        <v>24</v>
      </c>
      <c r="C114" s="16">
        <v>98106</v>
      </c>
      <c r="D114" s="16" t="s">
        <v>1474</v>
      </c>
      <c r="E114" s="16" t="s">
        <v>1481</v>
      </c>
      <c r="F114" s="25" t="s">
        <v>38</v>
      </c>
    </row>
    <row r="115" spans="2:6" x14ac:dyDescent="0.45">
      <c r="B115">
        <v>72</v>
      </c>
      <c r="C115" s="16">
        <v>98106</v>
      </c>
      <c r="D115" s="16" t="s">
        <v>1474</v>
      </c>
      <c r="E115" s="16" t="s">
        <v>1481</v>
      </c>
      <c r="F115" s="25" t="s">
        <v>38</v>
      </c>
    </row>
    <row r="116" spans="2:6" x14ac:dyDescent="0.45">
      <c r="B116">
        <v>108</v>
      </c>
      <c r="C116" s="16">
        <v>98106</v>
      </c>
      <c r="D116" s="16" t="s">
        <v>1474</v>
      </c>
      <c r="E116" s="16" t="s">
        <v>1481</v>
      </c>
      <c r="F116" s="25" t="s">
        <v>38</v>
      </c>
    </row>
    <row r="117" spans="2:6" x14ac:dyDescent="0.45">
      <c r="B117">
        <v>120</v>
      </c>
      <c r="C117" s="16">
        <v>98106</v>
      </c>
      <c r="D117" s="16" t="s">
        <v>1474</v>
      </c>
      <c r="E117" s="16" t="s">
        <v>1481</v>
      </c>
      <c r="F117" s="25" t="s">
        <v>38</v>
      </c>
    </row>
    <row r="118" spans="2:6" x14ac:dyDescent="0.45">
      <c r="B118">
        <v>132</v>
      </c>
      <c r="C118" s="16">
        <v>98106</v>
      </c>
      <c r="D118" s="16" t="s">
        <v>1474</v>
      </c>
      <c r="E118" s="16" t="s">
        <v>1481</v>
      </c>
      <c r="F118" s="25" t="s">
        <v>38</v>
      </c>
    </row>
    <row r="119" spans="2:6" x14ac:dyDescent="0.45">
      <c r="B119">
        <v>140</v>
      </c>
      <c r="C119" s="16">
        <v>98106</v>
      </c>
      <c r="D119" s="16" t="s">
        <v>1474</v>
      </c>
      <c r="E119" s="16" t="s">
        <v>1481</v>
      </c>
      <c r="F119" s="25" t="s">
        <v>38</v>
      </c>
    </row>
    <row r="120" spans="2:6" x14ac:dyDescent="0.45">
      <c r="B120">
        <v>148</v>
      </c>
      <c r="C120" s="16">
        <v>98106</v>
      </c>
      <c r="D120" s="16" t="s">
        <v>1474</v>
      </c>
      <c r="E120" s="16" t="s">
        <v>1481</v>
      </c>
      <c r="F120" s="25" t="s">
        <v>38</v>
      </c>
    </row>
    <row r="121" spans="2:6" x14ac:dyDescent="0.45">
      <c r="B121">
        <v>174</v>
      </c>
      <c r="C121" s="16">
        <v>98106</v>
      </c>
      <c r="D121" s="16" t="s">
        <v>1474</v>
      </c>
      <c r="E121" s="16" t="s">
        <v>1481</v>
      </c>
      <c r="F121" s="25" t="s">
        <v>38</v>
      </c>
    </row>
    <row r="122" spans="2:6" x14ac:dyDescent="0.45">
      <c r="B122">
        <v>178</v>
      </c>
      <c r="C122" s="16">
        <v>98106</v>
      </c>
      <c r="D122" s="16" t="s">
        <v>1474</v>
      </c>
      <c r="E122" s="16" t="s">
        <v>1481</v>
      </c>
      <c r="F122" s="25" t="s">
        <v>38</v>
      </c>
    </row>
    <row r="123" spans="2:6" x14ac:dyDescent="0.45">
      <c r="B123">
        <v>180</v>
      </c>
      <c r="C123" s="16">
        <v>98106</v>
      </c>
      <c r="D123" s="16" t="s">
        <v>1474</v>
      </c>
      <c r="E123" s="16" t="s">
        <v>1481</v>
      </c>
      <c r="F123" s="25" t="s">
        <v>38</v>
      </c>
    </row>
    <row r="124" spans="2:6" x14ac:dyDescent="0.45">
      <c r="B124">
        <v>204</v>
      </c>
      <c r="C124" s="16">
        <v>98106</v>
      </c>
      <c r="D124" s="16" t="s">
        <v>1474</v>
      </c>
      <c r="E124" s="16" t="s">
        <v>1481</v>
      </c>
      <c r="F124" s="25" t="s">
        <v>38</v>
      </c>
    </row>
    <row r="125" spans="2:6" x14ac:dyDescent="0.45">
      <c r="B125">
        <v>226</v>
      </c>
      <c r="C125" s="16">
        <v>98106</v>
      </c>
      <c r="D125" s="16" t="s">
        <v>1474</v>
      </c>
      <c r="E125" s="16" t="s">
        <v>1481</v>
      </c>
      <c r="F125" s="25" t="s">
        <v>38</v>
      </c>
    </row>
    <row r="126" spans="2:6" x14ac:dyDescent="0.45">
      <c r="B126">
        <v>231</v>
      </c>
      <c r="C126" s="16">
        <v>98106</v>
      </c>
      <c r="D126" s="16" t="s">
        <v>1474</v>
      </c>
      <c r="E126" s="16" t="s">
        <v>1481</v>
      </c>
      <c r="F126" s="25" t="s">
        <v>38</v>
      </c>
    </row>
    <row r="127" spans="2:6" x14ac:dyDescent="0.45">
      <c r="B127">
        <v>232</v>
      </c>
      <c r="C127" s="16">
        <v>98106</v>
      </c>
      <c r="D127" s="16" t="s">
        <v>1474</v>
      </c>
      <c r="E127" s="16" t="s">
        <v>1481</v>
      </c>
      <c r="F127" s="25" t="s">
        <v>38</v>
      </c>
    </row>
    <row r="128" spans="2:6" x14ac:dyDescent="0.45">
      <c r="B128">
        <v>262</v>
      </c>
      <c r="C128" s="16">
        <v>98106</v>
      </c>
      <c r="D128" s="16" t="s">
        <v>1474</v>
      </c>
      <c r="E128" s="16" t="s">
        <v>1481</v>
      </c>
      <c r="F128" s="25" t="s">
        <v>38</v>
      </c>
    </row>
    <row r="129" spans="2:6" x14ac:dyDescent="0.45">
      <c r="B129">
        <v>266</v>
      </c>
      <c r="C129" s="16">
        <v>98106</v>
      </c>
      <c r="D129" s="16" t="s">
        <v>1474</v>
      </c>
      <c r="E129" s="16" t="s">
        <v>1481</v>
      </c>
      <c r="F129" s="25" t="s">
        <v>38</v>
      </c>
    </row>
    <row r="130" spans="2:6" x14ac:dyDescent="0.45">
      <c r="B130">
        <v>270</v>
      </c>
      <c r="C130" s="16">
        <v>98106</v>
      </c>
      <c r="D130" s="16" t="s">
        <v>1474</v>
      </c>
      <c r="E130" s="16" t="s">
        <v>1481</v>
      </c>
      <c r="F130" s="25" t="s">
        <v>38</v>
      </c>
    </row>
    <row r="131" spans="2:6" x14ac:dyDescent="0.45">
      <c r="B131">
        <v>288</v>
      </c>
      <c r="C131" s="16">
        <v>98106</v>
      </c>
      <c r="D131" s="16" t="s">
        <v>1474</v>
      </c>
      <c r="E131" s="16" t="s">
        <v>1481</v>
      </c>
      <c r="F131" s="25" t="s">
        <v>38</v>
      </c>
    </row>
    <row r="132" spans="2:6" x14ac:dyDescent="0.45">
      <c r="B132">
        <v>324</v>
      </c>
      <c r="C132" s="16">
        <v>98106</v>
      </c>
      <c r="D132" s="16" t="s">
        <v>1474</v>
      </c>
      <c r="E132" s="16" t="s">
        <v>1481</v>
      </c>
      <c r="F132" s="25" t="s">
        <v>38</v>
      </c>
    </row>
    <row r="133" spans="2:6" x14ac:dyDescent="0.45">
      <c r="B133">
        <v>384</v>
      </c>
      <c r="C133" s="16">
        <v>98106</v>
      </c>
      <c r="D133" s="16" t="s">
        <v>1474</v>
      </c>
      <c r="E133" s="16" t="s">
        <v>1481</v>
      </c>
      <c r="F133" s="25" t="s">
        <v>38</v>
      </c>
    </row>
    <row r="134" spans="2:6" x14ac:dyDescent="0.45">
      <c r="B134">
        <v>404</v>
      </c>
      <c r="C134" s="16">
        <v>98106</v>
      </c>
      <c r="D134" s="16" t="s">
        <v>1474</v>
      </c>
      <c r="E134" s="16" t="s">
        <v>1481</v>
      </c>
      <c r="F134" s="25" t="s">
        <v>38</v>
      </c>
    </row>
    <row r="135" spans="2:6" x14ac:dyDescent="0.45">
      <c r="B135">
        <v>426</v>
      </c>
      <c r="C135" s="16">
        <v>98106</v>
      </c>
      <c r="D135" s="16" t="s">
        <v>1474</v>
      </c>
      <c r="E135" s="16" t="s">
        <v>1481</v>
      </c>
      <c r="F135" s="25" t="s">
        <v>38</v>
      </c>
    </row>
    <row r="136" spans="2:6" x14ac:dyDescent="0.45">
      <c r="B136">
        <v>430</v>
      </c>
      <c r="C136" s="16">
        <v>98106</v>
      </c>
      <c r="D136" s="16" t="s">
        <v>1474</v>
      </c>
      <c r="E136" s="16" t="s">
        <v>1481</v>
      </c>
      <c r="F136" s="25" t="s">
        <v>38</v>
      </c>
    </row>
    <row r="137" spans="2:6" x14ac:dyDescent="0.45">
      <c r="B137">
        <v>434</v>
      </c>
      <c r="C137" s="16">
        <v>98106</v>
      </c>
      <c r="D137" s="16" t="s">
        <v>1474</v>
      </c>
      <c r="E137" s="16" t="s">
        <v>1481</v>
      </c>
      <c r="F137" s="25" t="s">
        <v>38</v>
      </c>
    </row>
    <row r="138" spans="2:6" x14ac:dyDescent="0.45">
      <c r="B138">
        <v>450</v>
      </c>
      <c r="C138" s="16">
        <v>98106</v>
      </c>
      <c r="D138" s="16" t="s">
        <v>1474</v>
      </c>
      <c r="E138" s="16" t="s">
        <v>1481</v>
      </c>
      <c r="F138" s="25" t="s">
        <v>38</v>
      </c>
    </row>
    <row r="139" spans="2:6" x14ac:dyDescent="0.45">
      <c r="B139">
        <v>454</v>
      </c>
      <c r="C139" s="16">
        <v>98106</v>
      </c>
      <c r="D139" s="16" t="s">
        <v>1474</v>
      </c>
      <c r="E139" s="16" t="s">
        <v>1481</v>
      </c>
      <c r="F139" s="25" t="s">
        <v>38</v>
      </c>
    </row>
    <row r="140" spans="2:6" x14ac:dyDescent="0.45">
      <c r="B140">
        <v>466</v>
      </c>
      <c r="C140" s="16">
        <v>98106</v>
      </c>
      <c r="D140" s="16" t="s">
        <v>1474</v>
      </c>
      <c r="E140" s="16" t="s">
        <v>1481</v>
      </c>
      <c r="F140" s="25" t="s">
        <v>38</v>
      </c>
    </row>
    <row r="141" spans="2:6" x14ac:dyDescent="0.45">
      <c r="B141">
        <v>478</v>
      </c>
      <c r="C141" s="16">
        <v>98106</v>
      </c>
      <c r="D141" s="16" t="s">
        <v>1474</v>
      </c>
      <c r="E141" s="16" t="s">
        <v>1481</v>
      </c>
      <c r="F141" s="25" t="s">
        <v>38</v>
      </c>
    </row>
    <row r="142" spans="2:6" x14ac:dyDescent="0.45">
      <c r="B142">
        <v>480</v>
      </c>
      <c r="C142" s="16">
        <v>98106</v>
      </c>
      <c r="D142" s="16" t="s">
        <v>1474</v>
      </c>
      <c r="E142" s="16" t="s">
        <v>1481</v>
      </c>
      <c r="F142" s="25" t="s">
        <v>38</v>
      </c>
    </row>
    <row r="143" spans="2:6" x14ac:dyDescent="0.45">
      <c r="B143">
        <v>504</v>
      </c>
      <c r="C143" s="16">
        <v>98106</v>
      </c>
      <c r="D143" s="16" t="s">
        <v>1474</v>
      </c>
      <c r="E143" s="16" t="s">
        <v>1481</v>
      </c>
      <c r="F143" s="25" t="s">
        <v>38</v>
      </c>
    </row>
    <row r="144" spans="2:6" x14ac:dyDescent="0.45">
      <c r="B144">
        <v>508</v>
      </c>
      <c r="C144" s="16">
        <v>98106</v>
      </c>
      <c r="D144" s="16" t="s">
        <v>1474</v>
      </c>
      <c r="E144" s="16" t="s">
        <v>1481</v>
      </c>
      <c r="F144" s="25" t="s">
        <v>38</v>
      </c>
    </row>
    <row r="145" spans="2:6" x14ac:dyDescent="0.45">
      <c r="B145">
        <v>516</v>
      </c>
      <c r="C145" s="16">
        <v>98106</v>
      </c>
      <c r="D145" s="16" t="s">
        <v>1474</v>
      </c>
      <c r="E145" s="16" t="s">
        <v>1481</v>
      </c>
      <c r="F145" s="25" t="s">
        <v>38</v>
      </c>
    </row>
    <row r="146" spans="2:6" x14ac:dyDescent="0.45">
      <c r="B146">
        <v>562</v>
      </c>
      <c r="C146" s="16">
        <v>98106</v>
      </c>
      <c r="D146" s="16" t="s">
        <v>1474</v>
      </c>
      <c r="E146" s="16" t="s">
        <v>1481</v>
      </c>
      <c r="F146" s="25" t="s">
        <v>38</v>
      </c>
    </row>
    <row r="147" spans="2:6" x14ac:dyDescent="0.45">
      <c r="B147">
        <v>566</v>
      </c>
      <c r="C147" s="16">
        <v>98106</v>
      </c>
      <c r="D147" s="16" t="s">
        <v>1474</v>
      </c>
      <c r="E147" s="16" t="s">
        <v>1481</v>
      </c>
      <c r="F147" s="25" t="s">
        <v>38</v>
      </c>
    </row>
    <row r="148" spans="2:6" x14ac:dyDescent="0.45">
      <c r="B148">
        <v>624</v>
      </c>
      <c r="C148" s="16">
        <v>98106</v>
      </c>
      <c r="D148" s="16" t="s">
        <v>1474</v>
      </c>
      <c r="E148" s="16" t="s">
        <v>1481</v>
      </c>
      <c r="F148" s="25" t="s">
        <v>38</v>
      </c>
    </row>
    <row r="149" spans="2:6" x14ac:dyDescent="0.45">
      <c r="B149">
        <v>646</v>
      </c>
      <c r="C149" s="16">
        <v>98106</v>
      </c>
      <c r="D149" s="16" t="s">
        <v>1474</v>
      </c>
      <c r="E149" s="16" t="s">
        <v>1481</v>
      </c>
      <c r="F149" s="25" t="s">
        <v>38</v>
      </c>
    </row>
    <row r="150" spans="2:6" x14ac:dyDescent="0.45">
      <c r="B150">
        <v>678</v>
      </c>
      <c r="C150" s="16">
        <v>98106</v>
      </c>
      <c r="D150" s="16" t="s">
        <v>1474</v>
      </c>
      <c r="E150" s="16" t="s">
        <v>1481</v>
      </c>
      <c r="F150" s="25" t="s">
        <v>38</v>
      </c>
    </row>
    <row r="151" spans="2:6" x14ac:dyDescent="0.45">
      <c r="B151">
        <v>686</v>
      </c>
      <c r="C151" s="16">
        <v>98106</v>
      </c>
      <c r="D151" s="16" t="s">
        <v>1474</v>
      </c>
      <c r="E151" s="16" t="s">
        <v>1481</v>
      </c>
      <c r="F151" s="25" t="s">
        <v>38</v>
      </c>
    </row>
    <row r="152" spans="2:6" x14ac:dyDescent="0.45">
      <c r="B152">
        <v>690</v>
      </c>
      <c r="C152" s="16">
        <v>98106</v>
      </c>
      <c r="D152" s="16" t="s">
        <v>1474</v>
      </c>
      <c r="E152" s="16" t="s">
        <v>1481</v>
      </c>
      <c r="F152" s="25" t="s">
        <v>38</v>
      </c>
    </row>
    <row r="153" spans="2:6" x14ac:dyDescent="0.45">
      <c r="B153">
        <v>694</v>
      </c>
      <c r="C153" s="16">
        <v>98106</v>
      </c>
      <c r="D153" s="16" t="s">
        <v>1474</v>
      </c>
      <c r="E153" s="16" t="s">
        <v>1481</v>
      </c>
      <c r="F153" s="25" t="s">
        <v>38</v>
      </c>
    </row>
    <row r="154" spans="2:6" x14ac:dyDescent="0.45">
      <c r="B154">
        <v>706</v>
      </c>
      <c r="C154" s="16">
        <v>98106</v>
      </c>
      <c r="D154" s="16" t="s">
        <v>1474</v>
      </c>
      <c r="E154" s="16" t="s">
        <v>1481</v>
      </c>
      <c r="F154" s="25" t="s">
        <v>38</v>
      </c>
    </row>
    <row r="155" spans="2:6" x14ac:dyDescent="0.45">
      <c r="B155">
        <v>710</v>
      </c>
      <c r="C155" s="16">
        <v>98106</v>
      </c>
      <c r="D155" s="16" t="s">
        <v>1474</v>
      </c>
      <c r="E155" s="16" t="s">
        <v>1481</v>
      </c>
      <c r="F155" s="25" t="s">
        <v>38</v>
      </c>
    </row>
    <row r="156" spans="2:6" x14ac:dyDescent="0.45">
      <c r="B156">
        <v>716</v>
      </c>
      <c r="C156" s="16">
        <v>98106</v>
      </c>
      <c r="D156" s="16" t="s">
        <v>1474</v>
      </c>
      <c r="E156" s="16" t="s">
        <v>1481</v>
      </c>
      <c r="F156" s="25" t="s">
        <v>38</v>
      </c>
    </row>
    <row r="157" spans="2:6" x14ac:dyDescent="0.45">
      <c r="B157">
        <v>728</v>
      </c>
      <c r="C157" s="16">
        <v>98106</v>
      </c>
      <c r="D157" s="16" t="s">
        <v>1474</v>
      </c>
      <c r="E157" s="16" t="s">
        <v>1481</v>
      </c>
      <c r="F157" s="25" t="s">
        <v>38</v>
      </c>
    </row>
    <row r="158" spans="2:6" x14ac:dyDescent="0.45">
      <c r="B158">
        <v>729</v>
      </c>
      <c r="C158" s="16">
        <v>98106</v>
      </c>
      <c r="D158" s="16" t="s">
        <v>1474</v>
      </c>
      <c r="E158" s="16" t="s">
        <v>1481</v>
      </c>
      <c r="F158" s="25" t="s">
        <v>38</v>
      </c>
    </row>
    <row r="159" spans="2:6" x14ac:dyDescent="0.45">
      <c r="B159">
        <v>748</v>
      </c>
      <c r="C159" s="16">
        <v>98106</v>
      </c>
      <c r="D159" s="16" t="s">
        <v>1474</v>
      </c>
      <c r="E159" s="16" t="s">
        <v>1481</v>
      </c>
      <c r="F159" s="25" t="s">
        <v>38</v>
      </c>
    </row>
    <row r="160" spans="2:6" x14ac:dyDescent="0.45">
      <c r="B160">
        <v>768</v>
      </c>
      <c r="C160" s="16">
        <v>98106</v>
      </c>
      <c r="D160" s="16" t="s">
        <v>1474</v>
      </c>
      <c r="E160" s="16" t="s">
        <v>1481</v>
      </c>
      <c r="F160" s="25" t="s">
        <v>38</v>
      </c>
    </row>
    <row r="161" spans="2:6" x14ac:dyDescent="0.45">
      <c r="B161">
        <v>788</v>
      </c>
      <c r="C161" s="16">
        <v>98106</v>
      </c>
      <c r="D161" s="16" t="s">
        <v>1474</v>
      </c>
      <c r="E161" s="16" t="s">
        <v>1481</v>
      </c>
      <c r="F161" s="25" t="s">
        <v>38</v>
      </c>
    </row>
    <row r="162" spans="2:6" x14ac:dyDescent="0.45">
      <c r="B162">
        <v>800</v>
      </c>
      <c r="C162" s="16">
        <v>98106</v>
      </c>
      <c r="D162" s="16" t="s">
        <v>1474</v>
      </c>
      <c r="E162" s="16" t="s">
        <v>1481</v>
      </c>
      <c r="F162" s="25" t="s">
        <v>38</v>
      </c>
    </row>
    <row r="163" spans="2:6" x14ac:dyDescent="0.45">
      <c r="B163">
        <v>818</v>
      </c>
      <c r="C163" s="16">
        <v>98106</v>
      </c>
      <c r="D163" s="16" t="s">
        <v>1474</v>
      </c>
      <c r="E163" s="16" t="s">
        <v>1481</v>
      </c>
      <c r="F163" s="25" t="s">
        <v>38</v>
      </c>
    </row>
    <row r="164" spans="2:6" x14ac:dyDescent="0.45">
      <c r="B164">
        <v>834</v>
      </c>
      <c r="C164" s="16">
        <v>98106</v>
      </c>
      <c r="D164" s="16" t="s">
        <v>1474</v>
      </c>
      <c r="E164" s="16" t="s">
        <v>1481</v>
      </c>
      <c r="F164" s="25" t="s">
        <v>38</v>
      </c>
    </row>
    <row r="165" spans="2:6" x14ac:dyDescent="0.45">
      <c r="B165">
        <v>854</v>
      </c>
      <c r="C165" s="16">
        <v>98106</v>
      </c>
      <c r="D165" s="16" t="s">
        <v>1474</v>
      </c>
      <c r="E165" s="16" t="s">
        <v>1481</v>
      </c>
      <c r="F165" s="25" t="s">
        <v>38</v>
      </c>
    </row>
    <row r="166" spans="2:6" x14ac:dyDescent="0.45">
      <c r="B166">
        <v>894</v>
      </c>
      <c r="C166" s="16">
        <v>98106</v>
      </c>
      <c r="D166" s="16" t="s">
        <v>1474</v>
      </c>
      <c r="E166" s="16" t="s">
        <v>1481</v>
      </c>
      <c r="F166" s="25" t="s">
        <v>38</v>
      </c>
    </row>
    <row r="167" spans="2:6" x14ac:dyDescent="0.45">
      <c r="B167">
        <v>732</v>
      </c>
      <c r="C167" s="16">
        <v>98106</v>
      </c>
      <c r="D167" s="16" t="s">
        <v>1474</v>
      </c>
      <c r="E167" s="16" t="s">
        <v>1481</v>
      </c>
      <c r="F167" s="25" t="s">
        <v>38</v>
      </c>
    </row>
    <row r="168" spans="2:6" x14ac:dyDescent="0.45">
      <c r="B168">
        <v>24</v>
      </c>
      <c r="C168" s="16">
        <v>98107</v>
      </c>
      <c r="D168" s="16" t="s">
        <v>1474</v>
      </c>
      <c r="E168" s="16" t="s">
        <v>1482</v>
      </c>
      <c r="F168" s="25" t="s">
        <v>39</v>
      </c>
    </row>
    <row r="169" spans="2:6" x14ac:dyDescent="0.45">
      <c r="B169">
        <v>108</v>
      </c>
      <c r="C169" s="16">
        <v>98107</v>
      </c>
      <c r="D169" s="16" t="s">
        <v>1474</v>
      </c>
      <c r="E169" s="16" t="s">
        <v>1482</v>
      </c>
      <c r="F169" s="25" t="s">
        <v>39</v>
      </c>
    </row>
    <row r="170" spans="2:6" x14ac:dyDescent="0.45">
      <c r="B170">
        <v>120</v>
      </c>
      <c r="C170" s="16">
        <v>98107</v>
      </c>
      <c r="D170" s="16" t="s">
        <v>1474</v>
      </c>
      <c r="E170" s="16" t="s">
        <v>1482</v>
      </c>
      <c r="F170" s="25" t="s">
        <v>39</v>
      </c>
    </row>
    <row r="171" spans="2:6" x14ac:dyDescent="0.45">
      <c r="B171">
        <v>140</v>
      </c>
      <c r="C171" s="16">
        <v>98107</v>
      </c>
      <c r="D171" s="16" t="s">
        <v>1474</v>
      </c>
      <c r="E171" s="16" t="s">
        <v>1482</v>
      </c>
      <c r="F171" s="25" t="s">
        <v>39</v>
      </c>
    </row>
    <row r="172" spans="2:6" x14ac:dyDescent="0.45">
      <c r="B172">
        <v>148</v>
      </c>
      <c r="C172" s="16">
        <v>98107</v>
      </c>
      <c r="D172" s="16" t="s">
        <v>1474</v>
      </c>
      <c r="E172" s="16" t="s">
        <v>1482</v>
      </c>
      <c r="F172" s="25" t="s">
        <v>39</v>
      </c>
    </row>
    <row r="173" spans="2:6" x14ac:dyDescent="0.45">
      <c r="B173">
        <v>178</v>
      </c>
      <c r="C173" s="16">
        <v>98107</v>
      </c>
      <c r="D173" s="16" t="s">
        <v>1474</v>
      </c>
      <c r="E173" s="16" t="s">
        <v>1482</v>
      </c>
      <c r="F173" s="25" t="s">
        <v>39</v>
      </c>
    </row>
    <row r="174" spans="2:6" x14ac:dyDescent="0.45">
      <c r="B174">
        <v>180</v>
      </c>
      <c r="C174" s="16">
        <v>98107</v>
      </c>
      <c r="D174" s="16" t="s">
        <v>1474</v>
      </c>
      <c r="E174" s="16" t="s">
        <v>1482</v>
      </c>
      <c r="F174" s="25" t="s">
        <v>39</v>
      </c>
    </row>
    <row r="175" spans="2:6" x14ac:dyDescent="0.45">
      <c r="B175">
        <v>226</v>
      </c>
      <c r="C175" s="16">
        <v>98107</v>
      </c>
      <c r="D175" s="16" t="s">
        <v>1474</v>
      </c>
      <c r="E175" s="16" t="s">
        <v>1482</v>
      </c>
      <c r="F175" s="25" t="s">
        <v>39</v>
      </c>
    </row>
    <row r="176" spans="2:6" x14ac:dyDescent="0.45">
      <c r="B176">
        <v>266</v>
      </c>
      <c r="C176" s="16">
        <v>98107</v>
      </c>
      <c r="D176" s="16" t="s">
        <v>1474</v>
      </c>
      <c r="E176" s="16" t="s">
        <v>1482</v>
      </c>
      <c r="F176" s="25" t="s">
        <v>39</v>
      </c>
    </row>
    <row r="177" spans="2:6" x14ac:dyDescent="0.45">
      <c r="B177">
        <v>646</v>
      </c>
      <c r="C177" s="16">
        <v>98107</v>
      </c>
      <c r="D177" s="16" t="s">
        <v>1474</v>
      </c>
      <c r="E177" s="16" t="s">
        <v>1482</v>
      </c>
      <c r="F177" s="25" t="s">
        <v>39</v>
      </c>
    </row>
    <row r="178" spans="2:6" x14ac:dyDescent="0.45">
      <c r="B178">
        <v>678</v>
      </c>
      <c r="C178" s="16">
        <v>98107</v>
      </c>
      <c r="D178" s="16" t="s">
        <v>1474</v>
      </c>
      <c r="E178" s="16" t="s">
        <v>1482</v>
      </c>
      <c r="F178" s="25" t="s">
        <v>39</v>
      </c>
    </row>
    <row r="179" spans="2:6" x14ac:dyDescent="0.45">
      <c r="B179">
        <v>132</v>
      </c>
      <c r="C179" s="16">
        <v>98108</v>
      </c>
      <c r="D179" s="16" t="s">
        <v>1474</v>
      </c>
      <c r="E179" s="16" t="s">
        <v>1483</v>
      </c>
      <c r="F179" s="25" t="s">
        <v>40</v>
      </c>
    </row>
    <row r="180" spans="2:6" x14ac:dyDescent="0.45">
      <c r="B180">
        <v>204</v>
      </c>
      <c r="C180" s="16">
        <v>98108</v>
      </c>
      <c r="D180" s="16" t="s">
        <v>1474</v>
      </c>
      <c r="E180" s="16" t="s">
        <v>1483</v>
      </c>
      <c r="F180" s="25" t="s">
        <v>40</v>
      </c>
    </row>
    <row r="181" spans="2:6" x14ac:dyDescent="0.45">
      <c r="B181">
        <v>270</v>
      </c>
      <c r="C181" s="16">
        <v>98108</v>
      </c>
      <c r="D181" s="16" t="s">
        <v>1474</v>
      </c>
      <c r="E181" s="16" t="s">
        <v>1483</v>
      </c>
      <c r="F181" s="25" t="s">
        <v>40</v>
      </c>
    </row>
    <row r="182" spans="2:6" x14ac:dyDescent="0.45">
      <c r="B182">
        <v>288</v>
      </c>
      <c r="C182" s="16">
        <v>98108</v>
      </c>
      <c r="D182" s="16" t="s">
        <v>1474</v>
      </c>
      <c r="E182" s="16" t="s">
        <v>1483</v>
      </c>
      <c r="F182" s="25" t="s">
        <v>40</v>
      </c>
    </row>
    <row r="183" spans="2:6" x14ac:dyDescent="0.45">
      <c r="B183">
        <v>324</v>
      </c>
      <c r="C183" s="16">
        <v>98108</v>
      </c>
      <c r="D183" s="16" t="s">
        <v>1474</v>
      </c>
      <c r="E183" s="16" t="s">
        <v>1483</v>
      </c>
      <c r="F183" s="25" t="s">
        <v>40</v>
      </c>
    </row>
    <row r="184" spans="2:6" x14ac:dyDescent="0.45">
      <c r="B184">
        <v>384</v>
      </c>
      <c r="C184" s="16">
        <v>98108</v>
      </c>
      <c r="D184" s="16" t="s">
        <v>1474</v>
      </c>
      <c r="E184" s="16" t="s">
        <v>1483</v>
      </c>
      <c r="F184" s="25" t="s">
        <v>40</v>
      </c>
    </row>
    <row r="185" spans="2:6" x14ac:dyDescent="0.45">
      <c r="B185">
        <v>430</v>
      </c>
      <c r="C185" s="16">
        <v>98108</v>
      </c>
      <c r="D185" s="16" t="s">
        <v>1474</v>
      </c>
      <c r="E185" s="16" t="s">
        <v>1483</v>
      </c>
      <c r="F185" s="25" t="s">
        <v>40</v>
      </c>
    </row>
    <row r="186" spans="2:6" x14ac:dyDescent="0.45">
      <c r="B186">
        <v>466</v>
      </c>
      <c r="C186" s="16">
        <v>98108</v>
      </c>
      <c r="D186" s="16" t="s">
        <v>1474</v>
      </c>
      <c r="E186" s="16" t="s">
        <v>1483</v>
      </c>
      <c r="F186" s="25" t="s">
        <v>40</v>
      </c>
    </row>
    <row r="187" spans="2:6" x14ac:dyDescent="0.45">
      <c r="B187">
        <v>562</v>
      </c>
      <c r="C187" s="16">
        <v>98108</v>
      </c>
      <c r="D187" s="16" t="s">
        <v>1474</v>
      </c>
      <c r="E187" s="16" t="s">
        <v>1483</v>
      </c>
      <c r="F187" s="25" t="s">
        <v>40</v>
      </c>
    </row>
    <row r="188" spans="2:6" x14ac:dyDescent="0.45">
      <c r="B188">
        <v>566</v>
      </c>
      <c r="C188" s="16">
        <v>98108</v>
      </c>
      <c r="D188" s="16" t="s">
        <v>1474</v>
      </c>
      <c r="E188" s="16" t="s">
        <v>1483</v>
      </c>
      <c r="F188" s="25" t="s">
        <v>40</v>
      </c>
    </row>
    <row r="189" spans="2:6" x14ac:dyDescent="0.45">
      <c r="B189">
        <v>624</v>
      </c>
      <c r="C189" s="16">
        <v>98108</v>
      </c>
      <c r="D189" s="16" t="s">
        <v>1474</v>
      </c>
      <c r="E189" s="16" t="s">
        <v>1483</v>
      </c>
      <c r="F189" s="25" t="s">
        <v>40</v>
      </c>
    </row>
    <row r="190" spans="2:6" x14ac:dyDescent="0.45">
      <c r="B190">
        <v>686</v>
      </c>
      <c r="C190" s="16">
        <v>98108</v>
      </c>
      <c r="D190" s="16" t="s">
        <v>1474</v>
      </c>
      <c r="E190" s="16" t="s">
        <v>1483</v>
      </c>
      <c r="F190" s="25" t="s">
        <v>40</v>
      </c>
    </row>
    <row r="191" spans="2:6" x14ac:dyDescent="0.45">
      <c r="B191">
        <v>694</v>
      </c>
      <c r="C191" s="16">
        <v>98108</v>
      </c>
      <c r="D191" s="16" t="s">
        <v>1474</v>
      </c>
      <c r="E191" s="16" t="s">
        <v>1483</v>
      </c>
      <c r="F191" s="25" t="s">
        <v>40</v>
      </c>
    </row>
    <row r="192" spans="2:6" x14ac:dyDescent="0.45">
      <c r="B192">
        <v>768</v>
      </c>
      <c r="C192" s="16">
        <v>98108</v>
      </c>
      <c r="D192" s="16" t="s">
        <v>1474</v>
      </c>
      <c r="E192" s="16" t="s">
        <v>1483</v>
      </c>
      <c r="F192" s="25" t="s">
        <v>40</v>
      </c>
    </row>
    <row r="193" spans="2:6" x14ac:dyDescent="0.45">
      <c r="B193">
        <v>854</v>
      </c>
      <c r="C193" s="16">
        <v>98108</v>
      </c>
      <c r="D193" s="16" t="s">
        <v>1474</v>
      </c>
      <c r="E193" s="16" t="s">
        <v>1483</v>
      </c>
      <c r="F193" s="25" t="s">
        <v>40</v>
      </c>
    </row>
    <row r="194" spans="2:6" x14ac:dyDescent="0.45">
      <c r="B194">
        <v>231</v>
      </c>
      <c r="C194" s="16">
        <v>98109</v>
      </c>
      <c r="D194" s="16" t="s">
        <v>1474</v>
      </c>
      <c r="E194" s="16" t="s">
        <v>1484</v>
      </c>
      <c r="F194" s="25" t="s">
        <v>41</v>
      </c>
    </row>
    <row r="195" spans="2:6" x14ac:dyDescent="0.45">
      <c r="B195">
        <v>232</v>
      </c>
      <c r="C195" s="16">
        <v>98109</v>
      </c>
      <c r="D195" s="16" t="s">
        <v>1474</v>
      </c>
      <c r="E195" s="16" t="s">
        <v>1484</v>
      </c>
      <c r="F195" s="25" t="s">
        <v>41</v>
      </c>
    </row>
    <row r="196" spans="2:6" x14ac:dyDescent="0.45">
      <c r="B196">
        <v>262</v>
      </c>
      <c r="C196" s="16">
        <v>98109</v>
      </c>
      <c r="D196" s="16" t="s">
        <v>1474</v>
      </c>
      <c r="E196" s="16" t="s">
        <v>1484</v>
      </c>
      <c r="F196" s="25" t="s">
        <v>41</v>
      </c>
    </row>
    <row r="197" spans="2:6" x14ac:dyDescent="0.45">
      <c r="B197">
        <v>404</v>
      </c>
      <c r="C197" s="16">
        <v>98109</v>
      </c>
      <c r="D197" s="16" t="s">
        <v>1474</v>
      </c>
      <c r="E197" s="16" t="s">
        <v>1484</v>
      </c>
      <c r="F197" s="25" t="s">
        <v>41</v>
      </c>
    </row>
    <row r="198" spans="2:6" x14ac:dyDescent="0.45">
      <c r="B198">
        <v>706</v>
      </c>
      <c r="C198" s="16">
        <v>98109</v>
      </c>
      <c r="D198" s="16" t="s">
        <v>1474</v>
      </c>
      <c r="E198" s="16" t="s">
        <v>1484</v>
      </c>
      <c r="F198" s="25" t="s">
        <v>41</v>
      </c>
    </row>
    <row r="199" spans="2:6" x14ac:dyDescent="0.45">
      <c r="B199">
        <v>728</v>
      </c>
      <c r="C199" s="16">
        <v>98109</v>
      </c>
      <c r="D199" s="16" t="s">
        <v>1474</v>
      </c>
      <c r="E199" s="16" t="s">
        <v>1484</v>
      </c>
      <c r="F199" s="25" t="s">
        <v>41</v>
      </c>
    </row>
    <row r="200" spans="2:6" x14ac:dyDescent="0.45">
      <c r="B200">
        <v>729</v>
      </c>
      <c r="C200" s="16">
        <v>98109</v>
      </c>
      <c r="D200" s="16" t="s">
        <v>1474</v>
      </c>
      <c r="E200" s="16" t="s">
        <v>1484</v>
      </c>
      <c r="F200" s="25" t="s">
        <v>41</v>
      </c>
    </row>
    <row r="201" spans="2:6" x14ac:dyDescent="0.45">
      <c r="B201">
        <v>800</v>
      </c>
      <c r="C201" s="16">
        <v>98109</v>
      </c>
      <c r="D201" s="16" t="s">
        <v>1474</v>
      </c>
      <c r="E201" s="16" t="s">
        <v>1484</v>
      </c>
      <c r="F201" s="25" t="s">
        <v>41</v>
      </c>
    </row>
    <row r="202" spans="2:6" x14ac:dyDescent="0.45">
      <c r="B202">
        <v>24</v>
      </c>
      <c r="C202" s="16">
        <v>98110</v>
      </c>
      <c r="D202" s="16" t="s">
        <v>1474</v>
      </c>
      <c r="E202" s="16" t="s">
        <v>1485</v>
      </c>
      <c r="F202" s="25" t="s">
        <v>42</v>
      </c>
    </row>
    <row r="203" spans="2:6" x14ac:dyDescent="0.45">
      <c r="B203">
        <v>72</v>
      </c>
      <c r="C203" s="16">
        <v>98110</v>
      </c>
      <c r="D203" s="16" t="s">
        <v>1474</v>
      </c>
      <c r="E203" s="16" t="s">
        <v>1485</v>
      </c>
      <c r="F203" s="25" t="s">
        <v>42</v>
      </c>
    </row>
    <row r="204" spans="2:6" x14ac:dyDescent="0.45">
      <c r="B204">
        <v>174</v>
      </c>
      <c r="C204" s="16">
        <v>98110</v>
      </c>
      <c r="D204" s="16" t="s">
        <v>1474</v>
      </c>
      <c r="E204" s="16" t="s">
        <v>1485</v>
      </c>
      <c r="F204" s="25" t="s">
        <v>42</v>
      </c>
    </row>
    <row r="205" spans="2:6" x14ac:dyDescent="0.45">
      <c r="B205">
        <v>180</v>
      </c>
      <c r="C205" s="16">
        <v>98110</v>
      </c>
      <c r="D205" s="16" t="s">
        <v>1474</v>
      </c>
      <c r="E205" s="16" t="s">
        <v>1485</v>
      </c>
      <c r="F205" s="25" t="s">
        <v>42</v>
      </c>
    </row>
    <row r="206" spans="2:6" x14ac:dyDescent="0.45">
      <c r="B206">
        <v>426</v>
      </c>
      <c r="C206" s="16">
        <v>98110</v>
      </c>
      <c r="D206" s="16" t="s">
        <v>1474</v>
      </c>
      <c r="E206" s="16" t="s">
        <v>1485</v>
      </c>
      <c r="F206" s="25" t="s">
        <v>42</v>
      </c>
    </row>
    <row r="207" spans="2:6" x14ac:dyDescent="0.45">
      <c r="B207">
        <v>450</v>
      </c>
      <c r="C207" s="16">
        <v>98110</v>
      </c>
      <c r="D207" s="16" t="s">
        <v>1474</v>
      </c>
      <c r="E207" s="16" t="s">
        <v>1485</v>
      </c>
      <c r="F207" s="25" t="s">
        <v>42</v>
      </c>
    </row>
    <row r="208" spans="2:6" x14ac:dyDescent="0.45">
      <c r="B208">
        <v>454</v>
      </c>
      <c r="C208" s="16">
        <v>98110</v>
      </c>
      <c r="D208" s="16" t="s">
        <v>1474</v>
      </c>
      <c r="E208" s="16" t="s">
        <v>1485</v>
      </c>
      <c r="F208" s="25" t="s">
        <v>42</v>
      </c>
    </row>
    <row r="209" spans="2:6" x14ac:dyDescent="0.45">
      <c r="B209">
        <v>480</v>
      </c>
      <c r="C209" s="16">
        <v>98110</v>
      </c>
      <c r="D209" s="16" t="s">
        <v>1474</v>
      </c>
      <c r="E209" s="16" t="s">
        <v>1485</v>
      </c>
      <c r="F209" s="25" t="s">
        <v>42</v>
      </c>
    </row>
    <row r="210" spans="2:6" x14ac:dyDescent="0.45">
      <c r="B210">
        <v>508</v>
      </c>
      <c r="C210" s="16">
        <v>98110</v>
      </c>
      <c r="D210" s="16" t="s">
        <v>1474</v>
      </c>
      <c r="E210" s="16" t="s">
        <v>1485</v>
      </c>
      <c r="F210" s="25" t="s">
        <v>42</v>
      </c>
    </row>
    <row r="211" spans="2:6" x14ac:dyDescent="0.45">
      <c r="B211">
        <v>516</v>
      </c>
      <c r="C211" s="16">
        <v>98110</v>
      </c>
      <c r="D211" s="16" t="s">
        <v>1474</v>
      </c>
      <c r="E211" s="16" t="s">
        <v>1485</v>
      </c>
      <c r="F211" s="25" t="s">
        <v>42</v>
      </c>
    </row>
    <row r="212" spans="2:6" x14ac:dyDescent="0.45">
      <c r="B212">
        <v>690</v>
      </c>
      <c r="C212" s="16">
        <v>98110</v>
      </c>
      <c r="D212" s="16" t="s">
        <v>1474</v>
      </c>
      <c r="E212" s="16" t="s">
        <v>1485</v>
      </c>
      <c r="F212" s="25" t="s">
        <v>42</v>
      </c>
    </row>
    <row r="213" spans="2:6" x14ac:dyDescent="0.45">
      <c r="B213">
        <v>710</v>
      </c>
      <c r="C213" s="16">
        <v>98110</v>
      </c>
      <c r="D213" s="16" t="s">
        <v>1474</v>
      </c>
      <c r="E213" s="16" t="s">
        <v>1485</v>
      </c>
      <c r="F213" s="25" t="s">
        <v>42</v>
      </c>
    </row>
    <row r="214" spans="2:6" x14ac:dyDescent="0.45">
      <c r="B214">
        <v>716</v>
      </c>
      <c r="C214" s="16">
        <v>98110</v>
      </c>
      <c r="D214" s="16" t="s">
        <v>1474</v>
      </c>
      <c r="E214" s="16" t="s">
        <v>1485</v>
      </c>
      <c r="F214" s="25" t="s">
        <v>42</v>
      </c>
    </row>
    <row r="215" spans="2:6" x14ac:dyDescent="0.45">
      <c r="B215">
        <v>748</v>
      </c>
      <c r="C215" s="16">
        <v>98110</v>
      </c>
      <c r="D215" s="16" t="s">
        <v>1474</v>
      </c>
      <c r="E215" s="16" t="s">
        <v>1485</v>
      </c>
      <c r="F215" s="25" t="s">
        <v>42</v>
      </c>
    </row>
    <row r="216" spans="2:6" x14ac:dyDescent="0.45">
      <c r="B216">
        <v>834</v>
      </c>
      <c r="C216" s="16">
        <v>98110</v>
      </c>
      <c r="D216" s="16" t="s">
        <v>1474</v>
      </c>
      <c r="E216" s="16" t="s">
        <v>1485</v>
      </c>
      <c r="F216" s="25" t="s">
        <v>42</v>
      </c>
    </row>
    <row r="217" spans="2:6" x14ac:dyDescent="0.45">
      <c r="B217">
        <v>894</v>
      </c>
      <c r="C217" s="16">
        <v>98110</v>
      </c>
      <c r="D217" s="16" t="s">
        <v>1474</v>
      </c>
      <c r="E217" s="16" t="s">
        <v>1485</v>
      </c>
      <c r="F217" s="25" t="s">
        <v>42</v>
      </c>
    </row>
    <row r="218" spans="2:6" x14ac:dyDescent="0.45">
      <c r="B218">
        <v>12</v>
      </c>
      <c r="C218" s="16">
        <v>98111</v>
      </c>
      <c r="D218" s="16" t="s">
        <v>1474</v>
      </c>
      <c r="E218" s="16" t="s">
        <v>1486</v>
      </c>
      <c r="F218" s="25" t="s">
        <v>43</v>
      </c>
    </row>
    <row r="219" spans="2:6" x14ac:dyDescent="0.45">
      <c r="B219">
        <v>434</v>
      </c>
      <c r="C219" s="16">
        <v>98111</v>
      </c>
      <c r="D219" s="16" t="s">
        <v>1474</v>
      </c>
      <c r="E219" s="16" t="s">
        <v>1486</v>
      </c>
      <c r="F219" s="25" t="s">
        <v>43</v>
      </c>
    </row>
    <row r="220" spans="2:6" x14ac:dyDescent="0.45">
      <c r="B220">
        <v>478</v>
      </c>
      <c r="C220" s="16">
        <v>98111</v>
      </c>
      <c r="D220" s="16" t="s">
        <v>1474</v>
      </c>
      <c r="E220" s="16" t="s">
        <v>1486</v>
      </c>
      <c r="F220" s="25" t="s">
        <v>43</v>
      </c>
    </row>
    <row r="221" spans="2:6" x14ac:dyDescent="0.45">
      <c r="B221">
        <v>504</v>
      </c>
      <c r="C221" s="16">
        <v>98111</v>
      </c>
      <c r="D221" s="16" t="s">
        <v>1474</v>
      </c>
      <c r="E221" s="16" t="s">
        <v>1486</v>
      </c>
      <c r="F221" s="25" t="s">
        <v>43</v>
      </c>
    </row>
    <row r="222" spans="2:6" x14ac:dyDescent="0.45">
      <c r="B222">
        <v>788</v>
      </c>
      <c r="C222" s="16">
        <v>98111</v>
      </c>
      <c r="D222" s="16" t="s">
        <v>1474</v>
      </c>
      <c r="E222" s="16" t="s">
        <v>1486</v>
      </c>
      <c r="F222" s="25" t="s">
        <v>43</v>
      </c>
    </row>
    <row r="223" spans="2:6" x14ac:dyDescent="0.45">
      <c r="B223">
        <v>140</v>
      </c>
      <c r="C223" s="16">
        <v>98112</v>
      </c>
      <c r="D223" s="16" t="s">
        <v>1474</v>
      </c>
      <c r="E223" s="16" t="s">
        <v>1487</v>
      </c>
      <c r="F223" s="25" t="s">
        <v>44</v>
      </c>
    </row>
    <row r="224" spans="2:6" x14ac:dyDescent="0.45">
      <c r="B224">
        <v>148</v>
      </c>
      <c r="C224" s="16">
        <v>98112</v>
      </c>
      <c r="D224" s="16" t="s">
        <v>1474</v>
      </c>
      <c r="E224" s="16" t="s">
        <v>1487</v>
      </c>
      <c r="F224" s="25" t="s">
        <v>44</v>
      </c>
    </row>
    <row r="225" spans="2:6" x14ac:dyDescent="0.45">
      <c r="B225">
        <v>174</v>
      </c>
      <c r="C225" s="16">
        <v>98112</v>
      </c>
      <c r="D225" s="16" t="s">
        <v>1474</v>
      </c>
      <c r="E225" s="16" t="s">
        <v>1487</v>
      </c>
      <c r="F225" s="25" t="s">
        <v>44</v>
      </c>
    </row>
    <row r="226" spans="2:6" x14ac:dyDescent="0.45">
      <c r="B226">
        <v>204</v>
      </c>
      <c r="C226" s="16">
        <v>98112</v>
      </c>
      <c r="D226" s="16" t="s">
        <v>1474</v>
      </c>
      <c r="E226" s="16" t="s">
        <v>1487</v>
      </c>
      <c r="F226" s="25" t="s">
        <v>44</v>
      </c>
    </row>
    <row r="227" spans="2:6" x14ac:dyDescent="0.45">
      <c r="B227">
        <v>232</v>
      </c>
      <c r="C227" s="16">
        <v>98112</v>
      </c>
      <c r="D227" s="16" t="s">
        <v>1474</v>
      </c>
      <c r="E227" s="16" t="s">
        <v>1487</v>
      </c>
      <c r="F227" s="25" t="s">
        <v>44</v>
      </c>
    </row>
    <row r="228" spans="2:6" x14ac:dyDescent="0.45">
      <c r="B228">
        <v>262</v>
      </c>
      <c r="C228" s="16">
        <v>98112</v>
      </c>
      <c r="D228" s="16" t="s">
        <v>1474</v>
      </c>
      <c r="E228" s="16" t="s">
        <v>1487</v>
      </c>
      <c r="F228" s="25" t="s">
        <v>44</v>
      </c>
    </row>
    <row r="229" spans="2:6" x14ac:dyDescent="0.45">
      <c r="B229">
        <v>270</v>
      </c>
      <c r="C229" s="16">
        <v>98112</v>
      </c>
      <c r="D229" s="16" t="s">
        <v>1474</v>
      </c>
      <c r="E229" s="16" t="s">
        <v>1487</v>
      </c>
      <c r="F229" s="25" t="s">
        <v>44</v>
      </c>
    </row>
    <row r="230" spans="2:6" x14ac:dyDescent="0.45">
      <c r="B230">
        <v>288</v>
      </c>
      <c r="C230" s="16">
        <v>98112</v>
      </c>
      <c r="D230" s="16" t="s">
        <v>1474</v>
      </c>
      <c r="E230" s="16" t="s">
        <v>1487</v>
      </c>
      <c r="F230" s="25" t="s">
        <v>44</v>
      </c>
    </row>
    <row r="231" spans="2:6" x14ac:dyDescent="0.45">
      <c r="B231">
        <v>384</v>
      </c>
      <c r="C231" s="16">
        <v>98112</v>
      </c>
      <c r="D231" s="16" t="s">
        <v>1474</v>
      </c>
      <c r="E231" s="16" t="s">
        <v>1487</v>
      </c>
      <c r="F231" s="25" t="s">
        <v>44</v>
      </c>
    </row>
    <row r="232" spans="2:6" x14ac:dyDescent="0.45">
      <c r="B232">
        <v>434</v>
      </c>
      <c r="C232" s="16">
        <v>98112</v>
      </c>
      <c r="D232" s="16" t="s">
        <v>1474</v>
      </c>
      <c r="E232" s="16" t="s">
        <v>1487</v>
      </c>
      <c r="F232" s="25" t="s">
        <v>44</v>
      </c>
    </row>
    <row r="233" spans="2:6" x14ac:dyDescent="0.45">
      <c r="B233">
        <v>466</v>
      </c>
      <c r="C233" s="16">
        <v>98112</v>
      </c>
      <c r="D233" s="16" t="s">
        <v>1474</v>
      </c>
      <c r="E233" s="16" t="s">
        <v>1487</v>
      </c>
      <c r="F233" s="25" t="s">
        <v>44</v>
      </c>
    </row>
    <row r="234" spans="2:6" x14ac:dyDescent="0.45">
      <c r="B234">
        <v>478</v>
      </c>
      <c r="C234" s="16">
        <v>98112</v>
      </c>
      <c r="D234" s="16" t="s">
        <v>1474</v>
      </c>
      <c r="E234" s="16" t="s">
        <v>1487</v>
      </c>
      <c r="F234" s="25" t="s">
        <v>44</v>
      </c>
    </row>
    <row r="235" spans="2:6" x14ac:dyDescent="0.45">
      <c r="B235">
        <v>504</v>
      </c>
      <c r="C235" s="16">
        <v>98112</v>
      </c>
      <c r="D235" s="16" t="s">
        <v>1474</v>
      </c>
      <c r="E235" s="16" t="s">
        <v>1487</v>
      </c>
      <c r="F235" s="25" t="s">
        <v>44</v>
      </c>
    </row>
    <row r="236" spans="2:6" x14ac:dyDescent="0.45">
      <c r="B236">
        <v>562</v>
      </c>
      <c r="C236" s="16">
        <v>98112</v>
      </c>
      <c r="D236" s="16" t="s">
        <v>1474</v>
      </c>
      <c r="E236" s="16" t="s">
        <v>1487</v>
      </c>
      <c r="F236" s="25" t="s">
        <v>44</v>
      </c>
    </row>
    <row r="237" spans="2:6" x14ac:dyDescent="0.45">
      <c r="B237">
        <v>566</v>
      </c>
      <c r="C237" s="16">
        <v>98112</v>
      </c>
      <c r="D237" s="16" t="s">
        <v>1474</v>
      </c>
      <c r="E237" s="16" t="s">
        <v>1487</v>
      </c>
      <c r="F237" s="25" t="s">
        <v>44</v>
      </c>
    </row>
    <row r="238" spans="2:6" x14ac:dyDescent="0.45">
      <c r="B238">
        <v>624</v>
      </c>
      <c r="C238" s="16">
        <v>98112</v>
      </c>
      <c r="D238" s="16" t="s">
        <v>1474</v>
      </c>
      <c r="E238" s="16" t="s">
        <v>1487</v>
      </c>
      <c r="F238" s="25" t="s">
        <v>44</v>
      </c>
    </row>
    <row r="239" spans="2:6" x14ac:dyDescent="0.45">
      <c r="B239">
        <v>686</v>
      </c>
      <c r="C239" s="16">
        <v>98112</v>
      </c>
      <c r="D239" s="16" t="s">
        <v>1474</v>
      </c>
      <c r="E239" s="16" t="s">
        <v>1487</v>
      </c>
      <c r="F239" s="25" t="s">
        <v>44</v>
      </c>
    </row>
    <row r="240" spans="2:6" x14ac:dyDescent="0.45">
      <c r="B240">
        <v>694</v>
      </c>
      <c r="C240" s="16">
        <v>98112</v>
      </c>
      <c r="D240" s="16" t="s">
        <v>1474</v>
      </c>
      <c r="E240" s="16" t="s">
        <v>1487</v>
      </c>
      <c r="F240" s="25" t="s">
        <v>44</v>
      </c>
    </row>
    <row r="241" spans="2:6" x14ac:dyDescent="0.45">
      <c r="B241">
        <v>706</v>
      </c>
      <c r="C241" s="16">
        <v>98112</v>
      </c>
      <c r="D241" s="16" t="s">
        <v>1474</v>
      </c>
      <c r="E241" s="16" t="s">
        <v>1487</v>
      </c>
      <c r="F241" s="25" t="s">
        <v>44</v>
      </c>
    </row>
    <row r="242" spans="2:6" x14ac:dyDescent="0.45">
      <c r="B242">
        <v>729</v>
      </c>
      <c r="C242" s="16">
        <v>98112</v>
      </c>
      <c r="D242" s="16" t="s">
        <v>1474</v>
      </c>
      <c r="E242" s="16" t="s">
        <v>1487</v>
      </c>
      <c r="F242" s="25" t="s">
        <v>44</v>
      </c>
    </row>
    <row r="243" spans="2:6" x14ac:dyDescent="0.45">
      <c r="B243">
        <v>768</v>
      </c>
      <c r="C243" s="16">
        <v>98112</v>
      </c>
      <c r="D243" s="16" t="s">
        <v>1474</v>
      </c>
      <c r="E243" s="16" t="s">
        <v>1487</v>
      </c>
      <c r="F243" s="25" t="s">
        <v>44</v>
      </c>
    </row>
    <row r="244" spans="2:6" x14ac:dyDescent="0.45">
      <c r="B244">
        <v>788</v>
      </c>
      <c r="C244" s="16">
        <v>98112</v>
      </c>
      <c r="D244" s="16" t="s">
        <v>1474</v>
      </c>
      <c r="E244" s="16" t="s">
        <v>1487</v>
      </c>
      <c r="F244" s="25" t="s">
        <v>44</v>
      </c>
    </row>
    <row r="245" spans="2:6" x14ac:dyDescent="0.45">
      <c r="B245">
        <v>818</v>
      </c>
      <c r="C245" s="16">
        <v>98112</v>
      </c>
      <c r="D245" s="16" t="s">
        <v>1474</v>
      </c>
      <c r="E245" s="16" t="s">
        <v>1487</v>
      </c>
      <c r="F245" s="25" t="s">
        <v>44</v>
      </c>
    </row>
    <row r="246" spans="2:6" x14ac:dyDescent="0.45">
      <c r="B246">
        <v>854</v>
      </c>
      <c r="C246" s="16">
        <v>98112</v>
      </c>
      <c r="D246" s="16" t="s">
        <v>1474</v>
      </c>
      <c r="E246" s="16" t="s">
        <v>1487</v>
      </c>
      <c r="F246" s="25" t="s">
        <v>44</v>
      </c>
    </row>
    <row r="247" spans="2:6" x14ac:dyDescent="0.45">
      <c r="B247">
        <v>108</v>
      </c>
      <c r="C247" s="16">
        <v>98113</v>
      </c>
      <c r="D247" s="16" t="s">
        <v>1474</v>
      </c>
      <c r="E247" s="16" t="s">
        <v>1488</v>
      </c>
      <c r="F247" s="25" t="s">
        <v>45</v>
      </c>
    </row>
    <row r="248" spans="2:6" x14ac:dyDescent="0.45">
      <c r="B248">
        <v>174</v>
      </c>
      <c r="C248" s="16">
        <v>98113</v>
      </c>
      <c r="D248" s="16" t="s">
        <v>1474</v>
      </c>
      <c r="E248" s="16" t="s">
        <v>1488</v>
      </c>
      <c r="F248" s="25" t="s">
        <v>45</v>
      </c>
    </row>
    <row r="249" spans="2:6" x14ac:dyDescent="0.45">
      <c r="B249">
        <v>180</v>
      </c>
      <c r="C249" s="16">
        <v>98113</v>
      </c>
      <c r="D249" s="16" t="s">
        <v>1474</v>
      </c>
      <c r="E249" s="16" t="s">
        <v>1488</v>
      </c>
      <c r="F249" s="25" t="s">
        <v>45</v>
      </c>
    </row>
    <row r="250" spans="2:6" x14ac:dyDescent="0.45">
      <c r="B250">
        <v>231</v>
      </c>
      <c r="C250" s="16">
        <v>98113</v>
      </c>
      <c r="D250" s="16" t="s">
        <v>1474</v>
      </c>
      <c r="E250" s="16" t="s">
        <v>1488</v>
      </c>
      <c r="F250" s="25" t="s">
        <v>45</v>
      </c>
    </row>
    <row r="251" spans="2:6" x14ac:dyDescent="0.45">
      <c r="B251">
        <v>232</v>
      </c>
      <c r="C251" s="16">
        <v>98113</v>
      </c>
      <c r="D251" s="16" t="s">
        <v>1474</v>
      </c>
      <c r="E251" s="16" t="s">
        <v>1488</v>
      </c>
      <c r="F251" s="25" t="s">
        <v>45</v>
      </c>
    </row>
    <row r="252" spans="2:6" x14ac:dyDescent="0.45">
      <c r="B252">
        <v>262</v>
      </c>
      <c r="C252" s="16">
        <v>98113</v>
      </c>
      <c r="D252" s="16" t="s">
        <v>1474</v>
      </c>
      <c r="E252" s="16" t="s">
        <v>1488</v>
      </c>
      <c r="F252" s="25" t="s">
        <v>45</v>
      </c>
    </row>
    <row r="253" spans="2:6" x14ac:dyDescent="0.45">
      <c r="B253">
        <v>404</v>
      </c>
      <c r="C253" s="16">
        <v>98113</v>
      </c>
      <c r="D253" s="16" t="s">
        <v>1474</v>
      </c>
      <c r="E253" s="16" t="s">
        <v>1488</v>
      </c>
      <c r="F253" s="25" t="s">
        <v>45</v>
      </c>
    </row>
    <row r="254" spans="2:6" x14ac:dyDescent="0.45">
      <c r="B254">
        <v>434</v>
      </c>
      <c r="C254" s="16">
        <v>98113</v>
      </c>
      <c r="D254" s="16" t="s">
        <v>1474</v>
      </c>
      <c r="E254" s="16" t="s">
        <v>1488</v>
      </c>
      <c r="F254" s="25" t="s">
        <v>45</v>
      </c>
    </row>
    <row r="255" spans="2:6" x14ac:dyDescent="0.45">
      <c r="B255">
        <v>450</v>
      </c>
      <c r="C255" s="16">
        <v>98113</v>
      </c>
      <c r="D255" s="16" t="s">
        <v>1474</v>
      </c>
      <c r="E255" s="16" t="s">
        <v>1488</v>
      </c>
      <c r="F255" s="25" t="s">
        <v>45</v>
      </c>
    </row>
    <row r="256" spans="2:6" x14ac:dyDescent="0.45">
      <c r="B256">
        <v>454</v>
      </c>
      <c r="C256" s="16">
        <v>98113</v>
      </c>
      <c r="D256" s="16" t="s">
        <v>1474</v>
      </c>
      <c r="E256" s="16" t="s">
        <v>1488</v>
      </c>
      <c r="F256" s="25" t="s">
        <v>45</v>
      </c>
    </row>
    <row r="257" spans="2:6" x14ac:dyDescent="0.45">
      <c r="B257">
        <v>480</v>
      </c>
      <c r="C257" s="16">
        <v>98113</v>
      </c>
      <c r="D257" s="16" t="s">
        <v>1474</v>
      </c>
      <c r="E257" s="16" t="s">
        <v>1488</v>
      </c>
      <c r="F257" s="25" t="s">
        <v>45</v>
      </c>
    </row>
    <row r="258" spans="2:6" x14ac:dyDescent="0.45">
      <c r="B258">
        <v>646</v>
      </c>
      <c r="C258" s="16">
        <v>98113</v>
      </c>
      <c r="D258" s="16" t="s">
        <v>1474</v>
      </c>
      <c r="E258" s="16" t="s">
        <v>1488</v>
      </c>
      <c r="F258" s="25" t="s">
        <v>45</v>
      </c>
    </row>
    <row r="259" spans="2:6" x14ac:dyDescent="0.45">
      <c r="B259">
        <v>690</v>
      </c>
      <c r="C259" s="16">
        <v>98113</v>
      </c>
      <c r="D259" s="16" t="s">
        <v>1474</v>
      </c>
      <c r="E259" s="16" t="s">
        <v>1488</v>
      </c>
      <c r="F259" s="25" t="s">
        <v>45</v>
      </c>
    </row>
    <row r="260" spans="2:6" x14ac:dyDescent="0.45">
      <c r="B260">
        <v>706</v>
      </c>
      <c r="C260" s="16">
        <v>98113</v>
      </c>
      <c r="D260" s="16" t="s">
        <v>1474</v>
      </c>
      <c r="E260" s="16" t="s">
        <v>1488</v>
      </c>
      <c r="F260" s="25" t="s">
        <v>45</v>
      </c>
    </row>
    <row r="261" spans="2:6" x14ac:dyDescent="0.45">
      <c r="B261">
        <v>716</v>
      </c>
      <c r="C261" s="16">
        <v>98113</v>
      </c>
      <c r="D261" s="16" t="s">
        <v>1474</v>
      </c>
      <c r="E261" s="16" t="s">
        <v>1488</v>
      </c>
      <c r="F261" s="25" t="s">
        <v>45</v>
      </c>
    </row>
    <row r="262" spans="2:6" x14ac:dyDescent="0.45">
      <c r="B262">
        <v>729</v>
      </c>
      <c r="C262" s="16">
        <v>98113</v>
      </c>
      <c r="D262" s="16" t="s">
        <v>1474</v>
      </c>
      <c r="E262" s="16" t="s">
        <v>1488</v>
      </c>
      <c r="F262" s="25" t="s">
        <v>45</v>
      </c>
    </row>
    <row r="263" spans="2:6" x14ac:dyDescent="0.45">
      <c r="B263">
        <v>748</v>
      </c>
      <c r="C263" s="16">
        <v>98113</v>
      </c>
      <c r="D263" s="16" t="s">
        <v>1474</v>
      </c>
      <c r="E263" s="16" t="s">
        <v>1488</v>
      </c>
      <c r="F263" s="25" t="s">
        <v>45</v>
      </c>
    </row>
    <row r="264" spans="2:6" x14ac:dyDescent="0.45">
      <c r="B264">
        <v>788</v>
      </c>
      <c r="C264" s="16">
        <v>98113</v>
      </c>
      <c r="D264" s="16" t="s">
        <v>1474</v>
      </c>
      <c r="E264" s="16" t="s">
        <v>1488</v>
      </c>
      <c r="F264" s="25" t="s">
        <v>45</v>
      </c>
    </row>
    <row r="265" spans="2:6" x14ac:dyDescent="0.45">
      <c r="B265">
        <v>800</v>
      </c>
      <c r="C265" s="16">
        <v>98113</v>
      </c>
      <c r="D265" s="16" t="s">
        <v>1474</v>
      </c>
      <c r="E265" s="16" t="s">
        <v>1488</v>
      </c>
      <c r="F265" s="25" t="s">
        <v>45</v>
      </c>
    </row>
    <row r="266" spans="2:6" x14ac:dyDescent="0.45">
      <c r="B266">
        <v>818</v>
      </c>
      <c r="C266" s="16">
        <v>98113</v>
      </c>
      <c r="D266" s="16" t="s">
        <v>1474</v>
      </c>
      <c r="E266" s="16" t="s">
        <v>1488</v>
      </c>
      <c r="F266" s="25" t="s">
        <v>45</v>
      </c>
    </row>
    <row r="267" spans="2:6" x14ac:dyDescent="0.45">
      <c r="B267">
        <v>894</v>
      </c>
      <c r="C267" s="16">
        <v>98113</v>
      </c>
      <c r="D267" s="16" t="s">
        <v>1474</v>
      </c>
      <c r="E267" s="16" t="s">
        <v>1488</v>
      </c>
      <c r="F267" s="25" t="s">
        <v>45</v>
      </c>
    </row>
    <row r="268" spans="2:6" x14ac:dyDescent="0.45">
      <c r="B268">
        <v>108</v>
      </c>
      <c r="C268" s="16">
        <v>98114</v>
      </c>
      <c r="D268" s="16" t="s">
        <v>1474</v>
      </c>
      <c r="E268" s="16" t="s">
        <v>1489</v>
      </c>
      <c r="F268" s="25" t="s">
        <v>46</v>
      </c>
    </row>
    <row r="269" spans="2:6" x14ac:dyDescent="0.45">
      <c r="B269" s="25">
        <v>180</v>
      </c>
      <c r="C269" s="26">
        <v>98114</v>
      </c>
      <c r="D269" s="26" t="s">
        <v>1474</v>
      </c>
      <c r="E269" s="26" t="s">
        <v>1489</v>
      </c>
      <c r="F269" s="25" t="s">
        <v>46</v>
      </c>
    </row>
    <row r="270" spans="2:6" x14ac:dyDescent="0.45">
      <c r="B270">
        <v>404</v>
      </c>
      <c r="C270" s="16">
        <v>98114</v>
      </c>
      <c r="D270" s="16" t="s">
        <v>1474</v>
      </c>
      <c r="E270" s="16" t="s">
        <v>1489</v>
      </c>
      <c r="F270" s="25" t="s">
        <v>46</v>
      </c>
    </row>
    <row r="271" spans="2:6" x14ac:dyDescent="0.45">
      <c r="B271">
        <v>646</v>
      </c>
      <c r="C271" s="16">
        <v>98114</v>
      </c>
      <c r="D271" s="16" t="s">
        <v>1474</v>
      </c>
      <c r="E271" s="16" t="s">
        <v>1489</v>
      </c>
      <c r="F271" s="25" t="s">
        <v>46</v>
      </c>
    </row>
    <row r="272" spans="2:6" x14ac:dyDescent="0.45">
      <c r="B272">
        <v>728</v>
      </c>
      <c r="C272" s="16">
        <v>98114</v>
      </c>
      <c r="D272" s="16" t="s">
        <v>1474</v>
      </c>
      <c r="E272" s="16" t="s">
        <v>1489</v>
      </c>
      <c r="F272" s="25" t="s">
        <v>46</v>
      </c>
    </row>
    <row r="273" spans="2:6" x14ac:dyDescent="0.45">
      <c r="B273">
        <v>800</v>
      </c>
      <c r="C273" s="16">
        <v>98114</v>
      </c>
      <c r="D273" s="16" t="s">
        <v>1474</v>
      </c>
      <c r="E273" s="16" t="s">
        <v>1489</v>
      </c>
      <c r="F273" s="25" t="s">
        <v>46</v>
      </c>
    </row>
    <row r="274" spans="2:6" x14ac:dyDescent="0.45">
      <c r="B274">
        <v>834</v>
      </c>
      <c r="C274" s="16">
        <v>98114</v>
      </c>
      <c r="D274" s="16" t="s">
        <v>1474</v>
      </c>
      <c r="E274" s="16" t="s">
        <v>1489</v>
      </c>
      <c r="F274" s="25" t="s">
        <v>46</v>
      </c>
    </row>
    <row r="275" spans="2:6" x14ac:dyDescent="0.45">
      <c r="B275">
        <v>132</v>
      </c>
      <c r="C275" s="16">
        <v>98115</v>
      </c>
      <c r="D275" s="16" t="s">
        <v>1474</v>
      </c>
      <c r="E275" s="16" t="s">
        <v>1490</v>
      </c>
      <c r="F275" s="25" t="s">
        <v>47</v>
      </c>
    </row>
    <row r="276" spans="2:6" x14ac:dyDescent="0.45">
      <c r="B276">
        <v>174</v>
      </c>
      <c r="C276" s="16">
        <v>98115</v>
      </c>
      <c r="D276" s="16" t="s">
        <v>1474</v>
      </c>
      <c r="E276" s="16" t="s">
        <v>1490</v>
      </c>
      <c r="F276" s="25" t="s">
        <v>47</v>
      </c>
    </row>
    <row r="277" spans="2:6" x14ac:dyDescent="0.45">
      <c r="B277">
        <v>450</v>
      </c>
      <c r="C277" s="16">
        <v>98115</v>
      </c>
      <c r="D277" s="16" t="s">
        <v>1474</v>
      </c>
      <c r="E277" s="16" t="s">
        <v>1490</v>
      </c>
      <c r="F277" s="25" t="s">
        <v>47</v>
      </c>
    </row>
    <row r="278" spans="2:6" x14ac:dyDescent="0.45">
      <c r="B278">
        <v>480</v>
      </c>
      <c r="C278" s="16">
        <v>98115</v>
      </c>
      <c r="D278" s="16" t="s">
        <v>1474</v>
      </c>
      <c r="E278" s="16" t="s">
        <v>1490</v>
      </c>
      <c r="F278" s="25" t="s">
        <v>47</v>
      </c>
    </row>
    <row r="279" spans="2:6" x14ac:dyDescent="0.45">
      <c r="B279">
        <v>678</v>
      </c>
      <c r="C279" s="16">
        <v>98115</v>
      </c>
      <c r="D279" s="16" t="s">
        <v>1474</v>
      </c>
      <c r="E279" s="16" t="s">
        <v>1490</v>
      </c>
      <c r="F279" s="25" t="s">
        <v>47</v>
      </c>
    </row>
    <row r="280" spans="2:6" x14ac:dyDescent="0.45">
      <c r="B280">
        <v>690</v>
      </c>
      <c r="C280" s="16">
        <v>98115</v>
      </c>
      <c r="D280" s="16" t="s">
        <v>1474</v>
      </c>
      <c r="E280" s="16" t="s">
        <v>1490</v>
      </c>
      <c r="F280" s="25" t="s">
        <v>47</v>
      </c>
    </row>
    <row r="281" spans="2:6" x14ac:dyDescent="0.45">
      <c r="B281">
        <v>72</v>
      </c>
      <c r="C281" s="16">
        <v>98116</v>
      </c>
      <c r="D281" s="16" t="s">
        <v>1474</v>
      </c>
      <c r="E281" s="16" t="s">
        <v>1491</v>
      </c>
      <c r="F281" s="25" t="s">
        <v>48</v>
      </c>
    </row>
    <row r="282" spans="2:6" x14ac:dyDescent="0.45">
      <c r="B282">
        <v>108</v>
      </c>
      <c r="C282" s="16">
        <v>98116</v>
      </c>
      <c r="D282" s="16" t="s">
        <v>1474</v>
      </c>
      <c r="E282" s="16" t="s">
        <v>1491</v>
      </c>
      <c r="F282" s="25" t="s">
        <v>48</v>
      </c>
    </row>
    <row r="283" spans="2:6" x14ac:dyDescent="0.45">
      <c r="B283">
        <v>140</v>
      </c>
      <c r="C283" s="16">
        <v>98116</v>
      </c>
      <c r="D283" s="16" t="s">
        <v>1474</v>
      </c>
      <c r="E283" s="16" t="s">
        <v>1491</v>
      </c>
      <c r="F283" s="25" t="s">
        <v>48</v>
      </c>
    </row>
    <row r="284" spans="2:6" x14ac:dyDescent="0.45">
      <c r="B284">
        <v>148</v>
      </c>
      <c r="C284" s="16">
        <v>98116</v>
      </c>
      <c r="D284" s="16" t="s">
        <v>1474</v>
      </c>
      <c r="E284" s="16" t="s">
        <v>1491</v>
      </c>
      <c r="F284" s="25" t="s">
        <v>48</v>
      </c>
    </row>
    <row r="285" spans="2:6" x14ac:dyDescent="0.45">
      <c r="B285">
        <v>231</v>
      </c>
      <c r="C285" s="16">
        <v>98116</v>
      </c>
      <c r="D285" s="16" t="s">
        <v>1474</v>
      </c>
      <c r="E285" s="16" t="s">
        <v>1491</v>
      </c>
      <c r="F285" s="25" t="s">
        <v>48</v>
      </c>
    </row>
    <row r="286" spans="2:6" x14ac:dyDescent="0.45">
      <c r="B286">
        <v>426</v>
      </c>
      <c r="C286" s="16">
        <v>98116</v>
      </c>
      <c r="D286" s="16" t="s">
        <v>1474</v>
      </c>
      <c r="E286" s="16" t="s">
        <v>1491</v>
      </c>
      <c r="F286" s="25" t="s">
        <v>48</v>
      </c>
    </row>
    <row r="287" spans="2:6" x14ac:dyDescent="0.45">
      <c r="B287">
        <v>454</v>
      </c>
      <c r="C287" s="16">
        <v>98116</v>
      </c>
      <c r="D287" s="16" t="s">
        <v>1474</v>
      </c>
      <c r="E287" s="16" t="s">
        <v>1491</v>
      </c>
      <c r="F287" s="25" t="s">
        <v>48</v>
      </c>
    </row>
    <row r="288" spans="2:6" x14ac:dyDescent="0.45">
      <c r="B288">
        <v>466</v>
      </c>
      <c r="C288" s="16">
        <v>98116</v>
      </c>
      <c r="D288" s="16" t="s">
        <v>1474</v>
      </c>
      <c r="E288" s="16" t="s">
        <v>1491</v>
      </c>
      <c r="F288" s="25" t="s">
        <v>48</v>
      </c>
    </row>
    <row r="289" spans="2:6" x14ac:dyDescent="0.45">
      <c r="B289">
        <v>562</v>
      </c>
      <c r="C289" s="16">
        <v>98116</v>
      </c>
      <c r="D289" s="16" t="s">
        <v>1474</v>
      </c>
      <c r="E289" s="16" t="s">
        <v>1491</v>
      </c>
      <c r="F289" s="25" t="s">
        <v>48</v>
      </c>
    </row>
    <row r="290" spans="2:6" x14ac:dyDescent="0.45">
      <c r="B290">
        <v>646</v>
      </c>
      <c r="C290" s="16">
        <v>98116</v>
      </c>
      <c r="D290" s="16" t="s">
        <v>1474</v>
      </c>
      <c r="E290" s="16" t="s">
        <v>1491</v>
      </c>
      <c r="F290" s="25" t="s">
        <v>48</v>
      </c>
    </row>
    <row r="291" spans="2:6" x14ac:dyDescent="0.45">
      <c r="B291">
        <v>716</v>
      </c>
      <c r="C291" s="16">
        <v>98116</v>
      </c>
      <c r="D291" s="16" t="s">
        <v>1474</v>
      </c>
      <c r="E291" s="16" t="s">
        <v>1491</v>
      </c>
      <c r="F291" s="25" t="s">
        <v>48</v>
      </c>
    </row>
    <row r="292" spans="2:6" x14ac:dyDescent="0.45">
      <c r="B292">
        <v>728</v>
      </c>
      <c r="C292" s="16">
        <v>98116</v>
      </c>
      <c r="D292" s="16" t="s">
        <v>1474</v>
      </c>
      <c r="E292" s="16" t="s">
        <v>1491</v>
      </c>
      <c r="F292" s="25" t="s">
        <v>48</v>
      </c>
    </row>
    <row r="293" spans="2:6" x14ac:dyDescent="0.45">
      <c r="B293">
        <v>748</v>
      </c>
      <c r="C293" s="16">
        <v>98116</v>
      </c>
      <c r="D293" s="16" t="s">
        <v>1474</v>
      </c>
      <c r="E293" s="16" t="s">
        <v>1491</v>
      </c>
      <c r="F293" s="25" t="s">
        <v>48</v>
      </c>
    </row>
    <row r="294" spans="2:6" x14ac:dyDescent="0.45">
      <c r="B294">
        <v>800</v>
      </c>
      <c r="C294" s="16">
        <v>98116</v>
      </c>
      <c r="D294" s="16" t="s">
        <v>1474</v>
      </c>
      <c r="E294" s="16" t="s">
        <v>1491</v>
      </c>
      <c r="F294" s="25" t="s">
        <v>48</v>
      </c>
    </row>
    <row r="295" spans="2:6" x14ac:dyDescent="0.45">
      <c r="B295">
        <v>854</v>
      </c>
      <c r="C295" s="16">
        <v>98116</v>
      </c>
      <c r="D295" s="16" t="s">
        <v>1474</v>
      </c>
      <c r="E295" s="16" t="s">
        <v>1491</v>
      </c>
      <c r="F295" s="25" t="s">
        <v>48</v>
      </c>
    </row>
    <row r="296" spans="2:6" x14ac:dyDescent="0.45">
      <c r="B296">
        <v>894</v>
      </c>
      <c r="C296" s="16">
        <v>98116</v>
      </c>
      <c r="D296" s="16" t="s">
        <v>1474</v>
      </c>
      <c r="E296" s="16" t="s">
        <v>1491</v>
      </c>
      <c r="F296" s="25" t="s">
        <v>48</v>
      </c>
    </row>
    <row r="297" spans="2:6" x14ac:dyDescent="0.45">
      <c r="B297">
        <v>108</v>
      </c>
      <c r="C297" s="16">
        <v>98117</v>
      </c>
      <c r="D297" s="16" t="s">
        <v>1474</v>
      </c>
      <c r="E297" s="16" t="s">
        <v>1492</v>
      </c>
      <c r="F297" s="25" t="s">
        <v>49</v>
      </c>
    </row>
    <row r="298" spans="2:6" x14ac:dyDescent="0.45">
      <c r="B298">
        <v>140</v>
      </c>
      <c r="C298" s="16">
        <v>98117</v>
      </c>
      <c r="D298" s="16" t="s">
        <v>1474</v>
      </c>
      <c r="E298" s="16" t="s">
        <v>1492</v>
      </c>
      <c r="F298" s="25" t="s">
        <v>49</v>
      </c>
    </row>
    <row r="299" spans="2:6" x14ac:dyDescent="0.45">
      <c r="B299">
        <v>148</v>
      </c>
      <c r="C299" s="16">
        <v>98117</v>
      </c>
      <c r="D299" s="16" t="s">
        <v>1474</v>
      </c>
      <c r="E299" s="16" t="s">
        <v>1492</v>
      </c>
      <c r="F299" s="25" t="s">
        <v>49</v>
      </c>
    </row>
    <row r="300" spans="2:6" x14ac:dyDescent="0.45">
      <c r="B300">
        <v>231</v>
      </c>
      <c r="C300" s="16">
        <v>98117</v>
      </c>
      <c r="D300" s="16" t="s">
        <v>1474</v>
      </c>
      <c r="E300" s="16" t="s">
        <v>1492</v>
      </c>
      <c r="F300" s="25" t="s">
        <v>49</v>
      </c>
    </row>
    <row r="301" spans="2:6" x14ac:dyDescent="0.45">
      <c r="B301">
        <v>426</v>
      </c>
      <c r="C301" s="16">
        <v>98117</v>
      </c>
      <c r="D301" s="16" t="s">
        <v>1474</v>
      </c>
      <c r="E301" s="16" t="s">
        <v>1492</v>
      </c>
      <c r="F301" s="25" t="s">
        <v>49</v>
      </c>
    </row>
    <row r="302" spans="2:6" x14ac:dyDescent="0.45">
      <c r="B302">
        <v>454</v>
      </c>
      <c r="C302" s="16">
        <v>98117</v>
      </c>
      <c r="D302" s="16" t="s">
        <v>1474</v>
      </c>
      <c r="E302" s="16" t="s">
        <v>1492</v>
      </c>
      <c r="F302" s="25" t="s">
        <v>49</v>
      </c>
    </row>
    <row r="303" spans="2:6" x14ac:dyDescent="0.45">
      <c r="B303">
        <v>466</v>
      </c>
      <c r="C303" s="16">
        <v>98117</v>
      </c>
      <c r="D303" s="16" t="s">
        <v>1474</v>
      </c>
      <c r="E303" s="16" t="s">
        <v>1492</v>
      </c>
      <c r="F303" s="25" t="s">
        <v>49</v>
      </c>
    </row>
    <row r="304" spans="2:6" x14ac:dyDescent="0.45">
      <c r="B304">
        <v>562</v>
      </c>
      <c r="C304" s="16">
        <v>98117</v>
      </c>
      <c r="D304" s="16" t="s">
        <v>1474</v>
      </c>
      <c r="E304" s="16" t="s">
        <v>1492</v>
      </c>
      <c r="F304" s="25" t="s">
        <v>49</v>
      </c>
    </row>
    <row r="305" spans="2:6" x14ac:dyDescent="0.45">
      <c r="B305">
        <v>646</v>
      </c>
      <c r="C305" s="16">
        <v>98117</v>
      </c>
      <c r="D305" s="16" t="s">
        <v>1474</v>
      </c>
      <c r="E305" s="16" t="s">
        <v>1492</v>
      </c>
      <c r="F305" s="25" t="s">
        <v>49</v>
      </c>
    </row>
    <row r="306" spans="2:6" x14ac:dyDescent="0.45">
      <c r="B306">
        <v>728</v>
      </c>
      <c r="C306" s="16">
        <v>98117</v>
      </c>
      <c r="D306" s="16" t="s">
        <v>1474</v>
      </c>
      <c r="E306" s="16" t="s">
        <v>1492</v>
      </c>
      <c r="F306" s="25" t="s">
        <v>49</v>
      </c>
    </row>
    <row r="307" spans="2:6" x14ac:dyDescent="0.45">
      <c r="B307">
        <v>800</v>
      </c>
      <c r="C307" s="16">
        <v>98117</v>
      </c>
      <c r="D307" s="16" t="s">
        <v>1474</v>
      </c>
      <c r="E307" s="16" t="s">
        <v>1492</v>
      </c>
      <c r="F307" s="25" t="s">
        <v>49</v>
      </c>
    </row>
    <row r="308" spans="2:6" x14ac:dyDescent="0.45">
      <c r="B308">
        <v>854</v>
      </c>
      <c r="C308" s="16">
        <v>98117</v>
      </c>
      <c r="D308" s="16" t="s">
        <v>1474</v>
      </c>
      <c r="E308" s="16" t="s">
        <v>1492</v>
      </c>
      <c r="F308" s="25" t="s">
        <v>49</v>
      </c>
    </row>
    <row r="309" spans="2:6" x14ac:dyDescent="0.45">
      <c r="B309">
        <v>894</v>
      </c>
      <c r="C309" s="16">
        <v>98117</v>
      </c>
      <c r="D309" s="16" t="s">
        <v>1474</v>
      </c>
      <c r="E309" s="16" t="s">
        <v>1492</v>
      </c>
      <c r="F309" s="25" t="s">
        <v>49</v>
      </c>
    </row>
    <row r="310" spans="2:6" x14ac:dyDescent="0.45">
      <c r="B310">
        <v>24</v>
      </c>
      <c r="C310" s="16">
        <v>98118</v>
      </c>
      <c r="D310" s="16" t="s">
        <v>1474</v>
      </c>
      <c r="E310" s="16" t="s">
        <v>1493</v>
      </c>
      <c r="F310" s="25" t="s">
        <v>50</v>
      </c>
    </row>
    <row r="311" spans="2:6" x14ac:dyDescent="0.45">
      <c r="B311">
        <v>108</v>
      </c>
      <c r="C311" s="16">
        <v>98118</v>
      </c>
      <c r="D311" s="16" t="s">
        <v>1474</v>
      </c>
      <c r="E311" s="16" t="s">
        <v>1493</v>
      </c>
      <c r="F311" s="25" t="s">
        <v>50</v>
      </c>
    </row>
    <row r="312" spans="2:6" x14ac:dyDescent="0.45">
      <c r="B312">
        <v>140</v>
      </c>
      <c r="C312" s="16">
        <v>98118</v>
      </c>
      <c r="D312" s="16" t="s">
        <v>1474</v>
      </c>
      <c r="E312" s="16" t="s">
        <v>1493</v>
      </c>
      <c r="F312" s="25" t="s">
        <v>50</v>
      </c>
    </row>
    <row r="313" spans="2:6" x14ac:dyDescent="0.45">
      <c r="B313">
        <v>148</v>
      </c>
      <c r="C313" s="16">
        <v>98118</v>
      </c>
      <c r="D313" s="16" t="s">
        <v>1474</v>
      </c>
      <c r="E313" s="16" t="s">
        <v>1493</v>
      </c>
      <c r="F313" s="25" t="s">
        <v>50</v>
      </c>
    </row>
    <row r="314" spans="2:6" x14ac:dyDescent="0.45">
      <c r="B314">
        <v>174</v>
      </c>
      <c r="C314" s="16">
        <v>98118</v>
      </c>
      <c r="D314" s="16" t="s">
        <v>1474</v>
      </c>
      <c r="E314" s="16" t="s">
        <v>1493</v>
      </c>
      <c r="F314" s="25" t="s">
        <v>50</v>
      </c>
    </row>
    <row r="315" spans="2:6" x14ac:dyDescent="0.45">
      <c r="B315">
        <v>180</v>
      </c>
      <c r="C315" s="16">
        <v>98118</v>
      </c>
      <c r="D315" s="16" t="s">
        <v>1474</v>
      </c>
      <c r="E315" s="16" t="s">
        <v>1493</v>
      </c>
      <c r="F315" s="25" t="s">
        <v>50</v>
      </c>
    </row>
    <row r="316" spans="2:6" x14ac:dyDescent="0.45">
      <c r="B316">
        <v>204</v>
      </c>
      <c r="C316" s="16">
        <v>98118</v>
      </c>
      <c r="D316" s="16" t="s">
        <v>1474</v>
      </c>
      <c r="E316" s="16" t="s">
        <v>1493</v>
      </c>
      <c r="F316" s="25" t="s">
        <v>50</v>
      </c>
    </row>
    <row r="317" spans="2:6" x14ac:dyDescent="0.45">
      <c r="B317">
        <v>231</v>
      </c>
      <c r="C317" s="16">
        <v>98118</v>
      </c>
      <c r="D317" s="16" t="s">
        <v>1474</v>
      </c>
      <c r="E317" s="16" t="s">
        <v>1493</v>
      </c>
      <c r="F317" s="25" t="s">
        <v>50</v>
      </c>
    </row>
    <row r="318" spans="2:6" x14ac:dyDescent="0.45">
      <c r="B318">
        <v>232</v>
      </c>
      <c r="C318" s="16">
        <v>98118</v>
      </c>
      <c r="D318" s="16" t="s">
        <v>1474</v>
      </c>
      <c r="E318" s="16" t="s">
        <v>1493</v>
      </c>
      <c r="F318" s="25" t="s">
        <v>50</v>
      </c>
    </row>
    <row r="319" spans="2:6" x14ac:dyDescent="0.45">
      <c r="B319">
        <v>262</v>
      </c>
      <c r="C319" s="16">
        <v>98118</v>
      </c>
      <c r="D319" s="16" t="s">
        <v>1474</v>
      </c>
      <c r="E319" s="16" t="s">
        <v>1493</v>
      </c>
      <c r="F319" s="25" t="s">
        <v>50</v>
      </c>
    </row>
    <row r="320" spans="2:6" x14ac:dyDescent="0.45">
      <c r="B320">
        <v>270</v>
      </c>
      <c r="C320" s="16">
        <v>98118</v>
      </c>
      <c r="D320" s="16" t="s">
        <v>1474</v>
      </c>
      <c r="E320" s="16" t="s">
        <v>1493</v>
      </c>
      <c r="F320" s="25" t="s">
        <v>50</v>
      </c>
    </row>
    <row r="321" spans="2:6" x14ac:dyDescent="0.45">
      <c r="B321">
        <v>324</v>
      </c>
      <c r="C321" s="16">
        <v>98118</v>
      </c>
      <c r="D321" s="16" t="s">
        <v>1474</v>
      </c>
      <c r="E321" s="16" t="s">
        <v>1493</v>
      </c>
      <c r="F321" s="25" t="s">
        <v>50</v>
      </c>
    </row>
    <row r="322" spans="2:6" x14ac:dyDescent="0.45">
      <c r="B322">
        <v>426</v>
      </c>
      <c r="C322" s="16">
        <v>98118</v>
      </c>
      <c r="D322" s="16" t="s">
        <v>1474</v>
      </c>
      <c r="E322" s="16" t="s">
        <v>1493</v>
      </c>
      <c r="F322" s="25" t="s">
        <v>50</v>
      </c>
    </row>
    <row r="323" spans="2:6" x14ac:dyDescent="0.45">
      <c r="B323">
        <v>430</v>
      </c>
      <c r="C323" s="16">
        <v>98118</v>
      </c>
      <c r="D323" s="16" t="s">
        <v>1474</v>
      </c>
      <c r="E323" s="16" t="s">
        <v>1493</v>
      </c>
      <c r="F323" s="25" t="s">
        <v>50</v>
      </c>
    </row>
    <row r="324" spans="2:6" x14ac:dyDescent="0.45">
      <c r="B324">
        <v>450</v>
      </c>
      <c r="C324" s="16">
        <v>98118</v>
      </c>
      <c r="D324" s="16" t="s">
        <v>1474</v>
      </c>
      <c r="E324" s="16" t="s">
        <v>1493</v>
      </c>
      <c r="F324" s="25" t="s">
        <v>50</v>
      </c>
    </row>
    <row r="325" spans="2:6" x14ac:dyDescent="0.45">
      <c r="B325">
        <v>454</v>
      </c>
      <c r="C325" s="16">
        <v>98118</v>
      </c>
      <c r="D325" s="16" t="s">
        <v>1474</v>
      </c>
      <c r="E325" s="16" t="s">
        <v>1493</v>
      </c>
      <c r="F325" s="25" t="s">
        <v>50</v>
      </c>
    </row>
    <row r="326" spans="2:6" x14ac:dyDescent="0.45">
      <c r="B326">
        <v>466</v>
      </c>
      <c r="C326" s="16">
        <v>98118</v>
      </c>
      <c r="D326" s="16" t="s">
        <v>1474</v>
      </c>
      <c r="E326" s="16" t="s">
        <v>1493</v>
      </c>
      <c r="F326" s="25" t="s">
        <v>50</v>
      </c>
    </row>
    <row r="327" spans="2:6" x14ac:dyDescent="0.45">
      <c r="B327">
        <v>478</v>
      </c>
      <c r="C327" s="16">
        <v>98118</v>
      </c>
      <c r="D327" s="16" t="s">
        <v>1474</v>
      </c>
      <c r="E327" s="16" t="s">
        <v>1493</v>
      </c>
      <c r="F327" s="25" t="s">
        <v>50</v>
      </c>
    </row>
    <row r="328" spans="2:6" x14ac:dyDescent="0.45">
      <c r="B328">
        <v>508</v>
      </c>
      <c r="C328" s="16">
        <v>98118</v>
      </c>
      <c r="D328" s="16" t="s">
        <v>1474</v>
      </c>
      <c r="E328" s="16" t="s">
        <v>1493</v>
      </c>
      <c r="F328" s="25" t="s">
        <v>50</v>
      </c>
    </row>
    <row r="329" spans="2:6" x14ac:dyDescent="0.45">
      <c r="B329">
        <v>562</v>
      </c>
      <c r="C329" s="16">
        <v>98118</v>
      </c>
      <c r="D329" s="16" t="s">
        <v>1474</v>
      </c>
      <c r="E329" s="16" t="s">
        <v>1493</v>
      </c>
      <c r="F329" s="25" t="s">
        <v>50</v>
      </c>
    </row>
    <row r="330" spans="2:6" x14ac:dyDescent="0.45">
      <c r="B330">
        <v>624</v>
      </c>
      <c r="C330" s="16">
        <v>98118</v>
      </c>
      <c r="D330" s="16" t="s">
        <v>1474</v>
      </c>
      <c r="E330" s="16" t="s">
        <v>1493</v>
      </c>
      <c r="F330" s="25" t="s">
        <v>50</v>
      </c>
    </row>
    <row r="331" spans="2:6" x14ac:dyDescent="0.45">
      <c r="B331">
        <v>646</v>
      </c>
      <c r="C331" s="16">
        <v>98118</v>
      </c>
      <c r="D331" s="16" t="s">
        <v>1474</v>
      </c>
      <c r="E331" s="16" t="s">
        <v>1493</v>
      </c>
      <c r="F331" s="25" t="s">
        <v>50</v>
      </c>
    </row>
    <row r="332" spans="2:6" x14ac:dyDescent="0.45">
      <c r="B332">
        <v>678</v>
      </c>
      <c r="C332" s="16">
        <v>98118</v>
      </c>
      <c r="D332" s="16" t="s">
        <v>1474</v>
      </c>
      <c r="E332" s="16" t="s">
        <v>1493</v>
      </c>
      <c r="F332" s="25" t="s">
        <v>50</v>
      </c>
    </row>
    <row r="333" spans="2:6" x14ac:dyDescent="0.45">
      <c r="B333">
        <v>686</v>
      </c>
      <c r="C333" s="16">
        <v>98118</v>
      </c>
      <c r="D333" s="16" t="s">
        <v>1474</v>
      </c>
      <c r="E333" s="16" t="s">
        <v>1493</v>
      </c>
      <c r="F333" s="25" t="s">
        <v>50</v>
      </c>
    </row>
    <row r="334" spans="2:6" x14ac:dyDescent="0.45">
      <c r="B334">
        <v>694</v>
      </c>
      <c r="C334" s="16">
        <v>98118</v>
      </c>
      <c r="D334" s="16" t="s">
        <v>1474</v>
      </c>
      <c r="E334" s="16" t="s">
        <v>1493</v>
      </c>
      <c r="F334" s="25" t="s">
        <v>50</v>
      </c>
    </row>
    <row r="335" spans="2:6" x14ac:dyDescent="0.45">
      <c r="B335">
        <v>706</v>
      </c>
      <c r="C335" s="16">
        <v>98118</v>
      </c>
      <c r="D335" s="16" t="s">
        <v>1474</v>
      </c>
      <c r="E335" s="16" t="s">
        <v>1493</v>
      </c>
      <c r="F335" s="25" t="s">
        <v>50</v>
      </c>
    </row>
    <row r="336" spans="2:6" x14ac:dyDescent="0.45">
      <c r="B336">
        <v>728</v>
      </c>
      <c r="C336" s="16">
        <v>98118</v>
      </c>
      <c r="D336" s="16" t="s">
        <v>1474</v>
      </c>
      <c r="E336" s="16" t="s">
        <v>1493</v>
      </c>
      <c r="F336" s="25" t="s">
        <v>50</v>
      </c>
    </row>
    <row r="337" spans="2:6" x14ac:dyDescent="0.45">
      <c r="B337">
        <v>729</v>
      </c>
      <c r="C337" s="16">
        <v>98118</v>
      </c>
      <c r="D337" s="16" t="s">
        <v>1474</v>
      </c>
      <c r="E337" s="16" t="s">
        <v>1493</v>
      </c>
      <c r="F337" s="25" t="s">
        <v>50</v>
      </c>
    </row>
    <row r="338" spans="2:6" x14ac:dyDescent="0.45">
      <c r="B338">
        <v>768</v>
      </c>
      <c r="C338" s="16">
        <v>98118</v>
      </c>
      <c r="D338" s="16" t="s">
        <v>1474</v>
      </c>
      <c r="E338" s="16" t="s">
        <v>1493</v>
      </c>
      <c r="F338" s="25" t="s">
        <v>50</v>
      </c>
    </row>
    <row r="339" spans="2:6" x14ac:dyDescent="0.45">
      <c r="B339">
        <v>800</v>
      </c>
      <c r="C339" s="16">
        <v>98118</v>
      </c>
      <c r="D339" s="16" t="s">
        <v>1474</v>
      </c>
      <c r="E339" s="16" t="s">
        <v>1493</v>
      </c>
      <c r="F339" s="25" t="s">
        <v>50</v>
      </c>
    </row>
    <row r="340" spans="2:6" x14ac:dyDescent="0.45">
      <c r="B340">
        <v>834</v>
      </c>
      <c r="C340" s="16">
        <v>98118</v>
      </c>
      <c r="D340" s="16" t="s">
        <v>1474</v>
      </c>
      <c r="E340" s="16" t="s">
        <v>1493</v>
      </c>
      <c r="F340" s="25" t="s">
        <v>50</v>
      </c>
    </row>
    <row r="341" spans="2:6" x14ac:dyDescent="0.45">
      <c r="B341">
        <v>854</v>
      </c>
      <c r="C341" s="16">
        <v>98118</v>
      </c>
      <c r="D341" s="16" t="s">
        <v>1474</v>
      </c>
      <c r="E341" s="16" t="s">
        <v>1493</v>
      </c>
      <c r="F341" s="25" t="s">
        <v>50</v>
      </c>
    </row>
    <row r="342" spans="2:6" x14ac:dyDescent="0.45">
      <c r="B342">
        <v>894</v>
      </c>
      <c r="C342" s="16">
        <v>98118</v>
      </c>
      <c r="D342" s="16" t="s">
        <v>1474</v>
      </c>
      <c r="E342" s="16" t="s">
        <v>1493</v>
      </c>
      <c r="F342" s="25" t="s">
        <v>50</v>
      </c>
    </row>
    <row r="343" spans="2:6" x14ac:dyDescent="0.45">
      <c r="B343">
        <v>12</v>
      </c>
      <c r="C343" s="16">
        <v>98119</v>
      </c>
      <c r="D343" s="16" t="s">
        <v>1474</v>
      </c>
      <c r="E343" s="16" t="s">
        <v>1494</v>
      </c>
      <c r="F343" s="25" t="s">
        <v>51</v>
      </c>
    </row>
    <row r="344" spans="2:6" x14ac:dyDescent="0.45">
      <c r="B344">
        <v>72</v>
      </c>
      <c r="C344" s="16">
        <v>98119</v>
      </c>
      <c r="D344" s="16" t="s">
        <v>1474</v>
      </c>
      <c r="E344" s="16" t="s">
        <v>1494</v>
      </c>
      <c r="F344" s="25" t="s">
        <v>51</v>
      </c>
    </row>
    <row r="345" spans="2:6" x14ac:dyDescent="0.45">
      <c r="B345">
        <v>140</v>
      </c>
      <c r="C345" s="16">
        <v>98119</v>
      </c>
      <c r="D345" s="16" t="s">
        <v>1474</v>
      </c>
      <c r="E345" s="16" t="s">
        <v>1494</v>
      </c>
      <c r="F345" s="25" t="s">
        <v>51</v>
      </c>
    </row>
    <row r="346" spans="2:6" x14ac:dyDescent="0.45">
      <c r="B346">
        <v>180</v>
      </c>
      <c r="C346" s="16">
        <v>98119</v>
      </c>
      <c r="D346" s="16" t="s">
        <v>1474</v>
      </c>
      <c r="E346" s="16" t="s">
        <v>1494</v>
      </c>
      <c r="F346" s="25" t="s">
        <v>51</v>
      </c>
    </row>
    <row r="347" spans="2:6" x14ac:dyDescent="0.45">
      <c r="B347">
        <v>204</v>
      </c>
      <c r="C347" s="16">
        <v>98119</v>
      </c>
      <c r="D347" s="16" t="s">
        <v>1474</v>
      </c>
      <c r="E347" s="16" t="s">
        <v>1494</v>
      </c>
      <c r="F347" s="25" t="s">
        <v>51</v>
      </c>
    </row>
    <row r="348" spans="2:6" x14ac:dyDescent="0.45">
      <c r="B348">
        <v>226</v>
      </c>
      <c r="C348" s="16">
        <v>98119</v>
      </c>
      <c r="D348" s="16" t="s">
        <v>1474</v>
      </c>
      <c r="E348" s="16" t="s">
        <v>1494</v>
      </c>
      <c r="F348" s="25" t="s">
        <v>51</v>
      </c>
    </row>
    <row r="349" spans="2:6" x14ac:dyDescent="0.45">
      <c r="B349">
        <v>262</v>
      </c>
      <c r="C349" s="16">
        <v>98119</v>
      </c>
      <c r="D349" s="16" t="s">
        <v>1474</v>
      </c>
      <c r="E349" s="16" t="s">
        <v>1494</v>
      </c>
      <c r="F349" s="25" t="s">
        <v>51</v>
      </c>
    </row>
    <row r="350" spans="2:6" x14ac:dyDescent="0.45">
      <c r="B350">
        <v>288</v>
      </c>
      <c r="C350" s="16">
        <v>98119</v>
      </c>
      <c r="D350" s="16" t="s">
        <v>1474</v>
      </c>
      <c r="E350" s="16" t="s">
        <v>1494</v>
      </c>
      <c r="F350" s="25" t="s">
        <v>51</v>
      </c>
    </row>
    <row r="351" spans="2:6" x14ac:dyDescent="0.45">
      <c r="B351">
        <v>324</v>
      </c>
      <c r="C351" s="16">
        <v>98119</v>
      </c>
      <c r="D351" s="16" t="s">
        <v>1474</v>
      </c>
      <c r="E351" s="16" t="s">
        <v>1494</v>
      </c>
      <c r="F351" s="25" t="s">
        <v>51</v>
      </c>
    </row>
    <row r="352" spans="2:6" x14ac:dyDescent="0.45">
      <c r="B352">
        <v>426</v>
      </c>
      <c r="C352" s="16">
        <v>98119</v>
      </c>
      <c r="D352" s="16" t="s">
        <v>1474</v>
      </c>
      <c r="E352" s="16" t="s">
        <v>1494</v>
      </c>
      <c r="F352" s="25" t="s">
        <v>51</v>
      </c>
    </row>
    <row r="353" spans="2:6" x14ac:dyDescent="0.45">
      <c r="B353">
        <v>430</v>
      </c>
      <c r="C353" s="16">
        <v>98119</v>
      </c>
      <c r="D353" s="16" t="s">
        <v>1474</v>
      </c>
      <c r="E353" s="16" t="s">
        <v>1494</v>
      </c>
      <c r="F353" s="25" t="s">
        <v>51</v>
      </c>
    </row>
    <row r="354" spans="2:6" x14ac:dyDescent="0.45">
      <c r="B354">
        <v>450</v>
      </c>
      <c r="C354" s="16">
        <v>98119</v>
      </c>
      <c r="D354" s="16" t="s">
        <v>1474</v>
      </c>
      <c r="E354" s="16" t="s">
        <v>1494</v>
      </c>
      <c r="F354" s="25" t="s">
        <v>51</v>
      </c>
    </row>
    <row r="355" spans="2:6" x14ac:dyDescent="0.45">
      <c r="B355">
        <v>466</v>
      </c>
      <c r="C355" s="16">
        <v>98119</v>
      </c>
      <c r="D355" s="16" t="s">
        <v>1474</v>
      </c>
      <c r="E355" s="16" t="s">
        <v>1494</v>
      </c>
      <c r="F355" s="25" t="s">
        <v>51</v>
      </c>
    </row>
    <row r="356" spans="2:6" x14ac:dyDescent="0.45">
      <c r="B356">
        <v>478</v>
      </c>
      <c r="C356" s="16">
        <v>98119</v>
      </c>
      <c r="D356" s="16" t="s">
        <v>1474</v>
      </c>
      <c r="E356" s="16" t="s">
        <v>1494</v>
      </c>
      <c r="F356" s="25" t="s">
        <v>51</v>
      </c>
    </row>
    <row r="357" spans="2:6" x14ac:dyDescent="0.45">
      <c r="B357">
        <v>508</v>
      </c>
      <c r="C357" s="16">
        <v>98119</v>
      </c>
      <c r="D357" s="16" t="s">
        <v>1474</v>
      </c>
      <c r="E357" s="16" t="s">
        <v>1494</v>
      </c>
      <c r="F357" s="25" t="s">
        <v>51</v>
      </c>
    </row>
    <row r="358" spans="2:6" x14ac:dyDescent="0.45">
      <c r="B358">
        <v>516</v>
      </c>
      <c r="C358" s="16">
        <v>98119</v>
      </c>
      <c r="D358" s="16" t="s">
        <v>1474</v>
      </c>
      <c r="E358" s="16" t="s">
        <v>1494</v>
      </c>
      <c r="F358" s="25" t="s">
        <v>51</v>
      </c>
    </row>
    <row r="359" spans="2:6" x14ac:dyDescent="0.45">
      <c r="B359">
        <v>562</v>
      </c>
      <c r="C359" s="16">
        <v>98119</v>
      </c>
      <c r="D359" s="16" t="s">
        <v>1474</v>
      </c>
      <c r="E359" s="16" t="s">
        <v>1494</v>
      </c>
      <c r="F359" s="25" t="s">
        <v>51</v>
      </c>
    </row>
    <row r="360" spans="2:6" x14ac:dyDescent="0.45">
      <c r="B360">
        <v>646</v>
      </c>
      <c r="C360" s="16">
        <v>98119</v>
      </c>
      <c r="D360" s="16" t="s">
        <v>1474</v>
      </c>
      <c r="E360" s="16" t="s">
        <v>1494</v>
      </c>
      <c r="F360" s="25" t="s">
        <v>51</v>
      </c>
    </row>
    <row r="361" spans="2:6" x14ac:dyDescent="0.45">
      <c r="B361">
        <v>694</v>
      </c>
      <c r="C361" s="16">
        <v>98119</v>
      </c>
      <c r="D361" s="16" t="s">
        <v>1474</v>
      </c>
      <c r="E361" s="16" t="s">
        <v>1494</v>
      </c>
      <c r="F361" s="25" t="s">
        <v>51</v>
      </c>
    </row>
    <row r="362" spans="2:6" x14ac:dyDescent="0.45">
      <c r="B362">
        <v>710</v>
      </c>
      <c r="C362" s="16">
        <v>98119</v>
      </c>
      <c r="D362" s="16" t="s">
        <v>1474</v>
      </c>
      <c r="E362" s="16" t="s">
        <v>1494</v>
      </c>
      <c r="F362" s="25" t="s">
        <v>51</v>
      </c>
    </row>
    <row r="363" spans="2:6" x14ac:dyDescent="0.45">
      <c r="B363">
        <v>716</v>
      </c>
      <c r="C363" s="16">
        <v>98119</v>
      </c>
      <c r="D363" s="16" t="s">
        <v>1474</v>
      </c>
      <c r="E363" s="16" t="s">
        <v>1494</v>
      </c>
      <c r="F363" s="25" t="s">
        <v>51</v>
      </c>
    </row>
    <row r="364" spans="2:6" x14ac:dyDescent="0.45">
      <c r="B364">
        <v>729</v>
      </c>
      <c r="C364" s="16">
        <v>98119</v>
      </c>
      <c r="D364" s="16" t="s">
        <v>1474</v>
      </c>
      <c r="E364" s="16" t="s">
        <v>1494</v>
      </c>
      <c r="F364" s="25" t="s">
        <v>51</v>
      </c>
    </row>
    <row r="365" spans="2:6" x14ac:dyDescent="0.45">
      <c r="B365">
        <v>768</v>
      </c>
      <c r="C365" s="16">
        <v>98119</v>
      </c>
      <c r="D365" s="16" t="s">
        <v>1474</v>
      </c>
      <c r="E365" s="16" t="s">
        <v>1494</v>
      </c>
      <c r="F365" s="25" t="s">
        <v>51</v>
      </c>
    </row>
    <row r="366" spans="2:6" x14ac:dyDescent="0.45">
      <c r="B366">
        <v>834</v>
      </c>
      <c r="C366" s="16">
        <v>98119</v>
      </c>
      <c r="D366" s="16" t="s">
        <v>1474</v>
      </c>
      <c r="E366" s="16" t="s">
        <v>1494</v>
      </c>
      <c r="F366" s="25" t="s">
        <v>51</v>
      </c>
    </row>
    <row r="367" spans="2:6" x14ac:dyDescent="0.45">
      <c r="B367">
        <v>854</v>
      </c>
      <c r="C367" s="16">
        <v>98119</v>
      </c>
      <c r="D367" s="16" t="s">
        <v>1474</v>
      </c>
      <c r="E367" s="16" t="s">
        <v>1494</v>
      </c>
      <c r="F367" s="25" t="s">
        <v>51</v>
      </c>
    </row>
    <row r="368" spans="2:6" x14ac:dyDescent="0.45">
      <c r="B368">
        <v>894</v>
      </c>
      <c r="C368" s="16">
        <v>98119</v>
      </c>
      <c r="D368" s="16" t="s">
        <v>1474</v>
      </c>
      <c r="E368" s="16" t="s">
        <v>1494</v>
      </c>
      <c r="F368" s="25" t="s">
        <v>51</v>
      </c>
    </row>
    <row r="369" spans="2:6" x14ac:dyDescent="0.45">
      <c r="B369">
        <v>108</v>
      </c>
      <c r="C369" s="16">
        <v>98120</v>
      </c>
      <c r="D369" s="16" t="s">
        <v>1474</v>
      </c>
      <c r="E369" s="16" t="s">
        <v>1495</v>
      </c>
      <c r="F369" s="25" t="s">
        <v>52</v>
      </c>
    </row>
    <row r="370" spans="2:6" x14ac:dyDescent="0.45">
      <c r="B370">
        <v>140</v>
      </c>
      <c r="C370" s="16">
        <v>98120</v>
      </c>
      <c r="D370" s="16" t="s">
        <v>1474</v>
      </c>
      <c r="E370" s="16" t="s">
        <v>1495</v>
      </c>
      <c r="F370" s="25" t="s">
        <v>52</v>
      </c>
    </row>
    <row r="371" spans="2:6" x14ac:dyDescent="0.45">
      <c r="B371">
        <v>174</v>
      </c>
      <c r="C371" s="16">
        <v>98120</v>
      </c>
      <c r="D371" s="16" t="s">
        <v>1474</v>
      </c>
      <c r="E371" s="16" t="s">
        <v>1495</v>
      </c>
      <c r="F371" s="25" t="s">
        <v>52</v>
      </c>
    </row>
    <row r="372" spans="2:6" x14ac:dyDescent="0.45">
      <c r="B372">
        <v>204</v>
      </c>
      <c r="C372" s="16">
        <v>98120</v>
      </c>
      <c r="D372" s="16" t="s">
        <v>1474</v>
      </c>
      <c r="E372" s="16" t="s">
        <v>1495</v>
      </c>
      <c r="F372" s="25" t="s">
        <v>52</v>
      </c>
    </row>
    <row r="373" spans="2:6" x14ac:dyDescent="0.45">
      <c r="B373">
        <v>231</v>
      </c>
      <c r="C373" s="16">
        <v>98120</v>
      </c>
      <c r="D373" s="16" t="s">
        <v>1474</v>
      </c>
      <c r="E373" s="16" t="s">
        <v>1495</v>
      </c>
      <c r="F373" s="25" t="s">
        <v>52</v>
      </c>
    </row>
    <row r="374" spans="2:6" x14ac:dyDescent="0.45">
      <c r="B374">
        <v>232</v>
      </c>
      <c r="C374" s="16">
        <v>98120</v>
      </c>
      <c r="D374" s="16" t="s">
        <v>1474</v>
      </c>
      <c r="E374" s="16" t="s">
        <v>1495</v>
      </c>
      <c r="F374" s="25" t="s">
        <v>52</v>
      </c>
    </row>
    <row r="375" spans="2:6" x14ac:dyDescent="0.45">
      <c r="B375">
        <v>262</v>
      </c>
      <c r="C375" s="16">
        <v>98120</v>
      </c>
      <c r="D375" s="16" t="s">
        <v>1474</v>
      </c>
      <c r="E375" s="16" t="s">
        <v>1495</v>
      </c>
      <c r="F375" s="25" t="s">
        <v>52</v>
      </c>
    </row>
    <row r="376" spans="2:6" x14ac:dyDescent="0.45">
      <c r="B376">
        <v>270</v>
      </c>
      <c r="C376" s="16">
        <v>98120</v>
      </c>
      <c r="D376" s="16" t="s">
        <v>1474</v>
      </c>
      <c r="E376" s="16" t="s">
        <v>1495</v>
      </c>
      <c r="F376" s="25" t="s">
        <v>52</v>
      </c>
    </row>
    <row r="377" spans="2:6" x14ac:dyDescent="0.45">
      <c r="B377">
        <v>324</v>
      </c>
      <c r="C377" s="16">
        <v>98120</v>
      </c>
      <c r="D377" s="16" t="s">
        <v>1474</v>
      </c>
      <c r="E377" s="16" t="s">
        <v>1495</v>
      </c>
      <c r="F377" s="25" t="s">
        <v>52</v>
      </c>
    </row>
    <row r="378" spans="2:6" x14ac:dyDescent="0.45">
      <c r="B378">
        <v>426</v>
      </c>
      <c r="C378" s="16">
        <v>98120</v>
      </c>
      <c r="D378" s="16" t="s">
        <v>1474</v>
      </c>
      <c r="E378" s="16" t="s">
        <v>1495</v>
      </c>
      <c r="F378" s="25" t="s">
        <v>52</v>
      </c>
    </row>
    <row r="379" spans="2:6" x14ac:dyDescent="0.45">
      <c r="B379">
        <v>430</v>
      </c>
      <c r="C379" s="16">
        <v>98120</v>
      </c>
      <c r="D379" s="16" t="s">
        <v>1474</v>
      </c>
      <c r="E379" s="16" t="s">
        <v>1495</v>
      </c>
      <c r="F379" s="25" t="s">
        <v>52</v>
      </c>
    </row>
    <row r="380" spans="2:6" x14ac:dyDescent="0.45">
      <c r="B380">
        <v>450</v>
      </c>
      <c r="C380" s="16">
        <v>98120</v>
      </c>
      <c r="D380" s="16" t="s">
        <v>1474</v>
      </c>
      <c r="E380" s="16" t="s">
        <v>1495</v>
      </c>
      <c r="F380" s="25" t="s">
        <v>52</v>
      </c>
    </row>
    <row r="381" spans="2:6" x14ac:dyDescent="0.45">
      <c r="B381">
        <v>454</v>
      </c>
      <c r="C381" s="16">
        <v>98120</v>
      </c>
      <c r="D381" s="16" t="s">
        <v>1474</v>
      </c>
      <c r="E381" s="16" t="s">
        <v>1495</v>
      </c>
      <c r="F381" s="25" t="s">
        <v>52</v>
      </c>
    </row>
    <row r="382" spans="2:6" x14ac:dyDescent="0.45">
      <c r="B382">
        <v>466</v>
      </c>
      <c r="C382" s="16">
        <v>98120</v>
      </c>
      <c r="D382" s="16" t="s">
        <v>1474</v>
      </c>
      <c r="E382" s="16" t="s">
        <v>1495</v>
      </c>
      <c r="F382" s="25" t="s">
        <v>52</v>
      </c>
    </row>
    <row r="383" spans="2:6" x14ac:dyDescent="0.45">
      <c r="B383">
        <v>478</v>
      </c>
      <c r="C383" s="16">
        <v>98120</v>
      </c>
      <c r="D383" s="16" t="s">
        <v>1474</v>
      </c>
      <c r="E383" s="16" t="s">
        <v>1495</v>
      </c>
      <c r="F383" s="25" t="s">
        <v>52</v>
      </c>
    </row>
    <row r="384" spans="2:6" x14ac:dyDescent="0.45">
      <c r="B384">
        <v>508</v>
      </c>
      <c r="C384" s="16">
        <v>98120</v>
      </c>
      <c r="D384" s="16" t="s">
        <v>1474</v>
      </c>
      <c r="E384" s="16" t="s">
        <v>1495</v>
      </c>
      <c r="F384" s="25" t="s">
        <v>52</v>
      </c>
    </row>
    <row r="385" spans="2:6" x14ac:dyDescent="0.45">
      <c r="B385">
        <v>624</v>
      </c>
      <c r="C385" s="16">
        <v>98120</v>
      </c>
      <c r="D385" s="16" t="s">
        <v>1474</v>
      </c>
      <c r="E385" s="16" t="s">
        <v>1495</v>
      </c>
      <c r="F385" s="25" t="s">
        <v>52</v>
      </c>
    </row>
    <row r="386" spans="2:6" x14ac:dyDescent="0.45">
      <c r="B386">
        <v>646</v>
      </c>
      <c r="C386" s="16">
        <v>98120</v>
      </c>
      <c r="D386" s="16" t="s">
        <v>1474</v>
      </c>
      <c r="E386" s="16" t="s">
        <v>1495</v>
      </c>
      <c r="F386" s="25" t="s">
        <v>52</v>
      </c>
    </row>
    <row r="387" spans="2:6" x14ac:dyDescent="0.45">
      <c r="B387">
        <v>678</v>
      </c>
      <c r="C387" s="16">
        <v>98120</v>
      </c>
      <c r="D387" s="16" t="s">
        <v>1474</v>
      </c>
      <c r="E387" s="16" t="s">
        <v>1495</v>
      </c>
      <c r="F387" s="25" t="s">
        <v>52</v>
      </c>
    </row>
    <row r="388" spans="2:6" x14ac:dyDescent="0.45">
      <c r="B388">
        <v>686</v>
      </c>
      <c r="C388" s="16">
        <v>98120</v>
      </c>
      <c r="D388" s="16" t="s">
        <v>1474</v>
      </c>
      <c r="E388" s="16" t="s">
        <v>1495</v>
      </c>
      <c r="F388" s="25" t="s">
        <v>52</v>
      </c>
    </row>
    <row r="389" spans="2:6" x14ac:dyDescent="0.45">
      <c r="B389">
        <v>694</v>
      </c>
      <c r="C389" s="16">
        <v>98120</v>
      </c>
      <c r="D389" s="16" t="s">
        <v>1474</v>
      </c>
      <c r="E389" s="16" t="s">
        <v>1495</v>
      </c>
      <c r="F389" s="25" t="s">
        <v>52</v>
      </c>
    </row>
    <row r="390" spans="2:6" x14ac:dyDescent="0.45">
      <c r="B390">
        <v>706</v>
      </c>
      <c r="C390" s="16">
        <v>98120</v>
      </c>
      <c r="D390" s="16" t="s">
        <v>1474</v>
      </c>
      <c r="E390" s="16" t="s">
        <v>1495</v>
      </c>
      <c r="F390" s="25" t="s">
        <v>52</v>
      </c>
    </row>
    <row r="391" spans="2:6" x14ac:dyDescent="0.45">
      <c r="B391">
        <v>768</v>
      </c>
      <c r="C391" s="16">
        <v>98120</v>
      </c>
      <c r="D391" s="16" t="s">
        <v>1474</v>
      </c>
      <c r="E391" s="16" t="s">
        <v>1495</v>
      </c>
      <c r="F391" s="25" t="s">
        <v>52</v>
      </c>
    </row>
    <row r="392" spans="2:6" x14ac:dyDescent="0.45">
      <c r="B392">
        <v>800</v>
      </c>
      <c r="C392" s="16">
        <v>98120</v>
      </c>
      <c r="D392" s="16" t="s">
        <v>1474</v>
      </c>
      <c r="E392" s="16" t="s">
        <v>1495</v>
      </c>
      <c r="F392" s="25" t="s">
        <v>52</v>
      </c>
    </row>
    <row r="393" spans="2:6" x14ac:dyDescent="0.45">
      <c r="B393">
        <v>834</v>
      </c>
      <c r="C393" s="16">
        <v>98120</v>
      </c>
      <c r="D393" s="16" t="s">
        <v>1474</v>
      </c>
      <c r="E393" s="16" t="s">
        <v>1495</v>
      </c>
      <c r="F393" s="25" t="s">
        <v>52</v>
      </c>
    </row>
    <row r="394" spans="2:6" x14ac:dyDescent="0.45">
      <c r="B394">
        <v>854</v>
      </c>
      <c r="C394" s="16">
        <v>98120</v>
      </c>
      <c r="D394" s="16" t="s">
        <v>1474</v>
      </c>
      <c r="E394" s="16" t="s">
        <v>1495</v>
      </c>
      <c r="F394" s="25" t="s">
        <v>52</v>
      </c>
    </row>
    <row r="395" spans="2:6" x14ac:dyDescent="0.45">
      <c r="B395">
        <v>894</v>
      </c>
      <c r="C395" s="16">
        <v>98120</v>
      </c>
      <c r="D395" s="16" t="s">
        <v>1474</v>
      </c>
      <c r="E395" s="16" t="s">
        <v>1495</v>
      </c>
      <c r="F395" s="25" t="s">
        <v>52</v>
      </c>
    </row>
    <row r="396" spans="2:6" x14ac:dyDescent="0.45">
      <c r="B396">
        <v>72</v>
      </c>
      <c r="C396" s="16">
        <v>98121</v>
      </c>
      <c r="D396" s="16" t="s">
        <v>1474</v>
      </c>
      <c r="E396" s="16" t="s">
        <v>1496</v>
      </c>
      <c r="F396" s="25" t="s">
        <v>53</v>
      </c>
    </row>
    <row r="397" spans="2:6" x14ac:dyDescent="0.45">
      <c r="B397">
        <v>108</v>
      </c>
      <c r="C397" s="16">
        <v>98121</v>
      </c>
      <c r="D397" s="16" t="s">
        <v>1474</v>
      </c>
      <c r="E397" s="16" t="s">
        <v>1496</v>
      </c>
      <c r="F397" s="25" t="s">
        <v>53</v>
      </c>
    </row>
    <row r="398" spans="2:6" x14ac:dyDescent="0.45">
      <c r="B398">
        <v>132</v>
      </c>
      <c r="C398" s="16">
        <v>98121</v>
      </c>
      <c r="D398" s="16" t="s">
        <v>1474</v>
      </c>
      <c r="E398" s="16" t="s">
        <v>1496</v>
      </c>
      <c r="F398" s="25" t="s">
        <v>53</v>
      </c>
    </row>
    <row r="399" spans="2:6" x14ac:dyDescent="0.45">
      <c r="B399">
        <v>140</v>
      </c>
      <c r="C399" s="16">
        <v>98121</v>
      </c>
      <c r="D399" s="16" t="s">
        <v>1474</v>
      </c>
      <c r="E399" s="16" t="s">
        <v>1496</v>
      </c>
      <c r="F399" s="25" t="s">
        <v>53</v>
      </c>
    </row>
    <row r="400" spans="2:6" x14ac:dyDescent="0.45">
      <c r="B400">
        <v>174</v>
      </c>
      <c r="C400" s="16">
        <v>98121</v>
      </c>
      <c r="D400" s="16" t="s">
        <v>1474</v>
      </c>
      <c r="E400" s="16" t="s">
        <v>1496</v>
      </c>
      <c r="F400" s="25" t="s">
        <v>53</v>
      </c>
    </row>
    <row r="401" spans="2:6" x14ac:dyDescent="0.45">
      <c r="B401">
        <v>204</v>
      </c>
      <c r="C401" s="16">
        <v>98121</v>
      </c>
      <c r="D401" s="16" t="s">
        <v>1474</v>
      </c>
      <c r="E401" s="16" t="s">
        <v>1496</v>
      </c>
      <c r="F401" s="25" t="s">
        <v>53</v>
      </c>
    </row>
    <row r="402" spans="2:6" x14ac:dyDescent="0.45">
      <c r="B402">
        <v>231</v>
      </c>
      <c r="C402" s="16">
        <v>98121</v>
      </c>
      <c r="D402" s="16" t="s">
        <v>1474</v>
      </c>
      <c r="E402" s="16" t="s">
        <v>1496</v>
      </c>
      <c r="F402" s="25" t="s">
        <v>53</v>
      </c>
    </row>
    <row r="403" spans="2:6" x14ac:dyDescent="0.45">
      <c r="B403">
        <v>232</v>
      </c>
      <c r="C403" s="16">
        <v>98121</v>
      </c>
      <c r="D403" s="16" t="s">
        <v>1474</v>
      </c>
      <c r="E403" s="16" t="s">
        <v>1496</v>
      </c>
      <c r="F403" s="25" t="s">
        <v>53</v>
      </c>
    </row>
    <row r="404" spans="2:6" x14ac:dyDescent="0.45">
      <c r="B404">
        <v>262</v>
      </c>
      <c r="C404" s="16">
        <v>98121</v>
      </c>
      <c r="D404" s="16" t="s">
        <v>1474</v>
      </c>
      <c r="E404" s="16" t="s">
        <v>1496</v>
      </c>
      <c r="F404" s="25" t="s">
        <v>53</v>
      </c>
    </row>
    <row r="405" spans="2:6" x14ac:dyDescent="0.45">
      <c r="B405">
        <v>270</v>
      </c>
      <c r="C405" s="16">
        <v>98121</v>
      </c>
      <c r="D405" s="16" t="s">
        <v>1474</v>
      </c>
      <c r="E405" s="16" t="s">
        <v>1496</v>
      </c>
      <c r="F405" s="25" t="s">
        <v>53</v>
      </c>
    </row>
    <row r="406" spans="2:6" x14ac:dyDescent="0.45">
      <c r="B406">
        <v>324</v>
      </c>
      <c r="C406" s="16">
        <v>98121</v>
      </c>
      <c r="D406" s="16" t="s">
        <v>1474</v>
      </c>
      <c r="E406" s="16" t="s">
        <v>1496</v>
      </c>
      <c r="F406" s="25" t="s">
        <v>53</v>
      </c>
    </row>
    <row r="407" spans="2:6" x14ac:dyDescent="0.45">
      <c r="B407">
        <v>404</v>
      </c>
      <c r="C407" s="16">
        <v>98121</v>
      </c>
      <c r="D407" s="16" t="s">
        <v>1474</v>
      </c>
      <c r="E407" s="16" t="s">
        <v>1496</v>
      </c>
      <c r="F407" s="25" t="s">
        <v>53</v>
      </c>
    </row>
    <row r="408" spans="2:6" x14ac:dyDescent="0.45">
      <c r="B408">
        <v>426</v>
      </c>
      <c r="C408" s="16">
        <v>98121</v>
      </c>
      <c r="D408" s="16" t="s">
        <v>1474</v>
      </c>
      <c r="E408" s="16" t="s">
        <v>1496</v>
      </c>
      <c r="F408" s="25" t="s">
        <v>53</v>
      </c>
    </row>
    <row r="409" spans="2:6" x14ac:dyDescent="0.45">
      <c r="B409">
        <v>430</v>
      </c>
      <c r="C409" s="16">
        <v>98121</v>
      </c>
      <c r="D409" s="16" t="s">
        <v>1474</v>
      </c>
      <c r="E409" s="16" t="s">
        <v>1496</v>
      </c>
      <c r="F409" s="25" t="s">
        <v>53</v>
      </c>
    </row>
    <row r="410" spans="2:6" x14ac:dyDescent="0.45">
      <c r="B410">
        <v>450</v>
      </c>
      <c r="C410" s="16">
        <v>98121</v>
      </c>
      <c r="D410" s="16" t="s">
        <v>1474</v>
      </c>
      <c r="E410" s="16" t="s">
        <v>1496</v>
      </c>
      <c r="F410" s="25" t="s">
        <v>53</v>
      </c>
    </row>
    <row r="411" spans="2:6" x14ac:dyDescent="0.45">
      <c r="B411">
        <v>454</v>
      </c>
      <c r="C411" s="16">
        <v>98121</v>
      </c>
      <c r="D411" s="16" t="s">
        <v>1474</v>
      </c>
      <c r="E411" s="16" t="s">
        <v>1496</v>
      </c>
      <c r="F411" s="25" t="s">
        <v>53</v>
      </c>
    </row>
    <row r="412" spans="2:6" x14ac:dyDescent="0.45">
      <c r="B412">
        <v>466</v>
      </c>
      <c r="C412" s="16">
        <v>98121</v>
      </c>
      <c r="D412" s="16" t="s">
        <v>1474</v>
      </c>
      <c r="E412" s="16" t="s">
        <v>1496</v>
      </c>
      <c r="F412" s="25" t="s">
        <v>53</v>
      </c>
    </row>
    <row r="413" spans="2:6" x14ac:dyDescent="0.45">
      <c r="B413">
        <v>478</v>
      </c>
      <c r="C413" s="16">
        <v>98121</v>
      </c>
      <c r="D413" s="16" t="s">
        <v>1474</v>
      </c>
      <c r="E413" s="16" t="s">
        <v>1496</v>
      </c>
      <c r="F413" s="25" t="s">
        <v>53</v>
      </c>
    </row>
    <row r="414" spans="2:6" x14ac:dyDescent="0.45">
      <c r="B414">
        <v>480</v>
      </c>
      <c r="C414" s="16">
        <v>98121</v>
      </c>
      <c r="D414" s="16" t="s">
        <v>1474</v>
      </c>
      <c r="E414" s="16" t="s">
        <v>1496</v>
      </c>
      <c r="F414" s="25" t="s">
        <v>53</v>
      </c>
    </row>
    <row r="415" spans="2:6" x14ac:dyDescent="0.45">
      <c r="B415">
        <v>504</v>
      </c>
      <c r="C415" s="16">
        <v>98121</v>
      </c>
      <c r="D415" s="16" t="s">
        <v>1474</v>
      </c>
      <c r="E415" s="16" t="s">
        <v>1496</v>
      </c>
      <c r="F415" s="25" t="s">
        <v>53</v>
      </c>
    </row>
    <row r="416" spans="2:6" x14ac:dyDescent="0.45">
      <c r="B416">
        <v>508</v>
      </c>
      <c r="C416" s="16">
        <v>98121</v>
      </c>
      <c r="D416" s="16" t="s">
        <v>1474</v>
      </c>
      <c r="E416" s="16" t="s">
        <v>1496</v>
      </c>
      <c r="F416" s="25" t="s">
        <v>53</v>
      </c>
    </row>
    <row r="417" spans="2:6" x14ac:dyDescent="0.45">
      <c r="B417">
        <v>516</v>
      </c>
      <c r="C417" s="16">
        <v>98121</v>
      </c>
      <c r="D417" s="16" t="s">
        <v>1474</v>
      </c>
      <c r="E417" s="16" t="s">
        <v>1496</v>
      </c>
      <c r="F417" s="25" t="s">
        <v>53</v>
      </c>
    </row>
    <row r="418" spans="2:6" x14ac:dyDescent="0.45">
      <c r="B418">
        <v>624</v>
      </c>
      <c r="C418" s="16">
        <v>98121</v>
      </c>
      <c r="D418" s="16" t="s">
        <v>1474</v>
      </c>
      <c r="E418" s="16" t="s">
        <v>1496</v>
      </c>
      <c r="F418" s="25" t="s">
        <v>53</v>
      </c>
    </row>
    <row r="419" spans="2:6" x14ac:dyDescent="0.45">
      <c r="B419">
        <v>646</v>
      </c>
      <c r="C419" s="16">
        <v>98121</v>
      </c>
      <c r="D419" s="16" t="s">
        <v>1474</v>
      </c>
      <c r="E419" s="16" t="s">
        <v>1496</v>
      </c>
      <c r="F419" s="25" t="s">
        <v>53</v>
      </c>
    </row>
    <row r="420" spans="2:6" x14ac:dyDescent="0.45">
      <c r="B420">
        <v>678</v>
      </c>
      <c r="C420" s="16">
        <v>98121</v>
      </c>
      <c r="D420" s="16" t="s">
        <v>1474</v>
      </c>
      <c r="E420" s="16" t="s">
        <v>1496</v>
      </c>
      <c r="F420" s="25" t="s">
        <v>53</v>
      </c>
    </row>
    <row r="421" spans="2:6" x14ac:dyDescent="0.45">
      <c r="B421">
        <v>686</v>
      </c>
      <c r="C421" s="16">
        <v>98121</v>
      </c>
      <c r="D421" s="16" t="s">
        <v>1474</v>
      </c>
      <c r="E421" s="16" t="s">
        <v>1496</v>
      </c>
      <c r="F421" s="25" t="s">
        <v>53</v>
      </c>
    </row>
    <row r="422" spans="2:6" x14ac:dyDescent="0.45">
      <c r="B422">
        <v>690</v>
      </c>
      <c r="C422" s="16">
        <v>98121</v>
      </c>
      <c r="D422" s="16" t="s">
        <v>1474</v>
      </c>
      <c r="E422" s="16" t="s">
        <v>1496</v>
      </c>
      <c r="F422" s="25" t="s">
        <v>53</v>
      </c>
    </row>
    <row r="423" spans="2:6" x14ac:dyDescent="0.45">
      <c r="B423">
        <v>694</v>
      </c>
      <c r="C423" s="16">
        <v>98121</v>
      </c>
      <c r="D423" s="16" t="s">
        <v>1474</v>
      </c>
      <c r="E423" s="16" t="s">
        <v>1496</v>
      </c>
      <c r="F423" s="25" t="s">
        <v>53</v>
      </c>
    </row>
    <row r="424" spans="2:6" x14ac:dyDescent="0.45">
      <c r="B424">
        <v>706</v>
      </c>
      <c r="C424" s="16">
        <v>98121</v>
      </c>
      <c r="D424" s="16" t="s">
        <v>1474</v>
      </c>
      <c r="E424" s="16" t="s">
        <v>1496</v>
      </c>
      <c r="F424" s="25" t="s">
        <v>53</v>
      </c>
    </row>
    <row r="425" spans="2:6" x14ac:dyDescent="0.45">
      <c r="B425">
        <v>710</v>
      </c>
      <c r="C425" s="16">
        <v>98121</v>
      </c>
      <c r="D425" s="16" t="s">
        <v>1474</v>
      </c>
      <c r="E425" s="16" t="s">
        <v>1496</v>
      </c>
      <c r="F425" s="25" t="s">
        <v>53</v>
      </c>
    </row>
    <row r="426" spans="2:6" x14ac:dyDescent="0.45">
      <c r="B426">
        <v>716</v>
      </c>
      <c r="C426" s="16">
        <v>98121</v>
      </c>
      <c r="D426" s="16" t="s">
        <v>1474</v>
      </c>
      <c r="E426" s="16" t="s">
        <v>1496</v>
      </c>
      <c r="F426" s="25" t="s">
        <v>53</v>
      </c>
    </row>
    <row r="427" spans="2:6" x14ac:dyDescent="0.45">
      <c r="B427">
        <v>748</v>
      </c>
      <c r="C427" s="16">
        <v>98121</v>
      </c>
      <c r="D427" s="16" t="s">
        <v>1474</v>
      </c>
      <c r="E427" s="16" t="s">
        <v>1496</v>
      </c>
      <c r="F427" s="25" t="s">
        <v>53</v>
      </c>
    </row>
    <row r="428" spans="2:6" x14ac:dyDescent="0.45">
      <c r="B428">
        <v>768</v>
      </c>
      <c r="C428" s="16">
        <v>98121</v>
      </c>
      <c r="D428" s="16" t="s">
        <v>1474</v>
      </c>
      <c r="E428" s="16" t="s">
        <v>1496</v>
      </c>
      <c r="F428" s="25" t="s">
        <v>53</v>
      </c>
    </row>
    <row r="429" spans="2:6" x14ac:dyDescent="0.45">
      <c r="B429">
        <v>800</v>
      </c>
      <c r="C429" s="16">
        <v>98121</v>
      </c>
      <c r="D429" s="16" t="s">
        <v>1474</v>
      </c>
      <c r="E429" s="16" t="s">
        <v>1496</v>
      </c>
      <c r="F429" s="25" t="s">
        <v>53</v>
      </c>
    </row>
    <row r="430" spans="2:6" x14ac:dyDescent="0.45">
      <c r="B430">
        <v>834</v>
      </c>
      <c r="C430" s="16">
        <v>98121</v>
      </c>
      <c r="D430" s="16" t="s">
        <v>1474</v>
      </c>
      <c r="E430" s="16" t="s">
        <v>1496</v>
      </c>
      <c r="F430" s="25" t="s">
        <v>53</v>
      </c>
    </row>
    <row r="431" spans="2:6" x14ac:dyDescent="0.45">
      <c r="B431">
        <v>854</v>
      </c>
      <c r="C431" s="16">
        <v>98121</v>
      </c>
      <c r="D431" s="16" t="s">
        <v>1474</v>
      </c>
      <c r="E431" s="16" t="s">
        <v>1496</v>
      </c>
      <c r="F431" s="25" t="s">
        <v>53</v>
      </c>
    </row>
    <row r="432" spans="2:6" x14ac:dyDescent="0.45">
      <c r="B432">
        <v>894</v>
      </c>
      <c r="C432" s="16">
        <v>98121</v>
      </c>
      <c r="D432" s="16" t="s">
        <v>1474</v>
      </c>
      <c r="E432" s="16" t="s">
        <v>1496</v>
      </c>
      <c r="F432" s="25" t="s">
        <v>53</v>
      </c>
    </row>
    <row r="433" spans="2:6" x14ac:dyDescent="0.45">
      <c r="B433">
        <v>24</v>
      </c>
      <c r="C433" s="16">
        <v>98122</v>
      </c>
      <c r="D433" s="16" t="s">
        <v>1474</v>
      </c>
      <c r="E433" s="16" t="s">
        <v>1497</v>
      </c>
      <c r="F433" s="25" t="s">
        <v>54</v>
      </c>
    </row>
    <row r="434" spans="2:6" x14ac:dyDescent="0.45">
      <c r="B434">
        <v>148</v>
      </c>
      <c r="C434" s="16">
        <v>98122</v>
      </c>
      <c r="D434" s="16" t="s">
        <v>1474</v>
      </c>
      <c r="E434" s="16" t="s">
        <v>1497</v>
      </c>
      <c r="F434" s="25" t="s">
        <v>54</v>
      </c>
    </row>
    <row r="435" spans="2:6" x14ac:dyDescent="0.45">
      <c r="B435">
        <v>180</v>
      </c>
      <c r="C435" s="16">
        <v>98122</v>
      </c>
      <c r="D435" s="16" t="s">
        <v>1474</v>
      </c>
      <c r="E435" s="16" t="s">
        <v>1497</v>
      </c>
      <c r="F435" s="25" t="s">
        <v>54</v>
      </c>
    </row>
    <row r="436" spans="2:6" x14ac:dyDescent="0.45">
      <c r="B436">
        <v>562</v>
      </c>
      <c r="C436" s="16">
        <v>98122</v>
      </c>
      <c r="D436" s="16" t="s">
        <v>1474</v>
      </c>
      <c r="E436" s="16" t="s">
        <v>1497</v>
      </c>
      <c r="F436" s="25" t="s">
        <v>54</v>
      </c>
    </row>
    <row r="437" spans="2:6" x14ac:dyDescent="0.45">
      <c r="B437">
        <v>728</v>
      </c>
      <c r="C437" s="16">
        <v>98122</v>
      </c>
      <c r="D437" s="16" t="s">
        <v>1474</v>
      </c>
      <c r="E437" s="16" t="s">
        <v>1497</v>
      </c>
      <c r="F437" s="25" t="s">
        <v>54</v>
      </c>
    </row>
    <row r="438" spans="2:6" x14ac:dyDescent="0.45">
      <c r="B438">
        <v>729</v>
      </c>
      <c r="C438" s="16">
        <v>98122</v>
      </c>
      <c r="D438" s="16" t="s">
        <v>1474</v>
      </c>
      <c r="E438" s="16" t="s">
        <v>1497</v>
      </c>
      <c r="F438" s="25" t="s">
        <v>54</v>
      </c>
    </row>
    <row r="439" spans="2:6" x14ac:dyDescent="0.45">
      <c r="B439">
        <v>12</v>
      </c>
      <c r="C439" s="16">
        <v>98123</v>
      </c>
      <c r="D439" s="16" t="s">
        <v>1474</v>
      </c>
      <c r="E439" s="16" t="s">
        <v>1498</v>
      </c>
      <c r="F439" s="25" t="s">
        <v>55</v>
      </c>
    </row>
    <row r="440" spans="2:6" x14ac:dyDescent="0.45">
      <c r="B440">
        <v>24</v>
      </c>
      <c r="C440" s="16">
        <v>98123</v>
      </c>
      <c r="D440" s="16" t="s">
        <v>1474</v>
      </c>
      <c r="E440" s="16" t="s">
        <v>1498</v>
      </c>
      <c r="F440" s="25" t="s">
        <v>55</v>
      </c>
    </row>
    <row r="441" spans="2:6" x14ac:dyDescent="0.45">
      <c r="B441">
        <v>120</v>
      </c>
      <c r="C441" s="16">
        <v>98123</v>
      </c>
      <c r="D441" s="16" t="s">
        <v>1474</v>
      </c>
      <c r="E441" s="16" t="s">
        <v>1498</v>
      </c>
      <c r="F441" s="25" t="s">
        <v>55</v>
      </c>
    </row>
    <row r="442" spans="2:6" x14ac:dyDescent="0.45">
      <c r="B442">
        <v>148</v>
      </c>
      <c r="C442" s="16">
        <v>98123</v>
      </c>
      <c r="D442" s="16" t="s">
        <v>1474</v>
      </c>
      <c r="E442" s="16" t="s">
        <v>1498</v>
      </c>
      <c r="F442" s="25" t="s">
        <v>55</v>
      </c>
    </row>
    <row r="443" spans="2:6" x14ac:dyDescent="0.45">
      <c r="B443">
        <v>178</v>
      </c>
      <c r="C443" s="16">
        <v>98123</v>
      </c>
      <c r="D443" s="16" t="s">
        <v>1474</v>
      </c>
      <c r="E443" s="16" t="s">
        <v>1498</v>
      </c>
      <c r="F443" s="25" t="s">
        <v>55</v>
      </c>
    </row>
    <row r="444" spans="2:6" x14ac:dyDescent="0.45">
      <c r="B444">
        <v>180</v>
      </c>
      <c r="C444" s="16">
        <v>98123</v>
      </c>
      <c r="D444" s="16" t="s">
        <v>1474</v>
      </c>
      <c r="E444" s="16" t="s">
        <v>1498</v>
      </c>
      <c r="F444" s="25" t="s">
        <v>55</v>
      </c>
    </row>
    <row r="445" spans="2:6" x14ac:dyDescent="0.45">
      <c r="B445">
        <v>226</v>
      </c>
      <c r="C445" s="16">
        <v>98123</v>
      </c>
      <c r="D445" s="16" t="s">
        <v>1474</v>
      </c>
      <c r="E445" s="16" t="s">
        <v>1498</v>
      </c>
      <c r="F445" s="25" t="s">
        <v>55</v>
      </c>
    </row>
    <row r="446" spans="2:6" x14ac:dyDescent="0.45">
      <c r="B446">
        <v>266</v>
      </c>
      <c r="C446" s="16">
        <v>98123</v>
      </c>
      <c r="D446" s="16" t="s">
        <v>1474</v>
      </c>
      <c r="E446" s="16" t="s">
        <v>1498</v>
      </c>
      <c r="F446" s="25" t="s">
        <v>55</v>
      </c>
    </row>
    <row r="447" spans="2:6" x14ac:dyDescent="0.45">
      <c r="B447">
        <v>288</v>
      </c>
      <c r="C447" s="16">
        <v>98123</v>
      </c>
      <c r="D447" s="16" t="s">
        <v>1474</v>
      </c>
      <c r="E447" s="16" t="s">
        <v>1498</v>
      </c>
      <c r="F447" s="25" t="s">
        <v>55</v>
      </c>
    </row>
    <row r="448" spans="2:6" x14ac:dyDescent="0.45">
      <c r="B448">
        <v>384</v>
      </c>
      <c r="C448" s="16">
        <v>98123</v>
      </c>
      <c r="D448" s="16" t="s">
        <v>1474</v>
      </c>
      <c r="E448" s="16" t="s">
        <v>1498</v>
      </c>
      <c r="F448" s="25" t="s">
        <v>55</v>
      </c>
    </row>
    <row r="449" spans="2:6" x14ac:dyDescent="0.45">
      <c r="B449">
        <v>434</v>
      </c>
      <c r="C449" s="16">
        <v>98123</v>
      </c>
      <c r="D449" s="16" t="s">
        <v>1474</v>
      </c>
      <c r="E449" s="16" t="s">
        <v>1498</v>
      </c>
      <c r="F449" s="25" t="s">
        <v>55</v>
      </c>
    </row>
    <row r="450" spans="2:6" x14ac:dyDescent="0.45">
      <c r="B450">
        <v>562</v>
      </c>
      <c r="C450" s="16">
        <v>98123</v>
      </c>
      <c r="D450" s="16" t="s">
        <v>1474</v>
      </c>
      <c r="E450" s="16" t="s">
        <v>1498</v>
      </c>
      <c r="F450" s="25" t="s">
        <v>55</v>
      </c>
    </row>
    <row r="451" spans="2:6" x14ac:dyDescent="0.45">
      <c r="B451">
        <v>566</v>
      </c>
      <c r="C451" s="16">
        <v>98123</v>
      </c>
      <c r="D451" s="16" t="s">
        <v>1474</v>
      </c>
      <c r="E451" s="16" t="s">
        <v>1498</v>
      </c>
      <c r="F451" s="25" t="s">
        <v>55</v>
      </c>
    </row>
    <row r="452" spans="2:6" x14ac:dyDescent="0.45">
      <c r="B452">
        <v>728</v>
      </c>
      <c r="C452" s="16">
        <v>98123</v>
      </c>
      <c r="D452" s="16" t="s">
        <v>1474</v>
      </c>
      <c r="E452" s="16" t="s">
        <v>1498</v>
      </c>
      <c r="F452" s="25" t="s">
        <v>55</v>
      </c>
    </row>
    <row r="453" spans="2:6" x14ac:dyDescent="0.45">
      <c r="B453">
        <v>729</v>
      </c>
      <c r="C453" s="16">
        <v>98123</v>
      </c>
      <c r="D453" s="16" t="s">
        <v>1474</v>
      </c>
      <c r="E453" s="16" t="s">
        <v>1498</v>
      </c>
      <c r="F453" s="25" t="s">
        <v>55</v>
      </c>
    </row>
    <row r="454" spans="2:6" x14ac:dyDescent="0.45">
      <c r="B454">
        <v>788</v>
      </c>
      <c r="C454" s="16">
        <v>98123</v>
      </c>
      <c r="D454" s="16" t="s">
        <v>1474</v>
      </c>
      <c r="E454" s="16" t="s">
        <v>1498</v>
      </c>
      <c r="F454" s="25" t="s">
        <v>55</v>
      </c>
    </row>
    <row r="455" spans="2:6" x14ac:dyDescent="0.45">
      <c r="B455">
        <v>818</v>
      </c>
      <c r="C455" s="16">
        <v>98123</v>
      </c>
      <c r="D455" s="16" t="s">
        <v>1474</v>
      </c>
      <c r="E455" s="16" t="s">
        <v>1498</v>
      </c>
      <c r="F455" s="25" t="s">
        <v>55</v>
      </c>
    </row>
    <row r="456" spans="2:6" x14ac:dyDescent="0.45">
      <c r="B456">
        <v>120</v>
      </c>
      <c r="C456" s="16">
        <v>98124</v>
      </c>
      <c r="D456" s="16" t="s">
        <v>1474</v>
      </c>
      <c r="E456" s="16" t="s">
        <v>1499</v>
      </c>
      <c r="F456" s="25" t="s">
        <v>56</v>
      </c>
    </row>
    <row r="457" spans="2:6" x14ac:dyDescent="0.45">
      <c r="B457">
        <v>148</v>
      </c>
      <c r="C457" s="16">
        <v>98124</v>
      </c>
      <c r="D457" s="16" t="s">
        <v>1474</v>
      </c>
      <c r="E457" s="16" t="s">
        <v>1499</v>
      </c>
      <c r="F457" s="25" t="s">
        <v>56</v>
      </c>
    </row>
    <row r="458" spans="2:6" x14ac:dyDescent="0.45">
      <c r="B458">
        <v>270</v>
      </c>
      <c r="C458" s="16">
        <v>98124</v>
      </c>
      <c r="D458" s="16" t="s">
        <v>1474</v>
      </c>
      <c r="E458" s="16" t="s">
        <v>1499</v>
      </c>
      <c r="F458" s="25" t="s">
        <v>56</v>
      </c>
    </row>
    <row r="459" spans="2:6" x14ac:dyDescent="0.45">
      <c r="B459">
        <v>324</v>
      </c>
      <c r="C459" s="16">
        <v>98124</v>
      </c>
      <c r="D459" s="16" t="s">
        <v>1474</v>
      </c>
      <c r="E459" s="16" t="s">
        <v>1499</v>
      </c>
      <c r="F459" s="25" t="s">
        <v>56</v>
      </c>
    </row>
    <row r="460" spans="2:6" x14ac:dyDescent="0.45">
      <c r="B460">
        <v>466</v>
      </c>
      <c r="C460" s="16">
        <v>98124</v>
      </c>
      <c r="D460" s="16" t="s">
        <v>1474</v>
      </c>
      <c r="E460" s="16" t="s">
        <v>1499</v>
      </c>
      <c r="F460" s="25" t="s">
        <v>56</v>
      </c>
    </row>
    <row r="461" spans="2:6" x14ac:dyDescent="0.45">
      <c r="B461">
        <v>478</v>
      </c>
      <c r="C461" s="16">
        <v>98124</v>
      </c>
      <c r="D461" s="16" t="s">
        <v>1474</v>
      </c>
      <c r="E461" s="16" t="s">
        <v>1499</v>
      </c>
      <c r="F461" s="25" t="s">
        <v>56</v>
      </c>
    </row>
    <row r="462" spans="2:6" x14ac:dyDescent="0.45">
      <c r="B462">
        <v>562</v>
      </c>
      <c r="C462" s="16">
        <v>98124</v>
      </c>
      <c r="D462" s="16" t="s">
        <v>1474</v>
      </c>
      <c r="E462" s="16" t="s">
        <v>1499</v>
      </c>
      <c r="F462" s="25" t="s">
        <v>56</v>
      </c>
    </row>
    <row r="463" spans="2:6" x14ac:dyDescent="0.45">
      <c r="B463">
        <v>566</v>
      </c>
      <c r="C463" s="16">
        <v>98124</v>
      </c>
      <c r="D463" s="16" t="s">
        <v>1474</v>
      </c>
      <c r="E463" s="16" t="s">
        <v>1499</v>
      </c>
      <c r="F463" s="25" t="s">
        <v>56</v>
      </c>
    </row>
    <row r="464" spans="2:6" x14ac:dyDescent="0.45">
      <c r="B464">
        <v>686</v>
      </c>
      <c r="C464" s="16">
        <v>98124</v>
      </c>
      <c r="D464" s="16" t="s">
        <v>1474</v>
      </c>
      <c r="E464" s="16" t="s">
        <v>1499</v>
      </c>
      <c r="F464" s="25" t="s">
        <v>56</v>
      </c>
    </row>
    <row r="465" spans="2:6" x14ac:dyDescent="0.45">
      <c r="B465">
        <v>854</v>
      </c>
      <c r="C465" s="16">
        <v>98124</v>
      </c>
      <c r="D465" s="16" t="s">
        <v>1474</v>
      </c>
      <c r="E465" s="16" t="s">
        <v>1499</v>
      </c>
      <c r="F465" s="25" t="s">
        <v>56</v>
      </c>
    </row>
    <row r="466" spans="2:6" x14ac:dyDescent="0.45">
      <c r="B466">
        <v>132</v>
      </c>
      <c r="C466" s="16">
        <v>98125</v>
      </c>
      <c r="D466" s="16" t="s">
        <v>1474</v>
      </c>
      <c r="E466" s="16" t="s">
        <v>1500</v>
      </c>
      <c r="F466" s="25" t="s">
        <v>57</v>
      </c>
    </row>
    <row r="467" spans="2:6" x14ac:dyDescent="0.45">
      <c r="B467">
        <v>174</v>
      </c>
      <c r="C467" s="16">
        <v>98125</v>
      </c>
      <c r="D467" s="16" t="s">
        <v>1474</v>
      </c>
      <c r="E467" s="16" t="s">
        <v>1500</v>
      </c>
      <c r="F467" s="25" t="s">
        <v>57</v>
      </c>
    </row>
    <row r="468" spans="2:6" x14ac:dyDescent="0.45">
      <c r="B468">
        <v>480</v>
      </c>
      <c r="C468" s="16">
        <v>98125</v>
      </c>
      <c r="D468" s="16" t="s">
        <v>1474</v>
      </c>
      <c r="E468" s="16" t="s">
        <v>1500</v>
      </c>
      <c r="F468" s="25" t="s">
        <v>57</v>
      </c>
    </row>
    <row r="469" spans="2:6" x14ac:dyDescent="0.45">
      <c r="B469">
        <v>678</v>
      </c>
      <c r="C469" s="16">
        <v>98125</v>
      </c>
      <c r="D469" s="16" t="s">
        <v>1474</v>
      </c>
      <c r="E469" s="16" t="s">
        <v>1500</v>
      </c>
      <c r="F469" s="25" t="s">
        <v>57</v>
      </c>
    </row>
    <row r="470" spans="2:6" x14ac:dyDescent="0.45">
      <c r="B470">
        <v>690</v>
      </c>
      <c r="C470" s="16">
        <v>98125</v>
      </c>
      <c r="D470" s="16" t="s">
        <v>1474</v>
      </c>
      <c r="E470" s="16" t="s">
        <v>1500</v>
      </c>
      <c r="F470" s="25" t="s">
        <v>57</v>
      </c>
    </row>
    <row r="471" spans="2:6" x14ac:dyDescent="0.45">
      <c r="B471">
        <v>24</v>
      </c>
      <c r="C471" s="16">
        <v>98126</v>
      </c>
      <c r="D471" s="16" t="s">
        <v>1474</v>
      </c>
      <c r="E471" s="16" t="s">
        <v>1501</v>
      </c>
      <c r="F471" s="25" t="s">
        <v>58</v>
      </c>
    </row>
    <row r="472" spans="2:6" x14ac:dyDescent="0.45">
      <c r="B472">
        <v>72</v>
      </c>
      <c r="C472" s="16">
        <v>98126</v>
      </c>
      <c r="D472" s="16" t="s">
        <v>1474</v>
      </c>
      <c r="E472" s="16" t="s">
        <v>1501</v>
      </c>
      <c r="F472" s="25" t="s">
        <v>58</v>
      </c>
    </row>
    <row r="473" spans="2:6" x14ac:dyDescent="0.45">
      <c r="B473">
        <v>108</v>
      </c>
      <c r="C473" s="16">
        <v>98126</v>
      </c>
      <c r="D473" s="16" t="s">
        <v>1474</v>
      </c>
      <c r="E473" s="16" t="s">
        <v>1501</v>
      </c>
      <c r="F473" s="25" t="s">
        <v>58</v>
      </c>
    </row>
    <row r="474" spans="2:6" x14ac:dyDescent="0.45">
      <c r="B474">
        <v>120</v>
      </c>
      <c r="C474" s="16">
        <v>98126</v>
      </c>
      <c r="D474" s="16" t="s">
        <v>1474</v>
      </c>
      <c r="E474" s="16" t="s">
        <v>1501</v>
      </c>
      <c r="F474" s="25" t="s">
        <v>58</v>
      </c>
    </row>
    <row r="475" spans="2:6" x14ac:dyDescent="0.45">
      <c r="B475">
        <v>132</v>
      </c>
      <c r="C475" s="16">
        <v>98126</v>
      </c>
      <c r="D475" s="16" t="s">
        <v>1474</v>
      </c>
      <c r="E475" s="16" t="s">
        <v>1501</v>
      </c>
      <c r="F475" s="25" t="s">
        <v>58</v>
      </c>
    </row>
    <row r="476" spans="2:6" x14ac:dyDescent="0.45">
      <c r="B476">
        <v>140</v>
      </c>
      <c r="C476" s="16">
        <v>98126</v>
      </c>
      <c r="D476" s="16" t="s">
        <v>1474</v>
      </c>
      <c r="E476" s="16" t="s">
        <v>1501</v>
      </c>
      <c r="F476" s="25" t="s">
        <v>58</v>
      </c>
    </row>
    <row r="477" spans="2:6" x14ac:dyDescent="0.45">
      <c r="B477">
        <v>148</v>
      </c>
      <c r="C477" s="16">
        <v>98126</v>
      </c>
      <c r="D477" s="16" t="s">
        <v>1474</v>
      </c>
      <c r="E477" s="16" t="s">
        <v>1501</v>
      </c>
      <c r="F477" s="25" t="s">
        <v>58</v>
      </c>
    </row>
    <row r="478" spans="2:6" x14ac:dyDescent="0.45">
      <c r="B478">
        <v>174</v>
      </c>
      <c r="C478" s="16">
        <v>98126</v>
      </c>
      <c r="D478" s="16" t="s">
        <v>1474</v>
      </c>
      <c r="E478" s="16" t="s">
        <v>1501</v>
      </c>
      <c r="F478" s="25" t="s">
        <v>58</v>
      </c>
    </row>
    <row r="479" spans="2:6" x14ac:dyDescent="0.45">
      <c r="B479">
        <v>178</v>
      </c>
      <c r="C479" s="16">
        <v>98126</v>
      </c>
      <c r="D479" s="16" t="s">
        <v>1474</v>
      </c>
      <c r="E479" s="16" t="s">
        <v>1501</v>
      </c>
      <c r="F479" s="25" t="s">
        <v>58</v>
      </c>
    </row>
    <row r="480" spans="2:6" x14ac:dyDescent="0.45">
      <c r="B480">
        <v>180</v>
      </c>
      <c r="C480" s="16">
        <v>98126</v>
      </c>
      <c r="D480" s="16" t="s">
        <v>1474</v>
      </c>
      <c r="E480" s="16" t="s">
        <v>1501</v>
      </c>
      <c r="F480" s="25" t="s">
        <v>58</v>
      </c>
    </row>
    <row r="481" spans="2:6" x14ac:dyDescent="0.45">
      <c r="B481">
        <v>204</v>
      </c>
      <c r="C481" s="16">
        <v>98126</v>
      </c>
      <c r="D481" s="16" t="s">
        <v>1474</v>
      </c>
      <c r="E481" s="16" t="s">
        <v>1501</v>
      </c>
      <c r="F481" s="25" t="s">
        <v>58</v>
      </c>
    </row>
    <row r="482" spans="2:6" x14ac:dyDescent="0.45">
      <c r="B482">
        <v>226</v>
      </c>
      <c r="C482" s="16">
        <v>98126</v>
      </c>
      <c r="D482" s="16" t="s">
        <v>1474</v>
      </c>
      <c r="E482" s="16" t="s">
        <v>1501</v>
      </c>
      <c r="F482" s="25" t="s">
        <v>58</v>
      </c>
    </row>
    <row r="483" spans="2:6" x14ac:dyDescent="0.45">
      <c r="B483">
        <v>231</v>
      </c>
      <c r="C483" s="16">
        <v>98126</v>
      </c>
      <c r="D483" s="16" t="s">
        <v>1474</v>
      </c>
      <c r="E483" s="16" t="s">
        <v>1501</v>
      </c>
      <c r="F483" s="25" t="s">
        <v>58</v>
      </c>
    </row>
    <row r="484" spans="2:6" x14ac:dyDescent="0.45">
      <c r="B484">
        <v>232</v>
      </c>
      <c r="C484" s="16">
        <v>98126</v>
      </c>
      <c r="D484" s="16" t="s">
        <v>1474</v>
      </c>
      <c r="E484" s="16" t="s">
        <v>1501</v>
      </c>
      <c r="F484" s="25" t="s">
        <v>58</v>
      </c>
    </row>
    <row r="485" spans="2:6" x14ac:dyDescent="0.45">
      <c r="B485">
        <v>262</v>
      </c>
      <c r="C485" s="16">
        <v>98126</v>
      </c>
      <c r="D485" s="16" t="s">
        <v>1474</v>
      </c>
      <c r="E485" s="16" t="s">
        <v>1501</v>
      </c>
      <c r="F485" s="25" t="s">
        <v>58</v>
      </c>
    </row>
    <row r="486" spans="2:6" x14ac:dyDescent="0.45">
      <c r="B486">
        <v>266</v>
      </c>
      <c r="C486" s="16">
        <v>98126</v>
      </c>
      <c r="D486" s="16" t="s">
        <v>1474</v>
      </c>
      <c r="E486" s="16" t="s">
        <v>1501</v>
      </c>
      <c r="F486" s="25" t="s">
        <v>58</v>
      </c>
    </row>
    <row r="487" spans="2:6" x14ac:dyDescent="0.45">
      <c r="B487">
        <v>270</v>
      </c>
      <c r="C487" s="16">
        <v>98126</v>
      </c>
      <c r="D487" s="16" t="s">
        <v>1474</v>
      </c>
      <c r="E487" s="16" t="s">
        <v>1501</v>
      </c>
      <c r="F487" s="25" t="s">
        <v>58</v>
      </c>
    </row>
    <row r="488" spans="2:6" x14ac:dyDescent="0.45">
      <c r="B488">
        <v>288</v>
      </c>
      <c r="C488" s="16">
        <v>98126</v>
      </c>
      <c r="D488" s="16" t="s">
        <v>1474</v>
      </c>
      <c r="E488" s="16" t="s">
        <v>1501</v>
      </c>
      <c r="F488" s="25" t="s">
        <v>58</v>
      </c>
    </row>
    <row r="489" spans="2:6" x14ac:dyDescent="0.45">
      <c r="B489">
        <v>324</v>
      </c>
      <c r="C489" s="16">
        <v>98126</v>
      </c>
      <c r="D489" s="16" t="s">
        <v>1474</v>
      </c>
      <c r="E489" s="16" t="s">
        <v>1501</v>
      </c>
      <c r="F489" s="25" t="s">
        <v>58</v>
      </c>
    </row>
    <row r="490" spans="2:6" x14ac:dyDescent="0.45">
      <c r="B490">
        <v>384</v>
      </c>
      <c r="C490" s="16">
        <v>98126</v>
      </c>
      <c r="D490" s="16" t="s">
        <v>1474</v>
      </c>
      <c r="E490" s="16" t="s">
        <v>1501</v>
      </c>
      <c r="F490" s="25" t="s">
        <v>58</v>
      </c>
    </row>
    <row r="491" spans="2:6" x14ac:dyDescent="0.45">
      <c r="B491">
        <v>404</v>
      </c>
      <c r="C491" s="16">
        <v>98126</v>
      </c>
      <c r="D491" s="16" t="s">
        <v>1474</v>
      </c>
      <c r="E491" s="16" t="s">
        <v>1501</v>
      </c>
      <c r="F491" s="25" t="s">
        <v>58</v>
      </c>
    </row>
    <row r="492" spans="2:6" x14ac:dyDescent="0.45">
      <c r="B492">
        <v>426</v>
      </c>
      <c r="C492" s="16">
        <v>98126</v>
      </c>
      <c r="D492" s="16" t="s">
        <v>1474</v>
      </c>
      <c r="E492" s="16" t="s">
        <v>1501</v>
      </c>
      <c r="F492" s="25" t="s">
        <v>58</v>
      </c>
    </row>
    <row r="493" spans="2:6" x14ac:dyDescent="0.45">
      <c r="B493">
        <v>430</v>
      </c>
      <c r="C493" s="16">
        <v>98126</v>
      </c>
      <c r="D493" s="16" t="s">
        <v>1474</v>
      </c>
      <c r="E493" s="16" t="s">
        <v>1501</v>
      </c>
      <c r="F493" s="25" t="s">
        <v>58</v>
      </c>
    </row>
    <row r="494" spans="2:6" x14ac:dyDescent="0.45">
      <c r="B494">
        <v>450</v>
      </c>
      <c r="C494" s="16">
        <v>98126</v>
      </c>
      <c r="D494" s="16" t="s">
        <v>1474</v>
      </c>
      <c r="E494" s="16" t="s">
        <v>1501</v>
      </c>
      <c r="F494" s="25" t="s">
        <v>58</v>
      </c>
    </row>
    <row r="495" spans="2:6" x14ac:dyDescent="0.45">
      <c r="B495">
        <v>454</v>
      </c>
      <c r="C495" s="16">
        <v>98126</v>
      </c>
      <c r="D495" s="16" t="s">
        <v>1474</v>
      </c>
      <c r="E495" s="16" t="s">
        <v>1501</v>
      </c>
      <c r="F495" s="25" t="s">
        <v>58</v>
      </c>
    </row>
    <row r="496" spans="2:6" x14ac:dyDescent="0.45">
      <c r="B496">
        <v>466</v>
      </c>
      <c r="C496" s="16">
        <v>98126</v>
      </c>
      <c r="D496" s="16" t="s">
        <v>1474</v>
      </c>
      <c r="E496" s="16" t="s">
        <v>1501</v>
      </c>
      <c r="F496" s="25" t="s">
        <v>58</v>
      </c>
    </row>
    <row r="497" spans="2:6" x14ac:dyDescent="0.45">
      <c r="B497">
        <v>480</v>
      </c>
      <c r="C497" s="16">
        <v>98126</v>
      </c>
      <c r="D497" s="16" t="s">
        <v>1474</v>
      </c>
      <c r="E497" s="16" t="s">
        <v>1501</v>
      </c>
      <c r="F497" s="25" t="s">
        <v>58</v>
      </c>
    </row>
    <row r="498" spans="2:6" x14ac:dyDescent="0.45">
      <c r="B498">
        <v>508</v>
      </c>
      <c r="C498" s="16">
        <v>98126</v>
      </c>
      <c r="D498" s="16" t="s">
        <v>1474</v>
      </c>
      <c r="E498" s="16" t="s">
        <v>1501</v>
      </c>
      <c r="F498" s="25" t="s">
        <v>58</v>
      </c>
    </row>
    <row r="499" spans="2:6" x14ac:dyDescent="0.45">
      <c r="B499">
        <v>516</v>
      </c>
      <c r="C499" s="16">
        <v>98126</v>
      </c>
      <c r="D499" s="16" t="s">
        <v>1474</v>
      </c>
      <c r="E499" s="16" t="s">
        <v>1501</v>
      </c>
      <c r="F499" s="25" t="s">
        <v>58</v>
      </c>
    </row>
    <row r="500" spans="2:6" x14ac:dyDescent="0.45">
      <c r="B500">
        <v>562</v>
      </c>
      <c r="C500" s="16">
        <v>98126</v>
      </c>
      <c r="D500" s="16" t="s">
        <v>1474</v>
      </c>
      <c r="E500" s="16" t="s">
        <v>1501</v>
      </c>
      <c r="F500" s="25" t="s">
        <v>58</v>
      </c>
    </row>
    <row r="501" spans="2:6" x14ac:dyDescent="0.45">
      <c r="B501">
        <v>566</v>
      </c>
      <c r="C501" s="16">
        <v>98126</v>
      </c>
      <c r="D501" s="16" t="s">
        <v>1474</v>
      </c>
      <c r="E501" s="16" t="s">
        <v>1501</v>
      </c>
      <c r="F501" s="25" t="s">
        <v>58</v>
      </c>
    </row>
    <row r="502" spans="2:6" x14ac:dyDescent="0.45">
      <c r="B502">
        <v>624</v>
      </c>
      <c r="C502" s="16">
        <v>98126</v>
      </c>
      <c r="D502" s="16" t="s">
        <v>1474</v>
      </c>
      <c r="E502" s="16" t="s">
        <v>1501</v>
      </c>
      <c r="F502" s="25" t="s">
        <v>58</v>
      </c>
    </row>
    <row r="503" spans="2:6" x14ac:dyDescent="0.45">
      <c r="B503">
        <v>646</v>
      </c>
      <c r="C503" s="16">
        <v>98126</v>
      </c>
      <c r="D503" s="16" t="s">
        <v>1474</v>
      </c>
      <c r="E503" s="16" t="s">
        <v>1501</v>
      </c>
      <c r="F503" s="25" t="s">
        <v>58</v>
      </c>
    </row>
    <row r="504" spans="2:6" x14ac:dyDescent="0.45">
      <c r="B504">
        <v>678</v>
      </c>
      <c r="C504" s="16">
        <v>98126</v>
      </c>
      <c r="D504" s="16" t="s">
        <v>1474</v>
      </c>
      <c r="E504" s="16" t="s">
        <v>1501</v>
      </c>
      <c r="F504" s="25" t="s">
        <v>58</v>
      </c>
    </row>
    <row r="505" spans="2:6" x14ac:dyDescent="0.45">
      <c r="B505">
        <v>686</v>
      </c>
      <c r="C505" s="16">
        <v>98126</v>
      </c>
      <c r="D505" s="16" t="s">
        <v>1474</v>
      </c>
      <c r="E505" s="16" t="s">
        <v>1501</v>
      </c>
      <c r="F505" s="25" t="s">
        <v>58</v>
      </c>
    </row>
    <row r="506" spans="2:6" x14ac:dyDescent="0.45">
      <c r="B506">
        <v>690</v>
      </c>
      <c r="C506" s="16">
        <v>98126</v>
      </c>
      <c r="D506" s="16" t="s">
        <v>1474</v>
      </c>
      <c r="E506" s="16" t="s">
        <v>1501</v>
      </c>
      <c r="F506" s="25" t="s">
        <v>58</v>
      </c>
    </row>
    <row r="507" spans="2:6" x14ac:dyDescent="0.45">
      <c r="B507">
        <v>694</v>
      </c>
      <c r="C507" s="16">
        <v>98126</v>
      </c>
      <c r="D507" s="16" t="s">
        <v>1474</v>
      </c>
      <c r="E507" s="16" t="s">
        <v>1501</v>
      </c>
      <c r="F507" s="25" t="s">
        <v>58</v>
      </c>
    </row>
    <row r="508" spans="2:6" x14ac:dyDescent="0.45">
      <c r="B508">
        <v>706</v>
      </c>
      <c r="C508" s="16">
        <v>98126</v>
      </c>
      <c r="D508" s="16" t="s">
        <v>1474</v>
      </c>
      <c r="E508" s="16" t="s">
        <v>1501</v>
      </c>
      <c r="F508" s="25" t="s">
        <v>58</v>
      </c>
    </row>
    <row r="509" spans="2:6" x14ac:dyDescent="0.45">
      <c r="B509">
        <v>710</v>
      </c>
      <c r="C509" s="16">
        <v>98126</v>
      </c>
      <c r="D509" s="16" t="s">
        <v>1474</v>
      </c>
      <c r="E509" s="16" t="s">
        <v>1501</v>
      </c>
      <c r="F509" s="25" t="s">
        <v>58</v>
      </c>
    </row>
    <row r="510" spans="2:6" x14ac:dyDescent="0.45">
      <c r="B510">
        <v>716</v>
      </c>
      <c r="C510" s="16">
        <v>98126</v>
      </c>
      <c r="D510" s="16" t="s">
        <v>1474</v>
      </c>
      <c r="E510" s="16" t="s">
        <v>1501</v>
      </c>
      <c r="F510" s="25" t="s">
        <v>58</v>
      </c>
    </row>
    <row r="511" spans="2:6" x14ac:dyDescent="0.45">
      <c r="B511">
        <v>728</v>
      </c>
      <c r="C511" s="16">
        <v>98126</v>
      </c>
      <c r="D511" s="16" t="s">
        <v>1474</v>
      </c>
      <c r="E511" s="16" t="s">
        <v>1501</v>
      </c>
      <c r="F511" s="25" t="s">
        <v>58</v>
      </c>
    </row>
    <row r="512" spans="2:6" x14ac:dyDescent="0.45">
      <c r="B512">
        <v>729</v>
      </c>
      <c r="C512" s="16">
        <v>98126</v>
      </c>
      <c r="D512" s="16" t="s">
        <v>1474</v>
      </c>
      <c r="E512" s="16" t="s">
        <v>1501</v>
      </c>
      <c r="F512" s="25" t="s">
        <v>58</v>
      </c>
    </row>
    <row r="513" spans="2:6" x14ac:dyDescent="0.45">
      <c r="B513">
        <v>748</v>
      </c>
      <c r="C513" s="16">
        <v>98126</v>
      </c>
      <c r="D513" s="16" t="s">
        <v>1474</v>
      </c>
      <c r="E513" s="16" t="s">
        <v>1501</v>
      </c>
      <c r="F513" s="25" t="s">
        <v>58</v>
      </c>
    </row>
    <row r="514" spans="2:6" x14ac:dyDescent="0.45">
      <c r="B514">
        <v>768</v>
      </c>
      <c r="C514" s="16">
        <v>98126</v>
      </c>
      <c r="D514" s="16" t="s">
        <v>1474</v>
      </c>
      <c r="E514" s="16" t="s">
        <v>1501</v>
      </c>
      <c r="F514" s="25" t="s">
        <v>58</v>
      </c>
    </row>
    <row r="515" spans="2:6" x14ac:dyDescent="0.45">
      <c r="B515">
        <v>800</v>
      </c>
      <c r="C515" s="16">
        <v>98126</v>
      </c>
      <c r="D515" s="16" t="s">
        <v>1474</v>
      </c>
      <c r="E515" s="16" t="s">
        <v>1501</v>
      </c>
      <c r="F515" s="25" t="s">
        <v>58</v>
      </c>
    </row>
    <row r="516" spans="2:6" x14ac:dyDescent="0.45">
      <c r="B516">
        <v>834</v>
      </c>
      <c r="C516" s="16">
        <v>98126</v>
      </c>
      <c r="D516" s="16" t="s">
        <v>1474</v>
      </c>
      <c r="E516" s="16" t="s">
        <v>1501</v>
      </c>
      <c r="F516" s="25" t="s">
        <v>58</v>
      </c>
    </row>
    <row r="517" spans="2:6" x14ac:dyDescent="0.45">
      <c r="B517">
        <v>854</v>
      </c>
      <c r="C517" s="16">
        <v>98126</v>
      </c>
      <c r="D517" s="16" t="s">
        <v>1474</v>
      </c>
      <c r="E517" s="16" t="s">
        <v>1501</v>
      </c>
      <c r="F517" s="25" t="s">
        <v>58</v>
      </c>
    </row>
    <row r="518" spans="2:6" x14ac:dyDescent="0.45">
      <c r="B518">
        <v>894</v>
      </c>
      <c r="C518" s="16">
        <v>98126</v>
      </c>
      <c r="D518" s="16" t="s">
        <v>1474</v>
      </c>
      <c r="E518" s="16" t="s">
        <v>1501</v>
      </c>
      <c r="F518" s="25" t="s">
        <v>58</v>
      </c>
    </row>
    <row r="519" spans="2:6" x14ac:dyDescent="0.45">
      <c r="B519">
        <v>8</v>
      </c>
      <c r="C519" s="16">
        <v>98200</v>
      </c>
      <c r="D519" s="16" t="s">
        <v>1502</v>
      </c>
      <c r="E519" s="16" t="s">
        <v>1503</v>
      </c>
      <c r="F519" s="25" t="s">
        <v>59</v>
      </c>
    </row>
    <row r="520" spans="2:6" x14ac:dyDescent="0.45">
      <c r="B520">
        <v>20</v>
      </c>
      <c r="C520" s="16">
        <v>98200</v>
      </c>
      <c r="D520" s="16" t="s">
        <v>1502</v>
      </c>
      <c r="E520" s="16" t="s">
        <v>1503</v>
      </c>
      <c r="F520" s="25" t="s">
        <v>59</v>
      </c>
    </row>
    <row r="521" spans="2:6" x14ac:dyDescent="0.45">
      <c r="B521">
        <v>31</v>
      </c>
      <c r="C521" s="16">
        <v>98200</v>
      </c>
      <c r="D521" s="16" t="s">
        <v>1502</v>
      </c>
      <c r="E521" s="16" t="s">
        <v>1503</v>
      </c>
      <c r="F521" s="25" t="s">
        <v>59</v>
      </c>
    </row>
    <row r="522" spans="2:6" x14ac:dyDescent="0.45">
      <c r="B522">
        <v>40</v>
      </c>
      <c r="C522" s="16">
        <v>98200</v>
      </c>
      <c r="D522" s="16" t="s">
        <v>1502</v>
      </c>
      <c r="E522" s="16" t="s">
        <v>1503</v>
      </c>
      <c r="F522" s="25" t="s">
        <v>59</v>
      </c>
    </row>
    <row r="523" spans="2:6" x14ac:dyDescent="0.45">
      <c r="B523">
        <v>51</v>
      </c>
      <c r="C523" s="16">
        <v>98200</v>
      </c>
      <c r="D523" s="16" t="s">
        <v>1502</v>
      </c>
      <c r="E523" s="16" t="s">
        <v>1503</v>
      </c>
      <c r="F523" s="25" t="s">
        <v>59</v>
      </c>
    </row>
    <row r="524" spans="2:6" x14ac:dyDescent="0.45">
      <c r="B524">
        <v>56</v>
      </c>
      <c r="C524" s="16">
        <v>98200</v>
      </c>
      <c r="D524" s="16" t="s">
        <v>1502</v>
      </c>
      <c r="E524" s="16" t="s">
        <v>1503</v>
      </c>
      <c r="F524" s="25" t="s">
        <v>59</v>
      </c>
    </row>
    <row r="525" spans="2:6" x14ac:dyDescent="0.45">
      <c r="B525">
        <v>70</v>
      </c>
      <c r="C525" s="16">
        <v>98200</v>
      </c>
      <c r="D525" s="16" t="s">
        <v>1502</v>
      </c>
      <c r="E525" s="16" t="s">
        <v>1503</v>
      </c>
      <c r="F525" s="25" t="s">
        <v>59</v>
      </c>
    </row>
    <row r="526" spans="2:6" x14ac:dyDescent="0.45">
      <c r="B526">
        <v>100</v>
      </c>
      <c r="C526" s="16">
        <v>98200</v>
      </c>
      <c r="D526" s="16" t="s">
        <v>1502</v>
      </c>
      <c r="E526" s="16" t="s">
        <v>1503</v>
      </c>
      <c r="F526" s="25" t="s">
        <v>59</v>
      </c>
    </row>
    <row r="527" spans="2:6" x14ac:dyDescent="0.45">
      <c r="B527">
        <v>112</v>
      </c>
      <c r="C527" s="16">
        <v>98200</v>
      </c>
      <c r="D527" s="16" t="s">
        <v>1502</v>
      </c>
      <c r="E527" s="16" t="s">
        <v>1503</v>
      </c>
      <c r="F527" s="25" t="s">
        <v>59</v>
      </c>
    </row>
    <row r="528" spans="2:6" x14ac:dyDescent="0.45">
      <c r="B528">
        <v>124</v>
      </c>
      <c r="C528" s="16">
        <v>98200</v>
      </c>
      <c r="D528" s="16" t="s">
        <v>1502</v>
      </c>
      <c r="E528" s="16" t="s">
        <v>1503</v>
      </c>
      <c r="F528" s="25" t="s">
        <v>59</v>
      </c>
    </row>
    <row r="529" spans="2:6" x14ac:dyDescent="0.45">
      <c r="B529">
        <v>191</v>
      </c>
      <c r="C529" s="16">
        <v>98200</v>
      </c>
      <c r="D529" s="16" t="s">
        <v>1502</v>
      </c>
      <c r="E529" s="16" t="s">
        <v>1503</v>
      </c>
      <c r="F529" s="25" t="s">
        <v>59</v>
      </c>
    </row>
    <row r="530" spans="2:6" x14ac:dyDescent="0.45">
      <c r="B530">
        <v>196</v>
      </c>
      <c r="C530" s="16">
        <v>98200</v>
      </c>
      <c r="D530" s="16" t="s">
        <v>1502</v>
      </c>
      <c r="E530" s="16" t="s">
        <v>1503</v>
      </c>
      <c r="F530" s="25" t="s">
        <v>59</v>
      </c>
    </row>
    <row r="531" spans="2:6" x14ac:dyDescent="0.45">
      <c r="B531">
        <v>203</v>
      </c>
      <c r="C531" s="16">
        <v>98200</v>
      </c>
      <c r="D531" s="16" t="s">
        <v>1502</v>
      </c>
      <c r="E531" s="16" t="s">
        <v>1503</v>
      </c>
      <c r="F531" s="25" t="s">
        <v>59</v>
      </c>
    </row>
    <row r="532" spans="2:6" x14ac:dyDescent="0.45">
      <c r="B532">
        <v>208</v>
      </c>
      <c r="C532" s="16">
        <v>98200</v>
      </c>
      <c r="D532" s="16" t="s">
        <v>1502</v>
      </c>
      <c r="E532" s="16" t="s">
        <v>1503</v>
      </c>
      <c r="F532" s="25" t="s">
        <v>59</v>
      </c>
    </row>
    <row r="533" spans="2:6" x14ac:dyDescent="0.45">
      <c r="B533">
        <v>233</v>
      </c>
      <c r="C533" s="16">
        <v>98200</v>
      </c>
      <c r="D533" s="16" t="s">
        <v>1502</v>
      </c>
      <c r="E533" s="16" t="s">
        <v>1503</v>
      </c>
      <c r="F533" s="25" t="s">
        <v>59</v>
      </c>
    </row>
    <row r="534" spans="2:6" x14ac:dyDescent="0.45">
      <c r="B534">
        <v>246</v>
      </c>
      <c r="C534" s="16">
        <v>98200</v>
      </c>
      <c r="D534" s="16" t="s">
        <v>1502</v>
      </c>
      <c r="E534" s="16" t="s">
        <v>1503</v>
      </c>
      <c r="F534" s="25" t="s">
        <v>59</v>
      </c>
    </row>
    <row r="535" spans="2:6" x14ac:dyDescent="0.45">
      <c r="B535">
        <v>250</v>
      </c>
      <c r="C535" s="16">
        <v>98200</v>
      </c>
      <c r="D535" s="16" t="s">
        <v>1502</v>
      </c>
      <c r="E535" s="16" t="s">
        <v>1503</v>
      </c>
      <c r="F535" s="25" t="s">
        <v>59</v>
      </c>
    </row>
    <row r="536" spans="2:6" x14ac:dyDescent="0.45">
      <c r="B536">
        <v>268</v>
      </c>
      <c r="C536" s="16">
        <v>98200</v>
      </c>
      <c r="D536" s="16" t="s">
        <v>1502</v>
      </c>
      <c r="E536" s="16" t="s">
        <v>1503</v>
      </c>
      <c r="F536" s="25" t="s">
        <v>59</v>
      </c>
    </row>
    <row r="537" spans="2:6" x14ac:dyDescent="0.45">
      <c r="B537">
        <v>276</v>
      </c>
      <c r="C537" s="16">
        <v>98200</v>
      </c>
      <c r="D537" s="16" t="s">
        <v>1502</v>
      </c>
      <c r="E537" s="16" t="s">
        <v>1503</v>
      </c>
      <c r="F537" s="25" t="s">
        <v>59</v>
      </c>
    </row>
    <row r="538" spans="2:6" x14ac:dyDescent="0.45">
      <c r="B538">
        <v>300</v>
      </c>
      <c r="C538" s="16">
        <v>98200</v>
      </c>
      <c r="D538" s="16" t="s">
        <v>1502</v>
      </c>
      <c r="E538" s="16" t="s">
        <v>1503</v>
      </c>
      <c r="F538" s="25" t="s">
        <v>59</v>
      </c>
    </row>
    <row r="539" spans="2:6" x14ac:dyDescent="0.45">
      <c r="B539">
        <v>348</v>
      </c>
      <c r="C539" s="16">
        <v>98200</v>
      </c>
      <c r="D539" s="16" t="s">
        <v>1502</v>
      </c>
      <c r="E539" s="16" t="s">
        <v>1503</v>
      </c>
      <c r="F539" s="25" t="s">
        <v>59</v>
      </c>
    </row>
    <row r="540" spans="2:6" x14ac:dyDescent="0.45">
      <c r="B540">
        <v>352</v>
      </c>
      <c r="C540" s="16">
        <v>98200</v>
      </c>
      <c r="D540" s="16" t="s">
        <v>1502</v>
      </c>
      <c r="E540" s="16" t="s">
        <v>1503</v>
      </c>
      <c r="F540" s="25" t="s">
        <v>59</v>
      </c>
    </row>
    <row r="541" spans="2:6" x14ac:dyDescent="0.45">
      <c r="B541">
        <v>372</v>
      </c>
      <c r="C541" s="16">
        <v>98200</v>
      </c>
      <c r="D541" s="16" t="s">
        <v>1502</v>
      </c>
      <c r="E541" s="16" t="s">
        <v>1503</v>
      </c>
      <c r="F541" s="25" t="s">
        <v>59</v>
      </c>
    </row>
    <row r="542" spans="2:6" x14ac:dyDescent="0.45">
      <c r="B542">
        <v>376</v>
      </c>
      <c r="C542" s="16">
        <v>98200</v>
      </c>
      <c r="D542" s="16" t="s">
        <v>1502</v>
      </c>
      <c r="E542" s="16" t="s">
        <v>1503</v>
      </c>
      <c r="F542" s="25" t="s">
        <v>59</v>
      </c>
    </row>
    <row r="543" spans="2:6" x14ac:dyDescent="0.45">
      <c r="B543">
        <v>380</v>
      </c>
      <c r="C543" s="16">
        <v>98200</v>
      </c>
      <c r="D543" s="16" t="s">
        <v>1502</v>
      </c>
      <c r="E543" s="16" t="s">
        <v>1503</v>
      </c>
      <c r="F543" s="25" t="s">
        <v>59</v>
      </c>
    </row>
    <row r="544" spans="2:6" x14ac:dyDescent="0.45">
      <c r="B544">
        <v>398</v>
      </c>
      <c r="C544" s="16">
        <v>98200</v>
      </c>
      <c r="D544" s="16" t="s">
        <v>1502</v>
      </c>
      <c r="E544" s="16" t="s">
        <v>1503</v>
      </c>
      <c r="F544" s="25" t="s">
        <v>59</v>
      </c>
    </row>
    <row r="545" spans="2:6" x14ac:dyDescent="0.45">
      <c r="B545">
        <v>417</v>
      </c>
      <c r="C545" s="16">
        <v>98200</v>
      </c>
      <c r="D545" s="16" t="s">
        <v>1502</v>
      </c>
      <c r="E545" s="16" t="s">
        <v>1503</v>
      </c>
      <c r="F545" s="25" t="s">
        <v>59</v>
      </c>
    </row>
    <row r="546" spans="2:6" x14ac:dyDescent="0.45">
      <c r="B546">
        <v>428</v>
      </c>
      <c r="C546" s="16">
        <v>98200</v>
      </c>
      <c r="D546" s="16" t="s">
        <v>1502</v>
      </c>
      <c r="E546" s="16" t="s">
        <v>1503</v>
      </c>
      <c r="F546" s="25" t="s">
        <v>59</v>
      </c>
    </row>
    <row r="547" spans="2:6" x14ac:dyDescent="0.45">
      <c r="B547">
        <v>438</v>
      </c>
      <c r="C547" s="16">
        <v>98200</v>
      </c>
      <c r="D547" s="16" t="s">
        <v>1502</v>
      </c>
      <c r="E547" s="16" t="s">
        <v>1503</v>
      </c>
      <c r="F547" s="25" t="s">
        <v>59</v>
      </c>
    </row>
    <row r="548" spans="2:6" x14ac:dyDescent="0.45">
      <c r="B548">
        <v>440</v>
      </c>
      <c r="C548" s="16">
        <v>98200</v>
      </c>
      <c r="D548" s="16" t="s">
        <v>1502</v>
      </c>
      <c r="E548" s="16" t="s">
        <v>1503</v>
      </c>
      <c r="F548" s="25" t="s">
        <v>59</v>
      </c>
    </row>
    <row r="549" spans="2:6" x14ac:dyDescent="0.45">
      <c r="B549">
        <v>442</v>
      </c>
      <c r="C549" s="16">
        <v>98200</v>
      </c>
      <c r="D549" s="16" t="s">
        <v>1502</v>
      </c>
      <c r="E549" s="16" t="s">
        <v>1503</v>
      </c>
      <c r="F549" s="25" t="s">
        <v>59</v>
      </c>
    </row>
    <row r="550" spans="2:6" x14ac:dyDescent="0.45">
      <c r="B550">
        <v>470</v>
      </c>
      <c r="C550" s="16">
        <v>98200</v>
      </c>
      <c r="D550" s="16" t="s">
        <v>1502</v>
      </c>
      <c r="E550" s="16" t="s">
        <v>1503</v>
      </c>
      <c r="F550" s="25" t="s">
        <v>59</v>
      </c>
    </row>
    <row r="551" spans="2:6" x14ac:dyDescent="0.45">
      <c r="B551">
        <v>492</v>
      </c>
      <c r="C551" s="16">
        <v>98200</v>
      </c>
      <c r="D551" s="16" t="s">
        <v>1502</v>
      </c>
      <c r="E551" s="16" t="s">
        <v>1503</v>
      </c>
      <c r="F551" s="25" t="s">
        <v>59</v>
      </c>
    </row>
    <row r="552" spans="2:6" x14ac:dyDescent="0.45">
      <c r="B552">
        <v>498</v>
      </c>
      <c r="C552" s="16">
        <v>98200</v>
      </c>
      <c r="D552" s="16" t="s">
        <v>1502</v>
      </c>
      <c r="E552" s="16" t="s">
        <v>1503</v>
      </c>
      <c r="F552" s="25" t="s">
        <v>59</v>
      </c>
    </row>
    <row r="553" spans="2:6" x14ac:dyDescent="0.45">
      <c r="B553">
        <v>499</v>
      </c>
      <c r="C553" s="16">
        <v>98200</v>
      </c>
      <c r="D553" s="16" t="s">
        <v>1502</v>
      </c>
      <c r="E553" s="16" t="s">
        <v>1503</v>
      </c>
      <c r="F553" s="25" t="s">
        <v>59</v>
      </c>
    </row>
    <row r="554" spans="2:6" x14ac:dyDescent="0.45">
      <c r="B554">
        <v>528</v>
      </c>
      <c r="C554" s="16">
        <v>98200</v>
      </c>
      <c r="D554" s="16" t="s">
        <v>1502</v>
      </c>
      <c r="E554" s="16" t="s">
        <v>1503</v>
      </c>
      <c r="F554" s="25" t="s">
        <v>59</v>
      </c>
    </row>
    <row r="555" spans="2:6" x14ac:dyDescent="0.45">
      <c r="B555">
        <v>578</v>
      </c>
      <c r="C555" s="16">
        <v>98200</v>
      </c>
      <c r="D555" s="16" t="s">
        <v>1502</v>
      </c>
      <c r="E555" s="16" t="s">
        <v>1503</v>
      </c>
      <c r="F555" s="25" t="s">
        <v>59</v>
      </c>
    </row>
    <row r="556" spans="2:6" x14ac:dyDescent="0.45">
      <c r="B556">
        <v>616</v>
      </c>
      <c r="C556" s="16">
        <v>98200</v>
      </c>
      <c r="D556" s="16" t="s">
        <v>1502</v>
      </c>
      <c r="E556" s="16" t="s">
        <v>1503</v>
      </c>
      <c r="F556" s="25" t="s">
        <v>59</v>
      </c>
    </row>
    <row r="557" spans="2:6" x14ac:dyDescent="0.45">
      <c r="B557">
        <v>620</v>
      </c>
      <c r="C557" s="16">
        <v>98200</v>
      </c>
      <c r="D557" s="16" t="s">
        <v>1502</v>
      </c>
      <c r="E557" s="16" t="s">
        <v>1503</v>
      </c>
      <c r="F557" s="25" t="s">
        <v>59</v>
      </c>
    </row>
    <row r="558" spans="2:6" x14ac:dyDescent="0.45">
      <c r="B558">
        <v>642</v>
      </c>
      <c r="C558" s="16">
        <v>98200</v>
      </c>
      <c r="D558" s="16" t="s">
        <v>1502</v>
      </c>
      <c r="E558" s="16" t="s">
        <v>1503</v>
      </c>
      <c r="F558" s="25" t="s">
        <v>59</v>
      </c>
    </row>
    <row r="559" spans="2:6" x14ac:dyDescent="0.45">
      <c r="B559">
        <v>643</v>
      </c>
      <c r="C559" s="16">
        <v>98200</v>
      </c>
      <c r="D559" s="16" t="s">
        <v>1502</v>
      </c>
      <c r="E559" s="16" t="s">
        <v>1503</v>
      </c>
      <c r="F559" s="25" t="s">
        <v>59</v>
      </c>
    </row>
    <row r="560" spans="2:6" x14ac:dyDescent="0.45">
      <c r="B560">
        <v>674</v>
      </c>
      <c r="C560" s="16">
        <v>98200</v>
      </c>
      <c r="D560" s="16" t="s">
        <v>1502</v>
      </c>
      <c r="E560" s="16" t="s">
        <v>1503</v>
      </c>
      <c r="F560" s="25" t="s">
        <v>59</v>
      </c>
    </row>
    <row r="561" spans="2:6" x14ac:dyDescent="0.45">
      <c r="B561">
        <v>688</v>
      </c>
      <c r="C561" s="16">
        <v>98200</v>
      </c>
      <c r="D561" s="16" t="s">
        <v>1502</v>
      </c>
      <c r="E561" s="16" t="s">
        <v>1503</v>
      </c>
      <c r="F561" s="25" t="s">
        <v>59</v>
      </c>
    </row>
    <row r="562" spans="2:6" x14ac:dyDescent="0.45">
      <c r="B562">
        <v>703</v>
      </c>
      <c r="C562" s="16">
        <v>98200</v>
      </c>
      <c r="D562" s="16" t="s">
        <v>1502</v>
      </c>
      <c r="E562" s="16" t="s">
        <v>1503</v>
      </c>
      <c r="F562" s="25" t="s">
        <v>59</v>
      </c>
    </row>
    <row r="563" spans="2:6" x14ac:dyDescent="0.45">
      <c r="B563">
        <v>705</v>
      </c>
      <c r="C563" s="16">
        <v>98200</v>
      </c>
      <c r="D563" s="16" t="s">
        <v>1502</v>
      </c>
      <c r="E563" s="16" t="s">
        <v>1503</v>
      </c>
      <c r="F563" s="25" t="s">
        <v>59</v>
      </c>
    </row>
    <row r="564" spans="2:6" x14ac:dyDescent="0.45">
      <c r="B564">
        <v>724</v>
      </c>
      <c r="C564" s="16">
        <v>98200</v>
      </c>
      <c r="D564" s="16" t="s">
        <v>1502</v>
      </c>
      <c r="E564" s="16" t="s">
        <v>1503</v>
      </c>
      <c r="F564" s="25" t="s">
        <v>59</v>
      </c>
    </row>
    <row r="565" spans="2:6" x14ac:dyDescent="0.45">
      <c r="B565">
        <v>752</v>
      </c>
      <c r="C565" s="16">
        <v>98200</v>
      </c>
      <c r="D565" s="16" t="s">
        <v>1502</v>
      </c>
      <c r="E565" s="16" t="s">
        <v>1503</v>
      </c>
      <c r="F565" s="25" t="s">
        <v>59</v>
      </c>
    </row>
    <row r="566" spans="2:6" x14ac:dyDescent="0.45">
      <c r="B566">
        <v>756</v>
      </c>
      <c r="C566" s="16">
        <v>98200</v>
      </c>
      <c r="D566" s="16" t="s">
        <v>1502</v>
      </c>
      <c r="E566" s="16" t="s">
        <v>1503</v>
      </c>
      <c r="F566" s="25" t="s">
        <v>59</v>
      </c>
    </row>
    <row r="567" spans="2:6" x14ac:dyDescent="0.45">
      <c r="B567">
        <v>762</v>
      </c>
      <c r="C567" s="16">
        <v>98200</v>
      </c>
      <c r="D567" s="16" t="s">
        <v>1502</v>
      </c>
      <c r="E567" s="16" t="s">
        <v>1503</v>
      </c>
      <c r="F567" s="25" t="s">
        <v>59</v>
      </c>
    </row>
    <row r="568" spans="2:6" x14ac:dyDescent="0.45">
      <c r="B568">
        <v>792</v>
      </c>
      <c r="C568" s="16">
        <v>98200</v>
      </c>
      <c r="D568" s="16" t="s">
        <v>1502</v>
      </c>
      <c r="E568" s="16" t="s">
        <v>1503</v>
      </c>
      <c r="F568" s="25" t="s">
        <v>59</v>
      </c>
    </row>
    <row r="569" spans="2:6" x14ac:dyDescent="0.45">
      <c r="B569">
        <v>795</v>
      </c>
      <c r="C569" s="16">
        <v>98200</v>
      </c>
      <c r="D569" s="16" t="s">
        <v>1502</v>
      </c>
      <c r="E569" s="16" t="s">
        <v>1503</v>
      </c>
      <c r="F569" s="25" t="s">
        <v>59</v>
      </c>
    </row>
    <row r="570" spans="2:6" x14ac:dyDescent="0.45">
      <c r="B570">
        <v>804</v>
      </c>
      <c r="C570" s="16">
        <v>98200</v>
      </c>
      <c r="D570" s="16" t="s">
        <v>1502</v>
      </c>
      <c r="E570" s="16" t="s">
        <v>1503</v>
      </c>
      <c r="F570" s="25" t="s">
        <v>59</v>
      </c>
    </row>
    <row r="571" spans="2:6" x14ac:dyDescent="0.45">
      <c r="B571">
        <v>807</v>
      </c>
      <c r="C571" s="16">
        <v>98200</v>
      </c>
      <c r="D571" s="16" t="s">
        <v>1502</v>
      </c>
      <c r="E571" s="16" t="s">
        <v>1503</v>
      </c>
      <c r="F571" s="25" t="s">
        <v>59</v>
      </c>
    </row>
    <row r="572" spans="2:6" x14ac:dyDescent="0.45">
      <c r="B572">
        <v>826</v>
      </c>
      <c r="C572" s="16">
        <v>98200</v>
      </c>
      <c r="D572" s="16" t="s">
        <v>1502</v>
      </c>
      <c r="E572" s="16" t="s">
        <v>1503</v>
      </c>
      <c r="F572" s="25" t="s">
        <v>59</v>
      </c>
    </row>
    <row r="573" spans="2:6" x14ac:dyDescent="0.45">
      <c r="B573">
        <v>840</v>
      </c>
      <c r="C573" s="16">
        <v>98200</v>
      </c>
      <c r="D573" s="16" t="s">
        <v>1502</v>
      </c>
      <c r="E573" s="16" t="s">
        <v>1503</v>
      </c>
      <c r="F573" s="25" t="s">
        <v>59</v>
      </c>
    </row>
    <row r="574" spans="2:6" x14ac:dyDescent="0.45">
      <c r="B574">
        <v>860</v>
      </c>
      <c r="C574" s="16">
        <v>98200</v>
      </c>
      <c r="D574" s="16" t="s">
        <v>1502</v>
      </c>
      <c r="E574" s="16" t="s">
        <v>1503</v>
      </c>
      <c r="F574" s="25" t="s">
        <v>59</v>
      </c>
    </row>
    <row r="575" spans="2:6" x14ac:dyDescent="0.45">
      <c r="B575">
        <v>31</v>
      </c>
      <c r="C575" s="16">
        <v>98201</v>
      </c>
      <c r="D575" s="16" t="s">
        <v>1502</v>
      </c>
      <c r="E575" s="16" t="s">
        <v>1504</v>
      </c>
      <c r="F575" s="25" t="s">
        <v>60</v>
      </c>
    </row>
    <row r="576" spans="2:6" x14ac:dyDescent="0.45">
      <c r="B576">
        <v>51</v>
      </c>
      <c r="C576" s="16">
        <v>98201</v>
      </c>
      <c r="D576" s="16" t="s">
        <v>1502</v>
      </c>
      <c r="E576" s="16" t="s">
        <v>1504</v>
      </c>
      <c r="F576" s="25" t="s">
        <v>60</v>
      </c>
    </row>
    <row r="577" spans="2:6" x14ac:dyDescent="0.45">
      <c r="B577">
        <v>112</v>
      </c>
      <c r="C577" s="16">
        <v>98201</v>
      </c>
      <c r="D577" s="16" t="s">
        <v>1502</v>
      </c>
      <c r="E577" s="16" t="s">
        <v>1504</v>
      </c>
      <c r="F577" s="25" t="s">
        <v>60</v>
      </c>
    </row>
    <row r="578" spans="2:6" x14ac:dyDescent="0.45">
      <c r="B578">
        <v>398</v>
      </c>
      <c r="C578" s="16">
        <v>98201</v>
      </c>
      <c r="D578" s="16" t="s">
        <v>1502</v>
      </c>
      <c r="E578" s="16" t="s">
        <v>1504</v>
      </c>
      <c r="F578" s="25" t="s">
        <v>60</v>
      </c>
    </row>
    <row r="579" spans="2:6" x14ac:dyDescent="0.45">
      <c r="B579">
        <v>417</v>
      </c>
      <c r="C579" s="16">
        <v>98201</v>
      </c>
      <c r="D579" s="16" t="s">
        <v>1502</v>
      </c>
      <c r="E579" s="16" t="s">
        <v>1504</v>
      </c>
      <c r="F579" s="25" t="s">
        <v>60</v>
      </c>
    </row>
    <row r="580" spans="2:6" x14ac:dyDescent="0.45">
      <c r="B580">
        <v>498</v>
      </c>
      <c r="C580" s="16">
        <v>98201</v>
      </c>
      <c r="D580" s="16" t="s">
        <v>1502</v>
      </c>
      <c r="E580" s="16" t="s">
        <v>1504</v>
      </c>
      <c r="F580" s="25" t="s">
        <v>60</v>
      </c>
    </row>
    <row r="581" spans="2:6" x14ac:dyDescent="0.45">
      <c r="B581">
        <v>643</v>
      </c>
      <c r="C581" s="16">
        <v>98201</v>
      </c>
      <c r="D581" s="16" t="s">
        <v>1502</v>
      </c>
      <c r="E581" s="16" t="s">
        <v>1504</v>
      </c>
      <c r="F581" s="25" t="s">
        <v>60</v>
      </c>
    </row>
    <row r="582" spans="2:6" x14ac:dyDescent="0.45">
      <c r="B582">
        <v>762</v>
      </c>
      <c r="C582" s="16">
        <v>98201</v>
      </c>
      <c r="D582" s="16" t="s">
        <v>1502</v>
      </c>
      <c r="E582" s="16" t="s">
        <v>1504</v>
      </c>
      <c r="F582" s="25" t="s">
        <v>60</v>
      </c>
    </row>
    <row r="583" spans="2:6" x14ac:dyDescent="0.45">
      <c r="B583">
        <v>795</v>
      </c>
      <c r="C583" s="16">
        <v>98201</v>
      </c>
      <c r="D583" s="16" t="s">
        <v>1502</v>
      </c>
      <c r="E583" s="16" t="s">
        <v>1504</v>
      </c>
      <c r="F583" s="25" t="s">
        <v>60</v>
      </c>
    </row>
    <row r="584" spans="2:6" x14ac:dyDescent="0.45">
      <c r="B584">
        <v>804</v>
      </c>
      <c r="C584" s="16">
        <v>98201</v>
      </c>
      <c r="D584" s="16" t="s">
        <v>1502</v>
      </c>
      <c r="E584" s="16" t="s">
        <v>1504</v>
      </c>
      <c r="F584" s="25" t="s">
        <v>60</v>
      </c>
    </row>
    <row r="585" spans="2:6" x14ac:dyDescent="0.45">
      <c r="B585">
        <v>860</v>
      </c>
      <c r="C585" s="16">
        <v>98201</v>
      </c>
      <c r="D585" s="16" t="s">
        <v>1502</v>
      </c>
      <c r="E585" s="16" t="s">
        <v>1504</v>
      </c>
      <c r="F585" s="25" t="s">
        <v>60</v>
      </c>
    </row>
    <row r="586" spans="2:6" x14ac:dyDescent="0.45">
      <c r="B586">
        <v>31</v>
      </c>
      <c r="C586" s="16">
        <v>98202</v>
      </c>
      <c r="D586" s="16" t="s">
        <v>1502</v>
      </c>
      <c r="E586" s="16" t="s">
        <v>1505</v>
      </c>
      <c r="F586" s="25" t="s">
        <v>61</v>
      </c>
    </row>
    <row r="587" spans="2:6" x14ac:dyDescent="0.45">
      <c r="B587">
        <v>51</v>
      </c>
      <c r="C587" s="16">
        <v>98202</v>
      </c>
      <c r="D587" s="16" t="s">
        <v>1502</v>
      </c>
      <c r="E587" s="16" t="s">
        <v>1505</v>
      </c>
      <c r="F587" s="25" t="s">
        <v>61</v>
      </c>
    </row>
    <row r="588" spans="2:6" x14ac:dyDescent="0.45">
      <c r="B588">
        <v>112</v>
      </c>
      <c r="C588" s="16">
        <v>98202</v>
      </c>
      <c r="D588" s="16" t="s">
        <v>1502</v>
      </c>
      <c r="E588" s="16" t="s">
        <v>1505</v>
      </c>
      <c r="F588" s="25" t="s">
        <v>61</v>
      </c>
    </row>
    <row r="589" spans="2:6" x14ac:dyDescent="0.45">
      <c r="B589">
        <v>268</v>
      </c>
      <c r="C589" s="16">
        <v>98202</v>
      </c>
      <c r="D589" s="16" t="s">
        <v>1502</v>
      </c>
      <c r="E589" s="16" t="s">
        <v>1505</v>
      </c>
      <c r="F589" s="25" t="s">
        <v>61</v>
      </c>
    </row>
    <row r="590" spans="2:6" x14ac:dyDescent="0.45">
      <c r="B590">
        <v>398</v>
      </c>
      <c r="C590" s="16">
        <v>98202</v>
      </c>
      <c r="D590" s="16" t="s">
        <v>1502</v>
      </c>
      <c r="E590" s="16" t="s">
        <v>1505</v>
      </c>
      <c r="F590" s="25" t="s">
        <v>61</v>
      </c>
    </row>
    <row r="591" spans="2:6" x14ac:dyDescent="0.45">
      <c r="B591">
        <v>417</v>
      </c>
      <c r="C591" s="16">
        <v>98202</v>
      </c>
      <c r="D591" s="16" t="s">
        <v>1502</v>
      </c>
      <c r="E591" s="16" t="s">
        <v>1505</v>
      </c>
      <c r="F591" s="25" t="s">
        <v>61</v>
      </c>
    </row>
    <row r="592" spans="2:6" x14ac:dyDescent="0.45">
      <c r="B592">
        <v>498</v>
      </c>
      <c r="C592" s="16">
        <v>98202</v>
      </c>
      <c r="D592" s="16" t="s">
        <v>1502</v>
      </c>
      <c r="E592" s="16" t="s">
        <v>1505</v>
      </c>
      <c r="F592" s="25" t="s">
        <v>61</v>
      </c>
    </row>
    <row r="593" spans="2:6" x14ac:dyDescent="0.45">
      <c r="B593">
        <v>643</v>
      </c>
      <c r="C593" s="16">
        <v>98202</v>
      </c>
      <c r="D593" s="16" t="s">
        <v>1502</v>
      </c>
      <c r="E593" s="16" t="s">
        <v>1505</v>
      </c>
      <c r="F593" s="25" t="s">
        <v>61</v>
      </c>
    </row>
    <row r="594" spans="2:6" x14ac:dyDescent="0.45">
      <c r="B594">
        <v>762</v>
      </c>
      <c r="C594" s="16">
        <v>98202</v>
      </c>
      <c r="D594" s="16" t="s">
        <v>1502</v>
      </c>
      <c r="E594" s="16" t="s">
        <v>1505</v>
      </c>
      <c r="F594" s="25" t="s">
        <v>61</v>
      </c>
    </row>
    <row r="595" spans="2:6" x14ac:dyDescent="0.45">
      <c r="B595">
        <v>795</v>
      </c>
      <c r="C595" s="16">
        <v>98202</v>
      </c>
      <c r="D595" s="16" t="s">
        <v>1502</v>
      </c>
      <c r="E595" s="16" t="s">
        <v>1505</v>
      </c>
      <c r="F595" s="25" t="s">
        <v>61</v>
      </c>
    </row>
    <row r="596" spans="2:6" x14ac:dyDescent="0.45">
      <c r="B596">
        <v>804</v>
      </c>
      <c r="C596" s="16">
        <v>98202</v>
      </c>
      <c r="D596" s="16" t="s">
        <v>1502</v>
      </c>
      <c r="E596" s="16" t="s">
        <v>1505</v>
      </c>
      <c r="F596" s="25" t="s">
        <v>61</v>
      </c>
    </row>
    <row r="597" spans="2:6" x14ac:dyDescent="0.45">
      <c r="B597">
        <v>860</v>
      </c>
      <c r="C597" s="16">
        <v>98202</v>
      </c>
      <c r="D597" s="16" t="s">
        <v>1502</v>
      </c>
      <c r="E597" s="16" t="s">
        <v>1505</v>
      </c>
      <c r="F597" s="25" t="s">
        <v>61</v>
      </c>
    </row>
    <row r="598" spans="2:6" x14ac:dyDescent="0.45">
      <c r="B598">
        <v>40</v>
      </c>
      <c r="C598" s="16">
        <v>98203</v>
      </c>
      <c r="D598" s="16" t="s">
        <v>1502</v>
      </c>
      <c r="E598" s="16" t="s">
        <v>1506</v>
      </c>
      <c r="F598" s="25" t="s">
        <v>62</v>
      </c>
    </row>
    <row r="599" spans="2:6" x14ac:dyDescent="0.45">
      <c r="B599">
        <v>56</v>
      </c>
      <c r="C599" s="16">
        <v>98203</v>
      </c>
      <c r="D599" s="16" t="s">
        <v>1502</v>
      </c>
      <c r="E599" s="16" t="s">
        <v>1506</v>
      </c>
      <c r="F599" s="25" t="s">
        <v>62</v>
      </c>
    </row>
    <row r="600" spans="2:6" x14ac:dyDescent="0.45">
      <c r="B600">
        <v>100</v>
      </c>
      <c r="C600" s="16">
        <v>98203</v>
      </c>
      <c r="D600" s="16" t="s">
        <v>1502</v>
      </c>
      <c r="E600" s="16" t="s">
        <v>1506</v>
      </c>
      <c r="F600" s="25" t="s">
        <v>62</v>
      </c>
    </row>
    <row r="601" spans="2:6" x14ac:dyDescent="0.45">
      <c r="B601">
        <v>191</v>
      </c>
      <c r="C601" s="16">
        <v>98203</v>
      </c>
      <c r="D601" s="16" t="s">
        <v>1502</v>
      </c>
      <c r="E601" s="16" t="s">
        <v>1506</v>
      </c>
      <c r="F601" s="25" t="s">
        <v>62</v>
      </c>
    </row>
    <row r="602" spans="2:6" x14ac:dyDescent="0.45">
      <c r="B602">
        <v>196</v>
      </c>
      <c r="C602" s="16">
        <v>98203</v>
      </c>
      <c r="D602" s="16" t="s">
        <v>1502</v>
      </c>
      <c r="E602" s="16" t="s">
        <v>1506</v>
      </c>
      <c r="F602" s="25" t="s">
        <v>62</v>
      </c>
    </row>
    <row r="603" spans="2:6" x14ac:dyDescent="0.45">
      <c r="B603">
        <v>203</v>
      </c>
      <c r="C603" s="16">
        <v>98203</v>
      </c>
      <c r="D603" s="16" t="s">
        <v>1502</v>
      </c>
      <c r="E603" s="16" t="s">
        <v>1506</v>
      </c>
      <c r="F603" s="25" t="s">
        <v>62</v>
      </c>
    </row>
    <row r="604" spans="2:6" x14ac:dyDescent="0.45">
      <c r="B604">
        <v>208</v>
      </c>
      <c r="C604" s="16">
        <v>98203</v>
      </c>
      <c r="D604" s="16" t="s">
        <v>1502</v>
      </c>
      <c r="E604" s="16" t="s">
        <v>1506</v>
      </c>
      <c r="F604" s="25" t="s">
        <v>62</v>
      </c>
    </row>
    <row r="605" spans="2:6" x14ac:dyDescent="0.45">
      <c r="B605">
        <v>233</v>
      </c>
      <c r="C605" s="16">
        <v>98203</v>
      </c>
      <c r="D605" s="16" t="s">
        <v>1502</v>
      </c>
      <c r="E605" s="16" t="s">
        <v>1506</v>
      </c>
      <c r="F605" s="25" t="s">
        <v>62</v>
      </c>
    </row>
    <row r="606" spans="2:6" x14ac:dyDescent="0.45">
      <c r="B606">
        <v>246</v>
      </c>
      <c r="C606" s="16">
        <v>98203</v>
      </c>
      <c r="D606" s="16" t="s">
        <v>1502</v>
      </c>
      <c r="E606" s="16" t="s">
        <v>1506</v>
      </c>
      <c r="F606" s="25" t="s">
        <v>62</v>
      </c>
    </row>
    <row r="607" spans="2:6" x14ac:dyDescent="0.45">
      <c r="B607">
        <v>250</v>
      </c>
      <c r="C607" s="16">
        <v>98203</v>
      </c>
      <c r="D607" s="16" t="s">
        <v>1502</v>
      </c>
      <c r="E607" s="16" t="s">
        <v>1506</v>
      </c>
      <c r="F607" s="25" t="s">
        <v>62</v>
      </c>
    </row>
    <row r="608" spans="2:6" x14ac:dyDescent="0.45">
      <c r="B608">
        <v>276</v>
      </c>
      <c r="C608" s="16">
        <v>98203</v>
      </c>
      <c r="D608" s="16" t="s">
        <v>1502</v>
      </c>
      <c r="E608" s="16" t="s">
        <v>1506</v>
      </c>
      <c r="F608" s="25" t="s">
        <v>62</v>
      </c>
    </row>
    <row r="609" spans="2:6" x14ac:dyDescent="0.45">
      <c r="B609">
        <v>300</v>
      </c>
      <c r="C609" s="16">
        <v>98203</v>
      </c>
      <c r="D609" s="16" t="s">
        <v>1502</v>
      </c>
      <c r="E609" s="16" t="s">
        <v>1506</v>
      </c>
      <c r="F609" s="25" t="s">
        <v>62</v>
      </c>
    </row>
    <row r="610" spans="2:6" x14ac:dyDescent="0.45">
      <c r="B610">
        <v>348</v>
      </c>
      <c r="C610" s="16">
        <v>98203</v>
      </c>
      <c r="D610" s="16" t="s">
        <v>1502</v>
      </c>
      <c r="E610" s="16" t="s">
        <v>1506</v>
      </c>
      <c r="F610" s="25" t="s">
        <v>62</v>
      </c>
    </row>
    <row r="611" spans="2:6" x14ac:dyDescent="0.45">
      <c r="B611">
        <v>372</v>
      </c>
      <c r="C611" s="16">
        <v>98203</v>
      </c>
      <c r="D611" s="16" t="s">
        <v>1502</v>
      </c>
      <c r="E611" s="16" t="s">
        <v>1506</v>
      </c>
      <c r="F611" s="25" t="s">
        <v>62</v>
      </c>
    </row>
    <row r="612" spans="2:6" x14ac:dyDescent="0.45">
      <c r="B612">
        <v>380</v>
      </c>
      <c r="C612" s="16">
        <v>98203</v>
      </c>
      <c r="D612" s="16" t="s">
        <v>1502</v>
      </c>
      <c r="E612" s="16" t="s">
        <v>1506</v>
      </c>
      <c r="F612" s="25" t="s">
        <v>62</v>
      </c>
    </row>
    <row r="613" spans="2:6" x14ac:dyDescent="0.45">
      <c r="B613">
        <v>428</v>
      </c>
      <c r="C613" s="16">
        <v>98203</v>
      </c>
      <c r="D613" s="16" t="s">
        <v>1502</v>
      </c>
      <c r="E613" s="16" t="s">
        <v>1506</v>
      </c>
      <c r="F613" s="25" t="s">
        <v>62</v>
      </c>
    </row>
    <row r="614" spans="2:6" x14ac:dyDescent="0.45">
      <c r="B614">
        <v>440</v>
      </c>
      <c r="C614" s="16">
        <v>98203</v>
      </c>
      <c r="D614" s="16" t="s">
        <v>1502</v>
      </c>
      <c r="E614" s="16" t="s">
        <v>1506</v>
      </c>
      <c r="F614" s="25" t="s">
        <v>62</v>
      </c>
    </row>
    <row r="615" spans="2:6" x14ac:dyDescent="0.45">
      <c r="B615">
        <v>442</v>
      </c>
      <c r="C615" s="16">
        <v>98203</v>
      </c>
      <c r="D615" s="16" t="s">
        <v>1502</v>
      </c>
      <c r="E615" s="16" t="s">
        <v>1506</v>
      </c>
      <c r="F615" s="25" t="s">
        <v>62</v>
      </c>
    </row>
    <row r="616" spans="2:6" x14ac:dyDescent="0.45">
      <c r="B616">
        <v>470</v>
      </c>
      <c r="C616" s="16">
        <v>98203</v>
      </c>
      <c r="D616" s="16" t="s">
        <v>1502</v>
      </c>
      <c r="E616" s="16" t="s">
        <v>1506</v>
      </c>
      <c r="F616" s="25" t="s">
        <v>62</v>
      </c>
    </row>
    <row r="617" spans="2:6" x14ac:dyDescent="0.45">
      <c r="B617">
        <v>528</v>
      </c>
      <c r="C617" s="16">
        <v>98203</v>
      </c>
      <c r="D617" s="16" t="s">
        <v>1502</v>
      </c>
      <c r="E617" s="16" t="s">
        <v>1506</v>
      </c>
      <c r="F617" s="25" t="s">
        <v>62</v>
      </c>
    </row>
    <row r="618" spans="2:6" x14ac:dyDescent="0.45">
      <c r="B618">
        <v>616</v>
      </c>
      <c r="C618" s="16">
        <v>98203</v>
      </c>
      <c r="D618" s="16" t="s">
        <v>1502</v>
      </c>
      <c r="E618" s="16" t="s">
        <v>1506</v>
      </c>
      <c r="F618" s="25" t="s">
        <v>62</v>
      </c>
    </row>
    <row r="619" spans="2:6" x14ac:dyDescent="0.45">
      <c r="B619">
        <v>620</v>
      </c>
      <c r="C619" s="16">
        <v>98203</v>
      </c>
      <c r="D619" s="16" t="s">
        <v>1502</v>
      </c>
      <c r="E619" s="16" t="s">
        <v>1506</v>
      </c>
      <c r="F619" s="25" t="s">
        <v>62</v>
      </c>
    </row>
    <row r="620" spans="2:6" x14ac:dyDescent="0.45">
      <c r="B620">
        <v>642</v>
      </c>
      <c r="C620" s="16">
        <v>98203</v>
      </c>
      <c r="D620" s="16" t="s">
        <v>1502</v>
      </c>
      <c r="E620" s="16" t="s">
        <v>1506</v>
      </c>
      <c r="F620" s="25" t="s">
        <v>62</v>
      </c>
    </row>
    <row r="621" spans="2:6" x14ac:dyDescent="0.45">
      <c r="B621">
        <v>703</v>
      </c>
      <c r="C621" s="16">
        <v>98203</v>
      </c>
      <c r="D621" s="16" t="s">
        <v>1502</v>
      </c>
      <c r="E621" s="16" t="s">
        <v>1506</v>
      </c>
      <c r="F621" s="25" t="s">
        <v>62</v>
      </c>
    </row>
    <row r="622" spans="2:6" x14ac:dyDescent="0.45">
      <c r="B622">
        <v>705</v>
      </c>
      <c r="C622" s="16">
        <v>98203</v>
      </c>
      <c r="D622" s="16" t="s">
        <v>1502</v>
      </c>
      <c r="E622" s="16" t="s">
        <v>1506</v>
      </c>
      <c r="F622" s="25" t="s">
        <v>62</v>
      </c>
    </row>
    <row r="623" spans="2:6" x14ac:dyDescent="0.45">
      <c r="B623">
        <v>724</v>
      </c>
      <c r="C623" s="16">
        <v>98203</v>
      </c>
      <c r="D623" s="16" t="s">
        <v>1502</v>
      </c>
      <c r="E623" s="16" t="s">
        <v>1506</v>
      </c>
      <c r="F623" s="25" t="s">
        <v>62</v>
      </c>
    </row>
    <row r="624" spans="2:6" x14ac:dyDescent="0.45">
      <c r="B624">
        <v>752</v>
      </c>
      <c r="C624" s="16">
        <v>98203</v>
      </c>
      <c r="D624" s="16" t="s">
        <v>1502</v>
      </c>
      <c r="E624" s="16" t="s">
        <v>1506</v>
      </c>
      <c r="F624" s="25" t="s">
        <v>62</v>
      </c>
    </row>
    <row r="625" spans="2:6" x14ac:dyDescent="0.45">
      <c r="B625">
        <v>40</v>
      </c>
      <c r="C625" s="16">
        <v>98204</v>
      </c>
      <c r="D625" s="16" t="s">
        <v>1502</v>
      </c>
      <c r="E625" s="16" t="s">
        <v>1507</v>
      </c>
      <c r="F625" s="25" t="s">
        <v>63</v>
      </c>
    </row>
    <row r="626" spans="2:6" x14ac:dyDescent="0.45">
      <c r="B626">
        <v>56</v>
      </c>
      <c r="C626" s="16">
        <v>98204</v>
      </c>
      <c r="D626" s="16" t="s">
        <v>1502</v>
      </c>
      <c r="E626" s="16" t="s">
        <v>1507</v>
      </c>
      <c r="F626" s="25" t="s">
        <v>63</v>
      </c>
    </row>
    <row r="627" spans="2:6" x14ac:dyDescent="0.45">
      <c r="B627">
        <v>196</v>
      </c>
      <c r="C627" s="16">
        <v>98204</v>
      </c>
      <c r="D627" s="16" t="s">
        <v>1502</v>
      </c>
      <c r="E627" s="16" t="s">
        <v>1507</v>
      </c>
      <c r="F627" s="25" t="s">
        <v>63</v>
      </c>
    </row>
    <row r="628" spans="2:6" x14ac:dyDescent="0.45">
      <c r="B628">
        <v>233</v>
      </c>
      <c r="C628" s="16">
        <v>98204</v>
      </c>
      <c r="D628" s="16" t="s">
        <v>1502</v>
      </c>
      <c r="E628" s="16" t="s">
        <v>1507</v>
      </c>
      <c r="F628" s="25" t="s">
        <v>63</v>
      </c>
    </row>
    <row r="629" spans="2:6" x14ac:dyDescent="0.45">
      <c r="B629">
        <v>246</v>
      </c>
      <c r="C629" s="16">
        <v>98204</v>
      </c>
      <c r="D629" s="16" t="s">
        <v>1502</v>
      </c>
      <c r="E629" s="16" t="s">
        <v>1507</v>
      </c>
      <c r="F629" s="25" t="s">
        <v>63</v>
      </c>
    </row>
    <row r="630" spans="2:6" x14ac:dyDescent="0.45">
      <c r="B630">
        <v>250</v>
      </c>
      <c r="C630" s="16">
        <v>98204</v>
      </c>
      <c r="D630" s="16" t="s">
        <v>1502</v>
      </c>
      <c r="E630" s="16" t="s">
        <v>1507</v>
      </c>
      <c r="F630" s="25" t="s">
        <v>63</v>
      </c>
    </row>
    <row r="631" spans="2:6" x14ac:dyDescent="0.45">
      <c r="B631">
        <v>276</v>
      </c>
      <c r="C631" s="16">
        <v>98204</v>
      </c>
      <c r="D631" s="16" t="s">
        <v>1502</v>
      </c>
      <c r="E631" s="16" t="s">
        <v>1507</v>
      </c>
      <c r="F631" s="25" t="s">
        <v>63</v>
      </c>
    </row>
    <row r="632" spans="2:6" x14ac:dyDescent="0.45">
      <c r="B632">
        <v>300</v>
      </c>
      <c r="C632" s="16">
        <v>98204</v>
      </c>
      <c r="D632" s="16" t="s">
        <v>1502</v>
      </c>
      <c r="E632" s="16" t="s">
        <v>1507</v>
      </c>
      <c r="F632" s="25" t="s">
        <v>63</v>
      </c>
    </row>
    <row r="633" spans="2:6" x14ac:dyDescent="0.45">
      <c r="B633">
        <v>372</v>
      </c>
      <c r="C633" s="16">
        <v>98204</v>
      </c>
      <c r="D633" s="16" t="s">
        <v>1502</v>
      </c>
      <c r="E633" s="16" t="s">
        <v>1507</v>
      </c>
      <c r="F633" s="25" t="s">
        <v>63</v>
      </c>
    </row>
    <row r="634" spans="2:6" x14ac:dyDescent="0.45">
      <c r="B634">
        <v>380</v>
      </c>
      <c r="C634" s="16">
        <v>98204</v>
      </c>
      <c r="D634" s="16" t="s">
        <v>1502</v>
      </c>
      <c r="E634" s="16" t="s">
        <v>1507</v>
      </c>
      <c r="F634" s="25" t="s">
        <v>63</v>
      </c>
    </row>
    <row r="635" spans="2:6" x14ac:dyDescent="0.45">
      <c r="B635">
        <v>428</v>
      </c>
      <c r="C635" s="16">
        <v>98204</v>
      </c>
      <c r="D635" s="16" t="s">
        <v>1502</v>
      </c>
      <c r="E635" s="16" t="s">
        <v>1507</v>
      </c>
      <c r="F635" s="25" t="s">
        <v>63</v>
      </c>
    </row>
    <row r="636" spans="2:6" x14ac:dyDescent="0.45">
      <c r="B636">
        <v>440</v>
      </c>
      <c r="C636" s="16">
        <v>98204</v>
      </c>
      <c r="D636" s="16" t="s">
        <v>1502</v>
      </c>
      <c r="E636" s="16" t="s">
        <v>1507</v>
      </c>
      <c r="F636" s="25" t="s">
        <v>63</v>
      </c>
    </row>
    <row r="637" spans="2:6" x14ac:dyDescent="0.45">
      <c r="B637">
        <v>442</v>
      </c>
      <c r="C637" s="16">
        <v>98204</v>
      </c>
      <c r="D637" s="16" t="s">
        <v>1502</v>
      </c>
      <c r="E637" s="16" t="s">
        <v>1507</v>
      </c>
      <c r="F637" s="25" t="s">
        <v>63</v>
      </c>
    </row>
    <row r="638" spans="2:6" x14ac:dyDescent="0.45">
      <c r="B638">
        <v>470</v>
      </c>
      <c r="C638" s="16">
        <v>98204</v>
      </c>
      <c r="D638" s="16" t="s">
        <v>1502</v>
      </c>
      <c r="E638" s="16" t="s">
        <v>1507</v>
      </c>
      <c r="F638" s="25" t="s">
        <v>63</v>
      </c>
    </row>
    <row r="639" spans="2:6" x14ac:dyDescent="0.45">
      <c r="B639">
        <v>528</v>
      </c>
      <c r="C639" s="16">
        <v>98204</v>
      </c>
      <c r="D639" s="16" t="s">
        <v>1502</v>
      </c>
      <c r="E639" s="16" t="s">
        <v>1507</v>
      </c>
      <c r="F639" s="25" t="s">
        <v>63</v>
      </c>
    </row>
    <row r="640" spans="2:6" x14ac:dyDescent="0.45">
      <c r="B640">
        <v>620</v>
      </c>
      <c r="C640" s="16">
        <v>98204</v>
      </c>
      <c r="D640" s="16" t="s">
        <v>1502</v>
      </c>
      <c r="E640" s="16" t="s">
        <v>1507</v>
      </c>
      <c r="F640" s="25" t="s">
        <v>63</v>
      </c>
    </row>
    <row r="641" spans="2:6" x14ac:dyDescent="0.45">
      <c r="B641">
        <v>703</v>
      </c>
      <c r="C641" s="16">
        <v>98204</v>
      </c>
      <c r="D641" s="16" t="s">
        <v>1502</v>
      </c>
      <c r="E641" s="16" t="s">
        <v>1507</v>
      </c>
      <c r="F641" s="25" t="s">
        <v>63</v>
      </c>
    </row>
    <row r="642" spans="2:6" x14ac:dyDescent="0.45">
      <c r="B642">
        <v>705</v>
      </c>
      <c r="C642" s="16">
        <v>98204</v>
      </c>
      <c r="D642" s="16" t="s">
        <v>1502</v>
      </c>
      <c r="E642" s="16" t="s">
        <v>1507</v>
      </c>
      <c r="F642" s="25" t="s">
        <v>63</v>
      </c>
    </row>
    <row r="643" spans="2:6" x14ac:dyDescent="0.45">
      <c r="B643">
        <v>724</v>
      </c>
      <c r="C643" s="16">
        <v>98204</v>
      </c>
      <c r="D643" s="16" t="s">
        <v>1502</v>
      </c>
      <c r="E643" s="16" t="s">
        <v>1507</v>
      </c>
      <c r="F643" s="25" t="s">
        <v>63</v>
      </c>
    </row>
    <row r="644" spans="2:6" x14ac:dyDescent="0.45">
      <c r="B644">
        <v>8</v>
      </c>
      <c r="C644" s="16">
        <v>98205</v>
      </c>
      <c r="D644" s="16" t="s">
        <v>1502</v>
      </c>
      <c r="E644" s="16" t="s">
        <v>1508</v>
      </c>
      <c r="F644" s="25" t="s">
        <v>64</v>
      </c>
    </row>
    <row r="645" spans="2:6" x14ac:dyDescent="0.45">
      <c r="B645">
        <v>70</v>
      </c>
      <c r="C645" s="16">
        <v>98205</v>
      </c>
      <c r="D645" s="16" t="s">
        <v>1502</v>
      </c>
      <c r="E645" s="16" t="s">
        <v>1508</v>
      </c>
      <c r="F645" s="25" t="s">
        <v>64</v>
      </c>
    </row>
    <row r="646" spans="2:6" x14ac:dyDescent="0.45">
      <c r="B646">
        <v>191</v>
      </c>
      <c r="C646" s="16">
        <v>98205</v>
      </c>
      <c r="D646" s="16" t="s">
        <v>1502</v>
      </c>
      <c r="E646" s="16" t="s">
        <v>1508</v>
      </c>
      <c r="F646" s="25" t="s">
        <v>64</v>
      </c>
    </row>
    <row r="647" spans="2:6" x14ac:dyDescent="0.45">
      <c r="B647">
        <v>499</v>
      </c>
      <c r="C647" s="16">
        <v>98205</v>
      </c>
      <c r="D647" s="16" t="s">
        <v>1502</v>
      </c>
      <c r="E647" s="16" t="s">
        <v>1508</v>
      </c>
      <c r="F647" s="25" t="s">
        <v>64</v>
      </c>
    </row>
    <row r="648" spans="2:6" x14ac:dyDescent="0.45">
      <c r="B648">
        <v>688</v>
      </c>
      <c r="C648" s="16">
        <v>98205</v>
      </c>
      <c r="D648" s="16" t="s">
        <v>1502</v>
      </c>
      <c r="E648" s="16" t="s">
        <v>1508</v>
      </c>
      <c r="F648" s="25" t="s">
        <v>64</v>
      </c>
    </row>
    <row r="649" spans="2:6" x14ac:dyDescent="0.45">
      <c r="B649">
        <v>807</v>
      </c>
      <c r="C649" s="16">
        <v>98205</v>
      </c>
      <c r="D649" s="16" t="s">
        <v>1502</v>
      </c>
      <c r="E649" s="16" t="s">
        <v>1508</v>
      </c>
      <c r="F649" s="25" t="s">
        <v>64</v>
      </c>
    </row>
    <row r="650" spans="2:6" x14ac:dyDescent="0.45">
      <c r="B650">
        <v>28</v>
      </c>
      <c r="C650" s="16">
        <v>98300</v>
      </c>
      <c r="D650" s="16" t="s">
        <v>1509</v>
      </c>
      <c r="E650" s="16" t="s">
        <v>1510</v>
      </c>
      <c r="F650" s="25" t="s">
        <v>65</v>
      </c>
    </row>
    <row r="651" spans="2:6" x14ac:dyDescent="0.45">
      <c r="B651">
        <v>32</v>
      </c>
      <c r="C651" s="16">
        <v>98300</v>
      </c>
      <c r="D651" s="16" t="s">
        <v>1509</v>
      </c>
      <c r="E651" s="16" t="s">
        <v>1510</v>
      </c>
      <c r="F651" s="25" t="s">
        <v>65</v>
      </c>
    </row>
    <row r="652" spans="2:6" x14ac:dyDescent="0.45">
      <c r="B652">
        <v>44</v>
      </c>
      <c r="C652" s="16">
        <v>98300</v>
      </c>
      <c r="D652" s="16" t="s">
        <v>1509</v>
      </c>
      <c r="E652" s="16" t="s">
        <v>1510</v>
      </c>
      <c r="F652" s="25" t="s">
        <v>65</v>
      </c>
    </row>
    <row r="653" spans="2:6" x14ac:dyDescent="0.45">
      <c r="B653">
        <v>52</v>
      </c>
      <c r="C653" s="16">
        <v>98300</v>
      </c>
      <c r="D653" s="16" t="s">
        <v>1509</v>
      </c>
      <c r="E653" s="16" t="s">
        <v>1510</v>
      </c>
      <c r="F653" s="25" t="s">
        <v>65</v>
      </c>
    </row>
    <row r="654" spans="2:6" x14ac:dyDescent="0.45">
      <c r="B654">
        <v>68</v>
      </c>
      <c r="C654" s="16">
        <v>98300</v>
      </c>
      <c r="D654" s="16" t="s">
        <v>1509</v>
      </c>
      <c r="E654" s="16" t="s">
        <v>1510</v>
      </c>
      <c r="F654" s="25" t="s">
        <v>65</v>
      </c>
    </row>
    <row r="655" spans="2:6" x14ac:dyDescent="0.45">
      <c r="B655">
        <v>76</v>
      </c>
      <c r="C655" s="16">
        <v>98300</v>
      </c>
      <c r="D655" s="16" t="s">
        <v>1509</v>
      </c>
      <c r="E655" s="16" t="s">
        <v>1510</v>
      </c>
      <c r="F655" s="25" t="s">
        <v>65</v>
      </c>
    </row>
    <row r="656" spans="2:6" x14ac:dyDescent="0.45">
      <c r="B656">
        <v>84</v>
      </c>
      <c r="C656" s="16">
        <v>98300</v>
      </c>
      <c r="D656" s="16" t="s">
        <v>1509</v>
      </c>
      <c r="E656" s="16" t="s">
        <v>1510</v>
      </c>
      <c r="F656" s="25" t="s">
        <v>65</v>
      </c>
    </row>
    <row r="657" spans="2:6" x14ac:dyDescent="0.45">
      <c r="B657">
        <v>660</v>
      </c>
      <c r="C657" s="16">
        <v>98300</v>
      </c>
      <c r="D657" s="16" t="s">
        <v>1509</v>
      </c>
      <c r="E657" s="16" t="s">
        <v>1510</v>
      </c>
      <c r="F657" s="25" t="s">
        <v>65</v>
      </c>
    </row>
    <row r="658" spans="2:6" x14ac:dyDescent="0.45">
      <c r="B658">
        <v>533</v>
      </c>
      <c r="C658" s="16">
        <v>98300</v>
      </c>
      <c r="D658" s="16" t="s">
        <v>1509</v>
      </c>
      <c r="E658" s="16" t="s">
        <v>1510</v>
      </c>
      <c r="F658" s="25" t="s">
        <v>65</v>
      </c>
    </row>
    <row r="659" spans="2:6" x14ac:dyDescent="0.45">
      <c r="B659">
        <v>152</v>
      </c>
      <c r="C659" s="16">
        <v>98300</v>
      </c>
      <c r="D659" s="16" t="s">
        <v>1509</v>
      </c>
      <c r="E659" s="16" t="s">
        <v>1510</v>
      </c>
      <c r="F659" s="25" t="s">
        <v>65</v>
      </c>
    </row>
    <row r="660" spans="2:6" x14ac:dyDescent="0.45">
      <c r="B660">
        <v>170</v>
      </c>
      <c r="C660" s="16">
        <v>98300</v>
      </c>
      <c r="D660" s="16" t="s">
        <v>1509</v>
      </c>
      <c r="E660" s="16" t="s">
        <v>1510</v>
      </c>
      <c r="F660" s="25" t="s">
        <v>65</v>
      </c>
    </row>
    <row r="661" spans="2:6" x14ac:dyDescent="0.45">
      <c r="B661">
        <v>535</v>
      </c>
      <c r="C661" s="16">
        <v>98300</v>
      </c>
      <c r="D661" s="16" t="s">
        <v>1509</v>
      </c>
      <c r="E661" s="16" t="s">
        <v>1510</v>
      </c>
      <c r="F661" s="25" t="s">
        <v>65</v>
      </c>
    </row>
    <row r="662" spans="2:6" x14ac:dyDescent="0.45">
      <c r="B662">
        <v>188</v>
      </c>
      <c r="C662" s="16">
        <v>98300</v>
      </c>
      <c r="D662" s="16" t="s">
        <v>1509</v>
      </c>
      <c r="E662" s="16" t="s">
        <v>1510</v>
      </c>
      <c r="F662" s="25" t="s">
        <v>65</v>
      </c>
    </row>
    <row r="663" spans="2:6" x14ac:dyDescent="0.45">
      <c r="B663">
        <v>192</v>
      </c>
      <c r="C663" s="16">
        <v>98300</v>
      </c>
      <c r="D663" s="16" t="s">
        <v>1509</v>
      </c>
      <c r="E663" s="16" t="s">
        <v>1510</v>
      </c>
      <c r="F663" s="25" t="s">
        <v>65</v>
      </c>
    </row>
    <row r="664" spans="2:6" x14ac:dyDescent="0.45">
      <c r="B664">
        <v>212</v>
      </c>
      <c r="C664" s="16">
        <v>98300</v>
      </c>
      <c r="D664" s="16" t="s">
        <v>1509</v>
      </c>
      <c r="E664" s="16" t="s">
        <v>1510</v>
      </c>
      <c r="F664" s="25" t="s">
        <v>65</v>
      </c>
    </row>
    <row r="665" spans="2:6" x14ac:dyDescent="0.45">
      <c r="B665">
        <v>214</v>
      </c>
      <c r="C665" s="16">
        <v>98300</v>
      </c>
      <c r="D665" s="16" t="s">
        <v>1509</v>
      </c>
      <c r="E665" s="16" t="s">
        <v>1510</v>
      </c>
      <c r="F665" s="25" t="s">
        <v>65</v>
      </c>
    </row>
    <row r="666" spans="2:6" x14ac:dyDescent="0.45">
      <c r="B666">
        <v>218</v>
      </c>
      <c r="C666" s="16">
        <v>98300</v>
      </c>
      <c r="D666" s="16" t="s">
        <v>1509</v>
      </c>
      <c r="E666" s="16" t="s">
        <v>1510</v>
      </c>
      <c r="F666" s="25" t="s">
        <v>65</v>
      </c>
    </row>
    <row r="667" spans="2:6" x14ac:dyDescent="0.45">
      <c r="B667">
        <v>222</v>
      </c>
      <c r="C667" s="16">
        <v>98300</v>
      </c>
      <c r="D667" s="16" t="s">
        <v>1509</v>
      </c>
      <c r="E667" s="16" t="s">
        <v>1510</v>
      </c>
      <c r="F667" s="25" t="s">
        <v>65</v>
      </c>
    </row>
    <row r="668" spans="2:6" x14ac:dyDescent="0.45">
      <c r="B668">
        <v>92</v>
      </c>
      <c r="C668" s="16">
        <v>98300</v>
      </c>
      <c r="D668" s="16" t="s">
        <v>1509</v>
      </c>
      <c r="E668" s="16" t="s">
        <v>1510</v>
      </c>
      <c r="F668" s="25" t="s">
        <v>65</v>
      </c>
    </row>
    <row r="669" spans="2:6" x14ac:dyDescent="0.45">
      <c r="B669">
        <v>136</v>
      </c>
      <c r="C669" s="16">
        <v>98300</v>
      </c>
      <c r="D669" s="16" t="s">
        <v>1509</v>
      </c>
      <c r="E669" s="16" t="s">
        <v>1510</v>
      </c>
      <c r="F669" s="25" t="s">
        <v>65</v>
      </c>
    </row>
    <row r="670" spans="2:6" x14ac:dyDescent="0.45">
      <c r="B670">
        <v>531</v>
      </c>
      <c r="C670" s="16">
        <v>98300</v>
      </c>
      <c r="D670" s="16" t="s">
        <v>1509</v>
      </c>
      <c r="E670" s="16" t="s">
        <v>1510</v>
      </c>
      <c r="F670" s="25" t="s">
        <v>65</v>
      </c>
    </row>
    <row r="671" spans="2:6" x14ac:dyDescent="0.45">
      <c r="B671">
        <v>308</v>
      </c>
      <c r="C671" s="16">
        <v>98300</v>
      </c>
      <c r="D671" s="16" t="s">
        <v>1509</v>
      </c>
      <c r="E671" s="16" t="s">
        <v>1510</v>
      </c>
      <c r="F671" s="25" t="s">
        <v>65</v>
      </c>
    </row>
    <row r="672" spans="2:6" x14ac:dyDescent="0.45">
      <c r="B672">
        <v>320</v>
      </c>
      <c r="C672" s="16">
        <v>98300</v>
      </c>
      <c r="D672" s="16" t="s">
        <v>1509</v>
      </c>
      <c r="E672" s="16" t="s">
        <v>1510</v>
      </c>
      <c r="F672" s="25" t="s">
        <v>65</v>
      </c>
    </row>
    <row r="673" spans="2:6" x14ac:dyDescent="0.45">
      <c r="B673">
        <v>328</v>
      </c>
      <c r="C673" s="16">
        <v>98300</v>
      </c>
      <c r="D673" s="16" t="s">
        <v>1509</v>
      </c>
      <c r="E673" s="16" t="s">
        <v>1510</v>
      </c>
      <c r="F673" s="25" t="s">
        <v>65</v>
      </c>
    </row>
    <row r="674" spans="2:6" x14ac:dyDescent="0.45">
      <c r="B674">
        <v>332</v>
      </c>
      <c r="C674" s="16">
        <v>98300</v>
      </c>
      <c r="D674" s="16" t="s">
        <v>1509</v>
      </c>
      <c r="E674" s="16" t="s">
        <v>1510</v>
      </c>
      <c r="F674" s="25" t="s">
        <v>65</v>
      </c>
    </row>
    <row r="675" spans="2:6" x14ac:dyDescent="0.45">
      <c r="B675">
        <v>254</v>
      </c>
      <c r="C675" s="16">
        <v>98300</v>
      </c>
      <c r="D675" s="16" t="s">
        <v>1509</v>
      </c>
      <c r="E675" s="16" t="s">
        <v>1510</v>
      </c>
      <c r="F675" s="25" t="s">
        <v>65</v>
      </c>
    </row>
    <row r="676" spans="2:6" x14ac:dyDescent="0.45">
      <c r="B676">
        <v>340</v>
      </c>
      <c r="C676" s="16">
        <v>98300</v>
      </c>
      <c r="D676" s="16" t="s">
        <v>1509</v>
      </c>
      <c r="E676" s="16" t="s">
        <v>1510</v>
      </c>
      <c r="F676" s="25" t="s">
        <v>65</v>
      </c>
    </row>
    <row r="677" spans="2:6" x14ac:dyDescent="0.45">
      <c r="B677">
        <v>388</v>
      </c>
      <c r="C677" s="16">
        <v>98300</v>
      </c>
      <c r="D677" s="16" t="s">
        <v>1509</v>
      </c>
      <c r="E677" s="16" t="s">
        <v>1510</v>
      </c>
      <c r="F677" s="25" t="s">
        <v>65</v>
      </c>
    </row>
    <row r="678" spans="2:6" x14ac:dyDescent="0.45">
      <c r="B678">
        <v>312</v>
      </c>
      <c r="C678" s="16">
        <v>98300</v>
      </c>
      <c r="D678" s="16" t="s">
        <v>1509</v>
      </c>
      <c r="E678" s="16" t="s">
        <v>1510</v>
      </c>
      <c r="F678" s="25" t="s">
        <v>65</v>
      </c>
    </row>
    <row r="679" spans="2:6" x14ac:dyDescent="0.45">
      <c r="B679">
        <v>484</v>
      </c>
      <c r="C679" s="16">
        <v>98300</v>
      </c>
      <c r="D679" s="16" t="s">
        <v>1509</v>
      </c>
      <c r="E679" s="16" t="s">
        <v>1510</v>
      </c>
      <c r="F679" s="25" t="s">
        <v>65</v>
      </c>
    </row>
    <row r="680" spans="2:6" x14ac:dyDescent="0.45">
      <c r="B680">
        <v>558</v>
      </c>
      <c r="C680" s="16">
        <v>98300</v>
      </c>
      <c r="D680" s="16" t="s">
        <v>1509</v>
      </c>
      <c r="E680" s="16" t="s">
        <v>1510</v>
      </c>
      <c r="F680" s="25" t="s">
        <v>65</v>
      </c>
    </row>
    <row r="681" spans="2:6" x14ac:dyDescent="0.45">
      <c r="B681">
        <v>474</v>
      </c>
      <c r="C681" s="16">
        <v>98300</v>
      </c>
      <c r="D681" s="16" t="s">
        <v>1509</v>
      </c>
      <c r="E681" s="16" t="s">
        <v>1510</v>
      </c>
      <c r="F681" s="25" t="s">
        <v>65</v>
      </c>
    </row>
    <row r="682" spans="2:6" x14ac:dyDescent="0.45">
      <c r="B682">
        <v>500</v>
      </c>
      <c r="C682" s="16">
        <v>98300</v>
      </c>
      <c r="D682" s="16" t="s">
        <v>1509</v>
      </c>
      <c r="E682" s="16" t="s">
        <v>1510</v>
      </c>
      <c r="F682" s="25" t="s">
        <v>65</v>
      </c>
    </row>
    <row r="683" spans="2:6" x14ac:dyDescent="0.45">
      <c r="B683">
        <v>591</v>
      </c>
      <c r="C683" s="16">
        <v>98300</v>
      </c>
      <c r="D683" s="16" t="s">
        <v>1509</v>
      </c>
      <c r="E683" s="16" t="s">
        <v>1510</v>
      </c>
      <c r="F683" s="25" t="s">
        <v>65</v>
      </c>
    </row>
    <row r="684" spans="2:6" x14ac:dyDescent="0.45">
      <c r="B684">
        <v>600</v>
      </c>
      <c r="C684" s="16">
        <v>98300</v>
      </c>
      <c r="D684" s="16" t="s">
        <v>1509</v>
      </c>
      <c r="E684" s="16" t="s">
        <v>1510</v>
      </c>
      <c r="F684" s="25" t="s">
        <v>65</v>
      </c>
    </row>
    <row r="685" spans="2:6" x14ac:dyDescent="0.45">
      <c r="B685">
        <v>604</v>
      </c>
      <c r="C685" s="16">
        <v>98300</v>
      </c>
      <c r="D685" s="16" t="s">
        <v>1509</v>
      </c>
      <c r="E685" s="16" t="s">
        <v>1510</v>
      </c>
      <c r="F685" s="25" t="s">
        <v>65</v>
      </c>
    </row>
    <row r="686" spans="2:6" x14ac:dyDescent="0.45">
      <c r="B686">
        <v>659</v>
      </c>
      <c r="C686" s="16">
        <v>98300</v>
      </c>
      <c r="D686" s="16" t="s">
        <v>1509</v>
      </c>
      <c r="E686" s="16" t="s">
        <v>1510</v>
      </c>
      <c r="F686" s="25" t="s">
        <v>65</v>
      </c>
    </row>
    <row r="687" spans="2:6" x14ac:dyDescent="0.45">
      <c r="B687">
        <v>662</v>
      </c>
      <c r="C687" s="16">
        <v>98300</v>
      </c>
      <c r="D687" s="16" t="s">
        <v>1509</v>
      </c>
      <c r="E687" s="16" t="s">
        <v>1510</v>
      </c>
      <c r="F687" s="25" t="s">
        <v>65</v>
      </c>
    </row>
    <row r="688" spans="2:6" x14ac:dyDescent="0.45">
      <c r="B688">
        <v>630</v>
      </c>
      <c r="C688" s="16">
        <v>98300</v>
      </c>
      <c r="D688" s="16" t="s">
        <v>1509</v>
      </c>
      <c r="E688" s="16" t="s">
        <v>1510</v>
      </c>
      <c r="F688" s="25" t="s">
        <v>65</v>
      </c>
    </row>
    <row r="689" spans="2:6" x14ac:dyDescent="0.45">
      <c r="B689">
        <v>670</v>
      </c>
      <c r="C689" s="16">
        <v>98300</v>
      </c>
      <c r="D689" s="16" t="s">
        <v>1509</v>
      </c>
      <c r="E689" s="16" t="s">
        <v>1510</v>
      </c>
      <c r="F689" s="25" t="s">
        <v>65</v>
      </c>
    </row>
    <row r="690" spans="2:6" x14ac:dyDescent="0.45">
      <c r="B690">
        <v>740</v>
      </c>
      <c r="C690" s="16">
        <v>98300</v>
      </c>
      <c r="D690" s="16" t="s">
        <v>1509</v>
      </c>
      <c r="E690" s="16" t="s">
        <v>1510</v>
      </c>
      <c r="F690" s="25" t="s">
        <v>65</v>
      </c>
    </row>
    <row r="691" spans="2:6" x14ac:dyDescent="0.45">
      <c r="B691">
        <v>780</v>
      </c>
      <c r="C691" s="16">
        <v>98300</v>
      </c>
      <c r="D691" s="16" t="s">
        <v>1509</v>
      </c>
      <c r="E691" s="16" t="s">
        <v>1510</v>
      </c>
      <c r="F691" s="25" t="s">
        <v>65</v>
      </c>
    </row>
    <row r="692" spans="2:6" x14ac:dyDescent="0.45">
      <c r="B692">
        <v>534</v>
      </c>
      <c r="C692" s="16">
        <v>98300</v>
      </c>
      <c r="D692" s="16" t="s">
        <v>1509</v>
      </c>
      <c r="E692" s="16" t="s">
        <v>1510</v>
      </c>
      <c r="F692" s="25" t="s">
        <v>65</v>
      </c>
    </row>
    <row r="693" spans="2:6" x14ac:dyDescent="0.45">
      <c r="B693">
        <v>858</v>
      </c>
      <c r="C693" s="16">
        <v>98300</v>
      </c>
      <c r="D693" s="16" t="s">
        <v>1509</v>
      </c>
      <c r="E693" s="16" t="s">
        <v>1510</v>
      </c>
      <c r="F693" s="25" t="s">
        <v>65</v>
      </c>
    </row>
    <row r="694" spans="2:6" x14ac:dyDescent="0.45">
      <c r="B694">
        <v>862</v>
      </c>
      <c r="C694" s="16">
        <v>98300</v>
      </c>
      <c r="D694" s="16" t="s">
        <v>1509</v>
      </c>
      <c r="E694" s="16" t="s">
        <v>1510</v>
      </c>
      <c r="F694" s="25" t="s">
        <v>65</v>
      </c>
    </row>
    <row r="695" spans="2:6" x14ac:dyDescent="0.45">
      <c r="B695">
        <v>796</v>
      </c>
      <c r="C695" s="16">
        <v>98300</v>
      </c>
      <c r="D695" s="16" t="s">
        <v>1509</v>
      </c>
      <c r="E695" s="16" t="s">
        <v>1510</v>
      </c>
      <c r="F695" s="25" t="s">
        <v>65</v>
      </c>
    </row>
    <row r="696" spans="2:6" x14ac:dyDescent="0.45">
      <c r="B696">
        <v>850</v>
      </c>
      <c r="C696" s="16">
        <v>98300</v>
      </c>
      <c r="D696" s="16" t="s">
        <v>1509</v>
      </c>
      <c r="E696" s="16" t="s">
        <v>1510</v>
      </c>
      <c r="F696" s="25" t="s">
        <v>65</v>
      </c>
    </row>
    <row r="697" spans="2:6" x14ac:dyDescent="0.45">
      <c r="B697" s="25">
        <v>239</v>
      </c>
      <c r="C697" s="26">
        <v>98300</v>
      </c>
      <c r="D697" s="26" t="s">
        <v>1509</v>
      </c>
      <c r="E697" s="26" t="s">
        <v>1510</v>
      </c>
      <c r="F697" s="25" t="s">
        <v>65</v>
      </c>
    </row>
    <row r="698" spans="2:6" x14ac:dyDescent="0.45">
      <c r="B698" s="25">
        <v>652</v>
      </c>
      <c r="C698" s="26">
        <v>98300</v>
      </c>
      <c r="D698" s="26" t="s">
        <v>1509</v>
      </c>
      <c r="E698" s="26" t="s">
        <v>1510</v>
      </c>
      <c r="F698" s="25" t="s">
        <v>65</v>
      </c>
    </row>
    <row r="699" spans="2:6" x14ac:dyDescent="0.45">
      <c r="B699" s="25">
        <v>663</v>
      </c>
      <c r="C699" s="26">
        <v>98300</v>
      </c>
      <c r="D699" s="26" t="s">
        <v>1509</v>
      </c>
      <c r="E699" s="26" t="s">
        <v>1510</v>
      </c>
      <c r="F699" s="25" t="s">
        <v>65</v>
      </c>
    </row>
    <row r="700" spans="2:6" x14ac:dyDescent="0.45">
      <c r="B700">
        <v>32</v>
      </c>
      <c r="C700" s="16">
        <v>98302</v>
      </c>
      <c r="D700" s="16" t="s">
        <v>1509</v>
      </c>
      <c r="E700" s="16" t="s">
        <v>1511</v>
      </c>
      <c r="F700" s="25" t="s">
        <v>66</v>
      </c>
    </row>
    <row r="701" spans="2:6" x14ac:dyDescent="0.45">
      <c r="B701">
        <v>68</v>
      </c>
      <c r="C701" s="16">
        <v>98302</v>
      </c>
      <c r="D701" s="16" t="s">
        <v>1509</v>
      </c>
      <c r="E701" s="16" t="s">
        <v>1511</v>
      </c>
      <c r="F701" s="25" t="s">
        <v>66</v>
      </c>
    </row>
    <row r="702" spans="2:6" x14ac:dyDescent="0.45">
      <c r="B702">
        <v>76</v>
      </c>
      <c r="C702" s="16">
        <v>98302</v>
      </c>
      <c r="D702" s="16" t="s">
        <v>1509</v>
      </c>
      <c r="E702" s="16" t="s">
        <v>1511</v>
      </c>
      <c r="F702" s="25" t="s">
        <v>66</v>
      </c>
    </row>
    <row r="703" spans="2:6" x14ac:dyDescent="0.45">
      <c r="B703">
        <v>152</v>
      </c>
      <c r="C703" s="16">
        <v>98302</v>
      </c>
      <c r="D703" s="16" t="s">
        <v>1509</v>
      </c>
      <c r="E703" s="16" t="s">
        <v>1511</v>
      </c>
      <c r="F703" s="25" t="s">
        <v>66</v>
      </c>
    </row>
    <row r="704" spans="2:6" x14ac:dyDescent="0.45">
      <c r="B704">
        <v>170</v>
      </c>
      <c r="C704" s="16">
        <v>98302</v>
      </c>
      <c r="D704" s="16" t="s">
        <v>1509</v>
      </c>
      <c r="E704" s="16" t="s">
        <v>1511</v>
      </c>
      <c r="F704" s="25" t="s">
        <v>66</v>
      </c>
    </row>
    <row r="705" spans="2:6" x14ac:dyDescent="0.45">
      <c r="B705">
        <v>188</v>
      </c>
      <c r="C705" s="16">
        <v>98302</v>
      </c>
      <c r="D705" s="16" t="s">
        <v>1509</v>
      </c>
      <c r="E705" s="16" t="s">
        <v>1511</v>
      </c>
      <c r="F705" s="25" t="s">
        <v>66</v>
      </c>
    </row>
    <row r="706" spans="2:6" x14ac:dyDescent="0.45">
      <c r="B706">
        <v>192</v>
      </c>
      <c r="C706" s="16">
        <v>98302</v>
      </c>
      <c r="D706" s="16" t="s">
        <v>1509</v>
      </c>
      <c r="E706" s="16" t="s">
        <v>1511</v>
      </c>
      <c r="F706" s="25" t="s">
        <v>66</v>
      </c>
    </row>
    <row r="707" spans="2:6" x14ac:dyDescent="0.45">
      <c r="B707">
        <v>214</v>
      </c>
      <c r="C707" s="16">
        <v>98302</v>
      </c>
      <c r="D707" s="16" t="s">
        <v>1509</v>
      </c>
      <c r="E707" s="16" t="s">
        <v>1511</v>
      </c>
      <c r="F707" s="25" t="s">
        <v>66</v>
      </c>
    </row>
    <row r="708" spans="2:6" x14ac:dyDescent="0.45">
      <c r="B708">
        <v>218</v>
      </c>
      <c r="C708" s="16">
        <v>98302</v>
      </c>
      <c r="D708" s="16" t="s">
        <v>1509</v>
      </c>
      <c r="E708" s="16" t="s">
        <v>1511</v>
      </c>
      <c r="F708" s="25" t="s">
        <v>66</v>
      </c>
    </row>
    <row r="709" spans="2:6" x14ac:dyDescent="0.45">
      <c r="B709">
        <v>222</v>
      </c>
      <c r="C709" s="16">
        <v>98302</v>
      </c>
      <c r="D709" s="16" t="s">
        <v>1509</v>
      </c>
      <c r="E709" s="16" t="s">
        <v>1511</v>
      </c>
      <c r="F709" s="25" t="s">
        <v>66</v>
      </c>
    </row>
    <row r="710" spans="2:6" x14ac:dyDescent="0.45">
      <c r="B710" s="25">
        <v>239</v>
      </c>
      <c r="C710" s="26">
        <v>98302</v>
      </c>
      <c r="D710" s="26" t="s">
        <v>1509</v>
      </c>
      <c r="E710" s="26" t="s">
        <v>1511</v>
      </c>
      <c r="F710" s="25" t="s">
        <v>66</v>
      </c>
    </row>
    <row r="711" spans="2:6" x14ac:dyDescent="0.45">
      <c r="B711">
        <v>320</v>
      </c>
      <c r="C711" s="16">
        <v>98302</v>
      </c>
      <c r="D711" s="16" t="s">
        <v>1509</v>
      </c>
      <c r="E711" s="16" t="s">
        <v>1511</v>
      </c>
      <c r="F711" s="25" t="s">
        <v>66</v>
      </c>
    </row>
    <row r="712" spans="2:6" x14ac:dyDescent="0.45">
      <c r="B712">
        <v>332</v>
      </c>
      <c r="C712" s="16">
        <v>98302</v>
      </c>
      <c r="D712" s="16" t="s">
        <v>1509</v>
      </c>
      <c r="E712" s="16" t="s">
        <v>1511</v>
      </c>
      <c r="F712" s="25" t="s">
        <v>66</v>
      </c>
    </row>
    <row r="713" spans="2:6" x14ac:dyDescent="0.45">
      <c r="B713">
        <v>340</v>
      </c>
      <c r="C713" s="16">
        <v>98302</v>
      </c>
      <c r="D713" s="16" t="s">
        <v>1509</v>
      </c>
      <c r="E713" s="16" t="s">
        <v>1511</v>
      </c>
      <c r="F713" s="25" t="s">
        <v>66</v>
      </c>
    </row>
    <row r="714" spans="2:6" x14ac:dyDescent="0.45">
      <c r="B714">
        <v>484</v>
      </c>
      <c r="C714" s="16">
        <v>98302</v>
      </c>
      <c r="D714" s="16" t="s">
        <v>1509</v>
      </c>
      <c r="E714" s="16" t="s">
        <v>1511</v>
      </c>
      <c r="F714" s="25" t="s">
        <v>66</v>
      </c>
    </row>
    <row r="715" spans="2:6" x14ac:dyDescent="0.45">
      <c r="B715">
        <v>558</v>
      </c>
      <c r="C715" s="16">
        <v>98302</v>
      </c>
      <c r="D715" s="16" t="s">
        <v>1509</v>
      </c>
      <c r="E715" s="16" t="s">
        <v>1511</v>
      </c>
      <c r="F715" s="25" t="s">
        <v>66</v>
      </c>
    </row>
    <row r="716" spans="2:6" x14ac:dyDescent="0.45">
      <c r="B716">
        <v>591</v>
      </c>
      <c r="C716" s="16">
        <v>98302</v>
      </c>
      <c r="D716" s="16" t="s">
        <v>1509</v>
      </c>
      <c r="E716" s="16" t="s">
        <v>1511</v>
      </c>
      <c r="F716" s="25" t="s">
        <v>66</v>
      </c>
    </row>
    <row r="717" spans="2:6" x14ac:dyDescent="0.45">
      <c r="B717">
        <v>600</v>
      </c>
      <c r="C717" s="16">
        <v>98302</v>
      </c>
      <c r="D717" s="16" t="s">
        <v>1509</v>
      </c>
      <c r="E717" s="16" t="s">
        <v>1511</v>
      </c>
      <c r="F717" s="25" t="s">
        <v>66</v>
      </c>
    </row>
    <row r="718" spans="2:6" x14ac:dyDescent="0.45">
      <c r="B718">
        <v>604</v>
      </c>
      <c r="C718" s="16">
        <v>98302</v>
      </c>
      <c r="D718" s="16" t="s">
        <v>1509</v>
      </c>
      <c r="E718" s="16" t="s">
        <v>1511</v>
      </c>
      <c r="F718" s="25" t="s">
        <v>66</v>
      </c>
    </row>
    <row r="719" spans="2:6" x14ac:dyDescent="0.45">
      <c r="B719">
        <v>858</v>
      </c>
      <c r="C719" s="16">
        <v>98302</v>
      </c>
      <c r="D719" s="16" t="s">
        <v>1509</v>
      </c>
      <c r="E719" s="16" t="s">
        <v>1511</v>
      </c>
      <c r="F719" s="25" t="s">
        <v>66</v>
      </c>
    </row>
    <row r="720" spans="2:6" x14ac:dyDescent="0.45">
      <c r="B720">
        <v>862</v>
      </c>
      <c r="C720" s="16">
        <v>98302</v>
      </c>
      <c r="D720" s="16" t="s">
        <v>1509</v>
      </c>
      <c r="E720" s="16" t="s">
        <v>1511</v>
      </c>
      <c r="F720" s="25" t="s">
        <v>66</v>
      </c>
    </row>
    <row r="721" spans="2:6" x14ac:dyDescent="0.45">
      <c r="B721">
        <v>28</v>
      </c>
      <c r="C721" s="16">
        <v>98301</v>
      </c>
      <c r="D721" s="16" t="s">
        <v>1509</v>
      </c>
      <c r="E721" s="16" t="s">
        <v>1913</v>
      </c>
      <c r="F721" s="25" t="s">
        <v>67</v>
      </c>
    </row>
    <row r="722" spans="2:6" x14ac:dyDescent="0.45">
      <c r="B722">
        <v>44</v>
      </c>
      <c r="C722" s="16">
        <v>98301</v>
      </c>
      <c r="D722" s="16" t="s">
        <v>1509</v>
      </c>
      <c r="E722" s="16" t="s">
        <v>1913</v>
      </c>
      <c r="F722" s="25" t="s">
        <v>67</v>
      </c>
    </row>
    <row r="723" spans="2:6" x14ac:dyDescent="0.45">
      <c r="B723">
        <v>52</v>
      </c>
      <c r="C723" s="16">
        <v>98301</v>
      </c>
      <c r="D723" s="16" t="s">
        <v>1509</v>
      </c>
      <c r="E723" s="16" t="s">
        <v>1913</v>
      </c>
      <c r="F723" s="25" t="s">
        <v>67</v>
      </c>
    </row>
    <row r="724" spans="2:6" x14ac:dyDescent="0.45">
      <c r="B724">
        <v>84</v>
      </c>
      <c r="C724" s="16">
        <v>98301</v>
      </c>
      <c r="D724" s="16" t="s">
        <v>1509</v>
      </c>
      <c r="E724" s="16" t="s">
        <v>1913</v>
      </c>
      <c r="F724" s="25" t="s">
        <v>67</v>
      </c>
    </row>
    <row r="725" spans="2:6" x14ac:dyDescent="0.45">
      <c r="B725">
        <v>660</v>
      </c>
      <c r="C725" s="16">
        <v>98301</v>
      </c>
      <c r="D725" s="16" t="s">
        <v>1509</v>
      </c>
      <c r="E725" s="16" t="s">
        <v>1913</v>
      </c>
      <c r="F725" s="25" t="s">
        <v>67</v>
      </c>
    </row>
    <row r="726" spans="2:6" x14ac:dyDescent="0.45">
      <c r="B726">
        <v>533</v>
      </c>
      <c r="C726" s="16">
        <v>98301</v>
      </c>
      <c r="D726" s="16" t="s">
        <v>1509</v>
      </c>
      <c r="E726" s="16" t="s">
        <v>1913</v>
      </c>
      <c r="F726" s="25" t="s">
        <v>67</v>
      </c>
    </row>
    <row r="727" spans="2:6" x14ac:dyDescent="0.45">
      <c r="B727">
        <v>535</v>
      </c>
      <c r="C727" s="16">
        <v>98301</v>
      </c>
      <c r="D727" s="16" t="s">
        <v>1509</v>
      </c>
      <c r="E727" s="16" t="s">
        <v>1913</v>
      </c>
      <c r="F727" s="25" t="s">
        <v>67</v>
      </c>
    </row>
    <row r="728" spans="2:6" x14ac:dyDescent="0.45">
      <c r="B728">
        <v>212</v>
      </c>
      <c r="C728" s="16">
        <v>98301</v>
      </c>
      <c r="D728" s="16" t="s">
        <v>1509</v>
      </c>
      <c r="E728" s="16" t="s">
        <v>1913</v>
      </c>
      <c r="F728" s="25" t="s">
        <v>67</v>
      </c>
    </row>
    <row r="729" spans="2:6" x14ac:dyDescent="0.45">
      <c r="B729">
        <v>92</v>
      </c>
      <c r="C729" s="16">
        <v>98301</v>
      </c>
      <c r="D729" s="16" t="s">
        <v>1509</v>
      </c>
      <c r="E729" s="16" t="s">
        <v>1913</v>
      </c>
      <c r="F729" s="25" t="s">
        <v>67</v>
      </c>
    </row>
    <row r="730" spans="2:6" x14ac:dyDescent="0.45">
      <c r="B730">
        <v>136</v>
      </c>
      <c r="C730" s="16">
        <v>98301</v>
      </c>
      <c r="D730" s="16" t="s">
        <v>1509</v>
      </c>
      <c r="E730" s="16" t="s">
        <v>1913</v>
      </c>
      <c r="F730" s="25" t="s">
        <v>67</v>
      </c>
    </row>
    <row r="731" spans="2:6" x14ac:dyDescent="0.45">
      <c r="B731">
        <v>531</v>
      </c>
      <c r="C731" s="16">
        <v>98301</v>
      </c>
      <c r="D731" s="16" t="s">
        <v>1509</v>
      </c>
      <c r="E731" s="16" t="s">
        <v>1913</v>
      </c>
      <c r="F731" s="25" t="s">
        <v>67</v>
      </c>
    </row>
    <row r="732" spans="2:6" x14ac:dyDescent="0.45">
      <c r="B732">
        <v>308</v>
      </c>
      <c r="C732" s="16">
        <v>98301</v>
      </c>
      <c r="D732" s="16" t="s">
        <v>1509</v>
      </c>
      <c r="E732" s="16" t="s">
        <v>1913</v>
      </c>
      <c r="F732" s="25" t="s">
        <v>67</v>
      </c>
    </row>
    <row r="733" spans="2:6" x14ac:dyDescent="0.45">
      <c r="B733">
        <v>328</v>
      </c>
      <c r="C733" s="16">
        <v>98301</v>
      </c>
      <c r="D733" s="16" t="s">
        <v>1509</v>
      </c>
      <c r="E733" s="16" t="s">
        <v>1913</v>
      </c>
      <c r="F733" s="25" t="s">
        <v>67</v>
      </c>
    </row>
    <row r="734" spans="2:6" x14ac:dyDescent="0.45">
      <c r="B734">
        <v>254</v>
      </c>
      <c r="C734" s="16">
        <v>98301</v>
      </c>
      <c r="D734" s="16" t="s">
        <v>1509</v>
      </c>
      <c r="E734" s="16" t="s">
        <v>1913</v>
      </c>
      <c r="F734" s="25" t="s">
        <v>67</v>
      </c>
    </row>
    <row r="735" spans="2:6" x14ac:dyDescent="0.45">
      <c r="B735">
        <v>388</v>
      </c>
      <c r="C735" s="16">
        <v>98301</v>
      </c>
      <c r="D735" s="16" t="s">
        <v>1509</v>
      </c>
      <c r="E735" s="16" t="s">
        <v>1913</v>
      </c>
      <c r="F735" s="25" t="s">
        <v>67</v>
      </c>
    </row>
    <row r="736" spans="2:6" x14ac:dyDescent="0.45">
      <c r="B736">
        <v>312</v>
      </c>
      <c r="C736" s="16">
        <v>98301</v>
      </c>
      <c r="D736" s="16" t="s">
        <v>1509</v>
      </c>
      <c r="E736" s="16" t="s">
        <v>1913</v>
      </c>
      <c r="F736" s="25" t="s">
        <v>67</v>
      </c>
    </row>
    <row r="737" spans="2:6" x14ac:dyDescent="0.45">
      <c r="B737">
        <v>474</v>
      </c>
      <c r="C737" s="16">
        <v>98301</v>
      </c>
      <c r="D737" s="16" t="s">
        <v>1509</v>
      </c>
      <c r="E737" s="16" t="s">
        <v>1913</v>
      </c>
      <c r="F737" s="25" t="s">
        <v>67</v>
      </c>
    </row>
    <row r="738" spans="2:6" x14ac:dyDescent="0.45">
      <c r="B738">
        <v>500</v>
      </c>
      <c r="C738" s="16">
        <v>98301</v>
      </c>
      <c r="D738" s="16" t="s">
        <v>1509</v>
      </c>
      <c r="E738" s="16" t="s">
        <v>1913</v>
      </c>
      <c r="F738" s="25" t="s">
        <v>67</v>
      </c>
    </row>
    <row r="739" spans="2:6" x14ac:dyDescent="0.45">
      <c r="B739">
        <v>659</v>
      </c>
      <c r="C739" s="16">
        <v>98301</v>
      </c>
      <c r="D739" s="16" t="s">
        <v>1509</v>
      </c>
      <c r="E739" s="16" t="s">
        <v>1913</v>
      </c>
      <c r="F739" s="25" t="s">
        <v>67</v>
      </c>
    </row>
    <row r="740" spans="2:6" x14ac:dyDescent="0.45">
      <c r="B740">
        <v>662</v>
      </c>
      <c r="C740" s="16">
        <v>98301</v>
      </c>
      <c r="D740" s="16" t="s">
        <v>1509</v>
      </c>
      <c r="E740" s="16" t="s">
        <v>1913</v>
      </c>
      <c r="F740" s="25" t="s">
        <v>67</v>
      </c>
    </row>
    <row r="741" spans="2:6" x14ac:dyDescent="0.45">
      <c r="B741" s="25">
        <v>652</v>
      </c>
      <c r="C741" s="26">
        <v>98301</v>
      </c>
      <c r="D741" s="26" t="s">
        <v>1509</v>
      </c>
      <c r="E741" s="26" t="s">
        <v>1913</v>
      </c>
      <c r="F741" s="25" t="s">
        <v>67</v>
      </c>
    </row>
    <row r="742" spans="2:6" x14ac:dyDescent="0.45">
      <c r="B742" s="25">
        <v>663</v>
      </c>
      <c r="C742" s="26">
        <v>98301</v>
      </c>
      <c r="D742" s="26" t="s">
        <v>1509</v>
      </c>
      <c r="E742" s="26" t="s">
        <v>1913</v>
      </c>
      <c r="F742" s="25" t="s">
        <v>67</v>
      </c>
    </row>
    <row r="743" spans="2:6" x14ac:dyDescent="0.45">
      <c r="B743">
        <v>630</v>
      </c>
      <c r="C743" s="16">
        <v>98301</v>
      </c>
      <c r="D743" s="16" t="s">
        <v>1509</v>
      </c>
      <c r="E743" s="16" t="s">
        <v>1913</v>
      </c>
      <c r="F743" s="25" t="s">
        <v>67</v>
      </c>
    </row>
    <row r="744" spans="2:6" x14ac:dyDescent="0.45">
      <c r="B744">
        <v>670</v>
      </c>
      <c r="C744" s="16">
        <v>98301</v>
      </c>
      <c r="D744" s="16" t="s">
        <v>1509</v>
      </c>
      <c r="E744" s="16" t="s">
        <v>1913</v>
      </c>
      <c r="F744" s="25" t="s">
        <v>67</v>
      </c>
    </row>
    <row r="745" spans="2:6" x14ac:dyDescent="0.45">
      <c r="B745">
        <v>740</v>
      </c>
      <c r="C745" s="16">
        <v>98301</v>
      </c>
      <c r="D745" s="16" t="s">
        <v>1509</v>
      </c>
      <c r="E745" s="16" t="s">
        <v>1913</v>
      </c>
      <c r="F745" s="25" t="s">
        <v>67</v>
      </c>
    </row>
    <row r="746" spans="2:6" x14ac:dyDescent="0.45">
      <c r="B746">
        <v>780</v>
      </c>
      <c r="C746" s="16">
        <v>98301</v>
      </c>
      <c r="D746" s="16" t="s">
        <v>1509</v>
      </c>
      <c r="E746" s="16" t="s">
        <v>1913</v>
      </c>
      <c r="F746" s="25" t="s">
        <v>67</v>
      </c>
    </row>
    <row r="747" spans="2:6" x14ac:dyDescent="0.45">
      <c r="B747">
        <v>534</v>
      </c>
      <c r="C747" s="16">
        <v>98301</v>
      </c>
      <c r="D747" s="16" t="s">
        <v>1509</v>
      </c>
      <c r="E747" s="16" t="s">
        <v>1913</v>
      </c>
      <c r="F747" s="25" t="s">
        <v>67</v>
      </c>
    </row>
    <row r="748" spans="2:6" x14ac:dyDescent="0.45">
      <c r="B748">
        <v>796</v>
      </c>
      <c r="C748" s="16">
        <v>98301</v>
      </c>
      <c r="D748" s="16" t="s">
        <v>1509</v>
      </c>
      <c r="E748" s="16" t="s">
        <v>1913</v>
      </c>
      <c r="F748" s="25" t="s">
        <v>67</v>
      </c>
    </row>
    <row r="749" spans="2:6" x14ac:dyDescent="0.45">
      <c r="B749">
        <v>850</v>
      </c>
      <c r="C749" s="16">
        <v>98301</v>
      </c>
      <c r="D749" s="16" t="s">
        <v>1509</v>
      </c>
      <c r="E749" s="16" t="s">
        <v>1913</v>
      </c>
      <c r="F749" s="25" t="s">
        <v>67</v>
      </c>
    </row>
    <row r="750" spans="2:6" x14ac:dyDescent="0.45">
      <c r="B750">
        <v>12</v>
      </c>
      <c r="C750" s="16">
        <v>98501</v>
      </c>
      <c r="D750" s="16" t="s">
        <v>1512</v>
      </c>
      <c r="E750" s="16" t="s">
        <v>1513</v>
      </c>
      <c r="F750" s="25" t="s">
        <v>91</v>
      </c>
    </row>
    <row r="751" spans="2:6" x14ac:dyDescent="0.45">
      <c r="B751">
        <v>48</v>
      </c>
      <c r="C751" s="16">
        <v>98501</v>
      </c>
      <c r="D751" s="16" t="s">
        <v>1512</v>
      </c>
      <c r="E751" s="16" t="s">
        <v>1513</v>
      </c>
      <c r="F751" s="25" t="s">
        <v>91</v>
      </c>
    </row>
    <row r="752" spans="2:6" x14ac:dyDescent="0.45">
      <c r="B752">
        <v>174</v>
      </c>
      <c r="C752" s="16">
        <v>98501</v>
      </c>
      <c r="D752" s="16" t="s">
        <v>1512</v>
      </c>
      <c r="E752" s="16" t="s">
        <v>1513</v>
      </c>
      <c r="F752" s="25" t="s">
        <v>91</v>
      </c>
    </row>
    <row r="753" spans="2:6" x14ac:dyDescent="0.45">
      <c r="B753">
        <v>262</v>
      </c>
      <c r="C753" s="16">
        <v>98501</v>
      </c>
      <c r="D753" s="16" t="s">
        <v>1512</v>
      </c>
      <c r="E753" s="16" t="s">
        <v>1513</v>
      </c>
      <c r="F753" s="25" t="s">
        <v>91</v>
      </c>
    </row>
    <row r="754" spans="2:6" x14ac:dyDescent="0.45">
      <c r="B754">
        <v>368</v>
      </c>
      <c r="C754" s="16">
        <v>98501</v>
      </c>
      <c r="D754" s="16" t="s">
        <v>1512</v>
      </c>
      <c r="E754" s="16" t="s">
        <v>1513</v>
      </c>
      <c r="F754" s="25" t="s">
        <v>91</v>
      </c>
    </row>
    <row r="755" spans="2:6" x14ac:dyDescent="0.45">
      <c r="B755">
        <v>400</v>
      </c>
      <c r="C755" s="16">
        <v>98501</v>
      </c>
      <c r="D755" s="16" t="s">
        <v>1512</v>
      </c>
      <c r="E755" s="16" t="s">
        <v>1513</v>
      </c>
      <c r="F755" s="25" t="s">
        <v>91</v>
      </c>
    </row>
    <row r="756" spans="2:6" x14ac:dyDescent="0.45">
      <c r="B756">
        <v>414</v>
      </c>
      <c r="C756" s="16">
        <v>98501</v>
      </c>
      <c r="D756" s="16" t="s">
        <v>1512</v>
      </c>
      <c r="E756" s="16" t="s">
        <v>1513</v>
      </c>
      <c r="F756" s="25" t="s">
        <v>91</v>
      </c>
    </row>
    <row r="757" spans="2:6" x14ac:dyDescent="0.45">
      <c r="B757">
        <v>422</v>
      </c>
      <c r="C757" s="16">
        <v>98501</v>
      </c>
      <c r="D757" s="16" t="s">
        <v>1512</v>
      </c>
      <c r="E757" s="16" t="s">
        <v>1513</v>
      </c>
      <c r="F757" s="25" t="s">
        <v>91</v>
      </c>
    </row>
    <row r="758" spans="2:6" x14ac:dyDescent="0.45">
      <c r="B758">
        <v>434</v>
      </c>
      <c r="C758" s="16">
        <v>98501</v>
      </c>
      <c r="D758" s="16" t="s">
        <v>1512</v>
      </c>
      <c r="E758" s="16" t="s">
        <v>1513</v>
      </c>
      <c r="F758" s="25" t="s">
        <v>91</v>
      </c>
    </row>
    <row r="759" spans="2:6" x14ac:dyDescent="0.45">
      <c r="B759">
        <v>478</v>
      </c>
      <c r="C759" s="16">
        <v>98501</v>
      </c>
      <c r="D759" s="16" t="s">
        <v>1512</v>
      </c>
      <c r="E759" s="16" t="s">
        <v>1513</v>
      </c>
      <c r="F759" s="25" t="s">
        <v>91</v>
      </c>
    </row>
    <row r="760" spans="2:6" x14ac:dyDescent="0.45">
      <c r="B760">
        <v>504</v>
      </c>
      <c r="C760" s="16">
        <v>98501</v>
      </c>
      <c r="D760" s="16" t="s">
        <v>1512</v>
      </c>
      <c r="E760" s="16" t="s">
        <v>1513</v>
      </c>
      <c r="F760" s="25" t="s">
        <v>91</v>
      </c>
    </row>
    <row r="761" spans="2:6" x14ac:dyDescent="0.45">
      <c r="B761">
        <v>512</v>
      </c>
      <c r="C761" s="16">
        <v>98501</v>
      </c>
      <c r="D761" s="16" t="s">
        <v>1512</v>
      </c>
      <c r="E761" s="16" t="s">
        <v>1513</v>
      </c>
      <c r="F761" s="25" t="s">
        <v>91</v>
      </c>
    </row>
    <row r="762" spans="2:6" x14ac:dyDescent="0.45">
      <c r="B762">
        <v>634</v>
      </c>
      <c r="C762" s="16">
        <v>98501</v>
      </c>
      <c r="D762" s="16" t="s">
        <v>1512</v>
      </c>
      <c r="E762" s="16" t="s">
        <v>1513</v>
      </c>
      <c r="F762" s="25" t="s">
        <v>91</v>
      </c>
    </row>
    <row r="763" spans="2:6" x14ac:dyDescent="0.45">
      <c r="B763">
        <v>682</v>
      </c>
      <c r="C763" s="16">
        <v>98501</v>
      </c>
      <c r="D763" s="16" t="s">
        <v>1512</v>
      </c>
      <c r="E763" s="16" t="s">
        <v>1513</v>
      </c>
      <c r="F763" s="25" t="s">
        <v>91</v>
      </c>
    </row>
    <row r="764" spans="2:6" x14ac:dyDescent="0.45">
      <c r="B764">
        <v>706</v>
      </c>
      <c r="C764" s="16">
        <v>98501</v>
      </c>
      <c r="D764" s="16" t="s">
        <v>1512</v>
      </c>
      <c r="E764" s="16" t="s">
        <v>1513</v>
      </c>
      <c r="F764" s="25" t="s">
        <v>91</v>
      </c>
    </row>
    <row r="765" spans="2:6" x14ac:dyDescent="0.45">
      <c r="B765">
        <v>729</v>
      </c>
      <c r="C765" s="16">
        <v>98501</v>
      </c>
      <c r="D765" s="16" t="s">
        <v>1512</v>
      </c>
      <c r="E765" s="16" t="s">
        <v>1513</v>
      </c>
      <c r="F765" s="25" t="s">
        <v>91</v>
      </c>
    </row>
    <row r="766" spans="2:6" x14ac:dyDescent="0.45">
      <c r="B766">
        <v>760</v>
      </c>
      <c r="C766" s="16">
        <v>98501</v>
      </c>
      <c r="D766" s="16" t="s">
        <v>1512</v>
      </c>
      <c r="E766" s="16" t="s">
        <v>1513</v>
      </c>
      <c r="F766" s="25" t="s">
        <v>91</v>
      </c>
    </row>
    <row r="767" spans="2:6" x14ac:dyDescent="0.45">
      <c r="B767">
        <v>784</v>
      </c>
      <c r="C767" s="16">
        <v>98501</v>
      </c>
      <c r="D767" s="16" t="s">
        <v>1512</v>
      </c>
      <c r="E767" s="16" t="s">
        <v>1513</v>
      </c>
      <c r="F767" s="25" t="s">
        <v>91</v>
      </c>
    </row>
    <row r="768" spans="2:6" x14ac:dyDescent="0.45">
      <c r="B768">
        <v>788</v>
      </c>
      <c r="C768" s="16">
        <v>98501</v>
      </c>
      <c r="D768" s="16" t="s">
        <v>1512</v>
      </c>
      <c r="E768" s="16" t="s">
        <v>1513</v>
      </c>
      <c r="F768" s="25" t="s">
        <v>91</v>
      </c>
    </row>
    <row r="769" spans="2:6" x14ac:dyDescent="0.45">
      <c r="B769">
        <v>818</v>
      </c>
      <c r="C769" s="16">
        <v>98501</v>
      </c>
      <c r="D769" s="16" t="s">
        <v>1512</v>
      </c>
      <c r="E769" s="16" t="s">
        <v>1513</v>
      </c>
      <c r="F769" s="25" t="s">
        <v>91</v>
      </c>
    </row>
    <row r="770" spans="2:6" x14ac:dyDescent="0.45">
      <c r="B770">
        <v>275</v>
      </c>
      <c r="C770" s="16">
        <v>98501</v>
      </c>
      <c r="D770" s="16" t="s">
        <v>1512</v>
      </c>
      <c r="E770" s="16" t="s">
        <v>1513</v>
      </c>
      <c r="F770" s="25" t="s">
        <v>91</v>
      </c>
    </row>
    <row r="771" spans="2:6" x14ac:dyDescent="0.45">
      <c r="B771">
        <v>887</v>
      </c>
      <c r="C771" s="16">
        <v>98501</v>
      </c>
      <c r="D771" s="16" t="s">
        <v>1512</v>
      </c>
      <c r="E771" s="16" t="s">
        <v>1513</v>
      </c>
      <c r="F771" s="25" t="s">
        <v>91</v>
      </c>
    </row>
    <row r="772" spans="2:6" x14ac:dyDescent="0.45">
      <c r="B772">
        <v>48</v>
      </c>
      <c r="C772" s="16">
        <v>98502</v>
      </c>
      <c r="D772" s="16" t="s">
        <v>1512</v>
      </c>
      <c r="E772" s="16" t="s">
        <v>1514</v>
      </c>
      <c r="F772" s="25" t="s">
        <v>92</v>
      </c>
    </row>
    <row r="773" spans="2:6" x14ac:dyDescent="0.45">
      <c r="B773">
        <v>414</v>
      </c>
      <c r="C773" s="16">
        <v>98502</v>
      </c>
      <c r="D773" s="16" t="s">
        <v>1512</v>
      </c>
      <c r="E773" s="16" t="s">
        <v>1514</v>
      </c>
      <c r="F773" s="25" t="s">
        <v>92</v>
      </c>
    </row>
    <row r="774" spans="2:6" x14ac:dyDescent="0.45">
      <c r="B774">
        <v>512</v>
      </c>
      <c r="C774" s="16">
        <v>98502</v>
      </c>
      <c r="D774" s="16" t="s">
        <v>1512</v>
      </c>
      <c r="E774" s="16" t="s">
        <v>1514</v>
      </c>
      <c r="F774" s="25" t="s">
        <v>92</v>
      </c>
    </row>
    <row r="775" spans="2:6" x14ac:dyDescent="0.45">
      <c r="B775">
        <v>634</v>
      </c>
      <c r="C775" s="16">
        <v>98502</v>
      </c>
      <c r="D775" s="16" t="s">
        <v>1512</v>
      </c>
      <c r="E775" s="16" t="s">
        <v>1514</v>
      </c>
      <c r="F775" s="25" t="s">
        <v>92</v>
      </c>
    </row>
    <row r="776" spans="2:6" x14ac:dyDescent="0.45">
      <c r="B776">
        <v>682</v>
      </c>
      <c r="C776" s="16">
        <v>98502</v>
      </c>
      <c r="D776" s="16" t="s">
        <v>1512</v>
      </c>
      <c r="E776" s="16" t="s">
        <v>1514</v>
      </c>
      <c r="F776" s="25" t="s">
        <v>92</v>
      </c>
    </row>
    <row r="777" spans="2:6" x14ac:dyDescent="0.45">
      <c r="B777">
        <v>784</v>
      </c>
      <c r="C777" s="16">
        <v>98502</v>
      </c>
      <c r="D777" s="16" t="s">
        <v>1512</v>
      </c>
      <c r="E777" s="16" t="s">
        <v>1514</v>
      </c>
      <c r="F777" s="25" t="s">
        <v>92</v>
      </c>
    </row>
    <row r="778" spans="2:6" x14ac:dyDescent="0.45">
      <c r="B778">
        <v>368</v>
      </c>
      <c r="C778" s="16">
        <v>98503</v>
      </c>
      <c r="D778" s="16" t="s">
        <v>1512</v>
      </c>
      <c r="E778" s="16" t="s">
        <v>1515</v>
      </c>
      <c r="F778" s="25" t="s">
        <v>93</v>
      </c>
    </row>
    <row r="779" spans="2:6" x14ac:dyDescent="0.45">
      <c r="B779">
        <v>400</v>
      </c>
      <c r="C779" s="16">
        <v>98503</v>
      </c>
      <c r="D779" s="16" t="s">
        <v>1512</v>
      </c>
      <c r="E779" s="16" t="s">
        <v>1515</v>
      </c>
      <c r="F779" s="25" t="s">
        <v>93</v>
      </c>
    </row>
    <row r="780" spans="2:6" x14ac:dyDescent="0.45">
      <c r="B780">
        <v>422</v>
      </c>
      <c r="C780" s="16">
        <v>98503</v>
      </c>
      <c r="D780" s="16" t="s">
        <v>1512</v>
      </c>
      <c r="E780" s="16" t="s">
        <v>1515</v>
      </c>
      <c r="F780" s="25" t="s">
        <v>93</v>
      </c>
    </row>
    <row r="781" spans="2:6" x14ac:dyDescent="0.45">
      <c r="B781">
        <v>760</v>
      </c>
      <c r="C781" s="16">
        <v>98503</v>
      </c>
      <c r="D781" s="16" t="s">
        <v>1512</v>
      </c>
      <c r="E781" s="16" t="s">
        <v>1515</v>
      </c>
      <c r="F781" s="25" t="s">
        <v>93</v>
      </c>
    </row>
    <row r="782" spans="2:6" x14ac:dyDescent="0.45">
      <c r="B782">
        <v>818</v>
      </c>
      <c r="C782" s="16">
        <v>98503</v>
      </c>
      <c r="D782" s="16" t="s">
        <v>1512</v>
      </c>
      <c r="E782" s="16" t="s">
        <v>1515</v>
      </c>
      <c r="F782" s="25" t="s">
        <v>93</v>
      </c>
    </row>
    <row r="783" spans="2:6" x14ac:dyDescent="0.45">
      <c r="B783">
        <v>275</v>
      </c>
      <c r="C783" s="16">
        <v>98503</v>
      </c>
      <c r="D783" s="16" t="s">
        <v>1512</v>
      </c>
      <c r="E783" s="16" t="s">
        <v>1515</v>
      </c>
      <c r="F783" s="25" t="s">
        <v>93</v>
      </c>
    </row>
    <row r="784" spans="2:6" x14ac:dyDescent="0.45">
      <c r="B784">
        <v>12</v>
      </c>
      <c r="C784" s="16">
        <v>98504</v>
      </c>
      <c r="D784" s="16" t="s">
        <v>1512</v>
      </c>
      <c r="E784" s="16" t="s">
        <v>1516</v>
      </c>
      <c r="F784" s="25" t="s">
        <v>94</v>
      </c>
    </row>
    <row r="785" spans="2:6" x14ac:dyDescent="0.45">
      <c r="B785">
        <v>434</v>
      </c>
      <c r="C785" s="16">
        <v>98504</v>
      </c>
      <c r="D785" s="16" t="s">
        <v>1512</v>
      </c>
      <c r="E785" s="16" t="s">
        <v>1516</v>
      </c>
      <c r="F785" s="25" t="s">
        <v>94</v>
      </c>
    </row>
    <row r="786" spans="2:6" x14ac:dyDescent="0.45">
      <c r="B786">
        <v>504</v>
      </c>
      <c r="C786" s="16">
        <v>98504</v>
      </c>
      <c r="D786" s="16" t="s">
        <v>1512</v>
      </c>
      <c r="E786" s="16" t="s">
        <v>1516</v>
      </c>
      <c r="F786" s="25" t="s">
        <v>94</v>
      </c>
    </row>
    <row r="787" spans="2:6" x14ac:dyDescent="0.45">
      <c r="B787">
        <v>788</v>
      </c>
      <c r="C787" s="16">
        <v>98504</v>
      </c>
      <c r="D787" s="16" t="s">
        <v>1512</v>
      </c>
      <c r="E787" s="16" t="s">
        <v>1516</v>
      </c>
      <c r="F787" s="25" t="s">
        <v>94</v>
      </c>
    </row>
    <row r="788" spans="2:6" x14ac:dyDescent="0.45">
      <c r="B788">
        <v>174</v>
      </c>
      <c r="C788" s="16">
        <v>98505</v>
      </c>
      <c r="D788" s="16" t="s">
        <v>1512</v>
      </c>
      <c r="E788" s="16" t="s">
        <v>1517</v>
      </c>
      <c r="F788" s="25" t="s">
        <v>95</v>
      </c>
    </row>
    <row r="789" spans="2:6" x14ac:dyDescent="0.45">
      <c r="B789">
        <v>262</v>
      </c>
      <c r="C789" s="16">
        <v>98505</v>
      </c>
      <c r="D789" s="16" t="s">
        <v>1512</v>
      </c>
      <c r="E789" s="16" t="s">
        <v>1517</v>
      </c>
      <c r="F789" s="25" t="s">
        <v>95</v>
      </c>
    </row>
    <row r="790" spans="2:6" x14ac:dyDescent="0.45">
      <c r="B790">
        <v>478</v>
      </c>
      <c r="C790" s="16">
        <v>98505</v>
      </c>
      <c r="D790" s="16" t="s">
        <v>1512</v>
      </c>
      <c r="E790" s="16" t="s">
        <v>1517</v>
      </c>
      <c r="F790" s="25" t="s">
        <v>95</v>
      </c>
    </row>
    <row r="791" spans="2:6" x14ac:dyDescent="0.45">
      <c r="B791">
        <v>706</v>
      </c>
      <c r="C791" s="16">
        <v>98505</v>
      </c>
      <c r="D791" s="16" t="s">
        <v>1512</v>
      </c>
      <c r="E791" s="16" t="s">
        <v>1517</v>
      </c>
      <c r="F791" s="25" t="s">
        <v>95</v>
      </c>
    </row>
    <row r="792" spans="2:6" x14ac:dyDescent="0.45">
      <c r="B792">
        <v>729</v>
      </c>
      <c r="C792" s="16">
        <v>98505</v>
      </c>
      <c r="D792" s="16" t="s">
        <v>1512</v>
      </c>
      <c r="E792" s="16" t="s">
        <v>1517</v>
      </c>
      <c r="F792" s="25" t="s">
        <v>95</v>
      </c>
    </row>
    <row r="793" spans="2:6" x14ac:dyDescent="0.45">
      <c r="B793">
        <v>887</v>
      </c>
      <c r="C793" s="16">
        <v>98505</v>
      </c>
      <c r="D793" s="16" t="s">
        <v>1512</v>
      </c>
      <c r="E793" s="16" t="s">
        <v>1517</v>
      </c>
      <c r="F793" s="25" t="s">
        <v>95</v>
      </c>
    </row>
    <row r="794" spans="2:6" x14ac:dyDescent="0.45">
      <c r="B794">
        <v>4</v>
      </c>
      <c r="C794">
        <v>98400</v>
      </c>
      <c r="D794" t="s">
        <v>1518</v>
      </c>
      <c r="E794" t="s">
        <v>1519</v>
      </c>
      <c r="F794" s="25" t="s">
        <v>68</v>
      </c>
    </row>
    <row r="795" spans="2:6" x14ac:dyDescent="0.45">
      <c r="B795">
        <v>16</v>
      </c>
      <c r="C795">
        <v>98400</v>
      </c>
      <c r="D795" t="s">
        <v>1518</v>
      </c>
      <c r="E795" t="s">
        <v>1519</v>
      </c>
      <c r="F795" s="25" t="s">
        <v>68</v>
      </c>
    </row>
    <row r="796" spans="2:6" x14ac:dyDescent="0.45">
      <c r="B796">
        <v>31</v>
      </c>
      <c r="C796">
        <v>98400</v>
      </c>
      <c r="D796" t="s">
        <v>1518</v>
      </c>
      <c r="E796" t="s">
        <v>1519</v>
      </c>
      <c r="F796" s="25" t="s">
        <v>68</v>
      </c>
    </row>
    <row r="797" spans="2:6" x14ac:dyDescent="0.45">
      <c r="B797">
        <v>36</v>
      </c>
      <c r="C797">
        <v>98400</v>
      </c>
      <c r="D797" t="s">
        <v>1518</v>
      </c>
      <c r="E797" t="s">
        <v>1519</v>
      </c>
      <c r="F797" s="25" t="s">
        <v>68</v>
      </c>
    </row>
    <row r="798" spans="2:6" x14ac:dyDescent="0.45">
      <c r="B798">
        <v>50</v>
      </c>
      <c r="C798">
        <v>98400</v>
      </c>
      <c r="D798" t="s">
        <v>1518</v>
      </c>
      <c r="E798" t="s">
        <v>1519</v>
      </c>
      <c r="F798" s="25" t="s">
        <v>68</v>
      </c>
    </row>
    <row r="799" spans="2:6" x14ac:dyDescent="0.45">
      <c r="B799">
        <v>51</v>
      </c>
      <c r="C799">
        <v>98400</v>
      </c>
      <c r="D799" t="s">
        <v>1518</v>
      </c>
      <c r="E799" t="s">
        <v>1519</v>
      </c>
      <c r="F799" s="25" t="s">
        <v>68</v>
      </c>
    </row>
    <row r="800" spans="2:6" x14ac:dyDescent="0.45">
      <c r="B800">
        <v>64</v>
      </c>
      <c r="C800">
        <v>98400</v>
      </c>
      <c r="D800" t="s">
        <v>1518</v>
      </c>
      <c r="E800" t="s">
        <v>1519</v>
      </c>
      <c r="F800" s="25" t="s">
        <v>68</v>
      </c>
    </row>
    <row r="801" spans="2:6" x14ac:dyDescent="0.45">
      <c r="B801">
        <v>90</v>
      </c>
      <c r="C801">
        <v>98400</v>
      </c>
      <c r="D801" t="s">
        <v>1518</v>
      </c>
      <c r="E801" t="s">
        <v>1519</v>
      </c>
      <c r="F801" s="25" t="s">
        <v>68</v>
      </c>
    </row>
    <row r="802" spans="2:6" x14ac:dyDescent="0.45">
      <c r="B802">
        <v>96</v>
      </c>
      <c r="C802">
        <v>98400</v>
      </c>
      <c r="D802" t="s">
        <v>1518</v>
      </c>
      <c r="E802" t="s">
        <v>1519</v>
      </c>
      <c r="F802" s="25" t="s">
        <v>68</v>
      </c>
    </row>
    <row r="803" spans="2:6" x14ac:dyDescent="0.45">
      <c r="B803">
        <v>104</v>
      </c>
      <c r="C803">
        <v>98400</v>
      </c>
      <c r="D803" t="s">
        <v>1518</v>
      </c>
      <c r="E803" t="s">
        <v>1519</v>
      </c>
      <c r="F803" s="25" t="s">
        <v>68</v>
      </c>
    </row>
    <row r="804" spans="2:6" x14ac:dyDescent="0.45">
      <c r="B804">
        <v>116</v>
      </c>
      <c r="C804">
        <v>98400</v>
      </c>
      <c r="D804" t="s">
        <v>1518</v>
      </c>
      <c r="E804" t="s">
        <v>1519</v>
      </c>
      <c r="F804" s="25" t="s">
        <v>68</v>
      </c>
    </row>
    <row r="805" spans="2:6" x14ac:dyDescent="0.45">
      <c r="B805">
        <v>144</v>
      </c>
      <c r="C805">
        <v>98400</v>
      </c>
      <c r="D805" t="s">
        <v>1518</v>
      </c>
      <c r="E805" t="s">
        <v>1519</v>
      </c>
      <c r="F805" s="25" t="s">
        <v>68</v>
      </c>
    </row>
    <row r="806" spans="2:6" x14ac:dyDescent="0.45">
      <c r="B806">
        <v>156</v>
      </c>
      <c r="C806">
        <v>98400</v>
      </c>
      <c r="D806" t="s">
        <v>1518</v>
      </c>
      <c r="E806" t="s">
        <v>1519</v>
      </c>
      <c r="F806" s="25" t="s">
        <v>68</v>
      </c>
    </row>
    <row r="807" spans="2:6" x14ac:dyDescent="0.45">
      <c r="B807">
        <v>184</v>
      </c>
      <c r="C807">
        <v>98400</v>
      </c>
      <c r="D807" t="s">
        <v>1518</v>
      </c>
      <c r="E807" t="s">
        <v>1519</v>
      </c>
      <c r="F807" s="25" t="s">
        <v>68</v>
      </c>
    </row>
    <row r="808" spans="2:6" x14ac:dyDescent="0.45">
      <c r="B808">
        <v>242</v>
      </c>
      <c r="C808">
        <v>98400</v>
      </c>
      <c r="D808" t="s">
        <v>1518</v>
      </c>
      <c r="E808" t="s">
        <v>1519</v>
      </c>
      <c r="F808" s="25" t="s">
        <v>68</v>
      </c>
    </row>
    <row r="809" spans="2:6" x14ac:dyDescent="0.45">
      <c r="B809">
        <v>258</v>
      </c>
      <c r="C809">
        <v>98400</v>
      </c>
      <c r="D809" t="s">
        <v>1518</v>
      </c>
      <c r="E809" t="s">
        <v>1519</v>
      </c>
      <c r="F809" s="25" t="s">
        <v>68</v>
      </c>
    </row>
    <row r="810" spans="2:6" x14ac:dyDescent="0.45">
      <c r="B810">
        <v>268</v>
      </c>
      <c r="C810">
        <v>98400</v>
      </c>
      <c r="D810" t="s">
        <v>1518</v>
      </c>
      <c r="E810" t="s">
        <v>1519</v>
      </c>
      <c r="F810" s="25" t="s">
        <v>68</v>
      </c>
    </row>
    <row r="811" spans="2:6" x14ac:dyDescent="0.45">
      <c r="B811">
        <v>296</v>
      </c>
      <c r="C811">
        <v>98400</v>
      </c>
      <c r="D811" t="s">
        <v>1518</v>
      </c>
      <c r="E811" t="s">
        <v>1519</v>
      </c>
      <c r="F811" s="25" t="s">
        <v>68</v>
      </c>
    </row>
    <row r="812" spans="2:6" x14ac:dyDescent="0.45">
      <c r="B812">
        <v>316</v>
      </c>
      <c r="C812">
        <v>98400</v>
      </c>
      <c r="D812" t="s">
        <v>1518</v>
      </c>
      <c r="E812" t="s">
        <v>1519</v>
      </c>
      <c r="F812" s="25" t="s">
        <v>68</v>
      </c>
    </row>
    <row r="813" spans="2:6" x14ac:dyDescent="0.45">
      <c r="B813">
        <v>344</v>
      </c>
      <c r="C813">
        <v>98400</v>
      </c>
      <c r="D813" t="s">
        <v>1518</v>
      </c>
      <c r="E813" t="s">
        <v>1519</v>
      </c>
      <c r="F813" s="25" t="s">
        <v>68</v>
      </c>
    </row>
    <row r="814" spans="2:6" x14ac:dyDescent="0.45">
      <c r="B814">
        <v>356</v>
      </c>
      <c r="C814">
        <v>98400</v>
      </c>
      <c r="D814" t="s">
        <v>1518</v>
      </c>
      <c r="E814" t="s">
        <v>1519</v>
      </c>
      <c r="F814" s="25" t="s">
        <v>68</v>
      </c>
    </row>
    <row r="815" spans="2:6" x14ac:dyDescent="0.45">
      <c r="B815">
        <v>360</v>
      </c>
      <c r="C815">
        <v>98400</v>
      </c>
      <c r="D815" t="s">
        <v>1518</v>
      </c>
      <c r="E815" t="s">
        <v>1519</v>
      </c>
      <c r="F815" s="25" t="s">
        <v>68</v>
      </c>
    </row>
    <row r="816" spans="2:6" x14ac:dyDescent="0.45">
      <c r="B816">
        <v>364</v>
      </c>
      <c r="C816">
        <v>98400</v>
      </c>
      <c r="D816" t="s">
        <v>1518</v>
      </c>
      <c r="E816" t="s">
        <v>1519</v>
      </c>
      <c r="F816" s="25" t="s">
        <v>68</v>
      </c>
    </row>
    <row r="817" spans="2:6" x14ac:dyDescent="0.45">
      <c r="B817">
        <v>392</v>
      </c>
      <c r="C817">
        <v>98400</v>
      </c>
      <c r="D817" t="s">
        <v>1518</v>
      </c>
      <c r="E817" t="s">
        <v>1519</v>
      </c>
      <c r="F817" s="25" t="s">
        <v>68</v>
      </c>
    </row>
    <row r="818" spans="2:6" x14ac:dyDescent="0.45">
      <c r="B818">
        <v>398</v>
      </c>
      <c r="C818">
        <v>98400</v>
      </c>
      <c r="D818" t="s">
        <v>1518</v>
      </c>
      <c r="E818" t="s">
        <v>1519</v>
      </c>
      <c r="F818" s="25" t="s">
        <v>68</v>
      </c>
    </row>
    <row r="819" spans="2:6" x14ac:dyDescent="0.45">
      <c r="B819">
        <v>408</v>
      </c>
      <c r="C819">
        <v>98400</v>
      </c>
      <c r="D819" t="s">
        <v>1518</v>
      </c>
      <c r="E819" t="s">
        <v>1519</v>
      </c>
      <c r="F819" s="25" t="s">
        <v>68</v>
      </c>
    </row>
    <row r="820" spans="2:6" x14ac:dyDescent="0.45">
      <c r="B820">
        <v>410</v>
      </c>
      <c r="C820">
        <v>98400</v>
      </c>
      <c r="D820" t="s">
        <v>1518</v>
      </c>
      <c r="E820" t="s">
        <v>1519</v>
      </c>
      <c r="F820" s="25" t="s">
        <v>68</v>
      </c>
    </row>
    <row r="821" spans="2:6" x14ac:dyDescent="0.45">
      <c r="B821">
        <v>417</v>
      </c>
      <c r="C821">
        <v>98400</v>
      </c>
      <c r="D821" t="s">
        <v>1518</v>
      </c>
      <c r="E821" t="s">
        <v>1519</v>
      </c>
      <c r="F821" s="25" t="s">
        <v>68</v>
      </c>
    </row>
    <row r="822" spans="2:6" x14ac:dyDescent="0.45">
      <c r="B822">
        <v>418</v>
      </c>
      <c r="C822">
        <v>98400</v>
      </c>
      <c r="D822" t="s">
        <v>1518</v>
      </c>
      <c r="E822" t="s">
        <v>1519</v>
      </c>
      <c r="F822" s="25" t="s">
        <v>68</v>
      </c>
    </row>
    <row r="823" spans="2:6" x14ac:dyDescent="0.45">
      <c r="B823">
        <v>446</v>
      </c>
      <c r="C823">
        <v>98400</v>
      </c>
      <c r="D823" t="s">
        <v>1518</v>
      </c>
      <c r="E823" t="s">
        <v>1519</v>
      </c>
      <c r="F823" s="25" t="s">
        <v>68</v>
      </c>
    </row>
    <row r="824" spans="2:6" x14ac:dyDescent="0.45">
      <c r="B824">
        <v>458</v>
      </c>
      <c r="C824">
        <v>98400</v>
      </c>
      <c r="D824" t="s">
        <v>1518</v>
      </c>
      <c r="E824" t="s">
        <v>1519</v>
      </c>
      <c r="F824" s="25" t="s">
        <v>68</v>
      </c>
    </row>
    <row r="825" spans="2:6" x14ac:dyDescent="0.45">
      <c r="B825">
        <v>462</v>
      </c>
      <c r="C825">
        <v>98400</v>
      </c>
      <c r="D825" t="s">
        <v>1518</v>
      </c>
      <c r="E825" t="s">
        <v>1519</v>
      </c>
      <c r="F825" s="25" t="s">
        <v>68</v>
      </c>
    </row>
    <row r="826" spans="2:6" x14ac:dyDescent="0.45">
      <c r="B826">
        <v>496</v>
      </c>
      <c r="C826">
        <v>98400</v>
      </c>
      <c r="D826" t="s">
        <v>1518</v>
      </c>
      <c r="E826" t="s">
        <v>1519</v>
      </c>
      <c r="F826" s="25" t="s">
        <v>68</v>
      </c>
    </row>
    <row r="827" spans="2:6" x14ac:dyDescent="0.45">
      <c r="B827">
        <v>520</v>
      </c>
      <c r="C827">
        <v>98400</v>
      </c>
      <c r="D827" t="s">
        <v>1518</v>
      </c>
      <c r="E827" t="s">
        <v>1519</v>
      </c>
      <c r="F827" s="25" t="s">
        <v>68</v>
      </c>
    </row>
    <row r="828" spans="2:6" x14ac:dyDescent="0.45">
      <c r="B828">
        <v>524</v>
      </c>
      <c r="C828">
        <v>98400</v>
      </c>
      <c r="D828" t="s">
        <v>1518</v>
      </c>
      <c r="E828" t="s">
        <v>1519</v>
      </c>
      <c r="F828" s="25" t="s">
        <v>68</v>
      </c>
    </row>
    <row r="829" spans="2:6" x14ac:dyDescent="0.45">
      <c r="B829">
        <v>540</v>
      </c>
      <c r="C829">
        <v>98400</v>
      </c>
      <c r="D829" t="s">
        <v>1518</v>
      </c>
      <c r="E829" t="s">
        <v>1519</v>
      </c>
      <c r="F829" s="25" t="s">
        <v>68</v>
      </c>
    </row>
    <row r="830" spans="2:6" x14ac:dyDescent="0.45">
      <c r="B830">
        <v>548</v>
      </c>
      <c r="C830">
        <v>98400</v>
      </c>
      <c r="D830" t="s">
        <v>1518</v>
      </c>
      <c r="E830" t="s">
        <v>1519</v>
      </c>
      <c r="F830" s="25" t="s">
        <v>68</v>
      </c>
    </row>
    <row r="831" spans="2:6" x14ac:dyDescent="0.45">
      <c r="B831">
        <v>554</v>
      </c>
      <c r="C831">
        <v>98400</v>
      </c>
      <c r="D831" t="s">
        <v>1518</v>
      </c>
      <c r="E831" t="s">
        <v>1519</v>
      </c>
      <c r="F831" s="25" t="s">
        <v>68</v>
      </c>
    </row>
    <row r="832" spans="2:6" x14ac:dyDescent="0.45">
      <c r="B832">
        <v>570</v>
      </c>
      <c r="C832">
        <v>98400</v>
      </c>
      <c r="D832" t="s">
        <v>1518</v>
      </c>
      <c r="E832" t="s">
        <v>1519</v>
      </c>
      <c r="F832" s="25" t="s">
        <v>68</v>
      </c>
    </row>
    <row r="833" spans="2:6" x14ac:dyDescent="0.45">
      <c r="B833">
        <v>580</v>
      </c>
      <c r="C833">
        <v>98400</v>
      </c>
      <c r="D833" t="s">
        <v>1518</v>
      </c>
      <c r="E833" t="s">
        <v>1519</v>
      </c>
      <c r="F833" s="25" t="s">
        <v>68</v>
      </c>
    </row>
    <row r="834" spans="2:6" x14ac:dyDescent="0.45">
      <c r="B834">
        <v>583</v>
      </c>
      <c r="C834">
        <v>98400</v>
      </c>
      <c r="D834" t="s">
        <v>1518</v>
      </c>
      <c r="E834" t="s">
        <v>1519</v>
      </c>
      <c r="F834" s="25" t="s">
        <v>68</v>
      </c>
    </row>
    <row r="835" spans="2:6" x14ac:dyDescent="0.45">
      <c r="B835">
        <v>584</v>
      </c>
      <c r="C835">
        <v>98400</v>
      </c>
      <c r="D835" t="s">
        <v>1518</v>
      </c>
      <c r="E835" t="s">
        <v>1519</v>
      </c>
      <c r="F835" s="25" t="s">
        <v>68</v>
      </c>
    </row>
    <row r="836" spans="2:6" x14ac:dyDescent="0.45">
      <c r="B836">
        <v>585</v>
      </c>
      <c r="C836">
        <v>98400</v>
      </c>
      <c r="D836" t="s">
        <v>1518</v>
      </c>
      <c r="E836" t="s">
        <v>1519</v>
      </c>
      <c r="F836" s="25" t="s">
        <v>68</v>
      </c>
    </row>
    <row r="837" spans="2:6" x14ac:dyDescent="0.45">
      <c r="B837">
        <v>586</v>
      </c>
      <c r="C837">
        <v>98400</v>
      </c>
      <c r="D837" t="s">
        <v>1518</v>
      </c>
      <c r="E837" t="s">
        <v>1519</v>
      </c>
      <c r="F837" s="25" t="s">
        <v>68</v>
      </c>
    </row>
    <row r="838" spans="2:6" x14ac:dyDescent="0.45">
      <c r="B838">
        <v>598</v>
      </c>
      <c r="C838">
        <v>98400</v>
      </c>
      <c r="D838" t="s">
        <v>1518</v>
      </c>
      <c r="E838" t="s">
        <v>1519</v>
      </c>
      <c r="F838" s="25" t="s">
        <v>68</v>
      </c>
    </row>
    <row r="839" spans="2:6" x14ac:dyDescent="0.45">
      <c r="B839">
        <v>608</v>
      </c>
      <c r="C839">
        <v>98400</v>
      </c>
      <c r="D839" t="s">
        <v>1518</v>
      </c>
      <c r="E839" t="s">
        <v>1519</v>
      </c>
      <c r="F839" s="25" t="s">
        <v>68</v>
      </c>
    </row>
    <row r="840" spans="2:6" x14ac:dyDescent="0.45">
      <c r="B840">
        <v>643</v>
      </c>
      <c r="C840">
        <v>98400</v>
      </c>
      <c r="D840" t="s">
        <v>1518</v>
      </c>
      <c r="E840" t="s">
        <v>1519</v>
      </c>
      <c r="F840" s="25" t="s">
        <v>68</v>
      </c>
    </row>
    <row r="841" spans="2:6" x14ac:dyDescent="0.45">
      <c r="B841">
        <v>702</v>
      </c>
      <c r="C841">
        <v>98400</v>
      </c>
      <c r="D841" t="s">
        <v>1518</v>
      </c>
      <c r="E841" t="s">
        <v>1519</v>
      </c>
      <c r="F841" s="25" t="s">
        <v>68</v>
      </c>
    </row>
    <row r="842" spans="2:6" x14ac:dyDescent="0.45">
      <c r="B842">
        <v>704</v>
      </c>
      <c r="C842">
        <v>98400</v>
      </c>
      <c r="D842" t="s">
        <v>1518</v>
      </c>
      <c r="E842" t="s">
        <v>1519</v>
      </c>
      <c r="F842" s="25" t="s">
        <v>68</v>
      </c>
    </row>
    <row r="843" spans="2:6" x14ac:dyDescent="0.45">
      <c r="B843">
        <v>762</v>
      </c>
      <c r="C843">
        <v>98400</v>
      </c>
      <c r="D843" t="s">
        <v>1518</v>
      </c>
      <c r="E843" t="s">
        <v>1519</v>
      </c>
      <c r="F843" s="25" t="s">
        <v>68</v>
      </c>
    </row>
    <row r="844" spans="2:6" x14ac:dyDescent="0.45">
      <c r="B844">
        <v>764</v>
      </c>
      <c r="C844">
        <v>98400</v>
      </c>
      <c r="D844" t="s">
        <v>1518</v>
      </c>
      <c r="E844" t="s">
        <v>1519</v>
      </c>
      <c r="F844" s="25" t="s">
        <v>68</v>
      </c>
    </row>
    <row r="845" spans="2:6" x14ac:dyDescent="0.45">
      <c r="B845">
        <v>776</v>
      </c>
      <c r="C845">
        <v>98400</v>
      </c>
      <c r="D845" t="s">
        <v>1518</v>
      </c>
      <c r="E845" t="s">
        <v>1519</v>
      </c>
      <c r="F845" s="25" t="s">
        <v>68</v>
      </c>
    </row>
    <row r="846" spans="2:6" x14ac:dyDescent="0.45">
      <c r="B846">
        <v>792</v>
      </c>
      <c r="C846">
        <v>98400</v>
      </c>
      <c r="D846" t="s">
        <v>1518</v>
      </c>
      <c r="E846" t="s">
        <v>1519</v>
      </c>
      <c r="F846" s="25" t="s">
        <v>68</v>
      </c>
    </row>
    <row r="847" spans="2:6" x14ac:dyDescent="0.45">
      <c r="B847">
        <v>795</v>
      </c>
      <c r="C847">
        <v>98400</v>
      </c>
      <c r="D847" t="s">
        <v>1518</v>
      </c>
      <c r="E847" t="s">
        <v>1519</v>
      </c>
      <c r="F847" s="25" t="s">
        <v>68</v>
      </c>
    </row>
    <row r="848" spans="2:6" x14ac:dyDescent="0.45">
      <c r="B848">
        <v>798</v>
      </c>
      <c r="C848">
        <v>98400</v>
      </c>
      <c r="D848" t="s">
        <v>1518</v>
      </c>
      <c r="E848" t="s">
        <v>1519</v>
      </c>
      <c r="F848" s="25" t="s">
        <v>68</v>
      </c>
    </row>
    <row r="849" spans="2:6" x14ac:dyDescent="0.45">
      <c r="B849">
        <v>860</v>
      </c>
      <c r="C849">
        <v>98400</v>
      </c>
      <c r="D849" t="s">
        <v>1518</v>
      </c>
      <c r="E849" t="s">
        <v>1519</v>
      </c>
      <c r="F849" s="25" t="s">
        <v>68</v>
      </c>
    </row>
    <row r="850" spans="2:6" x14ac:dyDescent="0.45">
      <c r="B850">
        <v>882</v>
      </c>
      <c r="C850">
        <v>98400</v>
      </c>
      <c r="D850" t="s">
        <v>1518</v>
      </c>
      <c r="E850" t="s">
        <v>1519</v>
      </c>
      <c r="F850" s="25" t="s">
        <v>68</v>
      </c>
    </row>
    <row r="851" spans="2:6" x14ac:dyDescent="0.45">
      <c r="B851">
        <v>626</v>
      </c>
      <c r="C851">
        <v>98400</v>
      </c>
      <c r="D851" t="s">
        <v>1518</v>
      </c>
      <c r="E851" t="s">
        <v>1519</v>
      </c>
      <c r="F851" s="25" t="s">
        <v>68</v>
      </c>
    </row>
    <row r="852" spans="2:6" x14ac:dyDescent="0.45">
      <c r="B852">
        <v>156</v>
      </c>
      <c r="C852">
        <v>98408</v>
      </c>
      <c r="D852" t="s">
        <v>1518</v>
      </c>
      <c r="E852" t="s">
        <v>1520</v>
      </c>
      <c r="F852" s="25" t="s">
        <v>72</v>
      </c>
    </row>
    <row r="853" spans="2:6" x14ac:dyDescent="0.45">
      <c r="B853">
        <v>344</v>
      </c>
      <c r="C853">
        <v>98408</v>
      </c>
      <c r="D853" t="s">
        <v>1518</v>
      </c>
      <c r="E853" t="s">
        <v>1520</v>
      </c>
      <c r="F853" s="25" t="s">
        <v>72</v>
      </c>
    </row>
    <row r="854" spans="2:6" x14ac:dyDescent="0.45">
      <c r="B854">
        <v>392</v>
      </c>
      <c r="C854">
        <v>98408</v>
      </c>
      <c r="D854" t="s">
        <v>1518</v>
      </c>
      <c r="E854" t="s">
        <v>1520</v>
      </c>
      <c r="F854" s="25" t="s">
        <v>72</v>
      </c>
    </row>
    <row r="855" spans="2:6" x14ac:dyDescent="0.45">
      <c r="B855">
        <v>408</v>
      </c>
      <c r="C855">
        <v>98408</v>
      </c>
      <c r="D855" t="s">
        <v>1518</v>
      </c>
      <c r="E855" t="s">
        <v>1520</v>
      </c>
      <c r="F855" s="25" t="s">
        <v>72</v>
      </c>
    </row>
    <row r="856" spans="2:6" x14ac:dyDescent="0.45">
      <c r="B856">
        <v>410</v>
      </c>
      <c r="C856">
        <v>98408</v>
      </c>
      <c r="D856" t="s">
        <v>1518</v>
      </c>
      <c r="E856" t="s">
        <v>1520</v>
      </c>
      <c r="F856" s="25" t="s">
        <v>72</v>
      </c>
    </row>
    <row r="857" spans="2:6" x14ac:dyDescent="0.45">
      <c r="B857">
        <v>446</v>
      </c>
      <c r="C857">
        <v>98408</v>
      </c>
      <c r="D857" t="s">
        <v>1518</v>
      </c>
      <c r="E857" t="s">
        <v>1520</v>
      </c>
      <c r="F857" s="25" t="s">
        <v>72</v>
      </c>
    </row>
    <row r="858" spans="2:6" x14ac:dyDescent="0.45">
      <c r="B858">
        <v>496</v>
      </c>
      <c r="C858">
        <v>98408</v>
      </c>
      <c r="D858" t="s">
        <v>1518</v>
      </c>
      <c r="E858" t="s">
        <v>1520</v>
      </c>
      <c r="F858" s="25" t="s">
        <v>72</v>
      </c>
    </row>
    <row r="859" spans="2:6" x14ac:dyDescent="0.45">
      <c r="B859">
        <v>4</v>
      </c>
      <c r="C859">
        <v>98420</v>
      </c>
      <c r="D859" t="s">
        <v>1518</v>
      </c>
      <c r="E859" t="s">
        <v>1521</v>
      </c>
      <c r="F859" s="25" t="s">
        <v>78</v>
      </c>
    </row>
    <row r="860" spans="2:6" x14ac:dyDescent="0.45">
      <c r="B860">
        <v>50</v>
      </c>
      <c r="C860">
        <v>98420</v>
      </c>
      <c r="D860" t="s">
        <v>1518</v>
      </c>
      <c r="E860" t="s">
        <v>1521</v>
      </c>
      <c r="F860" s="25" t="s">
        <v>78</v>
      </c>
    </row>
    <row r="861" spans="2:6" x14ac:dyDescent="0.45">
      <c r="B861">
        <v>64</v>
      </c>
      <c r="C861">
        <v>98420</v>
      </c>
      <c r="D861" t="s">
        <v>1518</v>
      </c>
      <c r="E861" t="s">
        <v>1521</v>
      </c>
      <c r="F861" s="25" t="s">
        <v>78</v>
      </c>
    </row>
    <row r="862" spans="2:6" x14ac:dyDescent="0.45">
      <c r="B862">
        <v>144</v>
      </c>
      <c r="C862">
        <v>98420</v>
      </c>
      <c r="D862" t="s">
        <v>1518</v>
      </c>
      <c r="E862" t="s">
        <v>1521</v>
      </c>
      <c r="F862" s="25" t="s">
        <v>78</v>
      </c>
    </row>
    <row r="863" spans="2:6" x14ac:dyDescent="0.45">
      <c r="B863">
        <v>356</v>
      </c>
      <c r="C863">
        <v>98420</v>
      </c>
      <c r="D863" t="s">
        <v>1518</v>
      </c>
      <c r="E863" t="s">
        <v>1521</v>
      </c>
      <c r="F863" s="25" t="s">
        <v>78</v>
      </c>
    </row>
    <row r="864" spans="2:6" x14ac:dyDescent="0.45">
      <c r="B864">
        <v>364</v>
      </c>
      <c r="C864">
        <v>98420</v>
      </c>
      <c r="D864" t="s">
        <v>1518</v>
      </c>
      <c r="E864" t="s">
        <v>1521</v>
      </c>
      <c r="F864" s="25" t="s">
        <v>78</v>
      </c>
    </row>
    <row r="865" spans="2:6" x14ac:dyDescent="0.45">
      <c r="B865">
        <v>462</v>
      </c>
      <c r="C865">
        <v>98420</v>
      </c>
      <c r="D865" t="s">
        <v>1518</v>
      </c>
      <c r="E865" t="s">
        <v>1521</v>
      </c>
      <c r="F865" s="25" t="s">
        <v>78</v>
      </c>
    </row>
    <row r="866" spans="2:6" x14ac:dyDescent="0.45">
      <c r="B866">
        <v>524</v>
      </c>
      <c r="C866">
        <v>98420</v>
      </c>
      <c r="D866" t="s">
        <v>1518</v>
      </c>
      <c r="E866" t="s">
        <v>1521</v>
      </c>
      <c r="F866" s="25" t="s">
        <v>78</v>
      </c>
    </row>
    <row r="867" spans="2:6" x14ac:dyDescent="0.45">
      <c r="B867">
        <v>586</v>
      </c>
      <c r="C867">
        <v>98420</v>
      </c>
      <c r="D867" t="s">
        <v>1518</v>
      </c>
      <c r="E867" t="s">
        <v>1521</v>
      </c>
      <c r="F867" s="25" t="s">
        <v>78</v>
      </c>
    </row>
    <row r="868" spans="2:6" x14ac:dyDescent="0.45">
      <c r="B868">
        <v>792</v>
      </c>
      <c r="C868">
        <v>98420</v>
      </c>
      <c r="D868" t="s">
        <v>1518</v>
      </c>
      <c r="E868" t="s">
        <v>1521</v>
      </c>
      <c r="F868" s="25" t="s">
        <v>78</v>
      </c>
    </row>
    <row r="869" spans="2:6" x14ac:dyDescent="0.45">
      <c r="B869">
        <v>96</v>
      </c>
      <c r="C869">
        <v>98419</v>
      </c>
      <c r="D869" t="s">
        <v>1518</v>
      </c>
      <c r="E869" t="s">
        <v>1522</v>
      </c>
      <c r="F869" s="25" t="s">
        <v>77</v>
      </c>
    </row>
    <row r="870" spans="2:6" x14ac:dyDescent="0.45">
      <c r="B870">
        <v>104</v>
      </c>
      <c r="C870">
        <v>98419</v>
      </c>
      <c r="D870" t="s">
        <v>1518</v>
      </c>
      <c r="E870" t="s">
        <v>1522</v>
      </c>
      <c r="F870" s="25" t="s">
        <v>77</v>
      </c>
    </row>
    <row r="871" spans="2:6" x14ac:dyDescent="0.45">
      <c r="B871">
        <v>116</v>
      </c>
      <c r="C871">
        <v>98419</v>
      </c>
      <c r="D871" t="s">
        <v>1518</v>
      </c>
      <c r="E871" t="s">
        <v>1522</v>
      </c>
      <c r="F871" s="25" t="s">
        <v>77</v>
      </c>
    </row>
    <row r="872" spans="2:6" x14ac:dyDescent="0.45">
      <c r="B872">
        <v>360</v>
      </c>
      <c r="C872">
        <v>98419</v>
      </c>
      <c r="D872" t="s">
        <v>1518</v>
      </c>
      <c r="E872" t="s">
        <v>1522</v>
      </c>
      <c r="F872" s="25" t="s">
        <v>77</v>
      </c>
    </row>
    <row r="873" spans="2:6" x14ac:dyDescent="0.45">
      <c r="B873">
        <v>418</v>
      </c>
      <c r="C873">
        <v>98419</v>
      </c>
      <c r="D873" t="s">
        <v>1518</v>
      </c>
      <c r="E873" t="s">
        <v>1522</v>
      </c>
      <c r="F873" s="25" t="s">
        <v>77</v>
      </c>
    </row>
    <row r="874" spans="2:6" x14ac:dyDescent="0.45">
      <c r="B874">
        <v>458</v>
      </c>
      <c r="C874">
        <v>98419</v>
      </c>
      <c r="D874" t="s">
        <v>1518</v>
      </c>
      <c r="E874" t="s">
        <v>1522</v>
      </c>
      <c r="F874" s="25" t="s">
        <v>77</v>
      </c>
    </row>
    <row r="875" spans="2:6" x14ac:dyDescent="0.45">
      <c r="B875">
        <v>608</v>
      </c>
      <c r="C875">
        <v>98419</v>
      </c>
      <c r="D875" t="s">
        <v>1518</v>
      </c>
      <c r="E875" t="s">
        <v>1522</v>
      </c>
      <c r="F875" s="25" t="s">
        <v>77</v>
      </c>
    </row>
    <row r="876" spans="2:6" x14ac:dyDescent="0.45">
      <c r="B876">
        <v>702</v>
      </c>
      <c r="C876">
        <v>98419</v>
      </c>
      <c r="D876" t="s">
        <v>1518</v>
      </c>
      <c r="E876" t="s">
        <v>1522</v>
      </c>
      <c r="F876" s="25" t="s">
        <v>77</v>
      </c>
    </row>
    <row r="877" spans="2:6" x14ac:dyDescent="0.45">
      <c r="B877">
        <v>704</v>
      </c>
      <c r="C877">
        <v>98419</v>
      </c>
      <c r="D877" t="s">
        <v>1518</v>
      </c>
      <c r="E877" t="s">
        <v>1522</v>
      </c>
      <c r="F877" s="25" t="s">
        <v>77</v>
      </c>
    </row>
    <row r="878" spans="2:6" x14ac:dyDescent="0.45">
      <c r="B878">
        <v>764</v>
      </c>
      <c r="C878">
        <v>98419</v>
      </c>
      <c r="D878" t="s">
        <v>1518</v>
      </c>
      <c r="E878" t="s">
        <v>1522</v>
      </c>
      <c r="F878" s="25" t="s">
        <v>77</v>
      </c>
    </row>
    <row r="879" spans="2:6" x14ac:dyDescent="0.45">
      <c r="B879">
        <v>626</v>
      </c>
      <c r="C879">
        <v>98419</v>
      </c>
      <c r="D879" t="s">
        <v>1518</v>
      </c>
      <c r="E879" t="s">
        <v>1522</v>
      </c>
      <c r="F879" s="25" t="s">
        <v>77</v>
      </c>
    </row>
    <row r="880" spans="2:6" x14ac:dyDescent="0.45">
      <c r="B880">
        <v>31</v>
      </c>
      <c r="C880">
        <v>98417</v>
      </c>
      <c r="D880" t="s">
        <v>1518</v>
      </c>
      <c r="E880" t="s">
        <v>1523</v>
      </c>
      <c r="F880" s="25" t="s">
        <v>75</v>
      </c>
    </row>
    <row r="881" spans="2:6" x14ac:dyDescent="0.45">
      <c r="B881">
        <v>51</v>
      </c>
      <c r="C881">
        <v>98417</v>
      </c>
      <c r="D881" t="s">
        <v>1518</v>
      </c>
      <c r="E881" t="s">
        <v>1523</v>
      </c>
      <c r="F881" s="25" t="s">
        <v>75</v>
      </c>
    </row>
    <row r="882" spans="2:6" x14ac:dyDescent="0.45">
      <c r="B882">
        <v>268</v>
      </c>
      <c r="C882">
        <v>98417</v>
      </c>
      <c r="D882" t="s">
        <v>1518</v>
      </c>
      <c r="E882" t="s">
        <v>1523</v>
      </c>
      <c r="F882" s="25" t="s">
        <v>75</v>
      </c>
    </row>
    <row r="883" spans="2:6" x14ac:dyDescent="0.45">
      <c r="B883">
        <v>398</v>
      </c>
      <c r="C883">
        <v>98417</v>
      </c>
      <c r="D883" t="s">
        <v>1518</v>
      </c>
      <c r="E883" t="s">
        <v>1523</v>
      </c>
      <c r="F883" s="25" t="s">
        <v>75</v>
      </c>
    </row>
    <row r="884" spans="2:6" x14ac:dyDescent="0.45">
      <c r="B884">
        <v>417</v>
      </c>
      <c r="C884">
        <v>98417</v>
      </c>
      <c r="D884" t="s">
        <v>1518</v>
      </c>
      <c r="E884" t="s">
        <v>1523</v>
      </c>
      <c r="F884" s="25" t="s">
        <v>75</v>
      </c>
    </row>
    <row r="885" spans="2:6" x14ac:dyDescent="0.45">
      <c r="B885">
        <v>643</v>
      </c>
      <c r="C885">
        <v>98417</v>
      </c>
      <c r="D885" t="s">
        <v>1518</v>
      </c>
      <c r="E885" t="s">
        <v>1523</v>
      </c>
      <c r="F885" s="25" t="s">
        <v>75</v>
      </c>
    </row>
    <row r="886" spans="2:6" x14ac:dyDescent="0.45">
      <c r="B886">
        <v>762</v>
      </c>
      <c r="C886">
        <v>98417</v>
      </c>
      <c r="D886" t="s">
        <v>1518</v>
      </c>
      <c r="E886" t="s">
        <v>1523</v>
      </c>
      <c r="F886" s="25" t="s">
        <v>75</v>
      </c>
    </row>
    <row r="887" spans="2:6" x14ac:dyDescent="0.45">
      <c r="B887">
        <v>795</v>
      </c>
      <c r="C887">
        <v>98417</v>
      </c>
      <c r="D887" t="s">
        <v>1518</v>
      </c>
      <c r="E887" t="s">
        <v>1523</v>
      </c>
      <c r="F887" s="25" t="s">
        <v>75</v>
      </c>
    </row>
    <row r="888" spans="2:6" x14ac:dyDescent="0.45">
      <c r="B888">
        <v>860</v>
      </c>
      <c r="C888">
        <v>98417</v>
      </c>
      <c r="D888" t="s">
        <v>1518</v>
      </c>
      <c r="E888" t="s">
        <v>1523</v>
      </c>
      <c r="F888" s="25" t="s">
        <v>75</v>
      </c>
    </row>
    <row r="889" spans="2:6" x14ac:dyDescent="0.45">
      <c r="B889">
        <v>16</v>
      </c>
      <c r="C889">
        <v>98418</v>
      </c>
      <c r="D889" t="s">
        <v>1518</v>
      </c>
      <c r="E889" t="s">
        <v>1524</v>
      </c>
      <c r="F889" s="25" t="s">
        <v>76</v>
      </c>
    </row>
    <row r="890" spans="2:6" x14ac:dyDescent="0.45">
      <c r="B890">
        <v>36</v>
      </c>
      <c r="C890">
        <v>98418</v>
      </c>
      <c r="D890" t="s">
        <v>1518</v>
      </c>
      <c r="E890" t="s">
        <v>1524</v>
      </c>
      <c r="F890" s="25" t="s">
        <v>76</v>
      </c>
    </row>
    <row r="891" spans="2:6" x14ac:dyDescent="0.45">
      <c r="B891">
        <v>90</v>
      </c>
      <c r="C891">
        <v>98418</v>
      </c>
      <c r="D891" t="s">
        <v>1518</v>
      </c>
      <c r="E891" t="s">
        <v>1524</v>
      </c>
      <c r="F891" s="25" t="s">
        <v>76</v>
      </c>
    </row>
    <row r="892" spans="2:6" x14ac:dyDescent="0.45">
      <c r="B892">
        <v>184</v>
      </c>
      <c r="C892">
        <v>98418</v>
      </c>
      <c r="D892" t="s">
        <v>1518</v>
      </c>
      <c r="E892" t="s">
        <v>1524</v>
      </c>
      <c r="F892" s="25" t="s">
        <v>76</v>
      </c>
    </row>
    <row r="893" spans="2:6" x14ac:dyDescent="0.45">
      <c r="B893">
        <v>242</v>
      </c>
      <c r="C893">
        <v>98418</v>
      </c>
      <c r="D893" t="s">
        <v>1518</v>
      </c>
      <c r="E893" t="s">
        <v>1524</v>
      </c>
      <c r="F893" s="25" t="s">
        <v>76</v>
      </c>
    </row>
    <row r="894" spans="2:6" x14ac:dyDescent="0.45">
      <c r="B894">
        <v>258</v>
      </c>
      <c r="C894">
        <v>98418</v>
      </c>
      <c r="D894" t="s">
        <v>1518</v>
      </c>
      <c r="E894" t="s">
        <v>1524</v>
      </c>
      <c r="F894" s="25" t="s">
        <v>76</v>
      </c>
    </row>
    <row r="895" spans="2:6" x14ac:dyDescent="0.45">
      <c r="B895">
        <v>296</v>
      </c>
      <c r="C895">
        <v>98418</v>
      </c>
      <c r="D895" t="s">
        <v>1518</v>
      </c>
      <c r="E895" t="s">
        <v>1524</v>
      </c>
      <c r="F895" s="25" t="s">
        <v>76</v>
      </c>
    </row>
    <row r="896" spans="2:6" x14ac:dyDescent="0.45">
      <c r="B896">
        <v>316</v>
      </c>
      <c r="C896">
        <v>98418</v>
      </c>
      <c r="D896" t="s">
        <v>1518</v>
      </c>
      <c r="E896" t="s">
        <v>1524</v>
      </c>
      <c r="F896" s="25" t="s">
        <v>76</v>
      </c>
    </row>
    <row r="897" spans="2:6" x14ac:dyDescent="0.45">
      <c r="B897">
        <v>520</v>
      </c>
      <c r="C897">
        <v>98418</v>
      </c>
      <c r="D897" t="s">
        <v>1518</v>
      </c>
      <c r="E897" t="s">
        <v>1524</v>
      </c>
      <c r="F897" s="25" t="s">
        <v>76</v>
      </c>
    </row>
    <row r="898" spans="2:6" x14ac:dyDescent="0.45">
      <c r="B898">
        <v>540</v>
      </c>
      <c r="C898">
        <v>98418</v>
      </c>
      <c r="D898" t="s">
        <v>1518</v>
      </c>
      <c r="E898" t="s">
        <v>1524</v>
      </c>
      <c r="F898" s="25" t="s">
        <v>76</v>
      </c>
    </row>
    <row r="899" spans="2:6" x14ac:dyDescent="0.45">
      <c r="B899">
        <v>548</v>
      </c>
      <c r="C899">
        <v>98418</v>
      </c>
      <c r="D899" t="s">
        <v>1518</v>
      </c>
      <c r="E899" t="s">
        <v>1524</v>
      </c>
      <c r="F899" s="25" t="s">
        <v>76</v>
      </c>
    </row>
    <row r="900" spans="2:6" x14ac:dyDescent="0.45">
      <c r="B900">
        <v>554</v>
      </c>
      <c r="C900">
        <v>98418</v>
      </c>
      <c r="D900" t="s">
        <v>1518</v>
      </c>
      <c r="E900" t="s">
        <v>1524</v>
      </c>
      <c r="F900" s="25" t="s">
        <v>76</v>
      </c>
    </row>
    <row r="901" spans="2:6" x14ac:dyDescent="0.45">
      <c r="B901">
        <v>570</v>
      </c>
      <c r="C901">
        <v>98418</v>
      </c>
      <c r="D901" t="s">
        <v>1518</v>
      </c>
      <c r="E901" t="s">
        <v>1524</v>
      </c>
      <c r="F901" s="25" t="s">
        <v>76</v>
      </c>
    </row>
    <row r="902" spans="2:6" x14ac:dyDescent="0.45">
      <c r="B902">
        <v>580</v>
      </c>
      <c r="C902">
        <v>98418</v>
      </c>
      <c r="D902" t="s">
        <v>1518</v>
      </c>
      <c r="E902" t="s">
        <v>1524</v>
      </c>
      <c r="F902" s="25" t="s">
        <v>76</v>
      </c>
    </row>
    <row r="903" spans="2:6" x14ac:dyDescent="0.45">
      <c r="B903">
        <v>583</v>
      </c>
      <c r="C903">
        <v>98418</v>
      </c>
      <c r="D903" t="s">
        <v>1518</v>
      </c>
      <c r="E903" t="s">
        <v>1524</v>
      </c>
      <c r="F903" s="25" t="s">
        <v>76</v>
      </c>
    </row>
    <row r="904" spans="2:6" x14ac:dyDescent="0.45">
      <c r="B904">
        <v>584</v>
      </c>
      <c r="C904">
        <v>98418</v>
      </c>
      <c r="D904" t="s">
        <v>1518</v>
      </c>
      <c r="E904" t="s">
        <v>1524</v>
      </c>
      <c r="F904" s="25" t="s">
        <v>76</v>
      </c>
    </row>
    <row r="905" spans="2:6" x14ac:dyDescent="0.45">
      <c r="B905">
        <v>585</v>
      </c>
      <c r="C905">
        <v>98418</v>
      </c>
      <c r="D905" t="s">
        <v>1518</v>
      </c>
      <c r="E905" t="s">
        <v>1524</v>
      </c>
      <c r="F905" s="25" t="s">
        <v>76</v>
      </c>
    </row>
    <row r="906" spans="2:6" x14ac:dyDescent="0.45">
      <c r="B906">
        <v>598</v>
      </c>
      <c r="C906">
        <v>98418</v>
      </c>
      <c r="D906" t="s">
        <v>1518</v>
      </c>
      <c r="E906" t="s">
        <v>1524</v>
      </c>
      <c r="F906" s="25" t="s">
        <v>76</v>
      </c>
    </row>
    <row r="907" spans="2:6" x14ac:dyDescent="0.45">
      <c r="B907">
        <v>776</v>
      </c>
      <c r="C907">
        <v>98418</v>
      </c>
      <c r="D907" t="s">
        <v>1518</v>
      </c>
      <c r="E907" t="s">
        <v>1524</v>
      </c>
      <c r="F907" s="25" t="s">
        <v>76</v>
      </c>
    </row>
    <row r="908" spans="2:6" x14ac:dyDescent="0.45">
      <c r="B908">
        <v>798</v>
      </c>
      <c r="C908">
        <v>98418</v>
      </c>
      <c r="D908" t="s">
        <v>1518</v>
      </c>
      <c r="E908" t="s">
        <v>1524</v>
      </c>
      <c r="F908" s="25" t="s">
        <v>76</v>
      </c>
    </row>
    <row r="909" spans="2:6" x14ac:dyDescent="0.45">
      <c r="B909">
        <v>882</v>
      </c>
      <c r="C909">
        <v>98418</v>
      </c>
      <c r="D909" t="s">
        <v>1518</v>
      </c>
      <c r="E909" t="s">
        <v>1524</v>
      </c>
      <c r="F909" s="25" t="s">
        <v>76</v>
      </c>
    </row>
    <row r="910" spans="2:6" x14ac:dyDescent="0.45">
      <c r="B910">
        <v>4</v>
      </c>
      <c r="C910">
        <v>98411</v>
      </c>
      <c r="D910" t="s">
        <v>1518</v>
      </c>
      <c r="E910" t="s">
        <v>1525</v>
      </c>
      <c r="F910" s="25" t="s">
        <v>73</v>
      </c>
    </row>
    <row r="911" spans="2:6" x14ac:dyDescent="0.45">
      <c r="B911">
        <v>50</v>
      </c>
      <c r="C911">
        <v>98411</v>
      </c>
      <c r="D911" t="s">
        <v>1518</v>
      </c>
      <c r="E911" t="s">
        <v>1525</v>
      </c>
      <c r="F911" s="25" t="s">
        <v>73</v>
      </c>
    </row>
    <row r="912" spans="2:6" x14ac:dyDescent="0.45">
      <c r="B912">
        <v>90</v>
      </c>
      <c r="C912">
        <v>98411</v>
      </c>
      <c r="D912" t="s">
        <v>1518</v>
      </c>
      <c r="E912" t="s">
        <v>1525</v>
      </c>
      <c r="F912" s="25" t="s">
        <v>73</v>
      </c>
    </row>
    <row r="913" spans="2:6" x14ac:dyDescent="0.45">
      <c r="B913">
        <v>104</v>
      </c>
      <c r="C913">
        <v>98411</v>
      </c>
      <c r="D913" t="s">
        <v>1518</v>
      </c>
      <c r="E913" t="s">
        <v>1525</v>
      </c>
      <c r="F913" s="25" t="s">
        <v>73</v>
      </c>
    </row>
    <row r="914" spans="2:6" x14ac:dyDescent="0.45">
      <c r="B914">
        <v>116</v>
      </c>
      <c r="C914">
        <v>98411</v>
      </c>
      <c r="D914" t="s">
        <v>1518</v>
      </c>
      <c r="E914" t="s">
        <v>1525</v>
      </c>
      <c r="F914" s="25" t="s">
        <v>73</v>
      </c>
    </row>
    <row r="915" spans="2:6" x14ac:dyDescent="0.45">
      <c r="B915">
        <v>296</v>
      </c>
      <c r="C915">
        <v>98411</v>
      </c>
      <c r="D915" t="s">
        <v>1518</v>
      </c>
      <c r="E915" t="s">
        <v>1525</v>
      </c>
      <c r="F915" s="25" t="s">
        <v>73</v>
      </c>
    </row>
    <row r="916" spans="2:6" x14ac:dyDescent="0.45">
      <c r="B916">
        <v>418</v>
      </c>
      <c r="C916">
        <v>98411</v>
      </c>
      <c r="D916" t="s">
        <v>1518</v>
      </c>
      <c r="E916" t="s">
        <v>1525</v>
      </c>
      <c r="F916" s="25" t="s">
        <v>73</v>
      </c>
    </row>
    <row r="917" spans="2:6" x14ac:dyDescent="0.45">
      <c r="B917">
        <v>524</v>
      </c>
      <c r="C917">
        <v>98411</v>
      </c>
      <c r="D917" t="s">
        <v>1518</v>
      </c>
      <c r="E917" t="s">
        <v>1525</v>
      </c>
      <c r="F917" s="25" t="s">
        <v>73</v>
      </c>
    </row>
    <row r="918" spans="2:6" x14ac:dyDescent="0.45">
      <c r="B918">
        <v>798</v>
      </c>
      <c r="C918">
        <v>98411</v>
      </c>
      <c r="D918" t="s">
        <v>1518</v>
      </c>
      <c r="E918" t="s">
        <v>1525</v>
      </c>
      <c r="F918" s="25" t="s">
        <v>73</v>
      </c>
    </row>
    <row r="919" spans="2:6" x14ac:dyDescent="0.45">
      <c r="B919">
        <v>626</v>
      </c>
      <c r="C919">
        <v>98411</v>
      </c>
      <c r="D919" t="s">
        <v>1518</v>
      </c>
      <c r="E919" t="s">
        <v>1525</v>
      </c>
      <c r="F919" s="25" t="s">
        <v>73</v>
      </c>
    </row>
    <row r="920" spans="2:6" x14ac:dyDescent="0.45">
      <c r="B920">
        <v>4</v>
      </c>
      <c r="C920">
        <v>98412</v>
      </c>
      <c r="D920" t="s">
        <v>1518</v>
      </c>
      <c r="E920" t="s">
        <v>1526</v>
      </c>
      <c r="F920" s="25" t="s">
        <v>74</v>
      </c>
    </row>
    <row r="921" spans="2:6" x14ac:dyDescent="0.45">
      <c r="B921">
        <v>31</v>
      </c>
      <c r="C921">
        <v>98412</v>
      </c>
      <c r="D921" t="s">
        <v>1518</v>
      </c>
      <c r="E921" t="s">
        <v>1526</v>
      </c>
      <c r="F921" s="25" t="s">
        <v>74</v>
      </c>
    </row>
    <row r="922" spans="2:6" x14ac:dyDescent="0.45">
      <c r="B922">
        <v>51</v>
      </c>
      <c r="C922">
        <v>98412</v>
      </c>
      <c r="D922" t="s">
        <v>1518</v>
      </c>
      <c r="E922" t="s">
        <v>1526</v>
      </c>
      <c r="F922" s="25" t="s">
        <v>74</v>
      </c>
    </row>
    <row r="923" spans="2:6" x14ac:dyDescent="0.45">
      <c r="B923">
        <v>64</v>
      </c>
      <c r="C923">
        <v>98412</v>
      </c>
      <c r="D923" t="s">
        <v>1518</v>
      </c>
      <c r="E923" t="s">
        <v>1526</v>
      </c>
      <c r="F923" s="25" t="s">
        <v>74</v>
      </c>
    </row>
    <row r="924" spans="2:6" x14ac:dyDescent="0.45">
      <c r="B924">
        <v>398</v>
      </c>
      <c r="C924">
        <v>98412</v>
      </c>
      <c r="D924" t="s">
        <v>1518</v>
      </c>
      <c r="E924" t="s">
        <v>1526</v>
      </c>
      <c r="F924" s="25" t="s">
        <v>74</v>
      </c>
    </row>
    <row r="925" spans="2:6" x14ac:dyDescent="0.45">
      <c r="B925">
        <v>417</v>
      </c>
      <c r="C925">
        <v>98412</v>
      </c>
      <c r="D925" t="s">
        <v>1518</v>
      </c>
      <c r="E925" t="s">
        <v>1526</v>
      </c>
      <c r="F925" s="25" t="s">
        <v>74</v>
      </c>
    </row>
    <row r="926" spans="2:6" x14ac:dyDescent="0.45">
      <c r="B926">
        <v>418</v>
      </c>
      <c r="C926">
        <v>98412</v>
      </c>
      <c r="D926" t="s">
        <v>1518</v>
      </c>
      <c r="E926" t="s">
        <v>1526</v>
      </c>
      <c r="F926" s="25" t="s">
        <v>74</v>
      </c>
    </row>
    <row r="927" spans="2:6" x14ac:dyDescent="0.45">
      <c r="B927">
        <v>496</v>
      </c>
      <c r="C927">
        <v>98412</v>
      </c>
      <c r="D927" t="s">
        <v>1518</v>
      </c>
      <c r="E927" t="s">
        <v>1526</v>
      </c>
      <c r="F927" s="25" t="s">
        <v>74</v>
      </c>
    </row>
    <row r="928" spans="2:6" x14ac:dyDescent="0.45">
      <c r="B928">
        <v>524</v>
      </c>
      <c r="C928">
        <v>98412</v>
      </c>
      <c r="D928" t="s">
        <v>1518</v>
      </c>
      <c r="E928" t="s">
        <v>1526</v>
      </c>
      <c r="F928" s="25" t="s">
        <v>74</v>
      </c>
    </row>
    <row r="929" spans="2:6" x14ac:dyDescent="0.45">
      <c r="B929">
        <v>762</v>
      </c>
      <c r="C929">
        <v>98412</v>
      </c>
      <c r="D929" t="s">
        <v>1518</v>
      </c>
      <c r="E929" t="s">
        <v>1526</v>
      </c>
      <c r="F929" s="25" t="s">
        <v>74</v>
      </c>
    </row>
    <row r="930" spans="2:6" x14ac:dyDescent="0.45">
      <c r="B930">
        <v>795</v>
      </c>
      <c r="C930">
        <v>98412</v>
      </c>
      <c r="D930" t="s">
        <v>1518</v>
      </c>
      <c r="E930" t="s">
        <v>1526</v>
      </c>
      <c r="F930" s="25" t="s">
        <v>74</v>
      </c>
    </row>
    <row r="931" spans="2:6" x14ac:dyDescent="0.45">
      <c r="B931">
        <v>860</v>
      </c>
      <c r="C931">
        <v>98412</v>
      </c>
      <c r="D931" t="s">
        <v>1518</v>
      </c>
      <c r="E931" t="s">
        <v>1526</v>
      </c>
      <c r="F931" s="25" t="s">
        <v>74</v>
      </c>
    </row>
    <row r="932" spans="2:6" x14ac:dyDescent="0.45">
      <c r="B932">
        <v>4</v>
      </c>
      <c r="C932">
        <v>98434</v>
      </c>
      <c r="D932" t="s">
        <v>1518</v>
      </c>
      <c r="E932" t="s">
        <v>1527</v>
      </c>
      <c r="F932" s="25" t="s">
        <v>85</v>
      </c>
    </row>
    <row r="933" spans="2:6" x14ac:dyDescent="0.45">
      <c r="B933">
        <v>16</v>
      </c>
      <c r="C933">
        <v>98434</v>
      </c>
      <c r="D933" t="s">
        <v>1518</v>
      </c>
      <c r="E933" t="s">
        <v>1527</v>
      </c>
      <c r="F933" s="25" t="s">
        <v>85</v>
      </c>
    </row>
    <row r="934" spans="2:6" x14ac:dyDescent="0.45">
      <c r="B934">
        <v>31</v>
      </c>
      <c r="C934">
        <v>98434</v>
      </c>
      <c r="D934" t="s">
        <v>1518</v>
      </c>
      <c r="E934" t="s">
        <v>1527</v>
      </c>
      <c r="F934" s="25" t="s">
        <v>85</v>
      </c>
    </row>
    <row r="935" spans="2:6" x14ac:dyDescent="0.45">
      <c r="B935">
        <v>50</v>
      </c>
      <c r="C935">
        <v>98434</v>
      </c>
      <c r="D935" t="s">
        <v>1518</v>
      </c>
      <c r="E935" t="s">
        <v>1527</v>
      </c>
      <c r="F935" s="25" t="s">
        <v>85</v>
      </c>
    </row>
    <row r="936" spans="2:6" x14ac:dyDescent="0.45">
      <c r="B936">
        <v>51</v>
      </c>
      <c r="C936">
        <v>98434</v>
      </c>
      <c r="D936" t="s">
        <v>1518</v>
      </c>
      <c r="E936" t="s">
        <v>1527</v>
      </c>
      <c r="F936" s="25" t="s">
        <v>85</v>
      </c>
    </row>
    <row r="937" spans="2:6" x14ac:dyDescent="0.45">
      <c r="B937">
        <v>64</v>
      </c>
      <c r="C937">
        <v>98434</v>
      </c>
      <c r="D937" t="s">
        <v>1518</v>
      </c>
      <c r="E937" t="s">
        <v>1527</v>
      </c>
      <c r="F937" s="25" t="s">
        <v>85</v>
      </c>
    </row>
    <row r="938" spans="2:6" x14ac:dyDescent="0.45">
      <c r="B938">
        <v>90</v>
      </c>
      <c r="C938">
        <v>98434</v>
      </c>
      <c r="D938" t="s">
        <v>1518</v>
      </c>
      <c r="E938" t="s">
        <v>1527</v>
      </c>
      <c r="F938" s="25" t="s">
        <v>85</v>
      </c>
    </row>
    <row r="939" spans="2:6" x14ac:dyDescent="0.45">
      <c r="B939">
        <v>104</v>
      </c>
      <c r="C939">
        <v>98434</v>
      </c>
      <c r="D939" t="s">
        <v>1518</v>
      </c>
      <c r="E939" t="s">
        <v>1527</v>
      </c>
      <c r="F939" s="25" t="s">
        <v>85</v>
      </c>
    </row>
    <row r="940" spans="2:6" x14ac:dyDescent="0.45">
      <c r="B940">
        <v>116</v>
      </c>
      <c r="C940">
        <v>98434</v>
      </c>
      <c r="D940" t="s">
        <v>1518</v>
      </c>
      <c r="E940" t="s">
        <v>1527</v>
      </c>
      <c r="F940" s="25" t="s">
        <v>85</v>
      </c>
    </row>
    <row r="941" spans="2:6" x14ac:dyDescent="0.45">
      <c r="B941">
        <v>184</v>
      </c>
      <c r="C941">
        <v>98434</v>
      </c>
      <c r="D941" t="s">
        <v>1518</v>
      </c>
      <c r="E941" t="s">
        <v>1527</v>
      </c>
      <c r="F941" s="25" t="s">
        <v>85</v>
      </c>
    </row>
    <row r="942" spans="2:6" x14ac:dyDescent="0.45">
      <c r="B942">
        <v>242</v>
      </c>
      <c r="C942">
        <v>98434</v>
      </c>
      <c r="D942" t="s">
        <v>1518</v>
      </c>
      <c r="E942" t="s">
        <v>1527</v>
      </c>
      <c r="F942" s="25" t="s">
        <v>85</v>
      </c>
    </row>
    <row r="943" spans="2:6" x14ac:dyDescent="0.45">
      <c r="B943">
        <v>258</v>
      </c>
      <c r="C943">
        <v>98434</v>
      </c>
      <c r="D943" t="s">
        <v>1518</v>
      </c>
      <c r="E943" t="s">
        <v>1527</v>
      </c>
      <c r="F943" s="25" t="s">
        <v>85</v>
      </c>
    </row>
    <row r="944" spans="2:6" x14ac:dyDescent="0.45">
      <c r="B944">
        <v>296</v>
      </c>
      <c r="C944">
        <v>98434</v>
      </c>
      <c r="D944" t="s">
        <v>1518</v>
      </c>
      <c r="E944" t="s">
        <v>1527</v>
      </c>
      <c r="F944" s="25" t="s">
        <v>85</v>
      </c>
    </row>
    <row r="945" spans="2:6" x14ac:dyDescent="0.45">
      <c r="B945">
        <v>316</v>
      </c>
      <c r="C945">
        <v>98434</v>
      </c>
      <c r="D945" t="s">
        <v>1518</v>
      </c>
      <c r="E945" t="s">
        <v>1527</v>
      </c>
      <c r="F945" s="25" t="s">
        <v>85</v>
      </c>
    </row>
    <row r="946" spans="2:6" x14ac:dyDescent="0.45">
      <c r="B946">
        <v>398</v>
      </c>
      <c r="C946">
        <v>98434</v>
      </c>
      <c r="D946" t="s">
        <v>1518</v>
      </c>
      <c r="E946" t="s">
        <v>1527</v>
      </c>
      <c r="F946" s="25" t="s">
        <v>85</v>
      </c>
    </row>
    <row r="947" spans="2:6" x14ac:dyDescent="0.45">
      <c r="B947">
        <v>417</v>
      </c>
      <c r="C947">
        <v>98434</v>
      </c>
      <c r="D947" t="s">
        <v>1518</v>
      </c>
      <c r="E947" t="s">
        <v>1527</v>
      </c>
      <c r="F947" s="25" t="s">
        <v>85</v>
      </c>
    </row>
    <row r="948" spans="2:6" x14ac:dyDescent="0.45">
      <c r="B948">
        <v>418</v>
      </c>
      <c r="C948">
        <v>98434</v>
      </c>
      <c r="D948" t="s">
        <v>1518</v>
      </c>
      <c r="E948" t="s">
        <v>1527</v>
      </c>
      <c r="F948" s="25" t="s">
        <v>85</v>
      </c>
    </row>
    <row r="949" spans="2:6" x14ac:dyDescent="0.45">
      <c r="B949">
        <v>462</v>
      </c>
      <c r="C949">
        <v>98434</v>
      </c>
      <c r="D949" t="s">
        <v>1518</v>
      </c>
      <c r="E949" t="s">
        <v>1527</v>
      </c>
      <c r="F949" s="25" t="s">
        <v>85</v>
      </c>
    </row>
    <row r="950" spans="2:6" x14ac:dyDescent="0.45">
      <c r="B950">
        <v>496</v>
      </c>
      <c r="C950">
        <v>98434</v>
      </c>
      <c r="D950" t="s">
        <v>1518</v>
      </c>
      <c r="E950" t="s">
        <v>1527</v>
      </c>
      <c r="F950" s="25" t="s">
        <v>85</v>
      </c>
    </row>
    <row r="951" spans="2:6" x14ac:dyDescent="0.45">
      <c r="B951">
        <v>520</v>
      </c>
      <c r="C951">
        <v>98434</v>
      </c>
      <c r="D951" t="s">
        <v>1518</v>
      </c>
      <c r="E951" t="s">
        <v>1527</v>
      </c>
      <c r="F951" s="25" t="s">
        <v>85</v>
      </c>
    </row>
    <row r="952" spans="2:6" x14ac:dyDescent="0.45">
      <c r="B952">
        <v>524</v>
      </c>
      <c r="C952">
        <v>98434</v>
      </c>
      <c r="D952" t="s">
        <v>1518</v>
      </c>
      <c r="E952" t="s">
        <v>1527</v>
      </c>
      <c r="F952" s="25" t="s">
        <v>85</v>
      </c>
    </row>
    <row r="953" spans="2:6" x14ac:dyDescent="0.45">
      <c r="B953">
        <v>540</v>
      </c>
      <c r="C953">
        <v>98434</v>
      </c>
      <c r="D953" t="s">
        <v>1518</v>
      </c>
      <c r="E953" t="s">
        <v>1527</v>
      </c>
      <c r="F953" s="25" t="s">
        <v>85</v>
      </c>
    </row>
    <row r="954" spans="2:6" x14ac:dyDescent="0.45">
      <c r="B954">
        <v>548</v>
      </c>
      <c r="C954">
        <v>98434</v>
      </c>
      <c r="D954" t="s">
        <v>1518</v>
      </c>
      <c r="E954" t="s">
        <v>1527</v>
      </c>
      <c r="F954" s="25" t="s">
        <v>85</v>
      </c>
    </row>
    <row r="955" spans="2:6" x14ac:dyDescent="0.45">
      <c r="B955">
        <v>570</v>
      </c>
      <c r="C955">
        <v>98434</v>
      </c>
      <c r="D955" t="s">
        <v>1518</v>
      </c>
      <c r="E955" t="s">
        <v>1527</v>
      </c>
      <c r="F955" s="25" t="s">
        <v>85</v>
      </c>
    </row>
    <row r="956" spans="2:6" x14ac:dyDescent="0.45">
      <c r="B956">
        <v>580</v>
      </c>
      <c r="C956">
        <v>98434</v>
      </c>
      <c r="D956" t="s">
        <v>1518</v>
      </c>
      <c r="E956" t="s">
        <v>1527</v>
      </c>
      <c r="F956" s="25" t="s">
        <v>85</v>
      </c>
    </row>
    <row r="957" spans="2:6" x14ac:dyDescent="0.45">
      <c r="B957">
        <v>583</v>
      </c>
      <c r="C957">
        <v>98434</v>
      </c>
      <c r="D957" t="s">
        <v>1518</v>
      </c>
      <c r="E957" t="s">
        <v>1527</v>
      </c>
      <c r="F957" s="25" t="s">
        <v>85</v>
      </c>
    </row>
    <row r="958" spans="2:6" x14ac:dyDescent="0.45">
      <c r="B958">
        <v>584</v>
      </c>
      <c r="C958">
        <v>98434</v>
      </c>
      <c r="D958" t="s">
        <v>1518</v>
      </c>
      <c r="E958" t="s">
        <v>1527</v>
      </c>
      <c r="F958" s="25" t="s">
        <v>85</v>
      </c>
    </row>
    <row r="959" spans="2:6" x14ac:dyDescent="0.45">
      <c r="B959">
        <v>585</v>
      </c>
      <c r="C959">
        <v>98434</v>
      </c>
      <c r="D959" t="s">
        <v>1518</v>
      </c>
      <c r="E959" t="s">
        <v>1527</v>
      </c>
      <c r="F959" s="25" t="s">
        <v>85</v>
      </c>
    </row>
    <row r="960" spans="2:6" x14ac:dyDescent="0.45">
      <c r="B960">
        <v>598</v>
      </c>
      <c r="C960">
        <v>98434</v>
      </c>
      <c r="D960" t="s">
        <v>1518</v>
      </c>
      <c r="E960" t="s">
        <v>1527</v>
      </c>
      <c r="F960" s="25" t="s">
        <v>85</v>
      </c>
    </row>
    <row r="961" spans="2:6" x14ac:dyDescent="0.45">
      <c r="B961">
        <v>762</v>
      </c>
      <c r="C961">
        <v>98434</v>
      </c>
      <c r="D961" t="s">
        <v>1518</v>
      </c>
      <c r="E961" t="s">
        <v>1527</v>
      </c>
      <c r="F961" s="25" t="s">
        <v>85</v>
      </c>
    </row>
    <row r="962" spans="2:6" x14ac:dyDescent="0.45">
      <c r="B962">
        <v>776</v>
      </c>
      <c r="C962">
        <v>98434</v>
      </c>
      <c r="D962" t="s">
        <v>1518</v>
      </c>
      <c r="E962" t="s">
        <v>1527</v>
      </c>
      <c r="F962" s="25" t="s">
        <v>85</v>
      </c>
    </row>
    <row r="963" spans="2:6" x14ac:dyDescent="0.45">
      <c r="B963">
        <v>795</v>
      </c>
      <c r="C963">
        <v>98434</v>
      </c>
      <c r="D963" t="s">
        <v>1518</v>
      </c>
      <c r="E963" t="s">
        <v>1527</v>
      </c>
      <c r="F963" s="25" t="s">
        <v>85</v>
      </c>
    </row>
    <row r="964" spans="2:6" x14ac:dyDescent="0.45">
      <c r="B964">
        <v>798</v>
      </c>
      <c r="C964">
        <v>98434</v>
      </c>
      <c r="D964" t="s">
        <v>1518</v>
      </c>
      <c r="E964" t="s">
        <v>1527</v>
      </c>
      <c r="F964" s="25" t="s">
        <v>85</v>
      </c>
    </row>
    <row r="965" spans="2:6" x14ac:dyDescent="0.45">
      <c r="B965">
        <v>860</v>
      </c>
      <c r="C965">
        <v>98434</v>
      </c>
      <c r="D965" t="s">
        <v>1518</v>
      </c>
      <c r="E965" t="s">
        <v>1527</v>
      </c>
      <c r="F965" s="25" t="s">
        <v>85</v>
      </c>
    </row>
    <row r="966" spans="2:6" x14ac:dyDescent="0.45">
      <c r="B966">
        <v>882</v>
      </c>
      <c r="C966">
        <v>98434</v>
      </c>
      <c r="D966" t="s">
        <v>1518</v>
      </c>
      <c r="E966" t="s">
        <v>1527</v>
      </c>
      <c r="F966" s="25" t="s">
        <v>85</v>
      </c>
    </row>
    <row r="967" spans="2:6" x14ac:dyDescent="0.45">
      <c r="B967">
        <v>626</v>
      </c>
      <c r="C967">
        <v>98434</v>
      </c>
      <c r="D967" t="s">
        <v>1518</v>
      </c>
      <c r="E967" t="s">
        <v>1527</v>
      </c>
      <c r="F967" s="25" t="s">
        <v>85</v>
      </c>
    </row>
    <row r="968" spans="2:6" x14ac:dyDescent="0.45">
      <c r="B968">
        <v>96</v>
      </c>
      <c r="C968">
        <v>98406</v>
      </c>
      <c r="D968" t="s">
        <v>1518</v>
      </c>
      <c r="E968" t="s">
        <v>1528</v>
      </c>
      <c r="F968" s="25" t="s">
        <v>70</v>
      </c>
    </row>
    <row r="969" spans="2:6" x14ac:dyDescent="0.45">
      <c r="B969">
        <v>104</v>
      </c>
      <c r="C969">
        <v>98406</v>
      </c>
      <c r="D969" t="s">
        <v>1518</v>
      </c>
      <c r="E969" t="s">
        <v>1528</v>
      </c>
      <c r="F969" s="25" t="s">
        <v>70</v>
      </c>
    </row>
    <row r="970" spans="2:6" x14ac:dyDescent="0.45">
      <c r="B970">
        <v>116</v>
      </c>
      <c r="C970">
        <v>98406</v>
      </c>
      <c r="D970" t="s">
        <v>1518</v>
      </c>
      <c r="E970" t="s">
        <v>1528</v>
      </c>
      <c r="F970" s="25" t="s">
        <v>70</v>
      </c>
    </row>
    <row r="971" spans="2:6" x14ac:dyDescent="0.45">
      <c r="B971">
        <v>360</v>
      </c>
      <c r="C971">
        <v>98406</v>
      </c>
      <c r="D971" t="s">
        <v>1518</v>
      </c>
      <c r="E971" t="s">
        <v>1528</v>
      </c>
      <c r="F971" s="25" t="s">
        <v>70</v>
      </c>
    </row>
    <row r="972" spans="2:6" x14ac:dyDescent="0.45">
      <c r="B972">
        <v>418</v>
      </c>
      <c r="C972">
        <v>98406</v>
      </c>
      <c r="D972" t="s">
        <v>1518</v>
      </c>
      <c r="E972" t="s">
        <v>1528</v>
      </c>
      <c r="F972" s="25" t="s">
        <v>70</v>
      </c>
    </row>
    <row r="973" spans="2:6" x14ac:dyDescent="0.45">
      <c r="B973">
        <v>458</v>
      </c>
      <c r="C973">
        <v>98406</v>
      </c>
      <c r="D973" t="s">
        <v>1518</v>
      </c>
      <c r="E973" t="s">
        <v>1528</v>
      </c>
      <c r="F973" s="25" t="s">
        <v>70</v>
      </c>
    </row>
    <row r="974" spans="2:6" x14ac:dyDescent="0.45">
      <c r="B974">
        <v>608</v>
      </c>
      <c r="C974">
        <v>98406</v>
      </c>
      <c r="D974" t="s">
        <v>1518</v>
      </c>
      <c r="E974" t="s">
        <v>1528</v>
      </c>
      <c r="F974" s="25" t="s">
        <v>70</v>
      </c>
    </row>
    <row r="975" spans="2:6" x14ac:dyDescent="0.45">
      <c r="B975" s="25">
        <v>626</v>
      </c>
      <c r="C975" s="25">
        <v>98406</v>
      </c>
      <c r="D975" s="25" t="s">
        <v>1518</v>
      </c>
      <c r="E975" s="25" t="s">
        <v>1528</v>
      </c>
      <c r="F975" s="25" t="s">
        <v>70</v>
      </c>
    </row>
    <row r="976" spans="2:6" x14ac:dyDescent="0.45">
      <c r="B976">
        <v>702</v>
      </c>
      <c r="C976">
        <v>98406</v>
      </c>
      <c r="D976" t="s">
        <v>1518</v>
      </c>
      <c r="E976" t="s">
        <v>1528</v>
      </c>
      <c r="F976" s="25" t="s">
        <v>70</v>
      </c>
    </row>
    <row r="977" spans="2:6" x14ac:dyDescent="0.45">
      <c r="B977">
        <v>704</v>
      </c>
      <c r="C977">
        <v>98406</v>
      </c>
      <c r="D977" t="s">
        <v>1518</v>
      </c>
      <c r="E977" t="s">
        <v>1528</v>
      </c>
      <c r="F977" s="25" t="s">
        <v>70</v>
      </c>
    </row>
    <row r="978" spans="2:6" x14ac:dyDescent="0.45">
      <c r="B978">
        <v>764</v>
      </c>
      <c r="C978">
        <v>98406</v>
      </c>
      <c r="D978" t="s">
        <v>1518</v>
      </c>
      <c r="E978" t="s">
        <v>1528</v>
      </c>
      <c r="F978" s="25" t="s">
        <v>70</v>
      </c>
    </row>
    <row r="979" spans="2:6" x14ac:dyDescent="0.45">
      <c r="B979">
        <v>4</v>
      </c>
      <c r="C979">
        <v>98428</v>
      </c>
      <c r="D979" t="s">
        <v>1518</v>
      </c>
      <c r="E979" t="s">
        <v>1529</v>
      </c>
      <c r="F979" s="25" t="s">
        <v>84</v>
      </c>
    </row>
    <row r="980" spans="2:6" x14ac:dyDescent="0.45">
      <c r="B980">
        <v>50</v>
      </c>
      <c r="C980">
        <v>98428</v>
      </c>
      <c r="D980" t="s">
        <v>1518</v>
      </c>
      <c r="E980" t="s">
        <v>1529</v>
      </c>
      <c r="F980" s="25" t="s">
        <v>84</v>
      </c>
    </row>
    <row r="981" spans="2:6" x14ac:dyDescent="0.45">
      <c r="B981">
        <v>64</v>
      </c>
      <c r="C981">
        <v>98428</v>
      </c>
      <c r="D981" t="s">
        <v>1518</v>
      </c>
      <c r="E981" t="s">
        <v>1529</v>
      </c>
      <c r="F981" s="25" t="s">
        <v>84</v>
      </c>
    </row>
    <row r="982" spans="2:6" x14ac:dyDescent="0.45">
      <c r="B982">
        <v>144</v>
      </c>
      <c r="C982">
        <v>98428</v>
      </c>
      <c r="D982" t="s">
        <v>1518</v>
      </c>
      <c r="E982" t="s">
        <v>1529</v>
      </c>
      <c r="F982" s="25" t="s">
        <v>84</v>
      </c>
    </row>
    <row r="983" spans="2:6" x14ac:dyDescent="0.45">
      <c r="B983">
        <v>356</v>
      </c>
      <c r="C983">
        <v>98428</v>
      </c>
      <c r="D983" t="s">
        <v>1518</v>
      </c>
      <c r="E983" t="s">
        <v>1529</v>
      </c>
      <c r="F983" s="25" t="s">
        <v>84</v>
      </c>
    </row>
    <row r="984" spans="2:6" x14ac:dyDescent="0.45">
      <c r="B984">
        <v>462</v>
      </c>
      <c r="C984">
        <v>98428</v>
      </c>
      <c r="D984" t="s">
        <v>1518</v>
      </c>
      <c r="E984" t="s">
        <v>1529</v>
      </c>
      <c r="F984" s="25" t="s">
        <v>84</v>
      </c>
    </row>
    <row r="985" spans="2:6" x14ac:dyDescent="0.45">
      <c r="B985">
        <v>524</v>
      </c>
      <c r="C985">
        <v>98428</v>
      </c>
      <c r="D985" t="s">
        <v>1518</v>
      </c>
      <c r="E985" t="s">
        <v>1529</v>
      </c>
      <c r="F985" s="25" t="s">
        <v>84</v>
      </c>
    </row>
    <row r="986" spans="2:6" x14ac:dyDescent="0.45">
      <c r="B986">
        <v>586</v>
      </c>
      <c r="C986">
        <v>98428</v>
      </c>
      <c r="D986" t="s">
        <v>1518</v>
      </c>
      <c r="E986" t="s">
        <v>1529</v>
      </c>
      <c r="F986" s="25" t="s">
        <v>84</v>
      </c>
    </row>
    <row r="987" spans="2:6" x14ac:dyDescent="0.45">
      <c r="B987">
        <v>4</v>
      </c>
      <c r="C987">
        <v>98407</v>
      </c>
      <c r="D987" t="s">
        <v>1518</v>
      </c>
      <c r="E987" t="s">
        <v>1530</v>
      </c>
      <c r="F987" s="25" t="s">
        <v>71</v>
      </c>
    </row>
    <row r="988" spans="2:6" x14ac:dyDescent="0.45">
      <c r="B988">
        <v>31</v>
      </c>
      <c r="C988">
        <v>98407</v>
      </c>
      <c r="D988" t="s">
        <v>1518</v>
      </c>
      <c r="E988" t="s">
        <v>1530</v>
      </c>
      <c r="F988" s="25" t="s">
        <v>71</v>
      </c>
    </row>
    <row r="989" spans="2:6" x14ac:dyDescent="0.45">
      <c r="B989">
        <v>364</v>
      </c>
      <c r="C989">
        <v>98407</v>
      </c>
      <c r="D989" t="s">
        <v>1518</v>
      </c>
      <c r="E989" t="s">
        <v>1530</v>
      </c>
      <c r="F989" s="25" t="s">
        <v>71</v>
      </c>
    </row>
    <row r="990" spans="2:6" x14ac:dyDescent="0.45">
      <c r="B990">
        <v>398</v>
      </c>
      <c r="C990">
        <v>98407</v>
      </c>
      <c r="D990" t="s">
        <v>1518</v>
      </c>
      <c r="E990" t="s">
        <v>1530</v>
      </c>
      <c r="F990" s="25" t="s">
        <v>71</v>
      </c>
    </row>
    <row r="991" spans="2:6" x14ac:dyDescent="0.45">
      <c r="B991">
        <v>417</v>
      </c>
      <c r="C991">
        <v>98407</v>
      </c>
      <c r="D991" t="s">
        <v>1518</v>
      </c>
      <c r="E991" t="s">
        <v>1530</v>
      </c>
      <c r="F991" s="25" t="s">
        <v>71</v>
      </c>
    </row>
    <row r="992" spans="2:6" x14ac:dyDescent="0.45">
      <c r="B992">
        <v>586</v>
      </c>
      <c r="C992">
        <v>98407</v>
      </c>
      <c r="D992" t="s">
        <v>1518</v>
      </c>
      <c r="E992" t="s">
        <v>1530</v>
      </c>
      <c r="F992" s="25" t="s">
        <v>71</v>
      </c>
    </row>
    <row r="993" spans="2:6" x14ac:dyDescent="0.45">
      <c r="B993">
        <v>762</v>
      </c>
      <c r="C993">
        <v>98407</v>
      </c>
      <c r="D993" t="s">
        <v>1518</v>
      </c>
      <c r="E993" t="s">
        <v>1530</v>
      </c>
      <c r="F993" s="25" t="s">
        <v>71</v>
      </c>
    </row>
    <row r="994" spans="2:6" x14ac:dyDescent="0.45">
      <c r="B994">
        <v>792</v>
      </c>
      <c r="C994">
        <v>98407</v>
      </c>
      <c r="D994" t="s">
        <v>1518</v>
      </c>
      <c r="E994" t="s">
        <v>1530</v>
      </c>
      <c r="F994" s="25" t="s">
        <v>71</v>
      </c>
    </row>
    <row r="995" spans="2:6" x14ac:dyDescent="0.45">
      <c r="B995">
        <v>795</v>
      </c>
      <c r="C995">
        <v>98407</v>
      </c>
      <c r="D995" t="s">
        <v>1518</v>
      </c>
      <c r="E995" t="s">
        <v>1530</v>
      </c>
      <c r="F995" s="25" t="s">
        <v>71</v>
      </c>
    </row>
    <row r="996" spans="2:6" x14ac:dyDescent="0.45">
      <c r="B996">
        <v>860</v>
      </c>
      <c r="C996">
        <v>98407</v>
      </c>
      <c r="D996" t="s">
        <v>1518</v>
      </c>
      <c r="E996" t="s">
        <v>1530</v>
      </c>
      <c r="F996" s="25" t="s">
        <v>71</v>
      </c>
    </row>
    <row r="997" spans="2:6" x14ac:dyDescent="0.45">
      <c r="B997">
        <v>4</v>
      </c>
      <c r="C997">
        <v>98439</v>
      </c>
      <c r="D997" t="s">
        <v>1518</v>
      </c>
      <c r="E997" t="s">
        <v>1531</v>
      </c>
      <c r="F997" s="25" t="s">
        <v>90</v>
      </c>
    </row>
    <row r="998" spans="2:6" x14ac:dyDescent="0.45">
      <c r="B998">
        <v>408</v>
      </c>
      <c r="C998">
        <v>98439</v>
      </c>
      <c r="D998" t="s">
        <v>1518</v>
      </c>
      <c r="E998" t="s">
        <v>1531</v>
      </c>
      <c r="F998" s="25" t="s">
        <v>90</v>
      </c>
    </row>
    <row r="999" spans="2:6" x14ac:dyDescent="0.45">
      <c r="B999">
        <v>762</v>
      </c>
      <c r="C999">
        <v>98438</v>
      </c>
      <c r="D999" t="s">
        <v>1518</v>
      </c>
      <c r="E999" t="s">
        <v>1532</v>
      </c>
      <c r="F999" s="25" t="s">
        <v>89</v>
      </c>
    </row>
    <row r="1000" spans="2:6" x14ac:dyDescent="0.45">
      <c r="B1000">
        <v>524</v>
      </c>
      <c r="C1000">
        <v>98438</v>
      </c>
      <c r="D1000" t="s">
        <v>1518</v>
      </c>
      <c r="E1000" t="s">
        <v>1532</v>
      </c>
      <c r="F1000" s="25" t="s">
        <v>89</v>
      </c>
    </row>
    <row r="1001" spans="2:6" x14ac:dyDescent="0.45">
      <c r="B1001">
        <v>50</v>
      </c>
      <c r="C1001">
        <v>98438</v>
      </c>
      <c r="D1001" t="s">
        <v>1518</v>
      </c>
      <c r="E1001" t="s">
        <v>1532</v>
      </c>
      <c r="F1001" s="25" t="s">
        <v>89</v>
      </c>
    </row>
    <row r="1002" spans="2:6" x14ac:dyDescent="0.45">
      <c r="B1002">
        <v>64</v>
      </c>
      <c r="C1002">
        <v>98438</v>
      </c>
      <c r="D1002" t="s">
        <v>1518</v>
      </c>
      <c r="E1002" t="s">
        <v>1532</v>
      </c>
      <c r="F1002" s="25" t="s">
        <v>89</v>
      </c>
    </row>
    <row r="1003" spans="2:6" x14ac:dyDescent="0.45">
      <c r="B1003">
        <v>90</v>
      </c>
      <c r="C1003">
        <v>98438</v>
      </c>
      <c r="D1003" t="s">
        <v>1518</v>
      </c>
      <c r="E1003" t="s">
        <v>1532</v>
      </c>
      <c r="F1003" s="25" t="s">
        <v>89</v>
      </c>
    </row>
    <row r="1004" spans="2:6" x14ac:dyDescent="0.45">
      <c r="B1004">
        <v>104</v>
      </c>
      <c r="C1004">
        <v>98438</v>
      </c>
      <c r="D1004" t="s">
        <v>1518</v>
      </c>
      <c r="E1004" t="s">
        <v>1532</v>
      </c>
      <c r="F1004" s="25" t="s">
        <v>89</v>
      </c>
    </row>
    <row r="1005" spans="2:6" x14ac:dyDescent="0.45">
      <c r="B1005">
        <v>116</v>
      </c>
      <c r="C1005">
        <v>98438</v>
      </c>
      <c r="D1005" t="s">
        <v>1518</v>
      </c>
      <c r="E1005" t="s">
        <v>1532</v>
      </c>
      <c r="F1005" s="25" t="s">
        <v>89</v>
      </c>
    </row>
    <row r="1006" spans="2:6" x14ac:dyDescent="0.45">
      <c r="B1006">
        <v>296</v>
      </c>
      <c r="C1006">
        <v>98438</v>
      </c>
      <c r="D1006" t="s">
        <v>1518</v>
      </c>
      <c r="E1006" t="s">
        <v>1532</v>
      </c>
      <c r="F1006" s="25" t="s">
        <v>89</v>
      </c>
    </row>
    <row r="1007" spans="2:6" x14ac:dyDescent="0.45">
      <c r="B1007">
        <v>356</v>
      </c>
      <c r="C1007">
        <v>98438</v>
      </c>
      <c r="D1007" t="s">
        <v>1518</v>
      </c>
      <c r="E1007" t="s">
        <v>1532</v>
      </c>
      <c r="F1007" s="25" t="s">
        <v>89</v>
      </c>
    </row>
    <row r="1008" spans="2:6" x14ac:dyDescent="0.45">
      <c r="B1008">
        <v>417</v>
      </c>
      <c r="C1008">
        <v>98438</v>
      </c>
      <c r="D1008" t="s">
        <v>1518</v>
      </c>
      <c r="E1008" t="s">
        <v>1532</v>
      </c>
      <c r="F1008" s="25" t="s">
        <v>89</v>
      </c>
    </row>
    <row r="1009" spans="2:6" x14ac:dyDescent="0.45">
      <c r="B1009">
        <v>418</v>
      </c>
      <c r="C1009">
        <v>98438</v>
      </c>
      <c r="D1009" t="s">
        <v>1518</v>
      </c>
      <c r="E1009" t="s">
        <v>1532</v>
      </c>
      <c r="F1009" s="25" t="s">
        <v>89</v>
      </c>
    </row>
    <row r="1010" spans="2:6" x14ac:dyDescent="0.45">
      <c r="B1010">
        <v>496</v>
      </c>
      <c r="C1010">
        <v>98438</v>
      </c>
      <c r="D1010" t="s">
        <v>1518</v>
      </c>
      <c r="E1010" t="s">
        <v>1532</v>
      </c>
      <c r="F1010" s="25" t="s">
        <v>89</v>
      </c>
    </row>
    <row r="1011" spans="2:6" x14ac:dyDescent="0.45">
      <c r="B1011">
        <v>548</v>
      </c>
      <c r="C1011">
        <v>98438</v>
      </c>
      <c r="D1011" t="s">
        <v>1518</v>
      </c>
      <c r="E1011" t="s">
        <v>1532</v>
      </c>
      <c r="F1011" s="25" t="s">
        <v>89</v>
      </c>
    </row>
    <row r="1012" spans="2:6" x14ac:dyDescent="0.45">
      <c r="B1012">
        <v>583</v>
      </c>
      <c r="C1012">
        <v>98438</v>
      </c>
      <c r="D1012" t="s">
        <v>1518</v>
      </c>
      <c r="E1012" t="s">
        <v>1532</v>
      </c>
      <c r="F1012" s="25" t="s">
        <v>89</v>
      </c>
    </row>
    <row r="1013" spans="2:6" x14ac:dyDescent="0.45">
      <c r="B1013">
        <v>586</v>
      </c>
      <c r="C1013">
        <v>98438</v>
      </c>
      <c r="D1013" t="s">
        <v>1518</v>
      </c>
      <c r="E1013" t="s">
        <v>1532</v>
      </c>
      <c r="F1013" s="25" t="s">
        <v>89</v>
      </c>
    </row>
    <row r="1014" spans="2:6" x14ac:dyDescent="0.45">
      <c r="B1014">
        <v>598</v>
      </c>
      <c r="C1014">
        <v>98438</v>
      </c>
      <c r="D1014" t="s">
        <v>1518</v>
      </c>
      <c r="E1014" t="s">
        <v>1532</v>
      </c>
      <c r="F1014" s="25" t="s">
        <v>89</v>
      </c>
    </row>
    <row r="1015" spans="2:6" x14ac:dyDescent="0.45">
      <c r="B1015">
        <v>608</v>
      </c>
      <c r="C1015">
        <v>98438</v>
      </c>
      <c r="D1015" t="s">
        <v>1518</v>
      </c>
      <c r="E1015" t="s">
        <v>1532</v>
      </c>
      <c r="F1015" s="25" t="s">
        <v>89</v>
      </c>
    </row>
    <row r="1016" spans="2:6" x14ac:dyDescent="0.45">
      <c r="B1016">
        <v>704</v>
      </c>
      <c r="C1016">
        <v>98438</v>
      </c>
      <c r="D1016" t="s">
        <v>1518</v>
      </c>
      <c r="E1016" t="s">
        <v>1532</v>
      </c>
      <c r="F1016" s="25" t="s">
        <v>89</v>
      </c>
    </row>
    <row r="1017" spans="2:6" x14ac:dyDescent="0.45">
      <c r="B1017">
        <v>860</v>
      </c>
      <c r="C1017">
        <v>98438</v>
      </c>
      <c r="D1017" t="s">
        <v>1518</v>
      </c>
      <c r="E1017" t="s">
        <v>1532</v>
      </c>
      <c r="F1017" s="25" t="s">
        <v>89</v>
      </c>
    </row>
    <row r="1018" spans="2:6" x14ac:dyDescent="0.45">
      <c r="B1018">
        <v>626</v>
      </c>
      <c r="C1018">
        <v>98438</v>
      </c>
      <c r="D1018" t="s">
        <v>1518</v>
      </c>
      <c r="E1018" t="s">
        <v>1532</v>
      </c>
      <c r="F1018" s="25" t="s">
        <v>89</v>
      </c>
    </row>
    <row r="1019" spans="2:6" x14ac:dyDescent="0.45">
      <c r="B1019">
        <v>144</v>
      </c>
      <c r="C1019">
        <v>98438</v>
      </c>
      <c r="D1019" t="s">
        <v>1518</v>
      </c>
      <c r="E1019" t="s">
        <v>1532</v>
      </c>
      <c r="F1019" s="25" t="s">
        <v>89</v>
      </c>
    </row>
    <row r="1020" spans="2:6" x14ac:dyDescent="0.45">
      <c r="B1020">
        <v>364</v>
      </c>
      <c r="C1020">
        <v>98438</v>
      </c>
      <c r="D1020" t="s">
        <v>1518</v>
      </c>
      <c r="E1020" t="s">
        <v>1532</v>
      </c>
      <c r="F1020" s="25" t="s">
        <v>89</v>
      </c>
    </row>
    <row r="1021" spans="2:6" x14ac:dyDescent="0.45">
      <c r="B1021">
        <v>882</v>
      </c>
      <c r="C1021">
        <v>98438</v>
      </c>
      <c r="D1021" t="s">
        <v>1518</v>
      </c>
      <c r="E1021" t="s">
        <v>1532</v>
      </c>
      <c r="F1021" s="25" t="s">
        <v>89</v>
      </c>
    </row>
    <row r="1022" spans="2:6" x14ac:dyDescent="0.45">
      <c r="B1022">
        <v>31</v>
      </c>
      <c r="C1022">
        <v>98437</v>
      </c>
      <c r="D1022" t="s">
        <v>1518</v>
      </c>
      <c r="E1022" t="s">
        <v>1533</v>
      </c>
      <c r="F1022" s="25" t="s">
        <v>88</v>
      </c>
    </row>
    <row r="1023" spans="2:6" x14ac:dyDescent="0.45">
      <c r="B1023">
        <v>51</v>
      </c>
      <c r="C1023">
        <v>98437</v>
      </c>
      <c r="D1023" t="s">
        <v>1518</v>
      </c>
      <c r="E1023" t="s">
        <v>1533</v>
      </c>
      <c r="F1023" s="25" t="s">
        <v>88</v>
      </c>
    </row>
    <row r="1024" spans="2:6" x14ac:dyDescent="0.45">
      <c r="B1024">
        <v>156</v>
      </c>
      <c r="C1024">
        <v>98437</v>
      </c>
      <c r="D1024" t="s">
        <v>1518</v>
      </c>
      <c r="E1024" t="s">
        <v>1533</v>
      </c>
      <c r="F1024" s="25" t="s">
        <v>88</v>
      </c>
    </row>
    <row r="1025" spans="2:6" x14ac:dyDescent="0.45">
      <c r="B1025">
        <v>242</v>
      </c>
      <c r="C1025">
        <v>98437</v>
      </c>
      <c r="D1025" t="s">
        <v>1518</v>
      </c>
      <c r="E1025" t="s">
        <v>1533</v>
      </c>
      <c r="F1025" s="25" t="s">
        <v>88</v>
      </c>
    </row>
    <row r="1026" spans="2:6" x14ac:dyDescent="0.45">
      <c r="B1026">
        <v>268</v>
      </c>
      <c r="C1026">
        <v>98437</v>
      </c>
      <c r="D1026" t="s">
        <v>1518</v>
      </c>
      <c r="E1026" t="s">
        <v>1533</v>
      </c>
      <c r="F1026" s="25" t="s">
        <v>88</v>
      </c>
    </row>
    <row r="1027" spans="2:6" x14ac:dyDescent="0.45">
      <c r="B1027">
        <v>360</v>
      </c>
      <c r="C1027">
        <v>98437</v>
      </c>
      <c r="D1027" t="s">
        <v>1518</v>
      </c>
      <c r="E1027" t="s">
        <v>1533</v>
      </c>
      <c r="F1027" s="25" t="s">
        <v>88</v>
      </c>
    </row>
    <row r="1028" spans="2:6" x14ac:dyDescent="0.45">
      <c r="B1028">
        <v>398</v>
      </c>
      <c r="C1028">
        <v>98437</v>
      </c>
      <c r="D1028" t="s">
        <v>1518</v>
      </c>
      <c r="E1028" t="s">
        <v>1533</v>
      </c>
      <c r="F1028" s="25" t="s">
        <v>88</v>
      </c>
    </row>
    <row r="1029" spans="2:6" x14ac:dyDescent="0.45">
      <c r="B1029">
        <v>458</v>
      </c>
      <c r="C1029">
        <v>98437</v>
      </c>
      <c r="D1029" t="s">
        <v>1518</v>
      </c>
      <c r="E1029" t="s">
        <v>1533</v>
      </c>
      <c r="F1029" s="25" t="s">
        <v>88</v>
      </c>
    </row>
    <row r="1030" spans="2:6" x14ac:dyDescent="0.45">
      <c r="B1030">
        <v>462</v>
      </c>
      <c r="C1030">
        <v>98437</v>
      </c>
      <c r="D1030" t="s">
        <v>1518</v>
      </c>
      <c r="E1030" t="s">
        <v>1533</v>
      </c>
      <c r="F1030" s="25" t="s">
        <v>88</v>
      </c>
    </row>
    <row r="1031" spans="2:6" x14ac:dyDescent="0.45">
      <c r="B1031">
        <v>584</v>
      </c>
      <c r="C1031">
        <v>98437</v>
      </c>
      <c r="D1031" t="s">
        <v>1518</v>
      </c>
      <c r="E1031" t="s">
        <v>1533</v>
      </c>
      <c r="F1031" s="25" t="s">
        <v>88</v>
      </c>
    </row>
    <row r="1032" spans="2:6" x14ac:dyDescent="0.45">
      <c r="B1032">
        <v>585</v>
      </c>
      <c r="C1032">
        <v>98437</v>
      </c>
      <c r="D1032" t="s">
        <v>1518</v>
      </c>
      <c r="E1032" t="s">
        <v>1533</v>
      </c>
      <c r="F1032" s="25" t="s">
        <v>88</v>
      </c>
    </row>
    <row r="1033" spans="2:6" x14ac:dyDescent="0.45">
      <c r="B1033">
        <v>643</v>
      </c>
      <c r="C1033">
        <v>98437</v>
      </c>
      <c r="D1033" t="s">
        <v>1518</v>
      </c>
      <c r="E1033" t="s">
        <v>1533</v>
      </c>
      <c r="F1033" s="25" t="s">
        <v>88</v>
      </c>
    </row>
    <row r="1034" spans="2:6" x14ac:dyDescent="0.45">
      <c r="B1034">
        <v>764</v>
      </c>
      <c r="C1034">
        <v>98437</v>
      </c>
      <c r="D1034" t="s">
        <v>1518</v>
      </c>
      <c r="E1034" t="s">
        <v>1533</v>
      </c>
      <c r="F1034" s="25" t="s">
        <v>88</v>
      </c>
    </row>
    <row r="1035" spans="2:6" x14ac:dyDescent="0.45">
      <c r="B1035">
        <v>776</v>
      </c>
      <c r="C1035">
        <v>98437</v>
      </c>
      <c r="D1035" t="s">
        <v>1518</v>
      </c>
      <c r="E1035" t="s">
        <v>1533</v>
      </c>
      <c r="F1035" s="25" t="s">
        <v>88</v>
      </c>
    </row>
    <row r="1036" spans="2:6" x14ac:dyDescent="0.45">
      <c r="B1036">
        <v>792</v>
      </c>
      <c r="C1036">
        <v>98437</v>
      </c>
      <c r="D1036" t="s">
        <v>1518</v>
      </c>
      <c r="E1036" t="s">
        <v>1533</v>
      </c>
      <c r="F1036" s="25" t="s">
        <v>88</v>
      </c>
    </row>
    <row r="1037" spans="2:6" x14ac:dyDescent="0.45">
      <c r="B1037">
        <v>795</v>
      </c>
      <c r="C1037">
        <v>98437</v>
      </c>
      <c r="D1037" t="s">
        <v>1518</v>
      </c>
      <c r="E1037" t="s">
        <v>1533</v>
      </c>
      <c r="F1037" s="25" t="s">
        <v>88</v>
      </c>
    </row>
    <row r="1038" spans="2:6" x14ac:dyDescent="0.45">
      <c r="B1038">
        <v>798</v>
      </c>
      <c r="C1038">
        <v>98437</v>
      </c>
      <c r="D1038" t="s">
        <v>1518</v>
      </c>
      <c r="E1038" t="s">
        <v>1533</v>
      </c>
      <c r="F1038" s="25" t="s">
        <v>88</v>
      </c>
    </row>
    <row r="1039" spans="2:6" x14ac:dyDescent="0.45">
      <c r="B1039">
        <v>520</v>
      </c>
      <c r="C1039">
        <v>98436</v>
      </c>
      <c r="D1039" t="s">
        <v>1518</v>
      </c>
      <c r="E1039" t="s">
        <v>1534</v>
      </c>
      <c r="F1039" s="25" t="s">
        <v>87</v>
      </c>
    </row>
    <row r="1040" spans="2:6" x14ac:dyDescent="0.45">
      <c r="B1040">
        <v>16</v>
      </c>
      <c r="C1040">
        <v>98436</v>
      </c>
      <c r="D1040" t="s">
        <v>1518</v>
      </c>
      <c r="E1040" t="s">
        <v>1534</v>
      </c>
      <c r="F1040" s="25" t="s">
        <v>87</v>
      </c>
    </row>
    <row r="1041" spans="2:6" x14ac:dyDescent="0.45">
      <c r="B1041">
        <v>36</v>
      </c>
      <c r="C1041">
        <v>98436</v>
      </c>
      <c r="D1041" t="s">
        <v>1518</v>
      </c>
      <c r="E1041" t="s">
        <v>1534</v>
      </c>
      <c r="F1041" s="25" t="s">
        <v>87</v>
      </c>
    </row>
    <row r="1042" spans="2:6" x14ac:dyDescent="0.45">
      <c r="B1042">
        <v>96</v>
      </c>
      <c r="C1042">
        <v>98436</v>
      </c>
      <c r="D1042" t="s">
        <v>1518</v>
      </c>
      <c r="E1042" t="s">
        <v>1534</v>
      </c>
      <c r="F1042" s="25" t="s">
        <v>87</v>
      </c>
    </row>
    <row r="1043" spans="2:6" x14ac:dyDescent="0.45">
      <c r="B1043">
        <v>258</v>
      </c>
      <c r="C1043">
        <v>98436</v>
      </c>
      <c r="D1043" t="s">
        <v>1518</v>
      </c>
      <c r="E1043" t="s">
        <v>1534</v>
      </c>
      <c r="F1043" s="25" t="s">
        <v>87</v>
      </c>
    </row>
    <row r="1044" spans="2:6" x14ac:dyDescent="0.45">
      <c r="B1044">
        <v>316</v>
      </c>
      <c r="C1044">
        <v>98436</v>
      </c>
      <c r="D1044" t="s">
        <v>1518</v>
      </c>
      <c r="E1044" t="s">
        <v>1534</v>
      </c>
      <c r="F1044" s="25" t="s">
        <v>87</v>
      </c>
    </row>
    <row r="1045" spans="2:6" x14ac:dyDescent="0.45">
      <c r="B1045">
        <v>344</v>
      </c>
      <c r="C1045">
        <v>98436</v>
      </c>
      <c r="D1045" t="s">
        <v>1518</v>
      </c>
      <c r="E1045" t="s">
        <v>1534</v>
      </c>
      <c r="F1045" s="25" t="s">
        <v>87</v>
      </c>
    </row>
    <row r="1046" spans="2:6" x14ac:dyDescent="0.45">
      <c r="B1046">
        <v>392</v>
      </c>
      <c r="C1046">
        <v>98436</v>
      </c>
      <c r="D1046" t="s">
        <v>1518</v>
      </c>
      <c r="E1046" t="s">
        <v>1534</v>
      </c>
      <c r="F1046" s="25" t="s">
        <v>87</v>
      </c>
    </row>
    <row r="1047" spans="2:6" x14ac:dyDescent="0.45">
      <c r="B1047">
        <v>410</v>
      </c>
      <c r="C1047">
        <v>98436</v>
      </c>
      <c r="D1047" t="s">
        <v>1518</v>
      </c>
      <c r="E1047" t="s">
        <v>1534</v>
      </c>
      <c r="F1047" s="25" t="s">
        <v>87</v>
      </c>
    </row>
    <row r="1048" spans="2:6" x14ac:dyDescent="0.45">
      <c r="B1048">
        <v>446</v>
      </c>
      <c r="C1048">
        <v>98436</v>
      </c>
      <c r="D1048" t="s">
        <v>1518</v>
      </c>
      <c r="E1048" t="s">
        <v>1534</v>
      </c>
      <c r="F1048" s="25" t="s">
        <v>87</v>
      </c>
    </row>
    <row r="1049" spans="2:6" x14ac:dyDescent="0.45">
      <c r="B1049">
        <v>540</v>
      </c>
      <c r="C1049">
        <v>98436</v>
      </c>
      <c r="D1049" t="s">
        <v>1518</v>
      </c>
      <c r="E1049" t="s">
        <v>1534</v>
      </c>
      <c r="F1049" s="25" t="s">
        <v>87</v>
      </c>
    </row>
    <row r="1050" spans="2:6" x14ac:dyDescent="0.45">
      <c r="B1050">
        <v>554</v>
      </c>
      <c r="C1050">
        <v>98436</v>
      </c>
      <c r="D1050" t="s">
        <v>1518</v>
      </c>
      <c r="E1050" t="s">
        <v>1534</v>
      </c>
      <c r="F1050" s="25" t="s">
        <v>87</v>
      </c>
    </row>
    <row r="1051" spans="2:6" x14ac:dyDescent="0.45">
      <c r="B1051">
        <v>580</v>
      </c>
      <c r="C1051">
        <v>98436</v>
      </c>
      <c r="D1051" t="s">
        <v>1518</v>
      </c>
      <c r="E1051" t="s">
        <v>1534</v>
      </c>
      <c r="F1051" s="25" t="s">
        <v>87</v>
      </c>
    </row>
    <row r="1052" spans="2:6" x14ac:dyDescent="0.45">
      <c r="B1052">
        <v>702</v>
      </c>
      <c r="C1052">
        <v>98436</v>
      </c>
      <c r="D1052" t="s">
        <v>1518</v>
      </c>
      <c r="E1052" t="s">
        <v>1534</v>
      </c>
      <c r="F1052" s="25" t="s">
        <v>87</v>
      </c>
    </row>
    <row r="1053" spans="2:6" x14ac:dyDescent="0.45">
      <c r="B1053">
        <v>12</v>
      </c>
      <c r="C1053">
        <v>98405</v>
      </c>
      <c r="D1053" t="s">
        <v>1518</v>
      </c>
      <c r="E1053" t="s">
        <v>1535</v>
      </c>
      <c r="F1053" s="25" t="s">
        <v>69</v>
      </c>
    </row>
    <row r="1054" spans="2:6" x14ac:dyDescent="0.45">
      <c r="B1054">
        <v>24</v>
      </c>
      <c r="C1054">
        <v>98405</v>
      </c>
      <c r="D1054" t="s">
        <v>1518</v>
      </c>
      <c r="E1054" t="s">
        <v>1535</v>
      </c>
      <c r="F1054" s="25" t="s">
        <v>69</v>
      </c>
    </row>
    <row r="1055" spans="2:6" x14ac:dyDescent="0.45">
      <c r="B1055">
        <v>72</v>
      </c>
      <c r="C1055">
        <v>98405</v>
      </c>
      <c r="D1055" t="s">
        <v>1518</v>
      </c>
      <c r="E1055" t="s">
        <v>1535</v>
      </c>
      <c r="F1055" s="25" t="s">
        <v>69</v>
      </c>
    </row>
    <row r="1056" spans="2:6" x14ac:dyDescent="0.45">
      <c r="B1056">
        <v>108</v>
      </c>
      <c r="C1056">
        <v>98405</v>
      </c>
      <c r="D1056" t="s">
        <v>1518</v>
      </c>
      <c r="E1056" t="s">
        <v>1535</v>
      </c>
      <c r="F1056" s="25" t="s">
        <v>69</v>
      </c>
    </row>
    <row r="1057" spans="2:6" x14ac:dyDescent="0.45">
      <c r="B1057">
        <v>120</v>
      </c>
      <c r="C1057">
        <v>98405</v>
      </c>
      <c r="D1057" t="s">
        <v>1518</v>
      </c>
      <c r="E1057" t="s">
        <v>1535</v>
      </c>
      <c r="F1057" s="25" t="s">
        <v>69</v>
      </c>
    </row>
    <row r="1058" spans="2:6" x14ac:dyDescent="0.45">
      <c r="B1058">
        <v>132</v>
      </c>
      <c r="C1058">
        <v>98405</v>
      </c>
      <c r="D1058" t="s">
        <v>1518</v>
      </c>
      <c r="E1058" t="s">
        <v>1535</v>
      </c>
      <c r="F1058" s="25" t="s">
        <v>69</v>
      </c>
    </row>
    <row r="1059" spans="2:6" x14ac:dyDescent="0.45">
      <c r="B1059">
        <v>140</v>
      </c>
      <c r="C1059">
        <v>98405</v>
      </c>
      <c r="D1059" t="s">
        <v>1518</v>
      </c>
      <c r="E1059" t="s">
        <v>1535</v>
      </c>
      <c r="F1059" s="25" t="s">
        <v>69</v>
      </c>
    </row>
    <row r="1060" spans="2:6" x14ac:dyDescent="0.45">
      <c r="B1060">
        <v>148</v>
      </c>
      <c r="C1060">
        <v>98405</v>
      </c>
      <c r="D1060" t="s">
        <v>1518</v>
      </c>
      <c r="E1060" t="s">
        <v>1535</v>
      </c>
      <c r="F1060" s="25" t="s">
        <v>69</v>
      </c>
    </row>
    <row r="1061" spans="2:6" x14ac:dyDescent="0.45">
      <c r="B1061">
        <v>174</v>
      </c>
      <c r="C1061">
        <v>98405</v>
      </c>
      <c r="D1061" t="s">
        <v>1518</v>
      </c>
      <c r="E1061" t="s">
        <v>1535</v>
      </c>
      <c r="F1061" s="25" t="s">
        <v>69</v>
      </c>
    </row>
    <row r="1062" spans="2:6" x14ac:dyDescent="0.45">
      <c r="B1062">
        <v>178</v>
      </c>
      <c r="C1062">
        <v>98405</v>
      </c>
      <c r="D1062" t="s">
        <v>1518</v>
      </c>
      <c r="E1062" t="s">
        <v>1535</v>
      </c>
      <c r="F1062" s="25" t="s">
        <v>69</v>
      </c>
    </row>
    <row r="1063" spans="2:6" x14ac:dyDescent="0.45">
      <c r="B1063">
        <v>180</v>
      </c>
      <c r="C1063">
        <v>98405</v>
      </c>
      <c r="D1063" t="s">
        <v>1518</v>
      </c>
      <c r="E1063" t="s">
        <v>1535</v>
      </c>
      <c r="F1063" s="25" t="s">
        <v>69</v>
      </c>
    </row>
    <row r="1064" spans="2:6" x14ac:dyDescent="0.45">
      <c r="B1064">
        <v>204</v>
      </c>
      <c r="C1064">
        <v>98405</v>
      </c>
      <c r="D1064" t="s">
        <v>1518</v>
      </c>
      <c r="E1064" t="s">
        <v>1535</v>
      </c>
      <c r="F1064" s="25" t="s">
        <v>69</v>
      </c>
    </row>
    <row r="1065" spans="2:6" x14ac:dyDescent="0.45">
      <c r="B1065">
        <v>226</v>
      </c>
      <c r="C1065">
        <v>98405</v>
      </c>
      <c r="D1065" t="s">
        <v>1518</v>
      </c>
      <c r="E1065" t="s">
        <v>1535</v>
      </c>
      <c r="F1065" s="25" t="s">
        <v>69</v>
      </c>
    </row>
    <row r="1066" spans="2:6" x14ac:dyDescent="0.45">
      <c r="B1066">
        <v>231</v>
      </c>
      <c r="C1066">
        <v>98405</v>
      </c>
      <c r="D1066" t="s">
        <v>1518</v>
      </c>
      <c r="E1066" t="s">
        <v>1535</v>
      </c>
      <c r="F1066" s="25" t="s">
        <v>69</v>
      </c>
    </row>
    <row r="1067" spans="2:6" x14ac:dyDescent="0.45">
      <c r="B1067">
        <v>232</v>
      </c>
      <c r="C1067">
        <v>98405</v>
      </c>
      <c r="D1067" t="s">
        <v>1518</v>
      </c>
      <c r="E1067" t="s">
        <v>1535</v>
      </c>
      <c r="F1067" s="25" t="s">
        <v>69</v>
      </c>
    </row>
    <row r="1068" spans="2:6" x14ac:dyDescent="0.45">
      <c r="B1068">
        <v>262</v>
      </c>
      <c r="C1068">
        <v>98405</v>
      </c>
      <c r="D1068" t="s">
        <v>1518</v>
      </c>
      <c r="E1068" t="s">
        <v>1535</v>
      </c>
      <c r="F1068" s="25" t="s">
        <v>69</v>
      </c>
    </row>
    <row r="1069" spans="2:6" x14ac:dyDescent="0.45">
      <c r="B1069">
        <v>266</v>
      </c>
      <c r="C1069">
        <v>98405</v>
      </c>
      <c r="D1069" t="s">
        <v>1518</v>
      </c>
      <c r="E1069" t="s">
        <v>1535</v>
      </c>
      <c r="F1069" s="25" t="s">
        <v>69</v>
      </c>
    </row>
    <row r="1070" spans="2:6" x14ac:dyDescent="0.45">
      <c r="B1070">
        <v>270</v>
      </c>
      <c r="C1070">
        <v>98405</v>
      </c>
      <c r="D1070" t="s">
        <v>1518</v>
      </c>
      <c r="E1070" t="s">
        <v>1535</v>
      </c>
      <c r="F1070" s="25" t="s">
        <v>69</v>
      </c>
    </row>
    <row r="1071" spans="2:6" x14ac:dyDescent="0.45">
      <c r="B1071">
        <v>288</v>
      </c>
      <c r="C1071">
        <v>98405</v>
      </c>
      <c r="D1071" t="s">
        <v>1518</v>
      </c>
      <c r="E1071" t="s">
        <v>1535</v>
      </c>
      <c r="F1071" s="25" t="s">
        <v>69</v>
      </c>
    </row>
    <row r="1072" spans="2:6" x14ac:dyDescent="0.45">
      <c r="B1072">
        <v>324</v>
      </c>
      <c r="C1072">
        <v>98405</v>
      </c>
      <c r="D1072" t="s">
        <v>1518</v>
      </c>
      <c r="E1072" t="s">
        <v>1535</v>
      </c>
      <c r="F1072" s="25" t="s">
        <v>69</v>
      </c>
    </row>
    <row r="1073" spans="2:6" x14ac:dyDescent="0.45">
      <c r="B1073">
        <v>384</v>
      </c>
      <c r="C1073">
        <v>98405</v>
      </c>
      <c r="D1073" t="s">
        <v>1518</v>
      </c>
      <c r="E1073" t="s">
        <v>1535</v>
      </c>
      <c r="F1073" s="25" t="s">
        <v>69</v>
      </c>
    </row>
    <row r="1074" spans="2:6" x14ac:dyDescent="0.45">
      <c r="B1074">
        <v>404</v>
      </c>
      <c r="C1074">
        <v>98405</v>
      </c>
      <c r="D1074" t="s">
        <v>1518</v>
      </c>
      <c r="E1074" t="s">
        <v>1535</v>
      </c>
      <c r="F1074" s="25" t="s">
        <v>69</v>
      </c>
    </row>
    <row r="1075" spans="2:6" x14ac:dyDescent="0.45">
      <c r="B1075">
        <v>426</v>
      </c>
      <c r="C1075">
        <v>98405</v>
      </c>
      <c r="D1075" t="s">
        <v>1518</v>
      </c>
      <c r="E1075" t="s">
        <v>1535</v>
      </c>
      <c r="F1075" s="25" t="s">
        <v>69</v>
      </c>
    </row>
    <row r="1076" spans="2:6" x14ac:dyDescent="0.45">
      <c r="B1076">
        <v>430</v>
      </c>
      <c r="C1076">
        <v>98405</v>
      </c>
      <c r="D1076" t="s">
        <v>1518</v>
      </c>
      <c r="E1076" t="s">
        <v>1535</v>
      </c>
      <c r="F1076" s="25" t="s">
        <v>69</v>
      </c>
    </row>
    <row r="1077" spans="2:6" x14ac:dyDescent="0.45">
      <c r="B1077">
        <v>434</v>
      </c>
      <c r="C1077">
        <v>98405</v>
      </c>
      <c r="D1077" t="s">
        <v>1518</v>
      </c>
      <c r="E1077" t="s">
        <v>1535</v>
      </c>
      <c r="F1077" s="25" t="s">
        <v>69</v>
      </c>
    </row>
    <row r="1078" spans="2:6" x14ac:dyDescent="0.45">
      <c r="B1078">
        <v>450</v>
      </c>
      <c r="C1078">
        <v>98405</v>
      </c>
      <c r="D1078" t="s">
        <v>1518</v>
      </c>
      <c r="E1078" t="s">
        <v>1535</v>
      </c>
      <c r="F1078" s="25" t="s">
        <v>69</v>
      </c>
    </row>
    <row r="1079" spans="2:6" x14ac:dyDescent="0.45">
      <c r="B1079">
        <v>454</v>
      </c>
      <c r="C1079">
        <v>98405</v>
      </c>
      <c r="D1079" t="s">
        <v>1518</v>
      </c>
      <c r="E1079" t="s">
        <v>1535</v>
      </c>
      <c r="F1079" s="25" t="s">
        <v>69</v>
      </c>
    </row>
    <row r="1080" spans="2:6" x14ac:dyDescent="0.45">
      <c r="B1080">
        <v>466</v>
      </c>
      <c r="C1080">
        <v>98405</v>
      </c>
      <c r="D1080" t="s">
        <v>1518</v>
      </c>
      <c r="E1080" t="s">
        <v>1535</v>
      </c>
      <c r="F1080" s="25" t="s">
        <v>69</v>
      </c>
    </row>
    <row r="1081" spans="2:6" x14ac:dyDescent="0.45">
      <c r="B1081">
        <v>478</v>
      </c>
      <c r="C1081">
        <v>98405</v>
      </c>
      <c r="D1081" t="s">
        <v>1518</v>
      </c>
      <c r="E1081" t="s">
        <v>1535</v>
      </c>
      <c r="F1081" s="25" t="s">
        <v>69</v>
      </c>
    </row>
    <row r="1082" spans="2:6" x14ac:dyDescent="0.45">
      <c r="B1082">
        <v>480</v>
      </c>
      <c r="C1082">
        <v>98405</v>
      </c>
      <c r="D1082" t="s">
        <v>1518</v>
      </c>
      <c r="E1082" t="s">
        <v>1535</v>
      </c>
      <c r="F1082" s="25" t="s">
        <v>69</v>
      </c>
    </row>
    <row r="1083" spans="2:6" x14ac:dyDescent="0.45">
      <c r="B1083">
        <v>504</v>
      </c>
      <c r="C1083">
        <v>98405</v>
      </c>
      <c r="D1083" t="s">
        <v>1518</v>
      </c>
      <c r="E1083" t="s">
        <v>1535</v>
      </c>
      <c r="F1083" s="25" t="s">
        <v>69</v>
      </c>
    </row>
    <row r="1084" spans="2:6" x14ac:dyDescent="0.45">
      <c r="B1084">
        <v>508</v>
      </c>
      <c r="C1084">
        <v>98405</v>
      </c>
      <c r="D1084" t="s">
        <v>1518</v>
      </c>
      <c r="E1084" t="s">
        <v>1535</v>
      </c>
      <c r="F1084" s="25" t="s">
        <v>69</v>
      </c>
    </row>
    <row r="1085" spans="2:6" x14ac:dyDescent="0.45">
      <c r="B1085">
        <v>516</v>
      </c>
      <c r="C1085">
        <v>98405</v>
      </c>
      <c r="D1085" t="s">
        <v>1518</v>
      </c>
      <c r="E1085" t="s">
        <v>1535</v>
      </c>
      <c r="F1085" s="25" t="s">
        <v>69</v>
      </c>
    </row>
    <row r="1086" spans="2:6" x14ac:dyDescent="0.45">
      <c r="B1086">
        <v>562</v>
      </c>
      <c r="C1086">
        <v>98405</v>
      </c>
      <c r="D1086" t="s">
        <v>1518</v>
      </c>
      <c r="E1086" t="s">
        <v>1535</v>
      </c>
      <c r="F1086" s="25" t="s">
        <v>69</v>
      </c>
    </row>
    <row r="1087" spans="2:6" x14ac:dyDescent="0.45">
      <c r="B1087">
        <v>566</v>
      </c>
      <c r="C1087">
        <v>98405</v>
      </c>
      <c r="D1087" t="s">
        <v>1518</v>
      </c>
      <c r="E1087" t="s">
        <v>1535</v>
      </c>
      <c r="F1087" s="25" t="s">
        <v>69</v>
      </c>
    </row>
    <row r="1088" spans="2:6" x14ac:dyDescent="0.45">
      <c r="B1088">
        <v>624</v>
      </c>
      <c r="C1088">
        <v>98405</v>
      </c>
      <c r="D1088" t="s">
        <v>1518</v>
      </c>
      <c r="E1088" t="s">
        <v>1535</v>
      </c>
      <c r="F1088" s="25" t="s">
        <v>69</v>
      </c>
    </row>
    <row r="1089" spans="2:6" x14ac:dyDescent="0.45">
      <c r="B1089">
        <v>638</v>
      </c>
      <c r="C1089">
        <v>98405</v>
      </c>
      <c r="D1089" t="s">
        <v>1518</v>
      </c>
      <c r="E1089" t="s">
        <v>1535</v>
      </c>
      <c r="F1089" s="25" t="s">
        <v>69</v>
      </c>
    </row>
    <row r="1090" spans="2:6" x14ac:dyDescent="0.45">
      <c r="B1090">
        <v>646</v>
      </c>
      <c r="C1090">
        <v>98405</v>
      </c>
      <c r="D1090" t="s">
        <v>1518</v>
      </c>
      <c r="E1090" t="s">
        <v>1535</v>
      </c>
      <c r="F1090" s="25" t="s">
        <v>69</v>
      </c>
    </row>
    <row r="1091" spans="2:6" x14ac:dyDescent="0.45">
      <c r="B1091">
        <v>654</v>
      </c>
      <c r="C1091">
        <v>98405</v>
      </c>
      <c r="D1091" t="s">
        <v>1518</v>
      </c>
      <c r="E1091" t="s">
        <v>1535</v>
      </c>
      <c r="F1091" s="25" t="s">
        <v>69</v>
      </c>
    </row>
    <row r="1092" spans="2:6" x14ac:dyDescent="0.45">
      <c r="B1092">
        <v>678</v>
      </c>
      <c r="C1092">
        <v>98405</v>
      </c>
      <c r="D1092" t="s">
        <v>1518</v>
      </c>
      <c r="E1092" t="s">
        <v>1535</v>
      </c>
      <c r="F1092" s="25" t="s">
        <v>69</v>
      </c>
    </row>
    <row r="1093" spans="2:6" x14ac:dyDescent="0.45">
      <c r="B1093">
        <v>686</v>
      </c>
      <c r="C1093">
        <v>98405</v>
      </c>
      <c r="D1093" t="s">
        <v>1518</v>
      </c>
      <c r="E1093" t="s">
        <v>1535</v>
      </c>
      <c r="F1093" s="25" t="s">
        <v>69</v>
      </c>
    </row>
    <row r="1094" spans="2:6" x14ac:dyDescent="0.45">
      <c r="B1094">
        <v>690</v>
      </c>
      <c r="C1094">
        <v>98405</v>
      </c>
      <c r="D1094" t="s">
        <v>1518</v>
      </c>
      <c r="E1094" t="s">
        <v>1535</v>
      </c>
      <c r="F1094" s="25" t="s">
        <v>69</v>
      </c>
    </row>
    <row r="1095" spans="2:6" x14ac:dyDescent="0.45">
      <c r="B1095">
        <v>694</v>
      </c>
      <c r="C1095">
        <v>98405</v>
      </c>
      <c r="D1095" t="s">
        <v>1518</v>
      </c>
      <c r="E1095" t="s">
        <v>1535</v>
      </c>
      <c r="F1095" s="25" t="s">
        <v>69</v>
      </c>
    </row>
    <row r="1096" spans="2:6" x14ac:dyDescent="0.45">
      <c r="B1096">
        <v>706</v>
      </c>
      <c r="C1096">
        <v>98405</v>
      </c>
      <c r="D1096" t="s">
        <v>1518</v>
      </c>
      <c r="E1096" t="s">
        <v>1535</v>
      </c>
      <c r="F1096" s="25" t="s">
        <v>69</v>
      </c>
    </row>
    <row r="1097" spans="2:6" x14ac:dyDescent="0.45">
      <c r="B1097">
        <v>710</v>
      </c>
      <c r="C1097">
        <v>98405</v>
      </c>
      <c r="D1097" t="s">
        <v>1518</v>
      </c>
      <c r="E1097" t="s">
        <v>1535</v>
      </c>
      <c r="F1097" s="25" t="s">
        <v>69</v>
      </c>
    </row>
    <row r="1098" spans="2:6" x14ac:dyDescent="0.45">
      <c r="B1098">
        <v>716</v>
      </c>
      <c r="C1098">
        <v>98405</v>
      </c>
      <c r="D1098" t="s">
        <v>1518</v>
      </c>
      <c r="E1098" t="s">
        <v>1535</v>
      </c>
      <c r="F1098" s="25" t="s">
        <v>69</v>
      </c>
    </row>
    <row r="1099" spans="2:6" x14ac:dyDescent="0.45">
      <c r="B1099">
        <v>732</v>
      </c>
      <c r="C1099">
        <v>98405</v>
      </c>
      <c r="D1099" t="s">
        <v>1518</v>
      </c>
      <c r="E1099" t="s">
        <v>1535</v>
      </c>
      <c r="F1099" s="25" t="s">
        <v>69</v>
      </c>
    </row>
    <row r="1100" spans="2:6" x14ac:dyDescent="0.45">
      <c r="B1100">
        <v>729</v>
      </c>
      <c r="C1100">
        <v>98405</v>
      </c>
      <c r="D1100" t="s">
        <v>1518</v>
      </c>
      <c r="E1100" t="s">
        <v>1535</v>
      </c>
      <c r="F1100" s="25" t="s">
        <v>69</v>
      </c>
    </row>
    <row r="1101" spans="2:6" x14ac:dyDescent="0.45">
      <c r="B1101">
        <v>748</v>
      </c>
      <c r="C1101">
        <v>98405</v>
      </c>
      <c r="D1101" t="s">
        <v>1518</v>
      </c>
      <c r="E1101" t="s">
        <v>1535</v>
      </c>
      <c r="F1101" s="25" t="s">
        <v>69</v>
      </c>
    </row>
    <row r="1102" spans="2:6" x14ac:dyDescent="0.45">
      <c r="B1102">
        <v>768</v>
      </c>
      <c r="C1102">
        <v>98405</v>
      </c>
      <c r="D1102" t="s">
        <v>1518</v>
      </c>
      <c r="E1102" t="s">
        <v>1535</v>
      </c>
      <c r="F1102" s="25" t="s">
        <v>69</v>
      </c>
    </row>
    <row r="1103" spans="2:6" x14ac:dyDescent="0.45">
      <c r="B1103">
        <v>788</v>
      </c>
      <c r="C1103">
        <v>98405</v>
      </c>
      <c r="D1103" t="s">
        <v>1518</v>
      </c>
      <c r="E1103" t="s">
        <v>1535</v>
      </c>
      <c r="F1103" s="25" t="s">
        <v>69</v>
      </c>
    </row>
    <row r="1104" spans="2:6" x14ac:dyDescent="0.45">
      <c r="B1104">
        <v>800</v>
      </c>
      <c r="C1104">
        <v>98405</v>
      </c>
      <c r="D1104" t="s">
        <v>1518</v>
      </c>
      <c r="E1104" t="s">
        <v>1535</v>
      </c>
      <c r="F1104" s="25" t="s">
        <v>69</v>
      </c>
    </row>
    <row r="1105" spans="2:6" x14ac:dyDescent="0.45">
      <c r="B1105">
        <v>818</v>
      </c>
      <c r="C1105">
        <v>98405</v>
      </c>
      <c r="D1105" t="s">
        <v>1518</v>
      </c>
      <c r="E1105" t="s">
        <v>1535</v>
      </c>
      <c r="F1105" s="25" t="s">
        <v>69</v>
      </c>
    </row>
    <row r="1106" spans="2:6" x14ac:dyDescent="0.45">
      <c r="B1106">
        <v>834</v>
      </c>
      <c r="C1106">
        <v>98405</v>
      </c>
      <c r="D1106" t="s">
        <v>1518</v>
      </c>
      <c r="E1106" t="s">
        <v>1535</v>
      </c>
      <c r="F1106" s="25" t="s">
        <v>69</v>
      </c>
    </row>
    <row r="1107" spans="2:6" x14ac:dyDescent="0.45">
      <c r="B1107">
        <v>736</v>
      </c>
      <c r="C1107">
        <v>98405</v>
      </c>
      <c r="D1107" t="s">
        <v>1518</v>
      </c>
      <c r="E1107" t="s">
        <v>1535</v>
      </c>
      <c r="F1107" s="25" t="s">
        <v>69</v>
      </c>
    </row>
    <row r="1108" spans="2:6" x14ac:dyDescent="0.45">
      <c r="B1108">
        <v>854</v>
      </c>
      <c r="C1108">
        <v>98405</v>
      </c>
      <c r="D1108" t="s">
        <v>1518</v>
      </c>
      <c r="E1108" t="s">
        <v>1535</v>
      </c>
      <c r="F1108" s="25" t="s">
        <v>69</v>
      </c>
    </row>
    <row r="1109" spans="2:6" x14ac:dyDescent="0.45">
      <c r="B1109">
        <v>894</v>
      </c>
      <c r="C1109">
        <v>98405</v>
      </c>
      <c r="D1109" t="s">
        <v>1518</v>
      </c>
      <c r="E1109" t="s">
        <v>1535</v>
      </c>
      <c r="F1109" s="25" t="s">
        <v>69</v>
      </c>
    </row>
    <row r="1110" spans="2:6" x14ac:dyDescent="0.45">
      <c r="B1110">
        <v>175</v>
      </c>
      <c r="C1110">
        <v>98405</v>
      </c>
      <c r="D1110" t="s">
        <v>1518</v>
      </c>
      <c r="E1110" t="s">
        <v>1535</v>
      </c>
      <c r="F1110" s="25" t="s">
        <v>69</v>
      </c>
    </row>
    <row r="1111" spans="2:6" x14ac:dyDescent="0.45">
      <c r="B1111">
        <v>728</v>
      </c>
      <c r="C1111">
        <v>98405</v>
      </c>
      <c r="D1111" t="s">
        <v>1518</v>
      </c>
      <c r="E1111" t="s">
        <v>1535</v>
      </c>
      <c r="F1111" s="25" t="s">
        <v>69</v>
      </c>
    </row>
    <row r="1112" spans="2:6" x14ac:dyDescent="0.45">
      <c r="B1112">
        <v>577</v>
      </c>
      <c r="C1112">
        <v>98405</v>
      </c>
      <c r="D1112" t="s">
        <v>1518</v>
      </c>
      <c r="E1112" t="s">
        <v>1535</v>
      </c>
      <c r="F1112" s="25" t="s">
        <v>69</v>
      </c>
    </row>
    <row r="1113" spans="2:6" x14ac:dyDescent="0.45">
      <c r="B1113">
        <v>28</v>
      </c>
      <c r="C1113">
        <v>98424</v>
      </c>
      <c r="D1113" t="s">
        <v>1518</v>
      </c>
      <c r="E1113" t="s">
        <v>1536</v>
      </c>
      <c r="F1113" s="25" t="s">
        <v>80</v>
      </c>
    </row>
    <row r="1114" spans="2:6" x14ac:dyDescent="0.45">
      <c r="B1114">
        <v>32</v>
      </c>
      <c r="C1114">
        <v>98424</v>
      </c>
      <c r="D1114" t="s">
        <v>1518</v>
      </c>
      <c r="E1114" t="s">
        <v>1536</v>
      </c>
      <c r="F1114" s="25" t="s">
        <v>80</v>
      </c>
    </row>
    <row r="1115" spans="2:6" x14ac:dyDescent="0.45">
      <c r="B1115">
        <v>44</v>
      </c>
      <c r="C1115">
        <v>98424</v>
      </c>
      <c r="D1115" t="s">
        <v>1518</v>
      </c>
      <c r="E1115" t="s">
        <v>1536</v>
      </c>
      <c r="F1115" s="25" t="s">
        <v>80</v>
      </c>
    </row>
    <row r="1116" spans="2:6" x14ac:dyDescent="0.45">
      <c r="B1116">
        <v>52</v>
      </c>
      <c r="C1116">
        <v>98424</v>
      </c>
      <c r="D1116" t="s">
        <v>1518</v>
      </c>
      <c r="E1116" t="s">
        <v>1536</v>
      </c>
      <c r="F1116" s="25" t="s">
        <v>80</v>
      </c>
    </row>
    <row r="1117" spans="2:6" x14ac:dyDescent="0.45">
      <c r="B1117">
        <v>68</v>
      </c>
      <c r="C1117">
        <v>98424</v>
      </c>
      <c r="D1117" t="s">
        <v>1518</v>
      </c>
      <c r="E1117" t="s">
        <v>1536</v>
      </c>
      <c r="F1117" s="25" t="s">
        <v>80</v>
      </c>
    </row>
    <row r="1118" spans="2:6" x14ac:dyDescent="0.45">
      <c r="B1118">
        <v>76</v>
      </c>
      <c r="C1118">
        <v>98424</v>
      </c>
      <c r="D1118" t="s">
        <v>1518</v>
      </c>
      <c r="E1118" t="s">
        <v>1536</v>
      </c>
      <c r="F1118" s="25" t="s">
        <v>80</v>
      </c>
    </row>
    <row r="1119" spans="2:6" x14ac:dyDescent="0.45">
      <c r="B1119">
        <v>84</v>
      </c>
      <c r="C1119">
        <v>98424</v>
      </c>
      <c r="D1119" t="s">
        <v>1518</v>
      </c>
      <c r="E1119" t="s">
        <v>1536</v>
      </c>
      <c r="F1119" s="25" t="s">
        <v>80</v>
      </c>
    </row>
    <row r="1120" spans="2:6" x14ac:dyDescent="0.45">
      <c r="B1120">
        <v>92</v>
      </c>
      <c r="C1120">
        <v>98424</v>
      </c>
      <c r="D1120" t="s">
        <v>1518</v>
      </c>
      <c r="E1120" t="s">
        <v>1536</v>
      </c>
      <c r="F1120" s="25" t="s">
        <v>80</v>
      </c>
    </row>
    <row r="1121" spans="2:6" x14ac:dyDescent="0.45">
      <c r="B1121">
        <v>136</v>
      </c>
      <c r="C1121">
        <v>98424</v>
      </c>
      <c r="D1121" t="s">
        <v>1518</v>
      </c>
      <c r="E1121" t="s">
        <v>1536</v>
      </c>
      <c r="F1121" s="25" t="s">
        <v>80</v>
      </c>
    </row>
    <row r="1122" spans="2:6" x14ac:dyDescent="0.45">
      <c r="B1122">
        <v>152</v>
      </c>
      <c r="C1122">
        <v>98424</v>
      </c>
      <c r="D1122" t="s">
        <v>1518</v>
      </c>
      <c r="E1122" t="s">
        <v>1536</v>
      </c>
      <c r="F1122" s="25" t="s">
        <v>80</v>
      </c>
    </row>
    <row r="1123" spans="2:6" x14ac:dyDescent="0.45">
      <c r="B1123">
        <v>170</v>
      </c>
      <c r="C1123">
        <v>98424</v>
      </c>
      <c r="D1123" t="s">
        <v>1518</v>
      </c>
      <c r="E1123" t="s">
        <v>1536</v>
      </c>
      <c r="F1123" s="25" t="s">
        <v>80</v>
      </c>
    </row>
    <row r="1124" spans="2:6" x14ac:dyDescent="0.45">
      <c r="B1124">
        <v>535</v>
      </c>
      <c r="C1124">
        <v>98424</v>
      </c>
      <c r="D1124" t="s">
        <v>1518</v>
      </c>
      <c r="E1124" t="s">
        <v>1536</v>
      </c>
      <c r="F1124" s="25" t="s">
        <v>80</v>
      </c>
    </row>
    <row r="1125" spans="2:6" x14ac:dyDescent="0.45">
      <c r="B1125">
        <v>188</v>
      </c>
      <c r="C1125">
        <v>98424</v>
      </c>
      <c r="D1125" t="s">
        <v>1518</v>
      </c>
      <c r="E1125" t="s">
        <v>1536</v>
      </c>
      <c r="F1125" s="25" t="s">
        <v>80</v>
      </c>
    </row>
    <row r="1126" spans="2:6" x14ac:dyDescent="0.45">
      <c r="B1126">
        <v>192</v>
      </c>
      <c r="C1126">
        <v>98424</v>
      </c>
      <c r="D1126" t="s">
        <v>1518</v>
      </c>
      <c r="E1126" t="s">
        <v>1536</v>
      </c>
      <c r="F1126" s="25" t="s">
        <v>80</v>
      </c>
    </row>
    <row r="1127" spans="2:6" x14ac:dyDescent="0.45">
      <c r="B1127">
        <v>212</v>
      </c>
      <c r="C1127">
        <v>98424</v>
      </c>
      <c r="D1127" t="s">
        <v>1518</v>
      </c>
      <c r="E1127" t="s">
        <v>1536</v>
      </c>
      <c r="F1127" s="25" t="s">
        <v>80</v>
      </c>
    </row>
    <row r="1128" spans="2:6" x14ac:dyDescent="0.45">
      <c r="B1128">
        <v>214</v>
      </c>
      <c r="C1128">
        <v>98424</v>
      </c>
      <c r="D1128" t="s">
        <v>1518</v>
      </c>
      <c r="E1128" t="s">
        <v>1536</v>
      </c>
      <c r="F1128" s="25" t="s">
        <v>80</v>
      </c>
    </row>
    <row r="1129" spans="2:6" x14ac:dyDescent="0.45">
      <c r="B1129">
        <v>218</v>
      </c>
      <c r="C1129">
        <v>98424</v>
      </c>
      <c r="D1129" t="s">
        <v>1518</v>
      </c>
      <c r="E1129" t="s">
        <v>1536</v>
      </c>
      <c r="F1129" s="25" t="s">
        <v>80</v>
      </c>
    </row>
    <row r="1130" spans="2:6" x14ac:dyDescent="0.45">
      <c r="B1130">
        <v>222</v>
      </c>
      <c r="C1130">
        <v>98424</v>
      </c>
      <c r="D1130" t="s">
        <v>1518</v>
      </c>
      <c r="E1130" t="s">
        <v>1536</v>
      </c>
      <c r="F1130" s="25" t="s">
        <v>80</v>
      </c>
    </row>
    <row r="1131" spans="2:6" x14ac:dyDescent="0.45">
      <c r="B1131">
        <v>238</v>
      </c>
      <c r="C1131">
        <v>98424</v>
      </c>
      <c r="D1131" t="s">
        <v>1518</v>
      </c>
      <c r="E1131" t="s">
        <v>1536</v>
      </c>
      <c r="F1131" s="25" t="s">
        <v>80</v>
      </c>
    </row>
    <row r="1132" spans="2:6" x14ac:dyDescent="0.45">
      <c r="B1132">
        <v>254</v>
      </c>
      <c r="C1132">
        <v>98424</v>
      </c>
      <c r="D1132" t="s">
        <v>1518</v>
      </c>
      <c r="E1132" t="s">
        <v>1536</v>
      </c>
      <c r="F1132" s="25" t="s">
        <v>80</v>
      </c>
    </row>
    <row r="1133" spans="2:6" x14ac:dyDescent="0.45">
      <c r="B1133">
        <v>308</v>
      </c>
      <c r="C1133">
        <v>98424</v>
      </c>
      <c r="D1133" t="s">
        <v>1518</v>
      </c>
      <c r="E1133" t="s">
        <v>1536</v>
      </c>
      <c r="F1133" s="25" t="s">
        <v>80</v>
      </c>
    </row>
    <row r="1134" spans="2:6" x14ac:dyDescent="0.45">
      <c r="B1134">
        <v>312</v>
      </c>
      <c r="C1134">
        <v>98424</v>
      </c>
      <c r="D1134" t="s">
        <v>1518</v>
      </c>
      <c r="E1134" t="s">
        <v>1536</v>
      </c>
      <c r="F1134" s="25" t="s">
        <v>80</v>
      </c>
    </row>
    <row r="1135" spans="2:6" x14ac:dyDescent="0.45">
      <c r="B1135">
        <v>320</v>
      </c>
      <c r="C1135">
        <v>98424</v>
      </c>
      <c r="D1135" t="s">
        <v>1518</v>
      </c>
      <c r="E1135" t="s">
        <v>1536</v>
      </c>
      <c r="F1135" s="25" t="s">
        <v>80</v>
      </c>
    </row>
    <row r="1136" spans="2:6" x14ac:dyDescent="0.45">
      <c r="B1136">
        <v>328</v>
      </c>
      <c r="C1136">
        <v>98424</v>
      </c>
      <c r="D1136" t="s">
        <v>1518</v>
      </c>
      <c r="E1136" t="s">
        <v>1536</v>
      </c>
      <c r="F1136" s="25" t="s">
        <v>80</v>
      </c>
    </row>
    <row r="1137" spans="2:6" x14ac:dyDescent="0.45">
      <c r="B1137">
        <v>332</v>
      </c>
      <c r="C1137">
        <v>98424</v>
      </c>
      <c r="D1137" t="s">
        <v>1518</v>
      </c>
      <c r="E1137" t="s">
        <v>1536</v>
      </c>
      <c r="F1137" s="25" t="s">
        <v>80</v>
      </c>
    </row>
    <row r="1138" spans="2:6" x14ac:dyDescent="0.45">
      <c r="B1138">
        <v>340</v>
      </c>
      <c r="C1138">
        <v>98424</v>
      </c>
      <c r="D1138" t="s">
        <v>1518</v>
      </c>
      <c r="E1138" t="s">
        <v>1536</v>
      </c>
      <c r="F1138" s="25" t="s">
        <v>80</v>
      </c>
    </row>
    <row r="1139" spans="2:6" x14ac:dyDescent="0.45">
      <c r="B1139">
        <v>388</v>
      </c>
      <c r="C1139">
        <v>98424</v>
      </c>
      <c r="D1139" t="s">
        <v>1518</v>
      </c>
      <c r="E1139" t="s">
        <v>1536</v>
      </c>
      <c r="F1139" s="25" t="s">
        <v>80</v>
      </c>
    </row>
    <row r="1140" spans="2:6" x14ac:dyDescent="0.45">
      <c r="B1140">
        <v>474</v>
      </c>
      <c r="C1140">
        <v>98424</v>
      </c>
      <c r="D1140" t="s">
        <v>1518</v>
      </c>
      <c r="E1140" t="s">
        <v>1536</v>
      </c>
      <c r="F1140" s="25" t="s">
        <v>80</v>
      </c>
    </row>
    <row r="1141" spans="2:6" x14ac:dyDescent="0.45">
      <c r="B1141">
        <v>484</v>
      </c>
      <c r="C1141">
        <v>98424</v>
      </c>
      <c r="D1141" t="s">
        <v>1518</v>
      </c>
      <c r="E1141" t="s">
        <v>1536</v>
      </c>
      <c r="F1141" s="25" t="s">
        <v>80</v>
      </c>
    </row>
    <row r="1142" spans="2:6" x14ac:dyDescent="0.45">
      <c r="B1142">
        <v>500</v>
      </c>
      <c r="C1142">
        <v>98424</v>
      </c>
      <c r="D1142" t="s">
        <v>1518</v>
      </c>
      <c r="E1142" t="s">
        <v>1536</v>
      </c>
      <c r="F1142" s="25" t="s">
        <v>80</v>
      </c>
    </row>
    <row r="1143" spans="2:6" x14ac:dyDescent="0.45">
      <c r="B1143">
        <v>530</v>
      </c>
      <c r="C1143">
        <v>98424</v>
      </c>
      <c r="D1143" t="s">
        <v>1518</v>
      </c>
      <c r="E1143" t="s">
        <v>1536</v>
      </c>
      <c r="F1143" s="25" t="s">
        <v>80</v>
      </c>
    </row>
    <row r="1144" spans="2:6" x14ac:dyDescent="0.45">
      <c r="B1144">
        <v>533</v>
      </c>
      <c r="C1144">
        <v>98424</v>
      </c>
      <c r="D1144" t="s">
        <v>1518</v>
      </c>
      <c r="E1144" t="s">
        <v>1536</v>
      </c>
      <c r="F1144" s="25" t="s">
        <v>80</v>
      </c>
    </row>
    <row r="1145" spans="2:6" x14ac:dyDescent="0.45">
      <c r="B1145">
        <v>558</v>
      </c>
      <c r="C1145">
        <v>98424</v>
      </c>
      <c r="D1145" t="s">
        <v>1518</v>
      </c>
      <c r="E1145" t="s">
        <v>1536</v>
      </c>
      <c r="F1145" s="25" t="s">
        <v>80</v>
      </c>
    </row>
    <row r="1146" spans="2:6" x14ac:dyDescent="0.45">
      <c r="B1146">
        <v>591</v>
      </c>
      <c r="C1146">
        <v>98424</v>
      </c>
      <c r="D1146" t="s">
        <v>1518</v>
      </c>
      <c r="E1146" t="s">
        <v>1536</v>
      </c>
      <c r="F1146" s="25" t="s">
        <v>80</v>
      </c>
    </row>
    <row r="1147" spans="2:6" x14ac:dyDescent="0.45">
      <c r="B1147">
        <v>600</v>
      </c>
      <c r="C1147">
        <v>98424</v>
      </c>
      <c r="D1147" t="s">
        <v>1518</v>
      </c>
      <c r="E1147" t="s">
        <v>1536</v>
      </c>
      <c r="F1147" s="25" t="s">
        <v>80</v>
      </c>
    </row>
    <row r="1148" spans="2:6" x14ac:dyDescent="0.45">
      <c r="B1148">
        <v>604</v>
      </c>
      <c r="C1148">
        <v>98424</v>
      </c>
      <c r="D1148" t="s">
        <v>1518</v>
      </c>
      <c r="E1148" t="s">
        <v>1536</v>
      </c>
      <c r="F1148" s="25" t="s">
        <v>80</v>
      </c>
    </row>
    <row r="1149" spans="2:6" x14ac:dyDescent="0.45">
      <c r="B1149">
        <v>630</v>
      </c>
      <c r="C1149">
        <v>98424</v>
      </c>
      <c r="D1149" t="s">
        <v>1518</v>
      </c>
      <c r="E1149" t="s">
        <v>1536</v>
      </c>
      <c r="F1149" s="25" t="s">
        <v>80</v>
      </c>
    </row>
    <row r="1150" spans="2:6" x14ac:dyDescent="0.45">
      <c r="B1150">
        <v>659</v>
      </c>
      <c r="C1150">
        <v>98424</v>
      </c>
      <c r="D1150" t="s">
        <v>1518</v>
      </c>
      <c r="E1150" t="s">
        <v>1536</v>
      </c>
      <c r="F1150" s="25" t="s">
        <v>80</v>
      </c>
    </row>
    <row r="1151" spans="2:6" x14ac:dyDescent="0.45">
      <c r="B1151">
        <v>660</v>
      </c>
      <c r="C1151">
        <v>98424</v>
      </c>
      <c r="D1151" t="s">
        <v>1518</v>
      </c>
      <c r="E1151" t="s">
        <v>1536</v>
      </c>
      <c r="F1151" s="25" t="s">
        <v>80</v>
      </c>
    </row>
    <row r="1152" spans="2:6" x14ac:dyDescent="0.45">
      <c r="B1152">
        <v>662</v>
      </c>
      <c r="C1152">
        <v>98424</v>
      </c>
      <c r="D1152" t="s">
        <v>1518</v>
      </c>
      <c r="E1152" t="s">
        <v>1536</v>
      </c>
      <c r="F1152" s="25" t="s">
        <v>80</v>
      </c>
    </row>
    <row r="1153" spans="2:6" x14ac:dyDescent="0.45">
      <c r="B1153">
        <v>670</v>
      </c>
      <c r="C1153">
        <v>98424</v>
      </c>
      <c r="D1153" t="s">
        <v>1518</v>
      </c>
      <c r="E1153" t="s">
        <v>1536</v>
      </c>
      <c r="F1153" s="25" t="s">
        <v>80</v>
      </c>
    </row>
    <row r="1154" spans="2:6" x14ac:dyDescent="0.45">
      <c r="B1154">
        <v>740</v>
      </c>
      <c r="C1154">
        <v>98424</v>
      </c>
      <c r="D1154" t="s">
        <v>1518</v>
      </c>
      <c r="E1154" t="s">
        <v>1536</v>
      </c>
      <c r="F1154" s="25" t="s">
        <v>80</v>
      </c>
    </row>
    <row r="1155" spans="2:6" x14ac:dyDescent="0.45">
      <c r="B1155">
        <v>663</v>
      </c>
      <c r="C1155">
        <v>98424</v>
      </c>
      <c r="D1155" t="s">
        <v>1518</v>
      </c>
      <c r="E1155" t="s">
        <v>1536</v>
      </c>
      <c r="F1155" s="25" t="s">
        <v>80</v>
      </c>
    </row>
    <row r="1156" spans="2:6" x14ac:dyDescent="0.45">
      <c r="B1156">
        <v>780</v>
      </c>
      <c r="C1156">
        <v>98424</v>
      </c>
      <c r="D1156" t="s">
        <v>1518</v>
      </c>
      <c r="E1156" t="s">
        <v>1536</v>
      </c>
      <c r="F1156" s="25" t="s">
        <v>80</v>
      </c>
    </row>
    <row r="1157" spans="2:6" x14ac:dyDescent="0.45">
      <c r="B1157">
        <v>796</v>
      </c>
      <c r="C1157">
        <v>98424</v>
      </c>
      <c r="D1157" t="s">
        <v>1518</v>
      </c>
      <c r="E1157" t="s">
        <v>1536</v>
      </c>
      <c r="F1157" s="25" t="s">
        <v>80</v>
      </c>
    </row>
    <row r="1158" spans="2:6" x14ac:dyDescent="0.45">
      <c r="B1158">
        <v>850</v>
      </c>
      <c r="C1158">
        <v>98424</v>
      </c>
      <c r="D1158" t="s">
        <v>1518</v>
      </c>
      <c r="E1158" t="s">
        <v>1536</v>
      </c>
      <c r="F1158" s="25" t="s">
        <v>80</v>
      </c>
    </row>
    <row r="1159" spans="2:6" x14ac:dyDescent="0.45">
      <c r="B1159">
        <v>858</v>
      </c>
      <c r="C1159">
        <v>98424</v>
      </c>
      <c r="D1159" t="s">
        <v>1518</v>
      </c>
      <c r="E1159" t="s">
        <v>1536</v>
      </c>
      <c r="F1159" s="25" t="s">
        <v>80</v>
      </c>
    </row>
    <row r="1160" spans="2:6" x14ac:dyDescent="0.45">
      <c r="B1160">
        <v>862</v>
      </c>
      <c r="C1160">
        <v>98424</v>
      </c>
      <c r="D1160" t="s">
        <v>1518</v>
      </c>
      <c r="E1160" t="s">
        <v>1536</v>
      </c>
      <c r="F1160" s="25" t="s">
        <v>80</v>
      </c>
    </row>
    <row r="1161" spans="2:6" x14ac:dyDescent="0.45">
      <c r="B1161">
        <v>531</v>
      </c>
      <c r="C1161">
        <v>98424</v>
      </c>
      <c r="D1161" t="s">
        <v>1518</v>
      </c>
      <c r="E1161" t="s">
        <v>1536</v>
      </c>
      <c r="F1161" s="25" t="s">
        <v>80</v>
      </c>
    </row>
    <row r="1162" spans="2:6" x14ac:dyDescent="0.45">
      <c r="B1162">
        <v>534</v>
      </c>
      <c r="C1162">
        <v>98424</v>
      </c>
      <c r="D1162" t="s">
        <v>1518</v>
      </c>
      <c r="E1162" t="s">
        <v>1536</v>
      </c>
      <c r="F1162" s="25" t="s">
        <v>80</v>
      </c>
    </row>
    <row r="1163" spans="2:6" x14ac:dyDescent="0.45">
      <c r="B1163">
        <v>60</v>
      </c>
      <c r="C1163">
        <v>98425</v>
      </c>
      <c r="D1163" t="s">
        <v>1518</v>
      </c>
      <c r="E1163" t="s">
        <v>1537</v>
      </c>
      <c r="F1163" s="25" t="s">
        <v>81</v>
      </c>
    </row>
    <row r="1164" spans="2:6" x14ac:dyDescent="0.45">
      <c r="B1164">
        <v>124</v>
      </c>
      <c r="C1164">
        <v>98425</v>
      </c>
      <c r="D1164" t="s">
        <v>1518</v>
      </c>
      <c r="E1164" t="s">
        <v>1537</v>
      </c>
      <c r="F1164" s="25" t="s">
        <v>81</v>
      </c>
    </row>
    <row r="1165" spans="2:6" x14ac:dyDescent="0.45">
      <c r="B1165">
        <v>304</v>
      </c>
      <c r="C1165">
        <v>98425</v>
      </c>
      <c r="D1165" t="s">
        <v>1518</v>
      </c>
      <c r="E1165" t="s">
        <v>1537</v>
      </c>
      <c r="F1165" s="25" t="s">
        <v>81</v>
      </c>
    </row>
    <row r="1166" spans="2:6" x14ac:dyDescent="0.45">
      <c r="B1166">
        <v>666</v>
      </c>
      <c r="C1166">
        <v>98425</v>
      </c>
      <c r="D1166" t="s">
        <v>1518</v>
      </c>
      <c r="E1166" t="s">
        <v>1537</v>
      </c>
      <c r="F1166" s="25" t="s">
        <v>81</v>
      </c>
    </row>
    <row r="1167" spans="2:6" x14ac:dyDescent="0.45">
      <c r="B1167">
        <v>840</v>
      </c>
      <c r="C1167">
        <v>98425</v>
      </c>
      <c r="D1167" t="s">
        <v>1518</v>
      </c>
      <c r="E1167" t="s">
        <v>1537</v>
      </c>
      <c r="F1167" s="25" t="s">
        <v>81</v>
      </c>
    </row>
    <row r="1168" spans="2:6" x14ac:dyDescent="0.45">
      <c r="B1168">
        <v>8</v>
      </c>
      <c r="C1168">
        <v>98423</v>
      </c>
      <c r="D1168" t="s">
        <v>1518</v>
      </c>
      <c r="E1168" t="s">
        <v>1538</v>
      </c>
      <c r="F1168" s="25" t="s">
        <v>79</v>
      </c>
    </row>
    <row r="1169" spans="2:6" x14ac:dyDescent="0.45">
      <c r="B1169">
        <v>248</v>
      </c>
      <c r="C1169">
        <v>98423</v>
      </c>
      <c r="D1169" t="s">
        <v>1518</v>
      </c>
      <c r="E1169" t="s">
        <v>1538</v>
      </c>
      <c r="F1169" s="25" t="s">
        <v>79</v>
      </c>
    </row>
    <row r="1170" spans="2:6" x14ac:dyDescent="0.45">
      <c r="B1170">
        <v>20</v>
      </c>
      <c r="C1170">
        <v>98423</v>
      </c>
      <c r="D1170" t="s">
        <v>1518</v>
      </c>
      <c r="E1170" t="s">
        <v>1538</v>
      </c>
      <c r="F1170" s="25" t="s">
        <v>79</v>
      </c>
    </row>
    <row r="1171" spans="2:6" x14ac:dyDescent="0.45">
      <c r="B1171">
        <v>40</v>
      </c>
      <c r="C1171">
        <v>98423</v>
      </c>
      <c r="D1171" t="s">
        <v>1518</v>
      </c>
      <c r="E1171" t="s">
        <v>1538</v>
      </c>
      <c r="F1171" s="25" t="s">
        <v>79</v>
      </c>
    </row>
    <row r="1172" spans="2:6" x14ac:dyDescent="0.45">
      <c r="B1172">
        <v>56</v>
      </c>
      <c r="C1172">
        <v>98423</v>
      </c>
      <c r="D1172" t="s">
        <v>1518</v>
      </c>
      <c r="E1172" t="s">
        <v>1538</v>
      </c>
      <c r="F1172" s="25" t="s">
        <v>79</v>
      </c>
    </row>
    <row r="1173" spans="2:6" x14ac:dyDescent="0.45">
      <c r="B1173">
        <v>70</v>
      </c>
      <c r="C1173">
        <v>98423</v>
      </c>
      <c r="D1173" t="s">
        <v>1518</v>
      </c>
      <c r="E1173" t="s">
        <v>1538</v>
      </c>
      <c r="F1173" s="25" t="s">
        <v>79</v>
      </c>
    </row>
    <row r="1174" spans="2:6" x14ac:dyDescent="0.45">
      <c r="B1174">
        <v>100</v>
      </c>
      <c r="C1174">
        <v>98423</v>
      </c>
      <c r="D1174" t="s">
        <v>1518</v>
      </c>
      <c r="E1174" t="s">
        <v>1538</v>
      </c>
      <c r="F1174" s="25" t="s">
        <v>79</v>
      </c>
    </row>
    <row r="1175" spans="2:6" x14ac:dyDescent="0.45">
      <c r="B1175">
        <v>112</v>
      </c>
      <c r="C1175">
        <v>98423</v>
      </c>
      <c r="D1175" t="s">
        <v>1518</v>
      </c>
      <c r="E1175" t="s">
        <v>1538</v>
      </c>
      <c r="F1175" s="25" t="s">
        <v>79</v>
      </c>
    </row>
    <row r="1176" spans="2:6" x14ac:dyDescent="0.45">
      <c r="B1176">
        <v>191</v>
      </c>
      <c r="C1176">
        <v>98423</v>
      </c>
      <c r="D1176" t="s">
        <v>1518</v>
      </c>
      <c r="E1176" t="s">
        <v>1538</v>
      </c>
      <c r="F1176" s="25" t="s">
        <v>79</v>
      </c>
    </row>
    <row r="1177" spans="2:6" x14ac:dyDescent="0.45">
      <c r="B1177">
        <v>196</v>
      </c>
      <c r="C1177">
        <v>98423</v>
      </c>
      <c r="D1177" t="s">
        <v>1518</v>
      </c>
      <c r="E1177" t="s">
        <v>1538</v>
      </c>
      <c r="F1177" s="25" t="s">
        <v>79</v>
      </c>
    </row>
    <row r="1178" spans="2:6" x14ac:dyDescent="0.45">
      <c r="B1178">
        <v>203</v>
      </c>
      <c r="C1178">
        <v>98423</v>
      </c>
      <c r="D1178" t="s">
        <v>1518</v>
      </c>
      <c r="E1178" t="s">
        <v>1538</v>
      </c>
      <c r="F1178" s="25" t="s">
        <v>79</v>
      </c>
    </row>
    <row r="1179" spans="2:6" x14ac:dyDescent="0.45">
      <c r="B1179">
        <v>208</v>
      </c>
      <c r="C1179">
        <v>98423</v>
      </c>
      <c r="D1179" t="s">
        <v>1518</v>
      </c>
      <c r="E1179" t="s">
        <v>1538</v>
      </c>
      <c r="F1179" s="25" t="s">
        <v>79</v>
      </c>
    </row>
    <row r="1180" spans="2:6" x14ac:dyDescent="0.45">
      <c r="B1180">
        <v>233</v>
      </c>
      <c r="C1180">
        <v>98423</v>
      </c>
      <c r="D1180" t="s">
        <v>1518</v>
      </c>
      <c r="E1180" t="s">
        <v>1538</v>
      </c>
      <c r="F1180" s="25" t="s">
        <v>79</v>
      </c>
    </row>
    <row r="1181" spans="2:6" x14ac:dyDescent="0.45">
      <c r="B1181">
        <v>234</v>
      </c>
      <c r="C1181">
        <v>98423</v>
      </c>
      <c r="D1181" t="s">
        <v>1518</v>
      </c>
      <c r="E1181" t="s">
        <v>1538</v>
      </c>
      <c r="F1181" s="25" t="s">
        <v>79</v>
      </c>
    </row>
    <row r="1182" spans="2:6" x14ac:dyDescent="0.45">
      <c r="B1182">
        <v>246</v>
      </c>
      <c r="C1182">
        <v>98423</v>
      </c>
      <c r="D1182" t="s">
        <v>1518</v>
      </c>
      <c r="E1182" t="s">
        <v>1538</v>
      </c>
      <c r="F1182" s="25" t="s">
        <v>79</v>
      </c>
    </row>
    <row r="1183" spans="2:6" x14ac:dyDescent="0.45">
      <c r="B1183">
        <v>830</v>
      </c>
      <c r="C1183">
        <v>98423</v>
      </c>
      <c r="D1183" t="s">
        <v>1518</v>
      </c>
      <c r="E1183" t="s">
        <v>1538</v>
      </c>
      <c r="F1183" s="25" t="s">
        <v>79</v>
      </c>
    </row>
    <row r="1184" spans="2:6" x14ac:dyDescent="0.45">
      <c r="B1184">
        <v>250</v>
      </c>
      <c r="C1184">
        <v>98423</v>
      </c>
      <c r="D1184" t="s">
        <v>1518</v>
      </c>
      <c r="E1184" t="s">
        <v>1538</v>
      </c>
      <c r="F1184" s="25" t="s">
        <v>79</v>
      </c>
    </row>
    <row r="1185" spans="2:6" x14ac:dyDescent="0.45">
      <c r="B1185">
        <v>276</v>
      </c>
      <c r="C1185">
        <v>98423</v>
      </c>
      <c r="D1185" t="s">
        <v>1518</v>
      </c>
      <c r="E1185" t="s">
        <v>1538</v>
      </c>
      <c r="F1185" s="25" t="s">
        <v>79</v>
      </c>
    </row>
    <row r="1186" spans="2:6" x14ac:dyDescent="0.45">
      <c r="B1186">
        <v>292</v>
      </c>
      <c r="C1186">
        <v>98423</v>
      </c>
      <c r="D1186" t="s">
        <v>1518</v>
      </c>
      <c r="E1186" t="s">
        <v>1538</v>
      </c>
      <c r="F1186" s="25" t="s">
        <v>79</v>
      </c>
    </row>
    <row r="1187" spans="2:6" x14ac:dyDescent="0.45">
      <c r="B1187">
        <v>300</v>
      </c>
      <c r="C1187">
        <v>98423</v>
      </c>
      <c r="D1187" t="s">
        <v>1518</v>
      </c>
      <c r="E1187" t="s">
        <v>1538</v>
      </c>
      <c r="F1187" s="25" t="s">
        <v>79</v>
      </c>
    </row>
    <row r="1188" spans="2:6" x14ac:dyDescent="0.45">
      <c r="B1188">
        <v>336</v>
      </c>
      <c r="C1188">
        <v>98423</v>
      </c>
      <c r="D1188" t="s">
        <v>1518</v>
      </c>
      <c r="E1188" t="s">
        <v>1538</v>
      </c>
      <c r="F1188" s="25" t="s">
        <v>79</v>
      </c>
    </row>
    <row r="1189" spans="2:6" x14ac:dyDescent="0.45">
      <c r="B1189">
        <v>348</v>
      </c>
      <c r="C1189">
        <v>98423</v>
      </c>
      <c r="D1189" t="s">
        <v>1518</v>
      </c>
      <c r="E1189" t="s">
        <v>1538</v>
      </c>
      <c r="F1189" s="25" t="s">
        <v>79</v>
      </c>
    </row>
    <row r="1190" spans="2:6" x14ac:dyDescent="0.45">
      <c r="B1190">
        <v>352</v>
      </c>
      <c r="C1190">
        <v>98423</v>
      </c>
      <c r="D1190" t="s">
        <v>1518</v>
      </c>
      <c r="E1190" t="s">
        <v>1538</v>
      </c>
      <c r="F1190" s="25" t="s">
        <v>79</v>
      </c>
    </row>
    <row r="1191" spans="2:6" x14ac:dyDescent="0.45">
      <c r="B1191">
        <v>372</v>
      </c>
      <c r="C1191">
        <v>98423</v>
      </c>
      <c r="D1191" t="s">
        <v>1518</v>
      </c>
      <c r="E1191" t="s">
        <v>1538</v>
      </c>
      <c r="F1191" s="25" t="s">
        <v>79</v>
      </c>
    </row>
    <row r="1192" spans="2:6" x14ac:dyDescent="0.45">
      <c r="B1192">
        <v>380</v>
      </c>
      <c r="C1192">
        <v>98423</v>
      </c>
      <c r="D1192" t="s">
        <v>1518</v>
      </c>
      <c r="E1192" t="s">
        <v>1538</v>
      </c>
      <c r="F1192" s="25" t="s">
        <v>79</v>
      </c>
    </row>
    <row r="1193" spans="2:6" x14ac:dyDescent="0.45">
      <c r="B1193">
        <v>428</v>
      </c>
      <c r="C1193">
        <v>98423</v>
      </c>
      <c r="D1193" t="s">
        <v>1518</v>
      </c>
      <c r="E1193" t="s">
        <v>1538</v>
      </c>
      <c r="F1193" s="25" t="s">
        <v>79</v>
      </c>
    </row>
    <row r="1194" spans="2:6" x14ac:dyDescent="0.45">
      <c r="B1194">
        <v>438</v>
      </c>
      <c r="C1194">
        <v>98423</v>
      </c>
      <c r="D1194" t="s">
        <v>1518</v>
      </c>
      <c r="E1194" t="s">
        <v>1538</v>
      </c>
      <c r="F1194" s="25" t="s">
        <v>79</v>
      </c>
    </row>
    <row r="1195" spans="2:6" x14ac:dyDescent="0.45">
      <c r="B1195">
        <v>440</v>
      </c>
      <c r="C1195">
        <v>98423</v>
      </c>
      <c r="D1195" t="s">
        <v>1518</v>
      </c>
      <c r="E1195" t="s">
        <v>1538</v>
      </c>
      <c r="F1195" s="25" t="s">
        <v>79</v>
      </c>
    </row>
    <row r="1196" spans="2:6" x14ac:dyDescent="0.45">
      <c r="B1196">
        <v>442</v>
      </c>
      <c r="C1196">
        <v>98423</v>
      </c>
      <c r="D1196" t="s">
        <v>1518</v>
      </c>
      <c r="E1196" t="s">
        <v>1538</v>
      </c>
      <c r="F1196" s="25" t="s">
        <v>79</v>
      </c>
    </row>
    <row r="1197" spans="2:6" x14ac:dyDescent="0.45">
      <c r="B1197">
        <v>470</v>
      </c>
      <c r="C1197">
        <v>98423</v>
      </c>
      <c r="D1197" t="s">
        <v>1518</v>
      </c>
      <c r="E1197" t="s">
        <v>1538</v>
      </c>
      <c r="F1197" s="25" t="s">
        <v>79</v>
      </c>
    </row>
    <row r="1198" spans="2:6" x14ac:dyDescent="0.45">
      <c r="B1198">
        <v>492</v>
      </c>
      <c r="C1198">
        <v>98423</v>
      </c>
      <c r="D1198" t="s">
        <v>1518</v>
      </c>
      <c r="E1198" t="s">
        <v>1538</v>
      </c>
      <c r="F1198" s="25" t="s">
        <v>79</v>
      </c>
    </row>
    <row r="1199" spans="2:6" x14ac:dyDescent="0.45">
      <c r="B1199">
        <v>498</v>
      </c>
      <c r="C1199">
        <v>98423</v>
      </c>
      <c r="D1199" t="s">
        <v>1518</v>
      </c>
      <c r="E1199" t="s">
        <v>1538</v>
      </c>
      <c r="F1199" s="25" t="s">
        <v>79</v>
      </c>
    </row>
    <row r="1200" spans="2:6" x14ac:dyDescent="0.45">
      <c r="B1200">
        <v>528</v>
      </c>
      <c r="C1200">
        <v>98423</v>
      </c>
      <c r="D1200" t="s">
        <v>1518</v>
      </c>
      <c r="E1200" t="s">
        <v>1538</v>
      </c>
      <c r="F1200" s="25" t="s">
        <v>79</v>
      </c>
    </row>
    <row r="1201" spans="2:6" x14ac:dyDescent="0.45">
      <c r="B1201">
        <v>578</v>
      </c>
      <c r="C1201">
        <v>98423</v>
      </c>
      <c r="D1201" t="s">
        <v>1518</v>
      </c>
      <c r="E1201" t="s">
        <v>1538</v>
      </c>
      <c r="F1201" s="25" t="s">
        <v>79</v>
      </c>
    </row>
    <row r="1202" spans="2:6" x14ac:dyDescent="0.45">
      <c r="B1202">
        <v>616</v>
      </c>
      <c r="C1202">
        <v>98423</v>
      </c>
      <c r="D1202" t="s">
        <v>1518</v>
      </c>
      <c r="E1202" t="s">
        <v>1538</v>
      </c>
      <c r="F1202" s="25" t="s">
        <v>79</v>
      </c>
    </row>
    <row r="1203" spans="2:6" x14ac:dyDescent="0.45">
      <c r="B1203">
        <v>620</v>
      </c>
      <c r="C1203">
        <v>98423</v>
      </c>
      <c r="D1203" t="s">
        <v>1518</v>
      </c>
      <c r="E1203" t="s">
        <v>1538</v>
      </c>
      <c r="F1203" s="25" t="s">
        <v>79</v>
      </c>
    </row>
    <row r="1204" spans="2:6" x14ac:dyDescent="0.45">
      <c r="B1204">
        <v>642</v>
      </c>
      <c r="C1204">
        <v>98423</v>
      </c>
      <c r="D1204" t="s">
        <v>1518</v>
      </c>
      <c r="E1204" t="s">
        <v>1538</v>
      </c>
      <c r="F1204" s="25" t="s">
        <v>79</v>
      </c>
    </row>
    <row r="1205" spans="2:6" x14ac:dyDescent="0.45">
      <c r="B1205">
        <v>674</v>
      </c>
      <c r="C1205">
        <v>98423</v>
      </c>
      <c r="D1205" t="s">
        <v>1518</v>
      </c>
      <c r="E1205" t="s">
        <v>1538</v>
      </c>
      <c r="F1205" s="25" t="s">
        <v>79</v>
      </c>
    </row>
    <row r="1206" spans="2:6" x14ac:dyDescent="0.45">
      <c r="B1206">
        <v>703</v>
      </c>
      <c r="C1206">
        <v>98423</v>
      </c>
      <c r="D1206" t="s">
        <v>1518</v>
      </c>
      <c r="E1206" t="s">
        <v>1538</v>
      </c>
      <c r="F1206" s="25" t="s">
        <v>79</v>
      </c>
    </row>
    <row r="1207" spans="2:6" x14ac:dyDescent="0.45">
      <c r="B1207">
        <v>705</v>
      </c>
      <c r="C1207">
        <v>98423</v>
      </c>
      <c r="D1207" t="s">
        <v>1518</v>
      </c>
      <c r="E1207" t="s">
        <v>1538</v>
      </c>
      <c r="F1207" s="25" t="s">
        <v>79</v>
      </c>
    </row>
    <row r="1208" spans="2:6" x14ac:dyDescent="0.45">
      <c r="B1208">
        <v>724</v>
      </c>
      <c r="C1208">
        <v>98423</v>
      </c>
      <c r="D1208" t="s">
        <v>1518</v>
      </c>
      <c r="E1208" t="s">
        <v>1538</v>
      </c>
      <c r="F1208" s="25" t="s">
        <v>79</v>
      </c>
    </row>
    <row r="1209" spans="2:6" x14ac:dyDescent="0.45">
      <c r="B1209">
        <v>652</v>
      </c>
      <c r="C1209">
        <v>98423</v>
      </c>
      <c r="D1209" t="s">
        <v>1518</v>
      </c>
      <c r="E1209" t="s">
        <v>1538</v>
      </c>
      <c r="F1209" s="25" t="s">
        <v>79</v>
      </c>
    </row>
    <row r="1210" spans="2:6" x14ac:dyDescent="0.45">
      <c r="B1210">
        <v>744</v>
      </c>
      <c r="C1210">
        <v>98423</v>
      </c>
      <c r="D1210" t="s">
        <v>1518</v>
      </c>
      <c r="E1210" t="s">
        <v>1538</v>
      </c>
      <c r="F1210" s="25" t="s">
        <v>79</v>
      </c>
    </row>
    <row r="1211" spans="2:6" x14ac:dyDescent="0.45">
      <c r="B1211">
        <v>752</v>
      </c>
      <c r="C1211">
        <v>98423</v>
      </c>
      <c r="D1211" t="s">
        <v>1518</v>
      </c>
      <c r="E1211" t="s">
        <v>1538</v>
      </c>
      <c r="F1211" s="25" t="s">
        <v>79</v>
      </c>
    </row>
    <row r="1212" spans="2:6" x14ac:dyDescent="0.45">
      <c r="B1212">
        <v>756</v>
      </c>
      <c r="C1212">
        <v>98423</v>
      </c>
      <c r="D1212" t="s">
        <v>1518</v>
      </c>
      <c r="E1212" t="s">
        <v>1538</v>
      </c>
      <c r="F1212" s="25" t="s">
        <v>79</v>
      </c>
    </row>
    <row r="1213" spans="2:6" x14ac:dyDescent="0.45">
      <c r="B1213">
        <v>804</v>
      </c>
      <c r="C1213">
        <v>98423</v>
      </c>
      <c r="D1213" t="s">
        <v>1518</v>
      </c>
      <c r="E1213" t="s">
        <v>1538</v>
      </c>
      <c r="F1213" s="25" t="s">
        <v>79</v>
      </c>
    </row>
    <row r="1214" spans="2:6" x14ac:dyDescent="0.45">
      <c r="B1214">
        <v>807</v>
      </c>
      <c r="C1214">
        <v>98423</v>
      </c>
      <c r="D1214" t="s">
        <v>1518</v>
      </c>
      <c r="E1214" t="s">
        <v>1538</v>
      </c>
      <c r="F1214" s="25" t="s">
        <v>79</v>
      </c>
    </row>
    <row r="1215" spans="2:6" x14ac:dyDescent="0.45">
      <c r="B1215">
        <v>826</v>
      </c>
      <c r="C1215">
        <v>98423</v>
      </c>
      <c r="D1215" t="s">
        <v>1518</v>
      </c>
      <c r="E1215" t="s">
        <v>1538</v>
      </c>
      <c r="F1215" s="25" t="s">
        <v>79</v>
      </c>
    </row>
    <row r="1216" spans="2:6" x14ac:dyDescent="0.45">
      <c r="B1216">
        <v>891</v>
      </c>
      <c r="C1216">
        <v>98423</v>
      </c>
      <c r="D1216" t="s">
        <v>1518</v>
      </c>
      <c r="E1216" t="s">
        <v>1538</v>
      </c>
      <c r="F1216" s="25" t="s">
        <v>79</v>
      </c>
    </row>
    <row r="1217" spans="2:6" x14ac:dyDescent="0.45">
      <c r="B1217">
        <v>833</v>
      </c>
      <c r="C1217">
        <v>98423</v>
      </c>
      <c r="D1217" t="s">
        <v>1518</v>
      </c>
      <c r="E1217" t="s">
        <v>1538</v>
      </c>
      <c r="F1217" s="25" t="s">
        <v>79</v>
      </c>
    </row>
    <row r="1218" spans="2:6" x14ac:dyDescent="0.45">
      <c r="B1218">
        <v>688</v>
      </c>
      <c r="C1218">
        <v>98423</v>
      </c>
      <c r="D1218" t="s">
        <v>1518</v>
      </c>
      <c r="E1218" t="s">
        <v>1538</v>
      </c>
      <c r="F1218" s="25" t="s">
        <v>79</v>
      </c>
    </row>
    <row r="1219" spans="2:6" x14ac:dyDescent="0.45">
      <c r="B1219">
        <v>499</v>
      </c>
      <c r="C1219">
        <v>98423</v>
      </c>
      <c r="D1219" t="s">
        <v>1518</v>
      </c>
      <c r="E1219" t="s">
        <v>1538</v>
      </c>
      <c r="F1219" s="25" t="s">
        <v>79</v>
      </c>
    </row>
    <row r="1220" spans="2:6" x14ac:dyDescent="0.45">
      <c r="B1220">
        <v>832</v>
      </c>
      <c r="C1220">
        <v>98423</v>
      </c>
      <c r="D1220" t="s">
        <v>1518</v>
      </c>
      <c r="E1220" t="s">
        <v>1538</v>
      </c>
      <c r="F1220" s="25" t="s">
        <v>79</v>
      </c>
    </row>
    <row r="1221" spans="2:6" x14ac:dyDescent="0.45">
      <c r="B1221">
        <v>831</v>
      </c>
      <c r="C1221">
        <v>98423</v>
      </c>
      <c r="D1221" t="s">
        <v>1518</v>
      </c>
      <c r="E1221" t="s">
        <v>1538</v>
      </c>
      <c r="F1221" s="25" t="s">
        <v>79</v>
      </c>
    </row>
    <row r="1222" spans="2:6" x14ac:dyDescent="0.45">
      <c r="B1222">
        <v>412</v>
      </c>
      <c r="C1222">
        <v>98423</v>
      </c>
      <c r="D1222" t="s">
        <v>1518</v>
      </c>
      <c r="E1222" t="s">
        <v>1538</v>
      </c>
      <c r="F1222" s="25" t="s">
        <v>79</v>
      </c>
    </row>
    <row r="1223" spans="2:6" x14ac:dyDescent="0.45">
      <c r="B1223" s="25">
        <v>890</v>
      </c>
      <c r="C1223" s="25">
        <v>98423</v>
      </c>
      <c r="D1223" s="25" t="s">
        <v>1518</v>
      </c>
      <c r="E1223" s="25" t="s">
        <v>1538</v>
      </c>
      <c r="F1223" s="25" t="s">
        <v>79</v>
      </c>
    </row>
    <row r="1224" spans="2:6" x14ac:dyDescent="0.45">
      <c r="B1224">
        <v>48</v>
      </c>
      <c r="C1224">
        <v>98426</v>
      </c>
      <c r="D1224" t="s">
        <v>1518</v>
      </c>
      <c r="E1224" t="s">
        <v>1539</v>
      </c>
      <c r="F1224" s="25" t="s">
        <v>82</v>
      </c>
    </row>
    <row r="1225" spans="2:6" x14ac:dyDescent="0.45">
      <c r="B1225">
        <v>275</v>
      </c>
      <c r="C1225">
        <v>98426</v>
      </c>
      <c r="D1225" t="s">
        <v>1518</v>
      </c>
      <c r="E1225" t="s">
        <v>1539</v>
      </c>
      <c r="F1225" s="25" t="s">
        <v>82</v>
      </c>
    </row>
    <row r="1226" spans="2:6" x14ac:dyDescent="0.45">
      <c r="B1226">
        <v>368</v>
      </c>
      <c r="C1226">
        <v>98426</v>
      </c>
      <c r="D1226" t="s">
        <v>1518</v>
      </c>
      <c r="E1226" t="s">
        <v>1539</v>
      </c>
      <c r="F1226" s="25" t="s">
        <v>82</v>
      </c>
    </row>
    <row r="1227" spans="2:6" x14ac:dyDescent="0.45">
      <c r="B1227">
        <v>376</v>
      </c>
      <c r="C1227">
        <v>98426</v>
      </c>
      <c r="D1227" t="s">
        <v>1518</v>
      </c>
      <c r="E1227" t="s">
        <v>1539</v>
      </c>
      <c r="F1227" s="25" t="s">
        <v>82</v>
      </c>
    </row>
    <row r="1228" spans="2:6" x14ac:dyDescent="0.45">
      <c r="B1228">
        <v>400</v>
      </c>
      <c r="C1228">
        <v>98426</v>
      </c>
      <c r="D1228" t="s">
        <v>1518</v>
      </c>
      <c r="E1228" t="s">
        <v>1539</v>
      </c>
      <c r="F1228" s="25" t="s">
        <v>82</v>
      </c>
    </row>
    <row r="1229" spans="2:6" x14ac:dyDescent="0.45">
      <c r="B1229">
        <v>414</v>
      </c>
      <c r="C1229">
        <v>98426</v>
      </c>
      <c r="D1229" t="s">
        <v>1518</v>
      </c>
      <c r="E1229" t="s">
        <v>1539</v>
      </c>
      <c r="F1229" s="25" t="s">
        <v>82</v>
      </c>
    </row>
    <row r="1230" spans="2:6" x14ac:dyDescent="0.45">
      <c r="B1230">
        <v>422</v>
      </c>
      <c r="C1230">
        <v>98426</v>
      </c>
      <c r="D1230" t="s">
        <v>1518</v>
      </c>
      <c r="E1230" t="s">
        <v>1539</v>
      </c>
      <c r="F1230" s="25" t="s">
        <v>82</v>
      </c>
    </row>
    <row r="1231" spans="2:6" x14ac:dyDescent="0.45">
      <c r="B1231">
        <v>512</v>
      </c>
      <c r="C1231">
        <v>98426</v>
      </c>
      <c r="D1231" t="s">
        <v>1518</v>
      </c>
      <c r="E1231" t="s">
        <v>1539</v>
      </c>
      <c r="F1231" s="25" t="s">
        <v>82</v>
      </c>
    </row>
    <row r="1232" spans="2:6" x14ac:dyDescent="0.45">
      <c r="B1232">
        <v>574</v>
      </c>
      <c r="C1232">
        <v>98426</v>
      </c>
      <c r="D1232" t="s">
        <v>1518</v>
      </c>
      <c r="E1232" t="s">
        <v>1539</v>
      </c>
      <c r="F1232" s="25" t="s">
        <v>82</v>
      </c>
    </row>
    <row r="1233" spans="2:6" x14ac:dyDescent="0.45">
      <c r="B1233">
        <v>612</v>
      </c>
      <c r="C1233">
        <v>98426</v>
      </c>
      <c r="D1233" t="s">
        <v>1518</v>
      </c>
      <c r="E1233" t="s">
        <v>1539</v>
      </c>
      <c r="F1233" s="25" t="s">
        <v>82</v>
      </c>
    </row>
    <row r="1234" spans="2:6" x14ac:dyDescent="0.45">
      <c r="B1234">
        <v>634</v>
      </c>
      <c r="C1234">
        <v>98426</v>
      </c>
      <c r="D1234" t="s">
        <v>1518</v>
      </c>
      <c r="E1234" t="s">
        <v>1539</v>
      </c>
      <c r="F1234" s="25" t="s">
        <v>82</v>
      </c>
    </row>
    <row r="1235" spans="2:6" x14ac:dyDescent="0.45">
      <c r="B1235">
        <v>682</v>
      </c>
      <c r="C1235">
        <v>98426</v>
      </c>
      <c r="D1235" t="s">
        <v>1518</v>
      </c>
      <c r="E1235" t="s">
        <v>1539</v>
      </c>
      <c r="F1235" s="25" t="s">
        <v>82</v>
      </c>
    </row>
    <row r="1236" spans="2:6" x14ac:dyDescent="0.45">
      <c r="B1236">
        <v>760</v>
      </c>
      <c r="C1236">
        <v>98426</v>
      </c>
      <c r="D1236" t="s">
        <v>1518</v>
      </c>
      <c r="E1236" t="s">
        <v>1539</v>
      </c>
      <c r="F1236" s="25" t="s">
        <v>82</v>
      </c>
    </row>
    <row r="1237" spans="2:6" x14ac:dyDescent="0.45">
      <c r="B1237">
        <v>772</v>
      </c>
      <c r="C1237">
        <v>98426</v>
      </c>
      <c r="D1237" t="s">
        <v>1518</v>
      </c>
      <c r="E1237" t="s">
        <v>1539</v>
      </c>
      <c r="F1237" s="25" t="s">
        <v>82</v>
      </c>
    </row>
    <row r="1238" spans="2:6" x14ac:dyDescent="0.45">
      <c r="B1238">
        <v>784</v>
      </c>
      <c r="C1238">
        <v>98426</v>
      </c>
      <c r="D1238" t="s">
        <v>1518</v>
      </c>
      <c r="E1238" t="s">
        <v>1539</v>
      </c>
      <c r="F1238" s="25" t="s">
        <v>82</v>
      </c>
    </row>
    <row r="1239" spans="2:6" x14ac:dyDescent="0.45">
      <c r="B1239">
        <v>876</v>
      </c>
      <c r="C1239">
        <v>98426</v>
      </c>
      <c r="D1239" t="s">
        <v>1518</v>
      </c>
      <c r="E1239" t="s">
        <v>1539</v>
      </c>
      <c r="F1239" s="25" t="s">
        <v>82</v>
      </c>
    </row>
    <row r="1240" spans="2:6" x14ac:dyDescent="0.45">
      <c r="B1240">
        <v>887</v>
      </c>
      <c r="C1240">
        <v>98426</v>
      </c>
      <c r="D1240" t="s">
        <v>1518</v>
      </c>
      <c r="E1240" t="s">
        <v>1539</v>
      </c>
      <c r="F1240" s="25" t="s">
        <v>82</v>
      </c>
    </row>
    <row r="1241" spans="2:6" x14ac:dyDescent="0.45">
      <c r="B1241" s="25">
        <v>158</v>
      </c>
      <c r="C1241" s="25">
        <v>98426</v>
      </c>
      <c r="D1241" s="25" t="s">
        <v>1518</v>
      </c>
      <c r="E1241" s="25" t="s">
        <v>1539</v>
      </c>
      <c r="F1241" s="25" t="s">
        <v>82</v>
      </c>
    </row>
    <row r="1242" spans="2:6" x14ac:dyDescent="0.45">
      <c r="B1242" s="25">
        <v>162</v>
      </c>
      <c r="C1242" s="25">
        <v>98426</v>
      </c>
      <c r="D1242" s="25" t="s">
        <v>1518</v>
      </c>
      <c r="E1242" s="25" t="s">
        <v>1539</v>
      </c>
      <c r="F1242" s="25" t="s">
        <v>82</v>
      </c>
    </row>
    <row r="1243" spans="2:6" x14ac:dyDescent="0.45">
      <c r="B1243" s="25">
        <v>166</v>
      </c>
      <c r="C1243" s="25">
        <v>98426</v>
      </c>
      <c r="D1243" s="25" t="s">
        <v>1518</v>
      </c>
      <c r="E1243" s="25" t="s">
        <v>1539</v>
      </c>
      <c r="F1243" s="25" t="s">
        <v>82</v>
      </c>
    </row>
    <row r="1244" spans="2:6" x14ac:dyDescent="0.45">
      <c r="B1244" s="25">
        <v>74</v>
      </c>
      <c r="C1244" s="25">
        <v>98426</v>
      </c>
      <c r="D1244" s="25" t="s">
        <v>1518</v>
      </c>
      <c r="E1244" s="25" t="s">
        <v>1539</v>
      </c>
      <c r="F1244" s="25" t="s">
        <v>82</v>
      </c>
    </row>
    <row r="1245" spans="2:6" x14ac:dyDescent="0.45">
      <c r="B1245" s="25">
        <v>86</v>
      </c>
      <c r="C1245" s="25">
        <v>98426</v>
      </c>
      <c r="D1245" s="25" t="s">
        <v>1518</v>
      </c>
      <c r="E1245" s="25" t="s">
        <v>1539</v>
      </c>
      <c r="F1245" s="25" t="s">
        <v>82</v>
      </c>
    </row>
    <row r="1246" spans="2:6" x14ac:dyDescent="0.45">
      <c r="B1246" s="25">
        <v>334</v>
      </c>
      <c r="C1246" s="25">
        <v>98426</v>
      </c>
      <c r="D1246" s="25" t="s">
        <v>1518</v>
      </c>
      <c r="E1246" s="25" t="s">
        <v>1539</v>
      </c>
      <c r="F1246" s="25" t="s">
        <v>82</v>
      </c>
    </row>
    <row r="1247" spans="2:6" x14ac:dyDescent="0.45">
      <c r="B1247" s="25">
        <v>239</v>
      </c>
      <c r="C1247" s="25">
        <v>98426</v>
      </c>
      <c r="D1247" s="25" t="s">
        <v>1518</v>
      </c>
      <c r="E1247" s="25" t="s">
        <v>1539</v>
      </c>
      <c r="F1247" s="25" t="s">
        <v>82</v>
      </c>
    </row>
    <row r="1248" spans="2:6" x14ac:dyDescent="0.45">
      <c r="B1248" s="25">
        <v>10</v>
      </c>
      <c r="C1248" s="25">
        <v>98426</v>
      </c>
      <c r="D1248" s="25" t="s">
        <v>1518</v>
      </c>
      <c r="E1248" s="25" t="s">
        <v>1539</v>
      </c>
      <c r="F1248" s="25" t="s">
        <v>82</v>
      </c>
    </row>
    <row r="1249" spans="2:6" x14ac:dyDescent="0.45">
      <c r="B1249" s="25">
        <v>581</v>
      </c>
      <c r="C1249" s="25">
        <v>98426</v>
      </c>
      <c r="D1249" s="25" t="s">
        <v>1518</v>
      </c>
      <c r="E1249" s="25" t="s">
        <v>1539</v>
      </c>
      <c r="F1249" s="25" t="s">
        <v>82</v>
      </c>
    </row>
    <row r="1250" spans="2:6" x14ac:dyDescent="0.45">
      <c r="B1250" s="25">
        <v>260</v>
      </c>
      <c r="C1250" s="25">
        <v>98426</v>
      </c>
      <c r="D1250" s="25" t="s">
        <v>1518</v>
      </c>
      <c r="E1250" s="25" t="s">
        <v>1539</v>
      </c>
      <c r="F1250" s="25" t="s">
        <v>82</v>
      </c>
    </row>
    <row r="1251" spans="2:6" x14ac:dyDescent="0.45">
      <c r="B1251">
        <v>16</v>
      </c>
      <c r="C1251">
        <v>98427</v>
      </c>
      <c r="D1251" t="s">
        <v>1518</v>
      </c>
      <c r="E1251" t="s">
        <v>1540</v>
      </c>
      <c r="F1251" s="25" t="s">
        <v>83</v>
      </c>
    </row>
    <row r="1252" spans="2:6" x14ac:dyDescent="0.45">
      <c r="B1252">
        <v>90</v>
      </c>
      <c r="C1252">
        <v>98427</v>
      </c>
      <c r="D1252" t="s">
        <v>1518</v>
      </c>
      <c r="E1252" t="s">
        <v>1540</v>
      </c>
      <c r="F1252" s="25" t="s">
        <v>83</v>
      </c>
    </row>
    <row r="1253" spans="2:6" x14ac:dyDescent="0.45">
      <c r="B1253">
        <v>184</v>
      </c>
      <c r="C1253">
        <v>98427</v>
      </c>
      <c r="D1253" t="s">
        <v>1518</v>
      </c>
      <c r="E1253" t="s">
        <v>1540</v>
      </c>
      <c r="F1253" s="25" t="s">
        <v>83</v>
      </c>
    </row>
    <row r="1254" spans="2:6" x14ac:dyDescent="0.45">
      <c r="B1254">
        <v>242</v>
      </c>
      <c r="C1254">
        <v>98427</v>
      </c>
      <c r="D1254" t="s">
        <v>1518</v>
      </c>
      <c r="E1254" t="s">
        <v>1540</v>
      </c>
      <c r="F1254" s="25" t="s">
        <v>83</v>
      </c>
    </row>
    <row r="1255" spans="2:6" x14ac:dyDescent="0.45">
      <c r="B1255">
        <v>258</v>
      </c>
      <c r="C1255">
        <v>98427</v>
      </c>
      <c r="D1255" t="s">
        <v>1518</v>
      </c>
      <c r="E1255" t="s">
        <v>1540</v>
      </c>
      <c r="F1255" s="25" t="s">
        <v>83</v>
      </c>
    </row>
    <row r="1256" spans="2:6" x14ac:dyDescent="0.45">
      <c r="B1256">
        <v>296</v>
      </c>
      <c r="C1256">
        <v>98427</v>
      </c>
      <c r="D1256" t="s">
        <v>1518</v>
      </c>
      <c r="E1256" t="s">
        <v>1540</v>
      </c>
      <c r="F1256" s="25" t="s">
        <v>83</v>
      </c>
    </row>
    <row r="1257" spans="2:6" x14ac:dyDescent="0.45">
      <c r="B1257">
        <v>316</v>
      </c>
      <c r="C1257">
        <v>98427</v>
      </c>
      <c r="D1257" t="s">
        <v>1518</v>
      </c>
      <c r="E1257" t="s">
        <v>1540</v>
      </c>
      <c r="F1257" s="25" t="s">
        <v>83</v>
      </c>
    </row>
    <row r="1258" spans="2:6" x14ac:dyDescent="0.45">
      <c r="B1258">
        <v>520</v>
      </c>
      <c r="C1258">
        <v>98427</v>
      </c>
      <c r="D1258" t="s">
        <v>1518</v>
      </c>
      <c r="E1258" t="s">
        <v>1540</v>
      </c>
      <c r="F1258" s="25" t="s">
        <v>83</v>
      </c>
    </row>
    <row r="1259" spans="2:6" x14ac:dyDescent="0.45">
      <c r="B1259">
        <v>540</v>
      </c>
      <c r="C1259">
        <v>98427</v>
      </c>
      <c r="D1259" t="s">
        <v>1518</v>
      </c>
      <c r="E1259" t="s">
        <v>1540</v>
      </c>
      <c r="F1259" s="25" t="s">
        <v>83</v>
      </c>
    </row>
    <row r="1260" spans="2:6" x14ac:dyDescent="0.45">
      <c r="B1260">
        <v>548</v>
      </c>
      <c r="C1260">
        <v>98427</v>
      </c>
      <c r="D1260" t="s">
        <v>1518</v>
      </c>
      <c r="E1260" t="s">
        <v>1540</v>
      </c>
      <c r="F1260" s="25" t="s">
        <v>83</v>
      </c>
    </row>
    <row r="1261" spans="2:6" x14ac:dyDescent="0.45">
      <c r="B1261">
        <v>570</v>
      </c>
      <c r="C1261">
        <v>98427</v>
      </c>
      <c r="D1261" t="s">
        <v>1518</v>
      </c>
      <c r="E1261" t="s">
        <v>1540</v>
      </c>
      <c r="F1261" s="25" t="s">
        <v>83</v>
      </c>
    </row>
    <row r="1262" spans="2:6" x14ac:dyDescent="0.45">
      <c r="B1262">
        <v>580</v>
      </c>
      <c r="C1262">
        <v>98427</v>
      </c>
      <c r="D1262" t="s">
        <v>1518</v>
      </c>
      <c r="E1262" t="s">
        <v>1540</v>
      </c>
      <c r="F1262" s="25" t="s">
        <v>83</v>
      </c>
    </row>
    <row r="1263" spans="2:6" x14ac:dyDescent="0.45">
      <c r="B1263">
        <v>583</v>
      </c>
      <c r="C1263">
        <v>98427</v>
      </c>
      <c r="D1263" t="s">
        <v>1518</v>
      </c>
      <c r="E1263" t="s">
        <v>1540</v>
      </c>
      <c r="F1263" s="25" t="s">
        <v>83</v>
      </c>
    </row>
    <row r="1264" spans="2:6" x14ac:dyDescent="0.45">
      <c r="B1264">
        <v>584</v>
      </c>
      <c r="C1264">
        <v>98427</v>
      </c>
      <c r="D1264" t="s">
        <v>1518</v>
      </c>
      <c r="E1264" t="s">
        <v>1540</v>
      </c>
      <c r="F1264" s="25" t="s">
        <v>83</v>
      </c>
    </row>
    <row r="1265" spans="2:6" x14ac:dyDescent="0.45">
      <c r="B1265">
        <v>585</v>
      </c>
      <c r="C1265">
        <v>98427</v>
      </c>
      <c r="D1265" t="s">
        <v>1518</v>
      </c>
      <c r="E1265" t="s">
        <v>1540</v>
      </c>
      <c r="F1265" s="25" t="s">
        <v>83</v>
      </c>
    </row>
    <row r="1266" spans="2:6" x14ac:dyDescent="0.45">
      <c r="B1266">
        <v>598</v>
      </c>
      <c r="C1266">
        <v>98427</v>
      </c>
      <c r="D1266" t="s">
        <v>1518</v>
      </c>
      <c r="E1266" t="s">
        <v>1540</v>
      </c>
      <c r="F1266" s="25" t="s">
        <v>83</v>
      </c>
    </row>
    <row r="1267" spans="2:6" x14ac:dyDescent="0.45">
      <c r="B1267">
        <v>776</v>
      </c>
      <c r="C1267">
        <v>98427</v>
      </c>
      <c r="D1267" t="s">
        <v>1518</v>
      </c>
      <c r="E1267" t="s">
        <v>1540</v>
      </c>
      <c r="F1267" s="25" t="s">
        <v>83</v>
      </c>
    </row>
    <row r="1268" spans="2:6" x14ac:dyDescent="0.45">
      <c r="B1268">
        <v>798</v>
      </c>
      <c r="C1268">
        <v>98427</v>
      </c>
      <c r="D1268" t="s">
        <v>1518</v>
      </c>
      <c r="E1268" t="s">
        <v>1540</v>
      </c>
      <c r="F1268" s="25" t="s">
        <v>83</v>
      </c>
    </row>
    <row r="1269" spans="2:6" x14ac:dyDescent="0.45">
      <c r="B1269">
        <v>882</v>
      </c>
      <c r="C1269">
        <v>98427</v>
      </c>
      <c r="D1269" t="s">
        <v>1518</v>
      </c>
      <c r="E1269" t="s">
        <v>1540</v>
      </c>
      <c r="F1269" s="25" t="s">
        <v>83</v>
      </c>
    </row>
    <row r="1270" spans="2:6" x14ac:dyDescent="0.45">
      <c r="B1270">
        <v>16</v>
      </c>
      <c r="C1270">
        <v>98435</v>
      </c>
      <c r="D1270" t="s">
        <v>1518</v>
      </c>
      <c r="E1270" t="s">
        <v>1541</v>
      </c>
      <c r="F1270" s="25" t="s">
        <v>86</v>
      </c>
    </row>
    <row r="1271" spans="2:6" x14ac:dyDescent="0.45">
      <c r="B1271">
        <v>90</v>
      </c>
      <c r="C1271">
        <v>98435</v>
      </c>
      <c r="D1271" t="s">
        <v>1518</v>
      </c>
      <c r="E1271" t="s">
        <v>1541</v>
      </c>
      <c r="F1271" s="25" t="s">
        <v>86</v>
      </c>
    </row>
    <row r="1272" spans="2:6" x14ac:dyDescent="0.45">
      <c r="B1272">
        <v>184</v>
      </c>
      <c r="C1272">
        <v>98435</v>
      </c>
      <c r="D1272" t="s">
        <v>1518</v>
      </c>
      <c r="E1272" t="s">
        <v>1541</v>
      </c>
      <c r="F1272" s="25" t="s">
        <v>86</v>
      </c>
    </row>
    <row r="1273" spans="2:6" x14ac:dyDescent="0.45">
      <c r="B1273">
        <v>242</v>
      </c>
      <c r="C1273">
        <v>98435</v>
      </c>
      <c r="D1273" t="s">
        <v>1518</v>
      </c>
      <c r="E1273" t="s">
        <v>1541</v>
      </c>
      <c r="F1273" s="25" t="s">
        <v>86</v>
      </c>
    </row>
    <row r="1274" spans="2:6" x14ac:dyDescent="0.45">
      <c r="B1274">
        <v>258</v>
      </c>
      <c r="C1274">
        <v>98435</v>
      </c>
      <c r="D1274" t="s">
        <v>1518</v>
      </c>
      <c r="E1274" t="s">
        <v>1541</v>
      </c>
      <c r="F1274" s="25" t="s">
        <v>86</v>
      </c>
    </row>
    <row r="1275" spans="2:6" x14ac:dyDescent="0.45">
      <c r="B1275">
        <v>296</v>
      </c>
      <c r="C1275">
        <v>98435</v>
      </c>
      <c r="D1275" t="s">
        <v>1518</v>
      </c>
      <c r="E1275" t="s">
        <v>1541</v>
      </c>
      <c r="F1275" s="25" t="s">
        <v>86</v>
      </c>
    </row>
    <row r="1276" spans="2:6" x14ac:dyDescent="0.45">
      <c r="B1276">
        <v>316</v>
      </c>
      <c r="C1276">
        <v>98435</v>
      </c>
      <c r="D1276" t="s">
        <v>1518</v>
      </c>
      <c r="E1276" t="s">
        <v>1541</v>
      </c>
      <c r="F1276" s="25" t="s">
        <v>86</v>
      </c>
    </row>
    <row r="1277" spans="2:6" x14ac:dyDescent="0.45">
      <c r="B1277">
        <v>462</v>
      </c>
      <c r="C1277">
        <v>98435</v>
      </c>
      <c r="D1277" t="s">
        <v>1518</v>
      </c>
      <c r="E1277" t="s">
        <v>1541</v>
      </c>
      <c r="F1277" s="25" t="s">
        <v>86</v>
      </c>
    </row>
    <row r="1278" spans="2:6" x14ac:dyDescent="0.45">
      <c r="B1278">
        <v>520</v>
      </c>
      <c r="C1278">
        <v>98435</v>
      </c>
      <c r="D1278" t="s">
        <v>1518</v>
      </c>
      <c r="E1278" t="s">
        <v>1541</v>
      </c>
      <c r="F1278" s="25" t="s">
        <v>86</v>
      </c>
    </row>
    <row r="1279" spans="2:6" x14ac:dyDescent="0.45">
      <c r="B1279">
        <v>540</v>
      </c>
      <c r="C1279">
        <v>98435</v>
      </c>
      <c r="D1279" t="s">
        <v>1518</v>
      </c>
      <c r="E1279" t="s">
        <v>1541</v>
      </c>
      <c r="F1279" s="25" t="s">
        <v>86</v>
      </c>
    </row>
    <row r="1280" spans="2:6" x14ac:dyDescent="0.45">
      <c r="B1280">
        <v>548</v>
      </c>
      <c r="C1280">
        <v>98435</v>
      </c>
      <c r="D1280" t="s">
        <v>1518</v>
      </c>
      <c r="E1280" t="s">
        <v>1541</v>
      </c>
      <c r="F1280" s="25" t="s">
        <v>86</v>
      </c>
    </row>
    <row r="1281" spans="2:6" x14ac:dyDescent="0.45">
      <c r="B1281">
        <v>570</v>
      </c>
      <c r="C1281">
        <v>98435</v>
      </c>
      <c r="D1281" t="s">
        <v>1518</v>
      </c>
      <c r="E1281" t="s">
        <v>1541</v>
      </c>
      <c r="F1281" s="25" t="s">
        <v>86</v>
      </c>
    </row>
    <row r="1282" spans="2:6" x14ac:dyDescent="0.45">
      <c r="B1282">
        <v>580</v>
      </c>
      <c r="C1282">
        <v>98435</v>
      </c>
      <c r="D1282" t="s">
        <v>1518</v>
      </c>
      <c r="E1282" t="s">
        <v>1541</v>
      </c>
      <c r="F1282" s="25" t="s">
        <v>86</v>
      </c>
    </row>
    <row r="1283" spans="2:6" x14ac:dyDescent="0.45">
      <c r="B1283">
        <v>583</v>
      </c>
      <c r="C1283">
        <v>98435</v>
      </c>
      <c r="D1283" t="s">
        <v>1518</v>
      </c>
      <c r="E1283" t="s">
        <v>1541</v>
      </c>
      <c r="F1283" s="25" t="s">
        <v>86</v>
      </c>
    </row>
    <row r="1284" spans="2:6" x14ac:dyDescent="0.45">
      <c r="B1284">
        <v>584</v>
      </c>
      <c r="C1284">
        <v>98435</v>
      </c>
      <c r="D1284" t="s">
        <v>1518</v>
      </c>
      <c r="E1284" t="s">
        <v>1541</v>
      </c>
      <c r="F1284" s="25" t="s">
        <v>86</v>
      </c>
    </row>
    <row r="1285" spans="2:6" x14ac:dyDescent="0.45">
      <c r="B1285">
        <v>585</v>
      </c>
      <c r="C1285">
        <v>98435</v>
      </c>
      <c r="D1285" t="s">
        <v>1518</v>
      </c>
      <c r="E1285" t="s">
        <v>1541</v>
      </c>
      <c r="F1285" s="25" t="s">
        <v>86</v>
      </c>
    </row>
    <row r="1286" spans="2:6" x14ac:dyDescent="0.45">
      <c r="B1286">
        <v>598</v>
      </c>
      <c r="C1286">
        <v>98435</v>
      </c>
      <c r="D1286" t="s">
        <v>1518</v>
      </c>
      <c r="E1286" t="s">
        <v>1541</v>
      </c>
      <c r="F1286" s="25" t="s">
        <v>86</v>
      </c>
    </row>
    <row r="1287" spans="2:6" x14ac:dyDescent="0.45">
      <c r="B1287">
        <v>702</v>
      </c>
      <c r="C1287">
        <v>98435</v>
      </c>
      <c r="D1287" t="s">
        <v>1518</v>
      </c>
      <c r="E1287" t="s">
        <v>1541</v>
      </c>
      <c r="F1287" s="25" t="s">
        <v>86</v>
      </c>
    </row>
    <row r="1288" spans="2:6" x14ac:dyDescent="0.45">
      <c r="B1288">
        <v>776</v>
      </c>
      <c r="C1288">
        <v>98435</v>
      </c>
      <c r="D1288" t="s">
        <v>1518</v>
      </c>
      <c r="E1288" t="s">
        <v>1541</v>
      </c>
      <c r="F1288" s="25" t="s">
        <v>86</v>
      </c>
    </row>
    <row r="1289" spans="2:6" x14ac:dyDescent="0.45">
      <c r="B1289">
        <v>798</v>
      </c>
      <c r="C1289">
        <v>98435</v>
      </c>
      <c r="D1289" t="s">
        <v>1518</v>
      </c>
      <c r="E1289" t="s">
        <v>1541</v>
      </c>
      <c r="F1289" s="25" t="s">
        <v>86</v>
      </c>
    </row>
    <row r="1290" spans="2:6" x14ac:dyDescent="0.45">
      <c r="B1290">
        <v>882</v>
      </c>
      <c r="C1290">
        <v>98435</v>
      </c>
      <c r="D1290" t="s">
        <v>1518</v>
      </c>
      <c r="E1290" t="s">
        <v>1541</v>
      </c>
      <c r="F1290" s="25" t="s">
        <v>86</v>
      </c>
    </row>
    <row r="1291" spans="2:6" x14ac:dyDescent="0.45">
      <c r="B1291">
        <v>626</v>
      </c>
      <c r="C1291">
        <v>98435</v>
      </c>
      <c r="D1291" t="s">
        <v>1518</v>
      </c>
      <c r="E1291" t="s">
        <v>1541</v>
      </c>
      <c r="F1291" s="25" t="s">
        <v>86</v>
      </c>
    </row>
    <row r="1292" spans="2:6" x14ac:dyDescent="0.45">
      <c r="B1292" s="25">
        <v>368</v>
      </c>
      <c r="C1292" s="25">
        <v>98506</v>
      </c>
      <c r="D1292" s="25" t="s">
        <v>1512</v>
      </c>
      <c r="E1292" s="25" t="s">
        <v>1914</v>
      </c>
      <c r="F1292" s="25" t="s">
        <v>1911</v>
      </c>
    </row>
    <row r="1293" spans="2:6" x14ac:dyDescent="0.45">
      <c r="B1293" s="25">
        <v>434</v>
      </c>
      <c r="C1293" s="25">
        <v>98506</v>
      </c>
      <c r="D1293" s="25" t="s">
        <v>1512</v>
      </c>
      <c r="E1293" s="25" t="s">
        <v>1914</v>
      </c>
      <c r="F1293" s="25" t="s">
        <v>1911</v>
      </c>
    </row>
    <row r="1294" spans="2:6" x14ac:dyDescent="0.45">
      <c r="B1294" s="25">
        <v>706</v>
      </c>
      <c r="C1294" s="25">
        <v>98506</v>
      </c>
      <c r="D1294" s="25" t="s">
        <v>1512</v>
      </c>
      <c r="E1294" s="25" t="s">
        <v>1914</v>
      </c>
      <c r="F1294" s="25" t="s">
        <v>1911</v>
      </c>
    </row>
    <row r="1295" spans="2:6" x14ac:dyDescent="0.45">
      <c r="B1295" s="25">
        <v>729</v>
      </c>
      <c r="C1295" s="25">
        <v>98506</v>
      </c>
      <c r="D1295" s="25" t="s">
        <v>1512</v>
      </c>
      <c r="E1295" s="25" t="s">
        <v>1914</v>
      </c>
      <c r="F1295" s="25" t="s">
        <v>1911</v>
      </c>
    </row>
    <row r="1296" spans="2:6" x14ac:dyDescent="0.45">
      <c r="B1296" s="25">
        <v>760</v>
      </c>
      <c r="C1296" s="25">
        <v>98506</v>
      </c>
      <c r="D1296" s="25" t="s">
        <v>1512</v>
      </c>
      <c r="E1296" s="25" t="s">
        <v>1914</v>
      </c>
      <c r="F1296" s="25" t="s">
        <v>1911</v>
      </c>
    </row>
    <row r="1297" spans="2:6" x14ac:dyDescent="0.45">
      <c r="B1297" s="25">
        <v>275</v>
      </c>
      <c r="C1297" s="25">
        <v>98506</v>
      </c>
      <c r="D1297" s="25" t="s">
        <v>1512</v>
      </c>
      <c r="E1297" s="25" t="s">
        <v>1914</v>
      </c>
      <c r="F1297" s="25" t="s">
        <v>1911</v>
      </c>
    </row>
    <row r="1298" spans="2:6" x14ac:dyDescent="0.45">
      <c r="B1298" s="25">
        <v>887</v>
      </c>
      <c r="C1298" s="25">
        <v>98506</v>
      </c>
      <c r="D1298" s="25" t="s">
        <v>1512</v>
      </c>
      <c r="E1298" s="25" t="s">
        <v>1914</v>
      </c>
      <c r="F1298" s="25" t="s">
        <v>1911</v>
      </c>
    </row>
    <row r="1299" spans="2:6" x14ac:dyDescent="0.45">
      <c r="B1299" s="25">
        <v>12</v>
      </c>
      <c r="C1299" s="25">
        <v>98507</v>
      </c>
      <c r="D1299" s="25" t="s">
        <v>1512</v>
      </c>
      <c r="E1299" s="25" t="s">
        <v>1915</v>
      </c>
      <c r="F1299" s="25" t="s">
        <v>1912</v>
      </c>
    </row>
    <row r="1300" spans="2:6" x14ac:dyDescent="0.45">
      <c r="B1300" s="25">
        <v>400</v>
      </c>
      <c r="C1300" s="25">
        <v>98507</v>
      </c>
      <c r="D1300" s="25" t="s">
        <v>1512</v>
      </c>
      <c r="E1300" s="25" t="s">
        <v>1915</v>
      </c>
      <c r="F1300" s="25" t="s">
        <v>1912</v>
      </c>
    </row>
    <row r="1301" spans="2:6" x14ac:dyDescent="0.45">
      <c r="B1301" s="25">
        <v>422</v>
      </c>
      <c r="C1301" s="25">
        <v>98507</v>
      </c>
      <c r="D1301" s="25" t="s">
        <v>1512</v>
      </c>
      <c r="E1301" s="25" t="s">
        <v>1915</v>
      </c>
      <c r="F1301" s="25" t="s">
        <v>1912</v>
      </c>
    </row>
    <row r="1302" spans="2:6" x14ac:dyDescent="0.45">
      <c r="B1302" s="25">
        <v>504</v>
      </c>
      <c r="C1302" s="25">
        <v>98507</v>
      </c>
      <c r="D1302" s="25" t="s">
        <v>1512</v>
      </c>
      <c r="E1302" s="25" t="s">
        <v>1915</v>
      </c>
      <c r="F1302" s="25" t="s">
        <v>1912</v>
      </c>
    </row>
    <row r="1303" spans="2:6" x14ac:dyDescent="0.45">
      <c r="B1303" s="25">
        <v>788</v>
      </c>
      <c r="C1303" s="25">
        <v>98507</v>
      </c>
      <c r="D1303" s="25" t="s">
        <v>1512</v>
      </c>
      <c r="E1303" s="25" t="s">
        <v>1915</v>
      </c>
      <c r="F1303" s="25" t="s">
        <v>1912</v>
      </c>
    </row>
    <row r="1304" spans="2:6" x14ac:dyDescent="0.45">
      <c r="B1304" s="25">
        <v>818</v>
      </c>
      <c r="C1304" s="25">
        <v>98507</v>
      </c>
      <c r="D1304" s="25" t="s">
        <v>1512</v>
      </c>
      <c r="E1304" s="25" t="s">
        <v>1915</v>
      </c>
      <c r="F1304" s="25" t="s">
        <v>1912</v>
      </c>
    </row>
    <row r="1305" spans="2:6" x14ac:dyDescent="0.45">
      <c r="B1305" s="25">
        <v>51</v>
      </c>
      <c r="C1305" s="25">
        <v>98206</v>
      </c>
      <c r="D1305" s="25" t="s">
        <v>1502</v>
      </c>
      <c r="E1305" s="25" t="s">
        <v>2354</v>
      </c>
      <c r="F1305" s="25" t="s">
        <v>2350</v>
      </c>
    </row>
    <row r="1306" spans="2:6" x14ac:dyDescent="0.45">
      <c r="B1306" s="25">
        <v>112</v>
      </c>
      <c r="C1306" s="25">
        <v>98206</v>
      </c>
      <c r="D1306" s="25" t="s">
        <v>1502</v>
      </c>
      <c r="E1306" s="25" t="s">
        <v>2354</v>
      </c>
      <c r="F1306" s="25" t="s">
        <v>2350</v>
      </c>
    </row>
    <row r="1307" spans="2:6" x14ac:dyDescent="0.45">
      <c r="B1307" s="25">
        <v>398</v>
      </c>
      <c r="C1307" s="25">
        <v>98206</v>
      </c>
      <c r="D1307" s="25" t="s">
        <v>1502</v>
      </c>
      <c r="E1307" s="25" t="s">
        <v>2354</v>
      </c>
      <c r="F1307" s="25" t="s">
        <v>2350</v>
      </c>
    </row>
    <row r="1308" spans="2:6" x14ac:dyDescent="0.45">
      <c r="B1308" s="25">
        <v>417</v>
      </c>
      <c r="C1308" s="25">
        <v>98206</v>
      </c>
      <c r="D1308" s="25" t="s">
        <v>1502</v>
      </c>
      <c r="E1308" s="25" t="s">
        <v>2354</v>
      </c>
      <c r="F1308" s="25" t="s">
        <v>2350</v>
      </c>
    </row>
    <row r="1309" spans="2:6" x14ac:dyDescent="0.45">
      <c r="B1309" s="25">
        <v>643</v>
      </c>
      <c r="C1309" s="25">
        <v>98206</v>
      </c>
      <c r="D1309" s="25" t="s">
        <v>1502</v>
      </c>
      <c r="E1309" s="25" t="s">
        <v>2354</v>
      </c>
      <c r="F1309" s="25" t="s">
        <v>2350</v>
      </c>
    </row>
    <row r="1310" spans="2:6" x14ac:dyDescent="0.45">
      <c r="B1310" s="25">
        <v>12</v>
      </c>
      <c r="C1310" s="25">
        <v>98508</v>
      </c>
      <c r="D1310" s="25" t="s">
        <v>2357</v>
      </c>
      <c r="E1310" s="25" t="s">
        <v>2355</v>
      </c>
      <c r="F1310" s="25" t="s">
        <v>2351</v>
      </c>
    </row>
    <row r="1311" spans="2:6" x14ac:dyDescent="0.45">
      <c r="B1311" s="25">
        <v>174</v>
      </c>
      <c r="C1311" s="25">
        <v>98508</v>
      </c>
      <c r="D1311" s="25" t="s">
        <v>2357</v>
      </c>
      <c r="E1311" s="25" t="s">
        <v>2355</v>
      </c>
      <c r="F1311" s="25" t="s">
        <v>2351</v>
      </c>
    </row>
    <row r="1312" spans="2:6" x14ac:dyDescent="0.45">
      <c r="B1312" s="25">
        <v>262</v>
      </c>
      <c r="C1312" s="25">
        <v>98508</v>
      </c>
      <c r="D1312" s="25" t="s">
        <v>2357</v>
      </c>
      <c r="E1312" s="25" t="s">
        <v>2355</v>
      </c>
      <c r="F1312" s="25" t="s">
        <v>2351</v>
      </c>
    </row>
    <row r="1313" spans="2:6" x14ac:dyDescent="0.45">
      <c r="B1313" s="25">
        <v>368</v>
      </c>
      <c r="C1313" s="25">
        <v>98508</v>
      </c>
      <c r="D1313" s="25" t="s">
        <v>2357</v>
      </c>
      <c r="E1313" s="25" t="s">
        <v>2355</v>
      </c>
      <c r="F1313" s="25" t="s">
        <v>2351</v>
      </c>
    </row>
    <row r="1314" spans="2:6" x14ac:dyDescent="0.45">
      <c r="B1314" s="25">
        <v>400</v>
      </c>
      <c r="C1314" s="25">
        <v>98508</v>
      </c>
      <c r="D1314" s="25" t="s">
        <v>2357</v>
      </c>
      <c r="E1314" s="25" t="s">
        <v>2355</v>
      </c>
      <c r="F1314" s="25" t="s">
        <v>2351</v>
      </c>
    </row>
    <row r="1315" spans="2:6" x14ac:dyDescent="0.45">
      <c r="B1315" s="25">
        <v>422</v>
      </c>
      <c r="C1315" s="25">
        <v>98508</v>
      </c>
      <c r="D1315" s="25" t="s">
        <v>2357</v>
      </c>
      <c r="E1315" s="25" t="s">
        <v>2355</v>
      </c>
      <c r="F1315" s="25" t="s">
        <v>2351</v>
      </c>
    </row>
    <row r="1316" spans="2:6" x14ac:dyDescent="0.45">
      <c r="B1316" s="25">
        <v>434</v>
      </c>
      <c r="C1316" s="25">
        <v>98508</v>
      </c>
      <c r="D1316" s="25" t="s">
        <v>2357</v>
      </c>
      <c r="E1316" s="25" t="s">
        <v>2355</v>
      </c>
      <c r="F1316" s="25" t="s">
        <v>2351</v>
      </c>
    </row>
    <row r="1317" spans="2:6" x14ac:dyDescent="0.45">
      <c r="B1317" s="25">
        <v>478</v>
      </c>
      <c r="C1317" s="25">
        <v>98508</v>
      </c>
      <c r="D1317" s="25" t="s">
        <v>2357</v>
      </c>
      <c r="E1317" s="25" t="s">
        <v>2355</v>
      </c>
      <c r="F1317" s="25" t="s">
        <v>2351</v>
      </c>
    </row>
    <row r="1318" spans="2:6" x14ac:dyDescent="0.45">
      <c r="B1318" s="25">
        <v>504</v>
      </c>
      <c r="C1318" s="25">
        <v>98508</v>
      </c>
      <c r="D1318" s="25" t="s">
        <v>2357</v>
      </c>
      <c r="E1318" s="25" t="s">
        <v>2355</v>
      </c>
      <c r="F1318" s="25" t="s">
        <v>2351</v>
      </c>
    </row>
    <row r="1319" spans="2:6" x14ac:dyDescent="0.45">
      <c r="B1319" s="25">
        <v>788</v>
      </c>
      <c r="C1319" s="25">
        <v>98508</v>
      </c>
      <c r="D1319" s="25" t="s">
        <v>2357</v>
      </c>
      <c r="E1319" s="25" t="s">
        <v>2355</v>
      </c>
      <c r="F1319" s="25" t="s">
        <v>2351</v>
      </c>
    </row>
    <row r="1320" spans="2:6" x14ac:dyDescent="0.45">
      <c r="B1320" s="25">
        <v>818</v>
      </c>
      <c r="C1320" s="25">
        <v>98508</v>
      </c>
      <c r="D1320" s="25" t="s">
        <v>2357</v>
      </c>
      <c r="E1320" s="25" t="s">
        <v>2355</v>
      </c>
      <c r="F1320" s="25" t="s">
        <v>2351</v>
      </c>
    </row>
    <row r="1321" spans="2:6" x14ac:dyDescent="0.45">
      <c r="B1321" s="25">
        <v>275</v>
      </c>
      <c r="C1321" s="25">
        <v>98508</v>
      </c>
      <c r="D1321" s="25" t="s">
        <v>2357</v>
      </c>
      <c r="E1321" s="25" t="s">
        <v>2355</v>
      </c>
      <c r="F1321" s="25" t="s">
        <v>2351</v>
      </c>
    </row>
    <row r="1322" spans="2:6" x14ac:dyDescent="0.45">
      <c r="B1322" s="25">
        <v>706</v>
      </c>
      <c r="C1322" s="25">
        <v>98509</v>
      </c>
      <c r="D1322" s="25" t="s">
        <v>2357</v>
      </c>
      <c r="E1322" s="25" t="s">
        <v>2356</v>
      </c>
      <c r="F1322" s="25" t="s">
        <v>2352</v>
      </c>
    </row>
    <row r="1323" spans="2:6" x14ac:dyDescent="0.45">
      <c r="B1323" s="25">
        <v>729</v>
      </c>
      <c r="C1323" s="25">
        <v>98509</v>
      </c>
      <c r="D1323" s="25" t="s">
        <v>2357</v>
      </c>
      <c r="E1323" s="25" t="s">
        <v>2356</v>
      </c>
      <c r="F1323" s="25" t="s">
        <v>2352</v>
      </c>
    </row>
    <row r="1324" spans="2:6" x14ac:dyDescent="0.45">
      <c r="B1324" s="25">
        <v>760</v>
      </c>
      <c r="C1324" s="25">
        <v>98509</v>
      </c>
      <c r="D1324" s="25" t="s">
        <v>2357</v>
      </c>
      <c r="E1324" s="25" t="s">
        <v>2356</v>
      </c>
      <c r="F1324" s="25" t="s">
        <v>2352</v>
      </c>
    </row>
    <row r="1325" spans="2:6" x14ac:dyDescent="0.45">
      <c r="B1325" s="25">
        <v>887</v>
      </c>
      <c r="C1325" s="25">
        <v>98509</v>
      </c>
      <c r="D1325" s="25" t="s">
        <v>2357</v>
      </c>
      <c r="E1325" s="25" t="s">
        <v>2356</v>
      </c>
      <c r="F1325" s="25" t="s">
        <v>2352</v>
      </c>
    </row>
  </sheetData>
  <phoneticPr fontId="28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8ADCC053FA4744AC657464EE54EC92" ma:contentTypeVersion="19" ma:contentTypeDescription="Create a new document." ma:contentTypeScope="" ma:versionID="6862abe25e3fbcf9d0066d2f0f2df091">
  <xsd:schema xmlns:xsd="http://www.w3.org/2001/XMLSchema" xmlns:xs="http://www.w3.org/2001/XMLSchema" xmlns:p="http://schemas.microsoft.com/office/2006/metadata/properties" xmlns:ns2="6008af7c-7336-455d-908f-b3985f6b41c4" xmlns:ns3="1fadec40-f76d-4b3e-8485-fdb1afd944ef" targetNamespace="http://schemas.microsoft.com/office/2006/metadata/properties" ma:root="true" ma:fieldsID="591017ade8f6076c33dd566d018f407e" ns2:_="" ns3:_="">
    <xsd:import namespace="6008af7c-7336-455d-908f-b3985f6b41c4"/>
    <xsd:import namespace="1fadec40-f76d-4b3e-8485-fdb1afd944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8af7c-7336-455d-908f-b3985f6b41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5a77ea5-3d14-4585-9531-26d6f492a4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dec40-f76d-4b3e-8485-fdb1afd944e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9e8c691-312a-4b2b-8ea5-de99169863b4}" ma:internalName="TaxCatchAll" ma:showField="CatchAllData" ma:web="1fadec40-f76d-4b3e-8485-fdb1afd944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008af7c-7336-455d-908f-b3985f6b41c4" xsi:nil="true"/>
    <TaxCatchAll xmlns="1fadec40-f76d-4b3e-8485-fdb1afd944ef" xsi:nil="true"/>
    <lcf76f155ced4ddcb4097134ff3c332f xmlns="6008af7c-7336-455d-908f-b3985f6b41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141603-DE23-43BA-AECF-9F900DAF10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08af7c-7336-455d-908f-b3985f6b41c4"/>
    <ds:schemaRef ds:uri="1fadec40-f76d-4b3e-8485-fdb1afd944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AE89C5-7FFB-4E8E-BAA7-E849D64DFE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8B0E4D-4B02-4541-9D42-C6E037D3E3F2}">
  <ds:schemaRefs>
    <ds:schemaRef ds:uri="http://purl.org/dc/terms/"/>
    <ds:schemaRef ds:uri="6008af7c-7336-455d-908f-b3985f6b41c4"/>
    <ds:schemaRef ds:uri="1fadec40-f76d-4b3e-8485-fdb1afd944ef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Cleanup</vt:lpstr>
      <vt:lpstr>tCountries</vt:lpstr>
      <vt:lpstr>RegionalCommissions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Alonso Escamilla</dc:creator>
  <cp:keywords/>
  <dc:description/>
  <cp:lastModifiedBy>Gerardo Escamilla</cp:lastModifiedBy>
  <cp:revision/>
  <cp:lastPrinted>2022-12-23T20:44:42Z</cp:lastPrinted>
  <dcterms:created xsi:type="dcterms:W3CDTF">2018-07-24T05:09:36Z</dcterms:created>
  <dcterms:modified xsi:type="dcterms:W3CDTF">2026-03-14T18:17:18Z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0x010100BE8ADCC053FA4744AC657464EE54EC92</vt:lpwstr>
  </property>
  <property fmtid="{D5CDD505-2E9C-101B-9397-08002B2CF9AE}" pid="3" name="Order">
    <vt:r8>117600</vt:r8>
  </property>
  <property fmtid="{D5CDD505-2E9C-101B-9397-08002B2CF9AE}" pid="4" name="MediaServiceImageTags">
    <vt:lpwstr/>
  </property>
</Properties>
</file>