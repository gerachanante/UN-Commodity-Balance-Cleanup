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T:\Indexes\"/>
    </mc:Choice>
  </mc:AlternateContent>
  <xr:revisionPtr revIDLastSave="0" documentId="13_ncr:1_{0534ADA6-2EF7-4AE0-BF87-51B1118068C5}" xr6:coauthVersionLast="47" xr6:coauthVersionMax="47" xr10:uidLastSave="{00000000-0000-0000-0000-000000000000}"/>
  <bookViews>
    <workbookView xWindow="-28920" yWindow="-120" windowWidth="29040" windowHeight="15720" activeTab="1" xr2:uid="{AE79CC6E-5C49-4823-BA10-83439A30AA43}"/>
  </bookViews>
  <sheets>
    <sheet name="Taxonomy" sheetId="3" r:id="rId1"/>
    <sheet name="Products" sheetId="5" r:id="rId2"/>
    <sheet name="Processes" sheetId="6" r:id="rId3"/>
    <sheet name="Codes" sheetId="1" state="hidden" r:id="rId4"/>
    <sheet name="Code Cleanup" sheetId="2" r:id="rId5"/>
  </sheets>
  <externalReferences>
    <externalReference r:id="rId6"/>
  </externalReferences>
  <definedNames>
    <definedName name="Language">[1]Menu!$S$1</definedName>
    <definedName name="_xlnm.Print_Area" localSheetId="0">Taxonomy!$A$1:$DH$112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7" i="5" l="1" a="1"/>
  <c r="T57" i="5" s="1"/>
  <c r="U57" i="5" s="1" a="1"/>
  <c r="U57" i="5" s="1"/>
  <c r="V57" i="5" s="1" a="1"/>
  <c r="V57" i="5" s="1"/>
  <c r="W57" i="5" s="1" a="1"/>
  <c r="W57" i="5" s="1"/>
  <c r="X57" i="5" s="1" a="1"/>
  <c r="X57" i="5" s="1"/>
  <c r="Y57" i="5" s="1" a="1"/>
  <c r="Y57" i="5" s="1"/>
  <c r="Z57" i="5" s="1" a="1"/>
  <c r="Z57" i="5" s="1"/>
  <c r="AA57" i="5" s="1" a="1"/>
  <c r="AA57" i="5" s="1"/>
  <c r="AB57" i="5" s="1"/>
  <c r="AC57" i="5" s="1"/>
  <c r="AD57" i="5" s="1"/>
  <c r="AE57" i="5" s="1"/>
  <c r="AF57" i="5" s="1"/>
  <c r="AG57" i="5" s="1"/>
  <c r="AH57" i="5" s="1"/>
  <c r="AI57" i="5" s="1"/>
  <c r="T207" i="5" a="1"/>
  <c r="T207" i="5" s="1"/>
  <c r="U207" i="5" s="1" a="1"/>
  <c r="U207" i="5" s="1"/>
  <c r="V207" i="5" s="1" a="1"/>
  <c r="V207" i="5" s="1"/>
  <c r="W207" i="5" s="1" a="1"/>
  <c r="W207" i="5" s="1"/>
  <c r="X207" i="5" s="1" a="1"/>
  <c r="X207" i="5" s="1"/>
  <c r="Y207" i="5" s="1" a="1"/>
  <c r="Y207" i="5" s="1"/>
  <c r="Z207" i="5" s="1" a="1"/>
  <c r="Z207" i="5" s="1"/>
  <c r="AA207" i="5" s="1" a="1"/>
  <c r="AA207" i="5" s="1"/>
  <c r="AB207" i="5" s="1"/>
  <c r="AC207" i="5" s="1"/>
  <c r="AD207" i="5" s="1"/>
  <c r="AE207" i="5" s="1"/>
  <c r="AF207" i="5" s="1"/>
  <c r="AG207" i="5" s="1"/>
  <c r="AH207" i="5" s="1"/>
  <c r="AI207" i="5" s="1"/>
  <c r="T84" i="5" a="1"/>
  <c r="T84" i="5" s="1"/>
  <c r="U84" i="5" s="1" a="1"/>
  <c r="U84" i="5" s="1"/>
  <c r="V84" i="5" s="1" a="1"/>
  <c r="V84" i="5" s="1"/>
  <c r="W84" i="5" s="1" a="1"/>
  <c r="W84" i="5" s="1"/>
  <c r="X84" i="5" s="1" a="1"/>
  <c r="X84" i="5" s="1"/>
  <c r="Y84" i="5" s="1" a="1"/>
  <c r="Y84" i="5" s="1"/>
  <c r="Z84" i="5" s="1" a="1"/>
  <c r="Z84" i="5" s="1"/>
  <c r="AA84" i="5" s="1" a="1"/>
  <c r="AA84" i="5" s="1"/>
  <c r="AB84" i="5" s="1"/>
  <c r="AC84" i="5" s="1"/>
  <c r="AD84" i="5" s="1"/>
  <c r="AE84" i="5" s="1"/>
  <c r="AF84" i="5" s="1"/>
  <c r="AG84" i="5" s="1"/>
  <c r="AH84" i="5" s="1"/>
  <c r="AI84" i="5" s="1"/>
  <c r="K22" i="2"/>
  <c r="K25" i="2"/>
  <c r="K26" i="2"/>
  <c r="K27" i="2"/>
  <c r="K31" i="2"/>
  <c r="K32" i="2"/>
  <c r="K33" i="2"/>
  <c r="K38" i="2"/>
  <c r="K39" i="2"/>
  <c r="K40" i="2"/>
  <c r="K252" i="2"/>
  <c r="K256" i="2"/>
  <c r="K34" i="2"/>
  <c r="K35" i="2"/>
  <c r="K36" i="2"/>
  <c r="K23" i="2"/>
  <c r="K24" i="2"/>
  <c r="K44" i="2"/>
  <c r="K46" i="2"/>
  <c r="K47" i="2"/>
  <c r="K37" i="2"/>
  <c r="K45" i="2"/>
  <c r="K28" i="2"/>
  <c r="K29" i="2"/>
  <c r="K30" i="2"/>
  <c r="K41" i="2"/>
  <c r="K42" i="2"/>
  <c r="K43" i="2"/>
  <c r="K346" i="2" l="1"/>
  <c r="K80" i="2" l="1"/>
  <c r="K98" i="2"/>
  <c r="K191" i="2"/>
  <c r="K390" i="2"/>
  <c r="K254" i="2"/>
  <c r="K503" i="2"/>
  <c r="K478" i="2"/>
  <c r="K123" i="2"/>
  <c r="K424" i="2"/>
  <c r="K426" i="2"/>
  <c r="K619" i="2"/>
  <c r="K758" i="2"/>
  <c r="K316" i="2"/>
  <c r="K262" i="2"/>
  <c r="K859" i="2"/>
  <c r="K863" i="2"/>
  <c r="K851" i="2"/>
  <c r="K813" i="2"/>
  <c r="O4" i="2" a="1"/>
  <c r="O4" i="2" s="1"/>
  <c r="T298" i="5" l="1" a="1"/>
  <c r="T298" i="5" s="1"/>
  <c r="U298" i="5" s="1" a="1"/>
  <c r="U298" i="5" s="1"/>
  <c r="V298" i="5" s="1" a="1"/>
  <c r="V298" i="5" s="1"/>
  <c r="W298" i="5" s="1" a="1"/>
  <c r="W298" i="5" s="1"/>
  <c r="X298" i="5" s="1" a="1"/>
  <c r="X298" i="5" s="1"/>
  <c r="Y298" i="5" s="1" a="1"/>
  <c r="Y298" i="5" s="1"/>
  <c r="Z298" i="5" s="1" a="1"/>
  <c r="Z298" i="5" s="1"/>
  <c r="AA298" i="5" s="1" a="1"/>
  <c r="AA298" i="5" s="1"/>
  <c r="AB298" i="5" s="1"/>
  <c r="AC298" i="5" s="1"/>
  <c r="AD298" i="5" s="1"/>
  <c r="AE298" i="5" s="1"/>
  <c r="AF298" i="5" s="1"/>
  <c r="AG298" i="5" s="1"/>
  <c r="AH298" i="5" s="1"/>
  <c r="AI298" i="5" s="1"/>
  <c r="T297" i="5" a="1"/>
  <c r="T297" i="5" s="1"/>
  <c r="U297" i="5" s="1" a="1"/>
  <c r="U297" i="5" s="1"/>
  <c r="V297" i="5" s="1" a="1"/>
  <c r="V297" i="5" s="1"/>
  <c r="W297" i="5" s="1" a="1"/>
  <c r="W297" i="5" s="1"/>
  <c r="X297" i="5" s="1" a="1"/>
  <c r="X297" i="5" s="1"/>
  <c r="Y297" i="5" s="1" a="1"/>
  <c r="Y297" i="5" s="1"/>
  <c r="Z297" i="5" s="1" a="1"/>
  <c r="Z297" i="5" s="1"/>
  <c r="AA297" i="5" s="1" a="1"/>
  <c r="AA297" i="5" s="1"/>
  <c r="AB297" i="5" s="1"/>
  <c r="AC297" i="5" s="1"/>
  <c r="AD297" i="5" s="1"/>
  <c r="AE297" i="5" s="1"/>
  <c r="AF297" i="5" s="1"/>
  <c r="AG297" i="5" s="1"/>
  <c r="AH297" i="5" s="1"/>
  <c r="AI297" i="5" s="1"/>
  <c r="T211" i="5" l="1" a="1"/>
  <c r="T211" i="5" s="1"/>
  <c r="U211" i="5" s="1" a="1"/>
  <c r="U211" i="5" s="1"/>
  <c r="V211" i="5" s="1" a="1"/>
  <c r="V211" i="5" s="1"/>
  <c r="W211" i="5" s="1" a="1"/>
  <c r="W211" i="5" s="1"/>
  <c r="X211" i="5" s="1" a="1"/>
  <c r="X211" i="5" s="1"/>
  <c r="Y211" i="5" s="1" a="1"/>
  <c r="Y211" i="5" s="1"/>
  <c r="Z211" i="5" s="1" a="1"/>
  <c r="Z211" i="5" s="1"/>
  <c r="AA211" i="5" s="1" a="1"/>
  <c r="AA211" i="5" s="1"/>
  <c r="AB211" i="5" s="1"/>
  <c r="AC211" i="5" s="1"/>
  <c r="AD211" i="5" s="1"/>
  <c r="AE211" i="5" s="1"/>
  <c r="AF211" i="5" s="1"/>
  <c r="AG211" i="5" s="1"/>
  <c r="AH211" i="5" s="1"/>
  <c r="AI211" i="5" s="1"/>
  <c r="K679" i="2"/>
  <c r="K680" i="2"/>
  <c r="K404" i="2"/>
  <c r="K706" i="2"/>
  <c r="K259" i="2"/>
  <c r="K403" i="2"/>
  <c r="K705" i="2"/>
  <c r="K240" i="2"/>
  <c r="K446" i="2"/>
  <c r="K127" i="2"/>
  <c r="K408" i="2"/>
  <c r="T166" i="5" a="1"/>
  <c r="T166" i="5" s="1"/>
  <c r="U166" i="5" s="1" a="1"/>
  <c r="U166" i="5" s="1"/>
  <c r="V166" i="5" s="1" a="1"/>
  <c r="V166" i="5" s="1"/>
  <c r="W166" i="5" s="1" a="1"/>
  <c r="W166" i="5" s="1"/>
  <c r="X166" i="5" s="1" a="1"/>
  <c r="X166" i="5" s="1"/>
  <c r="Y166" i="5" s="1" a="1"/>
  <c r="Y166" i="5" s="1"/>
  <c r="Z166" i="5" s="1" a="1"/>
  <c r="Z166" i="5" s="1"/>
  <c r="AA166" i="5" s="1" a="1"/>
  <c r="AA166" i="5" s="1"/>
  <c r="AB166" i="5" s="1"/>
  <c r="AC166" i="5" s="1"/>
  <c r="AD166" i="5" s="1"/>
  <c r="AE166" i="5" s="1"/>
  <c r="AF166" i="5" s="1"/>
  <c r="AG166" i="5" s="1"/>
  <c r="AH166" i="5" s="1"/>
  <c r="AI166" i="5" s="1"/>
  <c r="T167" i="5" a="1"/>
  <c r="T167" i="5" s="1"/>
  <c r="U167" i="5" s="1" a="1"/>
  <c r="U167" i="5" s="1"/>
  <c r="V167" i="5" s="1" a="1"/>
  <c r="V167" i="5" s="1"/>
  <c r="W167" i="5" s="1" a="1"/>
  <c r="W167" i="5" s="1"/>
  <c r="X167" i="5" s="1" a="1"/>
  <c r="X167" i="5" s="1"/>
  <c r="Y167" i="5" s="1" a="1"/>
  <c r="Y167" i="5" s="1"/>
  <c r="Z167" i="5" s="1" a="1"/>
  <c r="Z167" i="5" s="1"/>
  <c r="AA167" i="5" s="1" a="1"/>
  <c r="AA167" i="5" s="1"/>
  <c r="AB167" i="5" s="1"/>
  <c r="AC167" i="5" s="1"/>
  <c r="AD167" i="5" s="1"/>
  <c r="AE167" i="5" s="1"/>
  <c r="AF167" i="5" s="1"/>
  <c r="AG167" i="5" s="1"/>
  <c r="AH167" i="5" s="1"/>
  <c r="AI167" i="5" s="1"/>
  <c r="T161" i="5" a="1"/>
  <c r="T161" i="5" s="1"/>
  <c r="U161" i="5" s="1" a="1"/>
  <c r="U161" i="5" s="1"/>
  <c r="V161" i="5" s="1" a="1"/>
  <c r="V161" i="5" s="1"/>
  <c r="W161" i="5" s="1" a="1"/>
  <c r="W161" i="5" s="1"/>
  <c r="X161" i="5" s="1" a="1"/>
  <c r="X161" i="5" s="1"/>
  <c r="Y161" i="5" s="1" a="1"/>
  <c r="Y161" i="5" s="1"/>
  <c r="Z161" i="5" s="1" a="1"/>
  <c r="Z161" i="5" s="1"/>
  <c r="AA161" i="5" s="1" a="1"/>
  <c r="AA161" i="5" s="1"/>
  <c r="AB161" i="5" s="1"/>
  <c r="AC161" i="5" s="1"/>
  <c r="AD161" i="5" s="1"/>
  <c r="AE161" i="5" s="1"/>
  <c r="AF161" i="5" s="1"/>
  <c r="AG161" i="5" s="1"/>
  <c r="AH161" i="5" s="1"/>
  <c r="AI161" i="5" s="1"/>
  <c r="T162" i="5" a="1"/>
  <c r="T162" i="5" s="1"/>
  <c r="U162" i="5" s="1" a="1"/>
  <c r="U162" i="5" s="1"/>
  <c r="V162" i="5" s="1" a="1"/>
  <c r="V162" i="5" s="1"/>
  <c r="W162" i="5" s="1" a="1"/>
  <c r="W162" i="5" s="1"/>
  <c r="X162" i="5" s="1" a="1"/>
  <c r="X162" i="5" s="1"/>
  <c r="Y162" i="5" s="1" a="1"/>
  <c r="Y162" i="5" s="1"/>
  <c r="Z162" i="5" s="1" a="1"/>
  <c r="Z162" i="5" s="1"/>
  <c r="AA162" i="5" s="1" a="1"/>
  <c r="AA162" i="5" s="1"/>
  <c r="AB162" i="5" s="1"/>
  <c r="AC162" i="5" s="1"/>
  <c r="AD162" i="5" s="1"/>
  <c r="AE162" i="5" s="1"/>
  <c r="AF162" i="5" s="1"/>
  <c r="AG162" i="5" s="1"/>
  <c r="AH162" i="5" s="1"/>
  <c r="AI162" i="5" s="1"/>
  <c r="T163" i="5" a="1"/>
  <c r="T163" i="5" s="1"/>
  <c r="U163" i="5" s="1" a="1"/>
  <c r="U163" i="5" s="1"/>
  <c r="V163" i="5" s="1" a="1"/>
  <c r="V163" i="5" s="1"/>
  <c r="W163" i="5" s="1" a="1"/>
  <c r="W163" i="5" s="1"/>
  <c r="X163" i="5" s="1" a="1"/>
  <c r="X163" i="5" s="1"/>
  <c r="Y163" i="5" s="1" a="1"/>
  <c r="Y163" i="5" s="1"/>
  <c r="Z163" i="5" s="1" a="1"/>
  <c r="Z163" i="5" s="1"/>
  <c r="AA163" i="5" s="1" a="1"/>
  <c r="AA163" i="5" s="1"/>
  <c r="AB163" i="5" s="1"/>
  <c r="AC163" i="5" s="1"/>
  <c r="AD163" i="5" s="1"/>
  <c r="AE163" i="5" s="1"/>
  <c r="AF163" i="5" s="1"/>
  <c r="AG163" i="5" s="1"/>
  <c r="AH163" i="5" s="1"/>
  <c r="AI163" i="5" s="1"/>
  <c r="T164" i="5" a="1"/>
  <c r="T164" i="5" s="1"/>
  <c r="U164" i="5" s="1" a="1"/>
  <c r="U164" i="5" s="1"/>
  <c r="V164" i="5" s="1" a="1"/>
  <c r="V164" i="5" s="1"/>
  <c r="W164" i="5" s="1" a="1"/>
  <c r="W164" i="5" s="1"/>
  <c r="X164" i="5" s="1" a="1"/>
  <c r="X164" i="5" s="1"/>
  <c r="Y164" i="5" s="1" a="1"/>
  <c r="Y164" i="5" s="1"/>
  <c r="Z164" i="5" s="1" a="1"/>
  <c r="Z164" i="5" s="1"/>
  <c r="AA164" i="5" s="1" a="1"/>
  <c r="AA164" i="5" s="1"/>
  <c r="AB164" i="5" s="1"/>
  <c r="AC164" i="5" s="1"/>
  <c r="AD164" i="5" s="1"/>
  <c r="AE164" i="5" s="1"/>
  <c r="AF164" i="5" s="1"/>
  <c r="AG164" i="5" s="1"/>
  <c r="AH164" i="5" s="1"/>
  <c r="AI164" i="5" s="1"/>
  <c r="T165" i="5" a="1"/>
  <c r="T165" i="5" s="1"/>
  <c r="U165" i="5" s="1" a="1"/>
  <c r="U165" i="5" s="1"/>
  <c r="V165" i="5" s="1" a="1"/>
  <c r="V165" i="5" s="1"/>
  <c r="W165" i="5" s="1" a="1"/>
  <c r="W165" i="5" s="1"/>
  <c r="X165" i="5" s="1" a="1"/>
  <c r="X165" i="5" s="1"/>
  <c r="Y165" i="5" s="1" a="1"/>
  <c r="Y165" i="5" s="1"/>
  <c r="Z165" i="5" s="1" a="1"/>
  <c r="Z165" i="5" s="1"/>
  <c r="AA165" i="5" s="1" a="1"/>
  <c r="AA165" i="5" s="1"/>
  <c r="AB165" i="5" s="1"/>
  <c r="AC165" i="5" s="1"/>
  <c r="AD165" i="5" s="1"/>
  <c r="AE165" i="5" s="1"/>
  <c r="AF165" i="5" s="1"/>
  <c r="AG165" i="5" s="1"/>
  <c r="AH165" i="5" s="1"/>
  <c r="AI165" i="5" s="1"/>
  <c r="T239" i="5" l="1" a="1"/>
  <c r="T239" i="5" s="1"/>
  <c r="U239" i="5" s="1" a="1"/>
  <c r="U239" i="5" s="1"/>
  <c r="V239" i="5" s="1" a="1"/>
  <c r="V239" i="5" s="1"/>
  <c r="W239" i="5" s="1" a="1"/>
  <c r="W239" i="5" s="1"/>
  <c r="X239" i="5" s="1" a="1"/>
  <c r="X239" i="5" s="1"/>
  <c r="Y239" i="5" s="1" a="1"/>
  <c r="Y239" i="5" s="1"/>
  <c r="Z239" i="5" s="1" a="1"/>
  <c r="Z239" i="5" s="1"/>
  <c r="AA239" i="5" s="1" a="1"/>
  <c r="AA239" i="5" s="1"/>
  <c r="AB239" i="5" s="1"/>
  <c r="AC239" i="5" s="1"/>
  <c r="AD239" i="5" s="1"/>
  <c r="AE239" i="5" s="1"/>
  <c r="AF239" i="5" s="1"/>
  <c r="AG239" i="5" s="1"/>
  <c r="AH239" i="5" s="1"/>
  <c r="AI239" i="5" s="1"/>
  <c r="T296" i="5" a="1"/>
  <c r="T296" i="5" s="1"/>
  <c r="U296" i="5" s="1" a="1"/>
  <c r="U296" i="5" s="1"/>
  <c r="V296" i="5" s="1" a="1"/>
  <c r="V296" i="5" s="1"/>
  <c r="W296" i="5" s="1" a="1"/>
  <c r="W296" i="5" s="1"/>
  <c r="X296" i="5" s="1" a="1"/>
  <c r="X296" i="5" s="1"/>
  <c r="Y296" i="5" s="1" a="1"/>
  <c r="Y296" i="5" s="1"/>
  <c r="Z296" i="5" s="1" a="1"/>
  <c r="Z296" i="5" s="1"/>
  <c r="AA296" i="5" s="1" a="1"/>
  <c r="AA296" i="5" s="1"/>
  <c r="AB296" i="5" s="1"/>
  <c r="AC296" i="5" s="1"/>
  <c r="AD296" i="5" s="1"/>
  <c r="AE296" i="5" s="1"/>
  <c r="AF296" i="5" s="1"/>
  <c r="AG296" i="5" s="1"/>
  <c r="AH296" i="5" s="1"/>
  <c r="AI296" i="5" s="1"/>
  <c r="T295" i="5" a="1"/>
  <c r="T295" i="5" s="1"/>
  <c r="U295" i="5" s="1" a="1"/>
  <c r="U295" i="5" s="1"/>
  <c r="V295" i="5" s="1" a="1"/>
  <c r="V295" i="5" s="1"/>
  <c r="W295" i="5" s="1" a="1"/>
  <c r="W295" i="5" s="1"/>
  <c r="X295" i="5" s="1" a="1"/>
  <c r="X295" i="5" s="1"/>
  <c r="Y295" i="5" s="1" a="1"/>
  <c r="Y295" i="5" s="1"/>
  <c r="Z295" i="5" s="1" a="1"/>
  <c r="Z295" i="5" s="1"/>
  <c r="AA295" i="5" s="1" a="1"/>
  <c r="AA295" i="5" s="1"/>
  <c r="AB295" i="5" s="1"/>
  <c r="AC295" i="5" s="1"/>
  <c r="AD295" i="5" s="1"/>
  <c r="AE295" i="5" s="1"/>
  <c r="AF295" i="5" s="1"/>
  <c r="AG295" i="5" s="1"/>
  <c r="AH295" i="5" s="1"/>
  <c r="AI295" i="5" s="1"/>
  <c r="K470" i="2"/>
  <c r="K469" i="2"/>
  <c r="K107" i="2"/>
  <c r="K108" i="2"/>
  <c r="K109" i="2"/>
  <c r="K835" i="2"/>
  <c r="K110" i="2"/>
  <c r="K121" i="2"/>
  <c r="K134" i="2"/>
  <c r="K135" i="2"/>
  <c r="K249" i="2"/>
  <c r="K250" i="2"/>
  <c r="K194" i="2"/>
  <c r="K136" i="2"/>
  <c r="K270" i="2"/>
  <c r="K271" i="2"/>
  <c r="K292" i="2"/>
  <c r="K294" i="2"/>
  <c r="K175" i="2"/>
  <c r="K752" i="2"/>
  <c r="K164" i="2"/>
  <c r="K130" i="2"/>
  <c r="K172" i="2"/>
  <c r="K765" i="2"/>
  <c r="K174" i="2"/>
  <c r="K552" i="2"/>
  <c r="K551" i="2"/>
  <c r="K553" i="2"/>
  <c r="K803" i="2"/>
  <c r="K804" i="2"/>
  <c r="K810" i="2"/>
  <c r="K811" i="2"/>
  <c r="K875" i="2"/>
  <c r="K876" i="2"/>
  <c r="K237" i="2"/>
  <c r="K238" i="2"/>
  <c r="K222" i="2"/>
  <c r="K264" i="2"/>
  <c r="K266" i="2"/>
  <c r="K265" i="2"/>
  <c r="K261" i="2"/>
  <c r="K260" i="2"/>
  <c r="K258" i="2"/>
  <c r="K837" i="2"/>
  <c r="K263" i="2"/>
  <c r="K295" i="2"/>
  <c r="K410" i="2"/>
  <c r="K411" i="2"/>
  <c r="K350" i="2"/>
  <c r="K349" i="2"/>
  <c r="K302" i="2"/>
  <c r="K304" i="2"/>
  <c r="K303" i="2"/>
  <c r="K348" i="2"/>
  <c r="K320" i="2"/>
  <c r="K319" i="2"/>
  <c r="K341" i="2"/>
  <c r="K330" i="2"/>
  <c r="K332" i="2"/>
  <c r="K331" i="2"/>
  <c r="K328" i="2"/>
  <c r="K838" i="2"/>
  <c r="K329" i="2"/>
  <c r="K167" i="2"/>
  <c r="K206" i="2"/>
  <c r="K836" i="2"/>
  <c r="K214" i="2"/>
  <c r="K351" i="2"/>
  <c r="K746" i="2"/>
  <c r="K409" i="2"/>
  <c r="K413" i="2"/>
  <c r="K352" i="2"/>
  <c r="K357" i="2"/>
  <c r="K358" i="2"/>
  <c r="K359" i="2"/>
  <c r="K360" i="2"/>
  <c r="K367" i="2"/>
  <c r="K362" i="2"/>
  <c r="K368" i="2"/>
  <c r="K369" i="2"/>
  <c r="K370" i="2"/>
  <c r="K371" i="2"/>
  <c r="K372" i="2"/>
  <c r="K378" i="2"/>
  <c r="K377" i="2"/>
  <c r="K355" i="2"/>
  <c r="K366" i="2"/>
  <c r="K373" i="2"/>
  <c r="K363" i="2"/>
  <c r="K356" i="2"/>
  <c r="K365" i="2"/>
  <c r="K361" i="2"/>
  <c r="K364" i="2"/>
  <c r="K379" i="2"/>
  <c r="K380" i="2"/>
  <c r="K381" i="2"/>
  <c r="K382" i="2"/>
  <c r="K374" i="2"/>
  <c r="K375" i="2"/>
  <c r="K376" i="2"/>
  <c r="K384" i="2"/>
  <c r="K383" i="2"/>
  <c r="K387" i="2"/>
  <c r="K385" i="2"/>
  <c r="K386" i="2"/>
  <c r="K419" i="2"/>
  <c r="K445" i="2"/>
  <c r="K454" i="2"/>
  <c r="K455" i="2"/>
  <c r="K453" i="2"/>
  <c r="K747" i="2"/>
  <c r="K496" i="2"/>
  <c r="K497" i="2"/>
  <c r="K498" i="2"/>
  <c r="K499" i="2"/>
  <c r="K505" i="2"/>
  <c r="K506" i="2"/>
  <c r="K494" i="2"/>
  <c r="K313" i="2"/>
  <c r="K315" i="2"/>
  <c r="K839" i="2"/>
  <c r="K495" i="2"/>
  <c r="K554" i="2"/>
  <c r="K555" i="2"/>
  <c r="K556" i="2"/>
  <c r="K557" i="2"/>
  <c r="K567" i="2"/>
  <c r="K566" i="2"/>
  <c r="K561" i="2"/>
  <c r="K743" i="2"/>
  <c r="K525" i="2"/>
  <c r="K775" i="2"/>
  <c r="K776" i="2"/>
  <c r="K509" i="2"/>
  <c r="K871" i="2"/>
  <c r="K870" i="2"/>
  <c r="K841" i="2"/>
  <c r="T94" i="5" a="1"/>
  <c r="T94" i="5" s="1"/>
  <c r="U94" i="5" s="1" a="1"/>
  <c r="U94" i="5" s="1"/>
  <c r="V94" i="5" s="1" a="1"/>
  <c r="V94" i="5" s="1"/>
  <c r="W94" i="5" s="1" a="1"/>
  <c r="W94" i="5" s="1"/>
  <c r="X94" i="5" s="1" a="1"/>
  <c r="X94" i="5" s="1"/>
  <c r="Y94" i="5" s="1" a="1"/>
  <c r="Y94" i="5" s="1"/>
  <c r="Z94" i="5" s="1" a="1"/>
  <c r="Z94" i="5" s="1"/>
  <c r="AA94" i="5" s="1" a="1"/>
  <c r="AA94" i="5" s="1"/>
  <c r="AB94" i="5" s="1"/>
  <c r="AC94" i="5" s="1"/>
  <c r="AD94" i="5" s="1"/>
  <c r="AE94" i="5" s="1"/>
  <c r="AF94" i="5" s="1"/>
  <c r="AG94" i="5" s="1"/>
  <c r="AH94" i="5" s="1"/>
  <c r="AI94" i="5" s="1"/>
  <c r="T93" i="5" a="1"/>
  <c r="T93" i="5" s="1"/>
  <c r="U93" i="5" s="1" a="1"/>
  <c r="U93" i="5" s="1"/>
  <c r="V93" i="5" s="1" a="1"/>
  <c r="V93" i="5" s="1"/>
  <c r="W93" i="5" s="1" a="1"/>
  <c r="W93" i="5" s="1"/>
  <c r="X93" i="5" s="1" a="1"/>
  <c r="X93" i="5" s="1"/>
  <c r="Y93" i="5" s="1" a="1"/>
  <c r="Y93" i="5" s="1"/>
  <c r="Z93" i="5" s="1" a="1"/>
  <c r="Z93" i="5" s="1"/>
  <c r="AA93" i="5" s="1" a="1"/>
  <c r="AA93" i="5" s="1"/>
  <c r="AB93" i="5" s="1"/>
  <c r="AC93" i="5" s="1"/>
  <c r="AD93" i="5" s="1"/>
  <c r="AE93" i="5" s="1"/>
  <c r="AF93" i="5" s="1"/>
  <c r="AG93" i="5" s="1"/>
  <c r="AH93" i="5" s="1"/>
  <c r="AI93" i="5" s="1"/>
  <c r="T91" i="5" a="1"/>
  <c r="T91" i="5" s="1"/>
  <c r="U91" i="5" s="1" a="1"/>
  <c r="U91" i="5" s="1"/>
  <c r="V91" i="5" s="1" a="1"/>
  <c r="V91" i="5" s="1"/>
  <c r="W91" i="5" s="1" a="1"/>
  <c r="W91" i="5" s="1"/>
  <c r="X91" i="5" s="1" a="1"/>
  <c r="X91" i="5" s="1"/>
  <c r="Y91" i="5" s="1" a="1"/>
  <c r="Y91" i="5" s="1"/>
  <c r="Z91" i="5" s="1" a="1"/>
  <c r="Z91" i="5" s="1"/>
  <c r="AA91" i="5" s="1" a="1"/>
  <c r="AA91" i="5" s="1"/>
  <c r="AB91" i="5" s="1"/>
  <c r="AC91" i="5" s="1"/>
  <c r="AD91" i="5" s="1"/>
  <c r="AE91" i="5" s="1"/>
  <c r="AF91" i="5" s="1"/>
  <c r="AG91" i="5" s="1"/>
  <c r="AH91" i="5" s="1"/>
  <c r="AI91" i="5" s="1"/>
  <c r="K529" i="2"/>
  <c r="K224" i="2"/>
  <c r="K753" i="2"/>
  <c r="K125" i="2"/>
  <c r="K219" i="2"/>
  <c r="K218" i="2"/>
  <c r="K766" i="2"/>
  <c r="K472" i="2"/>
  <c r="K672" i="2"/>
  <c r="K676" i="2"/>
  <c r="K675" i="2"/>
  <c r="K639" i="2"/>
  <c r="K860" i="2"/>
  <c r="K444" i="2"/>
  <c r="K239" i="2"/>
  <c r="K504" i="2"/>
  <c r="K508" i="2"/>
  <c r="K507" i="2"/>
  <c r="K624" i="2"/>
  <c r="K449" i="2"/>
  <c r="K431" i="2"/>
  <c r="K399" i="2"/>
  <c r="K569" i="2"/>
  <c r="K568" i="2"/>
  <c r="K610" i="2"/>
  <c r="K641" i="2"/>
  <c r="K609" i="2"/>
  <c r="K611" i="2"/>
  <c r="K538" i="2"/>
  <c r="K539" i="2"/>
  <c r="K633" i="2"/>
  <c r="K533" i="2"/>
  <c r="K528" i="2"/>
  <c r="K532" i="2"/>
  <c r="K628" i="2"/>
  <c r="K631" i="2"/>
  <c r="K729" i="2"/>
  <c r="K715" i="2"/>
  <c r="K749" i="2"/>
  <c r="K474" i="2"/>
  <c r="K858" i="2"/>
  <c r="K822" i="2"/>
  <c r="K542" i="2"/>
  <c r="K750" i="2"/>
  <c r="K818" i="2"/>
  <c r="K584" i="2"/>
  <c r="K585" i="2"/>
  <c r="K579" i="2"/>
  <c r="K578" i="2"/>
  <c r="K764" i="2"/>
  <c r="K437" i="2"/>
  <c r="K788" i="2"/>
  <c r="K794" i="2"/>
  <c r="K787" i="2"/>
  <c r="K635" i="2"/>
  <c r="K400" i="2"/>
  <c r="K443" i="2"/>
  <c r="K659" i="2"/>
  <c r="K660" i="2"/>
  <c r="K605" i="2"/>
  <c r="K793" i="2"/>
  <c r="K840" i="2"/>
  <c r="K345" i="2"/>
  <c r="K344" i="2"/>
  <c r="K243" i="2"/>
  <c r="K769" i="2"/>
  <c r="K770" i="2"/>
  <c r="K768" i="2"/>
  <c r="K771" i="2"/>
  <c r="K343" i="2"/>
  <c r="K392" i="2"/>
  <c r="K615" i="2"/>
  <c r="K391" i="2"/>
  <c r="K452" i="2"/>
  <c r="K614" i="2"/>
  <c r="K169" i="2"/>
  <c r="K703" i="2"/>
  <c r="K704" i="2"/>
  <c r="K800" i="2"/>
  <c r="K558" i="2"/>
  <c r="K599" i="2"/>
  <c r="K115" i="2"/>
  <c r="K461" i="2"/>
  <c r="K113" i="2"/>
  <c r="K592" i="2"/>
  <c r="K874" i="2"/>
  <c r="K550" i="2"/>
  <c r="K598" i="2"/>
  <c r="K650" i="2"/>
  <c r="K171" i="2"/>
  <c r="K143" i="2"/>
  <c r="K131" i="2"/>
  <c r="K173" i="2"/>
  <c r="K142" i="2"/>
  <c r="K834" i="2"/>
  <c r="K819" i="2"/>
  <c r="K471" i="2"/>
  <c r="K805" i="2"/>
  <c r="K401" i="2"/>
  <c r="K593" i="2"/>
  <c r="K163" i="2"/>
  <c r="K820" i="2"/>
  <c r="K309" i="2"/>
  <c r="K150" i="2"/>
  <c r="K433" i="2"/>
  <c r="K855" i="2"/>
  <c r="K114" i="2"/>
  <c r="K848" i="2"/>
  <c r="K595" i="2"/>
  <c r="K151" i="2"/>
  <c r="K310" i="2"/>
  <c r="K170" i="2"/>
  <c r="K159" i="2"/>
  <c r="K162" i="2"/>
  <c r="K176" i="2"/>
  <c r="K138" i="2"/>
  <c r="K612" i="2"/>
  <c r="K737" i="2"/>
  <c r="K515" i="2"/>
  <c r="K521" i="2"/>
  <c r="K512" i="2"/>
  <c r="K627" i="2"/>
  <c r="K519" i="2"/>
  <c r="K517" i="2"/>
  <c r="K513" i="2"/>
  <c r="K518" i="2"/>
  <c r="K626" i="2"/>
  <c r="K516" i="2"/>
  <c r="K728" i="2"/>
  <c r="K735" i="2"/>
  <c r="K736" i="2"/>
  <c r="K511" i="2"/>
  <c r="K514" i="2"/>
  <c r="K520" i="2"/>
  <c r="K625" i="2"/>
  <c r="K105" i="2"/>
  <c r="K856" i="2"/>
  <c r="K353" i="2"/>
  <c r="K288" i="2"/>
  <c r="K277" i="2"/>
  <c r="K814" i="2"/>
  <c r="K606" i="2"/>
  <c r="K284" i="2"/>
  <c r="K802" i="2"/>
  <c r="K476" i="2"/>
  <c r="K607" i="2"/>
  <c r="K285" i="2"/>
  <c r="K815" i="2"/>
  <c r="K608" i="2"/>
  <c r="K465" i="2"/>
  <c r="K713" i="2"/>
  <c r="K236" i="2"/>
  <c r="K299" i="2"/>
  <c r="K347" i="2"/>
  <c r="K623" i="2"/>
  <c r="K821" i="2"/>
  <c r="K438" i="2"/>
  <c r="K754" i="2"/>
  <c r="K652" i="2"/>
  <c r="K202" i="2"/>
  <c r="K412" i="2"/>
  <c r="K314" i="2"/>
  <c r="K198" i="2"/>
  <c r="K197" i="2"/>
  <c r="K269" i="2"/>
  <c r="K613" i="2"/>
  <c r="K451" i="2"/>
  <c r="K799" i="2"/>
  <c r="K468" i="2"/>
  <c r="K102" i="2"/>
  <c r="K651" i="2"/>
  <c r="K112" i="2"/>
  <c r="K602" i="2"/>
  <c r="K286" i="2"/>
  <c r="K527" i="2"/>
  <c r="K727" i="2"/>
  <c r="T210" i="5" a="1"/>
  <c r="T210" i="5" s="1"/>
  <c r="U210" i="5" s="1" a="1"/>
  <c r="U210" i="5" s="1"/>
  <c r="V210" i="5" s="1" a="1"/>
  <c r="V210" i="5" s="1"/>
  <c r="W210" i="5" s="1" a="1"/>
  <c r="W210" i="5" s="1"/>
  <c r="X210" i="5" s="1" a="1"/>
  <c r="X210" i="5" s="1"/>
  <c r="Y210" i="5" s="1" a="1"/>
  <c r="Y210" i="5" s="1"/>
  <c r="Z210" i="5" s="1" a="1"/>
  <c r="Z210" i="5" s="1"/>
  <c r="AA210" i="5" s="1" a="1"/>
  <c r="AA210" i="5" s="1"/>
  <c r="AB210" i="5" s="1"/>
  <c r="AC210" i="5" s="1"/>
  <c r="AD210" i="5" s="1"/>
  <c r="AE210" i="5" s="1"/>
  <c r="AF210" i="5" s="1"/>
  <c r="AG210" i="5" s="1"/>
  <c r="AH210" i="5" s="1"/>
  <c r="AI210" i="5" s="1"/>
  <c r="K842" i="2" l="1"/>
  <c r="K741" i="2"/>
  <c r="K272" i="2"/>
  <c r="T82" i="5" a="1"/>
  <c r="T82" i="5" s="1"/>
  <c r="U82" i="5" s="1" a="1"/>
  <c r="U82" i="5" s="1"/>
  <c r="V82" i="5" s="1" a="1"/>
  <c r="V82" i="5" s="1"/>
  <c r="W82" i="5" s="1" a="1"/>
  <c r="W82" i="5" s="1"/>
  <c r="X82" i="5" s="1" a="1"/>
  <c r="X82" i="5" s="1"/>
  <c r="Y82" i="5" s="1" a="1"/>
  <c r="Y82" i="5" s="1"/>
  <c r="Z82" i="5" s="1" a="1"/>
  <c r="Z82" i="5" s="1"/>
  <c r="AA82" i="5" s="1" a="1"/>
  <c r="AA82" i="5" s="1"/>
  <c r="AB82" i="5" s="1"/>
  <c r="AC82" i="5" s="1"/>
  <c r="AD82" i="5" s="1"/>
  <c r="AE82" i="5" s="1"/>
  <c r="AF82" i="5" s="1"/>
  <c r="AG82" i="5" s="1"/>
  <c r="AH82" i="5" s="1"/>
  <c r="AI82" i="5" s="1"/>
  <c r="T294" i="5" a="1"/>
  <c r="T294" i="5" s="1"/>
  <c r="U294" i="5" s="1" a="1"/>
  <c r="U294" i="5" s="1"/>
  <c r="V294" i="5" s="1" a="1"/>
  <c r="V294" i="5" s="1"/>
  <c r="W294" i="5" s="1" a="1"/>
  <c r="W294" i="5" s="1"/>
  <c r="X294" i="5" s="1" a="1"/>
  <c r="X294" i="5" s="1"/>
  <c r="Y294" i="5" s="1" a="1"/>
  <c r="Y294" i="5" s="1"/>
  <c r="Z294" i="5" s="1" a="1"/>
  <c r="Z294" i="5" s="1"/>
  <c r="AA294" i="5" s="1" a="1"/>
  <c r="AA294" i="5" s="1"/>
  <c r="AB294" i="5" s="1"/>
  <c r="AC294" i="5" s="1"/>
  <c r="AD294" i="5" s="1"/>
  <c r="AE294" i="5" s="1"/>
  <c r="AF294" i="5" s="1"/>
  <c r="AG294" i="5" s="1"/>
  <c r="AH294" i="5" s="1"/>
  <c r="AI294" i="5" s="1"/>
  <c r="T293" i="5" a="1"/>
  <c r="T293" i="5" s="1"/>
  <c r="U293" i="5" s="1" a="1"/>
  <c r="U293" i="5" s="1"/>
  <c r="V293" i="5" s="1" a="1"/>
  <c r="V293" i="5" s="1"/>
  <c r="W293" i="5" s="1" a="1"/>
  <c r="W293" i="5" s="1"/>
  <c r="X293" i="5" s="1" a="1"/>
  <c r="X293" i="5" s="1"/>
  <c r="Y293" i="5" s="1" a="1"/>
  <c r="Y293" i="5" s="1"/>
  <c r="Z293" i="5" s="1" a="1"/>
  <c r="Z293" i="5" s="1"/>
  <c r="AA293" i="5" s="1" a="1"/>
  <c r="AA293" i="5" s="1"/>
  <c r="AB293" i="5" s="1"/>
  <c r="AC293" i="5" s="1"/>
  <c r="AD293" i="5" s="1"/>
  <c r="AE293" i="5" s="1"/>
  <c r="AF293" i="5" s="1"/>
  <c r="AG293" i="5" s="1"/>
  <c r="AH293" i="5" s="1"/>
  <c r="AI293" i="5" s="1"/>
  <c r="K101" i="2" l="1"/>
  <c r="K389" i="2"/>
  <c r="K501" i="2"/>
  <c r="K193" i="2"/>
  <c r="K617" i="2"/>
  <c r="K562" i="2"/>
  <c r="K226" i="2"/>
  <c r="K597" i="2"/>
  <c r="K160" i="2"/>
  <c r="K158" i="2"/>
  <c r="K493" i="2"/>
  <c r="K681" i="2"/>
  <c r="K317" i="2"/>
  <c r="K638" i="2"/>
  <c r="K604" i="2"/>
  <c r="K565" i="2"/>
  <c r="K3" i="2"/>
  <c r="K4" i="2"/>
  <c r="K5" i="2"/>
  <c r="K6" i="2"/>
  <c r="K7" i="2"/>
  <c r="K8" i="2"/>
  <c r="K9" i="2"/>
  <c r="K10" i="2"/>
  <c r="K11" i="2"/>
  <c r="K12" i="2"/>
  <c r="K13" i="2"/>
  <c r="K14" i="2"/>
  <c r="K15" i="2"/>
  <c r="K16" i="2"/>
  <c r="K17" i="2"/>
  <c r="K18" i="2"/>
  <c r="K19" i="2"/>
  <c r="K20" i="2"/>
  <c r="K21"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1" i="2"/>
  <c r="K82" i="2"/>
  <c r="K83" i="2"/>
  <c r="K84" i="2"/>
  <c r="K85" i="2"/>
  <c r="K86" i="2"/>
  <c r="K87" i="2"/>
  <c r="K88" i="2"/>
  <c r="K89" i="2"/>
  <c r="K90" i="2"/>
  <c r="K91" i="2"/>
  <c r="K92" i="2"/>
  <c r="K93" i="2"/>
  <c r="K94" i="2"/>
  <c r="K95" i="2"/>
  <c r="K96" i="2"/>
  <c r="K97" i="2"/>
  <c r="K257" i="2"/>
  <c r="K274" i="2"/>
  <c r="K861" i="2"/>
  <c r="T281" i="5" a="1"/>
  <c r="T281" i="5" s="1"/>
  <c r="U281" i="5" s="1" a="1"/>
  <c r="U281" i="5" s="1"/>
  <c r="V281" i="5" s="1" a="1"/>
  <c r="V281" i="5" s="1"/>
  <c r="W281" i="5" s="1" a="1"/>
  <c r="W281" i="5" s="1"/>
  <c r="X281" i="5" s="1" a="1"/>
  <c r="X281" i="5" s="1"/>
  <c r="Y281" i="5" s="1" a="1"/>
  <c r="Y281" i="5" s="1"/>
  <c r="Z281" i="5" s="1" a="1"/>
  <c r="Z281" i="5" s="1"/>
  <c r="AA281" i="5" s="1" a="1"/>
  <c r="AA281" i="5" s="1"/>
  <c r="AB281" i="5" s="1"/>
  <c r="AC281" i="5" s="1"/>
  <c r="AD281" i="5" s="1"/>
  <c r="AE281" i="5" s="1"/>
  <c r="AF281" i="5" s="1"/>
  <c r="AG281" i="5" s="1"/>
  <c r="AH281" i="5" s="1"/>
  <c r="AI281" i="5" s="1"/>
  <c r="T282" i="5" a="1"/>
  <c r="T282" i="5" s="1"/>
  <c r="U282" i="5" s="1" a="1"/>
  <c r="U282" i="5" s="1"/>
  <c r="V282" i="5" s="1" a="1"/>
  <c r="V282" i="5" s="1"/>
  <c r="W282" i="5" s="1" a="1"/>
  <c r="W282" i="5" s="1"/>
  <c r="X282" i="5" s="1" a="1"/>
  <c r="X282" i="5" s="1"/>
  <c r="Y282" i="5" s="1" a="1"/>
  <c r="Y282" i="5" s="1"/>
  <c r="Z282" i="5" s="1" a="1"/>
  <c r="Z282" i="5" s="1"/>
  <c r="AA282" i="5" s="1" a="1"/>
  <c r="AA282" i="5" s="1"/>
  <c r="AB282" i="5" s="1"/>
  <c r="AC282" i="5" s="1"/>
  <c r="AD282" i="5" s="1"/>
  <c r="AE282" i="5" s="1"/>
  <c r="AF282" i="5" s="1"/>
  <c r="AG282" i="5" s="1"/>
  <c r="AH282" i="5" s="1"/>
  <c r="AI282" i="5" s="1"/>
  <c r="T280" i="5" a="1"/>
  <c r="T280" i="5" s="1"/>
  <c r="U280" i="5" s="1" a="1"/>
  <c r="U280" i="5" s="1"/>
  <c r="V280" i="5" s="1" a="1"/>
  <c r="V280" i="5" s="1"/>
  <c r="W280" i="5" s="1" a="1"/>
  <c r="W280" i="5" s="1"/>
  <c r="X280" i="5" s="1" a="1"/>
  <c r="X280" i="5" s="1"/>
  <c r="Y280" i="5" s="1" a="1"/>
  <c r="Y280" i="5" s="1"/>
  <c r="Z280" i="5" s="1" a="1"/>
  <c r="Z280" i="5" s="1"/>
  <c r="AA280" i="5" s="1" a="1"/>
  <c r="AA280" i="5" s="1"/>
  <c r="AB280" i="5" s="1"/>
  <c r="AC280" i="5" s="1"/>
  <c r="AD280" i="5" s="1"/>
  <c r="AE280" i="5" s="1"/>
  <c r="AF280" i="5" s="1"/>
  <c r="AG280" i="5" s="1"/>
  <c r="AH280" i="5" s="1"/>
  <c r="AI280" i="5" s="1"/>
  <c r="T279" i="5" a="1"/>
  <c r="T279" i="5" s="1"/>
  <c r="U279" i="5" s="1" a="1"/>
  <c r="U279" i="5" s="1"/>
  <c r="V279" i="5" s="1" a="1"/>
  <c r="V279" i="5" s="1"/>
  <c r="W279" i="5" s="1" a="1"/>
  <c r="W279" i="5" s="1"/>
  <c r="X279" i="5" s="1" a="1"/>
  <c r="X279" i="5" s="1"/>
  <c r="Y279" i="5" s="1" a="1"/>
  <c r="Y279" i="5" s="1"/>
  <c r="Z279" i="5" s="1" a="1"/>
  <c r="Z279" i="5" s="1"/>
  <c r="AA279" i="5" s="1" a="1"/>
  <c r="AA279" i="5" s="1"/>
  <c r="AB279" i="5" s="1"/>
  <c r="AC279" i="5" s="1"/>
  <c r="AD279" i="5" s="1"/>
  <c r="AE279" i="5" s="1"/>
  <c r="AF279" i="5" s="1"/>
  <c r="AG279" i="5" s="1"/>
  <c r="AH279" i="5" s="1"/>
  <c r="AI279" i="5" s="1"/>
  <c r="K831" i="2"/>
  <c r="K296" i="2"/>
  <c r="K640" i="2" l="1"/>
  <c r="K435" i="2"/>
  <c r="K484" i="2"/>
  <c r="K594" i="2"/>
  <c r="K621" i="2"/>
  <c r="K644" i="2"/>
  <c r="K761" i="2"/>
  <c r="K812" i="2"/>
  <c r="K878" i="2"/>
  <c r="K323" i="2"/>
  <c r="K423" i="2"/>
  <c r="K425" i="2"/>
  <c r="K447" i="2"/>
  <c r="K500" i="2"/>
  <c r="K590" i="2"/>
  <c r="K664" i="2"/>
  <c r="K684" i="2"/>
  <c r="K723" i="2"/>
  <c r="K725" i="2"/>
  <c r="K744" i="2"/>
  <c r="K757" i="2"/>
  <c r="K864" i="2"/>
  <c r="K421" i="2"/>
  <c r="K485" i="2"/>
  <c r="K850" i="2"/>
  <c r="K187" i="2"/>
  <c r="K195" i="2"/>
  <c r="K213" i="2"/>
  <c r="K227" i="2"/>
  <c r="K229" i="2"/>
  <c r="K232" i="2"/>
  <c r="K312" i="2"/>
  <c r="K322" i="2"/>
  <c r="K563" i="2"/>
  <c r="K601" i="2"/>
  <c r="K658" i="2"/>
  <c r="K667" i="2"/>
  <c r="K808" i="2"/>
  <c r="K719" i="2" l="1"/>
  <c r="K718" i="2"/>
  <c r="K716" i="2"/>
  <c r="K717" i="2"/>
  <c r="K305" i="2"/>
  <c r="K801" i="2"/>
  <c r="K844" i="2"/>
  <c r="K459" i="2"/>
  <c r="K297" i="2"/>
  <c r="K126" i="2"/>
  <c r="K879" i="2"/>
  <c r="K880" i="2"/>
  <c r="K881" i="2"/>
  <c r="K884" i="2"/>
  <c r="K885" i="2"/>
  <c r="K882" i="2"/>
  <c r="K883" i="2"/>
  <c r="K888" i="2"/>
  <c r="K887" i="2"/>
  <c r="K886" i="2"/>
  <c r="K890" i="2"/>
  <c r="K889" i="2"/>
  <c r="K407" i="2"/>
  <c r="K847" i="2"/>
  <c r="K846" i="2"/>
  <c r="K845" i="2"/>
  <c r="K216" i="2" l="1"/>
  <c r="K217" i="2"/>
  <c r="K215" i="2"/>
  <c r="K190" i="2"/>
  <c r="K442" i="2"/>
  <c r="K441" i="2"/>
  <c r="K674" i="2"/>
  <c r="K223" i="2"/>
  <c r="K326" i="2"/>
  <c r="K816" i="2"/>
  <c r="K572" i="2"/>
  <c r="K574" i="2"/>
  <c r="K575" i="2"/>
  <c r="K573" i="2"/>
  <c r="K119" i="2"/>
  <c r="K570" i="2"/>
  <c r="K571" i="2"/>
  <c r="K702" i="2"/>
  <c r="K701" i="2"/>
  <c r="K576" i="2"/>
  <c r="K696" i="2"/>
  <c r="K697" i="2"/>
  <c r="K695" i="2"/>
  <c r="K853" i="2"/>
  <c r="K852" i="2"/>
  <c r="K692" i="2"/>
  <c r="K693" i="2"/>
  <c r="K689" i="2"/>
  <c r="K690" i="2"/>
  <c r="K691" i="2"/>
  <c r="K687" i="2"/>
  <c r="K688" i="2"/>
  <c r="K694" i="2"/>
  <c r="K662" i="2"/>
  <c r="K661" i="2"/>
  <c r="K685" i="2"/>
  <c r="K686" i="2"/>
  <c r="K682" i="2"/>
  <c r="K745" i="2"/>
  <c r="K183" i="2"/>
  <c r="K180" i="2"/>
  <c r="K182" i="2"/>
  <c r="K278" i="2"/>
  <c r="K118" i="2" l="1"/>
  <c r="K708" i="2" l="1"/>
  <c r="K209" i="2"/>
  <c r="K146" i="2"/>
  <c r="K828" i="2"/>
  <c r="K467" i="2"/>
  <c r="K388" i="2"/>
  <c r="K181" i="2"/>
  <c r="K231" i="2"/>
  <c r="K600" i="2"/>
  <c r="K192" i="2"/>
  <c r="K807" i="2"/>
  <c r="K440" i="2"/>
  <c r="K210" i="2"/>
  <c r="K225" i="2"/>
  <c r="K311" i="2"/>
  <c r="K666" i="2"/>
  <c r="K196" i="2"/>
  <c r="K212" i="2"/>
  <c r="K228" i="2"/>
  <c r="K321" i="2"/>
  <c r="K720" i="2"/>
  <c r="K186" i="2"/>
  <c r="K645" i="2"/>
  <c r="K603" i="2"/>
  <c r="K671" i="2"/>
  <c r="K670" i="2"/>
  <c r="K673" i="2"/>
  <c r="K564" i="2"/>
  <c r="K248" i="2"/>
  <c r="K502" i="2"/>
  <c r="K722" i="2"/>
  <c r="K100" i="2"/>
  <c r="K616" i="2"/>
  <c r="K724" i="2"/>
  <c r="K291" i="2"/>
  <c r="K448" i="2"/>
  <c r="K489" i="2"/>
  <c r="K333" i="2"/>
  <c r="K122" i="2"/>
  <c r="K477" i="2"/>
  <c r="K334" i="2"/>
  <c r="K429" i="2"/>
  <c r="K430" i="2"/>
  <c r="K618" i="2"/>
  <c r="K318" i="2"/>
  <c r="K306" i="2"/>
  <c r="K636" i="2"/>
  <c r="K862" i="2"/>
  <c r="K458" i="2"/>
  <c r="K663" i="2"/>
  <c r="K683" i="2"/>
  <c r="K179" i="2"/>
  <c r="K637" i="2"/>
  <c r="K144" i="2"/>
  <c r="K308" i="2"/>
  <c r="K654" i="2"/>
  <c r="K137" i="2"/>
  <c r="K247" i="2"/>
  <c r="K244" i="2"/>
  <c r="K154" i="2"/>
  <c r="K849" i="2"/>
  <c r="K483" i="2"/>
  <c r="K826" i="2"/>
  <c r="K339" i="2"/>
  <c r="K417" i="2"/>
  <c r="K537" i="2"/>
  <c r="K824" i="2"/>
  <c r="K773" i="2"/>
  <c r="K817" i="2"/>
  <c r="K867" i="2"/>
  <c r="K395" i="2"/>
  <c r="K843" i="2"/>
  <c r="K267" i="2"/>
  <c r="K268" i="2"/>
  <c r="K281" i="2"/>
  <c r="K99" i="2" l="1"/>
  <c r="K103" i="2"/>
  <c r="K104" i="2"/>
  <c r="K106" i="2"/>
  <c r="K111" i="2"/>
  <c r="K116" i="2"/>
  <c r="K117" i="2"/>
  <c r="K120" i="2"/>
  <c r="K124" i="2"/>
  <c r="K128" i="2"/>
  <c r="K129" i="2"/>
  <c r="K132" i="2"/>
  <c r="K133" i="2"/>
  <c r="K139" i="2"/>
  <c r="K140" i="2"/>
  <c r="K141" i="2"/>
  <c r="K145" i="2"/>
  <c r="K147" i="2"/>
  <c r="K148" i="2"/>
  <c r="K149" i="2"/>
  <c r="K152" i="2"/>
  <c r="K153" i="2"/>
  <c r="K155" i="2"/>
  <c r="K156" i="2"/>
  <c r="K157" i="2"/>
  <c r="K161" i="2"/>
  <c r="K165" i="2"/>
  <c r="K166" i="2"/>
  <c r="K168" i="2"/>
  <c r="K177" i="2"/>
  <c r="K178" i="2"/>
  <c r="K184" i="2"/>
  <c r="K185" i="2"/>
  <c r="K188" i="2"/>
  <c r="K189" i="2"/>
  <c r="K199" i="2"/>
  <c r="K200" i="2"/>
  <c r="K201" i="2"/>
  <c r="K203" i="2"/>
  <c r="K204" i="2"/>
  <c r="K205" i="2"/>
  <c r="K207" i="2"/>
  <c r="K208" i="2"/>
  <c r="K211" i="2"/>
  <c r="K220" i="2"/>
  <c r="K221" i="2"/>
  <c r="K230" i="2"/>
  <c r="K233" i="2"/>
  <c r="K234" i="2"/>
  <c r="K235" i="2"/>
  <c r="K241" i="2"/>
  <c r="K242" i="2"/>
  <c r="K245" i="2"/>
  <c r="K246" i="2"/>
  <c r="K251" i="2"/>
  <c r="K253" i="2"/>
  <c r="K255" i="2"/>
  <c r="K273" i="2"/>
  <c r="K276" i="2"/>
  <c r="K279" i="2"/>
  <c r="K280" i="2"/>
  <c r="K282" i="2"/>
  <c r="K283" i="2"/>
  <c r="K287" i="2"/>
  <c r="K289" i="2"/>
  <c r="K290" i="2"/>
  <c r="K293" i="2"/>
  <c r="K298" i="2"/>
  <c r="K300" i="2"/>
  <c r="K301" i="2"/>
  <c r="K307" i="2"/>
  <c r="K324" i="2"/>
  <c r="K325" i="2"/>
  <c r="K327" i="2"/>
  <c r="K335" i="2"/>
  <c r="K336" i="2"/>
  <c r="K337" i="2"/>
  <c r="K338" i="2"/>
  <c r="K340" i="2"/>
  <c r="K342" i="2"/>
  <c r="K354" i="2"/>
  <c r="K393" i="2"/>
  <c r="K394" i="2"/>
  <c r="K396" i="2"/>
  <c r="K397" i="2"/>
  <c r="K398" i="2"/>
  <c r="K402" i="2"/>
  <c r="K405" i="2"/>
  <c r="K406" i="2"/>
  <c r="K414" i="2"/>
  <c r="K415" i="2"/>
  <c r="K416" i="2"/>
  <c r="K418" i="2"/>
  <c r="K420" i="2"/>
  <c r="K422" i="2"/>
  <c r="K427" i="2"/>
  <c r="K428" i="2"/>
  <c r="K432" i="2"/>
  <c r="K434" i="2"/>
  <c r="K436" i="2"/>
  <c r="K439" i="2"/>
  <c r="K450" i="2"/>
  <c r="K456" i="2"/>
  <c r="K457" i="2"/>
  <c r="K460" i="2"/>
  <c r="K462" i="2"/>
  <c r="K463" i="2"/>
  <c r="K464" i="2"/>
  <c r="K466" i="2"/>
  <c r="K473" i="2"/>
  <c r="K475" i="2"/>
  <c r="K479" i="2"/>
  <c r="K480" i="2"/>
  <c r="K481" i="2"/>
  <c r="K482" i="2"/>
  <c r="K486" i="2"/>
  <c r="K487" i="2"/>
  <c r="K488" i="2"/>
  <c r="K490" i="2"/>
  <c r="K491" i="2"/>
  <c r="K492" i="2"/>
  <c r="K510" i="2"/>
  <c r="K522" i="2"/>
  <c r="K523" i="2"/>
  <c r="K524" i="2"/>
  <c r="K526" i="2"/>
  <c r="K530" i="2"/>
  <c r="K531" i="2"/>
  <c r="K534" i="2"/>
  <c r="K535" i="2"/>
  <c r="K536" i="2"/>
  <c r="K540" i="2"/>
  <c r="K541" i="2"/>
  <c r="K543" i="2"/>
  <c r="K544" i="2"/>
  <c r="K545" i="2"/>
  <c r="K546" i="2"/>
  <c r="K547" i="2"/>
  <c r="K548" i="2"/>
  <c r="K549" i="2"/>
  <c r="K559" i="2"/>
  <c r="K560" i="2"/>
  <c r="K577" i="2"/>
  <c r="K580" i="2"/>
  <c r="K581" i="2"/>
  <c r="K582" i="2"/>
  <c r="K583" i="2"/>
  <c r="K586" i="2"/>
  <c r="K587" i="2"/>
  <c r="K588" i="2"/>
  <c r="K589" i="2"/>
  <c r="K591" i="2"/>
  <c r="K596" i="2"/>
  <c r="K620" i="2"/>
  <c r="K622" i="2"/>
  <c r="K629" i="2"/>
  <c r="K630" i="2"/>
  <c r="K632" i="2"/>
  <c r="K634" i="2"/>
  <c r="K642" i="2"/>
  <c r="K643" i="2"/>
  <c r="K646" i="2"/>
  <c r="K647" i="2"/>
  <c r="K648" i="2"/>
  <c r="K649" i="2"/>
  <c r="K653" i="2"/>
  <c r="K655" i="2"/>
  <c r="K656" i="2"/>
  <c r="K657" i="2"/>
  <c r="K665" i="2"/>
  <c r="K668" i="2"/>
  <c r="K669" i="2"/>
  <c r="K677" i="2"/>
  <c r="K678" i="2"/>
  <c r="K698" i="2"/>
  <c r="K699" i="2"/>
  <c r="K700" i="2"/>
  <c r="K707" i="2"/>
  <c r="K709" i="2"/>
  <c r="K710" i="2"/>
  <c r="K711" i="2"/>
  <c r="K712" i="2"/>
  <c r="K714" i="2"/>
  <c r="K721" i="2"/>
  <c r="K726" i="2"/>
  <c r="K730" i="2"/>
  <c r="K731" i="2"/>
  <c r="K732" i="2"/>
  <c r="K733" i="2"/>
  <c r="K734" i="2"/>
  <c r="K738" i="2"/>
  <c r="K739" i="2"/>
  <c r="K740" i="2"/>
  <c r="K742" i="2"/>
  <c r="K748" i="2"/>
  <c r="K751" i="2"/>
  <c r="K755" i="2"/>
  <c r="K756" i="2"/>
  <c r="K759" i="2"/>
  <c r="K760" i="2"/>
  <c r="K762" i="2"/>
  <c r="K763" i="2"/>
  <c r="K767" i="2"/>
  <c r="K772" i="2"/>
  <c r="K774" i="2"/>
  <c r="K777" i="2"/>
  <c r="K778" i="2"/>
  <c r="K779" i="2"/>
  <c r="K780" i="2"/>
  <c r="K781" i="2"/>
  <c r="K782" i="2"/>
  <c r="K783" i="2"/>
  <c r="K784" i="2"/>
  <c r="K785" i="2"/>
  <c r="K786" i="2"/>
  <c r="K789" i="2"/>
  <c r="K790" i="2"/>
  <c r="K791" i="2"/>
  <c r="K792" i="2"/>
  <c r="K795" i="2"/>
  <c r="K796" i="2"/>
  <c r="K797" i="2"/>
  <c r="K798" i="2"/>
  <c r="K806" i="2"/>
  <c r="K809" i="2"/>
  <c r="K823" i="2"/>
  <c r="K825" i="2"/>
  <c r="K827" i="2"/>
  <c r="K829" i="2"/>
  <c r="K830" i="2"/>
  <c r="K832" i="2"/>
  <c r="K833" i="2"/>
  <c r="K854" i="2"/>
  <c r="K857" i="2"/>
  <c r="K865" i="2"/>
  <c r="K866" i="2"/>
  <c r="K868" i="2"/>
  <c r="K869" i="2"/>
  <c r="K872" i="2"/>
  <c r="K873" i="2"/>
  <c r="K877" i="2"/>
  <c r="T292" i="5" a="1"/>
  <c r="T292" i="5" s="1"/>
  <c r="U292" i="5" s="1" a="1"/>
  <c r="U292" i="5" s="1"/>
  <c r="V292" i="5" s="1" a="1"/>
  <c r="V292" i="5" s="1"/>
  <c r="W292" i="5" s="1" a="1"/>
  <c r="W292" i="5" s="1"/>
  <c r="X292" i="5" s="1" a="1"/>
  <c r="X292" i="5" s="1"/>
  <c r="Y292" i="5" s="1" a="1"/>
  <c r="Y292" i="5" s="1"/>
  <c r="Z292" i="5" s="1" a="1"/>
  <c r="Z292" i="5" s="1"/>
  <c r="AA292" i="5" s="1" a="1"/>
  <c r="AA292" i="5" s="1"/>
  <c r="AB292" i="5" s="1"/>
  <c r="AC292" i="5" s="1"/>
  <c r="AD292" i="5" s="1"/>
  <c r="AE292" i="5" s="1"/>
  <c r="AF292" i="5" s="1"/>
  <c r="AG292" i="5" s="1"/>
  <c r="AH292" i="5" s="1"/>
  <c r="AI292" i="5" s="1"/>
  <c r="T291" i="5" a="1"/>
  <c r="T291" i="5" s="1"/>
  <c r="U291" i="5" s="1" a="1"/>
  <c r="U291" i="5" s="1"/>
  <c r="V291" i="5" s="1" a="1"/>
  <c r="V291" i="5" s="1"/>
  <c r="W291" i="5" s="1" a="1"/>
  <c r="W291" i="5" s="1"/>
  <c r="X291" i="5" s="1" a="1"/>
  <c r="X291" i="5" s="1"/>
  <c r="Y291" i="5" s="1" a="1"/>
  <c r="Y291" i="5" s="1"/>
  <c r="Z291" i="5" s="1" a="1"/>
  <c r="Z291" i="5" s="1"/>
  <c r="AA291" i="5" s="1" a="1"/>
  <c r="AA291" i="5" s="1"/>
  <c r="AB291" i="5" s="1"/>
  <c r="AC291" i="5" s="1"/>
  <c r="AD291" i="5" s="1"/>
  <c r="AE291" i="5" s="1"/>
  <c r="AF291" i="5" s="1"/>
  <c r="AG291" i="5" s="1"/>
  <c r="AH291" i="5" s="1"/>
  <c r="AI291" i="5" s="1"/>
  <c r="G18" i="6"/>
  <c r="G17" i="6"/>
  <c r="G16" i="6"/>
  <c r="G15" i="6"/>
  <c r="G14" i="6"/>
  <c r="G13" i="6"/>
  <c r="G12" i="6"/>
  <c r="G11" i="6"/>
  <c r="G10" i="6"/>
  <c r="G9" i="6"/>
  <c r="G8" i="6"/>
  <c r="T95" i="5" a="1"/>
  <c r="T95" i="5" s="1"/>
  <c r="U95" i="5" s="1" a="1"/>
  <c r="U95" i="5" s="1"/>
  <c r="V95" i="5" s="1" a="1"/>
  <c r="V95" i="5" s="1"/>
  <c r="W95" i="5" s="1" a="1"/>
  <c r="W95" i="5" s="1"/>
  <c r="X95" i="5" s="1" a="1"/>
  <c r="X95" i="5" s="1"/>
  <c r="Y95" i="5" s="1" a="1"/>
  <c r="Y95" i="5" s="1"/>
  <c r="Z95" i="5" s="1" a="1"/>
  <c r="Z95" i="5" s="1"/>
  <c r="AA95" i="5" s="1" a="1"/>
  <c r="AA95" i="5" s="1"/>
  <c r="AB95" i="5" s="1"/>
  <c r="AC95" i="5" s="1"/>
  <c r="AD95" i="5" s="1"/>
  <c r="AE95" i="5" s="1"/>
  <c r="AF95" i="5" s="1"/>
  <c r="AG95" i="5" s="1"/>
  <c r="AH95" i="5" s="1"/>
  <c r="AI95" i="5" s="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T187" i="5" l="1" a="1"/>
  <c r="T187" i="5" s="1"/>
  <c r="U187" i="5" s="1" a="1"/>
  <c r="U187" i="5" s="1"/>
  <c r="V187" i="5" s="1" a="1"/>
  <c r="V187" i="5" s="1"/>
  <c r="W187" i="5" s="1" a="1"/>
  <c r="W187" i="5" s="1"/>
  <c r="X187" i="5" s="1" a="1"/>
  <c r="X187" i="5" s="1"/>
  <c r="Y187" i="5" s="1" a="1"/>
  <c r="Y187" i="5" s="1"/>
  <c r="Z187" i="5" s="1" a="1"/>
  <c r="Z187" i="5" s="1"/>
  <c r="AA187" i="5" s="1" a="1"/>
  <c r="AA187" i="5" s="1"/>
  <c r="AB187" i="5" s="1"/>
  <c r="AC187" i="5" s="1"/>
  <c r="AD187" i="5" s="1"/>
  <c r="AE187" i="5" s="1"/>
  <c r="AF187" i="5" s="1"/>
  <c r="AG187" i="5" s="1"/>
  <c r="AH187" i="5" s="1"/>
  <c r="AI187" i="5" s="1"/>
  <c r="T247" i="5" l="1" a="1"/>
  <c r="T247" i="5" s="1"/>
  <c r="U247" i="5" s="1" a="1"/>
  <c r="U247" i="5" s="1"/>
  <c r="V247" i="5" s="1" a="1"/>
  <c r="V247" i="5" s="1"/>
  <c r="W247" i="5" s="1" a="1"/>
  <c r="W247" i="5" s="1"/>
  <c r="X247" i="5" s="1" a="1"/>
  <c r="X247" i="5" s="1"/>
  <c r="Y247" i="5" s="1" a="1"/>
  <c r="Y247" i="5" s="1"/>
  <c r="Z247" i="5" s="1" a="1"/>
  <c r="Z247" i="5" s="1"/>
  <c r="AA247" i="5" s="1" a="1"/>
  <c r="AA247" i="5" s="1"/>
  <c r="AB247" i="5" s="1"/>
  <c r="AC247" i="5" s="1"/>
  <c r="AD247" i="5" s="1"/>
  <c r="AE247" i="5" s="1"/>
  <c r="AF247" i="5" s="1"/>
  <c r="AG247" i="5" s="1"/>
  <c r="AH247" i="5" s="1"/>
  <c r="AI247" i="5" s="1"/>
  <c r="T233" i="5" a="1"/>
  <c r="T233" i="5" s="1"/>
  <c r="U233" i="5" s="1" a="1"/>
  <c r="U233" i="5" s="1"/>
  <c r="V233" i="5" s="1" a="1"/>
  <c r="V233" i="5" s="1"/>
  <c r="W233" i="5" s="1" a="1"/>
  <c r="W233" i="5" s="1"/>
  <c r="X233" i="5" s="1" a="1"/>
  <c r="X233" i="5" s="1"/>
  <c r="Y233" i="5" s="1" a="1"/>
  <c r="Y233" i="5" s="1"/>
  <c r="Z233" i="5" s="1" a="1"/>
  <c r="Z233" i="5" s="1"/>
  <c r="AA233" i="5" s="1" a="1"/>
  <c r="AA233" i="5" s="1"/>
  <c r="AB233" i="5" s="1"/>
  <c r="AC233" i="5" s="1"/>
  <c r="AD233" i="5" s="1"/>
  <c r="AE233" i="5" s="1"/>
  <c r="AF233" i="5" s="1"/>
  <c r="AG233" i="5" s="1"/>
  <c r="AH233" i="5" s="1"/>
  <c r="AI233" i="5" s="1"/>
  <c r="T234" i="5" a="1"/>
  <c r="T234" i="5" s="1"/>
  <c r="U234" i="5" s="1" a="1"/>
  <c r="U234" i="5" s="1"/>
  <c r="V234" i="5" s="1" a="1"/>
  <c r="V234" i="5" s="1"/>
  <c r="W234" i="5" s="1" a="1"/>
  <c r="W234" i="5" s="1"/>
  <c r="X234" i="5" s="1" a="1"/>
  <c r="X234" i="5" s="1"/>
  <c r="Y234" i="5" s="1" a="1"/>
  <c r="Y234" i="5" s="1"/>
  <c r="Z234" i="5" s="1" a="1"/>
  <c r="Z234" i="5" s="1"/>
  <c r="AA234" i="5" s="1" a="1"/>
  <c r="AA234" i="5" s="1"/>
  <c r="AB234" i="5" s="1"/>
  <c r="AC234" i="5" s="1"/>
  <c r="AD234" i="5" s="1"/>
  <c r="AE234" i="5" s="1"/>
  <c r="AF234" i="5" s="1"/>
  <c r="AG234" i="5" s="1"/>
  <c r="AH234" i="5" s="1"/>
  <c r="AI234" i="5" s="1"/>
  <c r="T124" i="5" a="1"/>
  <c r="T124" i="5" s="1"/>
  <c r="U124" i="5" s="1" a="1"/>
  <c r="U124" i="5" s="1"/>
  <c r="V124" i="5" s="1" a="1"/>
  <c r="V124" i="5" s="1"/>
  <c r="W124" i="5" s="1" a="1"/>
  <c r="W124" i="5" s="1"/>
  <c r="X124" i="5" s="1" a="1"/>
  <c r="X124" i="5" s="1"/>
  <c r="Y124" i="5" s="1" a="1"/>
  <c r="Y124" i="5" s="1"/>
  <c r="Z124" i="5" s="1" a="1"/>
  <c r="Z124" i="5" s="1"/>
  <c r="AA124" i="5" s="1" a="1"/>
  <c r="AA124" i="5" s="1"/>
  <c r="AB124" i="5" s="1"/>
  <c r="AC124" i="5" s="1"/>
  <c r="AD124" i="5" s="1"/>
  <c r="AE124" i="5" s="1"/>
  <c r="AF124" i="5" s="1"/>
  <c r="AG124" i="5" s="1"/>
  <c r="AH124" i="5" s="1"/>
  <c r="AI124" i="5" s="1"/>
  <c r="T125" i="5" a="1"/>
  <c r="T125" i="5" s="1"/>
  <c r="U125" i="5" s="1" a="1"/>
  <c r="U125" i="5" s="1"/>
  <c r="V125" i="5" s="1" a="1"/>
  <c r="V125" i="5" s="1"/>
  <c r="W125" i="5" s="1" a="1"/>
  <c r="W125" i="5" s="1"/>
  <c r="X125" i="5" s="1" a="1"/>
  <c r="X125" i="5" s="1"/>
  <c r="Y125" i="5" s="1" a="1"/>
  <c r="Y125" i="5" s="1"/>
  <c r="Z125" i="5" s="1" a="1"/>
  <c r="Z125" i="5" s="1"/>
  <c r="AA125" i="5" s="1" a="1"/>
  <c r="AA125" i="5" s="1"/>
  <c r="AB125" i="5" s="1"/>
  <c r="AC125" i="5" s="1"/>
  <c r="AD125" i="5" s="1"/>
  <c r="AE125" i="5" s="1"/>
  <c r="AF125" i="5" s="1"/>
  <c r="AG125" i="5" s="1"/>
  <c r="AH125" i="5" s="1"/>
  <c r="AI125" i="5" s="1"/>
  <c r="T126" i="5" a="1"/>
  <c r="T126" i="5" s="1"/>
  <c r="U126" i="5" s="1" a="1"/>
  <c r="U126" i="5" s="1"/>
  <c r="V126" i="5" s="1" a="1"/>
  <c r="V126" i="5" s="1"/>
  <c r="W126" i="5" s="1" a="1"/>
  <c r="W126" i="5" s="1"/>
  <c r="X126" i="5" s="1" a="1"/>
  <c r="X126" i="5" s="1"/>
  <c r="Y126" i="5" s="1" a="1"/>
  <c r="Y126" i="5" s="1"/>
  <c r="Z126" i="5" s="1" a="1"/>
  <c r="Z126" i="5" s="1"/>
  <c r="AA126" i="5" s="1" a="1"/>
  <c r="AA126" i="5" s="1"/>
  <c r="AB126" i="5" s="1"/>
  <c r="AC126" i="5" s="1"/>
  <c r="AD126" i="5" s="1"/>
  <c r="AE126" i="5" s="1"/>
  <c r="AF126" i="5" s="1"/>
  <c r="AG126" i="5" s="1"/>
  <c r="AH126" i="5" s="1"/>
  <c r="AI126" i="5" s="1"/>
  <c r="T134" i="5" a="1"/>
  <c r="T134" i="5" s="1"/>
  <c r="U134" i="5" s="1" a="1"/>
  <c r="U134" i="5" s="1"/>
  <c r="V134" i="5" s="1" a="1"/>
  <c r="V134" i="5" s="1"/>
  <c r="W134" i="5" s="1" a="1"/>
  <c r="W134" i="5" s="1"/>
  <c r="X134" i="5" s="1" a="1"/>
  <c r="X134" i="5" s="1"/>
  <c r="Y134" i="5" s="1" a="1"/>
  <c r="Y134" i="5" s="1"/>
  <c r="Z134" i="5" s="1" a="1"/>
  <c r="Z134" i="5" s="1"/>
  <c r="AA134" i="5" s="1" a="1"/>
  <c r="AA134" i="5" s="1"/>
  <c r="AB134" i="5" s="1"/>
  <c r="AC134" i="5" s="1"/>
  <c r="AD134" i="5" s="1"/>
  <c r="AE134" i="5" s="1"/>
  <c r="AF134" i="5" s="1"/>
  <c r="AG134" i="5" s="1"/>
  <c r="AH134" i="5" s="1"/>
  <c r="AI134" i="5" s="1"/>
  <c r="T46" i="5" a="1"/>
  <c r="T46" i="5" s="1"/>
  <c r="U46" i="5" s="1" a="1"/>
  <c r="U46" i="5" s="1"/>
  <c r="V46" i="5" s="1" a="1"/>
  <c r="V46" i="5" s="1"/>
  <c r="W46" i="5" s="1" a="1"/>
  <c r="W46" i="5" s="1"/>
  <c r="X46" i="5" s="1" a="1"/>
  <c r="X46" i="5" s="1"/>
  <c r="Y46" i="5" s="1" a="1"/>
  <c r="Y46" i="5" s="1"/>
  <c r="Z46" i="5" s="1" a="1"/>
  <c r="Z46" i="5" s="1"/>
  <c r="AA46" i="5" s="1" a="1"/>
  <c r="AA46" i="5" s="1"/>
  <c r="AB46" i="5" s="1"/>
  <c r="AC46" i="5" s="1"/>
  <c r="AD46" i="5" s="1"/>
  <c r="AE46" i="5" s="1"/>
  <c r="AF46" i="5" s="1"/>
  <c r="AG46" i="5" s="1"/>
  <c r="AH46" i="5" s="1"/>
  <c r="AI46" i="5" s="1"/>
  <c r="T40" i="5" l="1" a="1"/>
  <c r="T40" i="5" s="1"/>
  <c r="U40" i="5" s="1" a="1"/>
  <c r="U40" i="5" s="1"/>
  <c r="V40" i="5" s="1" a="1"/>
  <c r="V40" i="5" s="1"/>
  <c r="W40" i="5" s="1" a="1"/>
  <c r="W40" i="5" s="1"/>
  <c r="X40" i="5" s="1" a="1"/>
  <c r="X40" i="5" s="1"/>
  <c r="Y40" i="5" s="1" a="1"/>
  <c r="Y40" i="5" s="1"/>
  <c r="Z40" i="5" s="1" a="1"/>
  <c r="Z40" i="5" s="1"/>
  <c r="AA40" i="5" s="1" a="1"/>
  <c r="AA40" i="5" s="1"/>
  <c r="AB40" i="5" s="1"/>
  <c r="AC40" i="5" s="1"/>
  <c r="AD40" i="5" s="1"/>
  <c r="AE40" i="5" s="1"/>
  <c r="AF40" i="5" s="1"/>
  <c r="AG40" i="5" s="1"/>
  <c r="AH40" i="5" s="1"/>
  <c r="AI40" i="5" s="1"/>
  <c r="T41" i="5" a="1"/>
  <c r="T41" i="5" s="1"/>
  <c r="U41" i="5" s="1" a="1"/>
  <c r="U41" i="5" s="1"/>
  <c r="V41" i="5" s="1" a="1"/>
  <c r="V41" i="5" s="1"/>
  <c r="W41" i="5" s="1" a="1"/>
  <c r="W41" i="5" s="1"/>
  <c r="X41" i="5" s="1" a="1"/>
  <c r="X41" i="5" s="1"/>
  <c r="Y41" i="5" s="1" a="1"/>
  <c r="Y41" i="5" s="1"/>
  <c r="Z41" i="5" s="1" a="1"/>
  <c r="Z41" i="5" s="1"/>
  <c r="AA41" i="5" s="1" a="1"/>
  <c r="AA41" i="5" s="1"/>
  <c r="AB41" i="5" s="1"/>
  <c r="AC41" i="5" s="1"/>
  <c r="AD41" i="5" s="1"/>
  <c r="AE41" i="5" s="1"/>
  <c r="AF41" i="5" s="1"/>
  <c r="AG41" i="5" s="1"/>
  <c r="AH41" i="5" s="1"/>
  <c r="AI41" i="5" s="1"/>
  <c r="T237" i="5" a="1"/>
  <c r="T237" i="5" s="1"/>
  <c r="U237" i="5" s="1" a="1"/>
  <c r="U237" i="5" s="1"/>
  <c r="V237" i="5" s="1" a="1"/>
  <c r="V237" i="5" s="1"/>
  <c r="W237" i="5" s="1" a="1"/>
  <c r="W237" i="5" s="1"/>
  <c r="X237" i="5" s="1" a="1"/>
  <c r="X237" i="5" s="1"/>
  <c r="Y237" i="5" s="1" a="1"/>
  <c r="Y237" i="5" s="1"/>
  <c r="Z237" i="5" s="1" a="1"/>
  <c r="Z237" i="5" s="1"/>
  <c r="AA237" i="5" s="1" a="1"/>
  <c r="AA237" i="5" s="1"/>
  <c r="AB237" i="5" s="1"/>
  <c r="AC237" i="5" s="1"/>
  <c r="AD237" i="5" s="1"/>
  <c r="AE237" i="5" s="1"/>
  <c r="AF237" i="5" s="1"/>
  <c r="AG237" i="5" s="1"/>
  <c r="AH237" i="5" s="1"/>
  <c r="AI237" i="5" s="1"/>
  <c r="T238" i="5" a="1"/>
  <c r="T238" i="5" s="1"/>
  <c r="U238" i="5" s="1" a="1"/>
  <c r="U238" i="5" s="1"/>
  <c r="V238" i="5" s="1" a="1"/>
  <c r="V238" i="5" s="1"/>
  <c r="W238" i="5" s="1" a="1"/>
  <c r="W238" i="5" s="1"/>
  <c r="X238" i="5" s="1" a="1"/>
  <c r="X238" i="5" s="1"/>
  <c r="Y238" i="5" s="1" a="1"/>
  <c r="Y238" i="5" s="1"/>
  <c r="Z238" i="5" s="1" a="1"/>
  <c r="Z238" i="5" s="1"/>
  <c r="AA238" i="5" s="1" a="1"/>
  <c r="AA238" i="5" s="1"/>
  <c r="AB238" i="5" s="1"/>
  <c r="AC238" i="5" s="1"/>
  <c r="AD238" i="5" s="1"/>
  <c r="AE238" i="5" s="1"/>
  <c r="AF238" i="5" s="1"/>
  <c r="AG238" i="5" s="1"/>
  <c r="AH238" i="5" s="1"/>
  <c r="AI238" i="5" s="1"/>
  <c r="T202" i="5" l="1" a="1"/>
  <c r="T202" i="5" s="1"/>
  <c r="U202" i="5" s="1" a="1"/>
  <c r="U202" i="5" s="1"/>
  <c r="V202" i="5" s="1" a="1"/>
  <c r="V202" i="5" s="1"/>
  <c r="W202" i="5" s="1" a="1"/>
  <c r="W202" i="5" s="1"/>
  <c r="X202" i="5" s="1" a="1"/>
  <c r="X202" i="5" s="1"/>
  <c r="Y202" i="5" s="1" a="1"/>
  <c r="Y202" i="5" s="1"/>
  <c r="Z202" i="5" s="1" a="1"/>
  <c r="Z202" i="5" s="1"/>
  <c r="AA202" i="5" s="1" a="1"/>
  <c r="AA202" i="5" s="1"/>
  <c r="AB202" i="5" s="1"/>
  <c r="AC202" i="5" s="1"/>
  <c r="AD202" i="5" s="1"/>
  <c r="AE202" i="5" s="1"/>
  <c r="AF202" i="5" s="1"/>
  <c r="AG202" i="5" s="1"/>
  <c r="AH202" i="5" s="1"/>
  <c r="AI202" i="5" s="1"/>
  <c r="T224" i="5" a="1"/>
  <c r="T224" i="5" s="1"/>
  <c r="U224" i="5" s="1" a="1"/>
  <c r="U224" i="5" s="1"/>
  <c r="V224" i="5" s="1" a="1"/>
  <c r="V224" i="5" s="1"/>
  <c r="W224" i="5" s="1" a="1"/>
  <c r="W224" i="5" s="1"/>
  <c r="X224" i="5" s="1" a="1"/>
  <c r="X224" i="5" s="1"/>
  <c r="Y224" i="5" s="1" a="1"/>
  <c r="Y224" i="5" s="1"/>
  <c r="Z224" i="5" s="1" a="1"/>
  <c r="Z224" i="5" s="1"/>
  <c r="AA224" i="5" s="1" a="1"/>
  <c r="AA224" i="5" s="1"/>
  <c r="AB224" i="5" s="1"/>
  <c r="AC224" i="5" s="1"/>
  <c r="AD224" i="5" s="1"/>
  <c r="AE224" i="5" s="1"/>
  <c r="AF224" i="5" s="1"/>
  <c r="AG224" i="5" s="1"/>
  <c r="AH224" i="5" s="1"/>
  <c r="AI224" i="5" s="1"/>
  <c r="T229" i="5" a="1"/>
  <c r="T229" i="5" s="1"/>
  <c r="U229" i="5" s="1" a="1"/>
  <c r="U229" i="5" s="1"/>
  <c r="V229" i="5" s="1" a="1"/>
  <c r="V229" i="5" s="1"/>
  <c r="W229" i="5" s="1" a="1"/>
  <c r="W229" i="5" s="1"/>
  <c r="X229" i="5" s="1" a="1"/>
  <c r="X229" i="5" s="1"/>
  <c r="Y229" i="5" s="1" a="1"/>
  <c r="Y229" i="5" s="1"/>
  <c r="Z229" i="5" s="1" a="1"/>
  <c r="Z229" i="5" s="1"/>
  <c r="AA229" i="5" s="1" a="1"/>
  <c r="AA229" i="5" s="1"/>
  <c r="AB229" i="5" s="1"/>
  <c r="AC229" i="5" s="1"/>
  <c r="AD229" i="5" s="1"/>
  <c r="AE229" i="5" s="1"/>
  <c r="AF229" i="5" s="1"/>
  <c r="AG229" i="5" s="1"/>
  <c r="AH229" i="5" s="1"/>
  <c r="AI229" i="5" s="1"/>
  <c r="T230" i="5" a="1"/>
  <c r="T230" i="5" s="1"/>
  <c r="U230" i="5" s="1" a="1"/>
  <c r="U230" i="5" s="1"/>
  <c r="V230" i="5" s="1" a="1"/>
  <c r="V230" i="5" s="1"/>
  <c r="W230" i="5" s="1" a="1"/>
  <c r="W230" i="5" s="1"/>
  <c r="X230" i="5" s="1" a="1"/>
  <c r="X230" i="5" s="1"/>
  <c r="Y230" i="5" s="1" a="1"/>
  <c r="Y230" i="5" s="1"/>
  <c r="Z230" i="5" s="1" a="1"/>
  <c r="Z230" i="5" s="1"/>
  <c r="AA230" i="5" s="1" a="1"/>
  <c r="AA230" i="5" s="1"/>
  <c r="AB230" i="5" s="1"/>
  <c r="AC230" i="5" s="1"/>
  <c r="AD230" i="5" s="1"/>
  <c r="AE230" i="5" s="1"/>
  <c r="AF230" i="5" s="1"/>
  <c r="AG230" i="5" s="1"/>
  <c r="AH230" i="5" s="1"/>
  <c r="AI230" i="5" s="1"/>
  <c r="T289" i="5" a="1"/>
  <c r="T289" i="5" s="1"/>
  <c r="U289" i="5" s="1" a="1"/>
  <c r="U289" i="5" s="1"/>
  <c r="V289" i="5" s="1" a="1"/>
  <c r="V289" i="5" s="1"/>
  <c r="W289" i="5" s="1" a="1"/>
  <c r="W289" i="5" s="1"/>
  <c r="X289" i="5" s="1" a="1"/>
  <c r="X289" i="5" s="1"/>
  <c r="Y289" i="5" s="1" a="1"/>
  <c r="Y289" i="5" s="1"/>
  <c r="Z289" i="5" s="1" a="1"/>
  <c r="Z289" i="5" s="1"/>
  <c r="AA289" i="5" s="1" a="1"/>
  <c r="AA289" i="5" s="1"/>
  <c r="AB289" i="5" s="1"/>
  <c r="AC289" i="5" s="1"/>
  <c r="AD289" i="5" s="1"/>
  <c r="AE289" i="5" s="1"/>
  <c r="AF289" i="5" s="1"/>
  <c r="AG289" i="5" s="1"/>
  <c r="AH289" i="5" s="1"/>
  <c r="AI289" i="5" s="1"/>
  <c r="T288" i="5" a="1"/>
  <c r="T288" i="5" s="1"/>
  <c r="U288" i="5" s="1" a="1"/>
  <c r="U288" i="5" s="1"/>
  <c r="V288" i="5" s="1" a="1"/>
  <c r="V288" i="5" s="1"/>
  <c r="W288" i="5" s="1" a="1"/>
  <c r="W288" i="5" s="1"/>
  <c r="X288" i="5" s="1" a="1"/>
  <c r="X288" i="5" s="1"/>
  <c r="Y288" i="5" s="1" a="1"/>
  <c r="Y288" i="5" s="1"/>
  <c r="Z288" i="5" s="1" a="1"/>
  <c r="Z288" i="5" s="1"/>
  <c r="AA288" i="5" s="1" a="1"/>
  <c r="AA288" i="5" s="1"/>
  <c r="AB288" i="5" s="1"/>
  <c r="AC288" i="5" s="1"/>
  <c r="AD288" i="5" s="1"/>
  <c r="AE288" i="5" s="1"/>
  <c r="AF288" i="5" s="1"/>
  <c r="AG288" i="5" s="1"/>
  <c r="AH288" i="5" s="1"/>
  <c r="AI288" i="5" s="1"/>
  <c r="T287" i="5" a="1"/>
  <c r="T287" i="5" s="1"/>
  <c r="U287" i="5" s="1" a="1"/>
  <c r="U287" i="5" s="1"/>
  <c r="V287" i="5" s="1" a="1"/>
  <c r="V287" i="5" s="1"/>
  <c r="W287" i="5" s="1" a="1"/>
  <c r="W287" i="5" s="1"/>
  <c r="X287" i="5" s="1" a="1"/>
  <c r="X287" i="5" s="1"/>
  <c r="Y287" i="5" s="1" a="1"/>
  <c r="Y287" i="5" s="1"/>
  <c r="Z287" i="5" s="1" a="1"/>
  <c r="Z287" i="5" s="1"/>
  <c r="AA287" i="5" s="1" a="1"/>
  <c r="AA287" i="5" s="1"/>
  <c r="AB287" i="5" s="1"/>
  <c r="AC287" i="5" s="1"/>
  <c r="AD287" i="5" s="1"/>
  <c r="AE287" i="5" s="1"/>
  <c r="AF287" i="5" s="1"/>
  <c r="AG287" i="5" s="1"/>
  <c r="AH287" i="5" s="1"/>
  <c r="AI287" i="5" s="1"/>
  <c r="T286" i="5" a="1"/>
  <c r="T286" i="5" s="1"/>
  <c r="U286" i="5" s="1" a="1"/>
  <c r="U286" i="5" s="1"/>
  <c r="V286" i="5" s="1" a="1"/>
  <c r="V286" i="5" s="1"/>
  <c r="W286" i="5" s="1" a="1"/>
  <c r="W286" i="5" s="1"/>
  <c r="X286" i="5" s="1" a="1"/>
  <c r="X286" i="5" s="1"/>
  <c r="Y286" i="5" s="1" a="1"/>
  <c r="Y286" i="5" s="1"/>
  <c r="Z286" i="5" s="1" a="1"/>
  <c r="Z286" i="5" s="1"/>
  <c r="AA286" i="5" s="1" a="1"/>
  <c r="AA286" i="5" s="1"/>
  <c r="AB286" i="5" s="1"/>
  <c r="AC286" i="5" s="1"/>
  <c r="AD286" i="5" s="1"/>
  <c r="AE286" i="5" s="1"/>
  <c r="AF286" i="5" s="1"/>
  <c r="AG286" i="5" s="1"/>
  <c r="AH286" i="5" s="1"/>
  <c r="AI286" i="5" s="1"/>
  <c r="T285" i="5" a="1"/>
  <c r="T285" i="5" s="1"/>
  <c r="U285" i="5" s="1" a="1"/>
  <c r="U285" i="5" s="1"/>
  <c r="V285" i="5" s="1" a="1"/>
  <c r="V285" i="5" s="1"/>
  <c r="W285" i="5" s="1" a="1"/>
  <c r="W285" i="5" s="1"/>
  <c r="X285" i="5" s="1" a="1"/>
  <c r="X285" i="5" s="1"/>
  <c r="Y285" i="5" s="1" a="1"/>
  <c r="Y285" i="5" s="1"/>
  <c r="Z285" i="5" s="1" a="1"/>
  <c r="Z285" i="5" s="1"/>
  <c r="AA285" i="5" s="1" a="1"/>
  <c r="AA285" i="5" s="1"/>
  <c r="AB285" i="5" s="1"/>
  <c r="AC285" i="5" s="1"/>
  <c r="AD285" i="5" s="1"/>
  <c r="AE285" i="5" s="1"/>
  <c r="AF285" i="5" s="1"/>
  <c r="AG285" i="5" s="1"/>
  <c r="AH285" i="5" s="1"/>
  <c r="AI285" i="5" s="1"/>
  <c r="T284" i="5" a="1"/>
  <c r="T284" i="5" s="1"/>
  <c r="U284" i="5" s="1" a="1"/>
  <c r="U284" i="5" s="1"/>
  <c r="V284" i="5" s="1" a="1"/>
  <c r="V284" i="5" s="1"/>
  <c r="W284" i="5" s="1" a="1"/>
  <c r="W284" i="5" s="1"/>
  <c r="X284" i="5" s="1" a="1"/>
  <c r="X284" i="5" s="1"/>
  <c r="Y284" i="5" s="1" a="1"/>
  <c r="Y284" i="5" s="1"/>
  <c r="Z284" i="5" s="1" a="1"/>
  <c r="Z284" i="5" s="1"/>
  <c r="AA284" i="5" s="1" a="1"/>
  <c r="AA284" i="5" s="1"/>
  <c r="AB284" i="5" s="1"/>
  <c r="AC284" i="5" s="1"/>
  <c r="AD284" i="5" s="1"/>
  <c r="AE284" i="5" s="1"/>
  <c r="AF284" i="5" s="1"/>
  <c r="AG284" i="5" s="1"/>
  <c r="AH284" i="5" s="1"/>
  <c r="AI284" i="5" s="1"/>
  <c r="T283" i="5" a="1"/>
  <c r="T283" i="5" s="1"/>
  <c r="U283" i="5" s="1" a="1"/>
  <c r="U283" i="5" s="1"/>
  <c r="V283" i="5" s="1" a="1"/>
  <c r="V283" i="5" s="1"/>
  <c r="W283" i="5" s="1" a="1"/>
  <c r="W283" i="5" s="1"/>
  <c r="X283" i="5" s="1" a="1"/>
  <c r="X283" i="5" s="1"/>
  <c r="Y283" i="5" s="1" a="1"/>
  <c r="Y283" i="5" s="1"/>
  <c r="Z283" i="5" s="1" a="1"/>
  <c r="Z283" i="5" s="1"/>
  <c r="AA283" i="5" s="1" a="1"/>
  <c r="AA283" i="5" s="1"/>
  <c r="AB283" i="5" s="1"/>
  <c r="AC283" i="5" s="1"/>
  <c r="AD283" i="5" s="1"/>
  <c r="AE283" i="5" s="1"/>
  <c r="AF283" i="5" s="1"/>
  <c r="AG283" i="5" s="1"/>
  <c r="AH283" i="5" s="1"/>
  <c r="AI283" i="5" s="1"/>
  <c r="T278" i="5" a="1"/>
  <c r="T278" i="5" s="1"/>
  <c r="U278" i="5" s="1" a="1"/>
  <c r="U278" i="5" s="1"/>
  <c r="V278" i="5" s="1" a="1"/>
  <c r="V278" i="5" s="1"/>
  <c r="W278" i="5" s="1" a="1"/>
  <c r="W278" i="5" s="1"/>
  <c r="X278" i="5" s="1" a="1"/>
  <c r="X278" i="5" s="1"/>
  <c r="Y278" i="5" s="1" a="1"/>
  <c r="Y278" i="5" s="1"/>
  <c r="Z278" i="5" s="1" a="1"/>
  <c r="Z278" i="5" s="1"/>
  <c r="AA278" i="5" s="1" a="1"/>
  <c r="AA278" i="5" s="1"/>
  <c r="AB278" i="5" s="1"/>
  <c r="AC278" i="5" s="1"/>
  <c r="AD278" i="5" s="1"/>
  <c r="AE278" i="5" s="1"/>
  <c r="AF278" i="5" s="1"/>
  <c r="AG278" i="5" s="1"/>
  <c r="AH278" i="5" s="1"/>
  <c r="AI278" i="5" s="1"/>
  <c r="T290" i="5" a="1"/>
  <c r="T290" i="5" s="1"/>
  <c r="U290" i="5" s="1" a="1"/>
  <c r="U290" i="5" s="1"/>
  <c r="V290" i="5" s="1" a="1"/>
  <c r="V290" i="5" s="1"/>
  <c r="W290" i="5" s="1" a="1"/>
  <c r="W290" i="5" s="1"/>
  <c r="X290" i="5" s="1" a="1"/>
  <c r="X290" i="5" s="1"/>
  <c r="Y290" i="5" s="1" a="1"/>
  <c r="Y290" i="5" s="1"/>
  <c r="T4" i="5" a="1"/>
  <c r="T4" i="5" s="1"/>
  <c r="U4" i="5" s="1" a="1"/>
  <c r="U4" i="5" s="1"/>
  <c r="T5" i="5" a="1"/>
  <c r="T5" i="5" s="1"/>
  <c r="T6" i="5" a="1"/>
  <c r="T6" i="5" s="1"/>
  <c r="U6" i="5" s="1" a="1"/>
  <c r="U6" i="5" s="1"/>
  <c r="V6" i="5" s="1" a="1"/>
  <c r="V6" i="5" s="1"/>
  <c r="W6" i="5" s="1" a="1"/>
  <c r="W6" i="5" s="1"/>
  <c r="X6" i="5" s="1" a="1"/>
  <c r="X6" i="5" s="1"/>
  <c r="T7" i="5" a="1"/>
  <c r="T7" i="5" s="1"/>
  <c r="U7" i="5" s="1" a="1"/>
  <c r="U7" i="5" s="1"/>
  <c r="V7" i="5" s="1" a="1"/>
  <c r="V7" i="5" s="1"/>
  <c r="W7" i="5" s="1" a="1"/>
  <c r="W7" i="5" s="1"/>
  <c r="X7" i="5" s="1" a="1"/>
  <c r="X7" i="5" s="1"/>
  <c r="Y7" i="5" s="1" a="1"/>
  <c r="Y7" i="5" s="1"/>
  <c r="T8" i="5" a="1"/>
  <c r="T8" i="5" s="1"/>
  <c r="U8" i="5" s="1" a="1"/>
  <c r="U8" i="5" s="1"/>
  <c r="V8" i="5" s="1" a="1"/>
  <c r="V8" i="5" s="1"/>
  <c r="W8" i="5" s="1" a="1"/>
  <c r="W8" i="5" s="1"/>
  <c r="X8" i="5" s="1" a="1"/>
  <c r="X8" i="5" s="1"/>
  <c r="Y8" i="5" s="1" a="1"/>
  <c r="Y8" i="5" s="1"/>
  <c r="T9" i="5" a="1"/>
  <c r="T9" i="5" s="1"/>
  <c r="U9" i="5" s="1" a="1"/>
  <c r="U9" i="5" s="1"/>
  <c r="V9" i="5" s="1" a="1"/>
  <c r="V9" i="5" s="1"/>
  <c r="W9" i="5" s="1" a="1"/>
  <c r="W9" i="5" s="1"/>
  <c r="X9" i="5" s="1" a="1"/>
  <c r="X9" i="5" s="1"/>
  <c r="Y9" i="5" s="1" a="1"/>
  <c r="Y9" i="5" s="1"/>
  <c r="T10" i="5" a="1"/>
  <c r="T10" i="5" s="1"/>
  <c r="U10" i="5" s="1" a="1"/>
  <c r="U10" i="5" s="1"/>
  <c r="V10" i="5" s="1" a="1"/>
  <c r="V10" i="5" s="1"/>
  <c r="W10" i="5" s="1" a="1"/>
  <c r="W10" i="5" s="1"/>
  <c r="X10" i="5" s="1" a="1"/>
  <c r="X10" i="5" s="1"/>
  <c r="Y10" i="5" s="1" a="1"/>
  <c r="Y10" i="5" s="1"/>
  <c r="T11" i="5" a="1"/>
  <c r="T11" i="5" s="1"/>
  <c r="T12" i="5" a="1"/>
  <c r="T12" i="5" s="1"/>
  <c r="T13" i="5" a="1"/>
  <c r="T13" i="5" s="1"/>
  <c r="T14" i="5" a="1"/>
  <c r="T14" i="5" s="1"/>
  <c r="U14" i="5" s="1" a="1"/>
  <c r="U14" i="5" s="1"/>
  <c r="V14" i="5" s="1" a="1"/>
  <c r="V14" i="5" s="1"/>
  <c r="W14" i="5" s="1" a="1"/>
  <c r="W14" i="5" s="1"/>
  <c r="X14" i="5" s="1" a="1"/>
  <c r="X14" i="5" s="1"/>
  <c r="Y14" i="5" s="1" a="1"/>
  <c r="Y14" i="5" s="1"/>
  <c r="T15" i="5" a="1"/>
  <c r="T15" i="5" s="1"/>
  <c r="U15" i="5" s="1" a="1"/>
  <c r="U15" i="5" s="1"/>
  <c r="V15" i="5" s="1" a="1"/>
  <c r="V15" i="5" s="1"/>
  <c r="W15" i="5" s="1" a="1"/>
  <c r="W15" i="5" s="1"/>
  <c r="X15" i="5" s="1" a="1"/>
  <c r="X15" i="5" s="1"/>
  <c r="Y15" i="5" s="1" a="1"/>
  <c r="Y15" i="5" s="1"/>
  <c r="T16" i="5" a="1"/>
  <c r="T16" i="5" s="1"/>
  <c r="U16" i="5" s="1" a="1"/>
  <c r="U16" i="5" s="1"/>
  <c r="V16" i="5" s="1" a="1"/>
  <c r="V16" i="5" s="1"/>
  <c r="W16" i="5" s="1" a="1"/>
  <c r="W16" i="5" s="1"/>
  <c r="X16" i="5" s="1" a="1"/>
  <c r="X16" i="5" s="1"/>
  <c r="Y16" i="5" s="1" a="1"/>
  <c r="Y16" i="5" s="1"/>
  <c r="T17" i="5" a="1"/>
  <c r="T17" i="5" s="1"/>
  <c r="U17" i="5" s="1" a="1"/>
  <c r="U17" i="5" s="1"/>
  <c r="V17" i="5" s="1" a="1"/>
  <c r="V17" i="5" s="1"/>
  <c r="W17" i="5" s="1" a="1"/>
  <c r="W17" i="5" s="1"/>
  <c r="X17" i="5" s="1" a="1"/>
  <c r="X17" i="5" s="1"/>
  <c r="Y17" i="5" s="1" a="1"/>
  <c r="Y17" i="5" s="1"/>
  <c r="T18" i="5" a="1"/>
  <c r="T18" i="5" s="1"/>
  <c r="U18" i="5" s="1" a="1"/>
  <c r="U18" i="5" s="1"/>
  <c r="V18" i="5" s="1" a="1"/>
  <c r="V18" i="5" s="1"/>
  <c r="W18" i="5" s="1" a="1"/>
  <c r="W18" i="5" s="1"/>
  <c r="X18" i="5" s="1" a="1"/>
  <c r="X18" i="5" s="1"/>
  <c r="Y18" i="5" s="1" a="1"/>
  <c r="Y18" i="5" s="1"/>
  <c r="T19" i="5" a="1"/>
  <c r="T19" i="5" s="1"/>
  <c r="T20" i="5" a="1"/>
  <c r="T20" i="5" s="1"/>
  <c r="T21" i="5" a="1"/>
  <c r="T21" i="5" s="1"/>
  <c r="U21" i="5" s="1" a="1"/>
  <c r="U21" i="5" s="1"/>
  <c r="V21" i="5" s="1" a="1"/>
  <c r="V21" i="5" s="1"/>
  <c r="W21" i="5" s="1" a="1"/>
  <c r="W21" i="5" s="1"/>
  <c r="X21" i="5" s="1" a="1"/>
  <c r="X21" i="5" s="1"/>
  <c r="T22" i="5" a="1"/>
  <c r="T22" i="5" s="1"/>
  <c r="U22" i="5" s="1" a="1"/>
  <c r="U22" i="5" s="1"/>
  <c r="V22" i="5" s="1" a="1"/>
  <c r="V22" i="5" s="1"/>
  <c r="W22" i="5" s="1" a="1"/>
  <c r="W22" i="5" s="1"/>
  <c r="X22" i="5" s="1" a="1"/>
  <c r="X22" i="5" s="1"/>
  <c r="Y22" i="5" s="1" a="1"/>
  <c r="Y22" i="5" s="1"/>
  <c r="T23" i="5" a="1"/>
  <c r="T23" i="5" s="1"/>
  <c r="U23" i="5" s="1" a="1"/>
  <c r="U23" i="5" s="1"/>
  <c r="V23" i="5" s="1" a="1"/>
  <c r="V23" i="5" s="1"/>
  <c r="W23" i="5" s="1" a="1"/>
  <c r="W23" i="5" s="1"/>
  <c r="X23" i="5" s="1" a="1"/>
  <c r="X23" i="5" s="1"/>
  <c r="Y23" i="5" s="1" a="1"/>
  <c r="Y23" i="5" s="1"/>
  <c r="T24" i="5" a="1"/>
  <c r="T24" i="5" s="1"/>
  <c r="U24" i="5" s="1" a="1"/>
  <c r="U24" i="5" s="1"/>
  <c r="V24" i="5" s="1" a="1"/>
  <c r="V24" i="5" s="1"/>
  <c r="W24" i="5" s="1" a="1"/>
  <c r="W24" i="5" s="1"/>
  <c r="X24" i="5" s="1" a="1"/>
  <c r="X24" i="5" s="1"/>
  <c r="Y24" i="5" s="1" a="1"/>
  <c r="Y24" i="5" s="1"/>
  <c r="T25" i="5" a="1"/>
  <c r="T25" i="5" s="1"/>
  <c r="U25" i="5" s="1" a="1"/>
  <c r="U25" i="5" s="1"/>
  <c r="V25" i="5" s="1" a="1"/>
  <c r="V25" i="5" s="1"/>
  <c r="W25" i="5" s="1" a="1"/>
  <c r="W25" i="5" s="1"/>
  <c r="X25" i="5" s="1" a="1"/>
  <c r="X25" i="5" s="1"/>
  <c r="Y25" i="5" s="1" a="1"/>
  <c r="Y25" i="5" s="1"/>
  <c r="T26" i="5" a="1"/>
  <c r="T26" i="5" s="1"/>
  <c r="U26" i="5" s="1" a="1"/>
  <c r="U26" i="5" s="1"/>
  <c r="V26" i="5" s="1" a="1"/>
  <c r="V26" i="5" s="1"/>
  <c r="W26" i="5" s="1" a="1"/>
  <c r="W26" i="5" s="1"/>
  <c r="X26" i="5" s="1" a="1"/>
  <c r="X26" i="5" s="1"/>
  <c r="Y26" i="5" s="1" a="1"/>
  <c r="Y26" i="5" s="1"/>
  <c r="T27" i="5" a="1"/>
  <c r="T27" i="5" s="1"/>
  <c r="T28" i="5" a="1"/>
  <c r="T28" i="5" s="1"/>
  <c r="T29" i="5" a="1"/>
  <c r="T29" i="5" s="1"/>
  <c r="U29" i="5" s="1" a="1"/>
  <c r="U29" i="5" s="1"/>
  <c r="V29" i="5" s="1" a="1"/>
  <c r="V29" i="5" s="1"/>
  <c r="W29" i="5" s="1" a="1"/>
  <c r="W29" i="5" s="1"/>
  <c r="X29" i="5" s="1" a="1"/>
  <c r="X29" i="5" s="1"/>
  <c r="T30" i="5" a="1"/>
  <c r="T30" i="5" s="1"/>
  <c r="U30" i="5" s="1" a="1"/>
  <c r="U30" i="5" s="1"/>
  <c r="V30" i="5" s="1" a="1"/>
  <c r="V30" i="5" s="1"/>
  <c r="W30" i="5" s="1" a="1"/>
  <c r="W30" i="5" s="1"/>
  <c r="X30" i="5" s="1" a="1"/>
  <c r="X30" i="5" s="1"/>
  <c r="Y30" i="5" s="1" a="1"/>
  <c r="Y30" i="5" s="1"/>
  <c r="T31" i="5" a="1"/>
  <c r="T31" i="5" s="1"/>
  <c r="U31" i="5" s="1" a="1"/>
  <c r="U31" i="5" s="1"/>
  <c r="V31" i="5" s="1" a="1"/>
  <c r="V31" i="5" s="1"/>
  <c r="W31" i="5" s="1" a="1"/>
  <c r="W31" i="5" s="1"/>
  <c r="X31" i="5" s="1" a="1"/>
  <c r="X31" i="5" s="1"/>
  <c r="Y31" i="5" s="1" a="1"/>
  <c r="Y31" i="5" s="1"/>
  <c r="T32" i="5" a="1"/>
  <c r="T32" i="5" s="1"/>
  <c r="U32" i="5" s="1" a="1"/>
  <c r="U32" i="5" s="1"/>
  <c r="V32" i="5" s="1" a="1"/>
  <c r="V32" i="5" s="1"/>
  <c r="W32" i="5" s="1" a="1"/>
  <c r="W32" i="5" s="1"/>
  <c r="X32" i="5" s="1" a="1"/>
  <c r="X32" i="5" s="1"/>
  <c r="Y32" i="5" s="1" a="1"/>
  <c r="Y32" i="5" s="1"/>
  <c r="T33" i="5" a="1"/>
  <c r="T33" i="5" s="1"/>
  <c r="U33" i="5" s="1" a="1"/>
  <c r="U33" i="5" s="1"/>
  <c r="V33" i="5" s="1" a="1"/>
  <c r="V33" i="5" s="1"/>
  <c r="W33" i="5" s="1" a="1"/>
  <c r="W33" i="5" s="1"/>
  <c r="X33" i="5" s="1" a="1"/>
  <c r="X33" i="5" s="1"/>
  <c r="Y33" i="5" s="1" a="1"/>
  <c r="Y33" i="5" s="1"/>
  <c r="T34" i="5" a="1"/>
  <c r="T34" i="5" s="1"/>
  <c r="U34" i="5" s="1" a="1"/>
  <c r="U34" i="5" s="1"/>
  <c r="V34" i="5" s="1" a="1"/>
  <c r="V34" i="5" s="1"/>
  <c r="W34" i="5" s="1" a="1"/>
  <c r="W34" i="5" s="1"/>
  <c r="X34" i="5" s="1" a="1"/>
  <c r="X34" i="5" s="1"/>
  <c r="Y34" i="5" s="1" a="1"/>
  <c r="Y34" i="5" s="1"/>
  <c r="T35" i="5" a="1"/>
  <c r="T35" i="5" s="1"/>
  <c r="T36" i="5" a="1"/>
  <c r="T36" i="5" s="1"/>
  <c r="T37" i="5" a="1"/>
  <c r="T37" i="5" s="1"/>
  <c r="U37" i="5" s="1" a="1"/>
  <c r="U37" i="5" s="1"/>
  <c r="V37" i="5" s="1" a="1"/>
  <c r="V37" i="5" s="1"/>
  <c r="W37" i="5" s="1" a="1"/>
  <c r="W37" i="5" s="1"/>
  <c r="X37" i="5" s="1" a="1"/>
  <c r="X37" i="5" s="1"/>
  <c r="T38" i="5" a="1"/>
  <c r="T38" i="5" s="1"/>
  <c r="U38" i="5" s="1" a="1"/>
  <c r="U38" i="5" s="1"/>
  <c r="V38" i="5" s="1" a="1"/>
  <c r="V38" i="5" s="1"/>
  <c r="W38" i="5" s="1" a="1"/>
  <c r="W38" i="5" s="1"/>
  <c r="X38" i="5" s="1" a="1"/>
  <c r="X38" i="5" s="1"/>
  <c r="Y38" i="5" s="1" a="1"/>
  <c r="Y38" i="5" s="1"/>
  <c r="T39" i="5" a="1"/>
  <c r="T39" i="5" s="1"/>
  <c r="U39" i="5" s="1" a="1"/>
  <c r="U39" i="5" s="1"/>
  <c r="V39" i="5" s="1" a="1"/>
  <c r="V39" i="5" s="1"/>
  <c r="W39" i="5" s="1" a="1"/>
  <c r="W39" i="5" s="1"/>
  <c r="X39" i="5" s="1" a="1"/>
  <c r="X39" i="5" s="1"/>
  <c r="Y39" i="5" s="1" a="1"/>
  <c r="Y39" i="5" s="1"/>
  <c r="T42" i="5" a="1"/>
  <c r="T42" i="5" s="1"/>
  <c r="U42" i="5" s="1" a="1"/>
  <c r="U42" i="5" s="1"/>
  <c r="V42" i="5" s="1" a="1"/>
  <c r="V42" i="5" s="1"/>
  <c r="W42" i="5" s="1" a="1"/>
  <c r="W42" i="5" s="1"/>
  <c r="X42" i="5" s="1" a="1"/>
  <c r="X42" i="5" s="1"/>
  <c r="Y42" i="5" s="1" a="1"/>
  <c r="Y42" i="5" s="1"/>
  <c r="T43" i="5" a="1"/>
  <c r="T43" i="5" s="1"/>
  <c r="U43" i="5" s="1" a="1"/>
  <c r="U43" i="5" s="1"/>
  <c r="V43" i="5" s="1" a="1"/>
  <c r="V43" i="5" s="1"/>
  <c r="W43" i="5" s="1" a="1"/>
  <c r="W43" i="5" s="1"/>
  <c r="X43" i="5" s="1" a="1"/>
  <c r="X43" i="5" s="1"/>
  <c r="Y43" i="5" s="1" a="1"/>
  <c r="Y43" i="5" s="1"/>
  <c r="T44" i="5" a="1"/>
  <c r="T44" i="5" s="1"/>
  <c r="U44" i="5" s="1" a="1"/>
  <c r="U44" i="5" s="1"/>
  <c r="V44" i="5" s="1" a="1"/>
  <c r="V44" i="5" s="1"/>
  <c r="W44" i="5" s="1" a="1"/>
  <c r="W44" i="5" s="1"/>
  <c r="X44" i="5" s="1" a="1"/>
  <c r="X44" i="5" s="1"/>
  <c r="Y44" i="5" s="1" a="1"/>
  <c r="Y44" i="5" s="1"/>
  <c r="T45" i="5" a="1"/>
  <c r="T45" i="5" s="1"/>
  <c r="T47" i="5" a="1"/>
  <c r="T47" i="5" s="1"/>
  <c r="T48" i="5" a="1"/>
  <c r="T48" i="5" s="1"/>
  <c r="T49" i="5" a="1"/>
  <c r="T49" i="5" s="1"/>
  <c r="U49" i="5" s="1" a="1"/>
  <c r="U49" i="5" s="1"/>
  <c r="V49" i="5" s="1" a="1"/>
  <c r="V49" i="5" s="1"/>
  <c r="W49" i="5" s="1" a="1"/>
  <c r="W49" i="5" s="1"/>
  <c r="X49" i="5" s="1" a="1"/>
  <c r="X49" i="5" s="1"/>
  <c r="Y49" i="5" s="1" a="1"/>
  <c r="Y49" i="5" s="1"/>
  <c r="T50" i="5" a="1"/>
  <c r="T50" i="5" s="1"/>
  <c r="U50" i="5" s="1" a="1"/>
  <c r="U50" i="5" s="1"/>
  <c r="V50" i="5" s="1" a="1"/>
  <c r="V50" i="5" s="1"/>
  <c r="W50" i="5" s="1" a="1"/>
  <c r="W50" i="5" s="1"/>
  <c r="X50" i="5" s="1" a="1"/>
  <c r="X50" i="5" s="1"/>
  <c r="Y50" i="5" s="1" a="1"/>
  <c r="Y50" i="5" s="1"/>
  <c r="T51" i="5" a="1"/>
  <c r="T51" i="5" s="1"/>
  <c r="U51" i="5" s="1" a="1"/>
  <c r="U51" i="5" s="1"/>
  <c r="V51" i="5" s="1" a="1"/>
  <c r="V51" i="5" s="1"/>
  <c r="W51" i="5" s="1" a="1"/>
  <c r="W51" i="5" s="1"/>
  <c r="X51" i="5" s="1" a="1"/>
  <c r="X51" i="5" s="1"/>
  <c r="Y51" i="5" s="1" a="1"/>
  <c r="Y51" i="5" s="1"/>
  <c r="T52" i="5" a="1"/>
  <c r="T52" i="5" s="1"/>
  <c r="U52" i="5" s="1" a="1"/>
  <c r="U52" i="5" s="1"/>
  <c r="V52" i="5" s="1" a="1"/>
  <c r="V52" i="5" s="1"/>
  <c r="W52" i="5" s="1" a="1"/>
  <c r="W52" i="5" s="1"/>
  <c r="X52" i="5" s="1" a="1"/>
  <c r="X52" i="5" s="1"/>
  <c r="Y52" i="5" s="1" a="1"/>
  <c r="Y52" i="5" s="1"/>
  <c r="T53" i="5" a="1"/>
  <c r="T53" i="5" s="1"/>
  <c r="U53" i="5" s="1" a="1"/>
  <c r="U53" i="5" s="1"/>
  <c r="V53" i="5" s="1" a="1"/>
  <c r="V53" i="5" s="1"/>
  <c r="W53" i="5" s="1" a="1"/>
  <c r="W53" i="5" s="1"/>
  <c r="X53" i="5" s="1" a="1"/>
  <c r="X53" i="5" s="1"/>
  <c r="Y53" i="5" s="1" a="1"/>
  <c r="Y53" i="5" s="1"/>
  <c r="T54" i="5" a="1"/>
  <c r="T54" i="5" s="1"/>
  <c r="T55" i="5" a="1"/>
  <c r="T55" i="5" s="1"/>
  <c r="T56" i="5" a="1"/>
  <c r="T56" i="5" s="1"/>
  <c r="U56" i="5" s="1" a="1"/>
  <c r="U56" i="5" s="1"/>
  <c r="V56" i="5" s="1" a="1"/>
  <c r="V56" i="5" s="1"/>
  <c r="W56" i="5" s="1" a="1"/>
  <c r="W56" i="5" s="1"/>
  <c r="X56" i="5" s="1" a="1"/>
  <c r="X56" i="5" s="1"/>
  <c r="T58" i="5" a="1"/>
  <c r="T58" i="5" s="1"/>
  <c r="U58" i="5" s="1" a="1"/>
  <c r="U58" i="5" s="1"/>
  <c r="V58" i="5" s="1" a="1"/>
  <c r="V58" i="5" s="1"/>
  <c r="W58" i="5" s="1" a="1"/>
  <c r="W58" i="5" s="1"/>
  <c r="X58" i="5" s="1" a="1"/>
  <c r="X58" i="5" s="1"/>
  <c r="Y58" i="5" s="1" a="1"/>
  <c r="Y58" i="5" s="1"/>
  <c r="T59" i="5" a="1"/>
  <c r="T59" i="5" s="1"/>
  <c r="U59" i="5" s="1" a="1"/>
  <c r="U59" i="5" s="1"/>
  <c r="V59" i="5" s="1" a="1"/>
  <c r="V59" i="5" s="1"/>
  <c r="W59" i="5" s="1" a="1"/>
  <c r="W59" i="5" s="1"/>
  <c r="X59" i="5" s="1" a="1"/>
  <c r="X59" i="5" s="1"/>
  <c r="Y59" i="5" s="1" a="1"/>
  <c r="Y59" i="5" s="1"/>
  <c r="T60" i="5" a="1"/>
  <c r="T60" i="5" s="1"/>
  <c r="U60" i="5" s="1" a="1"/>
  <c r="U60" i="5" s="1"/>
  <c r="V60" i="5" s="1" a="1"/>
  <c r="V60" i="5" s="1"/>
  <c r="W60" i="5" s="1" a="1"/>
  <c r="W60" i="5" s="1"/>
  <c r="X60" i="5" s="1" a="1"/>
  <c r="X60" i="5" s="1"/>
  <c r="Y60" i="5" s="1" a="1"/>
  <c r="Y60" i="5" s="1"/>
  <c r="T61" i="5" a="1"/>
  <c r="T61" i="5" s="1"/>
  <c r="U61" i="5" s="1" a="1"/>
  <c r="U61" i="5" s="1"/>
  <c r="V61" i="5" s="1" a="1"/>
  <c r="V61" i="5" s="1"/>
  <c r="W61" i="5" s="1" a="1"/>
  <c r="W61" i="5" s="1"/>
  <c r="X61" i="5" s="1" a="1"/>
  <c r="X61" i="5" s="1"/>
  <c r="Y61" i="5" s="1" a="1"/>
  <c r="Y61" i="5" s="1"/>
  <c r="T62" i="5" a="1"/>
  <c r="T62" i="5" s="1"/>
  <c r="U62" i="5" s="1" a="1"/>
  <c r="U62" i="5" s="1"/>
  <c r="V62" i="5" s="1" a="1"/>
  <c r="V62" i="5" s="1"/>
  <c r="W62" i="5" s="1" a="1"/>
  <c r="W62" i="5" s="1"/>
  <c r="X62" i="5" s="1" a="1"/>
  <c r="X62" i="5" s="1"/>
  <c r="Y62" i="5" s="1" a="1"/>
  <c r="Y62" i="5" s="1"/>
  <c r="T63" i="5" a="1"/>
  <c r="T63" i="5" s="1"/>
  <c r="T64" i="5" a="1"/>
  <c r="T64" i="5" s="1"/>
  <c r="T65" i="5" a="1"/>
  <c r="T65" i="5" s="1"/>
  <c r="U65" i="5" s="1" a="1"/>
  <c r="U65" i="5" s="1"/>
  <c r="V65" i="5" s="1" a="1"/>
  <c r="V65" i="5" s="1"/>
  <c r="W65" i="5" s="1" a="1"/>
  <c r="W65" i="5" s="1"/>
  <c r="X65" i="5" s="1" a="1"/>
  <c r="X65" i="5" s="1"/>
  <c r="T66" i="5" a="1"/>
  <c r="T66" i="5" s="1"/>
  <c r="U66" i="5" s="1" a="1"/>
  <c r="U66" i="5" s="1"/>
  <c r="V66" i="5" s="1" a="1"/>
  <c r="V66" i="5" s="1"/>
  <c r="W66" i="5" s="1" a="1"/>
  <c r="W66" i="5" s="1"/>
  <c r="X66" i="5" s="1" a="1"/>
  <c r="X66" i="5" s="1"/>
  <c r="Y66" i="5" s="1" a="1"/>
  <c r="Y66" i="5" s="1"/>
  <c r="T67" i="5" a="1"/>
  <c r="T67" i="5" s="1"/>
  <c r="U67" i="5" s="1" a="1"/>
  <c r="U67" i="5" s="1"/>
  <c r="V67" i="5" s="1" a="1"/>
  <c r="V67" i="5" s="1"/>
  <c r="W67" i="5" s="1" a="1"/>
  <c r="W67" i="5" s="1"/>
  <c r="X67" i="5" s="1" a="1"/>
  <c r="X67" i="5" s="1"/>
  <c r="Y67" i="5" s="1" a="1"/>
  <c r="Y67" i="5" s="1"/>
  <c r="T68" i="5" a="1"/>
  <c r="T68" i="5" s="1"/>
  <c r="U68" i="5" s="1" a="1"/>
  <c r="U68" i="5" s="1"/>
  <c r="V68" i="5" s="1" a="1"/>
  <c r="V68" i="5" s="1"/>
  <c r="W68" i="5" s="1" a="1"/>
  <c r="W68" i="5" s="1"/>
  <c r="X68" i="5" s="1" a="1"/>
  <c r="X68" i="5" s="1"/>
  <c r="Y68" i="5" s="1" a="1"/>
  <c r="Y68" i="5" s="1"/>
  <c r="T69" i="5" a="1"/>
  <c r="T69" i="5" s="1"/>
  <c r="U69" i="5" s="1" a="1"/>
  <c r="U69" i="5" s="1"/>
  <c r="V69" i="5" s="1" a="1"/>
  <c r="V69" i="5" s="1"/>
  <c r="W69" i="5" s="1" a="1"/>
  <c r="W69" i="5" s="1"/>
  <c r="X69" i="5" s="1" a="1"/>
  <c r="X69" i="5" s="1"/>
  <c r="Y69" i="5" s="1" a="1"/>
  <c r="Y69" i="5" s="1"/>
  <c r="T70" i="5" a="1"/>
  <c r="T70" i="5" s="1"/>
  <c r="U70" i="5" s="1" a="1"/>
  <c r="U70" i="5" s="1"/>
  <c r="V70" i="5" s="1" a="1"/>
  <c r="V70" i="5" s="1"/>
  <c r="W70" i="5" s="1" a="1"/>
  <c r="W70" i="5" s="1"/>
  <c r="X70" i="5" s="1" a="1"/>
  <c r="X70" i="5" s="1"/>
  <c r="Y70" i="5" s="1" a="1"/>
  <c r="Y70" i="5" s="1"/>
  <c r="T71" i="5" a="1"/>
  <c r="T71" i="5" s="1"/>
  <c r="T72" i="5" a="1"/>
  <c r="T72" i="5" s="1"/>
  <c r="T73" i="5" a="1"/>
  <c r="T73" i="5" s="1"/>
  <c r="U73" i="5" s="1" a="1"/>
  <c r="U73" i="5" s="1"/>
  <c r="V73" i="5" s="1" a="1"/>
  <c r="V73" i="5" s="1"/>
  <c r="W73" i="5" s="1" a="1"/>
  <c r="W73" i="5" s="1"/>
  <c r="X73" i="5" s="1" a="1"/>
  <c r="X73" i="5" s="1"/>
  <c r="T74" i="5" a="1"/>
  <c r="T74" i="5" s="1"/>
  <c r="U74" i="5" s="1" a="1"/>
  <c r="U74" i="5" s="1"/>
  <c r="V74" i="5" s="1" a="1"/>
  <c r="V74" i="5" s="1"/>
  <c r="W74" i="5" s="1" a="1"/>
  <c r="W74" i="5" s="1"/>
  <c r="X74" i="5" s="1" a="1"/>
  <c r="X74" i="5" s="1"/>
  <c r="Y74" i="5" s="1" a="1"/>
  <c r="Y74" i="5" s="1"/>
  <c r="T75" i="5" a="1"/>
  <c r="T75" i="5" s="1"/>
  <c r="U75" i="5" s="1" a="1"/>
  <c r="U75" i="5" s="1"/>
  <c r="V75" i="5" s="1" a="1"/>
  <c r="V75" i="5" s="1"/>
  <c r="W75" i="5" s="1" a="1"/>
  <c r="W75" i="5" s="1"/>
  <c r="X75" i="5" s="1" a="1"/>
  <c r="X75" i="5" s="1"/>
  <c r="Y75" i="5" s="1" a="1"/>
  <c r="Y75" i="5" s="1"/>
  <c r="T76" i="5" a="1"/>
  <c r="T76" i="5" s="1"/>
  <c r="U76" i="5" s="1" a="1"/>
  <c r="U76" i="5" s="1"/>
  <c r="V76" i="5" s="1" a="1"/>
  <c r="V76" i="5" s="1"/>
  <c r="W76" i="5" s="1" a="1"/>
  <c r="W76" i="5" s="1"/>
  <c r="X76" i="5" s="1" a="1"/>
  <c r="X76" i="5" s="1"/>
  <c r="Y76" i="5" s="1" a="1"/>
  <c r="Y76" i="5" s="1"/>
  <c r="T77" i="5" a="1"/>
  <c r="T77" i="5" s="1"/>
  <c r="U77" i="5" s="1" a="1"/>
  <c r="U77" i="5" s="1"/>
  <c r="V77" i="5" s="1" a="1"/>
  <c r="V77" i="5" s="1"/>
  <c r="W77" i="5" s="1" a="1"/>
  <c r="W77" i="5" s="1"/>
  <c r="X77" i="5" s="1" a="1"/>
  <c r="X77" i="5" s="1"/>
  <c r="Y77" i="5" s="1" a="1"/>
  <c r="Y77" i="5" s="1"/>
  <c r="T78" i="5" a="1"/>
  <c r="T78" i="5" s="1"/>
  <c r="U78" i="5" s="1" a="1"/>
  <c r="U78" i="5" s="1"/>
  <c r="V78" i="5" s="1" a="1"/>
  <c r="V78" i="5" s="1"/>
  <c r="W78" i="5" s="1" a="1"/>
  <c r="W78" i="5" s="1"/>
  <c r="X78" i="5" s="1" a="1"/>
  <c r="X78" i="5" s="1"/>
  <c r="T79" i="5" a="1"/>
  <c r="T79" i="5" s="1"/>
  <c r="T80" i="5" a="1"/>
  <c r="T80" i="5" s="1"/>
  <c r="T81" i="5" a="1"/>
  <c r="T81" i="5" s="1"/>
  <c r="U81" i="5" s="1" a="1"/>
  <c r="U81" i="5" s="1"/>
  <c r="V81" i="5" s="1" a="1"/>
  <c r="V81" i="5" s="1"/>
  <c r="W81" i="5" s="1" a="1"/>
  <c r="W81" i="5" s="1"/>
  <c r="X81" i="5" s="1" a="1"/>
  <c r="X81" i="5" s="1"/>
  <c r="T83" i="5" a="1"/>
  <c r="T83" i="5" s="1"/>
  <c r="U83" i="5" s="1" a="1"/>
  <c r="U83" i="5" s="1"/>
  <c r="V83" i="5" s="1" a="1"/>
  <c r="V83" i="5" s="1"/>
  <c r="W83" i="5" s="1" a="1"/>
  <c r="W83" i="5" s="1"/>
  <c r="X83" i="5" s="1" a="1"/>
  <c r="X83" i="5" s="1"/>
  <c r="Y83" i="5" s="1" a="1"/>
  <c r="Y83" i="5" s="1"/>
  <c r="T85" i="5" a="1"/>
  <c r="T85" i="5" s="1"/>
  <c r="U85" i="5" s="1" a="1"/>
  <c r="U85" i="5" s="1"/>
  <c r="V85" i="5" s="1" a="1"/>
  <c r="V85" i="5" s="1"/>
  <c r="W85" i="5" s="1" a="1"/>
  <c r="W85" i="5" s="1"/>
  <c r="X85" i="5" s="1" a="1"/>
  <c r="X85" i="5" s="1"/>
  <c r="Y85" i="5" s="1" a="1"/>
  <c r="Y85" i="5" s="1"/>
  <c r="T86" i="5" a="1"/>
  <c r="T86" i="5" s="1"/>
  <c r="U86" i="5" s="1" a="1"/>
  <c r="U86" i="5" s="1"/>
  <c r="V86" i="5" s="1" a="1"/>
  <c r="V86" i="5" s="1"/>
  <c r="W86" i="5" s="1" a="1"/>
  <c r="W86" i="5" s="1"/>
  <c r="X86" i="5" s="1" a="1"/>
  <c r="X86" i="5" s="1"/>
  <c r="Y86" i="5" s="1" a="1"/>
  <c r="Y86" i="5" s="1"/>
  <c r="T87" i="5" a="1"/>
  <c r="T87" i="5" s="1"/>
  <c r="U87" i="5" s="1" a="1"/>
  <c r="U87" i="5" s="1"/>
  <c r="V87" i="5" s="1" a="1"/>
  <c r="V87" i="5" s="1"/>
  <c r="W87" i="5" s="1" a="1"/>
  <c r="W87" i="5" s="1"/>
  <c r="X87" i="5" s="1" a="1"/>
  <c r="X87" i="5" s="1"/>
  <c r="Y87" i="5" s="1" a="1"/>
  <c r="Y87" i="5" s="1"/>
  <c r="T88" i="5" a="1"/>
  <c r="T88" i="5" s="1"/>
  <c r="U88" i="5" s="1" a="1"/>
  <c r="U88" i="5" s="1"/>
  <c r="V88" i="5" s="1" a="1"/>
  <c r="V88" i="5" s="1"/>
  <c r="W88" i="5" s="1" a="1"/>
  <c r="W88" i="5" s="1"/>
  <c r="X88" i="5" s="1" a="1"/>
  <c r="X88" i="5" s="1"/>
  <c r="T89" i="5" a="1"/>
  <c r="T89" i="5" s="1"/>
  <c r="T90" i="5" a="1"/>
  <c r="T90" i="5" s="1"/>
  <c r="T92" i="5" a="1"/>
  <c r="T92" i="5" s="1"/>
  <c r="T96" i="5" a="1"/>
  <c r="T96" i="5" s="1"/>
  <c r="U96" i="5" s="1" a="1"/>
  <c r="U96" i="5" s="1"/>
  <c r="V96" i="5" s="1" a="1"/>
  <c r="V96" i="5" s="1"/>
  <c r="W96" i="5" s="1" a="1"/>
  <c r="W96" i="5" s="1"/>
  <c r="X96" i="5" s="1" a="1"/>
  <c r="X96" i="5" s="1"/>
  <c r="T97" i="5" a="1"/>
  <c r="T97" i="5" s="1"/>
  <c r="U97" i="5" s="1" a="1"/>
  <c r="U97" i="5" s="1"/>
  <c r="V97" i="5" s="1" a="1"/>
  <c r="V97" i="5" s="1"/>
  <c r="W97" i="5" s="1" a="1"/>
  <c r="W97" i="5" s="1"/>
  <c r="X97" i="5" s="1" a="1"/>
  <c r="X97" i="5" s="1"/>
  <c r="T98" i="5" a="1"/>
  <c r="T98" i="5" s="1"/>
  <c r="U98" i="5" s="1" a="1"/>
  <c r="U98" i="5" s="1"/>
  <c r="V98" i="5" s="1" a="1"/>
  <c r="V98" i="5" s="1"/>
  <c r="W98" i="5" s="1" a="1"/>
  <c r="W98" i="5" s="1"/>
  <c r="X98" i="5" s="1" a="1"/>
  <c r="X98" i="5" s="1"/>
  <c r="T99" i="5" a="1"/>
  <c r="T99" i="5" s="1"/>
  <c r="U99" i="5" s="1" a="1"/>
  <c r="U99" i="5" s="1"/>
  <c r="V99" i="5" s="1" a="1"/>
  <c r="V99" i="5" s="1"/>
  <c r="W99" i="5" s="1" a="1"/>
  <c r="W99" i="5" s="1"/>
  <c r="X99" i="5" s="1" a="1"/>
  <c r="X99" i="5" s="1"/>
  <c r="T100" i="5" a="1"/>
  <c r="T100" i="5" s="1"/>
  <c r="U100" i="5" s="1" a="1"/>
  <c r="U100" i="5" s="1"/>
  <c r="V100" i="5" s="1" a="1"/>
  <c r="V100" i="5" s="1"/>
  <c r="W100" i="5" s="1" a="1"/>
  <c r="W100" i="5" s="1"/>
  <c r="X100" i="5" s="1" a="1"/>
  <c r="X100" i="5" s="1"/>
  <c r="T101" i="5" a="1"/>
  <c r="T101" i="5" s="1"/>
  <c r="T102" i="5" a="1"/>
  <c r="T102" i="5" s="1"/>
  <c r="T103" i="5" a="1"/>
  <c r="T103" i="5" s="1"/>
  <c r="T104" i="5" a="1"/>
  <c r="T104" i="5" s="1"/>
  <c r="U104" i="5" s="1" a="1"/>
  <c r="U104" i="5" s="1"/>
  <c r="V104" i="5" s="1" a="1"/>
  <c r="V104" i="5" s="1"/>
  <c r="W104" i="5" s="1" a="1"/>
  <c r="W104" i="5" s="1"/>
  <c r="X104" i="5" s="1" a="1"/>
  <c r="X104" i="5" s="1"/>
  <c r="T105" i="5" a="1"/>
  <c r="T105" i="5" s="1"/>
  <c r="U105" i="5" s="1" a="1"/>
  <c r="U105" i="5" s="1"/>
  <c r="V105" i="5" s="1" a="1"/>
  <c r="V105" i="5" s="1"/>
  <c r="W105" i="5" s="1" a="1"/>
  <c r="W105" i="5" s="1"/>
  <c r="X105" i="5" s="1" a="1"/>
  <c r="X105" i="5" s="1"/>
  <c r="T106" i="5" a="1"/>
  <c r="T106" i="5" s="1"/>
  <c r="U106" i="5" s="1" a="1"/>
  <c r="U106" i="5" s="1"/>
  <c r="V106" i="5" s="1" a="1"/>
  <c r="V106" i="5" s="1"/>
  <c r="W106" i="5" s="1" a="1"/>
  <c r="W106" i="5" s="1"/>
  <c r="X106" i="5" s="1" a="1"/>
  <c r="X106" i="5" s="1"/>
  <c r="T107" i="5" a="1"/>
  <c r="T107" i="5" s="1"/>
  <c r="U107" i="5" s="1" a="1"/>
  <c r="U107" i="5" s="1"/>
  <c r="V107" i="5" s="1" a="1"/>
  <c r="V107" i="5" s="1"/>
  <c r="W107" i="5" s="1" a="1"/>
  <c r="W107" i="5" s="1"/>
  <c r="X107" i="5" s="1" a="1"/>
  <c r="X107" i="5" s="1"/>
  <c r="T108" i="5" a="1"/>
  <c r="T108" i="5" s="1"/>
  <c r="U108" i="5" s="1" a="1"/>
  <c r="U108" i="5" s="1"/>
  <c r="V108" i="5" s="1" a="1"/>
  <c r="V108" i="5" s="1"/>
  <c r="W108" i="5" s="1" a="1"/>
  <c r="W108" i="5" s="1"/>
  <c r="X108" i="5" s="1" a="1"/>
  <c r="X108" i="5" s="1"/>
  <c r="T109" i="5" a="1"/>
  <c r="T109" i="5" s="1"/>
  <c r="T110" i="5" a="1"/>
  <c r="T110" i="5" s="1"/>
  <c r="T111" i="5" a="1"/>
  <c r="T111" i="5" s="1"/>
  <c r="U111" i="5" s="1" a="1"/>
  <c r="U111" i="5" s="1"/>
  <c r="V111" i="5" s="1" a="1"/>
  <c r="V111" i="5" s="1"/>
  <c r="W111" i="5" s="1" a="1"/>
  <c r="W111" i="5" s="1"/>
  <c r="X111" i="5" s="1" a="1"/>
  <c r="X111" i="5" s="1"/>
  <c r="T112" i="5" a="1"/>
  <c r="T112" i="5" s="1"/>
  <c r="U112" i="5" s="1" a="1"/>
  <c r="U112" i="5" s="1"/>
  <c r="V112" i="5" s="1" a="1"/>
  <c r="V112" i="5" s="1"/>
  <c r="W112" i="5" s="1" a="1"/>
  <c r="W112" i="5" s="1"/>
  <c r="X112" i="5" s="1" a="1"/>
  <c r="X112" i="5" s="1"/>
  <c r="T113" i="5" a="1"/>
  <c r="T113" i="5" s="1"/>
  <c r="U113" i="5" s="1" a="1"/>
  <c r="U113" i="5" s="1"/>
  <c r="V113" i="5" s="1" a="1"/>
  <c r="V113" i="5" s="1"/>
  <c r="W113" i="5" s="1" a="1"/>
  <c r="W113" i="5" s="1"/>
  <c r="X113" i="5" s="1" a="1"/>
  <c r="X113" i="5" s="1"/>
  <c r="T114" i="5" a="1"/>
  <c r="T114" i="5" s="1"/>
  <c r="U114" i="5" s="1" a="1"/>
  <c r="U114" i="5" s="1"/>
  <c r="V114" i="5" s="1" a="1"/>
  <c r="V114" i="5" s="1"/>
  <c r="W114" i="5" s="1" a="1"/>
  <c r="W114" i="5" s="1"/>
  <c r="X114" i="5" s="1" a="1"/>
  <c r="X114" i="5" s="1"/>
  <c r="T115" i="5" a="1"/>
  <c r="T115" i="5" s="1"/>
  <c r="U115" i="5" s="1" a="1"/>
  <c r="U115" i="5" s="1"/>
  <c r="V115" i="5" s="1" a="1"/>
  <c r="V115" i="5" s="1"/>
  <c r="W115" i="5" s="1" a="1"/>
  <c r="W115" i="5" s="1"/>
  <c r="X115" i="5" s="1" a="1"/>
  <c r="X115" i="5" s="1"/>
  <c r="T116" i="5" a="1"/>
  <c r="T116" i="5" s="1"/>
  <c r="U116" i="5" s="1" a="1"/>
  <c r="U116" i="5" s="1"/>
  <c r="V116" i="5" s="1" a="1"/>
  <c r="V116" i="5" s="1"/>
  <c r="W116" i="5" s="1" a="1"/>
  <c r="W116" i="5" s="1"/>
  <c r="X116" i="5" s="1" a="1"/>
  <c r="X116" i="5" s="1"/>
  <c r="T117" i="5" a="1"/>
  <c r="T117" i="5" s="1"/>
  <c r="T118" i="5" a="1"/>
  <c r="T118" i="5" s="1"/>
  <c r="T119" i="5" a="1"/>
  <c r="T119" i="5" s="1"/>
  <c r="U119" i="5" s="1" a="1"/>
  <c r="U119" i="5" s="1"/>
  <c r="V119" i="5" s="1" a="1"/>
  <c r="V119" i="5" s="1"/>
  <c r="W119" i="5" s="1" a="1"/>
  <c r="W119" i="5" s="1"/>
  <c r="X119" i="5" s="1" a="1"/>
  <c r="X119" i="5" s="1"/>
  <c r="T120" i="5" a="1"/>
  <c r="T120" i="5" s="1"/>
  <c r="U120" i="5" s="1" a="1"/>
  <c r="U120" i="5" s="1"/>
  <c r="V120" i="5" s="1" a="1"/>
  <c r="V120" i="5" s="1"/>
  <c r="W120" i="5" s="1" a="1"/>
  <c r="W120" i="5" s="1"/>
  <c r="X120" i="5" s="1" a="1"/>
  <c r="X120" i="5" s="1"/>
  <c r="T121" i="5" a="1"/>
  <c r="T121" i="5" s="1"/>
  <c r="U121" i="5" s="1" a="1"/>
  <c r="U121" i="5" s="1"/>
  <c r="V121" i="5" s="1" a="1"/>
  <c r="V121" i="5" s="1"/>
  <c r="W121" i="5" s="1" a="1"/>
  <c r="W121" i="5" s="1"/>
  <c r="X121" i="5" s="1" a="1"/>
  <c r="X121" i="5" s="1"/>
  <c r="T122" i="5" a="1"/>
  <c r="T122" i="5" s="1"/>
  <c r="U122" i="5" s="1" a="1"/>
  <c r="U122" i="5" s="1"/>
  <c r="V122" i="5" s="1" a="1"/>
  <c r="V122" i="5" s="1"/>
  <c r="W122" i="5" s="1" a="1"/>
  <c r="W122" i="5" s="1"/>
  <c r="X122" i="5" s="1" a="1"/>
  <c r="X122" i="5" s="1"/>
  <c r="T123" i="5" a="1"/>
  <c r="T123" i="5" s="1"/>
  <c r="U123" i="5" s="1" a="1"/>
  <c r="U123" i="5" s="1"/>
  <c r="V123" i="5" s="1" a="1"/>
  <c r="V123" i="5" s="1"/>
  <c r="W123" i="5" s="1" a="1"/>
  <c r="W123" i="5" s="1"/>
  <c r="X123" i="5" s="1" a="1"/>
  <c r="X123" i="5" s="1"/>
  <c r="T127" i="5" a="1"/>
  <c r="T127" i="5" s="1"/>
  <c r="U127" i="5" s="1" a="1"/>
  <c r="U127" i="5" s="1"/>
  <c r="V127" i="5" s="1" a="1"/>
  <c r="V127" i="5" s="1"/>
  <c r="W127" i="5" s="1" a="1"/>
  <c r="W127" i="5" s="1"/>
  <c r="X127" i="5" s="1" a="1"/>
  <c r="X127" i="5" s="1"/>
  <c r="T128" i="5" a="1"/>
  <c r="T128" i="5" s="1"/>
  <c r="T129" i="5" a="1"/>
  <c r="T129" i="5" s="1"/>
  <c r="U129" i="5" s="1" a="1"/>
  <c r="U129" i="5" s="1"/>
  <c r="V129" i="5" s="1" a="1"/>
  <c r="V129" i="5" s="1"/>
  <c r="W129" i="5" s="1" a="1"/>
  <c r="W129" i="5" s="1"/>
  <c r="X129" i="5" s="1" a="1"/>
  <c r="X129" i="5" s="1"/>
  <c r="T130" i="5" a="1"/>
  <c r="T130" i="5" s="1"/>
  <c r="U130" i="5" s="1" a="1"/>
  <c r="U130" i="5" s="1"/>
  <c r="V130" i="5" s="1" a="1"/>
  <c r="V130" i="5" s="1"/>
  <c r="W130" i="5" s="1" a="1"/>
  <c r="W130" i="5" s="1"/>
  <c r="X130" i="5" s="1" a="1"/>
  <c r="X130" i="5" s="1"/>
  <c r="T131" i="5" a="1"/>
  <c r="T131" i="5" s="1"/>
  <c r="U131" i="5" s="1" a="1"/>
  <c r="U131" i="5" s="1"/>
  <c r="V131" i="5" s="1" a="1"/>
  <c r="V131" i="5" s="1"/>
  <c r="W131" i="5" s="1" a="1"/>
  <c r="W131" i="5" s="1"/>
  <c r="X131" i="5" s="1" a="1"/>
  <c r="X131" i="5" s="1"/>
  <c r="T132" i="5" a="1"/>
  <c r="T132" i="5" s="1"/>
  <c r="U132" i="5" s="1" a="1"/>
  <c r="U132" i="5" s="1"/>
  <c r="V132" i="5" s="1" a="1"/>
  <c r="V132" i="5" s="1"/>
  <c r="W132" i="5" s="1" a="1"/>
  <c r="W132" i="5" s="1"/>
  <c r="X132" i="5" s="1" a="1"/>
  <c r="X132" i="5" s="1"/>
  <c r="T133" i="5" a="1"/>
  <c r="T133" i="5" s="1"/>
  <c r="U133" i="5" s="1" a="1"/>
  <c r="U133" i="5" s="1"/>
  <c r="V133" i="5" s="1" a="1"/>
  <c r="V133" i="5" s="1"/>
  <c r="W133" i="5" s="1" a="1"/>
  <c r="W133" i="5" s="1"/>
  <c r="X133" i="5" s="1" a="1"/>
  <c r="X133" i="5" s="1"/>
  <c r="T135" i="5" a="1"/>
  <c r="T135" i="5" s="1"/>
  <c r="U135" i="5" s="1" a="1"/>
  <c r="U135" i="5" s="1"/>
  <c r="V135" i="5" s="1" a="1"/>
  <c r="V135" i="5" s="1"/>
  <c r="W135" i="5" s="1" a="1"/>
  <c r="W135" i="5" s="1"/>
  <c r="X135" i="5" s="1" a="1"/>
  <c r="X135" i="5" s="1"/>
  <c r="T136" i="5" a="1"/>
  <c r="T136" i="5" s="1"/>
  <c r="T137" i="5" a="1"/>
  <c r="T137" i="5" s="1"/>
  <c r="T138" i="5" a="1"/>
  <c r="T138" i="5" s="1"/>
  <c r="T139" i="5" a="1"/>
  <c r="T139" i="5" s="1"/>
  <c r="U139" i="5" s="1" a="1"/>
  <c r="U139" i="5" s="1"/>
  <c r="V139" i="5" s="1" a="1"/>
  <c r="V139" i="5" s="1"/>
  <c r="W139" i="5" s="1" a="1"/>
  <c r="W139" i="5" s="1"/>
  <c r="X139" i="5" s="1" a="1"/>
  <c r="X139" i="5" s="1"/>
  <c r="T140" i="5" a="1"/>
  <c r="T140" i="5" s="1"/>
  <c r="U140" i="5" s="1" a="1"/>
  <c r="U140" i="5" s="1"/>
  <c r="V140" i="5" s="1" a="1"/>
  <c r="V140" i="5" s="1"/>
  <c r="W140" i="5" s="1" a="1"/>
  <c r="W140" i="5" s="1"/>
  <c r="X140" i="5" s="1" a="1"/>
  <c r="X140" i="5" s="1"/>
  <c r="T141" i="5" a="1"/>
  <c r="T141" i="5" s="1"/>
  <c r="U141" i="5" s="1" a="1"/>
  <c r="U141" i="5" s="1"/>
  <c r="V141" i="5" s="1" a="1"/>
  <c r="V141" i="5" s="1"/>
  <c r="W141" i="5" s="1" a="1"/>
  <c r="W141" i="5" s="1"/>
  <c r="X141" i="5" s="1" a="1"/>
  <c r="X141" i="5" s="1"/>
  <c r="T142" i="5" a="1"/>
  <c r="T142" i="5" s="1"/>
  <c r="U142" i="5" s="1" a="1"/>
  <c r="U142" i="5" s="1"/>
  <c r="V142" i="5" s="1" a="1"/>
  <c r="V142" i="5" s="1"/>
  <c r="W142" i="5" s="1" a="1"/>
  <c r="W142" i="5" s="1"/>
  <c r="X142" i="5" s="1" a="1"/>
  <c r="X142" i="5" s="1"/>
  <c r="T143" i="5" a="1"/>
  <c r="T143" i="5" s="1"/>
  <c r="T144" i="5" a="1"/>
  <c r="T144" i="5" s="1"/>
  <c r="T145" i="5" a="1"/>
  <c r="T145" i="5" s="1"/>
  <c r="T146" i="5" a="1"/>
  <c r="T146" i="5" s="1"/>
  <c r="U146" i="5" s="1" a="1"/>
  <c r="U146" i="5" s="1"/>
  <c r="V146" i="5" s="1" a="1"/>
  <c r="V146" i="5" s="1"/>
  <c r="W146" i="5" s="1" a="1"/>
  <c r="W146" i="5" s="1"/>
  <c r="X146" i="5" s="1" a="1"/>
  <c r="X146" i="5" s="1"/>
  <c r="T147" i="5" a="1"/>
  <c r="T147" i="5" s="1"/>
  <c r="U147" i="5" s="1" a="1"/>
  <c r="U147" i="5" s="1"/>
  <c r="V147" i="5" s="1" a="1"/>
  <c r="V147" i="5" s="1"/>
  <c r="W147" i="5" s="1" a="1"/>
  <c r="W147" i="5" s="1"/>
  <c r="X147" i="5" s="1" a="1"/>
  <c r="X147" i="5" s="1"/>
  <c r="T148" i="5" a="1"/>
  <c r="T148" i="5" s="1"/>
  <c r="U148" i="5" s="1" a="1"/>
  <c r="U148" i="5" s="1"/>
  <c r="V148" i="5" s="1" a="1"/>
  <c r="V148" i="5" s="1"/>
  <c r="W148" i="5" s="1" a="1"/>
  <c r="W148" i="5" s="1"/>
  <c r="X148" i="5" s="1" a="1"/>
  <c r="X148" i="5" s="1"/>
  <c r="T149" i="5" a="1"/>
  <c r="T149" i="5" s="1"/>
  <c r="U149" i="5" s="1" a="1"/>
  <c r="U149" i="5" s="1"/>
  <c r="V149" i="5" s="1" a="1"/>
  <c r="V149" i="5" s="1"/>
  <c r="W149" i="5" s="1" a="1"/>
  <c r="W149" i="5" s="1"/>
  <c r="X149" i="5" s="1" a="1"/>
  <c r="X149" i="5" s="1"/>
  <c r="T150" i="5" a="1"/>
  <c r="T150" i="5" s="1"/>
  <c r="U150" i="5" s="1" a="1"/>
  <c r="U150" i="5" s="1"/>
  <c r="V150" i="5" s="1" a="1"/>
  <c r="V150" i="5" s="1"/>
  <c r="W150" i="5" s="1" a="1"/>
  <c r="W150" i="5" s="1"/>
  <c r="X150" i="5" s="1" a="1"/>
  <c r="X150" i="5" s="1"/>
  <c r="T151" i="5" a="1"/>
  <c r="T151" i="5" s="1"/>
  <c r="T152" i="5" a="1"/>
  <c r="T152" i="5" s="1"/>
  <c r="U152" i="5" s="1" a="1"/>
  <c r="U152" i="5" s="1"/>
  <c r="V152" i="5" s="1" a="1"/>
  <c r="V152" i="5" s="1"/>
  <c r="W152" i="5" s="1" a="1"/>
  <c r="W152" i="5" s="1"/>
  <c r="X152" i="5" s="1" a="1"/>
  <c r="X152" i="5" s="1"/>
  <c r="T153" i="5" a="1"/>
  <c r="T153" i="5" s="1"/>
  <c r="U153" i="5" s="1" a="1"/>
  <c r="U153" i="5" s="1"/>
  <c r="V153" i="5" s="1" a="1"/>
  <c r="V153" i="5" s="1"/>
  <c r="W153" i="5" s="1" a="1"/>
  <c r="W153" i="5" s="1"/>
  <c r="X153" i="5" s="1" a="1"/>
  <c r="X153" i="5" s="1"/>
  <c r="T154" i="5" a="1"/>
  <c r="T154" i="5" s="1"/>
  <c r="U154" i="5" s="1" a="1"/>
  <c r="U154" i="5" s="1"/>
  <c r="V154" i="5" s="1" a="1"/>
  <c r="V154" i="5" s="1"/>
  <c r="W154" i="5" s="1" a="1"/>
  <c r="W154" i="5" s="1"/>
  <c r="X154" i="5" s="1" a="1"/>
  <c r="X154" i="5" s="1"/>
  <c r="T155" i="5" a="1"/>
  <c r="T155" i="5" s="1"/>
  <c r="U155" i="5" s="1" a="1"/>
  <c r="U155" i="5" s="1"/>
  <c r="V155" i="5" s="1" a="1"/>
  <c r="V155" i="5" s="1"/>
  <c r="W155" i="5" s="1" a="1"/>
  <c r="W155" i="5" s="1"/>
  <c r="X155" i="5" s="1" a="1"/>
  <c r="X155" i="5" s="1"/>
  <c r="T156" i="5" a="1"/>
  <c r="T156" i="5" s="1"/>
  <c r="T157" i="5" a="1"/>
  <c r="T157" i="5" s="1"/>
  <c r="U157" i="5" s="1" a="1"/>
  <c r="U157" i="5" s="1"/>
  <c r="V157" i="5" s="1" a="1"/>
  <c r="V157" i="5" s="1"/>
  <c r="W157" i="5" s="1" a="1"/>
  <c r="W157" i="5" s="1"/>
  <c r="X157" i="5" s="1" a="1"/>
  <c r="X157" i="5" s="1"/>
  <c r="T158" i="5" a="1"/>
  <c r="T158" i="5" s="1"/>
  <c r="U158" i="5" s="1" a="1"/>
  <c r="U158" i="5" s="1"/>
  <c r="V158" i="5" s="1" a="1"/>
  <c r="V158" i="5" s="1"/>
  <c r="W158" i="5" s="1" a="1"/>
  <c r="W158" i="5" s="1"/>
  <c r="X158" i="5" s="1" a="1"/>
  <c r="X158" i="5" s="1"/>
  <c r="T159" i="5" a="1"/>
  <c r="T159" i="5" s="1"/>
  <c r="U159" i="5" s="1" a="1"/>
  <c r="U159" i="5" s="1"/>
  <c r="V159" i="5" s="1" a="1"/>
  <c r="V159" i="5" s="1"/>
  <c r="W159" i="5" s="1" a="1"/>
  <c r="W159" i="5" s="1"/>
  <c r="X159" i="5" s="1" a="1"/>
  <c r="X159" i="5" s="1"/>
  <c r="T160" i="5" a="1"/>
  <c r="T160" i="5" s="1"/>
  <c r="U160" i="5" s="1" a="1"/>
  <c r="U160" i="5" s="1"/>
  <c r="V160" i="5" s="1" a="1"/>
  <c r="V160" i="5" s="1"/>
  <c r="W160" i="5" s="1" a="1"/>
  <c r="W160" i="5" s="1"/>
  <c r="X160" i="5" s="1" a="1"/>
  <c r="X160" i="5" s="1"/>
  <c r="T168" i="5" a="1"/>
  <c r="T168" i="5" s="1"/>
  <c r="U168" i="5" s="1" a="1"/>
  <c r="U168" i="5" s="1"/>
  <c r="V168" i="5" s="1" a="1"/>
  <c r="V168" i="5" s="1"/>
  <c r="W168" i="5" s="1" a="1"/>
  <c r="W168" i="5" s="1"/>
  <c r="X168" i="5" s="1" a="1"/>
  <c r="X168" i="5" s="1"/>
  <c r="T169" i="5" a="1"/>
  <c r="T169" i="5" s="1"/>
  <c r="U169" i="5" s="1" a="1"/>
  <c r="U169" i="5" s="1"/>
  <c r="V169" i="5" s="1" a="1"/>
  <c r="V169" i="5" s="1"/>
  <c r="W169" i="5" s="1" a="1"/>
  <c r="W169" i="5" s="1"/>
  <c r="X169" i="5" s="1" a="1"/>
  <c r="X169" i="5" s="1"/>
  <c r="T170" i="5" a="1"/>
  <c r="T170" i="5" s="1"/>
  <c r="T171" i="5" a="1"/>
  <c r="T171" i="5" s="1"/>
  <c r="T172" i="5" a="1"/>
  <c r="T172" i="5" s="1"/>
  <c r="U172" i="5" s="1" a="1"/>
  <c r="U172" i="5" s="1"/>
  <c r="V172" i="5" s="1" a="1"/>
  <c r="V172" i="5" s="1"/>
  <c r="W172" i="5" s="1" a="1"/>
  <c r="W172" i="5" s="1"/>
  <c r="X172" i="5" s="1" a="1"/>
  <c r="X172" i="5" s="1"/>
  <c r="T173" i="5" a="1"/>
  <c r="T173" i="5" s="1"/>
  <c r="U173" i="5" s="1" a="1"/>
  <c r="U173" i="5" s="1"/>
  <c r="V173" i="5" s="1" a="1"/>
  <c r="V173" i="5" s="1"/>
  <c r="W173" i="5" s="1" a="1"/>
  <c r="W173" i="5" s="1"/>
  <c r="X173" i="5" s="1" a="1"/>
  <c r="X173" i="5" s="1"/>
  <c r="T174" i="5" a="1"/>
  <c r="T174" i="5" s="1"/>
  <c r="U174" i="5" s="1" a="1"/>
  <c r="U174" i="5" s="1"/>
  <c r="V174" i="5" s="1" a="1"/>
  <c r="V174" i="5" s="1"/>
  <c r="W174" i="5" s="1" a="1"/>
  <c r="W174" i="5" s="1"/>
  <c r="X174" i="5" s="1" a="1"/>
  <c r="X174" i="5" s="1"/>
  <c r="T175" i="5" a="1"/>
  <c r="T175" i="5" s="1"/>
  <c r="U175" i="5" s="1" a="1"/>
  <c r="U175" i="5" s="1"/>
  <c r="V175" i="5" s="1" a="1"/>
  <c r="V175" i="5" s="1"/>
  <c r="W175" i="5" s="1" a="1"/>
  <c r="W175" i="5" s="1"/>
  <c r="X175" i="5" s="1" a="1"/>
  <c r="X175" i="5" s="1"/>
  <c r="T176" i="5" a="1"/>
  <c r="T176" i="5" s="1"/>
  <c r="U176" i="5" s="1" a="1"/>
  <c r="U176" i="5" s="1"/>
  <c r="V176" i="5" s="1" a="1"/>
  <c r="V176" i="5" s="1"/>
  <c r="W176" i="5" s="1" a="1"/>
  <c r="W176" i="5" s="1"/>
  <c r="X176" i="5" s="1" a="1"/>
  <c r="X176" i="5" s="1"/>
  <c r="T177" i="5" a="1"/>
  <c r="T177" i="5" s="1"/>
  <c r="U177" i="5" s="1" a="1"/>
  <c r="U177" i="5" s="1"/>
  <c r="V177" i="5" s="1" a="1"/>
  <c r="V177" i="5" s="1"/>
  <c r="W177" i="5" s="1" a="1"/>
  <c r="W177" i="5" s="1"/>
  <c r="X177" i="5" s="1" a="1"/>
  <c r="X177" i="5" s="1"/>
  <c r="T178" i="5" a="1"/>
  <c r="T178" i="5" s="1"/>
  <c r="T179" i="5" a="1"/>
  <c r="T179" i="5" s="1"/>
  <c r="T180" i="5" a="1"/>
  <c r="T180" i="5" s="1"/>
  <c r="U180" i="5" s="1" a="1"/>
  <c r="U180" i="5" s="1"/>
  <c r="V180" i="5" s="1" a="1"/>
  <c r="V180" i="5" s="1"/>
  <c r="W180" i="5" s="1" a="1"/>
  <c r="W180" i="5" s="1"/>
  <c r="X180" i="5" s="1" a="1"/>
  <c r="X180" i="5" s="1"/>
  <c r="T181" i="5" a="1"/>
  <c r="T181" i="5" s="1"/>
  <c r="U181" i="5" s="1" a="1"/>
  <c r="U181" i="5" s="1"/>
  <c r="V181" i="5" s="1" a="1"/>
  <c r="V181" i="5" s="1"/>
  <c r="W181" i="5" s="1" a="1"/>
  <c r="W181" i="5" s="1"/>
  <c r="X181" i="5" s="1" a="1"/>
  <c r="X181" i="5" s="1"/>
  <c r="T182" i="5" a="1"/>
  <c r="T182" i="5" s="1"/>
  <c r="U182" i="5" s="1" a="1"/>
  <c r="U182" i="5" s="1"/>
  <c r="V182" i="5" s="1" a="1"/>
  <c r="V182" i="5" s="1"/>
  <c r="W182" i="5" s="1" a="1"/>
  <c r="W182" i="5" s="1"/>
  <c r="X182" i="5" s="1" a="1"/>
  <c r="X182" i="5" s="1"/>
  <c r="T183" i="5" a="1"/>
  <c r="T183" i="5" s="1"/>
  <c r="U183" i="5" s="1" a="1"/>
  <c r="U183" i="5" s="1"/>
  <c r="V183" i="5" s="1" a="1"/>
  <c r="V183" i="5" s="1"/>
  <c r="W183" i="5" s="1" a="1"/>
  <c r="W183" i="5" s="1"/>
  <c r="X183" i="5" s="1" a="1"/>
  <c r="X183" i="5" s="1"/>
  <c r="T184" i="5" a="1"/>
  <c r="T184" i="5" s="1"/>
  <c r="U184" i="5" s="1" a="1"/>
  <c r="U184" i="5" s="1"/>
  <c r="V184" i="5" s="1" a="1"/>
  <c r="V184" i="5" s="1"/>
  <c r="W184" i="5" s="1" a="1"/>
  <c r="W184" i="5" s="1"/>
  <c r="X184" i="5" s="1" a="1"/>
  <c r="X184" i="5" s="1"/>
  <c r="T185" i="5" a="1"/>
  <c r="T185" i="5" s="1"/>
  <c r="U185" i="5" s="1" a="1"/>
  <c r="U185" i="5" s="1"/>
  <c r="V185" i="5" s="1" a="1"/>
  <c r="V185" i="5" s="1"/>
  <c r="W185" i="5" s="1" a="1"/>
  <c r="W185" i="5" s="1"/>
  <c r="X185" i="5" s="1" a="1"/>
  <c r="X185" i="5" s="1"/>
  <c r="T186" i="5" a="1"/>
  <c r="T186" i="5" s="1"/>
  <c r="T188" i="5" a="1"/>
  <c r="T188" i="5" s="1"/>
  <c r="T189" i="5" a="1"/>
  <c r="T189" i="5" s="1"/>
  <c r="T190" i="5" a="1"/>
  <c r="T190" i="5" s="1"/>
  <c r="U190" i="5" s="1" a="1"/>
  <c r="U190" i="5" s="1"/>
  <c r="V190" i="5" s="1" a="1"/>
  <c r="V190" i="5" s="1"/>
  <c r="W190" i="5" s="1" a="1"/>
  <c r="W190" i="5" s="1"/>
  <c r="X190" i="5" s="1" a="1"/>
  <c r="X190" i="5" s="1"/>
  <c r="T191" i="5" a="1"/>
  <c r="T191" i="5" s="1"/>
  <c r="U191" i="5" s="1" a="1"/>
  <c r="U191" i="5" s="1"/>
  <c r="V191" i="5" s="1" a="1"/>
  <c r="V191" i="5" s="1"/>
  <c r="W191" i="5" s="1" a="1"/>
  <c r="W191" i="5" s="1"/>
  <c r="X191" i="5" s="1" a="1"/>
  <c r="X191" i="5" s="1"/>
  <c r="T192" i="5" a="1"/>
  <c r="T192" i="5" s="1"/>
  <c r="U192" i="5" s="1" a="1"/>
  <c r="U192" i="5" s="1"/>
  <c r="V192" i="5" s="1" a="1"/>
  <c r="V192" i="5" s="1"/>
  <c r="W192" i="5" s="1" a="1"/>
  <c r="W192" i="5" s="1"/>
  <c r="X192" i="5" s="1" a="1"/>
  <c r="X192" i="5" s="1"/>
  <c r="T193" i="5" a="1"/>
  <c r="T193" i="5" s="1"/>
  <c r="U193" i="5" s="1" a="1"/>
  <c r="U193" i="5" s="1"/>
  <c r="V193" i="5" s="1" a="1"/>
  <c r="V193" i="5" s="1"/>
  <c r="W193" i="5" s="1" a="1"/>
  <c r="W193" i="5" s="1"/>
  <c r="X193" i="5" s="1" a="1"/>
  <c r="X193" i="5" s="1"/>
  <c r="T194" i="5" a="1"/>
  <c r="T194" i="5" s="1"/>
  <c r="U194" i="5" s="1" a="1"/>
  <c r="U194" i="5" s="1"/>
  <c r="V194" i="5" s="1" a="1"/>
  <c r="V194" i="5" s="1"/>
  <c r="W194" i="5" s="1" a="1"/>
  <c r="W194" i="5" s="1"/>
  <c r="X194" i="5" s="1" a="1"/>
  <c r="X194" i="5" s="1"/>
  <c r="T195" i="5" a="1"/>
  <c r="T195" i="5" s="1"/>
  <c r="T196" i="5" a="1"/>
  <c r="T196" i="5" s="1"/>
  <c r="T197" i="5" a="1"/>
  <c r="T197" i="5" s="1"/>
  <c r="U197" i="5" s="1" a="1"/>
  <c r="U197" i="5" s="1"/>
  <c r="V197" i="5" s="1" a="1"/>
  <c r="V197" i="5" s="1"/>
  <c r="W197" i="5" s="1" a="1"/>
  <c r="W197" i="5" s="1"/>
  <c r="X197" i="5" s="1" a="1"/>
  <c r="X197" i="5" s="1"/>
  <c r="T198" i="5" a="1"/>
  <c r="T198" i="5" s="1"/>
  <c r="U198" i="5" s="1" a="1"/>
  <c r="U198" i="5" s="1"/>
  <c r="V198" i="5" s="1" a="1"/>
  <c r="V198" i="5" s="1"/>
  <c r="W198" i="5" s="1" a="1"/>
  <c r="W198" i="5" s="1"/>
  <c r="X198" i="5" s="1" a="1"/>
  <c r="X198" i="5" s="1"/>
  <c r="T199" i="5" a="1"/>
  <c r="T199" i="5" s="1"/>
  <c r="U199" i="5" s="1" a="1"/>
  <c r="U199" i="5" s="1"/>
  <c r="V199" i="5" s="1" a="1"/>
  <c r="V199" i="5" s="1"/>
  <c r="W199" i="5" s="1" a="1"/>
  <c r="W199" i="5" s="1"/>
  <c r="X199" i="5" s="1" a="1"/>
  <c r="X199" i="5" s="1"/>
  <c r="T200" i="5" a="1"/>
  <c r="T200" i="5" s="1"/>
  <c r="U200" i="5" s="1" a="1"/>
  <c r="U200" i="5" s="1"/>
  <c r="V200" i="5" s="1" a="1"/>
  <c r="V200" i="5" s="1"/>
  <c r="W200" i="5" s="1" a="1"/>
  <c r="W200" i="5" s="1"/>
  <c r="X200" i="5" s="1" a="1"/>
  <c r="X200" i="5" s="1"/>
  <c r="T201" i="5" a="1"/>
  <c r="T201" i="5" s="1"/>
  <c r="U201" i="5" s="1" a="1"/>
  <c r="U201" i="5" s="1"/>
  <c r="V201" i="5" s="1" a="1"/>
  <c r="V201" i="5" s="1"/>
  <c r="W201" i="5" s="1" a="1"/>
  <c r="W201" i="5" s="1"/>
  <c r="X201" i="5" s="1" a="1"/>
  <c r="X201" i="5" s="1"/>
  <c r="T203" i="5" a="1"/>
  <c r="T203" i="5" s="1"/>
  <c r="U203" i="5" s="1" a="1"/>
  <c r="U203" i="5" s="1"/>
  <c r="V203" i="5" s="1" a="1"/>
  <c r="V203" i="5" s="1"/>
  <c r="W203" i="5" s="1" a="1"/>
  <c r="W203" i="5" s="1"/>
  <c r="X203" i="5" s="1" a="1"/>
  <c r="X203" i="5" s="1"/>
  <c r="T204" i="5" a="1"/>
  <c r="T204" i="5" s="1"/>
  <c r="T205" i="5" a="1"/>
  <c r="T205" i="5" s="1"/>
  <c r="T206" i="5" a="1"/>
  <c r="T206" i="5" s="1"/>
  <c r="U206" i="5" s="1" a="1"/>
  <c r="U206" i="5" s="1"/>
  <c r="V206" i="5" s="1" a="1"/>
  <c r="V206" i="5" s="1"/>
  <c r="W206" i="5" s="1" a="1"/>
  <c r="W206" i="5" s="1"/>
  <c r="X206" i="5" s="1" a="1"/>
  <c r="X206" i="5" s="1"/>
  <c r="T208" i="5" a="1"/>
  <c r="T208" i="5" s="1"/>
  <c r="U208" i="5" s="1" a="1"/>
  <c r="U208" i="5" s="1"/>
  <c r="V208" i="5" s="1" a="1"/>
  <c r="V208" i="5" s="1"/>
  <c r="W208" i="5" s="1" a="1"/>
  <c r="W208" i="5" s="1"/>
  <c r="X208" i="5" s="1" a="1"/>
  <c r="X208" i="5" s="1"/>
  <c r="T209" i="5" a="1"/>
  <c r="T209" i="5" s="1"/>
  <c r="U209" i="5" s="1" a="1"/>
  <c r="U209" i="5" s="1"/>
  <c r="V209" i="5" s="1" a="1"/>
  <c r="V209" i="5" s="1"/>
  <c r="W209" i="5" s="1" a="1"/>
  <c r="W209" i="5" s="1"/>
  <c r="X209" i="5" s="1" a="1"/>
  <c r="X209" i="5" s="1"/>
  <c r="T212" i="5" a="1"/>
  <c r="T212" i="5" s="1"/>
  <c r="U212" i="5" s="1" a="1"/>
  <c r="U212" i="5" s="1"/>
  <c r="V212" i="5" s="1" a="1"/>
  <c r="V212" i="5" s="1"/>
  <c r="W212" i="5" s="1" a="1"/>
  <c r="W212" i="5" s="1"/>
  <c r="X212" i="5" s="1" a="1"/>
  <c r="X212" i="5" s="1"/>
  <c r="T213" i="5" a="1"/>
  <c r="T213" i="5" s="1"/>
  <c r="U213" i="5" s="1" a="1"/>
  <c r="U213" i="5" s="1"/>
  <c r="V213" i="5" s="1" a="1"/>
  <c r="V213" i="5" s="1"/>
  <c r="W213" i="5" s="1" a="1"/>
  <c r="W213" i="5" s="1"/>
  <c r="X213" i="5" s="1" a="1"/>
  <c r="X213" i="5" s="1"/>
  <c r="T214" i="5" a="1"/>
  <c r="T214" i="5" s="1"/>
  <c r="U214" i="5" s="1" a="1"/>
  <c r="U214" i="5" s="1"/>
  <c r="V214" i="5" s="1" a="1"/>
  <c r="V214" i="5" s="1"/>
  <c r="W214" i="5" s="1" a="1"/>
  <c r="W214" i="5" s="1"/>
  <c r="X214" i="5" s="1" a="1"/>
  <c r="X214" i="5" s="1"/>
  <c r="T215" i="5" a="1"/>
  <c r="T215" i="5" s="1"/>
  <c r="T216" i="5" a="1"/>
  <c r="T216" i="5" s="1"/>
  <c r="T217" i="5" a="1"/>
  <c r="T217" i="5" s="1"/>
  <c r="U217" i="5" s="1" a="1"/>
  <c r="U217" i="5" s="1"/>
  <c r="V217" i="5" s="1" a="1"/>
  <c r="V217" i="5" s="1"/>
  <c r="W217" i="5" s="1" a="1"/>
  <c r="W217" i="5" s="1"/>
  <c r="X217" i="5" s="1" a="1"/>
  <c r="X217" i="5" s="1"/>
  <c r="T218" i="5" a="1"/>
  <c r="T218" i="5" s="1"/>
  <c r="U218" i="5" s="1" a="1"/>
  <c r="U218" i="5" s="1"/>
  <c r="V218" i="5" s="1" a="1"/>
  <c r="V218" i="5" s="1"/>
  <c r="W218" i="5" s="1" a="1"/>
  <c r="W218" i="5" s="1"/>
  <c r="X218" i="5" s="1" a="1"/>
  <c r="X218" i="5" s="1"/>
  <c r="T219" i="5" a="1"/>
  <c r="T219" i="5" s="1"/>
  <c r="U219" i="5" s="1" a="1"/>
  <c r="U219" i="5" s="1"/>
  <c r="V219" i="5" s="1" a="1"/>
  <c r="V219" i="5" s="1"/>
  <c r="W219" i="5" s="1" a="1"/>
  <c r="W219" i="5" s="1"/>
  <c r="X219" i="5" s="1" a="1"/>
  <c r="X219" i="5" s="1"/>
  <c r="T220" i="5" a="1"/>
  <c r="T220" i="5" s="1"/>
  <c r="T221" i="5" a="1"/>
  <c r="T221" i="5" s="1"/>
  <c r="U221" i="5" s="1" a="1"/>
  <c r="U221" i="5" s="1"/>
  <c r="V221" i="5" s="1" a="1"/>
  <c r="V221" i="5" s="1"/>
  <c r="W221" i="5" s="1" a="1"/>
  <c r="W221" i="5" s="1"/>
  <c r="X221" i="5" s="1" a="1"/>
  <c r="X221" i="5" s="1"/>
  <c r="T222" i="5" a="1"/>
  <c r="T222" i="5" s="1"/>
  <c r="T223" i="5" a="1"/>
  <c r="T223" i="5" s="1"/>
  <c r="T225" i="5" a="1"/>
  <c r="T225" i="5" s="1"/>
  <c r="U225" i="5" s="1" a="1"/>
  <c r="U225" i="5" s="1"/>
  <c r="V225" i="5" s="1" a="1"/>
  <c r="V225" i="5" s="1"/>
  <c r="W225" i="5" s="1" a="1"/>
  <c r="W225" i="5" s="1"/>
  <c r="X225" i="5" s="1" a="1"/>
  <c r="X225" i="5" s="1"/>
  <c r="T226" i="5" a="1"/>
  <c r="T226" i="5" s="1"/>
  <c r="U226" i="5" s="1" a="1"/>
  <c r="U226" i="5" s="1"/>
  <c r="V226" i="5" s="1" a="1"/>
  <c r="V226" i="5" s="1"/>
  <c r="W226" i="5" s="1" a="1"/>
  <c r="W226" i="5" s="1"/>
  <c r="X226" i="5" s="1" a="1"/>
  <c r="X226" i="5" s="1"/>
  <c r="T227" i="5" a="1"/>
  <c r="T227" i="5" s="1"/>
  <c r="U227" i="5" s="1" a="1"/>
  <c r="U227" i="5" s="1"/>
  <c r="V227" i="5" s="1" a="1"/>
  <c r="V227" i="5" s="1"/>
  <c r="W227" i="5" s="1" a="1"/>
  <c r="W227" i="5" s="1"/>
  <c r="X227" i="5" s="1" a="1"/>
  <c r="X227" i="5" s="1"/>
  <c r="T228" i="5" a="1"/>
  <c r="T228" i="5" s="1"/>
  <c r="U228" i="5" s="1" a="1"/>
  <c r="U228" i="5" s="1"/>
  <c r="V228" i="5" s="1" a="1"/>
  <c r="V228" i="5" s="1"/>
  <c r="W228" i="5" s="1" a="1"/>
  <c r="W228" i="5" s="1"/>
  <c r="X228" i="5" s="1" a="1"/>
  <c r="X228" i="5" s="1"/>
  <c r="T231" i="5" a="1"/>
  <c r="T231" i="5" s="1"/>
  <c r="T232" i="5" a="1"/>
  <c r="T232" i="5" s="1"/>
  <c r="U232" i="5" s="1" a="1"/>
  <c r="U232" i="5" s="1"/>
  <c r="V232" i="5" s="1" a="1"/>
  <c r="V232" i="5" s="1"/>
  <c r="W232" i="5" s="1" a="1"/>
  <c r="W232" i="5" s="1"/>
  <c r="X232" i="5" s="1" a="1"/>
  <c r="X232" i="5" s="1"/>
  <c r="T235" i="5" a="1"/>
  <c r="T235" i="5" s="1"/>
  <c r="U235" i="5" s="1" a="1"/>
  <c r="U235" i="5" s="1"/>
  <c r="V235" i="5" s="1" a="1"/>
  <c r="V235" i="5" s="1"/>
  <c r="W235" i="5" s="1" a="1"/>
  <c r="W235" i="5" s="1"/>
  <c r="X235" i="5" s="1" a="1"/>
  <c r="X235" i="5" s="1"/>
  <c r="T236" i="5" a="1"/>
  <c r="T236" i="5" s="1"/>
  <c r="U236" i="5" s="1" a="1"/>
  <c r="U236" i="5" s="1"/>
  <c r="V236" i="5" s="1" a="1"/>
  <c r="V236" i="5" s="1"/>
  <c r="W236" i="5" s="1" a="1"/>
  <c r="W236" i="5" s="1"/>
  <c r="X236" i="5" s="1" a="1"/>
  <c r="X236" i="5" s="1"/>
  <c r="T240" i="5" a="1"/>
  <c r="T240" i="5" s="1"/>
  <c r="U240" i="5" s="1" a="1"/>
  <c r="U240" i="5" s="1"/>
  <c r="V240" i="5" s="1" a="1"/>
  <c r="V240" i="5" s="1"/>
  <c r="W240" i="5" s="1" a="1"/>
  <c r="W240" i="5" s="1"/>
  <c r="X240" i="5" s="1" a="1"/>
  <c r="X240" i="5" s="1"/>
  <c r="T241" i="5" a="1"/>
  <c r="T241" i="5" s="1"/>
  <c r="U241" i="5" s="1" a="1"/>
  <c r="U241" i="5" s="1"/>
  <c r="V241" i="5" s="1" a="1"/>
  <c r="V241" i="5" s="1"/>
  <c r="W241" i="5" s="1" a="1"/>
  <c r="W241" i="5" s="1"/>
  <c r="X241" i="5" s="1" a="1"/>
  <c r="X241" i="5" s="1"/>
  <c r="T242" i="5" a="1"/>
  <c r="T242" i="5" s="1"/>
  <c r="T243" i="5" a="1"/>
  <c r="T243" i="5" s="1"/>
  <c r="U243" i="5" s="1" a="1"/>
  <c r="U243" i="5" s="1"/>
  <c r="V243" i="5" s="1" a="1"/>
  <c r="V243" i="5" s="1"/>
  <c r="W243" i="5" s="1" a="1"/>
  <c r="W243" i="5" s="1"/>
  <c r="X243" i="5" s="1" a="1"/>
  <c r="X243" i="5" s="1"/>
  <c r="T244" i="5" a="1"/>
  <c r="T244" i="5" s="1"/>
  <c r="T245" i="5" a="1"/>
  <c r="T245" i="5" s="1"/>
  <c r="T246" i="5" a="1"/>
  <c r="T246" i="5" s="1"/>
  <c r="U246" i="5" s="1" a="1"/>
  <c r="U246" i="5" s="1"/>
  <c r="V246" i="5" s="1" a="1"/>
  <c r="V246" i="5" s="1"/>
  <c r="W246" i="5" s="1" a="1"/>
  <c r="W246" i="5" s="1"/>
  <c r="X246" i="5" s="1" a="1"/>
  <c r="X246" i="5" s="1"/>
  <c r="T248" i="5" a="1"/>
  <c r="T248" i="5" s="1"/>
  <c r="U248" i="5" s="1" a="1"/>
  <c r="U248" i="5" s="1"/>
  <c r="V248" i="5" s="1" a="1"/>
  <c r="V248" i="5" s="1"/>
  <c r="W248" i="5" s="1" a="1"/>
  <c r="W248" i="5" s="1"/>
  <c r="X248" i="5" s="1" a="1"/>
  <c r="X248" i="5" s="1"/>
  <c r="T249" i="5" a="1"/>
  <c r="T249" i="5" s="1"/>
  <c r="U249" i="5" s="1" a="1"/>
  <c r="U249" i="5" s="1"/>
  <c r="V249" i="5" s="1" a="1"/>
  <c r="V249" i="5" s="1"/>
  <c r="W249" i="5" s="1" a="1"/>
  <c r="W249" i="5" s="1"/>
  <c r="X249" i="5" s="1" a="1"/>
  <c r="X249" i="5" s="1"/>
  <c r="T250" i="5" a="1"/>
  <c r="T250" i="5" s="1"/>
  <c r="U250" i="5" s="1" a="1"/>
  <c r="U250" i="5" s="1"/>
  <c r="V250" i="5" s="1" a="1"/>
  <c r="V250" i="5" s="1"/>
  <c r="W250" i="5" s="1" a="1"/>
  <c r="W250" i="5" s="1"/>
  <c r="X250" i="5" s="1" a="1"/>
  <c r="X250" i="5" s="1"/>
  <c r="T251" i="5" a="1"/>
  <c r="T251" i="5" s="1"/>
  <c r="T252" i="5" a="1"/>
  <c r="T252" i="5" s="1"/>
  <c r="U252" i="5" s="1" a="1"/>
  <c r="U252" i="5" s="1"/>
  <c r="V252" i="5" s="1" a="1"/>
  <c r="V252" i="5" s="1"/>
  <c r="W252" i="5" s="1" a="1"/>
  <c r="W252" i="5" s="1"/>
  <c r="X252" i="5" s="1" a="1"/>
  <c r="X252" i="5" s="1"/>
  <c r="T253" i="5" a="1"/>
  <c r="T253" i="5" s="1"/>
  <c r="T254" i="5" a="1"/>
  <c r="T254" i="5" s="1"/>
  <c r="U254" i="5" s="1" a="1"/>
  <c r="U254" i="5" s="1"/>
  <c r="V254" i="5" s="1" a="1"/>
  <c r="V254" i="5" s="1"/>
  <c r="W254" i="5" s="1" a="1"/>
  <c r="W254" i="5" s="1"/>
  <c r="X254" i="5" s="1" a="1"/>
  <c r="X254" i="5" s="1"/>
  <c r="T255" i="5" a="1"/>
  <c r="T255" i="5" s="1"/>
  <c r="U255" i="5" s="1" a="1"/>
  <c r="U255" i="5" s="1"/>
  <c r="V255" i="5" s="1" a="1"/>
  <c r="V255" i="5" s="1"/>
  <c r="W255" i="5" s="1" a="1"/>
  <c r="W255" i="5" s="1"/>
  <c r="X255" i="5" s="1" a="1"/>
  <c r="X255" i="5" s="1"/>
  <c r="T256" i="5" a="1"/>
  <c r="T256" i="5" s="1"/>
  <c r="U256" i="5" s="1" a="1"/>
  <c r="U256" i="5" s="1"/>
  <c r="V256" i="5" s="1" a="1"/>
  <c r="V256" i="5" s="1"/>
  <c r="W256" i="5" s="1" a="1"/>
  <c r="W256" i="5" s="1"/>
  <c r="X256" i="5" s="1" a="1"/>
  <c r="X256" i="5" s="1"/>
  <c r="T257" i="5" a="1"/>
  <c r="T257" i="5" s="1"/>
  <c r="U257" i="5" s="1" a="1"/>
  <c r="U257" i="5" s="1"/>
  <c r="V257" i="5" s="1" a="1"/>
  <c r="V257" i="5" s="1"/>
  <c r="W257" i="5" s="1" a="1"/>
  <c r="W257" i="5" s="1"/>
  <c r="X257" i="5" s="1" a="1"/>
  <c r="X257" i="5" s="1"/>
  <c r="T258" i="5" a="1"/>
  <c r="T258" i="5" s="1"/>
  <c r="T259" i="5" a="1"/>
  <c r="T259" i="5" s="1"/>
  <c r="U259" i="5" s="1" a="1"/>
  <c r="U259" i="5" s="1"/>
  <c r="V259" i="5" s="1" a="1"/>
  <c r="V259" i="5" s="1"/>
  <c r="W259" i="5" s="1" a="1"/>
  <c r="W259" i="5" s="1"/>
  <c r="X259" i="5" s="1" a="1"/>
  <c r="X259" i="5" s="1"/>
  <c r="T260" i="5" a="1"/>
  <c r="T260" i="5" s="1"/>
  <c r="U260" i="5" s="1" a="1"/>
  <c r="U260" i="5" s="1"/>
  <c r="V260" i="5" s="1" a="1"/>
  <c r="V260" i="5" s="1"/>
  <c r="W260" i="5" s="1" a="1"/>
  <c r="W260" i="5" s="1"/>
  <c r="X260" i="5" s="1" a="1"/>
  <c r="X260" i="5" s="1"/>
  <c r="T261" i="5" a="1"/>
  <c r="T261" i="5" s="1"/>
  <c r="T262" i="5" a="1"/>
  <c r="T262" i="5" s="1"/>
  <c r="U262" i="5" s="1" a="1"/>
  <c r="U262" i="5" s="1"/>
  <c r="V262" i="5" s="1" a="1"/>
  <c r="V262" i="5" s="1"/>
  <c r="W262" i="5" s="1" a="1"/>
  <c r="W262" i="5" s="1"/>
  <c r="X262" i="5" s="1" a="1"/>
  <c r="X262" i="5" s="1"/>
  <c r="T263" i="5" a="1"/>
  <c r="T263" i="5" s="1"/>
  <c r="U263" i="5" s="1" a="1"/>
  <c r="U263" i="5" s="1"/>
  <c r="V263" i="5" s="1" a="1"/>
  <c r="V263" i="5" s="1"/>
  <c r="W263" i="5" s="1" a="1"/>
  <c r="W263" i="5" s="1"/>
  <c r="X263" i="5" s="1" a="1"/>
  <c r="X263" i="5" s="1"/>
  <c r="T264" i="5" a="1"/>
  <c r="T264" i="5" s="1"/>
  <c r="U264" i="5" s="1" a="1"/>
  <c r="U264" i="5" s="1"/>
  <c r="V264" i="5" s="1" a="1"/>
  <c r="V264" i="5" s="1"/>
  <c r="W264" i="5" s="1" a="1"/>
  <c r="W264" i="5" s="1"/>
  <c r="X264" i="5" s="1" a="1"/>
  <c r="X264" i="5" s="1"/>
  <c r="T265" i="5" a="1"/>
  <c r="T265" i="5" s="1"/>
  <c r="U265" i="5" s="1" a="1"/>
  <c r="U265" i="5" s="1"/>
  <c r="V265" i="5" s="1" a="1"/>
  <c r="V265" i="5" s="1"/>
  <c r="W265" i="5" s="1" a="1"/>
  <c r="W265" i="5" s="1"/>
  <c r="X265" i="5" s="1" a="1"/>
  <c r="X265" i="5" s="1"/>
  <c r="T266" i="5" a="1"/>
  <c r="T266" i="5" s="1"/>
  <c r="T267" i="5" a="1"/>
  <c r="T267" i="5" s="1"/>
  <c r="U267" i="5" s="1" a="1"/>
  <c r="U267" i="5" s="1"/>
  <c r="V267" i="5" s="1" a="1"/>
  <c r="V267" i="5" s="1"/>
  <c r="W267" i="5" s="1" a="1"/>
  <c r="W267" i="5" s="1"/>
  <c r="X267" i="5" s="1" a="1"/>
  <c r="X267" i="5" s="1"/>
  <c r="T268" i="5" a="1"/>
  <c r="T268" i="5" s="1"/>
  <c r="U268" i="5" s="1" a="1"/>
  <c r="U268" i="5" s="1"/>
  <c r="V268" i="5" s="1" a="1"/>
  <c r="V268" i="5" s="1"/>
  <c r="W268" i="5" s="1" a="1"/>
  <c r="W268" i="5" s="1"/>
  <c r="X268" i="5" s="1" a="1"/>
  <c r="X268" i="5" s="1"/>
  <c r="T269" i="5" a="1"/>
  <c r="T269" i="5" s="1"/>
  <c r="T270" i="5" a="1"/>
  <c r="T270" i="5" s="1"/>
  <c r="U270" i="5" s="1" a="1"/>
  <c r="U270" i="5" s="1"/>
  <c r="V270" i="5" s="1" a="1"/>
  <c r="V270" i="5" s="1"/>
  <c r="W270" i="5" s="1" a="1"/>
  <c r="W270" i="5" s="1"/>
  <c r="X270" i="5" s="1" a="1"/>
  <c r="X270" i="5" s="1"/>
  <c r="T271" i="5" a="1"/>
  <c r="T271" i="5" s="1"/>
  <c r="U271" i="5" s="1" a="1"/>
  <c r="U271" i="5" s="1"/>
  <c r="V271" i="5" s="1" a="1"/>
  <c r="V271" i="5" s="1"/>
  <c r="W271" i="5" s="1" a="1"/>
  <c r="W271" i="5" s="1"/>
  <c r="X271" i="5" s="1" a="1"/>
  <c r="X271" i="5" s="1"/>
  <c r="T272" i="5" a="1"/>
  <c r="T272" i="5" s="1"/>
  <c r="U272" i="5" s="1" a="1"/>
  <c r="U272" i="5" s="1"/>
  <c r="V272" i="5" s="1" a="1"/>
  <c r="V272" i="5" s="1"/>
  <c r="W272" i="5" s="1" a="1"/>
  <c r="W272" i="5" s="1"/>
  <c r="X272" i="5" s="1" a="1"/>
  <c r="X272" i="5" s="1"/>
  <c r="T273" i="5" a="1"/>
  <c r="T273" i="5" s="1"/>
  <c r="U273" i="5" s="1" a="1"/>
  <c r="U273" i="5" s="1"/>
  <c r="V273" i="5" s="1" a="1"/>
  <c r="V273" i="5" s="1"/>
  <c r="W273" i="5" s="1" a="1"/>
  <c r="W273" i="5" s="1"/>
  <c r="X273" i="5" s="1" a="1"/>
  <c r="X273" i="5" s="1"/>
  <c r="T274" i="5" a="1"/>
  <c r="T274" i="5" s="1"/>
  <c r="T275" i="5" a="1"/>
  <c r="T275" i="5" s="1"/>
  <c r="U275" i="5" s="1" a="1"/>
  <c r="U275" i="5" s="1"/>
  <c r="V275" i="5" s="1" a="1"/>
  <c r="V275" i="5" s="1"/>
  <c r="W275" i="5" s="1" a="1"/>
  <c r="W275" i="5" s="1"/>
  <c r="X275" i="5" s="1" a="1"/>
  <c r="X275" i="5" s="1"/>
  <c r="T276" i="5" a="1"/>
  <c r="T276" i="5" s="1"/>
  <c r="U276" i="5" s="1" a="1"/>
  <c r="U276" i="5" s="1"/>
  <c r="V276" i="5" s="1" a="1"/>
  <c r="V276" i="5" s="1"/>
  <c r="W276" i="5" s="1" a="1"/>
  <c r="W276" i="5" s="1"/>
  <c r="X276" i="5" s="1" a="1"/>
  <c r="X276" i="5" s="1"/>
  <c r="T277" i="5" a="1"/>
  <c r="T277" i="5" s="1"/>
  <c r="U277" i="5" s="1" a="1"/>
  <c r="U277" i="5" s="1"/>
  <c r="V277" i="5" s="1" a="1"/>
  <c r="V277" i="5" s="1"/>
  <c r="W277" i="5" s="1" a="1"/>
  <c r="W277" i="5" s="1"/>
  <c r="X277" i="5" s="1" a="1"/>
  <c r="X277" i="5" s="1"/>
  <c r="AA16" i="1"/>
  <c r="AA15" i="1"/>
  <c r="AA14" i="1"/>
  <c r="AA13" i="1"/>
  <c r="AA12" i="1"/>
  <c r="AA11" i="1"/>
  <c r="AA9" i="1"/>
  <c r="AA8" i="1"/>
  <c r="P11" i="1"/>
  <c r="Q11" i="1" s="1"/>
  <c r="R11" i="1" s="1"/>
  <c r="S11" i="1" s="1"/>
  <c r="T11" i="1" s="1"/>
  <c r="U11" i="1" s="1"/>
  <c r="V11" i="1" s="1"/>
  <c r="W11" i="1" s="1"/>
  <c r="X11" i="1" s="1"/>
  <c r="Y11" i="1" s="1"/>
  <c r="Z11" i="1" s="1"/>
  <c r="P10" i="1"/>
  <c r="Q10" i="1" s="1"/>
  <c r="R10" i="1" s="1"/>
  <c r="S10" i="1" s="1"/>
  <c r="T10" i="1" s="1"/>
  <c r="U10" i="1" s="1"/>
  <c r="V10" i="1" s="1"/>
  <c r="W10" i="1" s="1"/>
  <c r="X10" i="1" s="1"/>
  <c r="Y10" i="1" s="1"/>
  <c r="Z10" i="1" s="1"/>
  <c r="P7" i="1"/>
  <c r="Q7" i="1" s="1"/>
  <c r="R7" i="1" s="1"/>
  <c r="S7" i="1" s="1"/>
  <c r="T7" i="1" s="1"/>
  <c r="U7" i="1" s="1"/>
  <c r="V7" i="1" s="1"/>
  <c r="W7" i="1" s="1"/>
  <c r="X7" i="1" s="1"/>
  <c r="Y7" i="1" s="1"/>
  <c r="Z7" i="1" s="1"/>
  <c r="P8" i="1"/>
  <c r="Q8" i="1" s="1"/>
  <c r="R8" i="1" s="1"/>
  <c r="S8" i="1" s="1"/>
  <c r="T8" i="1" s="1"/>
  <c r="U8" i="1" s="1"/>
  <c r="V8" i="1" s="1"/>
  <c r="W8" i="1" s="1"/>
  <c r="X8" i="1" s="1"/>
  <c r="Y8" i="1" s="1"/>
  <c r="Z8" i="1" s="1"/>
  <c r="AA17"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P4" i="1"/>
  <c r="Q4" i="1" s="1"/>
  <c r="R4" i="1" s="1"/>
  <c r="S4" i="1" s="1"/>
  <c r="T4" i="1" s="1"/>
  <c r="U4" i="1" s="1"/>
  <c r="V4" i="1" s="1"/>
  <c r="W4" i="1" s="1"/>
  <c r="X4" i="1" s="1"/>
  <c r="Y4" i="1" s="1"/>
  <c r="Z4" i="1" s="1"/>
  <c r="P53" i="1"/>
  <c r="Q53" i="1" s="1"/>
  <c r="R53" i="1" s="1"/>
  <c r="S53" i="1" s="1"/>
  <c r="T53" i="1" s="1"/>
  <c r="U53" i="1" s="1"/>
  <c r="V53" i="1" s="1"/>
  <c r="W53" i="1" s="1"/>
  <c r="X53" i="1" s="1"/>
  <c r="Y53" i="1" s="1"/>
  <c r="Z53" i="1" s="1"/>
  <c r="P84" i="1"/>
  <c r="Q84" i="1" s="1"/>
  <c r="R84" i="1" s="1"/>
  <c r="S84" i="1" s="1"/>
  <c r="T84" i="1" s="1"/>
  <c r="U84" i="1" s="1"/>
  <c r="V84" i="1" s="1"/>
  <c r="W84" i="1" s="1"/>
  <c r="X84" i="1" s="1"/>
  <c r="Y84" i="1" s="1"/>
  <c r="Z84" i="1" s="1"/>
  <c r="P50" i="1"/>
  <c r="Q50" i="1" s="1"/>
  <c r="R50" i="1" s="1"/>
  <c r="S50" i="1" s="1"/>
  <c r="T50" i="1" s="1"/>
  <c r="U50" i="1" s="1"/>
  <c r="V50" i="1" s="1"/>
  <c r="W50" i="1" s="1"/>
  <c r="X50" i="1" s="1"/>
  <c r="Y50" i="1" s="1"/>
  <c r="Z50" i="1" s="1"/>
  <c r="P89" i="1"/>
  <c r="Q89" i="1" s="1"/>
  <c r="R89" i="1" s="1"/>
  <c r="S89" i="1" s="1"/>
  <c r="T89" i="1" s="1"/>
  <c r="U89" i="1" s="1"/>
  <c r="V89" i="1" s="1"/>
  <c r="W89" i="1" s="1"/>
  <c r="X89" i="1" s="1"/>
  <c r="Y89" i="1" s="1"/>
  <c r="Z89" i="1" s="1"/>
  <c r="P88" i="1"/>
  <c r="Q88" i="1" s="1"/>
  <c r="R88" i="1" s="1"/>
  <c r="S88" i="1" s="1"/>
  <c r="T88" i="1" s="1"/>
  <c r="U88" i="1" s="1"/>
  <c r="V88" i="1" s="1"/>
  <c r="W88" i="1" s="1"/>
  <c r="X88" i="1" s="1"/>
  <c r="Y88" i="1" s="1"/>
  <c r="Z88" i="1" s="1"/>
  <c r="P87" i="1"/>
  <c r="Q87" i="1" s="1"/>
  <c r="R87" i="1" s="1"/>
  <c r="S87" i="1" s="1"/>
  <c r="T87" i="1" s="1"/>
  <c r="U87" i="1" s="1"/>
  <c r="V87" i="1" s="1"/>
  <c r="W87" i="1" s="1"/>
  <c r="X87" i="1" s="1"/>
  <c r="Y87" i="1" s="1"/>
  <c r="Z87" i="1" s="1"/>
  <c r="P86" i="1"/>
  <c r="Q86" i="1" s="1"/>
  <c r="R86" i="1" s="1"/>
  <c r="S86" i="1" s="1"/>
  <c r="T86" i="1" s="1"/>
  <c r="U86" i="1" s="1"/>
  <c r="V86" i="1" s="1"/>
  <c r="W86" i="1" s="1"/>
  <c r="X86" i="1" s="1"/>
  <c r="Y86" i="1" s="1"/>
  <c r="Z86" i="1" s="1"/>
  <c r="P20" i="1"/>
  <c r="Q20" i="1" s="1"/>
  <c r="R20" i="1" s="1"/>
  <c r="S20" i="1" s="1"/>
  <c r="T20" i="1" s="1"/>
  <c r="U20" i="1" s="1"/>
  <c r="V20" i="1" s="1"/>
  <c r="W20" i="1" s="1"/>
  <c r="X20" i="1" s="1"/>
  <c r="Y20" i="1" s="1"/>
  <c r="Z20" i="1" s="1"/>
  <c r="AS124" i="1"/>
  <c r="AR124" i="1"/>
  <c r="AS123" i="1"/>
  <c r="AR123" i="1"/>
  <c r="AS122" i="1"/>
  <c r="AR122" i="1"/>
  <c r="AS121" i="1"/>
  <c r="AR121" i="1"/>
  <c r="AS116" i="1"/>
  <c r="AR116" i="1"/>
  <c r="AS115" i="1"/>
  <c r="AR115" i="1"/>
  <c r="AS108" i="1"/>
  <c r="AR108" i="1"/>
  <c r="AS107" i="1"/>
  <c r="AR107" i="1"/>
  <c r="AS106" i="1"/>
  <c r="AR106" i="1"/>
  <c r="AS105" i="1"/>
  <c r="AR105" i="1"/>
  <c r="AS104" i="1"/>
  <c r="AR104" i="1"/>
  <c r="AS102" i="1"/>
  <c r="AR102" i="1"/>
  <c r="AS101" i="1"/>
  <c r="AR101" i="1"/>
  <c r="AS100" i="1"/>
  <c r="AR100" i="1"/>
  <c r="AS90" i="1"/>
  <c r="AR90" i="1"/>
  <c r="AS89" i="1"/>
  <c r="AR89" i="1"/>
  <c r="AS88" i="1"/>
  <c r="AR88" i="1"/>
  <c r="AS87" i="1"/>
  <c r="AR87" i="1"/>
  <c r="AS86" i="1"/>
  <c r="AR86" i="1"/>
  <c r="AS85" i="1"/>
  <c r="AR85" i="1"/>
  <c r="AS83" i="1"/>
  <c r="AR83" i="1"/>
  <c r="AS82" i="1"/>
  <c r="AR82" i="1"/>
  <c r="AS70" i="1"/>
  <c r="AR70" i="1"/>
  <c r="AS69" i="1"/>
  <c r="AR69" i="1"/>
  <c r="AS68" i="1"/>
  <c r="AR68" i="1"/>
  <c r="AS67" i="1"/>
  <c r="AR67" i="1"/>
  <c r="AS38" i="1"/>
  <c r="AS37" i="1"/>
  <c r="AS36" i="1"/>
  <c r="AS35" i="1"/>
  <c r="AR38" i="1"/>
  <c r="AR37" i="1"/>
  <c r="AR36" i="1"/>
  <c r="AR35" i="1"/>
  <c r="AR31" i="1"/>
  <c r="AR30" i="1"/>
  <c r="AR29" i="1"/>
  <c r="AR28" i="1"/>
  <c r="AR27" i="1"/>
  <c r="AR26" i="1"/>
  <c r="AR25" i="1"/>
  <c r="AS31" i="1"/>
  <c r="AS30" i="1"/>
  <c r="AS29" i="1"/>
  <c r="AS28" i="1"/>
  <c r="AS27" i="1"/>
  <c r="AS26" i="1"/>
  <c r="AS25" i="1"/>
  <c r="AS23" i="1"/>
  <c r="AS22" i="1"/>
  <c r="AS21" i="1"/>
  <c r="AS20" i="1"/>
  <c r="AS19" i="1"/>
  <c r="AS18" i="1"/>
  <c r="AS17" i="1"/>
  <c r="AS16" i="1"/>
  <c r="AS15" i="1"/>
  <c r="AR23" i="1"/>
  <c r="AR22" i="1"/>
  <c r="AR21" i="1"/>
  <c r="AR20" i="1"/>
  <c r="AR19" i="1"/>
  <c r="AR18" i="1"/>
  <c r="AR17" i="1"/>
  <c r="AR16" i="1"/>
  <c r="AR15" i="1"/>
  <c r="P100" i="1"/>
  <c r="Q100" i="1" s="1"/>
  <c r="R100" i="1" s="1"/>
  <c r="S100" i="1" s="1"/>
  <c r="T100" i="1" s="1"/>
  <c r="U100" i="1" s="1"/>
  <c r="V100" i="1" s="1"/>
  <c r="W100" i="1" s="1"/>
  <c r="X100" i="1" s="1"/>
  <c r="Y100" i="1" s="1"/>
  <c r="Z100" i="1" s="1"/>
  <c r="P99" i="1"/>
  <c r="Q99" i="1" s="1"/>
  <c r="R99" i="1" s="1"/>
  <c r="S99" i="1" s="1"/>
  <c r="T99" i="1" s="1"/>
  <c r="U99" i="1" s="1"/>
  <c r="V99" i="1" s="1"/>
  <c r="W99" i="1" s="1"/>
  <c r="X99" i="1" s="1"/>
  <c r="Y99" i="1" s="1"/>
  <c r="Z99" i="1" s="1"/>
  <c r="P98" i="1"/>
  <c r="Q98" i="1" s="1"/>
  <c r="R98" i="1" s="1"/>
  <c r="S98" i="1" s="1"/>
  <c r="T98" i="1" s="1"/>
  <c r="U98" i="1" s="1"/>
  <c r="V98" i="1" s="1"/>
  <c r="W98" i="1" s="1"/>
  <c r="X98" i="1" s="1"/>
  <c r="Y98" i="1" s="1"/>
  <c r="Z98" i="1" s="1"/>
  <c r="P97" i="1"/>
  <c r="Q97" i="1" s="1"/>
  <c r="R97" i="1" s="1"/>
  <c r="S97" i="1" s="1"/>
  <c r="T97" i="1" s="1"/>
  <c r="U97" i="1" s="1"/>
  <c r="V97" i="1" s="1"/>
  <c r="W97" i="1" s="1"/>
  <c r="X97" i="1" s="1"/>
  <c r="Y97" i="1" s="1"/>
  <c r="Z97" i="1" s="1"/>
  <c r="P96" i="1"/>
  <c r="Q96" i="1" s="1"/>
  <c r="R96" i="1" s="1"/>
  <c r="S96" i="1" s="1"/>
  <c r="T96" i="1" s="1"/>
  <c r="U96" i="1" s="1"/>
  <c r="V96" i="1" s="1"/>
  <c r="W96" i="1" s="1"/>
  <c r="X96" i="1" s="1"/>
  <c r="Y96" i="1" s="1"/>
  <c r="Z96" i="1" s="1"/>
  <c r="P93" i="1"/>
  <c r="Q93" i="1" s="1"/>
  <c r="R93" i="1" s="1"/>
  <c r="S93" i="1" s="1"/>
  <c r="T93" i="1" s="1"/>
  <c r="U93" i="1" s="1"/>
  <c r="V93" i="1" s="1"/>
  <c r="W93" i="1" s="1"/>
  <c r="X93" i="1" s="1"/>
  <c r="Y93" i="1" s="1"/>
  <c r="Z93" i="1" s="1"/>
  <c r="P92" i="1"/>
  <c r="Q92" i="1" s="1"/>
  <c r="R92" i="1" s="1"/>
  <c r="S92" i="1" s="1"/>
  <c r="T92" i="1" s="1"/>
  <c r="U92" i="1" s="1"/>
  <c r="V92" i="1" s="1"/>
  <c r="W92" i="1" s="1"/>
  <c r="X92" i="1" s="1"/>
  <c r="Y92" i="1" s="1"/>
  <c r="Z92" i="1" s="1"/>
  <c r="P90" i="1"/>
  <c r="Q90" i="1" s="1"/>
  <c r="R90" i="1" s="1"/>
  <c r="S90" i="1" s="1"/>
  <c r="T90" i="1" s="1"/>
  <c r="U90" i="1" s="1"/>
  <c r="V90" i="1" s="1"/>
  <c r="W90" i="1" s="1"/>
  <c r="X90" i="1" s="1"/>
  <c r="Y90" i="1" s="1"/>
  <c r="Z90" i="1" s="1"/>
  <c r="P85" i="1"/>
  <c r="Q85" i="1" s="1"/>
  <c r="R85" i="1" s="1"/>
  <c r="S85" i="1" s="1"/>
  <c r="T85" i="1" s="1"/>
  <c r="U85" i="1" s="1"/>
  <c r="V85" i="1" s="1"/>
  <c r="W85" i="1" s="1"/>
  <c r="X85" i="1" s="1"/>
  <c r="Y85" i="1" s="1"/>
  <c r="Z85" i="1" s="1"/>
  <c r="P83" i="1"/>
  <c r="Q83" i="1" s="1"/>
  <c r="R83" i="1" s="1"/>
  <c r="S83" i="1" s="1"/>
  <c r="T83" i="1" s="1"/>
  <c r="U83" i="1" s="1"/>
  <c r="V83" i="1" s="1"/>
  <c r="W83" i="1" s="1"/>
  <c r="X83" i="1" s="1"/>
  <c r="Y83" i="1" s="1"/>
  <c r="Z83" i="1" s="1"/>
  <c r="P82" i="1"/>
  <c r="Q82" i="1" s="1"/>
  <c r="R82" i="1" s="1"/>
  <c r="S82" i="1" s="1"/>
  <c r="T82" i="1" s="1"/>
  <c r="U82" i="1" s="1"/>
  <c r="V82" i="1" s="1"/>
  <c r="W82" i="1" s="1"/>
  <c r="X82" i="1" s="1"/>
  <c r="Y82" i="1" s="1"/>
  <c r="Z82" i="1" s="1"/>
  <c r="P80" i="1"/>
  <c r="Q80" i="1" s="1"/>
  <c r="R80" i="1" s="1"/>
  <c r="S80" i="1" s="1"/>
  <c r="T80" i="1" s="1"/>
  <c r="U80" i="1" s="1"/>
  <c r="V80" i="1" s="1"/>
  <c r="W80" i="1" s="1"/>
  <c r="X80" i="1" s="1"/>
  <c r="Y80" i="1" s="1"/>
  <c r="Z80" i="1" s="1"/>
  <c r="P79" i="1"/>
  <c r="Q79" i="1" s="1"/>
  <c r="R79" i="1" s="1"/>
  <c r="S79" i="1" s="1"/>
  <c r="T79" i="1" s="1"/>
  <c r="U79" i="1" s="1"/>
  <c r="V79" i="1" s="1"/>
  <c r="W79" i="1" s="1"/>
  <c r="X79" i="1" s="1"/>
  <c r="Y79" i="1" s="1"/>
  <c r="Z79" i="1" s="1"/>
  <c r="P78" i="1"/>
  <c r="Q78" i="1" s="1"/>
  <c r="R78" i="1" s="1"/>
  <c r="S78" i="1" s="1"/>
  <c r="T78" i="1" s="1"/>
  <c r="U78" i="1" s="1"/>
  <c r="V78" i="1" s="1"/>
  <c r="W78" i="1" s="1"/>
  <c r="X78" i="1" s="1"/>
  <c r="Y78" i="1" s="1"/>
  <c r="Z78" i="1" s="1"/>
  <c r="P77" i="1"/>
  <c r="Q77" i="1" s="1"/>
  <c r="R77" i="1" s="1"/>
  <c r="S77" i="1" s="1"/>
  <c r="T77" i="1" s="1"/>
  <c r="U77" i="1" s="1"/>
  <c r="V77" i="1" s="1"/>
  <c r="W77" i="1" s="1"/>
  <c r="X77" i="1" s="1"/>
  <c r="Y77" i="1" s="1"/>
  <c r="Z77" i="1" s="1"/>
  <c r="P76" i="1"/>
  <c r="Q76" i="1" s="1"/>
  <c r="R76" i="1" s="1"/>
  <c r="S76" i="1" s="1"/>
  <c r="T76" i="1" s="1"/>
  <c r="U76" i="1" s="1"/>
  <c r="V76" i="1" s="1"/>
  <c r="W76" i="1" s="1"/>
  <c r="X76" i="1" s="1"/>
  <c r="Y76" i="1" s="1"/>
  <c r="Z76" i="1" s="1"/>
  <c r="P75" i="1"/>
  <c r="Q75" i="1" s="1"/>
  <c r="R75" i="1" s="1"/>
  <c r="S75" i="1" s="1"/>
  <c r="T75" i="1" s="1"/>
  <c r="U75" i="1" s="1"/>
  <c r="V75" i="1" s="1"/>
  <c r="W75" i="1" s="1"/>
  <c r="X75" i="1" s="1"/>
  <c r="Y75" i="1" s="1"/>
  <c r="Z75" i="1" s="1"/>
  <c r="P74" i="1"/>
  <c r="Q74" i="1" s="1"/>
  <c r="R74" i="1" s="1"/>
  <c r="S74" i="1" s="1"/>
  <c r="T74" i="1" s="1"/>
  <c r="U74" i="1" s="1"/>
  <c r="V74" i="1" s="1"/>
  <c r="W74" i="1" s="1"/>
  <c r="X74" i="1" s="1"/>
  <c r="Y74" i="1" s="1"/>
  <c r="Z74" i="1" s="1"/>
  <c r="P73" i="1"/>
  <c r="Q73" i="1" s="1"/>
  <c r="R73" i="1" s="1"/>
  <c r="S73" i="1" s="1"/>
  <c r="T73" i="1" s="1"/>
  <c r="U73" i="1" s="1"/>
  <c r="V73" i="1" s="1"/>
  <c r="W73" i="1" s="1"/>
  <c r="X73" i="1" s="1"/>
  <c r="Y73" i="1" s="1"/>
  <c r="Z73" i="1" s="1"/>
  <c r="P72" i="1"/>
  <c r="Q72" i="1" s="1"/>
  <c r="R72" i="1" s="1"/>
  <c r="S72" i="1" s="1"/>
  <c r="T72" i="1" s="1"/>
  <c r="U72" i="1" s="1"/>
  <c r="V72" i="1" s="1"/>
  <c r="W72" i="1" s="1"/>
  <c r="X72" i="1" s="1"/>
  <c r="Y72" i="1" s="1"/>
  <c r="Z72" i="1" s="1"/>
  <c r="P71" i="1"/>
  <c r="Q71" i="1" s="1"/>
  <c r="R71" i="1" s="1"/>
  <c r="S71" i="1" s="1"/>
  <c r="T71" i="1" s="1"/>
  <c r="U71" i="1" s="1"/>
  <c r="V71" i="1" s="1"/>
  <c r="W71" i="1" s="1"/>
  <c r="X71" i="1" s="1"/>
  <c r="Y71" i="1" s="1"/>
  <c r="Z71" i="1" s="1"/>
  <c r="P70" i="1"/>
  <c r="Q70" i="1" s="1"/>
  <c r="R70" i="1" s="1"/>
  <c r="S70" i="1" s="1"/>
  <c r="T70" i="1" s="1"/>
  <c r="U70" i="1" s="1"/>
  <c r="V70" i="1" s="1"/>
  <c r="W70" i="1" s="1"/>
  <c r="X70" i="1" s="1"/>
  <c r="Y70" i="1" s="1"/>
  <c r="Z70" i="1" s="1"/>
  <c r="P69" i="1"/>
  <c r="Q69" i="1" s="1"/>
  <c r="R69" i="1" s="1"/>
  <c r="S69" i="1" s="1"/>
  <c r="T69" i="1" s="1"/>
  <c r="U69" i="1" s="1"/>
  <c r="V69" i="1" s="1"/>
  <c r="W69" i="1" s="1"/>
  <c r="X69" i="1" s="1"/>
  <c r="Y69" i="1" s="1"/>
  <c r="Z69" i="1" s="1"/>
  <c r="P68" i="1"/>
  <c r="Q68" i="1" s="1"/>
  <c r="R68" i="1" s="1"/>
  <c r="S68" i="1" s="1"/>
  <c r="T68" i="1" s="1"/>
  <c r="U68" i="1" s="1"/>
  <c r="V68" i="1" s="1"/>
  <c r="W68" i="1" s="1"/>
  <c r="X68" i="1" s="1"/>
  <c r="Y68" i="1" s="1"/>
  <c r="Z68" i="1" s="1"/>
  <c r="P67" i="1"/>
  <c r="Q67" i="1" s="1"/>
  <c r="R67" i="1" s="1"/>
  <c r="S67" i="1" s="1"/>
  <c r="T67" i="1" s="1"/>
  <c r="U67" i="1" s="1"/>
  <c r="V67" i="1" s="1"/>
  <c r="W67" i="1" s="1"/>
  <c r="X67" i="1" s="1"/>
  <c r="Y67" i="1" s="1"/>
  <c r="Z67" i="1" s="1"/>
  <c r="P65" i="1"/>
  <c r="Q65" i="1" s="1"/>
  <c r="R65" i="1" s="1"/>
  <c r="S65" i="1" s="1"/>
  <c r="T65" i="1" s="1"/>
  <c r="U65" i="1" s="1"/>
  <c r="V65" i="1" s="1"/>
  <c r="W65" i="1" s="1"/>
  <c r="X65" i="1" s="1"/>
  <c r="Y65" i="1" s="1"/>
  <c r="Z65" i="1" s="1"/>
  <c r="P64" i="1"/>
  <c r="Q64" i="1" s="1"/>
  <c r="R64" i="1" s="1"/>
  <c r="S64" i="1" s="1"/>
  <c r="T64" i="1" s="1"/>
  <c r="U64" i="1" s="1"/>
  <c r="V64" i="1" s="1"/>
  <c r="W64" i="1" s="1"/>
  <c r="X64" i="1" s="1"/>
  <c r="Y64" i="1" s="1"/>
  <c r="Z64" i="1" s="1"/>
  <c r="P63" i="1"/>
  <c r="Q63" i="1" s="1"/>
  <c r="R63" i="1" s="1"/>
  <c r="S63" i="1" s="1"/>
  <c r="T63" i="1" s="1"/>
  <c r="U63" i="1" s="1"/>
  <c r="V63" i="1" s="1"/>
  <c r="W63" i="1" s="1"/>
  <c r="X63" i="1" s="1"/>
  <c r="Y63" i="1" s="1"/>
  <c r="Z63" i="1" s="1"/>
  <c r="P62" i="1"/>
  <c r="Q62" i="1" s="1"/>
  <c r="R62" i="1" s="1"/>
  <c r="S62" i="1" s="1"/>
  <c r="T62" i="1" s="1"/>
  <c r="U62" i="1" s="1"/>
  <c r="V62" i="1" s="1"/>
  <c r="W62" i="1" s="1"/>
  <c r="X62" i="1" s="1"/>
  <c r="Y62" i="1" s="1"/>
  <c r="Z62" i="1" s="1"/>
  <c r="P61" i="1"/>
  <c r="Q61" i="1" s="1"/>
  <c r="R61" i="1" s="1"/>
  <c r="S61" i="1" s="1"/>
  <c r="T61" i="1" s="1"/>
  <c r="U61" i="1" s="1"/>
  <c r="V61" i="1" s="1"/>
  <c r="W61" i="1" s="1"/>
  <c r="X61" i="1" s="1"/>
  <c r="Y61" i="1" s="1"/>
  <c r="Z61" i="1" s="1"/>
  <c r="P60" i="1"/>
  <c r="Q60" i="1" s="1"/>
  <c r="R60" i="1" s="1"/>
  <c r="S60" i="1" s="1"/>
  <c r="T60" i="1" s="1"/>
  <c r="U60" i="1" s="1"/>
  <c r="V60" i="1" s="1"/>
  <c r="W60" i="1" s="1"/>
  <c r="X60" i="1" s="1"/>
  <c r="Y60" i="1" s="1"/>
  <c r="Z60" i="1" s="1"/>
  <c r="P59" i="1"/>
  <c r="Q59" i="1" s="1"/>
  <c r="R59" i="1" s="1"/>
  <c r="S59" i="1" s="1"/>
  <c r="T59" i="1" s="1"/>
  <c r="U59" i="1" s="1"/>
  <c r="V59" i="1" s="1"/>
  <c r="W59" i="1" s="1"/>
  <c r="X59" i="1" s="1"/>
  <c r="Y59" i="1" s="1"/>
  <c r="Z59" i="1" s="1"/>
  <c r="P58" i="1"/>
  <c r="Q58" i="1" s="1"/>
  <c r="R58" i="1" s="1"/>
  <c r="S58" i="1" s="1"/>
  <c r="T58" i="1" s="1"/>
  <c r="U58" i="1" s="1"/>
  <c r="V58" i="1" s="1"/>
  <c r="W58" i="1" s="1"/>
  <c r="X58" i="1" s="1"/>
  <c r="Y58" i="1" s="1"/>
  <c r="Z58" i="1" s="1"/>
  <c r="P57" i="1"/>
  <c r="Q57" i="1" s="1"/>
  <c r="R57" i="1" s="1"/>
  <c r="S57" i="1" s="1"/>
  <c r="T57" i="1" s="1"/>
  <c r="U57" i="1" s="1"/>
  <c r="V57" i="1" s="1"/>
  <c r="W57" i="1" s="1"/>
  <c r="X57" i="1" s="1"/>
  <c r="Y57" i="1" s="1"/>
  <c r="Z57" i="1" s="1"/>
  <c r="P56" i="1"/>
  <c r="Q56" i="1" s="1"/>
  <c r="R56" i="1" s="1"/>
  <c r="S56" i="1" s="1"/>
  <c r="T56" i="1" s="1"/>
  <c r="U56" i="1" s="1"/>
  <c r="V56" i="1" s="1"/>
  <c r="W56" i="1" s="1"/>
  <c r="X56" i="1" s="1"/>
  <c r="Y56" i="1" s="1"/>
  <c r="Z56" i="1" s="1"/>
  <c r="P55" i="1"/>
  <c r="Q55" i="1" s="1"/>
  <c r="R55" i="1" s="1"/>
  <c r="S55" i="1" s="1"/>
  <c r="T55" i="1" s="1"/>
  <c r="U55" i="1" s="1"/>
  <c r="V55" i="1" s="1"/>
  <c r="W55" i="1" s="1"/>
  <c r="X55" i="1" s="1"/>
  <c r="Y55" i="1" s="1"/>
  <c r="Z55" i="1" s="1"/>
  <c r="P52" i="1"/>
  <c r="Q52" i="1" s="1"/>
  <c r="R52" i="1" s="1"/>
  <c r="S52" i="1" s="1"/>
  <c r="T52" i="1" s="1"/>
  <c r="U52" i="1" s="1"/>
  <c r="V52" i="1" s="1"/>
  <c r="W52" i="1" s="1"/>
  <c r="X52" i="1" s="1"/>
  <c r="Y52" i="1" s="1"/>
  <c r="Z52" i="1" s="1"/>
  <c r="P104" i="1"/>
  <c r="Q104" i="1" s="1"/>
  <c r="R104" i="1" s="1"/>
  <c r="S104" i="1" s="1"/>
  <c r="T104" i="1" s="1"/>
  <c r="U104" i="1" s="1"/>
  <c r="V104" i="1" s="1"/>
  <c r="W104" i="1" s="1"/>
  <c r="X104" i="1" s="1"/>
  <c r="Y104" i="1" s="1"/>
  <c r="Z104" i="1" s="1"/>
  <c r="P49" i="1"/>
  <c r="Q49" i="1" s="1"/>
  <c r="R49" i="1" s="1"/>
  <c r="S49" i="1" s="1"/>
  <c r="T49" i="1" s="1"/>
  <c r="U49" i="1" s="1"/>
  <c r="V49" i="1" s="1"/>
  <c r="W49" i="1" s="1"/>
  <c r="X49" i="1" s="1"/>
  <c r="Y49" i="1" s="1"/>
  <c r="Z49" i="1" s="1"/>
  <c r="P48" i="1"/>
  <c r="Q48" i="1" s="1"/>
  <c r="R48" i="1" s="1"/>
  <c r="S48" i="1" s="1"/>
  <c r="T48" i="1" s="1"/>
  <c r="U48" i="1" s="1"/>
  <c r="V48" i="1" s="1"/>
  <c r="W48" i="1" s="1"/>
  <c r="X48" i="1" s="1"/>
  <c r="Y48" i="1" s="1"/>
  <c r="Z48" i="1" s="1"/>
  <c r="P47" i="1"/>
  <c r="Q47" i="1" s="1"/>
  <c r="R47" i="1" s="1"/>
  <c r="S47" i="1" s="1"/>
  <c r="T47" i="1" s="1"/>
  <c r="U47" i="1" s="1"/>
  <c r="V47" i="1" s="1"/>
  <c r="W47" i="1" s="1"/>
  <c r="X47" i="1" s="1"/>
  <c r="Y47" i="1" s="1"/>
  <c r="Z47" i="1" s="1"/>
  <c r="P46" i="1"/>
  <c r="Q46" i="1" s="1"/>
  <c r="R46" i="1" s="1"/>
  <c r="S46" i="1" s="1"/>
  <c r="T46" i="1" s="1"/>
  <c r="U46" i="1" s="1"/>
  <c r="V46" i="1" s="1"/>
  <c r="W46" i="1" s="1"/>
  <c r="X46" i="1" s="1"/>
  <c r="Y46" i="1" s="1"/>
  <c r="Z46" i="1" s="1"/>
  <c r="P45" i="1"/>
  <c r="Q45" i="1" s="1"/>
  <c r="R45" i="1" s="1"/>
  <c r="S45" i="1" s="1"/>
  <c r="T45" i="1" s="1"/>
  <c r="U45" i="1" s="1"/>
  <c r="V45" i="1" s="1"/>
  <c r="W45" i="1" s="1"/>
  <c r="X45" i="1" s="1"/>
  <c r="Y45" i="1" s="1"/>
  <c r="Z45" i="1" s="1"/>
  <c r="P44" i="1"/>
  <c r="Q44" i="1" s="1"/>
  <c r="R44" i="1" s="1"/>
  <c r="S44" i="1" s="1"/>
  <c r="T44" i="1" s="1"/>
  <c r="U44" i="1" s="1"/>
  <c r="V44" i="1" s="1"/>
  <c r="W44" i="1" s="1"/>
  <c r="X44" i="1" s="1"/>
  <c r="Y44" i="1" s="1"/>
  <c r="Z44" i="1" s="1"/>
  <c r="P43" i="1"/>
  <c r="Q43" i="1" s="1"/>
  <c r="R43" i="1" s="1"/>
  <c r="S43" i="1" s="1"/>
  <c r="T43" i="1" s="1"/>
  <c r="U43" i="1" s="1"/>
  <c r="V43" i="1" s="1"/>
  <c r="W43" i="1" s="1"/>
  <c r="X43" i="1" s="1"/>
  <c r="Y43" i="1" s="1"/>
  <c r="Z43" i="1" s="1"/>
  <c r="P42" i="1"/>
  <c r="Q42" i="1" s="1"/>
  <c r="R42" i="1" s="1"/>
  <c r="S42" i="1" s="1"/>
  <c r="T42" i="1" s="1"/>
  <c r="U42" i="1" s="1"/>
  <c r="V42" i="1" s="1"/>
  <c r="W42" i="1" s="1"/>
  <c r="X42" i="1" s="1"/>
  <c r="Y42" i="1" s="1"/>
  <c r="Z42" i="1" s="1"/>
  <c r="P41" i="1"/>
  <c r="Q41" i="1" s="1"/>
  <c r="R41" i="1" s="1"/>
  <c r="S41" i="1" s="1"/>
  <c r="T41" i="1" s="1"/>
  <c r="U41" i="1" s="1"/>
  <c r="V41" i="1" s="1"/>
  <c r="W41" i="1" s="1"/>
  <c r="X41" i="1" s="1"/>
  <c r="Y41" i="1" s="1"/>
  <c r="Z41" i="1" s="1"/>
  <c r="P40" i="1"/>
  <c r="Q40" i="1" s="1"/>
  <c r="R40" i="1" s="1"/>
  <c r="S40" i="1" s="1"/>
  <c r="T40" i="1" s="1"/>
  <c r="U40" i="1" s="1"/>
  <c r="V40" i="1" s="1"/>
  <c r="W40" i="1" s="1"/>
  <c r="X40" i="1" s="1"/>
  <c r="Y40" i="1" s="1"/>
  <c r="Z40" i="1" s="1"/>
  <c r="P39" i="1"/>
  <c r="Q39" i="1" s="1"/>
  <c r="R39" i="1" s="1"/>
  <c r="S39" i="1" s="1"/>
  <c r="T39" i="1" s="1"/>
  <c r="U39" i="1" s="1"/>
  <c r="V39" i="1" s="1"/>
  <c r="W39" i="1" s="1"/>
  <c r="X39" i="1" s="1"/>
  <c r="Y39" i="1" s="1"/>
  <c r="Z39" i="1" s="1"/>
  <c r="P38" i="1"/>
  <c r="Q38" i="1" s="1"/>
  <c r="R38" i="1" s="1"/>
  <c r="S38" i="1" s="1"/>
  <c r="T38" i="1" s="1"/>
  <c r="U38" i="1" s="1"/>
  <c r="V38" i="1" s="1"/>
  <c r="W38" i="1" s="1"/>
  <c r="X38" i="1" s="1"/>
  <c r="Y38" i="1" s="1"/>
  <c r="Z38" i="1" s="1"/>
  <c r="P37" i="1"/>
  <c r="Q37" i="1" s="1"/>
  <c r="R37" i="1" s="1"/>
  <c r="S37" i="1" s="1"/>
  <c r="T37" i="1" s="1"/>
  <c r="U37" i="1" s="1"/>
  <c r="V37" i="1" s="1"/>
  <c r="W37" i="1" s="1"/>
  <c r="X37" i="1" s="1"/>
  <c r="Y37" i="1" s="1"/>
  <c r="Z37" i="1" s="1"/>
  <c r="P36" i="1"/>
  <c r="Q36" i="1" s="1"/>
  <c r="R36" i="1" s="1"/>
  <c r="S36" i="1" s="1"/>
  <c r="T36" i="1" s="1"/>
  <c r="U36" i="1" s="1"/>
  <c r="V36" i="1" s="1"/>
  <c r="W36" i="1" s="1"/>
  <c r="X36" i="1" s="1"/>
  <c r="Y36" i="1" s="1"/>
  <c r="Z36" i="1" s="1"/>
  <c r="P35" i="1"/>
  <c r="Q35" i="1" s="1"/>
  <c r="R35" i="1" s="1"/>
  <c r="S35" i="1" s="1"/>
  <c r="T35" i="1" s="1"/>
  <c r="U35" i="1" s="1"/>
  <c r="V35" i="1" s="1"/>
  <c r="W35" i="1" s="1"/>
  <c r="X35" i="1" s="1"/>
  <c r="Y35" i="1" s="1"/>
  <c r="Z35" i="1" s="1"/>
  <c r="P34" i="1"/>
  <c r="Q34" i="1" s="1"/>
  <c r="R34" i="1" s="1"/>
  <c r="S34" i="1" s="1"/>
  <c r="T34" i="1" s="1"/>
  <c r="U34" i="1" s="1"/>
  <c r="V34" i="1" s="1"/>
  <c r="W34" i="1" s="1"/>
  <c r="X34" i="1" s="1"/>
  <c r="Y34" i="1" s="1"/>
  <c r="Z34" i="1" s="1"/>
  <c r="P33" i="1"/>
  <c r="Q33" i="1" s="1"/>
  <c r="R33" i="1" s="1"/>
  <c r="S33" i="1" s="1"/>
  <c r="T33" i="1" s="1"/>
  <c r="U33" i="1" s="1"/>
  <c r="V33" i="1" s="1"/>
  <c r="W33" i="1" s="1"/>
  <c r="X33" i="1" s="1"/>
  <c r="Y33" i="1" s="1"/>
  <c r="Z33" i="1" s="1"/>
  <c r="P32" i="1"/>
  <c r="Q32" i="1" s="1"/>
  <c r="R32" i="1" s="1"/>
  <c r="S32" i="1" s="1"/>
  <c r="T32" i="1" s="1"/>
  <c r="U32" i="1" s="1"/>
  <c r="V32" i="1" s="1"/>
  <c r="W32" i="1" s="1"/>
  <c r="X32" i="1" s="1"/>
  <c r="Y32" i="1" s="1"/>
  <c r="Z32" i="1" s="1"/>
  <c r="P31" i="1"/>
  <c r="Q31" i="1" s="1"/>
  <c r="R31" i="1" s="1"/>
  <c r="S31" i="1" s="1"/>
  <c r="T31" i="1" s="1"/>
  <c r="U31" i="1" s="1"/>
  <c r="V31" i="1" s="1"/>
  <c r="W31" i="1" s="1"/>
  <c r="X31" i="1" s="1"/>
  <c r="Y31" i="1" s="1"/>
  <c r="Z31" i="1" s="1"/>
  <c r="P30" i="1"/>
  <c r="Q30" i="1" s="1"/>
  <c r="R30" i="1" s="1"/>
  <c r="S30" i="1" s="1"/>
  <c r="T30" i="1" s="1"/>
  <c r="U30" i="1" s="1"/>
  <c r="V30" i="1" s="1"/>
  <c r="W30" i="1" s="1"/>
  <c r="X30" i="1" s="1"/>
  <c r="Y30" i="1" s="1"/>
  <c r="Z30" i="1" s="1"/>
  <c r="P28" i="1"/>
  <c r="Q28" i="1" s="1"/>
  <c r="R28" i="1" s="1"/>
  <c r="S28" i="1" s="1"/>
  <c r="T28" i="1" s="1"/>
  <c r="U28" i="1" s="1"/>
  <c r="V28" i="1" s="1"/>
  <c r="W28" i="1" s="1"/>
  <c r="X28" i="1" s="1"/>
  <c r="Y28" i="1" s="1"/>
  <c r="Z28" i="1" s="1"/>
  <c r="P27" i="1"/>
  <c r="Q27" i="1" s="1"/>
  <c r="R27" i="1" s="1"/>
  <c r="S27" i="1" s="1"/>
  <c r="T27" i="1" s="1"/>
  <c r="U27" i="1" s="1"/>
  <c r="V27" i="1" s="1"/>
  <c r="W27" i="1" s="1"/>
  <c r="X27" i="1" s="1"/>
  <c r="Y27" i="1" s="1"/>
  <c r="Z27" i="1" s="1"/>
  <c r="P26" i="1"/>
  <c r="Q26" i="1" s="1"/>
  <c r="R26" i="1" s="1"/>
  <c r="S26" i="1" s="1"/>
  <c r="T26" i="1" s="1"/>
  <c r="U26" i="1" s="1"/>
  <c r="V26" i="1" s="1"/>
  <c r="W26" i="1" s="1"/>
  <c r="X26" i="1" s="1"/>
  <c r="Y26" i="1" s="1"/>
  <c r="Z26" i="1" s="1"/>
  <c r="P25" i="1"/>
  <c r="Q25" i="1" s="1"/>
  <c r="R25" i="1" s="1"/>
  <c r="S25" i="1" s="1"/>
  <c r="T25" i="1" s="1"/>
  <c r="U25" i="1" s="1"/>
  <c r="V25" i="1" s="1"/>
  <c r="W25" i="1" s="1"/>
  <c r="X25" i="1" s="1"/>
  <c r="Y25" i="1" s="1"/>
  <c r="Z25" i="1" s="1"/>
  <c r="P15" i="1"/>
  <c r="Q15" i="1" s="1"/>
  <c r="R15" i="1" s="1"/>
  <c r="S15" i="1" s="1"/>
  <c r="T15" i="1" s="1"/>
  <c r="U15" i="1" s="1"/>
  <c r="V15" i="1" s="1"/>
  <c r="W15" i="1" s="1"/>
  <c r="X15" i="1" s="1"/>
  <c r="Y15" i="1" s="1"/>
  <c r="Z15" i="1" s="1"/>
  <c r="P24" i="1"/>
  <c r="Q24" i="1" s="1"/>
  <c r="R24" i="1" s="1"/>
  <c r="S24" i="1" s="1"/>
  <c r="T24" i="1" s="1"/>
  <c r="U24" i="1" s="1"/>
  <c r="V24" i="1" s="1"/>
  <c r="W24" i="1" s="1"/>
  <c r="X24" i="1" s="1"/>
  <c r="Y24" i="1" s="1"/>
  <c r="Z24" i="1" s="1"/>
  <c r="P23" i="1"/>
  <c r="Q23" i="1" s="1"/>
  <c r="R23" i="1" s="1"/>
  <c r="S23" i="1" s="1"/>
  <c r="T23" i="1" s="1"/>
  <c r="U23" i="1" s="1"/>
  <c r="V23" i="1" s="1"/>
  <c r="W23" i="1" s="1"/>
  <c r="X23" i="1" s="1"/>
  <c r="Y23" i="1" s="1"/>
  <c r="Z23" i="1" s="1"/>
  <c r="P22" i="1"/>
  <c r="Q22" i="1" s="1"/>
  <c r="R22" i="1" s="1"/>
  <c r="S22" i="1" s="1"/>
  <c r="T22" i="1" s="1"/>
  <c r="U22" i="1" s="1"/>
  <c r="V22" i="1" s="1"/>
  <c r="W22" i="1" s="1"/>
  <c r="X22" i="1" s="1"/>
  <c r="Y22" i="1" s="1"/>
  <c r="Z22" i="1" s="1"/>
  <c r="P103" i="1"/>
  <c r="Q103" i="1" s="1"/>
  <c r="R103" i="1" s="1"/>
  <c r="S103" i="1" s="1"/>
  <c r="T103" i="1" s="1"/>
  <c r="U103" i="1" s="1"/>
  <c r="V103" i="1" s="1"/>
  <c r="W103" i="1" s="1"/>
  <c r="X103" i="1" s="1"/>
  <c r="Y103" i="1" s="1"/>
  <c r="Z103" i="1" s="1"/>
  <c r="P21" i="1"/>
  <c r="Q21" i="1" s="1"/>
  <c r="R21" i="1" s="1"/>
  <c r="S21" i="1" s="1"/>
  <c r="T21" i="1" s="1"/>
  <c r="U21" i="1" s="1"/>
  <c r="V21" i="1" s="1"/>
  <c r="W21" i="1" s="1"/>
  <c r="X21" i="1" s="1"/>
  <c r="Y21" i="1" s="1"/>
  <c r="Z21" i="1" s="1"/>
  <c r="P19" i="1"/>
  <c r="Q19" i="1" s="1"/>
  <c r="R19" i="1" s="1"/>
  <c r="S19" i="1" s="1"/>
  <c r="T19" i="1" s="1"/>
  <c r="U19" i="1" s="1"/>
  <c r="V19" i="1" s="1"/>
  <c r="W19" i="1" s="1"/>
  <c r="X19" i="1" s="1"/>
  <c r="Y19" i="1" s="1"/>
  <c r="Z19" i="1" s="1"/>
  <c r="P18" i="1"/>
  <c r="Q18" i="1" s="1"/>
  <c r="R18" i="1" s="1"/>
  <c r="S18" i="1" s="1"/>
  <c r="T18" i="1" s="1"/>
  <c r="U18" i="1" s="1"/>
  <c r="V18" i="1" s="1"/>
  <c r="W18" i="1" s="1"/>
  <c r="X18" i="1" s="1"/>
  <c r="Y18" i="1" s="1"/>
  <c r="Z18" i="1" s="1"/>
  <c r="P17" i="1"/>
  <c r="Q17" i="1" s="1"/>
  <c r="R17" i="1" s="1"/>
  <c r="S17" i="1" s="1"/>
  <c r="T17" i="1" s="1"/>
  <c r="U17" i="1" s="1"/>
  <c r="V17" i="1" s="1"/>
  <c r="W17" i="1" s="1"/>
  <c r="X17" i="1" s="1"/>
  <c r="Y17" i="1" s="1"/>
  <c r="Z17" i="1" s="1"/>
  <c r="P16" i="1"/>
  <c r="Q16" i="1" s="1"/>
  <c r="R16" i="1" s="1"/>
  <c r="S16" i="1" s="1"/>
  <c r="T16" i="1" s="1"/>
  <c r="U16" i="1" s="1"/>
  <c r="V16" i="1" s="1"/>
  <c r="W16" i="1" s="1"/>
  <c r="X16" i="1" s="1"/>
  <c r="Y16" i="1" s="1"/>
  <c r="Z16" i="1" s="1"/>
  <c r="P14" i="1"/>
  <c r="Q14" i="1" s="1"/>
  <c r="R14" i="1" s="1"/>
  <c r="S14" i="1" s="1"/>
  <c r="T14" i="1" s="1"/>
  <c r="U14" i="1" s="1"/>
  <c r="V14" i="1" s="1"/>
  <c r="W14" i="1" s="1"/>
  <c r="X14" i="1" s="1"/>
  <c r="Y14" i="1" s="1"/>
  <c r="Z14" i="1" s="1"/>
  <c r="P13" i="1"/>
  <c r="Q13" i="1" s="1"/>
  <c r="R13" i="1" s="1"/>
  <c r="S13" i="1" s="1"/>
  <c r="T13" i="1" s="1"/>
  <c r="U13" i="1" s="1"/>
  <c r="V13" i="1" s="1"/>
  <c r="W13" i="1" s="1"/>
  <c r="X13" i="1" s="1"/>
  <c r="Y13" i="1" s="1"/>
  <c r="Z13" i="1" s="1"/>
  <c r="P12" i="1"/>
  <c r="Q12" i="1" s="1"/>
  <c r="R12" i="1" s="1"/>
  <c r="S12" i="1" s="1"/>
  <c r="T12" i="1" s="1"/>
  <c r="U12" i="1" s="1"/>
  <c r="V12" i="1" s="1"/>
  <c r="W12" i="1" s="1"/>
  <c r="X12" i="1" s="1"/>
  <c r="Y12" i="1" s="1"/>
  <c r="Z12" i="1" s="1"/>
  <c r="P9" i="1"/>
  <c r="Q9" i="1" s="1"/>
  <c r="R9" i="1" s="1"/>
  <c r="S9" i="1" s="1"/>
  <c r="T9" i="1" s="1"/>
  <c r="U9" i="1" s="1"/>
  <c r="V9" i="1" s="1"/>
  <c r="W9" i="1" s="1"/>
  <c r="X9" i="1" s="1"/>
  <c r="Y9" i="1" s="1"/>
  <c r="Z9" i="1" s="1"/>
  <c r="P6" i="1"/>
  <c r="Q6" i="1" s="1"/>
  <c r="R6" i="1" s="1"/>
  <c r="S6" i="1" s="1"/>
  <c r="T6" i="1" s="1"/>
  <c r="U6" i="1" s="1"/>
  <c r="V6" i="1" s="1"/>
  <c r="W6" i="1" s="1"/>
  <c r="X6" i="1" s="1"/>
  <c r="Y6" i="1" s="1"/>
  <c r="Z6" i="1" s="1"/>
  <c r="P5" i="1"/>
  <c r="Q5" i="1" s="1"/>
  <c r="R5" i="1" s="1"/>
  <c r="S5" i="1" s="1"/>
  <c r="T5" i="1" s="1"/>
  <c r="U5" i="1" s="1"/>
  <c r="V5" i="1" s="1"/>
  <c r="W5" i="1" s="1"/>
  <c r="X5" i="1" s="1"/>
  <c r="Y5" i="1" s="1"/>
  <c r="Z5" i="1" s="1"/>
  <c r="P66" i="1"/>
  <c r="Q66" i="1" s="1"/>
  <c r="R66" i="1" s="1"/>
  <c r="S66" i="1" s="1"/>
  <c r="T66" i="1" s="1"/>
  <c r="U66" i="1" s="1"/>
  <c r="V66" i="1" s="1"/>
  <c r="W66" i="1" s="1"/>
  <c r="X66" i="1" s="1"/>
  <c r="Y66" i="1" s="1"/>
  <c r="Z66" i="1" s="1"/>
  <c r="P51" i="1"/>
  <c r="Q51" i="1" s="1"/>
  <c r="R51" i="1" s="1"/>
  <c r="S51" i="1" s="1"/>
  <c r="T51" i="1" s="1"/>
  <c r="U51" i="1" s="1"/>
  <c r="V51" i="1" s="1"/>
  <c r="W51" i="1" s="1"/>
  <c r="X51" i="1" s="1"/>
  <c r="Y51" i="1" s="1"/>
  <c r="Z51" i="1" s="1"/>
  <c r="P29" i="1"/>
  <c r="Q29" i="1" s="1"/>
  <c r="R29" i="1" s="1"/>
  <c r="S29" i="1" s="1"/>
  <c r="T29" i="1" s="1"/>
  <c r="U29" i="1" s="1"/>
  <c r="V29" i="1" s="1"/>
  <c r="W29" i="1" s="1"/>
  <c r="X29" i="1" s="1"/>
  <c r="Y29" i="1" s="1"/>
  <c r="Z29" i="1" s="1"/>
  <c r="P91" i="1"/>
  <c r="Q91" i="1" s="1"/>
  <c r="R91" i="1" s="1"/>
  <c r="S91" i="1" s="1"/>
  <c r="T91" i="1" s="1"/>
  <c r="U91" i="1" s="1"/>
  <c r="V91" i="1" s="1"/>
  <c r="W91" i="1" s="1"/>
  <c r="X91" i="1" s="1"/>
  <c r="Y91" i="1" s="1"/>
  <c r="Z91" i="1" s="1"/>
  <c r="P54" i="1"/>
  <c r="Q54" i="1" s="1"/>
  <c r="R54" i="1" s="1"/>
  <c r="S54" i="1" s="1"/>
  <c r="T54" i="1" s="1"/>
  <c r="U54" i="1" s="1"/>
  <c r="V54" i="1" s="1"/>
  <c r="W54" i="1" s="1"/>
  <c r="X54" i="1" s="1"/>
  <c r="Y54" i="1" s="1"/>
  <c r="Z54" i="1" s="1"/>
  <c r="P94" i="1"/>
  <c r="Q94" i="1" s="1"/>
  <c r="R94" i="1" s="1"/>
  <c r="S94" i="1" s="1"/>
  <c r="T94" i="1" s="1"/>
  <c r="U94" i="1" s="1"/>
  <c r="V94" i="1" s="1"/>
  <c r="W94" i="1" s="1"/>
  <c r="X94" i="1" s="1"/>
  <c r="Y94" i="1" s="1"/>
  <c r="Z94" i="1" s="1"/>
  <c r="P95" i="1"/>
  <c r="Q95" i="1" s="1"/>
  <c r="R95" i="1" s="1"/>
  <c r="S95" i="1" s="1"/>
  <c r="T95" i="1" s="1"/>
  <c r="U95" i="1" s="1"/>
  <c r="V95" i="1" s="1"/>
  <c r="W95" i="1" s="1"/>
  <c r="X95" i="1" s="1"/>
  <c r="Y95" i="1" s="1"/>
  <c r="Z95" i="1" s="1"/>
  <c r="P102" i="1"/>
  <c r="Q102" i="1" s="1"/>
  <c r="R102" i="1" s="1"/>
  <c r="S102" i="1" s="1"/>
  <c r="T102" i="1" s="1"/>
  <c r="U102" i="1" s="1"/>
  <c r="V102" i="1" s="1"/>
  <c r="W102" i="1" s="1"/>
  <c r="X102" i="1" s="1"/>
  <c r="Y102" i="1" s="1"/>
  <c r="Z102" i="1" s="1"/>
  <c r="P81" i="1"/>
  <c r="Q81" i="1" s="1"/>
  <c r="R81" i="1" s="1"/>
  <c r="S81" i="1" s="1"/>
  <c r="T81" i="1" s="1"/>
  <c r="U81" i="1" s="1"/>
  <c r="V81" i="1" s="1"/>
  <c r="W81" i="1" s="1"/>
  <c r="X81" i="1" s="1"/>
  <c r="Y81" i="1" s="1"/>
  <c r="Z81" i="1" s="1"/>
  <c r="P101" i="1"/>
  <c r="Q101" i="1" s="1"/>
  <c r="R101" i="1" s="1"/>
  <c r="S101" i="1" s="1"/>
  <c r="T101" i="1" s="1"/>
  <c r="U101" i="1" s="1"/>
  <c r="V101" i="1" s="1"/>
  <c r="W101" i="1" s="1"/>
  <c r="X101" i="1" s="1"/>
  <c r="Y101" i="1" s="1"/>
  <c r="Z101" i="1" s="1"/>
  <c r="Z75" i="5" l="1" a="1"/>
  <c r="Z75" i="5" s="1"/>
  <c r="Z83" i="5" a="1"/>
  <c r="Z83" i="5" s="1"/>
  <c r="Z74" i="5" a="1"/>
  <c r="Z74" i="5" s="1"/>
  <c r="Z66" i="5" a="1"/>
  <c r="Z66" i="5" s="1"/>
  <c r="Z58" i="5" a="1"/>
  <c r="Z58" i="5" s="1"/>
  <c r="Z49" i="5" a="1"/>
  <c r="Z49" i="5" s="1"/>
  <c r="Z38" i="5" a="1"/>
  <c r="Z38" i="5" s="1"/>
  <c r="Z30" i="5" a="1"/>
  <c r="Z30" i="5" s="1"/>
  <c r="Z22" i="5" a="1"/>
  <c r="Z22" i="5" s="1"/>
  <c r="Z14" i="5" a="1"/>
  <c r="Z14" i="5" s="1"/>
  <c r="Z7" i="5" a="1"/>
  <c r="Z7" i="5" s="1"/>
  <c r="Z85" i="5" a="1"/>
  <c r="Z85" i="5" s="1"/>
  <c r="Z59" i="5" a="1"/>
  <c r="Z59" i="5" s="1"/>
  <c r="Z23" i="5" a="1"/>
  <c r="Z23" i="5" s="1"/>
  <c r="Z67" i="5" a="1"/>
  <c r="Z67" i="5" s="1"/>
  <c r="Z31" i="5" a="1"/>
  <c r="Z31" i="5" s="1"/>
  <c r="Z39" i="5" a="1"/>
  <c r="Z39" i="5" s="1"/>
  <c r="Z70" i="5" a="1"/>
  <c r="Z70" i="5" s="1"/>
  <c r="Z62" i="5" a="1"/>
  <c r="Z62" i="5" s="1"/>
  <c r="Z53" i="5" a="1"/>
  <c r="Z53" i="5" s="1"/>
  <c r="Z44" i="5" a="1"/>
  <c r="Z44" i="5" s="1"/>
  <c r="Z34" i="5" a="1"/>
  <c r="Z34" i="5" s="1"/>
  <c r="Z26" i="5" a="1"/>
  <c r="Z26" i="5" s="1"/>
  <c r="Z18" i="5" a="1"/>
  <c r="Z18" i="5" s="1"/>
  <c r="Z10" i="5" a="1"/>
  <c r="Z10" i="5" s="1"/>
  <c r="Z290" i="5" a="1"/>
  <c r="Z290" i="5" s="1"/>
  <c r="Z50" i="5" a="1"/>
  <c r="Z50" i="5" s="1"/>
  <c r="Z15" i="5" a="1"/>
  <c r="Z15" i="5" s="1"/>
  <c r="Z87" i="5" a="1"/>
  <c r="Z87" i="5" s="1"/>
  <c r="Z77" i="5" a="1"/>
  <c r="Z77" i="5" s="1"/>
  <c r="Z69" i="5" a="1"/>
  <c r="Z69" i="5" s="1"/>
  <c r="Z61" i="5" a="1"/>
  <c r="Z61" i="5" s="1"/>
  <c r="Z52" i="5" a="1"/>
  <c r="Z52" i="5" s="1"/>
  <c r="Z43" i="5" a="1"/>
  <c r="Z43" i="5" s="1"/>
  <c r="Z33" i="5" a="1"/>
  <c r="Z33" i="5" s="1"/>
  <c r="Z25" i="5" a="1"/>
  <c r="Z25" i="5" s="1"/>
  <c r="Z17" i="5" a="1"/>
  <c r="Z17" i="5" s="1"/>
  <c r="Z9" i="5" a="1"/>
  <c r="Z9" i="5" s="1"/>
  <c r="Z86" i="5" a="1"/>
  <c r="Z86" i="5" s="1"/>
  <c r="Z76" i="5" a="1"/>
  <c r="Z76" i="5" s="1"/>
  <c r="Z68" i="5" a="1"/>
  <c r="Z68" i="5" s="1"/>
  <c r="Z60" i="5" a="1"/>
  <c r="Z60" i="5" s="1"/>
  <c r="Z51" i="5" a="1"/>
  <c r="Z51" i="5" s="1"/>
  <c r="Z42" i="5" a="1"/>
  <c r="Z42" i="5" s="1"/>
  <c r="Z32" i="5" a="1"/>
  <c r="Z32" i="5" s="1"/>
  <c r="Z24" i="5" a="1"/>
  <c r="Z24" i="5" s="1"/>
  <c r="Z16" i="5" a="1"/>
  <c r="Z16" i="5" s="1"/>
  <c r="Z8" i="5" a="1"/>
  <c r="Z8" i="5" s="1"/>
  <c r="Y275" i="5" a="1"/>
  <c r="Y275" i="5" s="1"/>
  <c r="Y194" i="5" a="1"/>
  <c r="Y194" i="5" s="1"/>
  <c r="Y193" i="5" a="1"/>
  <c r="Y193" i="5" s="1"/>
  <c r="Y155" i="5" a="1"/>
  <c r="Y155" i="5" s="1"/>
  <c r="Y123" i="5" a="1"/>
  <c r="Y123" i="5" s="1"/>
  <c r="Y115" i="5" a="1"/>
  <c r="Y115" i="5" s="1"/>
  <c r="Y107" i="5" a="1"/>
  <c r="Y107" i="5" s="1"/>
  <c r="Y99" i="5" a="1"/>
  <c r="Y99" i="5" s="1"/>
  <c r="Y243" i="5" a="1"/>
  <c r="Y243" i="5" s="1"/>
  <c r="Y221" i="5" a="1"/>
  <c r="Y221" i="5" s="1"/>
  <c r="Y201" i="5" a="1"/>
  <c r="Y201" i="5" s="1"/>
  <c r="Y142" i="5" a="1"/>
  <c r="Y142" i="5" s="1"/>
  <c r="Y257" i="5" a="1"/>
  <c r="Y257" i="5" s="1"/>
  <c r="Y250" i="5" a="1"/>
  <c r="Y250" i="5" s="1"/>
  <c r="Y241" i="5" a="1"/>
  <c r="Y241" i="5" s="1"/>
  <c r="Y228" i="5" a="1"/>
  <c r="Y228" i="5" s="1"/>
  <c r="Y219" i="5" a="1"/>
  <c r="Y219" i="5" s="1"/>
  <c r="Y212" i="5" a="1"/>
  <c r="Y212" i="5" s="1"/>
  <c r="Y200" i="5" a="1"/>
  <c r="Y200" i="5" s="1"/>
  <c r="Y192" i="5" a="1"/>
  <c r="Y192" i="5" s="1"/>
  <c r="Y183" i="5" a="1"/>
  <c r="Y183" i="5" s="1"/>
  <c r="Y175" i="5" a="1"/>
  <c r="Y175" i="5" s="1"/>
  <c r="Y160" i="5" a="1"/>
  <c r="Y160" i="5" s="1"/>
  <c r="Y154" i="5" a="1"/>
  <c r="Y154" i="5" s="1"/>
  <c r="Y148" i="5" a="1"/>
  <c r="Y148" i="5" s="1"/>
  <c r="Y141" i="5" a="1"/>
  <c r="Y141" i="5" s="1"/>
  <c r="Y132" i="5" a="1"/>
  <c r="Y132" i="5" s="1"/>
  <c r="Y122" i="5" a="1"/>
  <c r="Y122" i="5" s="1"/>
  <c r="Y114" i="5" a="1"/>
  <c r="Y114" i="5" s="1"/>
  <c r="Y106" i="5" a="1"/>
  <c r="Y106" i="5" s="1"/>
  <c r="Y98" i="5" a="1"/>
  <c r="Y98" i="5" s="1"/>
  <c r="Y191" i="5" a="1"/>
  <c r="Y191" i="5" s="1"/>
  <c r="Y159" i="5" a="1"/>
  <c r="Y159" i="5" s="1"/>
  <c r="Y153" i="5" a="1"/>
  <c r="Y153" i="5" s="1"/>
  <c r="Y147" i="5" a="1"/>
  <c r="Y147" i="5" s="1"/>
  <c r="Y140" i="5" a="1"/>
  <c r="Y140" i="5" s="1"/>
  <c r="Y131" i="5" a="1"/>
  <c r="Y131" i="5" s="1"/>
  <c r="Y121" i="5" a="1"/>
  <c r="Y121" i="5" s="1"/>
  <c r="Y113" i="5" a="1"/>
  <c r="Y113" i="5" s="1"/>
  <c r="Y105" i="5" a="1"/>
  <c r="Y105" i="5" s="1"/>
  <c r="Y97" i="5" a="1"/>
  <c r="Y97" i="5" s="1"/>
  <c r="Y267" i="5" a="1"/>
  <c r="Y267" i="5" s="1"/>
  <c r="Y203" i="5" a="1"/>
  <c r="Y203" i="5" s="1"/>
  <c r="Y184" i="5" a="1"/>
  <c r="Y184" i="5" s="1"/>
  <c r="Y273" i="5" a="1"/>
  <c r="Y273" i="5" s="1"/>
  <c r="Y272" i="5" a="1"/>
  <c r="Y272" i="5" s="1"/>
  <c r="Y249" i="5" a="1"/>
  <c r="Y249" i="5" s="1"/>
  <c r="Y209" i="5" a="1"/>
  <c r="Y209" i="5" s="1"/>
  <c r="Y271" i="5" a="1"/>
  <c r="Y271" i="5" s="1"/>
  <c r="Y236" i="5" a="1"/>
  <c r="Y236" i="5" s="1"/>
  <c r="Y208" i="5" a="1"/>
  <c r="Y208" i="5" s="1"/>
  <c r="Y173" i="5" a="1"/>
  <c r="Y173" i="5" s="1"/>
  <c r="Y139" i="5" a="1"/>
  <c r="Y139" i="5" s="1"/>
  <c r="Y112" i="5" a="1"/>
  <c r="Y112" i="5" s="1"/>
  <c r="Y104" i="5" a="1"/>
  <c r="Y104" i="5" s="1"/>
  <c r="Y96" i="5" a="1"/>
  <c r="Y96" i="5" s="1"/>
  <c r="Y232" i="5" a="1"/>
  <c r="Y232" i="5" s="1"/>
  <c r="Y214" i="5" a="1"/>
  <c r="Y214" i="5" s="1"/>
  <c r="Y168" i="5" a="1"/>
  <c r="Y168" i="5" s="1"/>
  <c r="Y265" i="5" a="1"/>
  <c r="Y265" i="5" s="1"/>
  <c r="Y256" i="5" a="1"/>
  <c r="Y256" i="5" s="1"/>
  <c r="Y218" i="5" a="1"/>
  <c r="Y218" i="5" s="1"/>
  <c r="Y182" i="5" a="1"/>
  <c r="Y182" i="5" s="1"/>
  <c r="Y263" i="5" a="1"/>
  <c r="Y263" i="5" s="1"/>
  <c r="Y226" i="5" a="1"/>
  <c r="Y226" i="5" s="1"/>
  <c r="Y190" i="5" a="1"/>
  <c r="Y190" i="5" s="1"/>
  <c r="Y146" i="5" a="1"/>
  <c r="Y146" i="5" s="1"/>
  <c r="Y277" i="5" a="1"/>
  <c r="Y277" i="5" s="1"/>
  <c r="Y262" i="5" a="1"/>
  <c r="Y262" i="5" s="1"/>
  <c r="Y235" i="5" a="1"/>
  <c r="Y235" i="5" s="1"/>
  <c r="Y217" i="5" a="1"/>
  <c r="Y217" i="5" s="1"/>
  <c r="Y197" i="5" a="1"/>
  <c r="Y197" i="5" s="1"/>
  <c r="Y172" i="5" a="1"/>
  <c r="Y172" i="5" s="1"/>
  <c r="Y152" i="5" a="1"/>
  <c r="Y152" i="5" s="1"/>
  <c r="Y119" i="5" a="1"/>
  <c r="Y119" i="5" s="1"/>
  <c r="Y81" i="5" a="1"/>
  <c r="Y81" i="5" s="1"/>
  <c r="Y65" i="5" a="1"/>
  <c r="Y65" i="5" s="1"/>
  <c r="Y37" i="5" a="1"/>
  <c r="Y37" i="5" s="1"/>
  <c r="Y21" i="5" a="1"/>
  <c r="Y21" i="5" s="1"/>
  <c r="Y6" i="5" a="1"/>
  <c r="Y6" i="5" s="1"/>
  <c r="Y252" i="5" a="1"/>
  <c r="Y252" i="5" s="1"/>
  <c r="Y185" i="5" a="1"/>
  <c r="Y185" i="5" s="1"/>
  <c r="Y213" i="5" a="1"/>
  <c r="Y213" i="5" s="1"/>
  <c r="Y149" i="5" a="1"/>
  <c r="Y149" i="5" s="1"/>
  <c r="Y240" i="5" a="1"/>
  <c r="Y240" i="5" s="1"/>
  <c r="Y199" i="5" a="1"/>
  <c r="Y199" i="5" s="1"/>
  <c r="Y255" i="5" a="1"/>
  <c r="Y255" i="5" s="1"/>
  <c r="Y181" i="5" a="1"/>
  <c r="Y181" i="5" s="1"/>
  <c r="Y120" i="5" a="1"/>
  <c r="Y120" i="5" s="1"/>
  <c r="Y270" i="5" a="1"/>
  <c r="Y270" i="5" s="1"/>
  <c r="Y246" i="5" a="1"/>
  <c r="Y246" i="5" s="1"/>
  <c r="Y225" i="5" a="1"/>
  <c r="Y225" i="5" s="1"/>
  <c r="Y206" i="5" a="1"/>
  <c r="Y206" i="5" s="1"/>
  <c r="Y180" i="5" a="1"/>
  <c r="Y180" i="5" s="1"/>
  <c r="Y157" i="5" a="1"/>
  <c r="Y157" i="5" s="1"/>
  <c r="Y129" i="5" a="1"/>
  <c r="Y129" i="5" s="1"/>
  <c r="Y111" i="5" a="1"/>
  <c r="Y111" i="5" s="1"/>
  <c r="Y73" i="5" a="1"/>
  <c r="Y73" i="5" s="1"/>
  <c r="Y56" i="5" a="1"/>
  <c r="Y56" i="5" s="1"/>
  <c r="Y29" i="5" a="1"/>
  <c r="Y29" i="5" s="1"/>
  <c r="Y259" i="5" a="1"/>
  <c r="Y259" i="5" s="1"/>
  <c r="Y177" i="5" a="1"/>
  <c r="Y177" i="5" s="1"/>
  <c r="Y176" i="5" a="1"/>
  <c r="Y176" i="5" s="1"/>
  <c r="Y133" i="5" a="1"/>
  <c r="Y133" i="5" s="1"/>
  <c r="Y264" i="5" a="1"/>
  <c r="Y264" i="5" s="1"/>
  <c r="Y227" i="5" a="1"/>
  <c r="Y227" i="5" s="1"/>
  <c r="Y174" i="5" a="1"/>
  <c r="Y174" i="5" s="1"/>
  <c r="Y248" i="5" a="1"/>
  <c r="Y248" i="5" s="1"/>
  <c r="Y198" i="5" a="1"/>
  <c r="Y198" i="5" s="1"/>
  <c r="Y158" i="5" a="1"/>
  <c r="Y158" i="5" s="1"/>
  <c r="Y130" i="5" a="1"/>
  <c r="Y130" i="5" s="1"/>
  <c r="Y254" i="5" a="1"/>
  <c r="Y254" i="5" s="1"/>
  <c r="Y276" i="5" a="1"/>
  <c r="Y276" i="5" s="1"/>
  <c r="Y268" i="5" a="1"/>
  <c r="Y268" i="5" s="1"/>
  <c r="Y260" i="5" a="1"/>
  <c r="Y260" i="5" s="1"/>
  <c r="Y169" i="5" a="1"/>
  <c r="Y169" i="5" s="1"/>
  <c r="Y150" i="5" a="1"/>
  <c r="Y150" i="5" s="1"/>
  <c r="Y135" i="5" a="1"/>
  <c r="Y135" i="5" s="1"/>
  <c r="Y127" i="5" a="1"/>
  <c r="Y127" i="5" s="1"/>
  <c r="Y116" i="5" a="1"/>
  <c r="Y116" i="5" s="1"/>
  <c r="Y108" i="5" a="1"/>
  <c r="Y108" i="5" s="1"/>
  <c r="Y100" i="5" a="1"/>
  <c r="Y100" i="5" s="1"/>
  <c r="Y88" i="5" a="1"/>
  <c r="Y88" i="5" s="1"/>
  <c r="Y78" i="5" a="1"/>
  <c r="Y78" i="5" s="1"/>
  <c r="U258" i="5" a="1"/>
  <c r="U258" i="5" s="1"/>
  <c r="U251" i="5" a="1"/>
  <c r="U251" i="5" s="1"/>
  <c r="U231" i="5" a="1"/>
  <c r="U231" i="5" s="1"/>
  <c r="U220" i="5" a="1"/>
  <c r="U220" i="5" s="1"/>
  <c r="U189" i="5" a="1"/>
  <c r="U189" i="5" s="1"/>
  <c r="U145" i="5" a="1"/>
  <c r="U145" i="5" s="1"/>
  <c r="U138" i="5" a="1"/>
  <c r="U138" i="5" s="1"/>
  <c r="U266" i="5" a="1"/>
  <c r="U266" i="5" s="1"/>
  <c r="U242" i="5" a="1"/>
  <c r="U242" i="5" s="1"/>
  <c r="U269" i="5" a="1"/>
  <c r="U269" i="5" s="1"/>
  <c r="U261" i="5" a="1"/>
  <c r="U261" i="5" s="1"/>
  <c r="U245" i="5" a="1"/>
  <c r="U245" i="5" s="1"/>
  <c r="U223" i="5" a="1"/>
  <c r="U223" i="5" s="1"/>
  <c r="U216" i="5" a="1"/>
  <c r="U216" i="5" s="1"/>
  <c r="U205" i="5" a="1"/>
  <c r="U205" i="5" s="1"/>
  <c r="U196" i="5" a="1"/>
  <c r="U196" i="5" s="1"/>
  <c r="U274" i="5" a="1"/>
  <c r="U274" i="5" s="1"/>
  <c r="U253" i="5" a="1"/>
  <c r="U253" i="5" s="1"/>
  <c r="U244" i="5" a="1"/>
  <c r="U244" i="5" s="1"/>
  <c r="U222" i="5" a="1"/>
  <c r="U222" i="5" s="1"/>
  <c r="U215" i="5" a="1"/>
  <c r="U215" i="5" s="1"/>
  <c r="U204" i="5" a="1"/>
  <c r="U204" i="5" s="1"/>
  <c r="U195" i="5" a="1"/>
  <c r="U195" i="5" s="1"/>
  <c r="U186" i="5" a="1"/>
  <c r="U186" i="5" s="1"/>
  <c r="U178" i="5" a="1"/>
  <c r="U178" i="5" s="1"/>
  <c r="U103" i="5" a="1"/>
  <c r="U103" i="5" s="1"/>
  <c r="U92" i="5" a="1"/>
  <c r="U92" i="5" s="1"/>
  <c r="U48" i="5" a="1"/>
  <c r="U48" i="5" s="1"/>
  <c r="U13" i="5" a="1"/>
  <c r="U13" i="5" s="1"/>
  <c r="U188" i="5" a="1"/>
  <c r="U188" i="5" s="1"/>
  <c r="U179" i="5" a="1"/>
  <c r="U179" i="5" s="1"/>
  <c r="V179" i="5" s="1" a="1"/>
  <c r="V179" i="5" s="1"/>
  <c r="U171" i="5" a="1"/>
  <c r="U171" i="5" s="1"/>
  <c r="U156" i="5" a="1"/>
  <c r="U156" i="5" s="1"/>
  <c r="U144" i="5" a="1"/>
  <c r="U144" i="5" s="1"/>
  <c r="U137" i="5" a="1"/>
  <c r="U137" i="5" s="1"/>
  <c r="U128" i="5" a="1"/>
  <c r="U128" i="5" s="1"/>
  <c r="U118" i="5" a="1"/>
  <c r="U118" i="5" s="1"/>
  <c r="U110" i="5" a="1"/>
  <c r="U110" i="5" s="1"/>
  <c r="V110" i="5" s="1" a="1"/>
  <c r="V110" i="5" s="1"/>
  <c r="U102" i="5" a="1"/>
  <c r="U102" i="5" s="1"/>
  <c r="U90" i="5" a="1"/>
  <c r="U90" i="5" s="1"/>
  <c r="U80" i="5" a="1"/>
  <c r="U80" i="5" s="1"/>
  <c r="U72" i="5" a="1"/>
  <c r="U72" i="5" s="1"/>
  <c r="U64" i="5" a="1"/>
  <c r="U64" i="5" s="1"/>
  <c r="U55" i="5" a="1"/>
  <c r="U55" i="5" s="1"/>
  <c r="U47" i="5" a="1"/>
  <c r="U47" i="5" s="1"/>
  <c r="U36" i="5" a="1"/>
  <c r="U36" i="5" s="1"/>
  <c r="V36" i="5" s="1" a="1"/>
  <c r="V36" i="5" s="1"/>
  <c r="U28" i="5" a="1"/>
  <c r="U28" i="5" s="1"/>
  <c r="U20" i="5" a="1"/>
  <c r="U20" i="5" s="1"/>
  <c r="U12" i="5" a="1"/>
  <c r="U12" i="5" s="1"/>
  <c r="U5" i="5" a="1"/>
  <c r="U5" i="5" s="1"/>
  <c r="U170" i="5" a="1"/>
  <c r="U170" i="5" s="1"/>
  <c r="U151" i="5" a="1"/>
  <c r="U151" i="5" s="1"/>
  <c r="U143" i="5" a="1"/>
  <c r="U143" i="5" s="1"/>
  <c r="V143" i="5" s="1" a="1"/>
  <c r="V143" i="5" s="1"/>
  <c r="U136" i="5" a="1"/>
  <c r="U136" i="5" s="1"/>
  <c r="U117" i="5" a="1"/>
  <c r="U117" i="5" s="1"/>
  <c r="U109" i="5" a="1"/>
  <c r="U109" i="5" s="1"/>
  <c r="V109" i="5" s="1" a="1"/>
  <c r="V109" i="5" s="1"/>
  <c r="W109" i="5" s="1" a="1"/>
  <c r="W109" i="5" s="1"/>
  <c r="U101" i="5" a="1"/>
  <c r="U101" i="5" s="1"/>
  <c r="U89" i="5" a="1"/>
  <c r="U89" i="5" s="1"/>
  <c r="V89" i="5" s="1" a="1"/>
  <c r="V89" i="5" s="1"/>
  <c r="U79" i="5" a="1"/>
  <c r="U79" i="5" s="1"/>
  <c r="U71" i="5" a="1"/>
  <c r="U71" i="5" s="1"/>
  <c r="V71" i="5" s="1" a="1"/>
  <c r="V71" i="5" s="1"/>
  <c r="U63" i="5" a="1"/>
  <c r="U63" i="5" s="1"/>
  <c r="U54" i="5" a="1"/>
  <c r="U54" i="5" s="1"/>
  <c r="V54" i="5" s="1" a="1"/>
  <c r="V54" i="5" s="1"/>
  <c r="U45" i="5" a="1"/>
  <c r="U45" i="5" s="1"/>
  <c r="U35" i="5" a="1"/>
  <c r="U35" i="5" s="1"/>
  <c r="V35" i="5" s="1" a="1"/>
  <c r="V35" i="5" s="1"/>
  <c r="U27" i="5" a="1"/>
  <c r="U27" i="5" s="1"/>
  <c r="U19" i="5" a="1"/>
  <c r="U19" i="5" s="1"/>
  <c r="V19" i="5" s="1" a="1"/>
  <c r="V19" i="5" s="1"/>
  <c r="U11" i="5" a="1"/>
  <c r="U11" i="5" s="1"/>
  <c r="V4" i="5" a="1"/>
  <c r="V4" i="5" s="1"/>
  <c r="AA16" i="5" l="1" a="1"/>
  <c r="AA16" i="5" s="1"/>
  <c r="AB16" i="5" s="1"/>
  <c r="AC16" i="5" s="1"/>
  <c r="AA86" i="5" a="1"/>
  <c r="AA86" i="5" s="1"/>
  <c r="AB86" i="5" s="1"/>
  <c r="AC86" i="5" s="1"/>
  <c r="AA69" i="5" a="1"/>
  <c r="AA69" i="5" s="1"/>
  <c r="AB69" i="5" s="1"/>
  <c r="AC69" i="5" s="1"/>
  <c r="AA26" i="5" a="1"/>
  <c r="AA26" i="5" s="1"/>
  <c r="AB26" i="5" s="1"/>
  <c r="AC26" i="5" s="1"/>
  <c r="AA31" i="5" a="1"/>
  <c r="AA31" i="5" s="1"/>
  <c r="AB31" i="5" s="1"/>
  <c r="AA30" i="5" a="1"/>
  <c r="AA30" i="5" s="1"/>
  <c r="AB30" i="5" s="1"/>
  <c r="AC30" i="5" s="1"/>
  <c r="AA24" i="5" a="1"/>
  <c r="AA24" i="5" s="1"/>
  <c r="AB24" i="5" s="1"/>
  <c r="AC24" i="5" s="1"/>
  <c r="AA9" i="5" a="1"/>
  <c r="AA9" i="5" s="1"/>
  <c r="AB9" i="5" s="1"/>
  <c r="AC9" i="5" s="1"/>
  <c r="AA77" i="5" a="1"/>
  <c r="AA77" i="5" s="1"/>
  <c r="AB77" i="5" s="1"/>
  <c r="AA34" i="5" a="1"/>
  <c r="AA34" i="5" s="1"/>
  <c r="AB34" i="5" s="1"/>
  <c r="AC34" i="5" s="1"/>
  <c r="AA67" i="5" a="1"/>
  <c r="AA67" i="5" s="1"/>
  <c r="AB67" i="5" s="1"/>
  <c r="AC67" i="5" s="1"/>
  <c r="AA38" i="5" a="1"/>
  <c r="AA38" i="5" s="1"/>
  <c r="AB38" i="5" s="1"/>
  <c r="AC38" i="5" s="1"/>
  <c r="AA32" i="5" a="1"/>
  <c r="AA32" i="5" s="1"/>
  <c r="AB32" i="5" s="1"/>
  <c r="AC32" i="5" s="1"/>
  <c r="AA17" i="5" a="1"/>
  <c r="AA17" i="5" s="1"/>
  <c r="AB17" i="5" s="1"/>
  <c r="AC17" i="5" s="1"/>
  <c r="AA87" i="5" a="1"/>
  <c r="AA87" i="5" s="1"/>
  <c r="AB87" i="5" s="1"/>
  <c r="AC87" i="5" s="1"/>
  <c r="AA44" i="5" a="1"/>
  <c r="AA44" i="5" s="1"/>
  <c r="AB44" i="5" s="1"/>
  <c r="AC44" i="5" s="1"/>
  <c r="AA23" i="5" a="1"/>
  <c r="AA23" i="5" s="1"/>
  <c r="AB23" i="5" s="1"/>
  <c r="AC23" i="5" s="1"/>
  <c r="AA49" i="5" a="1"/>
  <c r="AA49" i="5" s="1"/>
  <c r="AB49" i="5" s="1"/>
  <c r="AA42" i="5" a="1"/>
  <c r="AA42" i="5" s="1"/>
  <c r="AB42" i="5" s="1"/>
  <c r="AC42" i="5" s="1"/>
  <c r="AA25" i="5" a="1"/>
  <c r="AA25" i="5" s="1"/>
  <c r="AB25" i="5" s="1"/>
  <c r="AC25" i="5" s="1"/>
  <c r="AA15" i="5" a="1"/>
  <c r="AA15" i="5" s="1"/>
  <c r="AB15" i="5" s="1"/>
  <c r="AA53" i="5" a="1"/>
  <c r="AA53" i="5" s="1"/>
  <c r="AB53" i="5" s="1"/>
  <c r="AC53" i="5" s="1"/>
  <c r="AA59" i="5" a="1"/>
  <c r="AA59" i="5" s="1"/>
  <c r="AB59" i="5" s="1"/>
  <c r="AC59" i="5" s="1"/>
  <c r="AA58" i="5" a="1"/>
  <c r="AA58" i="5" s="1"/>
  <c r="AB58" i="5" s="1"/>
  <c r="AC58" i="5" s="1"/>
  <c r="AA51" i="5" a="1"/>
  <c r="AA51" i="5" s="1"/>
  <c r="AB51" i="5" s="1"/>
  <c r="AA33" i="5" a="1"/>
  <c r="AA33" i="5" s="1"/>
  <c r="AB33" i="5" s="1"/>
  <c r="AC33" i="5" s="1"/>
  <c r="AA50" i="5" a="1"/>
  <c r="AA50" i="5" s="1"/>
  <c r="AB50" i="5" s="1"/>
  <c r="AC50" i="5" s="1"/>
  <c r="AA62" i="5" a="1"/>
  <c r="AA62" i="5" s="1"/>
  <c r="AB62" i="5" s="1"/>
  <c r="AC62" i="5" s="1"/>
  <c r="AA85" i="5" a="1"/>
  <c r="AA85" i="5" s="1"/>
  <c r="AB85" i="5" s="1"/>
  <c r="AC85" i="5" s="1"/>
  <c r="AA66" i="5" a="1"/>
  <c r="AA66" i="5" s="1"/>
  <c r="AB66" i="5" s="1"/>
  <c r="AC66" i="5" s="1"/>
  <c r="AA60" i="5" a="1"/>
  <c r="AA60" i="5" s="1"/>
  <c r="AB60" i="5" s="1"/>
  <c r="AA43" i="5" a="1"/>
  <c r="AA43" i="5" s="1"/>
  <c r="AB43" i="5" s="1"/>
  <c r="AC43" i="5" s="1"/>
  <c r="AA290" i="5" a="1"/>
  <c r="AA290" i="5" s="1"/>
  <c r="AB290" i="5" s="1"/>
  <c r="AA70" i="5" a="1"/>
  <c r="AA70" i="5" s="1"/>
  <c r="AB70" i="5" s="1"/>
  <c r="AA7" i="5" a="1"/>
  <c r="AA7" i="5" s="1"/>
  <c r="AB7" i="5" s="1"/>
  <c r="AA74" i="5" a="1"/>
  <c r="AA74" i="5" s="1"/>
  <c r="AB74" i="5" s="1"/>
  <c r="AC74" i="5" s="1"/>
  <c r="AA68" i="5" a="1"/>
  <c r="AA68" i="5" s="1"/>
  <c r="AB68" i="5" s="1"/>
  <c r="AC68" i="5" s="1"/>
  <c r="AA52" i="5" a="1"/>
  <c r="AA52" i="5" s="1"/>
  <c r="AB52" i="5" s="1"/>
  <c r="AA10" i="5" a="1"/>
  <c r="AA10" i="5" s="1"/>
  <c r="AB10" i="5" s="1"/>
  <c r="AC10" i="5" s="1"/>
  <c r="AA39" i="5" a="1"/>
  <c r="AA39" i="5" s="1"/>
  <c r="AB39" i="5" s="1"/>
  <c r="AC39" i="5" s="1"/>
  <c r="AA14" i="5" a="1"/>
  <c r="AA14" i="5" s="1"/>
  <c r="AB14" i="5" s="1"/>
  <c r="AC14" i="5" s="1"/>
  <c r="AA83" i="5" a="1"/>
  <c r="AA83" i="5" s="1"/>
  <c r="AB83" i="5" s="1"/>
  <c r="AC83" i="5" s="1"/>
  <c r="AA8" i="5" a="1"/>
  <c r="AA8" i="5" s="1"/>
  <c r="AB8" i="5" s="1"/>
  <c r="AC8" i="5" s="1"/>
  <c r="AA76" i="5" a="1"/>
  <c r="AA76" i="5" s="1"/>
  <c r="AB76" i="5" s="1"/>
  <c r="AA61" i="5" a="1"/>
  <c r="AA61" i="5" s="1"/>
  <c r="AB61" i="5" s="1"/>
  <c r="AC61" i="5" s="1"/>
  <c r="AA18" i="5" a="1"/>
  <c r="AA18" i="5" s="1"/>
  <c r="AB18" i="5" s="1"/>
  <c r="AA22" i="5" a="1"/>
  <c r="AA22" i="5" s="1"/>
  <c r="AB22" i="5" s="1"/>
  <c r="AC22" i="5" s="1"/>
  <c r="AA75" i="5" a="1"/>
  <c r="AA75" i="5" s="1"/>
  <c r="AB75" i="5" s="1"/>
  <c r="AC75" i="5" s="1"/>
  <c r="Z116" i="5" a="1"/>
  <c r="Z116" i="5" s="1"/>
  <c r="Z235" i="5" a="1"/>
  <c r="Z235" i="5" s="1"/>
  <c r="Z175" i="5" a="1"/>
  <c r="Z175" i="5" s="1"/>
  <c r="Z139" i="5" a="1"/>
  <c r="Z139" i="5" s="1"/>
  <c r="Z114" i="5" a="1"/>
  <c r="Z114" i="5" s="1"/>
  <c r="Z183" i="5" a="1"/>
  <c r="Z183" i="5" s="1"/>
  <c r="Z257" i="5" a="1"/>
  <c r="Z257" i="5" s="1"/>
  <c r="Z123" i="5" a="1"/>
  <c r="Z123" i="5" s="1"/>
  <c r="Z218" i="5" a="1"/>
  <c r="Z218" i="5" s="1"/>
  <c r="Z111" i="5" a="1"/>
  <c r="Z111" i="5" s="1"/>
  <c r="Z273" i="5" a="1"/>
  <c r="Z273" i="5" s="1"/>
  <c r="Z135" i="5" a="1"/>
  <c r="Z135" i="5" s="1"/>
  <c r="Z184" i="5" a="1"/>
  <c r="Z184" i="5" s="1"/>
  <c r="Z155" i="5" a="1"/>
  <c r="Z155" i="5" s="1"/>
  <c r="Z130" i="5" a="1"/>
  <c r="Z130" i="5" s="1"/>
  <c r="Z176" i="5" a="1"/>
  <c r="Z176" i="5" s="1"/>
  <c r="Z157" i="5" a="1"/>
  <c r="Z157" i="5" s="1"/>
  <c r="Z181" i="5" a="1"/>
  <c r="Z181" i="5" s="1"/>
  <c r="Z213" i="5" a="1"/>
  <c r="Z213" i="5" s="1"/>
  <c r="Z119" i="5" a="1"/>
  <c r="Z119" i="5" s="1"/>
  <c r="Z146" i="5" a="1"/>
  <c r="Z146" i="5" s="1"/>
  <c r="Z168" i="5" a="1"/>
  <c r="Z168" i="5" s="1"/>
  <c r="Z208" i="5" a="1"/>
  <c r="Z208" i="5" s="1"/>
  <c r="Z203" i="5" a="1"/>
  <c r="Z203" i="5" s="1"/>
  <c r="Z147" i="5" a="1"/>
  <c r="Z147" i="5" s="1"/>
  <c r="Z132" i="5" a="1"/>
  <c r="Z132" i="5" s="1"/>
  <c r="Z200" i="5" a="1"/>
  <c r="Z200" i="5" s="1"/>
  <c r="Z201" i="5" a="1"/>
  <c r="Z201" i="5" s="1"/>
  <c r="Z193" i="5" a="1"/>
  <c r="Z193" i="5" s="1"/>
  <c r="Z240" i="5" a="1"/>
  <c r="Z240" i="5" s="1"/>
  <c r="Z121" i="5" a="1"/>
  <c r="Z121" i="5" s="1"/>
  <c r="Z276" i="5" a="1"/>
  <c r="Z276" i="5" s="1"/>
  <c r="Z256" i="5" a="1"/>
  <c r="Z256" i="5" s="1"/>
  <c r="Z133" i="5" a="1"/>
  <c r="Z133" i="5" s="1"/>
  <c r="Z140" i="5" a="1"/>
  <c r="Z140" i="5" s="1"/>
  <c r="Z78" i="5" a="1"/>
  <c r="Z78" i="5" s="1"/>
  <c r="Z150" i="5" a="1"/>
  <c r="Z150" i="5" s="1"/>
  <c r="Z158" i="5" a="1"/>
  <c r="Z158" i="5" s="1"/>
  <c r="Z177" i="5" a="1"/>
  <c r="Z177" i="5" s="1"/>
  <c r="Z180" i="5" a="1"/>
  <c r="Z180" i="5" s="1"/>
  <c r="Z185" i="5" a="1"/>
  <c r="Z185" i="5" s="1"/>
  <c r="Z152" i="5" a="1"/>
  <c r="Z152" i="5" s="1"/>
  <c r="Z190" i="5" a="1"/>
  <c r="Z190" i="5" s="1"/>
  <c r="Z214" i="5" a="1"/>
  <c r="Z214" i="5" s="1"/>
  <c r="Z236" i="5" a="1"/>
  <c r="Z236" i="5" s="1"/>
  <c r="Z267" i="5" a="1"/>
  <c r="Z267" i="5" s="1"/>
  <c r="Z153" i="5" a="1"/>
  <c r="Z153" i="5" s="1"/>
  <c r="Z141" i="5" a="1"/>
  <c r="Z141" i="5" s="1"/>
  <c r="Z212" i="5" a="1"/>
  <c r="Z212" i="5" s="1"/>
  <c r="Z221" i="5" a="1"/>
  <c r="Z221" i="5" s="1"/>
  <c r="Z194" i="5" a="1"/>
  <c r="Z194" i="5" s="1"/>
  <c r="Z268" i="5" a="1"/>
  <c r="Z268" i="5" s="1"/>
  <c r="Z73" i="5" a="1"/>
  <c r="Z73" i="5" s="1"/>
  <c r="Z272" i="5" a="1"/>
  <c r="Z272" i="5" s="1"/>
  <c r="Z115" i="5" a="1"/>
  <c r="Z115" i="5" s="1"/>
  <c r="Z120" i="5" a="1"/>
  <c r="Z120" i="5" s="1"/>
  <c r="Z131" i="5" a="1"/>
  <c r="Z131" i="5" s="1"/>
  <c r="Z149" i="5" a="1"/>
  <c r="Z149" i="5" s="1"/>
  <c r="Z265" i="5" a="1"/>
  <c r="Z265" i="5" s="1"/>
  <c r="Z192" i="5" a="1"/>
  <c r="Z192" i="5" s="1"/>
  <c r="Z88" i="5" a="1"/>
  <c r="Z88" i="5" s="1"/>
  <c r="Z198" i="5" a="1"/>
  <c r="Z198" i="5" s="1"/>
  <c r="Z259" i="5" a="1"/>
  <c r="Z259" i="5" s="1"/>
  <c r="Z206" i="5" a="1"/>
  <c r="Z206" i="5" s="1"/>
  <c r="Z255" i="5" a="1"/>
  <c r="Z255" i="5" s="1"/>
  <c r="Z252" i="5" a="1"/>
  <c r="Z252" i="5" s="1"/>
  <c r="Z172" i="5" a="1"/>
  <c r="Z172" i="5" s="1"/>
  <c r="Z226" i="5" a="1"/>
  <c r="Z226" i="5" s="1"/>
  <c r="Z232" i="5" a="1"/>
  <c r="Z232" i="5" s="1"/>
  <c r="Z271" i="5" a="1"/>
  <c r="Z271" i="5" s="1"/>
  <c r="Z97" i="5" a="1"/>
  <c r="Z97" i="5" s="1"/>
  <c r="Z159" i="5" a="1"/>
  <c r="Z159" i="5" s="1"/>
  <c r="Z148" i="5" a="1"/>
  <c r="Z148" i="5" s="1"/>
  <c r="Z219" i="5" a="1"/>
  <c r="Z219" i="5" s="1"/>
  <c r="Z243" i="5" a="1"/>
  <c r="Z243" i="5" s="1"/>
  <c r="Z275" i="5" a="1"/>
  <c r="Z275" i="5" s="1"/>
  <c r="Z227" i="5" a="1"/>
  <c r="Z227" i="5" s="1"/>
  <c r="Z112" i="5" a="1"/>
  <c r="Z112" i="5" s="1"/>
  <c r="Z250" i="5" a="1"/>
  <c r="Z250" i="5" s="1"/>
  <c r="Z264" i="5" a="1"/>
  <c r="Z264" i="5" s="1"/>
  <c r="Z65" i="5" a="1"/>
  <c r="Z65" i="5" s="1"/>
  <c r="Z254" i="5" a="1"/>
  <c r="Z254" i="5" s="1"/>
  <c r="Z277" i="5" a="1"/>
  <c r="Z277" i="5" s="1"/>
  <c r="Z122" i="5" a="1"/>
  <c r="Z122" i="5" s="1"/>
  <c r="Z100" i="5" a="1"/>
  <c r="Z100" i="5" s="1"/>
  <c r="Z169" i="5" a="1"/>
  <c r="Z169" i="5" s="1"/>
  <c r="Z248" i="5" a="1"/>
  <c r="Z248" i="5" s="1"/>
  <c r="Z29" i="5" a="1"/>
  <c r="Z29" i="5" s="1"/>
  <c r="Z225" i="5" a="1"/>
  <c r="Z225" i="5" s="1"/>
  <c r="Z6" i="5" a="1"/>
  <c r="Z6" i="5" s="1"/>
  <c r="Z197" i="5" a="1"/>
  <c r="Z197" i="5" s="1"/>
  <c r="Z263" i="5" a="1"/>
  <c r="Z263" i="5" s="1"/>
  <c r="Z96" i="5" a="1"/>
  <c r="Z96" i="5" s="1"/>
  <c r="Z209" i="5" a="1"/>
  <c r="Z209" i="5" s="1"/>
  <c r="Z105" i="5" a="1"/>
  <c r="Z105" i="5" s="1"/>
  <c r="Z191" i="5" a="1"/>
  <c r="Z191" i="5" s="1"/>
  <c r="Z154" i="5" a="1"/>
  <c r="Z154" i="5" s="1"/>
  <c r="Z228" i="5" a="1"/>
  <c r="Z228" i="5" s="1"/>
  <c r="Z99" i="5" a="1"/>
  <c r="Z99" i="5" s="1"/>
  <c r="Z270" i="5" a="1"/>
  <c r="Z270" i="5" s="1"/>
  <c r="Z37" i="5" a="1"/>
  <c r="Z37" i="5" s="1"/>
  <c r="Z106" i="5" a="1"/>
  <c r="Z106" i="5" s="1"/>
  <c r="Z127" i="5" a="1"/>
  <c r="Z127" i="5" s="1"/>
  <c r="Z262" i="5" a="1"/>
  <c r="Z262" i="5" s="1"/>
  <c r="Z129" i="5" a="1"/>
  <c r="Z129" i="5" s="1"/>
  <c r="Z81" i="5" a="1"/>
  <c r="Z81" i="5" s="1"/>
  <c r="Z173" i="5" a="1"/>
  <c r="Z173" i="5" s="1"/>
  <c r="Z142" i="5" a="1"/>
  <c r="Z142" i="5" s="1"/>
  <c r="Z108" i="5" a="1"/>
  <c r="Z108" i="5" s="1"/>
  <c r="Z260" i="5" a="1"/>
  <c r="Z260" i="5" s="1"/>
  <c r="Z174" i="5" a="1"/>
  <c r="Z174" i="5" s="1"/>
  <c r="Z56" i="5" a="1"/>
  <c r="Z56" i="5" s="1"/>
  <c r="Z246" i="5" a="1"/>
  <c r="Z246" i="5" s="1"/>
  <c r="Z199" i="5" a="1"/>
  <c r="Z199" i="5" s="1"/>
  <c r="Z21" i="5" a="1"/>
  <c r="Z21" i="5" s="1"/>
  <c r="Z217" i="5" a="1"/>
  <c r="Z217" i="5" s="1"/>
  <c r="Z182" i="5" a="1"/>
  <c r="Z182" i="5" s="1"/>
  <c r="Z104" i="5" a="1"/>
  <c r="Z104" i="5" s="1"/>
  <c r="Z249" i="5" a="1"/>
  <c r="Z249" i="5" s="1"/>
  <c r="Z113" i="5" a="1"/>
  <c r="Z113" i="5" s="1"/>
  <c r="Z98" i="5" a="1"/>
  <c r="Z98" i="5" s="1"/>
  <c r="Z160" i="5" a="1"/>
  <c r="Z160" i="5" s="1"/>
  <c r="Z241" i="5" a="1"/>
  <c r="Z241" i="5" s="1"/>
  <c r="Z107" i="5" a="1"/>
  <c r="Z107" i="5" s="1"/>
  <c r="X109" i="5" a="1"/>
  <c r="X109" i="5" s="1"/>
  <c r="W71" i="5" a="1"/>
  <c r="W71" i="5" s="1"/>
  <c r="W19" i="5" a="1"/>
  <c r="W19" i="5" s="1"/>
  <c r="W89" i="5" a="1"/>
  <c r="W89" i="5" s="1"/>
  <c r="W36" i="5" a="1"/>
  <c r="W36" i="5" s="1"/>
  <c r="W110" i="5" a="1"/>
  <c r="W110" i="5" s="1"/>
  <c r="W179" i="5" a="1"/>
  <c r="W179" i="5" s="1"/>
  <c r="W35" i="5" a="1"/>
  <c r="W35" i="5" s="1"/>
  <c r="W4" i="5" a="1"/>
  <c r="W4" i="5" s="1"/>
  <c r="W143" i="5" a="1"/>
  <c r="W143" i="5" s="1"/>
  <c r="W54" i="5" a="1"/>
  <c r="W54" i="5" s="1"/>
  <c r="V170" i="5" a="1"/>
  <c r="V170" i="5" s="1"/>
  <c r="V222" i="5" a="1"/>
  <c r="V222" i="5" s="1"/>
  <c r="V47" i="5" a="1"/>
  <c r="V47" i="5" s="1"/>
  <c r="V118" i="5" a="1"/>
  <c r="V118" i="5" s="1"/>
  <c r="V188" i="5" a="1"/>
  <c r="V188" i="5" s="1"/>
  <c r="V138" i="5" a="1"/>
  <c r="V138" i="5" s="1"/>
  <c r="V45" i="5" a="1"/>
  <c r="V45" i="5" s="1"/>
  <c r="V117" i="5" a="1"/>
  <c r="V117" i="5" s="1"/>
  <c r="V55" i="5" a="1"/>
  <c r="V55" i="5" s="1"/>
  <c r="V128" i="5" a="1"/>
  <c r="V128" i="5" s="1"/>
  <c r="V244" i="5" a="1"/>
  <c r="V244" i="5" s="1"/>
  <c r="V245" i="5" a="1"/>
  <c r="V245" i="5" s="1"/>
  <c r="V145" i="5" a="1"/>
  <c r="V145" i="5" s="1"/>
  <c r="V101" i="5" a="1"/>
  <c r="V101" i="5" s="1"/>
  <c r="V64" i="5" a="1"/>
  <c r="V64" i="5" s="1"/>
  <c r="V137" i="5" a="1"/>
  <c r="V137" i="5" s="1"/>
  <c r="V178" i="5" a="1"/>
  <c r="V178" i="5" s="1"/>
  <c r="V253" i="5" a="1"/>
  <c r="V253" i="5" s="1"/>
  <c r="V189" i="5" a="1"/>
  <c r="V189" i="5" s="1"/>
  <c r="V27" i="5" a="1"/>
  <c r="V27" i="5" s="1"/>
  <c r="V63" i="5" a="1"/>
  <c r="V63" i="5" s="1"/>
  <c r="V136" i="5" a="1"/>
  <c r="V136" i="5" s="1"/>
  <c r="V5" i="5" a="1"/>
  <c r="V5" i="5" s="1"/>
  <c r="V72" i="5" a="1"/>
  <c r="V72" i="5" s="1"/>
  <c r="V144" i="5" a="1"/>
  <c r="V144" i="5" s="1"/>
  <c r="V13" i="5" a="1"/>
  <c r="V13" i="5" s="1"/>
  <c r="V186" i="5" a="1"/>
  <c r="V186" i="5" s="1"/>
  <c r="V274" i="5" a="1"/>
  <c r="V274" i="5" s="1"/>
  <c r="V261" i="5" a="1"/>
  <c r="V261" i="5" s="1"/>
  <c r="V220" i="5" a="1"/>
  <c r="V220" i="5" s="1"/>
  <c r="V223" i="5" a="1"/>
  <c r="V223" i="5" s="1"/>
  <c r="V12" i="5" a="1"/>
  <c r="V12" i="5" s="1"/>
  <c r="V80" i="5" a="1"/>
  <c r="V80" i="5" s="1"/>
  <c r="V48" i="5" a="1"/>
  <c r="V48" i="5" s="1"/>
  <c r="V195" i="5" a="1"/>
  <c r="V195" i="5" s="1"/>
  <c r="V196" i="5" a="1"/>
  <c r="V196" i="5" s="1"/>
  <c r="V269" i="5" a="1"/>
  <c r="V269" i="5" s="1"/>
  <c r="V231" i="5" a="1"/>
  <c r="V231" i="5" s="1"/>
  <c r="V266" i="5" a="1"/>
  <c r="V266" i="5" s="1"/>
  <c r="V11" i="5" a="1"/>
  <c r="V11" i="5" s="1"/>
  <c r="V79" i="5" a="1"/>
  <c r="V79" i="5" s="1"/>
  <c r="V151" i="5" a="1"/>
  <c r="V151" i="5" s="1"/>
  <c r="V20" i="5" a="1"/>
  <c r="V20" i="5" s="1"/>
  <c r="V90" i="5" a="1"/>
  <c r="V90" i="5" s="1"/>
  <c r="V156" i="5" a="1"/>
  <c r="V156" i="5" s="1"/>
  <c r="V92" i="5" a="1"/>
  <c r="V92" i="5" s="1"/>
  <c r="V204" i="5" a="1"/>
  <c r="V204" i="5" s="1"/>
  <c r="V205" i="5" a="1"/>
  <c r="V205" i="5" s="1"/>
  <c r="V251" i="5" a="1"/>
  <c r="V251" i="5" s="1"/>
  <c r="V28" i="5" a="1"/>
  <c r="V28" i="5" s="1"/>
  <c r="V102" i="5" a="1"/>
  <c r="V102" i="5" s="1"/>
  <c r="V171" i="5" a="1"/>
  <c r="V171" i="5" s="1"/>
  <c r="V103" i="5" a="1"/>
  <c r="V103" i="5" s="1"/>
  <c r="V215" i="5" a="1"/>
  <c r="V215" i="5" s="1"/>
  <c r="V216" i="5" a="1"/>
  <c r="V216" i="5" s="1"/>
  <c r="V242" i="5" a="1"/>
  <c r="V242" i="5" s="1"/>
  <c r="V258" i="5" a="1"/>
  <c r="V258" i="5" s="1"/>
  <c r="AD85" i="5" l="1"/>
  <c r="AE85" i="5" s="1"/>
  <c r="AF85" i="5" s="1"/>
  <c r="AG85" i="5" s="1"/>
  <c r="AH85" i="5" s="1"/>
  <c r="AI85" i="5" s="1"/>
  <c r="AD62" i="5"/>
  <c r="AE62" i="5" s="1"/>
  <c r="AF62" i="5" s="1"/>
  <c r="AG62" i="5" s="1"/>
  <c r="AH62" i="5" s="1"/>
  <c r="AI62" i="5" s="1"/>
  <c r="AD25" i="5"/>
  <c r="AE25" i="5" s="1"/>
  <c r="AF25" i="5" s="1"/>
  <c r="AG25" i="5" s="1"/>
  <c r="AH25" i="5" s="1"/>
  <c r="AI25" i="5" s="1"/>
  <c r="AD38" i="5"/>
  <c r="AE38" i="5" s="1"/>
  <c r="AF38" i="5" s="1"/>
  <c r="AG38" i="5" s="1"/>
  <c r="AH38" i="5" s="1"/>
  <c r="AI38" i="5" s="1"/>
  <c r="AD26" i="5"/>
  <c r="AE26" i="5" s="1"/>
  <c r="AF26" i="5" s="1"/>
  <c r="AG26" i="5" s="1"/>
  <c r="AH26" i="5" s="1"/>
  <c r="AI26" i="5" s="1"/>
  <c r="AD50" i="5"/>
  <c r="AE50" i="5" s="1"/>
  <c r="AF50" i="5" s="1"/>
  <c r="AG50" i="5" s="1"/>
  <c r="AH50" i="5" s="1"/>
  <c r="AI50" i="5" s="1"/>
  <c r="AD42" i="5"/>
  <c r="AE42" i="5" s="1"/>
  <c r="AF42" i="5" s="1"/>
  <c r="AG42" i="5" s="1"/>
  <c r="AH42" i="5" s="1"/>
  <c r="AI42" i="5" s="1"/>
  <c r="AD67" i="5"/>
  <c r="AE67" i="5" s="1"/>
  <c r="AF67" i="5" s="1"/>
  <c r="AG67" i="5" s="1"/>
  <c r="AH67" i="5" s="1"/>
  <c r="AI67" i="5" s="1"/>
  <c r="AD69" i="5"/>
  <c r="AE69" i="5" s="1"/>
  <c r="AF69" i="5" s="1"/>
  <c r="AG69" i="5" s="1"/>
  <c r="AH69" i="5" s="1"/>
  <c r="AI69" i="5" s="1"/>
  <c r="AD83" i="5"/>
  <c r="AE83" i="5" s="1"/>
  <c r="AF83" i="5" s="1"/>
  <c r="AG83" i="5" s="1"/>
  <c r="AH83" i="5" s="1"/>
  <c r="AI83" i="5" s="1"/>
  <c r="AD33" i="5"/>
  <c r="AE33" i="5" s="1"/>
  <c r="AF33" i="5" s="1"/>
  <c r="AG33" i="5" s="1"/>
  <c r="AH33" i="5" s="1"/>
  <c r="AI33" i="5" s="1"/>
  <c r="AD34" i="5"/>
  <c r="AE34" i="5" s="1"/>
  <c r="AF34" i="5" s="1"/>
  <c r="AG34" i="5" s="1"/>
  <c r="AH34" i="5" s="1"/>
  <c r="AI34" i="5" s="1"/>
  <c r="AD86" i="5"/>
  <c r="AE86" i="5" s="1"/>
  <c r="AF86" i="5" s="1"/>
  <c r="AG86" i="5" s="1"/>
  <c r="AH86" i="5" s="1"/>
  <c r="AI86" i="5" s="1"/>
  <c r="AD75" i="5"/>
  <c r="AE75" i="5" s="1"/>
  <c r="AF75" i="5" s="1"/>
  <c r="AG75" i="5" s="1"/>
  <c r="AH75" i="5" s="1"/>
  <c r="AI75" i="5" s="1"/>
  <c r="AD14" i="5"/>
  <c r="AE14" i="5" s="1"/>
  <c r="AF14" i="5" s="1"/>
  <c r="AG14" i="5" s="1"/>
  <c r="AH14" i="5" s="1"/>
  <c r="AI14" i="5" s="1"/>
  <c r="AD23" i="5"/>
  <c r="AE23" i="5" s="1"/>
  <c r="AF23" i="5" s="1"/>
  <c r="AG23" i="5" s="1"/>
  <c r="AH23" i="5" s="1"/>
  <c r="AI23" i="5" s="1"/>
  <c r="AD16" i="5"/>
  <c r="AE16" i="5" s="1"/>
  <c r="AF16" i="5" s="1"/>
  <c r="AG16" i="5" s="1"/>
  <c r="AH16" i="5" s="1"/>
  <c r="AI16" i="5" s="1"/>
  <c r="AD10" i="5"/>
  <c r="AE10" i="5" s="1"/>
  <c r="AF10" i="5" s="1"/>
  <c r="AG10" i="5" s="1"/>
  <c r="AH10" i="5" s="1"/>
  <c r="AI10" i="5" s="1"/>
  <c r="AD59" i="5"/>
  <c r="AE59" i="5" s="1"/>
  <c r="AF59" i="5" s="1"/>
  <c r="AG59" i="5" s="1"/>
  <c r="AH59" i="5" s="1"/>
  <c r="AI59" i="5" s="1"/>
  <c r="AD87" i="5"/>
  <c r="AE87" i="5" s="1"/>
  <c r="AF87" i="5" s="1"/>
  <c r="AG87" i="5" s="1"/>
  <c r="AH87" i="5" s="1"/>
  <c r="AI87" i="5" s="1"/>
  <c r="AD24" i="5"/>
  <c r="AE24" i="5" s="1"/>
  <c r="AF24" i="5" s="1"/>
  <c r="AG24" i="5" s="1"/>
  <c r="AH24" i="5" s="1"/>
  <c r="AI24" i="5" s="1"/>
  <c r="AD44" i="5"/>
  <c r="AE44" i="5" s="1"/>
  <c r="AF44" i="5" s="1"/>
  <c r="AG44" i="5" s="1"/>
  <c r="AH44" i="5" s="1"/>
  <c r="AI44" i="5" s="1"/>
  <c r="AD66" i="5"/>
  <c r="AE66" i="5" s="1"/>
  <c r="AF66" i="5" s="1"/>
  <c r="AG66" i="5" s="1"/>
  <c r="AH66" i="5" s="1"/>
  <c r="AI66" i="5" s="1"/>
  <c r="AD53" i="5"/>
  <c r="AE53" i="5" s="1"/>
  <c r="AF53" i="5" s="1"/>
  <c r="AG53" i="5" s="1"/>
  <c r="AH53" i="5" s="1"/>
  <c r="AI53" i="5" s="1"/>
  <c r="AD17" i="5"/>
  <c r="AE17" i="5" s="1"/>
  <c r="AF17" i="5" s="1"/>
  <c r="AG17" i="5" s="1"/>
  <c r="AH17" i="5" s="1"/>
  <c r="AI17" i="5" s="1"/>
  <c r="AD30" i="5"/>
  <c r="AE30" i="5" s="1"/>
  <c r="AF30" i="5" s="1"/>
  <c r="AG30" i="5" s="1"/>
  <c r="AH30" i="5" s="1"/>
  <c r="AI30" i="5" s="1"/>
  <c r="AD43" i="5"/>
  <c r="AE43" i="5" s="1"/>
  <c r="AF43" i="5" s="1"/>
  <c r="AG43" i="5" s="1"/>
  <c r="AH43" i="5" s="1"/>
  <c r="AI43" i="5" s="1"/>
  <c r="AD61" i="5"/>
  <c r="AE61" i="5" s="1"/>
  <c r="AF61" i="5" s="1"/>
  <c r="AG61" i="5" s="1"/>
  <c r="AH61" i="5" s="1"/>
  <c r="AI61" i="5" s="1"/>
  <c r="AD68" i="5"/>
  <c r="AE68" i="5" s="1"/>
  <c r="AF68" i="5" s="1"/>
  <c r="AG68" i="5" s="1"/>
  <c r="AH68" i="5" s="1"/>
  <c r="AI68" i="5" s="1"/>
  <c r="AD32" i="5"/>
  <c r="AE32" i="5" s="1"/>
  <c r="AF32" i="5" s="1"/>
  <c r="AG32" i="5" s="1"/>
  <c r="AH32" i="5" s="1"/>
  <c r="AI32" i="5" s="1"/>
  <c r="AD39" i="5"/>
  <c r="AE39" i="5" s="1"/>
  <c r="AF39" i="5" s="1"/>
  <c r="AG39" i="5" s="1"/>
  <c r="AH39" i="5" s="1"/>
  <c r="AI39" i="5" s="1"/>
  <c r="AD9" i="5"/>
  <c r="AE9" i="5" s="1"/>
  <c r="AF9" i="5" s="1"/>
  <c r="AG9" i="5" s="1"/>
  <c r="AH9" i="5" s="1"/>
  <c r="AI9" i="5" s="1"/>
  <c r="AD74" i="5"/>
  <c r="AE74" i="5" s="1"/>
  <c r="AF74" i="5" s="1"/>
  <c r="AG74" i="5" s="1"/>
  <c r="AH74" i="5" s="1"/>
  <c r="AI74" i="5" s="1"/>
  <c r="AD22" i="5"/>
  <c r="AE22" i="5" s="1"/>
  <c r="AF22" i="5" s="1"/>
  <c r="AG22" i="5" s="1"/>
  <c r="AH22" i="5" s="1"/>
  <c r="AI22" i="5" s="1"/>
  <c r="AD8" i="5"/>
  <c r="AE8" i="5" s="1"/>
  <c r="AF8" i="5" s="1"/>
  <c r="AG8" i="5" s="1"/>
  <c r="AH8" i="5" s="1"/>
  <c r="AI8" i="5" s="1"/>
  <c r="AD58" i="5"/>
  <c r="AE58" i="5" s="1"/>
  <c r="AF58" i="5" s="1"/>
  <c r="AG58" i="5" s="1"/>
  <c r="AH58" i="5" s="1"/>
  <c r="AI58" i="5" s="1"/>
  <c r="AC290" i="5"/>
  <c r="AC7" i="5"/>
  <c r="AC70" i="5"/>
  <c r="AC49" i="5"/>
  <c r="AC51" i="5"/>
  <c r="AC31" i="5"/>
  <c r="AC18" i="5"/>
  <c r="AC52" i="5"/>
  <c r="AC60" i="5"/>
  <c r="AC76" i="5"/>
  <c r="AC77" i="5"/>
  <c r="AC15" i="5"/>
  <c r="AA37" i="5" a="1"/>
  <c r="AA37" i="5" s="1"/>
  <c r="AB37" i="5" s="1"/>
  <c r="AA198" i="5" a="1"/>
  <c r="AA198" i="5" s="1"/>
  <c r="AB198" i="5" s="1"/>
  <c r="AC198" i="5" s="1"/>
  <c r="AA176" i="5" a="1"/>
  <c r="AA176" i="5" s="1"/>
  <c r="AB176" i="5" s="1"/>
  <c r="AC176" i="5" s="1"/>
  <c r="AA107" i="5" a="1"/>
  <c r="AA107" i="5" s="1"/>
  <c r="AB107" i="5" s="1"/>
  <c r="AC107" i="5" s="1"/>
  <c r="AA217" i="5" a="1"/>
  <c r="AA217" i="5" s="1"/>
  <c r="AB217" i="5" s="1"/>
  <c r="AC217" i="5" s="1"/>
  <c r="AA142" i="5" a="1"/>
  <c r="AA142" i="5" s="1"/>
  <c r="AB142" i="5" s="1"/>
  <c r="AC142" i="5" s="1"/>
  <c r="AA270" i="5" a="1"/>
  <c r="AA270" i="5" s="1"/>
  <c r="AB270" i="5" s="1"/>
  <c r="AC270" i="5" s="1"/>
  <c r="AA263" i="5" a="1"/>
  <c r="AA263" i="5" s="1"/>
  <c r="AB263" i="5" s="1"/>
  <c r="AC263" i="5" s="1"/>
  <c r="AA100" i="5" a="1"/>
  <c r="AA100" i="5" s="1"/>
  <c r="AB100" i="5" s="1"/>
  <c r="AC100" i="5" s="1"/>
  <c r="AA227" i="5" a="1"/>
  <c r="AA227" i="5" s="1"/>
  <c r="AB227" i="5" s="1"/>
  <c r="AC227" i="5" s="1"/>
  <c r="AA232" i="5" a="1"/>
  <c r="AA232" i="5" s="1"/>
  <c r="AB232" i="5" s="1"/>
  <c r="AC232" i="5" s="1"/>
  <c r="AA272" i="5" a="1"/>
  <c r="AA272" i="5" s="1"/>
  <c r="AB272" i="5" s="1"/>
  <c r="AC272" i="5" s="1"/>
  <c r="AA267" i="5" a="1"/>
  <c r="AA267" i="5" s="1"/>
  <c r="AB267" i="5" s="1"/>
  <c r="AC267" i="5" s="1"/>
  <c r="AA177" i="5" a="1"/>
  <c r="AA177" i="5" s="1"/>
  <c r="AB177" i="5" s="1"/>
  <c r="AA121" i="5" a="1"/>
  <c r="AA121" i="5" s="1"/>
  <c r="AB121" i="5" s="1"/>
  <c r="AC121" i="5" s="1"/>
  <c r="AA208" i="5" a="1"/>
  <c r="AA208" i="5" s="1"/>
  <c r="AB208" i="5" s="1"/>
  <c r="AA130" i="5" a="1"/>
  <c r="AA130" i="5" s="1"/>
  <c r="AB130" i="5" s="1"/>
  <c r="AA218" i="5" a="1"/>
  <c r="AA218" i="5" s="1"/>
  <c r="AB218" i="5" s="1"/>
  <c r="AC218" i="5" s="1"/>
  <c r="AA235" i="5" a="1"/>
  <c r="AA235" i="5" s="1"/>
  <c r="AB235" i="5" s="1"/>
  <c r="AC235" i="5" s="1"/>
  <c r="AA169" i="5" a="1"/>
  <c r="AA169" i="5" s="1"/>
  <c r="AB169" i="5" s="1"/>
  <c r="AA153" i="5" a="1"/>
  <c r="AA153" i="5" s="1"/>
  <c r="AB153" i="5" s="1"/>
  <c r="AA175" i="5" a="1"/>
  <c r="AA175" i="5" s="1"/>
  <c r="AB175" i="5" s="1"/>
  <c r="AC175" i="5" s="1"/>
  <c r="AA241" i="5" a="1"/>
  <c r="AA241" i="5" s="1"/>
  <c r="AB241" i="5" s="1"/>
  <c r="AA21" i="5" a="1"/>
  <c r="AA21" i="5" s="1"/>
  <c r="AB21" i="5" s="1"/>
  <c r="AC21" i="5" s="1"/>
  <c r="AA173" i="5" a="1"/>
  <c r="AA173" i="5" s="1"/>
  <c r="AB173" i="5" s="1"/>
  <c r="AC173" i="5" s="1"/>
  <c r="AA99" i="5" a="1"/>
  <c r="AA99" i="5" s="1"/>
  <c r="AB99" i="5" s="1"/>
  <c r="AC99" i="5" s="1"/>
  <c r="AA197" i="5" a="1"/>
  <c r="AA197" i="5" s="1"/>
  <c r="AB197" i="5" s="1"/>
  <c r="AC197" i="5" s="1"/>
  <c r="AA122" i="5" a="1"/>
  <c r="AA122" i="5" s="1"/>
  <c r="AB122" i="5" s="1"/>
  <c r="AC122" i="5" s="1"/>
  <c r="AA275" i="5" a="1"/>
  <c r="AA275" i="5" s="1"/>
  <c r="AB275" i="5" s="1"/>
  <c r="AC275" i="5" s="1"/>
  <c r="AA226" i="5" a="1"/>
  <c r="AA226" i="5" s="1"/>
  <c r="AB226" i="5" s="1"/>
  <c r="AC226" i="5" s="1"/>
  <c r="AA88" i="5" a="1"/>
  <c r="AA88" i="5" s="1"/>
  <c r="AB88" i="5" s="1"/>
  <c r="AA73" i="5" a="1"/>
  <c r="AA73" i="5" s="1"/>
  <c r="AB73" i="5" s="1"/>
  <c r="AC73" i="5" s="1"/>
  <c r="AA236" i="5" a="1"/>
  <c r="AA236" i="5" s="1"/>
  <c r="AB236" i="5" s="1"/>
  <c r="AC236" i="5" s="1"/>
  <c r="AA158" i="5" a="1"/>
  <c r="AA158" i="5" s="1"/>
  <c r="AB158" i="5" s="1"/>
  <c r="AC158" i="5" s="1"/>
  <c r="AA240" i="5" a="1"/>
  <c r="AA240" i="5" s="1"/>
  <c r="AB240" i="5" s="1"/>
  <c r="AC240" i="5" s="1"/>
  <c r="AA168" i="5" a="1"/>
  <c r="AA168" i="5" s="1"/>
  <c r="AB168" i="5" s="1"/>
  <c r="AC168" i="5" s="1"/>
  <c r="AA123" i="5" a="1"/>
  <c r="AA123" i="5" s="1"/>
  <c r="AB123" i="5" s="1"/>
  <c r="AC123" i="5" s="1"/>
  <c r="AA116" i="5" a="1"/>
  <c r="AA116" i="5" s="1"/>
  <c r="AB116" i="5" s="1"/>
  <c r="AA108" i="5" a="1"/>
  <c r="AA108" i="5" s="1"/>
  <c r="AB108" i="5" s="1"/>
  <c r="AA271" i="5" a="1"/>
  <c r="AA271" i="5" s="1"/>
  <c r="AB271" i="5" s="1"/>
  <c r="AA180" i="5" a="1"/>
  <c r="AA180" i="5" s="1"/>
  <c r="AB180" i="5" s="1"/>
  <c r="AC180" i="5" s="1"/>
  <c r="AA111" i="5" a="1"/>
  <c r="AA111" i="5" s="1"/>
  <c r="AB111" i="5" s="1"/>
  <c r="AC111" i="5" s="1"/>
  <c r="AA160" i="5" a="1"/>
  <c r="AA160" i="5" s="1"/>
  <c r="AB160" i="5" s="1"/>
  <c r="AC160" i="5" s="1"/>
  <c r="AA199" i="5" a="1"/>
  <c r="AA199" i="5" s="1"/>
  <c r="AB199" i="5" s="1"/>
  <c r="AA81" i="5" a="1"/>
  <c r="AA81" i="5" s="1"/>
  <c r="AB81" i="5" s="1"/>
  <c r="AC81" i="5" s="1"/>
  <c r="AA228" i="5" a="1"/>
  <c r="AA228" i="5" s="1"/>
  <c r="AB228" i="5" s="1"/>
  <c r="AC228" i="5" s="1"/>
  <c r="AA6" i="5" a="1"/>
  <c r="AA6" i="5" s="1"/>
  <c r="AB6" i="5" s="1"/>
  <c r="AC6" i="5" s="1"/>
  <c r="AA277" i="5" a="1"/>
  <c r="AA277" i="5" s="1"/>
  <c r="AB277" i="5" s="1"/>
  <c r="AC277" i="5" s="1"/>
  <c r="AA243" i="5" a="1"/>
  <c r="AA243" i="5" s="1"/>
  <c r="AB243" i="5" s="1"/>
  <c r="AC243" i="5" s="1"/>
  <c r="AA172" i="5" a="1"/>
  <c r="AA172" i="5" s="1"/>
  <c r="AB172" i="5" s="1"/>
  <c r="AC172" i="5" s="1"/>
  <c r="AA192" i="5" a="1"/>
  <c r="AA192" i="5" s="1"/>
  <c r="AB192" i="5" s="1"/>
  <c r="AC192" i="5" s="1"/>
  <c r="AA268" i="5" a="1"/>
  <c r="AA268" i="5" s="1"/>
  <c r="AB268" i="5" s="1"/>
  <c r="AA214" i="5" a="1"/>
  <c r="AA214" i="5" s="1"/>
  <c r="AB214" i="5" s="1"/>
  <c r="AC214" i="5" s="1"/>
  <c r="AA150" i="5" a="1"/>
  <c r="AA150" i="5" s="1"/>
  <c r="AB150" i="5" s="1"/>
  <c r="AC150" i="5" s="1"/>
  <c r="AA193" i="5" a="1"/>
  <c r="AA193" i="5" s="1"/>
  <c r="AB193" i="5" s="1"/>
  <c r="AC193" i="5" s="1"/>
  <c r="AA146" i="5" a="1"/>
  <c r="AA146" i="5" s="1"/>
  <c r="AB146" i="5" s="1"/>
  <c r="AC146" i="5" s="1"/>
  <c r="AA155" i="5" a="1"/>
  <c r="AA155" i="5" s="1"/>
  <c r="AB155" i="5" s="1"/>
  <c r="AC155" i="5" s="1"/>
  <c r="AA257" i="5" a="1"/>
  <c r="AA257" i="5" s="1"/>
  <c r="AB257" i="5" s="1"/>
  <c r="AA96" i="5" a="1"/>
  <c r="AA96" i="5" s="1"/>
  <c r="AB96" i="5" s="1"/>
  <c r="AA115" i="5" a="1"/>
  <c r="AA115" i="5" s="1"/>
  <c r="AB115" i="5" s="1"/>
  <c r="AA203" i="5" a="1"/>
  <c r="AA203" i="5" s="1"/>
  <c r="AB203" i="5" s="1"/>
  <c r="AC203" i="5" s="1"/>
  <c r="AA98" i="5" a="1"/>
  <c r="AA98" i="5" s="1"/>
  <c r="AB98" i="5" s="1"/>
  <c r="AC98" i="5" s="1"/>
  <c r="AA246" i="5" a="1"/>
  <c r="AA246" i="5" s="1"/>
  <c r="AB246" i="5" s="1"/>
  <c r="AC246" i="5" s="1"/>
  <c r="AA129" i="5" a="1"/>
  <c r="AA129" i="5" s="1"/>
  <c r="AB129" i="5" s="1"/>
  <c r="AA154" i="5" a="1"/>
  <c r="AA154" i="5" s="1"/>
  <c r="AB154" i="5" s="1"/>
  <c r="AA254" i="5" a="1"/>
  <c r="AA254" i="5" s="1"/>
  <c r="AB254" i="5" s="1"/>
  <c r="AC254" i="5" s="1"/>
  <c r="AA219" i="5" a="1"/>
  <c r="AA219" i="5" s="1"/>
  <c r="AB219" i="5" s="1"/>
  <c r="AA252" i="5" a="1"/>
  <c r="AA252" i="5" s="1"/>
  <c r="AB252" i="5" s="1"/>
  <c r="AC252" i="5" s="1"/>
  <c r="AA265" i="5" a="1"/>
  <c r="AA265" i="5" s="1"/>
  <c r="AB265" i="5" s="1"/>
  <c r="AC265" i="5" s="1"/>
  <c r="AA194" i="5" a="1"/>
  <c r="AA194" i="5" s="1"/>
  <c r="AB194" i="5" s="1"/>
  <c r="AC194" i="5" s="1"/>
  <c r="AA190" i="5" a="1"/>
  <c r="AA190" i="5" s="1"/>
  <c r="AB190" i="5" s="1"/>
  <c r="AC190" i="5" s="1"/>
  <c r="AA78" i="5" a="1"/>
  <c r="AA78" i="5" s="1"/>
  <c r="AB78" i="5" s="1"/>
  <c r="AC78" i="5" s="1"/>
  <c r="AA201" i="5" a="1"/>
  <c r="AA201" i="5" s="1"/>
  <c r="AB201" i="5" s="1"/>
  <c r="AA119" i="5" a="1"/>
  <c r="AA119" i="5" s="1"/>
  <c r="AB119" i="5" s="1"/>
  <c r="AC119" i="5" s="1"/>
  <c r="AA184" i="5" a="1"/>
  <c r="AA184" i="5" s="1"/>
  <c r="AB184" i="5" s="1"/>
  <c r="AC184" i="5" s="1"/>
  <c r="AA183" i="5" a="1"/>
  <c r="AA183" i="5" s="1"/>
  <c r="AB183" i="5" s="1"/>
  <c r="AA182" i="5" a="1"/>
  <c r="AA182" i="5" s="1"/>
  <c r="AB182" i="5" s="1"/>
  <c r="AA112" i="5" a="1"/>
  <c r="AA112" i="5" s="1"/>
  <c r="AB112" i="5" s="1"/>
  <c r="AA276" i="5" a="1"/>
  <c r="AA276" i="5" s="1"/>
  <c r="AB276" i="5" s="1"/>
  <c r="AC276" i="5" s="1"/>
  <c r="AA113" i="5" a="1"/>
  <c r="AA113" i="5" s="1"/>
  <c r="AB113" i="5" s="1"/>
  <c r="AC113" i="5" s="1"/>
  <c r="AA56" i="5" a="1"/>
  <c r="AA56" i="5" s="1"/>
  <c r="AB56" i="5" s="1"/>
  <c r="AC56" i="5" s="1"/>
  <c r="AA262" i="5" a="1"/>
  <c r="AA262" i="5" s="1"/>
  <c r="AB262" i="5" s="1"/>
  <c r="AA191" i="5" a="1"/>
  <c r="AA191" i="5" s="1"/>
  <c r="AB191" i="5" s="1"/>
  <c r="AC191" i="5" s="1"/>
  <c r="AA225" i="5" a="1"/>
  <c r="AA225" i="5" s="1"/>
  <c r="AB225" i="5" s="1"/>
  <c r="AC225" i="5" s="1"/>
  <c r="AA65" i="5" a="1"/>
  <c r="AA65" i="5" s="1"/>
  <c r="AB65" i="5" s="1"/>
  <c r="AC65" i="5" s="1"/>
  <c r="AA148" i="5" a="1"/>
  <c r="AA148" i="5" s="1"/>
  <c r="AB148" i="5" s="1"/>
  <c r="AC148" i="5" s="1"/>
  <c r="AA255" i="5" a="1"/>
  <c r="AA255" i="5" s="1"/>
  <c r="AB255" i="5" s="1"/>
  <c r="AC255" i="5" s="1"/>
  <c r="AA149" i="5" a="1"/>
  <c r="AA149" i="5" s="1"/>
  <c r="AB149" i="5" s="1"/>
  <c r="AC149" i="5" s="1"/>
  <c r="AA221" i="5" a="1"/>
  <c r="AA221" i="5" s="1"/>
  <c r="AB221" i="5" s="1"/>
  <c r="AC221" i="5" s="1"/>
  <c r="AA152" i="5" a="1"/>
  <c r="AA152" i="5" s="1"/>
  <c r="AB152" i="5" s="1"/>
  <c r="AC152" i="5" s="1"/>
  <c r="AA140" i="5" a="1"/>
  <c r="AA140" i="5" s="1"/>
  <c r="AB140" i="5" s="1"/>
  <c r="AC140" i="5" s="1"/>
  <c r="AA200" i="5" a="1"/>
  <c r="AA200" i="5" s="1"/>
  <c r="AB200" i="5" s="1"/>
  <c r="AC200" i="5" s="1"/>
  <c r="AA213" i="5" a="1"/>
  <c r="AA213" i="5" s="1"/>
  <c r="AB213" i="5" s="1"/>
  <c r="AC213" i="5" s="1"/>
  <c r="AA114" i="5" a="1"/>
  <c r="AA114" i="5" s="1"/>
  <c r="AB114" i="5" s="1"/>
  <c r="AC114" i="5" s="1"/>
  <c r="AA249" i="5" a="1"/>
  <c r="AA249" i="5" s="1"/>
  <c r="AB249" i="5" s="1"/>
  <c r="AC249" i="5" s="1"/>
  <c r="AA174" i="5" a="1"/>
  <c r="AA174" i="5" s="1"/>
  <c r="AB174" i="5" s="1"/>
  <c r="AC174" i="5" s="1"/>
  <c r="AA127" i="5" a="1"/>
  <c r="AA127" i="5" s="1"/>
  <c r="AB127" i="5" s="1"/>
  <c r="AA105" i="5" a="1"/>
  <c r="AA105" i="5" s="1"/>
  <c r="AB105" i="5" s="1"/>
  <c r="AC105" i="5" s="1"/>
  <c r="AA29" i="5" a="1"/>
  <c r="AA29" i="5" s="1"/>
  <c r="AB29" i="5" s="1"/>
  <c r="AC29" i="5" s="1"/>
  <c r="AA264" i="5" a="1"/>
  <c r="AA264" i="5" s="1"/>
  <c r="AB264" i="5" s="1"/>
  <c r="AC264" i="5" s="1"/>
  <c r="AA159" i="5" a="1"/>
  <c r="AA159" i="5" s="1"/>
  <c r="AB159" i="5" s="1"/>
  <c r="AC159" i="5" s="1"/>
  <c r="AA206" i="5" a="1"/>
  <c r="AA206" i="5" s="1"/>
  <c r="AB206" i="5" s="1"/>
  <c r="AC206" i="5" s="1"/>
  <c r="AA131" i="5" a="1"/>
  <c r="AA131" i="5" s="1"/>
  <c r="AB131" i="5" s="1"/>
  <c r="AC131" i="5" s="1"/>
  <c r="AA212" i="5" a="1"/>
  <c r="AA212" i="5" s="1"/>
  <c r="AB212" i="5" s="1"/>
  <c r="AC212" i="5" s="1"/>
  <c r="AA185" i="5" a="1"/>
  <c r="AA185" i="5" s="1"/>
  <c r="AB185" i="5" s="1"/>
  <c r="AC185" i="5" s="1"/>
  <c r="AA133" i="5" a="1"/>
  <c r="AA133" i="5" s="1"/>
  <c r="AB133" i="5" s="1"/>
  <c r="AC133" i="5" s="1"/>
  <c r="AA132" i="5" a="1"/>
  <c r="AA132" i="5" s="1"/>
  <c r="AB132" i="5" s="1"/>
  <c r="AC132" i="5" s="1"/>
  <c r="AA181" i="5" a="1"/>
  <c r="AA181" i="5" s="1"/>
  <c r="AB181" i="5" s="1"/>
  <c r="AC181" i="5" s="1"/>
  <c r="AA135" i="5" a="1"/>
  <c r="AA135" i="5" s="1"/>
  <c r="AB135" i="5" s="1"/>
  <c r="AC135" i="5" s="1"/>
  <c r="AA139" i="5" a="1"/>
  <c r="AA139" i="5" s="1"/>
  <c r="AB139" i="5" s="1"/>
  <c r="AC139" i="5" s="1"/>
  <c r="AA104" i="5" a="1"/>
  <c r="AA104" i="5" s="1"/>
  <c r="AB104" i="5" s="1"/>
  <c r="AC104" i="5" s="1"/>
  <c r="AA260" i="5" a="1"/>
  <c r="AA260" i="5" s="1"/>
  <c r="AB260" i="5" s="1"/>
  <c r="AC260" i="5" s="1"/>
  <c r="AA106" i="5" a="1"/>
  <c r="AA106" i="5" s="1"/>
  <c r="AB106" i="5" s="1"/>
  <c r="AA209" i="5" a="1"/>
  <c r="AA209" i="5" s="1"/>
  <c r="AB209" i="5" s="1"/>
  <c r="AC209" i="5" s="1"/>
  <c r="AA248" i="5" a="1"/>
  <c r="AA248" i="5" s="1"/>
  <c r="AB248" i="5" s="1"/>
  <c r="AC248" i="5" s="1"/>
  <c r="AA250" i="5" a="1"/>
  <c r="AA250" i="5" s="1"/>
  <c r="AB250" i="5" s="1"/>
  <c r="AC250" i="5" s="1"/>
  <c r="AA97" i="5" a="1"/>
  <c r="AA97" i="5" s="1"/>
  <c r="AB97" i="5" s="1"/>
  <c r="AC97" i="5" s="1"/>
  <c r="AA259" i="5" a="1"/>
  <c r="AA259" i="5" s="1"/>
  <c r="AB259" i="5" s="1"/>
  <c r="AC259" i="5" s="1"/>
  <c r="AA120" i="5" a="1"/>
  <c r="AA120" i="5" s="1"/>
  <c r="AB120" i="5" s="1"/>
  <c r="AC120" i="5" s="1"/>
  <c r="AA141" i="5" a="1"/>
  <c r="AA141" i="5" s="1"/>
  <c r="AB141" i="5" s="1"/>
  <c r="AC141" i="5" s="1"/>
  <c r="AA256" i="5" a="1"/>
  <c r="AA256" i="5" s="1"/>
  <c r="AB256" i="5" s="1"/>
  <c r="AC256" i="5" s="1"/>
  <c r="AA147" i="5" a="1"/>
  <c r="AA147" i="5" s="1"/>
  <c r="AB147" i="5" s="1"/>
  <c r="AC147" i="5" s="1"/>
  <c r="AA157" i="5" a="1"/>
  <c r="AA157" i="5" s="1"/>
  <c r="AB157" i="5" s="1"/>
  <c r="AC157" i="5" s="1"/>
  <c r="AA273" i="5" a="1"/>
  <c r="AA273" i="5" s="1"/>
  <c r="AB273" i="5" s="1"/>
  <c r="AC273" i="5" s="1"/>
  <c r="Y109" i="5" a="1"/>
  <c r="Y109" i="5" s="1"/>
  <c r="X54" i="5" a="1"/>
  <c r="X54" i="5" s="1"/>
  <c r="X89" i="5" a="1"/>
  <c r="X89" i="5" s="1"/>
  <c r="X143" i="5" a="1"/>
  <c r="X143" i="5" s="1"/>
  <c r="X19" i="5" a="1"/>
  <c r="X19" i="5" s="1"/>
  <c r="X4" i="5" a="1"/>
  <c r="X4" i="5" s="1"/>
  <c r="X71" i="5" a="1"/>
  <c r="X71" i="5" s="1"/>
  <c r="X35" i="5" a="1"/>
  <c r="X35" i="5" s="1"/>
  <c r="X179" i="5" a="1"/>
  <c r="X179" i="5" s="1"/>
  <c r="X110" i="5" a="1"/>
  <c r="X110" i="5" s="1"/>
  <c r="X36" i="5" a="1"/>
  <c r="X36" i="5" s="1"/>
  <c r="W103" i="5" a="1"/>
  <c r="W103" i="5" s="1"/>
  <c r="W137" i="5" a="1"/>
  <c r="W137" i="5" s="1"/>
  <c r="W156" i="5" a="1"/>
  <c r="W156" i="5" s="1"/>
  <c r="W220" i="5" a="1"/>
  <c r="W220" i="5" s="1"/>
  <c r="W136" i="5" a="1"/>
  <c r="W136" i="5" s="1"/>
  <c r="W64" i="5" a="1"/>
  <c r="W64" i="5" s="1"/>
  <c r="W45" i="5" a="1"/>
  <c r="W45" i="5" s="1"/>
  <c r="W170" i="5" a="1"/>
  <c r="W170" i="5" s="1"/>
  <c r="W222" i="5" a="1"/>
  <c r="W222" i="5" s="1"/>
  <c r="W269" i="5" a="1"/>
  <c r="W269" i="5" s="1"/>
  <c r="W90" i="5" a="1"/>
  <c r="W90" i="5" s="1"/>
  <c r="W196" i="5" a="1"/>
  <c r="W196" i="5" s="1"/>
  <c r="W261" i="5" a="1"/>
  <c r="W261" i="5" s="1"/>
  <c r="W63" i="5" a="1"/>
  <c r="W63" i="5" s="1"/>
  <c r="W101" i="5" a="1"/>
  <c r="W101" i="5" s="1"/>
  <c r="W138" i="5" a="1"/>
  <c r="W138" i="5" s="1"/>
  <c r="W92" i="5" a="1"/>
  <c r="W92" i="5" s="1"/>
  <c r="W117" i="5" a="1"/>
  <c r="W117" i="5" s="1"/>
  <c r="W171" i="5" a="1"/>
  <c r="W171" i="5" s="1"/>
  <c r="W102" i="5" a="1"/>
  <c r="W102" i="5" s="1"/>
  <c r="W28" i="5" a="1"/>
  <c r="W28" i="5" s="1"/>
  <c r="W20" i="5" a="1"/>
  <c r="W20" i="5" s="1"/>
  <c r="W195" i="5" a="1"/>
  <c r="W195" i="5" s="1"/>
  <c r="W274" i="5" a="1"/>
  <c r="W274" i="5" s="1"/>
  <c r="W27" i="5" a="1"/>
  <c r="W27" i="5" s="1"/>
  <c r="W145" i="5" a="1"/>
  <c r="W145" i="5" s="1"/>
  <c r="W223" i="5" a="1"/>
  <c r="W223" i="5" s="1"/>
  <c r="W5" i="5" a="1"/>
  <c r="W5" i="5" s="1"/>
  <c r="W151" i="5" a="1"/>
  <c r="W151" i="5" s="1"/>
  <c r="W48" i="5" a="1"/>
  <c r="W48" i="5" s="1"/>
  <c r="W186" i="5" a="1"/>
  <c r="W186" i="5" s="1"/>
  <c r="W189" i="5" a="1"/>
  <c r="W189" i="5" s="1"/>
  <c r="W245" i="5" a="1"/>
  <c r="W245" i="5" s="1"/>
  <c r="W258" i="5" a="1"/>
  <c r="W258" i="5" s="1"/>
  <c r="W79" i="5" a="1"/>
  <c r="W79" i="5" s="1"/>
  <c r="W13" i="5" a="1"/>
  <c r="W13" i="5" s="1"/>
  <c r="W244" i="5" a="1"/>
  <c r="W244" i="5" s="1"/>
  <c r="W188" i="5" a="1"/>
  <c r="W188" i="5" s="1"/>
  <c r="W231" i="5" a="1"/>
  <c r="W231" i="5" s="1"/>
  <c r="W242" i="5" a="1"/>
  <c r="W242" i="5" s="1"/>
  <c r="W205" i="5" a="1"/>
  <c r="W205" i="5" s="1"/>
  <c r="W11" i="5" a="1"/>
  <c r="W11" i="5" s="1"/>
  <c r="W80" i="5" a="1"/>
  <c r="W80" i="5" s="1"/>
  <c r="W144" i="5" a="1"/>
  <c r="W144" i="5" s="1"/>
  <c r="W253" i="5" a="1"/>
  <c r="W253" i="5" s="1"/>
  <c r="W128" i="5" a="1"/>
  <c r="W128" i="5" s="1"/>
  <c r="W118" i="5" a="1"/>
  <c r="W118" i="5" s="1"/>
  <c r="W251" i="5" a="1"/>
  <c r="W251" i="5" s="1"/>
  <c r="W216" i="5" a="1"/>
  <c r="W216" i="5" s="1"/>
  <c r="W215" i="5" a="1"/>
  <c r="W215" i="5" s="1"/>
  <c r="W204" i="5" a="1"/>
  <c r="W204" i="5" s="1"/>
  <c r="W266" i="5" a="1"/>
  <c r="W266" i="5" s="1"/>
  <c r="W12" i="5" a="1"/>
  <c r="W12" i="5" s="1"/>
  <c r="W72" i="5" a="1"/>
  <c r="W72" i="5" s="1"/>
  <c r="W178" i="5" a="1"/>
  <c r="W178" i="5" s="1"/>
  <c r="W55" i="5" a="1"/>
  <c r="W55" i="5" s="1"/>
  <c r="W47" i="5" a="1"/>
  <c r="W47" i="5" s="1"/>
  <c r="AD256" i="5" l="1"/>
  <c r="AE256" i="5" s="1"/>
  <c r="AF256" i="5" s="1"/>
  <c r="AG256" i="5" s="1"/>
  <c r="AH256" i="5" s="1"/>
  <c r="AI256" i="5" s="1"/>
  <c r="AD209" i="5"/>
  <c r="AE209" i="5" s="1"/>
  <c r="AF209" i="5" s="1"/>
  <c r="AG209" i="5" s="1"/>
  <c r="AH209" i="5" s="1"/>
  <c r="AI209" i="5" s="1"/>
  <c r="AD133" i="5"/>
  <c r="AE133" i="5" s="1"/>
  <c r="AF133" i="5" s="1"/>
  <c r="AG133" i="5" s="1"/>
  <c r="AH133" i="5" s="1"/>
  <c r="AI133" i="5" s="1"/>
  <c r="AD105" i="5"/>
  <c r="AE105" i="5" s="1"/>
  <c r="AF105" i="5" s="1"/>
  <c r="AG105" i="5" s="1"/>
  <c r="AH105" i="5" s="1"/>
  <c r="AI105" i="5" s="1"/>
  <c r="AD140" i="5"/>
  <c r="AE140" i="5" s="1"/>
  <c r="AF140" i="5" s="1"/>
  <c r="AG140" i="5" s="1"/>
  <c r="AH140" i="5" s="1"/>
  <c r="AI140" i="5" s="1"/>
  <c r="AD191" i="5"/>
  <c r="AE191" i="5" s="1"/>
  <c r="AF191" i="5" s="1"/>
  <c r="AG191" i="5" s="1"/>
  <c r="AH191" i="5" s="1"/>
  <c r="AI191" i="5" s="1"/>
  <c r="AD184" i="5"/>
  <c r="AE184" i="5" s="1"/>
  <c r="AF184" i="5" s="1"/>
  <c r="AG184" i="5" s="1"/>
  <c r="AH184" i="5" s="1"/>
  <c r="AI184" i="5" s="1"/>
  <c r="AD275" i="5"/>
  <c r="AE275" i="5" s="1"/>
  <c r="AF275" i="5" s="1"/>
  <c r="AG275" i="5" s="1"/>
  <c r="AH275" i="5" s="1"/>
  <c r="AI275" i="5" s="1"/>
  <c r="AD267" i="5"/>
  <c r="AE267" i="5" s="1"/>
  <c r="AF267" i="5" s="1"/>
  <c r="AG267" i="5" s="1"/>
  <c r="AH267" i="5" s="1"/>
  <c r="AI267" i="5" s="1"/>
  <c r="AD142" i="5"/>
  <c r="AE142" i="5" s="1"/>
  <c r="AF142" i="5" s="1"/>
  <c r="AG142" i="5" s="1"/>
  <c r="AH142" i="5" s="1"/>
  <c r="AI142" i="5" s="1"/>
  <c r="AD185" i="5"/>
  <c r="AE185" i="5" s="1"/>
  <c r="AF185" i="5" s="1"/>
  <c r="AG185" i="5" s="1"/>
  <c r="AH185" i="5" s="1"/>
  <c r="AI185" i="5" s="1"/>
  <c r="AD152" i="5"/>
  <c r="AE152" i="5" s="1"/>
  <c r="AF152" i="5" s="1"/>
  <c r="AG152" i="5" s="1"/>
  <c r="AH152" i="5" s="1"/>
  <c r="AI152" i="5" s="1"/>
  <c r="AD119" i="5"/>
  <c r="AE119" i="5" s="1"/>
  <c r="AF119" i="5" s="1"/>
  <c r="AG119" i="5" s="1"/>
  <c r="AH119" i="5" s="1"/>
  <c r="AI119" i="5" s="1"/>
  <c r="AD254" i="5"/>
  <c r="AE254" i="5" s="1"/>
  <c r="AF254" i="5" s="1"/>
  <c r="AG254" i="5" s="1"/>
  <c r="AH254" i="5" s="1"/>
  <c r="AI254" i="5" s="1"/>
  <c r="AD192" i="5"/>
  <c r="AE192" i="5" s="1"/>
  <c r="AF192" i="5" s="1"/>
  <c r="AG192" i="5" s="1"/>
  <c r="AH192" i="5" s="1"/>
  <c r="AI192" i="5" s="1"/>
  <c r="AD160" i="5"/>
  <c r="AE160" i="5" s="1"/>
  <c r="AF160" i="5" s="1"/>
  <c r="AG160" i="5" s="1"/>
  <c r="AH160" i="5" s="1"/>
  <c r="AI160" i="5" s="1"/>
  <c r="AD168" i="5"/>
  <c r="AE168" i="5" s="1"/>
  <c r="AF168" i="5" s="1"/>
  <c r="AG168" i="5" s="1"/>
  <c r="AH168" i="5" s="1"/>
  <c r="AI168" i="5" s="1"/>
  <c r="AD122" i="5"/>
  <c r="AE122" i="5" s="1"/>
  <c r="AF122" i="5" s="1"/>
  <c r="AG122" i="5" s="1"/>
  <c r="AH122" i="5" s="1"/>
  <c r="AI122" i="5" s="1"/>
  <c r="AD272" i="5"/>
  <c r="AE272" i="5" s="1"/>
  <c r="AF272" i="5" s="1"/>
  <c r="AG272" i="5" s="1"/>
  <c r="AH272" i="5" s="1"/>
  <c r="AI272" i="5" s="1"/>
  <c r="AD217" i="5"/>
  <c r="AE217" i="5" s="1"/>
  <c r="AF217" i="5" s="1"/>
  <c r="AG217" i="5" s="1"/>
  <c r="AH217" i="5" s="1"/>
  <c r="AI217" i="5" s="1"/>
  <c r="AD290" i="5"/>
  <c r="AE290" i="5" s="1"/>
  <c r="AF290" i="5" s="1"/>
  <c r="AG290" i="5" s="1"/>
  <c r="AH290" i="5" s="1"/>
  <c r="AI290" i="5" s="1"/>
  <c r="AD243" i="5"/>
  <c r="AE243" i="5" s="1"/>
  <c r="AF243" i="5" s="1"/>
  <c r="AG243" i="5" s="1"/>
  <c r="AH243" i="5" s="1"/>
  <c r="AI243" i="5" s="1"/>
  <c r="AD180" i="5"/>
  <c r="AE180" i="5" s="1"/>
  <c r="AF180" i="5" s="1"/>
  <c r="AG180" i="5" s="1"/>
  <c r="AH180" i="5" s="1"/>
  <c r="AI180" i="5" s="1"/>
  <c r="AD158" i="5"/>
  <c r="AE158" i="5" s="1"/>
  <c r="AF158" i="5" s="1"/>
  <c r="AG158" i="5" s="1"/>
  <c r="AH158" i="5" s="1"/>
  <c r="AI158" i="5" s="1"/>
  <c r="AD99" i="5"/>
  <c r="AE99" i="5" s="1"/>
  <c r="AF99" i="5" s="1"/>
  <c r="AG99" i="5" s="1"/>
  <c r="AH99" i="5" s="1"/>
  <c r="AI99" i="5" s="1"/>
  <c r="AD218" i="5"/>
  <c r="AE218" i="5" s="1"/>
  <c r="AF218" i="5" s="1"/>
  <c r="AG218" i="5" s="1"/>
  <c r="AH218" i="5" s="1"/>
  <c r="AI218" i="5" s="1"/>
  <c r="AD232" i="5"/>
  <c r="AE232" i="5" s="1"/>
  <c r="AF232" i="5" s="1"/>
  <c r="AG232" i="5" s="1"/>
  <c r="AH232" i="5" s="1"/>
  <c r="AI232" i="5" s="1"/>
  <c r="AD176" i="5"/>
  <c r="AE176" i="5" s="1"/>
  <c r="AF176" i="5" s="1"/>
  <c r="AG176" i="5" s="1"/>
  <c r="AH176" i="5" s="1"/>
  <c r="AI176" i="5" s="1"/>
  <c r="AD159" i="5"/>
  <c r="AE159" i="5" s="1"/>
  <c r="AF159" i="5" s="1"/>
  <c r="AG159" i="5" s="1"/>
  <c r="AH159" i="5" s="1"/>
  <c r="AI159" i="5" s="1"/>
  <c r="AD194" i="5"/>
  <c r="AE194" i="5" s="1"/>
  <c r="AF194" i="5" s="1"/>
  <c r="AG194" i="5" s="1"/>
  <c r="AH194" i="5" s="1"/>
  <c r="AI194" i="5" s="1"/>
  <c r="AD73" i="5"/>
  <c r="AE73" i="5" s="1"/>
  <c r="AF73" i="5" s="1"/>
  <c r="AG73" i="5" s="1"/>
  <c r="AH73" i="5" s="1"/>
  <c r="AI73" i="5" s="1"/>
  <c r="AD21" i="5"/>
  <c r="AE21" i="5" s="1"/>
  <c r="AF21" i="5" s="1"/>
  <c r="AG21" i="5" s="1"/>
  <c r="AH21" i="5" s="1"/>
  <c r="AI21" i="5" s="1"/>
  <c r="AD98" i="5"/>
  <c r="AE98" i="5" s="1"/>
  <c r="AF98" i="5" s="1"/>
  <c r="AG98" i="5" s="1"/>
  <c r="AH98" i="5" s="1"/>
  <c r="AI98" i="5" s="1"/>
  <c r="AD150" i="5"/>
  <c r="AE150" i="5" s="1"/>
  <c r="AF150" i="5" s="1"/>
  <c r="AG150" i="5" s="1"/>
  <c r="AH150" i="5" s="1"/>
  <c r="AI150" i="5" s="1"/>
  <c r="AD263" i="5"/>
  <c r="AE263" i="5" s="1"/>
  <c r="AF263" i="5" s="1"/>
  <c r="AG263" i="5" s="1"/>
  <c r="AH263" i="5" s="1"/>
  <c r="AI263" i="5" s="1"/>
  <c r="AD147" i="5"/>
  <c r="AE147" i="5" s="1"/>
  <c r="AF147" i="5" s="1"/>
  <c r="AG147" i="5" s="1"/>
  <c r="AH147" i="5" s="1"/>
  <c r="AI147" i="5" s="1"/>
  <c r="AD248" i="5"/>
  <c r="AE248" i="5" s="1"/>
  <c r="AF248" i="5" s="1"/>
  <c r="AG248" i="5" s="1"/>
  <c r="AH248" i="5" s="1"/>
  <c r="AI248" i="5" s="1"/>
  <c r="AD132" i="5"/>
  <c r="AE132" i="5" s="1"/>
  <c r="AF132" i="5" s="1"/>
  <c r="AG132" i="5" s="1"/>
  <c r="AH132" i="5" s="1"/>
  <c r="AI132" i="5" s="1"/>
  <c r="AD29" i="5"/>
  <c r="AE29" i="5" s="1"/>
  <c r="AF29" i="5" s="1"/>
  <c r="AG29" i="5" s="1"/>
  <c r="AH29" i="5" s="1"/>
  <c r="AI29" i="5" s="1"/>
  <c r="AD200" i="5"/>
  <c r="AE200" i="5" s="1"/>
  <c r="AF200" i="5" s="1"/>
  <c r="AG200" i="5" s="1"/>
  <c r="AH200" i="5" s="1"/>
  <c r="AI200" i="5" s="1"/>
  <c r="AD225" i="5"/>
  <c r="AE225" i="5" s="1"/>
  <c r="AF225" i="5" s="1"/>
  <c r="AG225" i="5" s="1"/>
  <c r="AH225" i="5" s="1"/>
  <c r="AI225" i="5" s="1"/>
  <c r="AD252" i="5"/>
  <c r="AE252" i="5" s="1"/>
  <c r="AF252" i="5" s="1"/>
  <c r="AG252" i="5" s="1"/>
  <c r="AH252" i="5" s="1"/>
  <c r="AI252" i="5" s="1"/>
  <c r="AD203" i="5"/>
  <c r="AE203" i="5" s="1"/>
  <c r="AF203" i="5" s="1"/>
  <c r="AG203" i="5" s="1"/>
  <c r="AH203" i="5" s="1"/>
  <c r="AI203" i="5" s="1"/>
  <c r="AD214" i="5"/>
  <c r="AE214" i="5" s="1"/>
  <c r="AF214" i="5" s="1"/>
  <c r="AG214" i="5" s="1"/>
  <c r="AH214" i="5" s="1"/>
  <c r="AI214" i="5" s="1"/>
  <c r="AD81" i="5"/>
  <c r="AE81" i="5" s="1"/>
  <c r="AF81" i="5" s="1"/>
  <c r="AG81" i="5" s="1"/>
  <c r="AH81" i="5" s="1"/>
  <c r="AI81" i="5" s="1"/>
  <c r="AD123" i="5"/>
  <c r="AE123" i="5" s="1"/>
  <c r="AF123" i="5" s="1"/>
  <c r="AG123" i="5" s="1"/>
  <c r="AH123" i="5" s="1"/>
  <c r="AI123" i="5" s="1"/>
  <c r="AD226" i="5"/>
  <c r="AE226" i="5" s="1"/>
  <c r="AF226" i="5" s="1"/>
  <c r="AG226" i="5" s="1"/>
  <c r="AH226" i="5" s="1"/>
  <c r="AI226" i="5" s="1"/>
  <c r="AD175" i="5"/>
  <c r="AE175" i="5" s="1"/>
  <c r="AF175" i="5" s="1"/>
  <c r="AG175" i="5" s="1"/>
  <c r="AH175" i="5" s="1"/>
  <c r="AI175" i="5" s="1"/>
  <c r="AD270" i="5"/>
  <c r="AE270" i="5" s="1"/>
  <c r="AF270" i="5" s="1"/>
  <c r="AG270" i="5" s="1"/>
  <c r="AH270" i="5" s="1"/>
  <c r="AI270" i="5" s="1"/>
  <c r="AD120" i="5"/>
  <c r="AE120" i="5" s="1"/>
  <c r="AF120" i="5" s="1"/>
  <c r="AG120" i="5" s="1"/>
  <c r="AH120" i="5" s="1"/>
  <c r="AI120" i="5" s="1"/>
  <c r="AD104" i="5"/>
  <c r="AE104" i="5" s="1"/>
  <c r="AF104" i="5" s="1"/>
  <c r="AG104" i="5" s="1"/>
  <c r="AH104" i="5" s="1"/>
  <c r="AI104" i="5" s="1"/>
  <c r="AD131" i="5"/>
  <c r="AE131" i="5" s="1"/>
  <c r="AF131" i="5" s="1"/>
  <c r="AG131" i="5" s="1"/>
  <c r="AH131" i="5" s="1"/>
  <c r="AI131" i="5" s="1"/>
  <c r="AD249" i="5"/>
  <c r="AE249" i="5" s="1"/>
  <c r="AF249" i="5" s="1"/>
  <c r="AG249" i="5" s="1"/>
  <c r="AH249" i="5" s="1"/>
  <c r="AI249" i="5" s="1"/>
  <c r="AD149" i="5"/>
  <c r="AE149" i="5" s="1"/>
  <c r="AF149" i="5" s="1"/>
  <c r="AG149" i="5" s="1"/>
  <c r="AH149" i="5" s="1"/>
  <c r="AI149" i="5" s="1"/>
  <c r="AD113" i="5"/>
  <c r="AE113" i="5" s="1"/>
  <c r="AF113" i="5" s="1"/>
  <c r="AG113" i="5" s="1"/>
  <c r="AH113" i="5" s="1"/>
  <c r="AI113" i="5" s="1"/>
  <c r="AD78" i="5"/>
  <c r="AE78" i="5" s="1"/>
  <c r="AF78" i="5" s="1"/>
  <c r="AG78" i="5" s="1"/>
  <c r="AH78" i="5" s="1"/>
  <c r="AI78" i="5" s="1"/>
  <c r="AD155" i="5"/>
  <c r="AE155" i="5" s="1"/>
  <c r="AF155" i="5" s="1"/>
  <c r="AG155" i="5" s="1"/>
  <c r="AH155" i="5" s="1"/>
  <c r="AI155" i="5" s="1"/>
  <c r="AD76" i="5"/>
  <c r="AE76" i="5" s="1"/>
  <c r="AF76" i="5" s="1"/>
  <c r="AG76" i="5" s="1"/>
  <c r="AH76" i="5" s="1"/>
  <c r="AI76" i="5" s="1"/>
  <c r="AD7" i="5"/>
  <c r="AE7" i="5" s="1"/>
  <c r="AF7" i="5" s="1"/>
  <c r="AG7" i="5" s="1"/>
  <c r="AH7" i="5" s="1"/>
  <c r="AI7" i="5" s="1"/>
  <c r="AD259" i="5"/>
  <c r="AE259" i="5" s="1"/>
  <c r="AF259" i="5" s="1"/>
  <c r="AG259" i="5" s="1"/>
  <c r="AH259" i="5" s="1"/>
  <c r="AI259" i="5" s="1"/>
  <c r="AD139" i="5"/>
  <c r="AE139" i="5" s="1"/>
  <c r="AF139" i="5" s="1"/>
  <c r="AG139" i="5" s="1"/>
  <c r="AH139" i="5" s="1"/>
  <c r="AI139" i="5" s="1"/>
  <c r="AD206" i="5"/>
  <c r="AE206" i="5" s="1"/>
  <c r="AF206" i="5" s="1"/>
  <c r="AG206" i="5" s="1"/>
  <c r="AH206" i="5" s="1"/>
  <c r="AI206" i="5" s="1"/>
  <c r="AD114" i="5"/>
  <c r="AE114" i="5" s="1"/>
  <c r="AF114" i="5" s="1"/>
  <c r="AG114" i="5" s="1"/>
  <c r="AH114" i="5" s="1"/>
  <c r="AI114" i="5" s="1"/>
  <c r="AD255" i="5"/>
  <c r="AE255" i="5" s="1"/>
  <c r="AF255" i="5" s="1"/>
  <c r="AG255" i="5" s="1"/>
  <c r="AH255" i="5" s="1"/>
  <c r="AI255" i="5" s="1"/>
  <c r="AD276" i="5"/>
  <c r="AE276" i="5" s="1"/>
  <c r="AF276" i="5" s="1"/>
  <c r="AG276" i="5" s="1"/>
  <c r="AH276" i="5" s="1"/>
  <c r="AI276" i="5" s="1"/>
  <c r="AD190" i="5"/>
  <c r="AE190" i="5" s="1"/>
  <c r="AF190" i="5" s="1"/>
  <c r="AG190" i="5" s="1"/>
  <c r="AH190" i="5" s="1"/>
  <c r="AI190" i="5" s="1"/>
  <c r="AD146" i="5"/>
  <c r="AE146" i="5" s="1"/>
  <c r="AF146" i="5" s="1"/>
  <c r="AG146" i="5" s="1"/>
  <c r="AH146" i="5" s="1"/>
  <c r="AI146" i="5" s="1"/>
  <c r="AD277" i="5"/>
  <c r="AE277" i="5" s="1"/>
  <c r="AF277" i="5" s="1"/>
  <c r="AG277" i="5" s="1"/>
  <c r="AH277" i="5" s="1"/>
  <c r="AI277" i="5" s="1"/>
  <c r="AD236" i="5"/>
  <c r="AE236" i="5" s="1"/>
  <c r="AF236" i="5" s="1"/>
  <c r="AG236" i="5" s="1"/>
  <c r="AH236" i="5" s="1"/>
  <c r="AI236" i="5" s="1"/>
  <c r="AD173" i="5"/>
  <c r="AE173" i="5" s="1"/>
  <c r="AF173" i="5" s="1"/>
  <c r="AG173" i="5" s="1"/>
  <c r="AH173" i="5" s="1"/>
  <c r="AI173" i="5" s="1"/>
  <c r="AD227" i="5"/>
  <c r="AE227" i="5" s="1"/>
  <c r="AF227" i="5" s="1"/>
  <c r="AG227" i="5" s="1"/>
  <c r="AH227" i="5" s="1"/>
  <c r="AI227" i="5" s="1"/>
  <c r="AD198" i="5"/>
  <c r="AE198" i="5" s="1"/>
  <c r="AF198" i="5" s="1"/>
  <c r="AG198" i="5" s="1"/>
  <c r="AH198" i="5" s="1"/>
  <c r="AI198" i="5" s="1"/>
  <c r="AD60" i="5"/>
  <c r="AE60" i="5" s="1"/>
  <c r="AF60" i="5" s="1"/>
  <c r="AG60" i="5" s="1"/>
  <c r="AH60" i="5" s="1"/>
  <c r="AI60" i="5" s="1"/>
  <c r="AD273" i="5"/>
  <c r="AE273" i="5" s="1"/>
  <c r="AF273" i="5" s="1"/>
  <c r="AG273" i="5" s="1"/>
  <c r="AH273" i="5" s="1"/>
  <c r="AI273" i="5" s="1"/>
  <c r="AD97" i="5"/>
  <c r="AE97" i="5" s="1"/>
  <c r="AF97" i="5" s="1"/>
  <c r="AG97" i="5" s="1"/>
  <c r="AH97" i="5" s="1"/>
  <c r="AI97" i="5" s="1"/>
  <c r="AD135" i="5"/>
  <c r="AE135" i="5" s="1"/>
  <c r="AF135" i="5" s="1"/>
  <c r="AG135" i="5" s="1"/>
  <c r="AH135" i="5" s="1"/>
  <c r="AI135" i="5" s="1"/>
  <c r="AD148" i="5"/>
  <c r="AE148" i="5" s="1"/>
  <c r="AF148" i="5" s="1"/>
  <c r="AG148" i="5" s="1"/>
  <c r="AH148" i="5" s="1"/>
  <c r="AI148" i="5" s="1"/>
  <c r="AD246" i="5"/>
  <c r="AE246" i="5" s="1"/>
  <c r="AF246" i="5" s="1"/>
  <c r="AG246" i="5" s="1"/>
  <c r="AH246" i="5" s="1"/>
  <c r="AI246" i="5" s="1"/>
  <c r="AD193" i="5"/>
  <c r="AE193" i="5" s="1"/>
  <c r="AF193" i="5" s="1"/>
  <c r="AG193" i="5" s="1"/>
  <c r="AH193" i="5" s="1"/>
  <c r="AI193" i="5" s="1"/>
  <c r="AD6" i="5"/>
  <c r="AE6" i="5" s="1"/>
  <c r="AF6" i="5" s="1"/>
  <c r="AG6" i="5" s="1"/>
  <c r="AH6" i="5" s="1"/>
  <c r="AI6" i="5" s="1"/>
  <c r="AD100" i="5"/>
  <c r="AE100" i="5" s="1"/>
  <c r="AF100" i="5" s="1"/>
  <c r="AG100" i="5" s="1"/>
  <c r="AH100" i="5" s="1"/>
  <c r="AI100" i="5" s="1"/>
  <c r="AD52" i="5"/>
  <c r="AE52" i="5" s="1"/>
  <c r="AF52" i="5" s="1"/>
  <c r="AG52" i="5" s="1"/>
  <c r="AH52" i="5" s="1"/>
  <c r="AI52" i="5" s="1"/>
  <c r="AD157" i="5"/>
  <c r="AE157" i="5" s="1"/>
  <c r="AF157" i="5" s="1"/>
  <c r="AG157" i="5" s="1"/>
  <c r="AH157" i="5" s="1"/>
  <c r="AI157" i="5" s="1"/>
  <c r="AD250" i="5"/>
  <c r="AE250" i="5" s="1"/>
  <c r="AF250" i="5" s="1"/>
  <c r="AG250" i="5" s="1"/>
  <c r="AH250" i="5" s="1"/>
  <c r="AI250" i="5" s="1"/>
  <c r="AD181" i="5"/>
  <c r="AE181" i="5" s="1"/>
  <c r="AF181" i="5" s="1"/>
  <c r="AG181" i="5" s="1"/>
  <c r="AH181" i="5" s="1"/>
  <c r="AI181" i="5" s="1"/>
  <c r="AD264" i="5"/>
  <c r="AE264" i="5" s="1"/>
  <c r="AF264" i="5" s="1"/>
  <c r="AG264" i="5" s="1"/>
  <c r="AH264" i="5" s="1"/>
  <c r="AI264" i="5" s="1"/>
  <c r="AD213" i="5"/>
  <c r="AE213" i="5" s="1"/>
  <c r="AF213" i="5" s="1"/>
  <c r="AG213" i="5" s="1"/>
  <c r="AH213" i="5" s="1"/>
  <c r="AI213" i="5" s="1"/>
  <c r="AD65" i="5"/>
  <c r="AE65" i="5" s="1"/>
  <c r="AF65" i="5" s="1"/>
  <c r="AG65" i="5" s="1"/>
  <c r="AH65" i="5" s="1"/>
  <c r="AI65" i="5" s="1"/>
  <c r="AD265" i="5"/>
  <c r="AE265" i="5" s="1"/>
  <c r="AF265" i="5" s="1"/>
  <c r="AG265" i="5" s="1"/>
  <c r="AH265" i="5" s="1"/>
  <c r="AI265" i="5" s="1"/>
  <c r="AD228" i="5"/>
  <c r="AE228" i="5" s="1"/>
  <c r="AF228" i="5" s="1"/>
  <c r="AG228" i="5" s="1"/>
  <c r="AH228" i="5" s="1"/>
  <c r="AI228" i="5" s="1"/>
  <c r="AD121" i="5"/>
  <c r="AE121" i="5" s="1"/>
  <c r="AF121" i="5" s="1"/>
  <c r="AG121" i="5" s="1"/>
  <c r="AH121" i="5" s="1"/>
  <c r="AI121" i="5" s="1"/>
  <c r="AD18" i="5"/>
  <c r="AE18" i="5" s="1"/>
  <c r="AF18" i="5" s="1"/>
  <c r="AG18" i="5" s="1"/>
  <c r="AH18" i="5" s="1"/>
  <c r="AI18" i="5" s="1"/>
  <c r="AD31" i="5"/>
  <c r="AE31" i="5" s="1"/>
  <c r="AF31" i="5" s="1"/>
  <c r="AG31" i="5" s="1"/>
  <c r="AH31" i="5" s="1"/>
  <c r="AI31" i="5" s="1"/>
  <c r="AD51" i="5"/>
  <c r="AE51" i="5" s="1"/>
  <c r="AF51" i="5" s="1"/>
  <c r="AG51" i="5" s="1"/>
  <c r="AH51" i="5" s="1"/>
  <c r="AI51" i="5" s="1"/>
  <c r="AD15" i="5"/>
  <c r="AE15" i="5" s="1"/>
  <c r="AF15" i="5" s="1"/>
  <c r="AG15" i="5" s="1"/>
  <c r="AH15" i="5" s="1"/>
  <c r="AI15" i="5" s="1"/>
  <c r="AD49" i="5"/>
  <c r="AE49" i="5" s="1"/>
  <c r="AF49" i="5" s="1"/>
  <c r="AG49" i="5" s="1"/>
  <c r="AH49" i="5" s="1"/>
  <c r="AI49" i="5" s="1"/>
  <c r="AD141" i="5"/>
  <c r="AE141" i="5" s="1"/>
  <c r="AF141" i="5" s="1"/>
  <c r="AG141" i="5" s="1"/>
  <c r="AH141" i="5" s="1"/>
  <c r="AI141" i="5" s="1"/>
  <c r="AD260" i="5"/>
  <c r="AE260" i="5" s="1"/>
  <c r="AF260" i="5" s="1"/>
  <c r="AG260" i="5" s="1"/>
  <c r="AH260" i="5" s="1"/>
  <c r="AI260" i="5" s="1"/>
  <c r="AD212" i="5"/>
  <c r="AE212" i="5" s="1"/>
  <c r="AF212" i="5" s="1"/>
  <c r="AG212" i="5" s="1"/>
  <c r="AH212" i="5" s="1"/>
  <c r="AI212" i="5" s="1"/>
  <c r="AD174" i="5"/>
  <c r="AE174" i="5" s="1"/>
  <c r="AF174" i="5" s="1"/>
  <c r="AG174" i="5" s="1"/>
  <c r="AH174" i="5" s="1"/>
  <c r="AI174" i="5" s="1"/>
  <c r="AD221" i="5"/>
  <c r="AE221" i="5" s="1"/>
  <c r="AF221" i="5" s="1"/>
  <c r="AG221" i="5" s="1"/>
  <c r="AH221" i="5" s="1"/>
  <c r="AI221" i="5" s="1"/>
  <c r="AD56" i="5"/>
  <c r="AE56" i="5" s="1"/>
  <c r="AF56" i="5" s="1"/>
  <c r="AG56" i="5" s="1"/>
  <c r="AH56" i="5" s="1"/>
  <c r="AI56" i="5" s="1"/>
  <c r="AD172" i="5"/>
  <c r="AE172" i="5" s="1"/>
  <c r="AF172" i="5" s="1"/>
  <c r="AG172" i="5" s="1"/>
  <c r="AH172" i="5" s="1"/>
  <c r="AI172" i="5" s="1"/>
  <c r="AD111" i="5"/>
  <c r="AE111" i="5" s="1"/>
  <c r="AF111" i="5" s="1"/>
  <c r="AG111" i="5" s="1"/>
  <c r="AH111" i="5" s="1"/>
  <c r="AI111" i="5" s="1"/>
  <c r="AD240" i="5"/>
  <c r="AE240" i="5" s="1"/>
  <c r="AF240" i="5" s="1"/>
  <c r="AG240" i="5" s="1"/>
  <c r="AH240" i="5" s="1"/>
  <c r="AI240" i="5" s="1"/>
  <c r="AD197" i="5"/>
  <c r="AE197" i="5" s="1"/>
  <c r="AF197" i="5" s="1"/>
  <c r="AG197" i="5" s="1"/>
  <c r="AH197" i="5" s="1"/>
  <c r="AI197" i="5" s="1"/>
  <c r="AD235" i="5"/>
  <c r="AE235" i="5" s="1"/>
  <c r="AF235" i="5" s="1"/>
  <c r="AG235" i="5" s="1"/>
  <c r="AH235" i="5" s="1"/>
  <c r="AI235" i="5" s="1"/>
  <c r="AD107" i="5"/>
  <c r="AE107" i="5" s="1"/>
  <c r="AF107" i="5" s="1"/>
  <c r="AG107" i="5" s="1"/>
  <c r="AH107" i="5" s="1"/>
  <c r="AI107" i="5" s="1"/>
  <c r="AD77" i="5"/>
  <c r="AE77" i="5" s="1"/>
  <c r="AF77" i="5" s="1"/>
  <c r="AG77" i="5" s="1"/>
  <c r="AH77" i="5" s="1"/>
  <c r="AI77" i="5" s="1"/>
  <c r="AD70" i="5"/>
  <c r="AE70" i="5" s="1"/>
  <c r="AF70" i="5" s="1"/>
  <c r="AG70" i="5" s="1"/>
  <c r="AH70" i="5" s="1"/>
  <c r="AI70" i="5" s="1"/>
  <c r="AC154" i="5"/>
  <c r="AC112" i="5"/>
  <c r="AC129" i="5"/>
  <c r="AC271" i="5"/>
  <c r="AC130" i="5"/>
  <c r="AC182" i="5"/>
  <c r="AC108" i="5"/>
  <c r="AC208" i="5"/>
  <c r="AC37" i="5"/>
  <c r="AC183" i="5"/>
  <c r="AC116" i="5"/>
  <c r="AC88" i="5"/>
  <c r="AC241" i="5"/>
  <c r="AC177" i="5"/>
  <c r="AC106" i="5"/>
  <c r="AC127" i="5"/>
  <c r="AC262" i="5"/>
  <c r="AC219" i="5"/>
  <c r="AC115" i="5"/>
  <c r="AC268" i="5"/>
  <c r="AC199" i="5"/>
  <c r="AC153" i="5"/>
  <c r="AC201" i="5"/>
  <c r="AC96" i="5"/>
  <c r="AC169" i="5"/>
  <c r="AC257" i="5"/>
  <c r="Z109" i="5" a="1"/>
  <c r="Z109" i="5" s="1"/>
  <c r="Y19" i="5" a="1"/>
  <c r="Y19" i="5" s="1"/>
  <c r="Y36" i="5" a="1"/>
  <c r="Y36" i="5" s="1"/>
  <c r="Y143" i="5" a="1"/>
  <c r="Y143" i="5" s="1"/>
  <c r="Y110" i="5" a="1"/>
  <c r="Y110" i="5" s="1"/>
  <c r="Y89" i="5" a="1"/>
  <c r="Y89" i="5" s="1"/>
  <c r="Y179" i="5" a="1"/>
  <c r="Y179" i="5" s="1"/>
  <c r="Y54" i="5" a="1"/>
  <c r="Y54" i="5" s="1"/>
  <c r="Y35" i="5" a="1"/>
  <c r="Y35" i="5" s="1"/>
  <c r="Y71" i="5" a="1"/>
  <c r="Y71" i="5" s="1"/>
  <c r="Y4" i="5" a="1"/>
  <c r="Y4" i="5" s="1"/>
  <c r="X12" i="5" a="1"/>
  <c r="X12" i="5" s="1"/>
  <c r="X145" i="5" a="1"/>
  <c r="X145" i="5" s="1"/>
  <c r="X144" i="5" a="1"/>
  <c r="X144" i="5" s="1"/>
  <c r="X27" i="5" a="1"/>
  <c r="X27" i="5" s="1"/>
  <c r="X103" i="5" a="1"/>
  <c r="X103" i="5" s="1"/>
  <c r="X186" i="5" a="1"/>
  <c r="X186" i="5" s="1"/>
  <c r="X170" i="5" a="1"/>
  <c r="X170" i="5" s="1"/>
  <c r="X215" i="5" a="1"/>
  <c r="X215" i="5" s="1"/>
  <c r="X11" i="5" a="1"/>
  <c r="X11" i="5" s="1"/>
  <c r="X48" i="5" a="1"/>
  <c r="X48" i="5" s="1"/>
  <c r="X195" i="5" a="1"/>
  <c r="X195" i="5" s="1"/>
  <c r="X101" i="5" a="1"/>
  <c r="X101" i="5" s="1"/>
  <c r="X45" i="5" a="1"/>
  <c r="X45" i="5" s="1"/>
  <c r="X253" i="5" a="1"/>
  <c r="X253" i="5" s="1"/>
  <c r="X137" i="5" a="1"/>
  <c r="X137" i="5" s="1"/>
  <c r="X222" i="5" a="1"/>
  <c r="X222" i="5" s="1"/>
  <c r="X274" i="5" a="1"/>
  <c r="X274" i="5" s="1"/>
  <c r="X47" i="5" a="1"/>
  <c r="X47" i="5" s="1"/>
  <c r="X216" i="5" a="1"/>
  <c r="X216" i="5" s="1"/>
  <c r="X205" i="5" a="1"/>
  <c r="X205" i="5" s="1"/>
  <c r="X79" i="5" a="1"/>
  <c r="X79" i="5" s="1"/>
  <c r="X151" i="5" a="1"/>
  <c r="X151" i="5" s="1"/>
  <c r="X20" i="5" a="1"/>
  <c r="X20" i="5" s="1"/>
  <c r="X63" i="5" a="1"/>
  <c r="X63" i="5" s="1"/>
  <c r="X64" i="5" a="1"/>
  <c r="X64" i="5" s="1"/>
  <c r="X269" i="5" a="1"/>
  <c r="X269" i="5" s="1"/>
  <c r="X204" i="5" a="1"/>
  <c r="X204" i="5" s="1"/>
  <c r="X13" i="5" a="1"/>
  <c r="X13" i="5" s="1"/>
  <c r="X138" i="5" a="1"/>
  <c r="X138" i="5" s="1"/>
  <c r="X55" i="5" a="1"/>
  <c r="X55" i="5" s="1"/>
  <c r="X251" i="5" a="1"/>
  <c r="X251" i="5" s="1"/>
  <c r="X242" i="5" a="1"/>
  <c r="X242" i="5" s="1"/>
  <c r="X5" i="5" a="1"/>
  <c r="X5" i="5" s="1"/>
  <c r="X28" i="5" a="1"/>
  <c r="X28" i="5" s="1"/>
  <c r="X261" i="5" a="1"/>
  <c r="X261" i="5" s="1"/>
  <c r="X136" i="5" a="1"/>
  <c r="X136" i="5" s="1"/>
  <c r="X245" i="5" a="1"/>
  <c r="X245" i="5" s="1"/>
  <c r="X266" i="5" a="1"/>
  <c r="X266" i="5" s="1"/>
  <c r="X178" i="5" a="1"/>
  <c r="X178" i="5" s="1"/>
  <c r="X118" i="5" a="1"/>
  <c r="X118" i="5" s="1"/>
  <c r="X231" i="5" a="1"/>
  <c r="X231" i="5" s="1"/>
  <c r="X258" i="5" a="1"/>
  <c r="X258" i="5" s="1"/>
  <c r="X223" i="5" a="1"/>
  <c r="X223" i="5" s="1"/>
  <c r="X102" i="5" a="1"/>
  <c r="X102" i="5" s="1"/>
  <c r="X196" i="5" a="1"/>
  <c r="X196" i="5" s="1"/>
  <c r="X220" i="5" a="1"/>
  <c r="X220" i="5" s="1"/>
  <c r="X244" i="5" a="1"/>
  <c r="X244" i="5" s="1"/>
  <c r="X117" i="5" a="1"/>
  <c r="X117" i="5" s="1"/>
  <c r="X189" i="5" a="1"/>
  <c r="X189" i="5" s="1"/>
  <c r="X92" i="5" a="1"/>
  <c r="X92" i="5" s="1"/>
  <c r="X80" i="5" a="1"/>
  <c r="X80" i="5" s="1"/>
  <c r="X72" i="5" a="1"/>
  <c r="X72" i="5" s="1"/>
  <c r="X128" i="5" a="1"/>
  <c r="X128" i="5" s="1"/>
  <c r="X188" i="5" a="1"/>
  <c r="X188" i="5" s="1"/>
  <c r="X171" i="5" a="1"/>
  <c r="X171" i="5" s="1"/>
  <c r="X90" i="5" a="1"/>
  <c r="X90" i="5" s="1"/>
  <c r="X156" i="5" a="1"/>
  <c r="X156" i="5" s="1"/>
  <c r="AD201" i="5" l="1"/>
  <c r="AE201" i="5" s="1"/>
  <c r="AF201" i="5" s="1"/>
  <c r="AG201" i="5" s="1"/>
  <c r="AH201" i="5" s="1"/>
  <c r="AI201" i="5" s="1"/>
  <c r="AD106" i="5"/>
  <c r="AE106" i="5" s="1"/>
  <c r="AF106" i="5" s="1"/>
  <c r="AG106" i="5" s="1"/>
  <c r="AH106" i="5" s="1"/>
  <c r="AI106" i="5" s="1"/>
  <c r="AD208" i="5"/>
  <c r="AE208" i="5" s="1"/>
  <c r="AF208" i="5" s="1"/>
  <c r="AG208" i="5" s="1"/>
  <c r="AH208" i="5" s="1"/>
  <c r="AI208" i="5" s="1"/>
  <c r="AD153" i="5"/>
  <c r="AE153" i="5" s="1"/>
  <c r="AF153" i="5" s="1"/>
  <c r="AG153" i="5" s="1"/>
  <c r="AH153" i="5" s="1"/>
  <c r="AI153" i="5" s="1"/>
  <c r="AD108" i="5"/>
  <c r="AE108" i="5" s="1"/>
  <c r="AF108" i="5" s="1"/>
  <c r="AG108" i="5" s="1"/>
  <c r="AH108" i="5" s="1"/>
  <c r="AI108" i="5" s="1"/>
  <c r="AD199" i="5"/>
  <c r="AE199" i="5" s="1"/>
  <c r="AF199" i="5" s="1"/>
  <c r="AG199" i="5" s="1"/>
  <c r="AH199" i="5" s="1"/>
  <c r="AI199" i="5" s="1"/>
  <c r="AD177" i="5"/>
  <c r="AE177" i="5" s="1"/>
  <c r="AF177" i="5" s="1"/>
  <c r="AG177" i="5" s="1"/>
  <c r="AH177" i="5" s="1"/>
  <c r="AI177" i="5" s="1"/>
  <c r="AD182" i="5"/>
  <c r="AE182" i="5" s="1"/>
  <c r="AF182" i="5" s="1"/>
  <c r="AG182" i="5" s="1"/>
  <c r="AH182" i="5" s="1"/>
  <c r="AI182" i="5" s="1"/>
  <c r="AD268" i="5"/>
  <c r="AE268" i="5" s="1"/>
  <c r="AF268" i="5" s="1"/>
  <c r="AG268" i="5" s="1"/>
  <c r="AH268" i="5" s="1"/>
  <c r="AI268" i="5" s="1"/>
  <c r="AD241" i="5"/>
  <c r="AE241" i="5" s="1"/>
  <c r="AF241" i="5" s="1"/>
  <c r="AG241" i="5" s="1"/>
  <c r="AH241" i="5" s="1"/>
  <c r="AI241" i="5" s="1"/>
  <c r="AD130" i="5"/>
  <c r="AE130" i="5" s="1"/>
  <c r="AF130" i="5" s="1"/>
  <c r="AG130" i="5" s="1"/>
  <c r="AH130" i="5" s="1"/>
  <c r="AI130" i="5" s="1"/>
  <c r="AD115" i="5"/>
  <c r="AE115" i="5" s="1"/>
  <c r="AF115" i="5" s="1"/>
  <c r="AG115" i="5" s="1"/>
  <c r="AH115" i="5" s="1"/>
  <c r="AI115" i="5" s="1"/>
  <c r="AD88" i="5"/>
  <c r="AE88" i="5" s="1"/>
  <c r="AF88" i="5" s="1"/>
  <c r="AG88" i="5" s="1"/>
  <c r="AH88" i="5" s="1"/>
  <c r="AI88" i="5" s="1"/>
  <c r="AD271" i="5"/>
  <c r="AE271" i="5" s="1"/>
  <c r="AF271" i="5" s="1"/>
  <c r="AG271" i="5" s="1"/>
  <c r="AH271" i="5" s="1"/>
  <c r="AI271" i="5" s="1"/>
  <c r="AD257" i="5"/>
  <c r="AE257" i="5" s="1"/>
  <c r="AF257" i="5" s="1"/>
  <c r="AG257" i="5" s="1"/>
  <c r="AH257" i="5" s="1"/>
  <c r="AI257" i="5" s="1"/>
  <c r="AD219" i="5"/>
  <c r="AE219" i="5" s="1"/>
  <c r="AF219" i="5" s="1"/>
  <c r="AG219" i="5" s="1"/>
  <c r="AH219" i="5" s="1"/>
  <c r="AI219" i="5" s="1"/>
  <c r="AD116" i="5"/>
  <c r="AE116" i="5" s="1"/>
  <c r="AF116" i="5" s="1"/>
  <c r="AG116" i="5" s="1"/>
  <c r="AH116" i="5" s="1"/>
  <c r="AI116" i="5" s="1"/>
  <c r="AD129" i="5"/>
  <c r="AE129" i="5" s="1"/>
  <c r="AF129" i="5" s="1"/>
  <c r="AG129" i="5" s="1"/>
  <c r="AH129" i="5" s="1"/>
  <c r="AI129" i="5" s="1"/>
  <c r="AD169" i="5"/>
  <c r="AE169" i="5" s="1"/>
  <c r="AF169" i="5" s="1"/>
  <c r="AG169" i="5" s="1"/>
  <c r="AH169" i="5" s="1"/>
  <c r="AI169" i="5" s="1"/>
  <c r="AD262" i="5"/>
  <c r="AE262" i="5" s="1"/>
  <c r="AF262" i="5" s="1"/>
  <c r="AG262" i="5" s="1"/>
  <c r="AH262" i="5" s="1"/>
  <c r="AI262" i="5" s="1"/>
  <c r="AD183" i="5"/>
  <c r="AE183" i="5" s="1"/>
  <c r="AF183" i="5" s="1"/>
  <c r="AG183" i="5" s="1"/>
  <c r="AH183" i="5" s="1"/>
  <c r="AI183" i="5" s="1"/>
  <c r="AD112" i="5"/>
  <c r="AE112" i="5" s="1"/>
  <c r="AF112" i="5" s="1"/>
  <c r="AG112" i="5" s="1"/>
  <c r="AH112" i="5" s="1"/>
  <c r="AI112" i="5" s="1"/>
  <c r="AD96" i="5"/>
  <c r="AE96" i="5" s="1"/>
  <c r="AF96" i="5" s="1"/>
  <c r="AG96" i="5" s="1"/>
  <c r="AH96" i="5" s="1"/>
  <c r="AI96" i="5" s="1"/>
  <c r="AD127" i="5"/>
  <c r="AE127" i="5" s="1"/>
  <c r="AF127" i="5" s="1"/>
  <c r="AG127" i="5" s="1"/>
  <c r="AH127" i="5" s="1"/>
  <c r="AI127" i="5" s="1"/>
  <c r="AD37" i="5"/>
  <c r="AE37" i="5" s="1"/>
  <c r="AF37" i="5" s="1"/>
  <c r="AG37" i="5" s="1"/>
  <c r="AH37" i="5" s="1"/>
  <c r="AI37" i="5" s="1"/>
  <c r="AD154" i="5"/>
  <c r="AE154" i="5" s="1"/>
  <c r="AF154" i="5" s="1"/>
  <c r="AG154" i="5" s="1"/>
  <c r="AH154" i="5" s="1"/>
  <c r="AI154" i="5" s="1"/>
  <c r="AA109" i="5" a="1"/>
  <c r="AA109" i="5" s="1"/>
  <c r="AB109" i="5" s="1"/>
  <c r="Z110" i="5" a="1"/>
  <c r="Z110" i="5" s="1"/>
  <c r="Z143" i="5" a="1"/>
  <c r="Z143" i="5" s="1"/>
  <c r="Z36" i="5" a="1"/>
  <c r="Z36" i="5" s="1"/>
  <c r="Z71" i="5" a="1"/>
  <c r="Z71" i="5" s="1"/>
  <c r="Z19" i="5" a="1"/>
  <c r="Z19" i="5" s="1"/>
  <c r="Z35" i="5" a="1"/>
  <c r="Z35" i="5" s="1"/>
  <c r="Z4" i="5" a="1"/>
  <c r="Z4" i="5" s="1"/>
  <c r="Z54" i="5" a="1"/>
  <c r="Z54" i="5" s="1"/>
  <c r="Z179" i="5" a="1"/>
  <c r="Z179" i="5" s="1"/>
  <c r="Z89" i="5" a="1"/>
  <c r="Z89" i="5" s="1"/>
  <c r="Y178" i="5" a="1"/>
  <c r="Y178" i="5" s="1"/>
  <c r="Y64" i="5" a="1"/>
  <c r="Y64" i="5" s="1"/>
  <c r="Y274" i="5" a="1"/>
  <c r="Y274" i="5" s="1"/>
  <c r="Y145" i="5" a="1"/>
  <c r="Y145" i="5" s="1"/>
  <c r="Y128" i="5" a="1"/>
  <c r="Y128" i="5" s="1"/>
  <c r="Y244" i="5" a="1"/>
  <c r="Y244" i="5" s="1"/>
  <c r="Y188" i="5" a="1"/>
  <c r="Y188" i="5" s="1"/>
  <c r="Y220" i="5" a="1"/>
  <c r="Y220" i="5" s="1"/>
  <c r="Y242" i="5" a="1"/>
  <c r="Y242" i="5" s="1"/>
  <c r="Y63" i="5" a="1"/>
  <c r="Y63" i="5" s="1"/>
  <c r="Y222" i="5" a="1"/>
  <c r="Y222" i="5" s="1"/>
  <c r="Y11" i="5" a="1"/>
  <c r="Y11" i="5" s="1"/>
  <c r="Y12" i="5" a="1"/>
  <c r="Y12" i="5" s="1"/>
  <c r="Y215" i="5" a="1"/>
  <c r="Y215" i="5" s="1"/>
  <c r="Y72" i="5" a="1"/>
  <c r="Y72" i="5" s="1"/>
  <c r="Y151" i="5" a="1"/>
  <c r="Y151" i="5" s="1"/>
  <c r="Y253" i="5" a="1"/>
  <c r="Y253" i="5" s="1"/>
  <c r="Y170" i="5" a="1"/>
  <c r="Y170" i="5" s="1"/>
  <c r="Y196" i="5" a="1"/>
  <c r="Y196" i="5" s="1"/>
  <c r="Y20" i="5" a="1"/>
  <c r="Y20" i="5" s="1"/>
  <c r="Y245" i="5" a="1"/>
  <c r="Y245" i="5" s="1"/>
  <c r="Y55" i="5" a="1"/>
  <c r="Y55" i="5" s="1"/>
  <c r="Y80" i="5" a="1"/>
  <c r="Y80" i="5" s="1"/>
  <c r="Y223" i="5" a="1"/>
  <c r="Y223" i="5" s="1"/>
  <c r="Y136" i="5" a="1"/>
  <c r="Y136" i="5" s="1"/>
  <c r="Y138" i="5" a="1"/>
  <c r="Y138" i="5" s="1"/>
  <c r="Y79" i="5" a="1"/>
  <c r="Y79" i="5" s="1"/>
  <c r="Y45" i="5" a="1"/>
  <c r="Y45" i="5" s="1"/>
  <c r="Y186" i="5" a="1"/>
  <c r="Y186" i="5" s="1"/>
  <c r="Y251" i="5" a="1"/>
  <c r="Y251" i="5" s="1"/>
  <c r="Y156" i="5" a="1"/>
  <c r="Y156" i="5" s="1"/>
  <c r="Y90" i="5" a="1"/>
  <c r="Y90" i="5" s="1"/>
  <c r="Y92" i="5" a="1"/>
  <c r="Y92" i="5" s="1"/>
  <c r="Y258" i="5" a="1"/>
  <c r="Y258" i="5" s="1"/>
  <c r="Y261" i="5" a="1"/>
  <c r="Y261" i="5" s="1"/>
  <c r="Y13" i="5" a="1"/>
  <c r="Y13" i="5" s="1"/>
  <c r="Y205" i="5" a="1"/>
  <c r="Y205" i="5" s="1"/>
  <c r="Y101" i="5" a="1"/>
  <c r="Y101" i="5" s="1"/>
  <c r="Y103" i="5" a="1"/>
  <c r="Y103" i="5" s="1"/>
  <c r="Y137" i="5" a="1"/>
  <c r="Y137" i="5" s="1"/>
  <c r="Y102" i="5" a="1"/>
  <c r="Y102" i="5" s="1"/>
  <c r="Y189" i="5" a="1"/>
  <c r="Y189" i="5" s="1"/>
  <c r="Y204" i="5" a="1"/>
  <c r="Y204" i="5" s="1"/>
  <c r="Y216" i="5" a="1"/>
  <c r="Y216" i="5" s="1"/>
  <c r="Y195" i="5" a="1"/>
  <c r="Y195" i="5" s="1"/>
  <c r="Y27" i="5" a="1"/>
  <c r="Y27" i="5" s="1"/>
  <c r="Y266" i="5" a="1"/>
  <c r="Y266" i="5" s="1"/>
  <c r="Y171" i="5" a="1"/>
  <c r="Y171" i="5" s="1"/>
  <c r="Y231" i="5" a="1"/>
  <c r="Y231" i="5" s="1"/>
  <c r="Y28" i="5" a="1"/>
  <c r="Y28" i="5" s="1"/>
  <c r="Y117" i="5" a="1"/>
  <c r="Y117" i="5" s="1"/>
  <c r="Y118" i="5" a="1"/>
  <c r="Y118" i="5" s="1"/>
  <c r="Y5" i="5" a="1"/>
  <c r="Y5" i="5" s="1"/>
  <c r="Y269" i="5" a="1"/>
  <c r="Y269" i="5" s="1"/>
  <c r="Y47" i="5" a="1"/>
  <c r="Y47" i="5" s="1"/>
  <c r="Y48" i="5" a="1"/>
  <c r="Y48" i="5" s="1"/>
  <c r="Y144" i="5" a="1"/>
  <c r="Y144" i="5" s="1"/>
  <c r="AC109" i="5" l="1"/>
  <c r="AA54" i="5" a="1"/>
  <c r="AA54" i="5" s="1"/>
  <c r="AB54" i="5" s="1"/>
  <c r="AC54" i="5" s="1"/>
  <c r="AA110" i="5" a="1"/>
  <c r="AA110" i="5" s="1"/>
  <c r="AB110" i="5" s="1"/>
  <c r="AC110" i="5" s="1"/>
  <c r="AA179" i="5" a="1"/>
  <c r="AA179" i="5" s="1"/>
  <c r="AB179" i="5" s="1"/>
  <c r="AA4" i="5" a="1"/>
  <c r="AA4" i="5" s="1"/>
  <c r="AB4" i="5" s="1"/>
  <c r="AC4" i="5" s="1"/>
  <c r="AA35" i="5" a="1"/>
  <c r="AA35" i="5" s="1"/>
  <c r="AB35" i="5" s="1"/>
  <c r="AC35" i="5" s="1"/>
  <c r="AA19" i="5" a="1"/>
  <c r="AA19" i="5" s="1"/>
  <c r="AB19" i="5" s="1"/>
  <c r="AA71" i="5" a="1"/>
  <c r="AA71" i="5" s="1"/>
  <c r="AB71" i="5" s="1"/>
  <c r="AA36" i="5" a="1"/>
  <c r="AA36" i="5" s="1"/>
  <c r="AB36" i="5" s="1"/>
  <c r="AC36" i="5" s="1"/>
  <c r="AA89" i="5" a="1"/>
  <c r="AA89" i="5" s="1"/>
  <c r="AB89" i="5" s="1"/>
  <c r="AA143" i="5" a="1"/>
  <c r="AA143" i="5" s="1"/>
  <c r="AB143" i="5" s="1"/>
  <c r="AC143" i="5" s="1"/>
  <c r="Z5" i="5" a="1"/>
  <c r="Z5" i="5" s="1"/>
  <c r="Z55" i="5" a="1"/>
  <c r="Z55" i="5" s="1"/>
  <c r="Z188" i="5" a="1"/>
  <c r="Z188" i="5" s="1"/>
  <c r="Z178" i="5" a="1"/>
  <c r="Z178" i="5" s="1"/>
  <c r="Z101" i="5" a="1"/>
  <c r="Z101" i="5" s="1"/>
  <c r="Z215" i="5" a="1"/>
  <c r="Z215" i="5" s="1"/>
  <c r="Z118" i="5" a="1"/>
  <c r="Z118" i="5" s="1"/>
  <c r="Z195" i="5" a="1"/>
  <c r="Z195" i="5" s="1"/>
  <c r="Z205" i="5" a="1"/>
  <c r="Z205" i="5" s="1"/>
  <c r="Z186" i="5" a="1"/>
  <c r="Z186" i="5" s="1"/>
  <c r="Z245" i="5" a="1"/>
  <c r="Z245" i="5" s="1"/>
  <c r="Z12" i="5" a="1"/>
  <c r="Z12" i="5" s="1"/>
  <c r="Z244" i="5" a="1"/>
  <c r="Z244" i="5" s="1"/>
  <c r="Z117" i="5" a="1"/>
  <c r="Z117" i="5" s="1"/>
  <c r="Z204" i="5" a="1"/>
  <c r="Z204" i="5" s="1"/>
  <c r="Z261" i="5" a="1"/>
  <c r="Z261" i="5" s="1"/>
  <c r="Z79" i="5" a="1"/>
  <c r="Z79" i="5" s="1"/>
  <c r="Z196" i="5" a="1"/>
  <c r="Z196" i="5" s="1"/>
  <c r="Z222" i="5" a="1"/>
  <c r="Z222" i="5" s="1"/>
  <c r="Z145" i="5" a="1"/>
  <c r="Z145" i="5" s="1"/>
  <c r="Z216" i="5" a="1"/>
  <c r="Z216" i="5" s="1"/>
  <c r="Z144" i="5" a="1"/>
  <c r="Z144" i="5" s="1"/>
  <c r="Z28" i="5" a="1"/>
  <c r="Z28" i="5" s="1"/>
  <c r="Z189" i="5" a="1"/>
  <c r="Z189" i="5" s="1"/>
  <c r="Z258" i="5" a="1"/>
  <c r="Z258" i="5" s="1"/>
  <c r="Z138" i="5" a="1"/>
  <c r="Z138" i="5" s="1"/>
  <c r="Z170" i="5" a="1"/>
  <c r="Z170" i="5" s="1"/>
  <c r="Z63" i="5" a="1"/>
  <c r="Z63" i="5" s="1"/>
  <c r="Z45" i="5" a="1"/>
  <c r="Z45" i="5" s="1"/>
  <c r="Z11" i="5" a="1"/>
  <c r="Z11" i="5" s="1"/>
  <c r="Z48" i="5" a="1"/>
  <c r="Z48" i="5" s="1"/>
  <c r="Z231" i="5" a="1"/>
  <c r="Z231" i="5" s="1"/>
  <c r="Z102" i="5" a="1"/>
  <c r="Z102" i="5" s="1"/>
  <c r="Z92" i="5" a="1"/>
  <c r="Z92" i="5" s="1"/>
  <c r="Z136" i="5" a="1"/>
  <c r="Z136" i="5" s="1"/>
  <c r="Z253" i="5" a="1"/>
  <c r="Z253" i="5" s="1"/>
  <c r="Z242" i="5" a="1"/>
  <c r="Z242" i="5" s="1"/>
  <c r="Z274" i="5" a="1"/>
  <c r="Z274" i="5" s="1"/>
  <c r="Z251" i="5" a="1"/>
  <c r="Z251" i="5" s="1"/>
  <c r="Z13" i="5" a="1"/>
  <c r="Z13" i="5" s="1"/>
  <c r="Z20" i="5" a="1"/>
  <c r="Z20" i="5" s="1"/>
  <c r="Z171" i="5" a="1"/>
  <c r="Z171" i="5" s="1"/>
  <c r="Z137" i="5" a="1"/>
  <c r="Z137" i="5" s="1"/>
  <c r="Z90" i="5" a="1"/>
  <c r="Z90" i="5" s="1"/>
  <c r="Z223" i="5" a="1"/>
  <c r="Z223" i="5" s="1"/>
  <c r="Z151" i="5" a="1"/>
  <c r="Z151" i="5" s="1"/>
  <c r="Z64" i="5" a="1"/>
  <c r="Z64" i="5" s="1"/>
  <c r="Z27" i="5" a="1"/>
  <c r="Z27" i="5" s="1"/>
  <c r="Z128" i="5" a="1"/>
  <c r="Z128" i="5" s="1"/>
  <c r="Z47" i="5" a="1"/>
  <c r="Z47" i="5" s="1"/>
  <c r="Z269" i="5" a="1"/>
  <c r="Z269" i="5" s="1"/>
  <c r="Z266" i="5" a="1"/>
  <c r="Z266" i="5" s="1"/>
  <c r="Z103" i="5" a="1"/>
  <c r="Z103" i="5" s="1"/>
  <c r="Z156" i="5" a="1"/>
  <c r="Z156" i="5" s="1"/>
  <c r="Z80" i="5" a="1"/>
  <c r="Z80" i="5" s="1"/>
  <c r="Z72" i="5" a="1"/>
  <c r="Z72" i="5" s="1"/>
  <c r="Z220" i="5" a="1"/>
  <c r="Z220" i="5" s="1"/>
  <c r="AD36" i="5" l="1"/>
  <c r="AE36" i="5" s="1"/>
  <c r="AF36" i="5" s="1"/>
  <c r="AG36" i="5" s="1"/>
  <c r="AH36" i="5" s="1"/>
  <c r="AI36" i="5" s="1"/>
  <c r="AD54" i="5"/>
  <c r="AE54" i="5" s="1"/>
  <c r="AF54" i="5" s="1"/>
  <c r="AG54" i="5" s="1"/>
  <c r="AH54" i="5" s="1"/>
  <c r="AI54" i="5" s="1"/>
  <c r="AD109" i="5"/>
  <c r="AE109" i="5" s="1"/>
  <c r="AF109" i="5" s="1"/>
  <c r="AG109" i="5" s="1"/>
  <c r="AH109" i="5" s="1"/>
  <c r="AI109" i="5" s="1"/>
  <c r="AD35" i="5"/>
  <c r="AE35" i="5" s="1"/>
  <c r="AF35" i="5" s="1"/>
  <c r="AG35" i="5" s="1"/>
  <c r="AH35" i="5" s="1"/>
  <c r="AI35" i="5" s="1"/>
  <c r="AD4" i="5"/>
  <c r="AE4" i="5" s="1"/>
  <c r="AF4" i="5" s="1"/>
  <c r="AG4" i="5" s="1"/>
  <c r="AH4" i="5" s="1"/>
  <c r="AI4" i="5" s="1"/>
  <c r="AD143" i="5"/>
  <c r="AE143" i="5" s="1"/>
  <c r="AF143" i="5" s="1"/>
  <c r="AG143" i="5" s="1"/>
  <c r="AH143" i="5" s="1"/>
  <c r="AI143" i="5" s="1"/>
  <c r="AD110" i="5"/>
  <c r="AE110" i="5" s="1"/>
  <c r="AF110" i="5" s="1"/>
  <c r="AG110" i="5" s="1"/>
  <c r="AH110" i="5" s="1"/>
  <c r="AI110" i="5" s="1"/>
  <c r="AC179" i="5"/>
  <c r="AC89" i="5"/>
  <c r="AC71" i="5"/>
  <c r="AC19" i="5"/>
  <c r="AA261" i="5" a="1"/>
  <c r="AA261" i="5" s="1"/>
  <c r="AB261" i="5" s="1"/>
  <c r="AC261" i="5" s="1"/>
  <c r="AA103" i="5" a="1"/>
  <c r="AA103" i="5" s="1"/>
  <c r="AB103" i="5" s="1"/>
  <c r="AC103" i="5" s="1"/>
  <c r="AA151" i="5" a="1"/>
  <c r="AA151" i="5" s="1"/>
  <c r="AB151" i="5" s="1"/>
  <c r="AC151" i="5" s="1"/>
  <c r="AA274" i="5" a="1"/>
  <c r="AA274" i="5" s="1"/>
  <c r="AB274" i="5" s="1"/>
  <c r="AC274" i="5" s="1"/>
  <c r="AA11" i="5" a="1"/>
  <c r="AA11" i="5" s="1"/>
  <c r="AB11" i="5" s="1"/>
  <c r="AA28" i="5" a="1"/>
  <c r="AA28" i="5" s="1"/>
  <c r="AB28" i="5" s="1"/>
  <c r="AC28" i="5" s="1"/>
  <c r="AA204" i="5" a="1"/>
  <c r="AA204" i="5" s="1"/>
  <c r="AB204" i="5" s="1"/>
  <c r="AC204" i="5" s="1"/>
  <c r="AA205" i="5" a="1"/>
  <c r="AA205" i="5" s="1"/>
  <c r="AB205" i="5" s="1"/>
  <c r="AC205" i="5" s="1"/>
  <c r="AA5" i="5" a="1"/>
  <c r="AA5" i="5" s="1"/>
  <c r="AB5" i="5" s="1"/>
  <c r="AA223" i="5" a="1"/>
  <c r="AA223" i="5" s="1"/>
  <c r="AB223" i="5" s="1"/>
  <c r="AC223" i="5" s="1"/>
  <c r="AA45" i="5" a="1"/>
  <c r="AA45" i="5" s="1"/>
  <c r="AB45" i="5" s="1"/>
  <c r="AA144" i="5" a="1"/>
  <c r="AA144" i="5" s="1"/>
  <c r="AB144" i="5" s="1"/>
  <c r="AC144" i="5" s="1"/>
  <c r="AA195" i="5" a="1"/>
  <c r="AA195" i="5" s="1"/>
  <c r="AB195" i="5" s="1"/>
  <c r="AC195" i="5" s="1"/>
  <c r="AA186" i="5" a="1"/>
  <c r="AA186" i="5" s="1"/>
  <c r="AB186" i="5" s="1"/>
  <c r="AC186" i="5" s="1"/>
  <c r="AA266" i="5" a="1"/>
  <c r="AA266" i="5" s="1"/>
  <c r="AB266" i="5" s="1"/>
  <c r="AC266" i="5" s="1"/>
  <c r="AA242" i="5" a="1"/>
  <c r="AA242" i="5" s="1"/>
  <c r="AB242" i="5" s="1"/>
  <c r="AC242" i="5" s="1"/>
  <c r="AA269" i="5" a="1"/>
  <c r="AA269" i="5" s="1"/>
  <c r="AB269" i="5" s="1"/>
  <c r="AA90" i="5" a="1"/>
  <c r="AA90" i="5" s="1"/>
  <c r="AB90" i="5" s="1"/>
  <c r="AC90" i="5" s="1"/>
  <c r="AA253" i="5" a="1"/>
  <c r="AA253" i="5" s="1"/>
  <c r="AB253" i="5" s="1"/>
  <c r="AC253" i="5" s="1"/>
  <c r="AA216" i="5" a="1"/>
  <c r="AA216" i="5" s="1"/>
  <c r="AB216" i="5" s="1"/>
  <c r="AC216" i="5" s="1"/>
  <c r="AA117" i="5" a="1"/>
  <c r="AA117" i="5" s="1"/>
  <c r="AB117" i="5" s="1"/>
  <c r="AC117" i="5" s="1"/>
  <c r="AA118" i="5" a="1"/>
  <c r="AA118" i="5" s="1"/>
  <c r="AB118" i="5" s="1"/>
  <c r="AC118" i="5" s="1"/>
  <c r="AA189" i="5" a="1"/>
  <c r="AA189" i="5" s="1"/>
  <c r="AB189" i="5" s="1"/>
  <c r="AC189" i="5" s="1"/>
  <c r="AA137" i="5" a="1"/>
  <c r="AA137" i="5" s="1"/>
  <c r="AB137" i="5" s="1"/>
  <c r="AA63" i="5" a="1"/>
  <c r="AA63" i="5" s="1"/>
  <c r="AB63" i="5" s="1"/>
  <c r="AC63" i="5" s="1"/>
  <c r="AA145" i="5" a="1"/>
  <c r="AA145" i="5" s="1"/>
  <c r="AB145" i="5" s="1"/>
  <c r="AC145" i="5" s="1"/>
  <c r="AA215" i="5" a="1"/>
  <c r="AA215" i="5" s="1"/>
  <c r="AB215" i="5" s="1"/>
  <c r="AC215" i="5" s="1"/>
  <c r="AA156" i="5" a="1"/>
  <c r="AA156" i="5" s="1"/>
  <c r="AB156" i="5" s="1"/>
  <c r="AC156" i="5" s="1"/>
  <c r="AA55" i="5" a="1"/>
  <c r="AA55" i="5" s="1"/>
  <c r="AB55" i="5" s="1"/>
  <c r="AC55" i="5" s="1"/>
  <c r="AA136" i="5" a="1"/>
  <c r="AA136" i="5" s="1"/>
  <c r="AB136" i="5" s="1"/>
  <c r="AC136" i="5" s="1"/>
  <c r="AA171" i="5" a="1"/>
  <c r="AA171" i="5" s="1"/>
  <c r="AB171" i="5" s="1"/>
  <c r="AC171" i="5" s="1"/>
  <c r="AA92" i="5" a="1"/>
  <c r="AA92" i="5" s="1"/>
  <c r="AB92" i="5" s="1"/>
  <c r="AC92" i="5" s="1"/>
  <c r="AA170" i="5" a="1"/>
  <c r="AA170" i="5" s="1"/>
  <c r="AB170" i="5" s="1"/>
  <c r="AC170" i="5" s="1"/>
  <c r="AA222" i="5" a="1"/>
  <c r="AA222" i="5" s="1"/>
  <c r="AB222" i="5" s="1"/>
  <c r="AC222" i="5" s="1"/>
  <c r="AA244" i="5" a="1"/>
  <c r="AA244" i="5" s="1"/>
  <c r="AB244" i="5" s="1"/>
  <c r="AA101" i="5" a="1"/>
  <c r="AA101" i="5" s="1"/>
  <c r="AB101" i="5" s="1"/>
  <c r="AC101" i="5" s="1"/>
  <c r="AA251" i="5" a="1"/>
  <c r="AA251" i="5" s="1"/>
  <c r="AB251" i="5" s="1"/>
  <c r="AA220" i="5" a="1"/>
  <c r="AA220" i="5" s="1"/>
  <c r="AB220" i="5" s="1"/>
  <c r="AA20" i="5" a="1"/>
  <c r="AA20" i="5" s="1"/>
  <c r="AB20" i="5" s="1"/>
  <c r="AC20" i="5" s="1"/>
  <c r="AA138" i="5" a="1"/>
  <c r="AA138" i="5" s="1"/>
  <c r="AB138" i="5" s="1"/>
  <c r="AC138" i="5" s="1"/>
  <c r="AA12" i="5" a="1"/>
  <c r="AA12" i="5" s="1"/>
  <c r="AB12" i="5" s="1"/>
  <c r="AC12" i="5" s="1"/>
  <c r="AA178" i="5" a="1"/>
  <c r="AA178" i="5" s="1"/>
  <c r="AB178" i="5" s="1"/>
  <c r="AC178" i="5" s="1"/>
  <c r="AA48" i="5" a="1"/>
  <c r="AA48" i="5" s="1"/>
  <c r="AB48" i="5" s="1"/>
  <c r="AA47" i="5" a="1"/>
  <c r="AA47" i="5" s="1"/>
  <c r="AB47" i="5" s="1"/>
  <c r="AC47" i="5" s="1"/>
  <c r="AA128" i="5" a="1"/>
  <c r="AA128" i="5" s="1"/>
  <c r="AB128" i="5" s="1"/>
  <c r="AC128" i="5" s="1"/>
  <c r="AA72" i="5" a="1"/>
  <c r="AA72" i="5" s="1"/>
  <c r="AB72" i="5" s="1"/>
  <c r="AC72" i="5" s="1"/>
  <c r="AA27" i="5" a="1"/>
  <c r="AA27" i="5" s="1"/>
  <c r="AB27" i="5" s="1"/>
  <c r="AC27" i="5" s="1"/>
  <c r="AA102" i="5" a="1"/>
  <c r="AA102" i="5" s="1"/>
  <c r="AB102" i="5" s="1"/>
  <c r="AA196" i="5" a="1"/>
  <c r="AA196" i="5" s="1"/>
  <c r="AB196" i="5" s="1"/>
  <c r="AC196" i="5" s="1"/>
  <c r="AA80" i="5" a="1"/>
  <c r="AA80" i="5" s="1"/>
  <c r="AB80" i="5" s="1"/>
  <c r="AA64" i="5" a="1"/>
  <c r="AA64" i="5" s="1"/>
  <c r="AB64" i="5" s="1"/>
  <c r="AC64" i="5" s="1"/>
  <c r="AA13" i="5" a="1"/>
  <c r="AA13" i="5" s="1"/>
  <c r="AB13" i="5" s="1"/>
  <c r="AA231" i="5" a="1"/>
  <c r="AA231" i="5" s="1"/>
  <c r="AB231" i="5" s="1"/>
  <c r="AC231" i="5" s="1"/>
  <c r="AA258" i="5" a="1"/>
  <c r="AA258" i="5" s="1"/>
  <c r="AB258" i="5" s="1"/>
  <c r="AA79" i="5" a="1"/>
  <c r="AA79" i="5" s="1"/>
  <c r="AB79" i="5" s="1"/>
  <c r="AC79" i="5" s="1"/>
  <c r="AA245" i="5" a="1"/>
  <c r="AA245" i="5" s="1"/>
  <c r="AB245" i="5" s="1"/>
  <c r="AA188" i="5" a="1"/>
  <c r="AA188" i="5" s="1"/>
  <c r="AB188" i="5" s="1"/>
  <c r="AD223" i="5" l="1"/>
  <c r="AE223" i="5" s="1"/>
  <c r="AF223" i="5" s="1"/>
  <c r="AG223" i="5" s="1"/>
  <c r="AH223" i="5" s="1"/>
  <c r="AI223" i="5" s="1"/>
  <c r="AD136" i="5"/>
  <c r="AE136" i="5" s="1"/>
  <c r="AF136" i="5" s="1"/>
  <c r="AG136" i="5" s="1"/>
  <c r="AH136" i="5" s="1"/>
  <c r="AI136" i="5" s="1"/>
  <c r="AD189" i="5"/>
  <c r="AE189" i="5" s="1"/>
  <c r="AF189" i="5" s="1"/>
  <c r="AG189" i="5" s="1"/>
  <c r="AH189" i="5" s="1"/>
  <c r="AI189" i="5" s="1"/>
  <c r="AD242" i="5"/>
  <c r="AE242" i="5" s="1"/>
  <c r="AF242" i="5" s="1"/>
  <c r="AG242" i="5" s="1"/>
  <c r="AH242" i="5" s="1"/>
  <c r="AI242" i="5" s="1"/>
  <c r="AD103" i="5"/>
  <c r="AE103" i="5" s="1"/>
  <c r="AF103" i="5" s="1"/>
  <c r="AG103" i="5" s="1"/>
  <c r="AH103" i="5" s="1"/>
  <c r="AI103" i="5" s="1"/>
  <c r="AD151" i="5"/>
  <c r="AE151" i="5" s="1"/>
  <c r="AF151" i="5" s="1"/>
  <c r="AG151" i="5" s="1"/>
  <c r="AH151" i="5" s="1"/>
  <c r="AI151" i="5" s="1"/>
  <c r="AD47" i="5"/>
  <c r="AE47" i="5" s="1"/>
  <c r="AF47" i="5" s="1"/>
  <c r="AG47" i="5" s="1"/>
  <c r="AH47" i="5" s="1"/>
  <c r="AI47" i="5" s="1"/>
  <c r="AD55" i="5"/>
  <c r="AE55" i="5" s="1"/>
  <c r="AF55" i="5" s="1"/>
  <c r="AG55" i="5" s="1"/>
  <c r="AH55" i="5" s="1"/>
  <c r="AI55" i="5" s="1"/>
  <c r="AD118" i="5"/>
  <c r="AE118" i="5" s="1"/>
  <c r="AF118" i="5" s="1"/>
  <c r="AG118" i="5" s="1"/>
  <c r="AH118" i="5" s="1"/>
  <c r="AI118" i="5" s="1"/>
  <c r="AD266" i="5"/>
  <c r="AE266" i="5" s="1"/>
  <c r="AF266" i="5" s="1"/>
  <c r="AG266" i="5" s="1"/>
  <c r="AH266" i="5" s="1"/>
  <c r="AI266" i="5" s="1"/>
  <c r="AD261" i="5"/>
  <c r="AE261" i="5" s="1"/>
  <c r="AF261" i="5" s="1"/>
  <c r="AG261" i="5" s="1"/>
  <c r="AH261" i="5" s="1"/>
  <c r="AI261" i="5" s="1"/>
  <c r="AD64" i="5"/>
  <c r="AE64" i="5" s="1"/>
  <c r="AF64" i="5" s="1"/>
  <c r="AG64" i="5" s="1"/>
  <c r="AH64" i="5" s="1"/>
  <c r="AI64" i="5" s="1"/>
  <c r="AD101" i="5"/>
  <c r="AE101" i="5" s="1"/>
  <c r="AF101" i="5" s="1"/>
  <c r="AG101" i="5" s="1"/>
  <c r="AH101" i="5" s="1"/>
  <c r="AI101" i="5" s="1"/>
  <c r="AD156" i="5"/>
  <c r="AE156" i="5" s="1"/>
  <c r="AF156" i="5" s="1"/>
  <c r="AG156" i="5" s="1"/>
  <c r="AH156" i="5" s="1"/>
  <c r="AI156" i="5" s="1"/>
  <c r="AD117" i="5"/>
  <c r="AE117" i="5" s="1"/>
  <c r="AF117" i="5" s="1"/>
  <c r="AG117" i="5" s="1"/>
  <c r="AH117" i="5" s="1"/>
  <c r="AI117" i="5" s="1"/>
  <c r="AD186" i="5"/>
  <c r="AE186" i="5" s="1"/>
  <c r="AF186" i="5" s="1"/>
  <c r="AG186" i="5" s="1"/>
  <c r="AH186" i="5" s="1"/>
  <c r="AI186" i="5" s="1"/>
  <c r="AD28" i="5"/>
  <c r="AE28" i="5" s="1"/>
  <c r="AF28" i="5" s="1"/>
  <c r="AG28" i="5" s="1"/>
  <c r="AH28" i="5" s="1"/>
  <c r="AI28" i="5" s="1"/>
  <c r="AD170" i="5"/>
  <c r="AE170" i="5" s="1"/>
  <c r="AF170" i="5" s="1"/>
  <c r="AG170" i="5" s="1"/>
  <c r="AH170" i="5" s="1"/>
  <c r="AI170" i="5" s="1"/>
  <c r="AD63" i="5"/>
  <c r="AE63" i="5" s="1"/>
  <c r="AF63" i="5" s="1"/>
  <c r="AG63" i="5" s="1"/>
  <c r="AH63" i="5" s="1"/>
  <c r="AI63" i="5" s="1"/>
  <c r="AD274" i="5"/>
  <c r="AE274" i="5" s="1"/>
  <c r="AF274" i="5" s="1"/>
  <c r="AG274" i="5" s="1"/>
  <c r="AH274" i="5" s="1"/>
  <c r="AI274" i="5" s="1"/>
  <c r="AD178" i="5"/>
  <c r="AE178" i="5" s="1"/>
  <c r="AF178" i="5" s="1"/>
  <c r="AG178" i="5" s="1"/>
  <c r="AH178" i="5" s="1"/>
  <c r="AI178" i="5" s="1"/>
  <c r="AD215" i="5"/>
  <c r="AE215" i="5" s="1"/>
  <c r="AF215" i="5" s="1"/>
  <c r="AG215" i="5" s="1"/>
  <c r="AH215" i="5" s="1"/>
  <c r="AI215" i="5" s="1"/>
  <c r="AD216" i="5"/>
  <c r="AE216" i="5" s="1"/>
  <c r="AF216" i="5" s="1"/>
  <c r="AG216" i="5" s="1"/>
  <c r="AH216" i="5" s="1"/>
  <c r="AI216" i="5" s="1"/>
  <c r="AD195" i="5"/>
  <c r="AE195" i="5" s="1"/>
  <c r="AF195" i="5" s="1"/>
  <c r="AG195" i="5" s="1"/>
  <c r="AH195" i="5" s="1"/>
  <c r="AI195" i="5" s="1"/>
  <c r="AD204" i="5"/>
  <c r="AE204" i="5" s="1"/>
  <c r="AF204" i="5" s="1"/>
  <c r="AG204" i="5" s="1"/>
  <c r="AH204" i="5" s="1"/>
  <c r="AI204" i="5" s="1"/>
  <c r="AD19" i="5"/>
  <c r="AE19" i="5" s="1"/>
  <c r="AF19" i="5" s="1"/>
  <c r="AG19" i="5" s="1"/>
  <c r="AH19" i="5" s="1"/>
  <c r="AI19" i="5" s="1"/>
  <c r="AD196" i="5"/>
  <c r="AE196" i="5" s="1"/>
  <c r="AF196" i="5" s="1"/>
  <c r="AG196" i="5" s="1"/>
  <c r="AH196" i="5" s="1"/>
  <c r="AI196" i="5" s="1"/>
  <c r="AD12" i="5"/>
  <c r="AE12" i="5" s="1"/>
  <c r="AF12" i="5" s="1"/>
  <c r="AG12" i="5" s="1"/>
  <c r="AH12" i="5" s="1"/>
  <c r="AI12" i="5" s="1"/>
  <c r="AD222" i="5"/>
  <c r="AE222" i="5" s="1"/>
  <c r="AF222" i="5" s="1"/>
  <c r="AG222" i="5" s="1"/>
  <c r="AH222" i="5" s="1"/>
  <c r="AI222" i="5" s="1"/>
  <c r="AD71" i="5"/>
  <c r="AE71" i="5" s="1"/>
  <c r="AF71" i="5" s="1"/>
  <c r="AG71" i="5" s="1"/>
  <c r="AH71" i="5" s="1"/>
  <c r="AI71" i="5" s="1"/>
  <c r="AD138" i="5"/>
  <c r="AE138" i="5" s="1"/>
  <c r="AF138" i="5" s="1"/>
  <c r="AG138" i="5" s="1"/>
  <c r="AH138" i="5" s="1"/>
  <c r="AI138" i="5" s="1"/>
  <c r="AD145" i="5"/>
  <c r="AE145" i="5" s="1"/>
  <c r="AF145" i="5" s="1"/>
  <c r="AG145" i="5" s="1"/>
  <c r="AH145" i="5" s="1"/>
  <c r="AI145" i="5" s="1"/>
  <c r="AD253" i="5"/>
  <c r="AE253" i="5" s="1"/>
  <c r="AF253" i="5" s="1"/>
  <c r="AG253" i="5" s="1"/>
  <c r="AH253" i="5" s="1"/>
  <c r="AI253" i="5" s="1"/>
  <c r="AD144" i="5"/>
  <c r="AE144" i="5" s="1"/>
  <c r="AF144" i="5" s="1"/>
  <c r="AG144" i="5" s="1"/>
  <c r="AH144" i="5" s="1"/>
  <c r="AI144" i="5" s="1"/>
  <c r="AD89" i="5"/>
  <c r="AE89" i="5" s="1"/>
  <c r="AF89" i="5" s="1"/>
  <c r="AG89" i="5" s="1"/>
  <c r="AH89" i="5" s="1"/>
  <c r="AI89" i="5" s="1"/>
  <c r="AD79" i="5"/>
  <c r="AE79" i="5" s="1"/>
  <c r="AF79" i="5" s="1"/>
  <c r="AG79" i="5" s="1"/>
  <c r="AH79" i="5" s="1"/>
  <c r="AI79" i="5" s="1"/>
  <c r="AD27" i="5"/>
  <c r="AE27" i="5" s="1"/>
  <c r="AF27" i="5" s="1"/>
  <c r="AG27" i="5" s="1"/>
  <c r="AH27" i="5" s="1"/>
  <c r="AI27" i="5" s="1"/>
  <c r="AD20" i="5"/>
  <c r="AE20" i="5" s="1"/>
  <c r="AF20" i="5" s="1"/>
  <c r="AG20" i="5" s="1"/>
  <c r="AH20" i="5" s="1"/>
  <c r="AI20" i="5" s="1"/>
  <c r="AD92" i="5"/>
  <c r="AE92" i="5" s="1"/>
  <c r="AF92" i="5" s="1"/>
  <c r="AG92" i="5" s="1"/>
  <c r="AH92" i="5" s="1"/>
  <c r="AI92" i="5" s="1"/>
  <c r="AD90" i="5"/>
  <c r="AE90" i="5" s="1"/>
  <c r="AF90" i="5" s="1"/>
  <c r="AG90" i="5" s="1"/>
  <c r="AH90" i="5" s="1"/>
  <c r="AI90" i="5" s="1"/>
  <c r="AD179" i="5"/>
  <c r="AE179" i="5" s="1"/>
  <c r="AF179" i="5" s="1"/>
  <c r="AG179" i="5" s="1"/>
  <c r="AH179" i="5" s="1"/>
  <c r="AI179" i="5" s="1"/>
  <c r="AD72" i="5"/>
  <c r="AE72" i="5" s="1"/>
  <c r="AF72" i="5" s="1"/>
  <c r="AG72" i="5" s="1"/>
  <c r="AH72" i="5" s="1"/>
  <c r="AI72" i="5" s="1"/>
  <c r="AD171" i="5"/>
  <c r="AE171" i="5" s="1"/>
  <c r="AF171" i="5" s="1"/>
  <c r="AG171" i="5" s="1"/>
  <c r="AH171" i="5" s="1"/>
  <c r="AI171" i="5" s="1"/>
  <c r="AD231" i="5"/>
  <c r="AE231" i="5" s="1"/>
  <c r="AF231" i="5" s="1"/>
  <c r="AG231" i="5" s="1"/>
  <c r="AH231" i="5" s="1"/>
  <c r="AI231" i="5" s="1"/>
  <c r="AD128" i="5"/>
  <c r="AE128" i="5" s="1"/>
  <c r="AF128" i="5" s="1"/>
  <c r="AG128" i="5" s="1"/>
  <c r="AH128" i="5" s="1"/>
  <c r="AI128" i="5" s="1"/>
  <c r="AD205" i="5"/>
  <c r="AE205" i="5" s="1"/>
  <c r="AF205" i="5" s="1"/>
  <c r="AG205" i="5" s="1"/>
  <c r="AH205" i="5" s="1"/>
  <c r="AI205" i="5" s="1"/>
  <c r="AC245" i="5"/>
  <c r="AC102" i="5"/>
  <c r="AC258" i="5"/>
  <c r="AC220" i="5"/>
  <c r="AC11" i="5"/>
  <c r="AC188" i="5"/>
  <c r="AC137" i="5"/>
  <c r="AC269" i="5"/>
  <c r="AC45" i="5"/>
  <c r="AC13" i="5"/>
  <c r="AC251" i="5"/>
  <c r="AC48" i="5"/>
  <c r="AC80" i="5"/>
  <c r="AC244" i="5"/>
  <c r="AC5" i="5"/>
  <c r="AD80" i="5" l="1"/>
  <c r="AE80" i="5" s="1"/>
  <c r="AF80" i="5" s="1"/>
  <c r="AG80" i="5" s="1"/>
  <c r="AH80" i="5" s="1"/>
  <c r="AI80" i="5" s="1"/>
  <c r="AD11" i="5"/>
  <c r="AE11" i="5" s="1"/>
  <c r="AF11" i="5" s="1"/>
  <c r="AG11" i="5" s="1"/>
  <c r="AH11" i="5" s="1"/>
  <c r="AI11" i="5" s="1"/>
  <c r="AD188" i="5"/>
  <c r="AE188" i="5" s="1"/>
  <c r="AF188" i="5" s="1"/>
  <c r="AG188" i="5" s="1"/>
  <c r="AH188" i="5" s="1"/>
  <c r="AI188" i="5" s="1"/>
  <c r="AD220" i="5"/>
  <c r="AE220" i="5" s="1"/>
  <c r="AF220" i="5" s="1"/>
  <c r="AG220" i="5" s="1"/>
  <c r="AH220" i="5" s="1"/>
  <c r="AI220" i="5" s="1"/>
  <c r="AD48" i="5"/>
  <c r="AE48" i="5" s="1"/>
  <c r="AF48" i="5" s="1"/>
  <c r="AG48" i="5" s="1"/>
  <c r="AH48" i="5" s="1"/>
  <c r="AI48" i="5" s="1"/>
  <c r="AD251" i="5"/>
  <c r="AE251" i="5" s="1"/>
  <c r="AF251" i="5" s="1"/>
  <c r="AG251" i="5" s="1"/>
  <c r="AH251" i="5" s="1"/>
  <c r="AI251" i="5" s="1"/>
  <c r="AD258" i="5"/>
  <c r="AE258" i="5" s="1"/>
  <c r="AF258" i="5" s="1"/>
  <c r="AG258" i="5" s="1"/>
  <c r="AH258" i="5" s="1"/>
  <c r="AI258" i="5" s="1"/>
  <c r="AD13" i="5"/>
  <c r="AE13" i="5" s="1"/>
  <c r="AF13" i="5" s="1"/>
  <c r="AG13" i="5" s="1"/>
  <c r="AH13" i="5" s="1"/>
  <c r="AI13" i="5" s="1"/>
  <c r="AD244" i="5"/>
  <c r="AE244" i="5" s="1"/>
  <c r="AF244" i="5" s="1"/>
  <c r="AG244" i="5" s="1"/>
  <c r="AH244" i="5" s="1"/>
  <c r="AI244" i="5" s="1"/>
  <c r="AD102" i="5"/>
  <c r="AE102" i="5" s="1"/>
  <c r="AF102" i="5" s="1"/>
  <c r="AG102" i="5" s="1"/>
  <c r="AH102" i="5" s="1"/>
  <c r="AI102" i="5" s="1"/>
  <c r="AD45" i="5"/>
  <c r="AE45" i="5" s="1"/>
  <c r="AF45" i="5" s="1"/>
  <c r="AG45" i="5" s="1"/>
  <c r="AH45" i="5" s="1"/>
  <c r="AI45" i="5" s="1"/>
  <c r="AD245" i="5"/>
  <c r="AE245" i="5" s="1"/>
  <c r="AF245" i="5" s="1"/>
  <c r="AG245" i="5" s="1"/>
  <c r="AH245" i="5" s="1"/>
  <c r="AI245" i="5" s="1"/>
  <c r="AD269" i="5"/>
  <c r="AE269" i="5" s="1"/>
  <c r="AF269" i="5" s="1"/>
  <c r="AG269" i="5" s="1"/>
  <c r="AH269" i="5" s="1"/>
  <c r="AI269" i="5" s="1"/>
  <c r="AD5" i="5"/>
  <c r="AE5" i="5" s="1"/>
  <c r="AF5" i="5" s="1"/>
  <c r="AG5" i="5" s="1"/>
  <c r="AH5" i="5" s="1"/>
  <c r="AI5" i="5" s="1"/>
  <c r="AD137" i="5"/>
  <c r="AE137" i="5" s="1"/>
  <c r="AF137" i="5" s="1"/>
  <c r="AG137" i="5" s="1"/>
  <c r="AH137" i="5" s="1"/>
  <c r="AI137"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tc={DB1BEADB-A8AB-4E0E-B2A3-73BEAE366FA7}</author>
  </authors>
  <commentList>
    <comment ref="T3" authorId="0" shapeId="0" xr:uid="{DB1BEADB-A8AB-4E0E-B2A3-73BEAE366FA7}">
      <text>
        <t>[Threaded comment]
Your version of Excel allows you to read this threaded comment; however, any edits to it will get removed if the file is opened in a newer version of Excel. Learn more: https://go.microsoft.com/fwlink/?linkid=870924
Comment:
    1. Change name from "Heliostat field" to "Power tower". The latter is the standard name used even by big players in the solar industry.
2. There are 4 main types of CSP: power tower, linear fresnel reflector, parabolic trough and parabolic dish or dish/engine. Because of the cylindrical shape of the reflectors, parabolic trough is at times (quite uncommonly) referred to as cylindrical trough. Remove "Cylindrical trough".
3. Under direct use of solar thermal heat create sub-classifications called "Solar heating" and Solar cooling".
4. List the following technologies under solar heating:
a. Solar domestic hot water heater
b. Solar space heater
c. Solar district heater
d. Solar process heater
under solar cooling:
a. Absorption chiller
b. Adsorption chiller
c. Dessicant cooler
i.e. these will replace all technologies currently listed under tier 3 (2422x). However maintain "other solar heaters" to enable us capture missing or unclassfiable technologies.
5. Create another category at the second tier level (24xxx) called "Hybrid solar PV + Thermal" to cater for new development where hybrid solar PV and solar thermal are integrated into one panel system.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tc={F889EDAF-4EC8-4885-B7EC-A36B11FBB215}</author>
    <author>tc={13AB488B-20FB-4B65-9198-6FCD367157D6}</author>
    <author>tc={E2E434C0-DC9D-4FE0-98B2-2E77589B9E55}</author>
    <author>tc={B3D4763B-8CE0-4491-9BAB-05B4BDBFA974}</author>
    <author>tc={4FD24968-8DE7-4F45-AE5F-DB04FB908C56}</author>
    <author>tc={5B669416-EAB3-486B-876A-F1DCEB8AD0FB}</author>
    <author>tc={5A9C2C1B-A759-47E9-AFF1-36731D36FE94}</author>
    <author>tc={2C82C71B-324B-4F02-BF0D-9B856CD78641}</author>
    <author>tc={B1837877-C362-4059-B451-C9F419F11A31}</author>
    <author>tc={085CD7FA-700F-48A4-A6F8-51F13A6703A8}</author>
    <author>tc={E1ABC4EA-228A-4E5D-ACA9-9198554E42FE}</author>
    <author>tc={A8407689-EA65-4F8E-BB83-7612FF611953}</author>
    <author>tc={A9496144-D2A0-471A-A079-AC18AB4DBD7F}</author>
    <author>tc={D21AD1FF-E4FA-4EFD-8156-2050709B94E0}</author>
    <author>tc={7EAB4EAA-3CC0-41A0-BB6F-0399517C2F13}</author>
    <author>tc={9EA33558-8823-43AE-B2E0-893F231B2509}</author>
  </authors>
  <commentList>
    <comment ref="M3" authorId="0" shapeId="0" xr:uid="{F889EDAF-4EC8-4885-B7EC-A36B11FBB215}">
      <text>
        <t>[Threaded comment]
Your version of Excel allows you to read this threaded comment; however, any edits to it will get removed if the file is opened in a newer version of Excel. Learn more: https://go.microsoft.com/fwlink/?linkid=870924
Comment:
    UN Energy Statistics
MJ/kg, GJ/t, PJ/Mt</t>
      </text>
    </comment>
    <comment ref="M159" authorId="1" shapeId="0" xr:uid="{13AB488B-20FB-4B65-9198-6FCD367157D6}">
      <text>
        <t>[Threaded comment]
Your version of Excel allows you to read this threaded comment; however, any edits to it will get removed if the file is opened in a newer version of Excel. Learn more: https://go.microsoft.com/fwlink/?linkid=870924
Comment:
    GJ/m3
and around 1.39t/m3
https://www.fao.org/4/q1085e/q1085e0c.htm</t>
      </text>
    </comment>
    <comment ref="N159" authorId="2" shapeId="0" xr:uid="{E2E434C0-DC9D-4FE0-98B2-2E77589B9E55}">
      <text>
        <t>[Threaded comment]
Your version of Excel allows you to read this threaded comment; however, any edits to it will get removed if the file is opened in a newer version of Excel. Learn more: https://go.microsoft.com/fwlink/?linkid=870924
Comment:
    lamlom2003</t>
      </text>
    </comment>
    <comment ref="C161" authorId="3" shapeId="0" xr:uid="{B3D4763B-8CE0-4491-9BAB-05B4BDBFA974}">
      <text>
        <t>[Threaded comment]
Your version of Excel allows you to read this threaded comment; however, any edits to it will get removed if the file is opened in a newer version of Excel. Learn more: https://go.microsoft.com/fwlink/?linkid=870924
Comment:
    Miscanthus (elephant grass), switchgrass, reeds</t>
      </text>
    </comment>
    <comment ref="C162" authorId="4" shapeId="0" xr:uid="{4FD24968-8DE7-4F45-AE5F-DB04FB908C56}">
      <text>
        <t>[Threaded comment]
Your version of Excel allows you to read this threaded comment; however, any edits to it will get removed if the file is opened in a newer version of Excel. Learn more: https://go.microsoft.com/fwlink/?linkid=870924
Comment:
    Willows, poplars</t>
      </text>
    </comment>
    <comment ref="C163" authorId="5" shapeId="0" xr:uid="{5B669416-EAB3-486B-876A-F1DCEB8AD0FB}">
      <text>
        <t>[Threaded comment]
Your version of Excel allows you to read this threaded comment; however, any edits to it will get removed if the file is opened in a newer version of Excel. Learn more: https://go.microsoft.com/fwlink/?linkid=870924
Comment:
    phytoplankton, microphytes, planktonic algae</t>
      </text>
    </comment>
    <comment ref="C164" authorId="6" shapeId="0" xr:uid="{5A9C2C1B-A759-47E9-AFF1-36731D36FE94}">
      <text>
        <t>[Threaded comment]
Your version of Excel allows you to read this threaded comment; however, any edits to it will get removed if the file is opened in a newer version of Excel. Learn more: https://go.microsoft.com/fwlink/?linkid=870924
Comment:
    seaweed</t>
      </text>
    </comment>
    <comment ref="C165" authorId="7" shapeId="0" xr:uid="{2C82C71B-324B-4F02-BF0D-9B856CD78641}">
      <text>
        <t>[Threaded comment]
Your version of Excel allows you to read this threaded comment; however, any edits to it will get removed if the file is opened in a newer version of Excel. Learn more: https://go.microsoft.com/fwlink/?linkid=870924
Comment:
    Precedes energy products. Not part of the RES. 
Sugarcane, sugar beet, sweet sorghum</t>
      </text>
    </comment>
    <comment ref="C166" authorId="8" shapeId="0" xr:uid="{B1837877-C362-4059-B451-C9F419F11A31}">
      <text>
        <t>[Threaded comment]
Your version of Excel allows you to read this threaded comment; however, any edits to it will get removed if the file is opened in a newer version of Excel. Learn more: https://go.microsoft.com/fwlink/?linkid=870924
Comment:
    Precedes energy products. Not part of the RES. 
Normally used for biodiesel.
Jatropha, soybean, oilseed rape, pongamia, sunflower, babassu palm, peanut, olive</t>
      </text>
    </comment>
    <comment ref="M170" authorId="9" shapeId="0" xr:uid="{085CD7FA-700F-48A4-A6F8-51F13A6703A8}">
      <text>
        <t>[Threaded comment]
Your version of Excel allows you to read this threaded comment; however, any edits to it will get removed if the file is opened in a newer version of Excel. Learn more: https://go.microsoft.com/fwlink/?linkid=870924
Comment:
    GJ/m3
and around 1.39t/m3
https://www.fao.org/4/q1085e/q1085e0c.htm</t>
      </text>
    </comment>
    <comment ref="N170" authorId="10" shapeId="0" xr:uid="{E1ABC4EA-228A-4E5D-ACA9-9198554E42FE}">
      <text>
        <t>[Threaded comment]
Your version of Excel allows you to read this threaded comment; however, any edits to it will get removed if the file is opened in a newer version of Excel. Learn more: https://go.microsoft.com/fwlink/?linkid=870924
Comment:
    lamlom2003</t>
      </text>
    </comment>
    <comment ref="M171" authorId="11" shapeId="0" xr:uid="{A8407689-EA65-4F8E-BB83-7612FF611953}">
      <text>
        <t>[Threaded comment]
Your version of Excel allows you to read this threaded comment; however, any edits to it will get removed if the file is opened in a newer version of Excel. Learn more: https://go.microsoft.com/fwlink/?linkid=870924
Comment:
    garba2014</t>
      </text>
    </comment>
    <comment ref="M179" authorId="12" shapeId="0" xr:uid="{A9496144-D2A0-471A-A079-AC18AB4DBD7F}">
      <text>
        <t>[Threaded comment]
Your version of Excel allows you to read this threaded comment; however, any edits to it will get removed if the file is opened in a newer version of Excel. Learn more: https://go.microsoft.com/fwlink/?linkid=870924
Comment:
    estimate</t>
      </text>
    </comment>
    <comment ref="O179" authorId="13" shapeId="0" xr:uid="{D21AD1FF-E4FA-4EFD-8156-2050709B94E0}">
      <text>
        <t>[Threaded comment]
Your version of Excel allows you to read this threaded comment; however, any edits to it will get removed if the file is opened in a newer version of Excel. Learn more: https://go.microsoft.com/fwlink/?linkid=870924
Comment:
    estimate</t>
      </text>
    </comment>
    <comment ref="M180" authorId="14" shapeId="0" xr:uid="{7EAB4EAA-3CC0-41A0-BB6F-0399517C2F13}">
      <text>
        <t>[Threaded comment]
Your version of Excel allows you to read this threaded comment; however, any edits to it will get removed if the file is opened in a newer version of Excel. Learn more: https://go.microsoft.com/fwlink/?linkid=870924
Comment:
    estimate</t>
      </text>
    </comment>
    <comment ref="M182" authorId="15" shapeId="0" xr:uid="{9EA33558-8823-43AE-B2E0-893F231B2509}">
      <text>
        <t>[Threaded comment]
Your version of Excel allows you to read this threaded comment; however, any edits to it will get removed if the file is opened in a newer version of Excel. Learn more: https://go.microsoft.com/fwlink/?linkid=870924
Comment:
    Guesstimate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tc={59CD2BC3-1A41-4B68-B19C-4F226686CDB6}</author>
    <author>tc={7462769E-3E03-4157-9248-155CB72CCD28}</author>
    <author>tc={88983E74-119B-4169-8F9D-8E489B53A0B2}</author>
    <author>tc={12D24F0C-2688-4026-A30F-C8B907A04691}</author>
    <author>tc={3665202E-083B-42C8-8C3A-4C8C9726C9BE}</author>
    <author>tc={33A93EC8-FDC3-4860-BD8C-CCF6B5DFE98C}</author>
    <author>tc={89DDC653-FD1B-4C79-A74A-2E3F14D5E8F6}</author>
    <author>tc={4B8E185B-9A7B-4E82-BC1A-57B725F4CB7B}</author>
    <author>tc={C9FDDF3C-2146-40DE-ABEE-A51D0E341727}</author>
    <author>tc={FEE01098-A1CB-4D94-8798-13FCF1CBD7D3}</author>
    <author>tc={B52A3E4F-1C71-49C4-B1CB-3F96114F0E36}</author>
  </authors>
  <commentList>
    <comment ref="G8" authorId="0" shapeId="0" xr:uid="{59CD2BC3-1A41-4B68-B19C-4F226686CDB6}">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9" authorId="1" shapeId="0" xr:uid="{7462769E-3E03-4157-9248-155CB72CCD28}">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0" authorId="2" shapeId="0" xr:uid="{88983E74-119B-4169-8F9D-8E489B53A0B2}">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1" authorId="3" shapeId="0" xr:uid="{12D24F0C-2688-4026-A30F-C8B907A04691}">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2" authorId="4" shapeId="0" xr:uid="{3665202E-083B-42C8-8C3A-4C8C9726C9BE}">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3" authorId="5" shapeId="0" xr:uid="{33A93EC8-FDC3-4860-BD8C-CCF6B5DFE98C}">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4" authorId="6" shapeId="0" xr:uid="{89DDC653-FD1B-4C79-A74A-2E3F14D5E8F6}">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5" authorId="7" shapeId="0" xr:uid="{4B8E185B-9A7B-4E82-BC1A-57B725F4CB7B}">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6" authorId="8" shapeId="0" xr:uid="{C9FDDF3C-2146-40DE-ABEE-A51D0E341727}">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7" authorId="9" shapeId="0" xr:uid="{FEE01098-A1CB-4D94-8798-13FCF1CBD7D3}">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 ref="G18" authorId="10" shapeId="0" xr:uid="{B52A3E4F-1C71-49C4-B1CB-3F96114F0E36}">
      <text>
        <t xml:space="preserve">[Threaded comment]
Your version of Excel allows you to read this threaded comment; however, any edits to it will get removed if the file is opened in a newer version of Excel. Learn more: https://go.microsoft.com/fwlink/?linkid=870924
Comment:
    Cost-Effective Locations for Producing Fuels and Chemicals from Carbon Dioxide and Low-Carbon Hydrogen in the Future (acs.org)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tc={9A2FD7BB-9286-4548-9727-6926B9E173AA}</author>
    <author>tc={99E654A3-70D6-4ACC-B53F-AED49770B89C}</author>
    <author>tc={0FFC58A4-7345-4DCE-8513-E134663F25D1}</author>
    <author>tc={61D289C3-E4DC-4D27-90AA-1EDF75EA2343}</author>
    <author>tc={D37E5C1E-6254-49A2-8C59-49724F47D65F}</author>
    <author>tc={2075119E-8DBF-4B97-BE4E-10B1AE3BD051}</author>
    <author>tc={943C1BE5-5FD9-4BC5-9504-E294333BB4BA}</author>
    <author>tc={45806ECB-DB6E-4CC1-8017-E763644D3475}</author>
    <author>tc={45525E37-A0B6-4716-82C3-0020111212FD}</author>
    <author>tc={EF953AB9-8DCB-4FB4-9313-F748581C30A9}</author>
    <author>tc={1E82BD1D-8E3E-4087-A7E1-CAE42862D4AE}</author>
    <author>tc={415394F6-4E19-40DA-BB39-8CC658860977}</author>
    <author>tc={A8B78B4A-6FE9-4348-8615-877C5D429323}</author>
    <author>tc={D6FF8DB1-CFFF-46D5-AC82-DEDBDDD29110}</author>
    <author>tc={8DEFE60B-75BC-4CBB-82B3-880411BB1F44}</author>
    <author>tc={428D2A63-1503-440D-90F7-9EAB1E8AE222}</author>
  </authors>
  <commentList>
    <comment ref="BP5" authorId="0" shapeId="0" xr:uid="{9A2FD7BB-9286-4548-9727-6926B9E173AA}">
      <text>
        <t>[Threaded comment]
Your version of Excel allows you to read this threaded comment; however, any edits to it will get removed if the file is opened in a newer version of Excel. Learn more: https://go.microsoft.com/fwlink/?linkid=870924
Comment:
    Capture or extraction of fuels or energy from natural energy flows, the biosphere and natural reserves of fossil fuels within the national territory in a form suitable for use
Excludes:
1. inert matter removed from fuels
2. reinjected quantities
3. flared or vented quantities</t>
      </text>
    </comment>
    <comment ref="BQ5" authorId="1" shapeId="0" xr:uid="{99E654A3-70D6-4ACC-B53F-AED49770B89C}">
      <text>
        <t>[Threaded comment]
Your version of Excel allows you to read this threaded comment; however, any edits to it will get removed if the file is opened in a newer version of Excel. Learn more: https://go.microsoft.com/fwlink/?linkid=870924
Comment:
    Capture or extraction of fuels or energy from natural energy flows, the biosphere and natural reserves of fossil fuels within the national territory in a form suitable for use
Excludes:
1. inert matter removed from fuels
2. reinjected quantities
3. flared or vented quantities</t>
      </text>
    </comment>
    <comment ref="BP6" authorId="2" shapeId="0" xr:uid="{0FFC58A4-7345-4DCE-8513-E134663F25D1}">
      <text>
        <t>[Threaded comment]
Your version of Excel allows you to read this threaded comment; however, any edits to it will get removed if the file is opened in a newer version of Excel. Learn more: https://go.microsoft.com/fwlink/?linkid=870924
Comment:
    Secondary products. For each energy product, this are reflected by a lighter shade of the column header.
Secondary products do not exist in energy balances. Instead, they are shown in the Transformation block.</t>
      </text>
    </comment>
    <comment ref="BQ6" authorId="3" shapeId="0" xr:uid="{61D289C3-E4DC-4D27-90AA-1EDF75EA2343}">
      <text>
        <t>[Threaded comment]
Your version of Excel allows you to read this threaded comment; however, any edits to it will get removed if the file is opened in a newer version of Excel. Learn more: https://go.microsoft.com/fwlink/?linkid=870924
Comment:
    Covers primary and secondary energy products</t>
      </text>
    </comment>
    <comment ref="BP7" authorId="4" shapeId="0" xr:uid="{D37E5C1E-6254-49A2-8C59-49724F47D65F}">
      <text>
        <t>[Threaded comment]
Your version of Excel allows you to read this threaded comment; however, any edits to it will get removed if the file is opened in a newer version of Excel. Learn more: https://go.microsoft.com/fwlink/?linkid=870924
Comment:
    Covers primary and secondary energy products</t>
      </text>
    </comment>
    <comment ref="BQ7" authorId="5" shapeId="0" xr:uid="{2075119E-8DBF-4B97-BE4E-10B1AE3BD051}">
      <text>
        <t>[Threaded comment]
Your version of Excel allows you to read this threaded comment; however, any edits to it will get removed if the file is opened in a newer version of Excel. Learn more: https://go.microsoft.com/fwlink/?linkid=870924
Comment:
    Covers primary and secondary energy products</t>
      </text>
    </comment>
    <comment ref="BP8" authorId="6" shapeId="0" xr:uid="{943C1BE5-5FD9-4BC5-9504-E294333BB4BA}">
      <text>
        <t>[Threaded comment]
Your version of Excel allows you to read this threaded comment; however, any edits to it will get removed if the file is opened in a newer version of Excel. Learn more: https://go.microsoft.com/fwlink/?linkid=870924
Comment:
    Covers primary and secondary energy products</t>
      </text>
    </comment>
    <comment ref="BQ8" authorId="7" shapeId="0" xr:uid="{45806ECB-DB6E-4CC1-8017-E763644D3475}">
      <text>
        <t>[Threaded comment]
Your version of Excel allows you to read this threaded comment; however, any edits to it will get removed if the file is opened in a newer version of Excel. Learn more: https://go.microsoft.com/fwlink/?linkid=870924
Comment:
    Covers primary and secondary energy products</t>
      </text>
    </comment>
    <comment ref="BP12" authorId="8" shapeId="0" xr:uid="{45525E37-A0B6-4716-82C3-0020111212FD}">
      <text>
        <t>[Threaded comment]
Your version of Excel allows you to read this threaded comment; however, any edits to it will get removed if the file is opened in a newer version of Excel. Learn more: https://go.microsoft.com/fwlink/?linkid=870924
Comment:
    Stock at year-end - stock at year-start</t>
      </text>
    </comment>
    <comment ref="BQ12" authorId="9" shapeId="0" xr:uid="{EF953AB9-8DCB-4FB4-9313-F748581C30A9}">
      <text>
        <t>[Threaded comment]
Your version of Excel allows you to read this threaded comment; however, any edits to it will get removed if the file is opened in a newer version of Excel. Learn more: https://go.microsoft.com/fwlink/?linkid=870924
Comment:
    Stock at year-end - stock at year-start</t>
      </text>
    </comment>
    <comment ref="BP39" authorId="10" shapeId="0" xr:uid="{1E82BD1D-8E3E-4087-A7E1-CAE42862D4AE}">
      <text>
        <t>[Threaded comment]
Your version of Excel allows you to read this threaded comment; however, any edits to it will get removed if the file is opened in a newer version of Excel. Learn more: https://go.microsoft.com/fwlink/?linkid=870924
Comment:
    Consumption of fuels, electricity and heat for the direct support of the production and preparation for use of fuels and energy, except heat not sold</t>
      </text>
    </comment>
    <comment ref="BQ39" authorId="11" shapeId="0" xr:uid="{415394F6-4E19-40DA-BB39-8CC658860977}">
      <text>
        <t>[Threaded comment]
Your version of Excel allows you to read this threaded comment; however, any edits to it will get removed if the file is opened in a newer version of Excel. Learn more: https://go.microsoft.com/fwlink/?linkid=870924
Comment:
    Consumption of fuels, electricity and heat for the direct support of the production and preparation for use of fuels and energy, except heat not sold</t>
      </text>
    </comment>
    <comment ref="BP40" authorId="12" shapeId="0" xr:uid="{A8B78B4A-6FE9-4348-8615-877C5D429323}">
      <text>
        <t>[Threaded comment]
Your version of Excel allows you to read this threaded comment; however, any edits to it will get removed if the file is opened in a newer version of Excel. Learn more: https://go.microsoft.com/fwlink/?linkid=870924
Comment:
    Losses during during:
1. transmission
2. distribution
3. transport
Losses also include:
1. venting and flaring of manufactured gases
2. losses of geothermal heat after production
3. pilferage of fuels or electricity (sometimes referred to as non-technical losses)</t>
      </text>
    </comment>
    <comment ref="BQ40" authorId="13" shapeId="0" xr:uid="{D6FF8DB1-CFFF-46D5-AC82-DEDBDDD29110}">
      <text>
        <t>[Threaded comment]
Your version of Excel allows you to read this threaded comment; however, any edits to it will get removed if the file is opened in a newer version of Excel. Learn more: https://go.microsoft.com/fwlink/?linkid=870924
Comment:
    Losses during during:
1. transmission
2. distribution
3. transport
Losses also include:
1. venting and flaring of manufactured gases
2. losses of geothermal heat after production
3. pilferage of fuels or electricity (sometimes referred to as non-technical losses)</t>
      </text>
    </comment>
    <comment ref="BP64" authorId="14" shapeId="0" xr:uid="{8DEFE60B-75BC-4CBB-82B3-880411BB1F44}">
      <text>
        <t>[Threaded comment]
Your version of Excel allows you to read this threaded comment; however, any edits to it will get removed if the file is opened in a newer version of Excel. Learn more: https://go.microsoft.com/fwlink/?linkid=870924
Comment:
    IRES recommends subdividing even more these sectors where needed (8.42)</t>
      </text>
    </comment>
    <comment ref="BQ64" authorId="15" shapeId="0" xr:uid="{428D2A63-1503-440D-90F7-9EAB1E8AE222}">
      <text>
        <t>[Threaded comment]
Your version of Excel allows you to read this threaded comment; however, any edits to it will get removed if the file is opened in a newer version of Excel. Learn more: https://go.microsoft.com/fwlink/?linkid=870924
Comment:
    IRES recommends subdividing even more these sectors where needed (8.42)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<sst xmlns="http://schemas.openxmlformats.org/spreadsheetml/2006/main" count="8118" uniqueCount="1966">
  <si>
    <t>IRENA Tech Codes</t>
  </si>
  <si>
    <t>SIEC energy products</t>
  </si>
  <si>
    <t>ISIC Economic Sectors</t>
  </si>
  <si>
    <t>RE Target priority</t>
  </si>
  <si>
    <t>IRENA Plant codes</t>
  </si>
  <si>
    <t>IRENA Energy Codes</t>
  </si>
  <si>
    <t>"yes" are for entering data values - "no" are grouping names</t>
  </si>
  <si>
    <t>Specific for the Stats Tool</t>
  </si>
  <si>
    <t>sum these to have the total RE and Non RE</t>
  </si>
  <si>
    <t>DNI - aggregates</t>
  </si>
  <si>
    <t>Source</t>
  </si>
  <si>
    <t>https://unstats.un.org/unsd/publication/SeriesM/seriesm_4rev4e.pdf</t>
  </si>
  <si>
    <t>Redesigned using UNStats's International Recommendation for Energy Standards</t>
  </si>
  <si>
    <t>IRENA code</t>
  </si>
  <si>
    <t>Technology</t>
  </si>
  <si>
    <t>TechES</t>
  </si>
  <si>
    <t>TechFR</t>
  </si>
  <si>
    <t>Parent</t>
  </si>
  <si>
    <t>Data entry</t>
  </si>
  <si>
    <t>Stats Tool Filter</t>
  </si>
  <si>
    <t>RE Parts</t>
  </si>
  <si>
    <t>Include</t>
  </si>
  <si>
    <t>Special Grouping</t>
  </si>
  <si>
    <t>Standard Reference</t>
  </si>
  <si>
    <t>L1N</t>
  </si>
  <si>
    <t>L2N</t>
  </si>
  <si>
    <t>L3N</t>
  </si>
  <si>
    <t>L4N</t>
  </si>
  <si>
    <t>L5N</t>
  </si>
  <si>
    <t>L6N</t>
  </si>
  <si>
    <t>Level 0</t>
  </si>
  <si>
    <t>Level 1</t>
  </si>
  <si>
    <t>Level 2</t>
  </si>
  <si>
    <t>Level 3</t>
  </si>
  <si>
    <t>Level 4</t>
  </si>
  <si>
    <t>Level 5</t>
  </si>
  <si>
    <t>SIEC</t>
  </si>
  <si>
    <t>Section</t>
  </si>
  <si>
    <t>Division</t>
  </si>
  <si>
    <t>Group</t>
  </si>
  <si>
    <t>Class</t>
  </si>
  <si>
    <t>IRENA</t>
  </si>
  <si>
    <t>Title</t>
  </si>
  <si>
    <t>CPC v2</t>
  </si>
  <si>
    <t>HS 2007</t>
  </si>
  <si>
    <t>ID</t>
  </si>
  <si>
    <t>Column1</t>
  </si>
  <si>
    <t>Target type</t>
  </si>
  <si>
    <t>Priority</t>
  </si>
  <si>
    <t>code</t>
  </si>
  <si>
    <t>PType</t>
  </si>
  <si>
    <t>Level N</t>
  </si>
  <si>
    <t>Type</t>
  </si>
  <si>
    <t>L4</t>
  </si>
  <si>
    <t>L3</t>
  </si>
  <si>
    <t>L2</t>
  </si>
  <si>
    <t>FlowID</t>
  </si>
  <si>
    <t>CommBal Name</t>
  </si>
  <si>
    <t>EnerBal Name</t>
  </si>
  <si>
    <t>Detail</t>
  </si>
  <si>
    <t>Status</t>
  </si>
  <si>
    <t>INDEX($P:$X,MATCH($C2,$P:$P,0),9)</t>
  </si>
  <si>
    <t>Total Non-Renewable</t>
  </si>
  <si>
    <t>No Renovables</t>
  </si>
  <si>
    <t>Non Renouvelables</t>
  </si>
  <si>
    <t>No</t>
  </si>
  <si>
    <t>N/A</t>
  </si>
  <si>
    <t>0000</t>
  </si>
  <si>
    <t>Coal</t>
  </si>
  <si>
    <t>Agriculture, forestry and fishing</t>
  </si>
  <si>
    <t>A</t>
  </si>
  <si>
    <t>Policy/Plan/Strategy/Law</t>
  </si>
  <si>
    <t>All plants total</t>
  </si>
  <si>
    <t>Top block</t>
  </si>
  <si>
    <t>Total final consumption</t>
  </si>
  <si>
    <t>Total final energy consumption</t>
  </si>
  <si>
    <t>Manufacturing, construction and non-fuel mining industries</t>
  </si>
  <si>
    <t>Production</t>
  </si>
  <si>
    <t>All</t>
  </si>
  <si>
    <t>Existing</t>
  </si>
  <si>
    <t>Fossil fuels</t>
  </si>
  <si>
    <t>Combustibles fósiles</t>
  </si>
  <si>
    <t>Combustibles fossiles</t>
  </si>
  <si>
    <t>Yes</t>
  </si>
  <si>
    <t>Non RE</t>
  </si>
  <si>
    <t>01</t>
  </si>
  <si>
    <t>0100</t>
  </si>
  <si>
    <t>Hard coal</t>
  </si>
  <si>
    <t>Crop and animal production, hunting and related service activities</t>
  </si>
  <si>
    <t xml:space="preserve">Unconditional NDC </t>
  </si>
  <si>
    <t>On-grid plants total</t>
  </si>
  <si>
    <t>Primary production</t>
  </si>
  <si>
    <t>Proposed</t>
  </si>
  <si>
    <t>Coal and peat</t>
  </si>
  <si>
    <t>Carbón mineral y turba</t>
  </si>
  <si>
    <t>Charbon et tourbe</t>
  </si>
  <si>
    <t>0000, 1000</t>
  </si>
  <si>
    <t>011</t>
  </si>
  <si>
    <t>0110</t>
  </si>
  <si>
    <t>Anthracite</t>
  </si>
  <si>
    <t>Growing of non-perennial crops</t>
  </si>
  <si>
    <t xml:space="preserve">Conditional NDC </t>
  </si>
  <si>
    <t>On-grid main plant</t>
  </si>
  <si>
    <t>Secondary production</t>
  </si>
  <si>
    <t>Carbón mineral</t>
  </si>
  <si>
    <t>Charbon</t>
  </si>
  <si>
    <t>Should</t>
  </si>
  <si>
    <t>DNI</t>
  </si>
  <si>
    <t>0100, 0200</t>
  </si>
  <si>
    <t>012</t>
  </si>
  <si>
    <t>0120</t>
  </si>
  <si>
    <t>Bituminous coal</t>
  </si>
  <si>
    <t>Growing of cereals (except rice), leguminous crops and oil seeds</t>
  </si>
  <si>
    <t>0111</t>
  </si>
  <si>
    <t>Other</t>
  </si>
  <si>
    <t>On-grid CHP plant</t>
  </si>
  <si>
    <t>Imports</t>
  </si>
  <si>
    <t>Coal products</t>
  </si>
  <si>
    <t>Productos de carbón</t>
  </si>
  <si>
    <t>Produits de Charbon</t>
  </si>
  <si>
    <t>0121</t>
  </si>
  <si>
    <t>Coking coal</t>
  </si>
  <si>
    <t>Growing of rice</t>
  </si>
  <si>
    <t>0112</t>
  </si>
  <si>
    <t>Off-grid plants total</t>
  </si>
  <si>
    <t>Exports</t>
  </si>
  <si>
    <t>Oil</t>
  </si>
  <si>
    <t>Petróleo</t>
  </si>
  <si>
    <t>Pétrole</t>
  </si>
  <si>
    <t>0129</t>
  </si>
  <si>
    <t>Other bituminous coal</t>
  </si>
  <si>
    <t>Growing of vegetables and melons, roots and tubers</t>
  </si>
  <si>
    <t>0113</t>
  </si>
  <si>
    <t>Off-grid main plant</t>
  </si>
  <si>
    <t>International bunkers</t>
  </si>
  <si>
    <t>Crude oil</t>
  </si>
  <si>
    <t>Petróleo crudo</t>
  </si>
  <si>
    <t>Pétrole crude</t>
  </si>
  <si>
    <t>4100, 4200, 4300, 4400, 4500</t>
  </si>
  <si>
    <t>0200</t>
  </si>
  <si>
    <t>Brown coal</t>
  </si>
  <si>
    <t>Growing of sugar cane</t>
  </si>
  <si>
    <t>0114</t>
  </si>
  <si>
    <t>Off-grid CHP plant</t>
  </si>
  <si>
    <t>International marine bunkers</t>
  </si>
  <si>
    <t>Oil products</t>
  </si>
  <si>
    <t>Productos de petróleo</t>
  </si>
  <si>
    <t>Produits de Pétrole</t>
  </si>
  <si>
    <t>0210</t>
  </si>
  <si>
    <t>Sub-bituminous coal</t>
  </si>
  <si>
    <t>Growing of tobacco</t>
  </si>
  <si>
    <t>0115</t>
  </si>
  <si>
    <t>Heat plants total</t>
  </si>
  <si>
    <t>International aviation bunkers</t>
  </si>
  <si>
    <t>Natural gas</t>
  </si>
  <si>
    <t>Gas natural</t>
  </si>
  <si>
    <t>Gaz naturel</t>
  </si>
  <si>
    <t>0220</t>
  </si>
  <si>
    <t>Lignite</t>
  </si>
  <si>
    <t>Growing of fibre crops</t>
  </si>
  <si>
    <t>0116</t>
  </si>
  <si>
    <t>Heat main plant</t>
  </si>
  <si>
    <t xml:space="preserve"> </t>
  </si>
  <si>
    <t>Stock changes</t>
  </si>
  <si>
    <t>Fossil fuels n.e.s.</t>
  </si>
  <si>
    <t>Combustibles fósiles (n.e.s.)</t>
  </si>
  <si>
    <t>Combustibles fossiles n.e.s.</t>
  </si>
  <si>
    <t>0300</t>
  </si>
  <si>
    <t>Growing of other non-perennial crops</t>
  </si>
  <si>
    <t>0119</t>
  </si>
  <si>
    <t>Heat CHP plant</t>
  </si>
  <si>
    <t>Total energy supply (TES)</t>
  </si>
  <si>
    <t>Total primary energy supply (TPES)</t>
  </si>
  <si>
    <t>Nuclear</t>
  </si>
  <si>
    <t>Nucléaire</t>
  </si>
  <si>
    <t>0310</t>
  </si>
  <si>
    <t>Coal coke</t>
  </si>
  <si>
    <t>Growing of perennial crops</t>
  </si>
  <si>
    <t>Middle block</t>
  </si>
  <si>
    <t>Statistical difference</t>
  </si>
  <si>
    <t>Pumped storage</t>
  </si>
  <si>
    <t>Hidroeléctrica de bombeo  (Energía empleada para almacenamiento)</t>
  </si>
  <si>
    <t>Stockage pompé</t>
  </si>
  <si>
    <t>Hydropower</t>
  </si>
  <si>
    <t>0311</t>
  </si>
  <si>
    <t>Coke oven coke</t>
  </si>
  <si>
    <t>0121 Growing of grapes</t>
  </si>
  <si>
    <t>Transfers</t>
  </si>
  <si>
    <t>Other non-renewable energy</t>
  </si>
  <si>
    <t>Otros (no renovables)</t>
  </si>
  <si>
    <t>Autres (non renouvelables)</t>
  </si>
  <si>
    <t>0312</t>
  </si>
  <si>
    <t>Gas coke</t>
  </si>
  <si>
    <t>0122 Growing of tropical and subtropical fruits</t>
  </si>
  <si>
    <t>Transformation inputs</t>
  </si>
  <si>
    <t>Transformation processes</t>
  </si>
  <si>
    <t>Non-renewable industrial waste</t>
  </si>
  <si>
    <t>Desechos industriales no renovables</t>
  </si>
  <si>
    <t>Déchets industriels non renouvelables</t>
  </si>
  <si>
    <t>0313</t>
  </si>
  <si>
    <t>Coke breeze</t>
  </si>
  <si>
    <t>0123 Growing of citrus fruits</t>
  </si>
  <si>
    <t>Other Energy Consumption</t>
  </si>
  <si>
    <t>Electricity plants</t>
  </si>
  <si>
    <t>Non-renewable municipal waste</t>
  </si>
  <si>
    <t>Desechos municipales no renovables</t>
  </si>
  <si>
    <t>Déchets municipaux non renouvelables</t>
  </si>
  <si>
    <t>0314</t>
  </si>
  <si>
    <t>Semi cokes</t>
  </si>
  <si>
    <t>0124 Growing of pome fruits and stone fruits</t>
  </si>
  <si>
    <t>Electricity plants - main activity</t>
  </si>
  <si>
    <t>Chemical heat</t>
  </si>
  <si>
    <t>Calor químico</t>
  </si>
  <si>
    <t>Chaleur chimique</t>
  </si>
  <si>
    <t>0320</t>
  </si>
  <si>
    <t>Patent fuel</t>
  </si>
  <si>
    <t>0125 Growing of other tree and bush fruits and nuts</t>
  </si>
  <si>
    <t>Electricity plants - autoproducers</t>
  </si>
  <si>
    <t>Other non-renewable energy n.e.s.</t>
  </si>
  <si>
    <t>Otros (no renovables) n.e.s.</t>
  </si>
  <si>
    <t>Autres (non renouvelables) n.e.s.</t>
  </si>
  <si>
    <t>0330</t>
  </si>
  <si>
    <t>Brown coal briquettes (BKB)</t>
  </si>
  <si>
    <t>0126 Growing of oleaginous fruits</t>
  </si>
  <si>
    <t>Combined Heat and Power (CHP) plants</t>
  </si>
  <si>
    <t>Total Renewable</t>
  </si>
  <si>
    <t>Renovables</t>
  </si>
  <si>
    <t>Renouvelables</t>
  </si>
  <si>
    <t>0340</t>
  </si>
  <si>
    <t>Coal tar</t>
  </si>
  <si>
    <t>0127 Growing of beverage crops</t>
  </si>
  <si>
    <t>CHP plants - main activity</t>
  </si>
  <si>
    <t>Hydropower (excl. Pumped Storage)</t>
  </si>
  <si>
    <t xml:space="preserve">   Hidráulica (excepto almacenamiento con bomba)</t>
  </si>
  <si>
    <t>Hydroéléctricité (sauf stockage pompé)</t>
  </si>
  <si>
    <t>0350</t>
  </si>
  <si>
    <t>Coke oven gas</t>
  </si>
  <si>
    <t>0128 Growing of spices, aromatic, drug and pharmaceutical crops</t>
  </si>
  <si>
    <t>CHP plants - autoproducers</t>
  </si>
  <si>
    <t>Renewable hydropower</t>
  </si>
  <si>
    <t>Hidráulica renovable</t>
  </si>
  <si>
    <t>Hydroéléctricité renouvelable</t>
  </si>
  <si>
    <t>RE</t>
  </si>
  <si>
    <t>0360</t>
  </si>
  <si>
    <t>Gas works gas</t>
  </si>
  <si>
    <t>0129 Growing of other perennial crops</t>
  </si>
  <si>
    <t>Non-energy use</t>
  </si>
  <si>
    <t>Commercial heat plants</t>
  </si>
  <si>
    <t>Mixed Hydro Plants</t>
  </si>
  <si>
    <t>Plantas mixtas</t>
  </si>
  <si>
    <t>Plantes mixtes</t>
  </si>
  <si>
    <t>0370</t>
  </si>
  <si>
    <t>Recovered gases</t>
  </si>
  <si>
    <t>Plant propagation</t>
  </si>
  <si>
    <t>0130</t>
  </si>
  <si>
    <t>Heat plants - main activity</t>
  </si>
  <si>
    <t>Marine energy</t>
  </si>
  <si>
    <t>Energía marina (mareas, olas y océanos)</t>
  </si>
  <si>
    <t>Énergie marine</t>
  </si>
  <si>
    <t>0371</t>
  </si>
  <si>
    <t>Blast furnace gas</t>
  </si>
  <si>
    <t>Animal production</t>
  </si>
  <si>
    <t>0140</t>
  </si>
  <si>
    <t>0141 Raising of cattle and buffaloes</t>
  </si>
  <si>
    <t>Transport</t>
  </si>
  <si>
    <t>Heat plants - autoproducers</t>
  </si>
  <si>
    <t>Wind energy</t>
  </si>
  <si>
    <t>Energía eólica</t>
  </si>
  <si>
    <t>Énergie éolienne</t>
  </si>
  <si>
    <t>0372</t>
  </si>
  <si>
    <t>Basic oxygen steel furnace gas</t>
  </si>
  <si>
    <t>0142 Raising of horses and other equines</t>
  </si>
  <si>
    <t>Charcoal plants</t>
  </si>
  <si>
    <t>Onshore wind energy</t>
  </si>
  <si>
    <t>Energía eólica terrestre</t>
  </si>
  <si>
    <t>Énergie éolienne terrestre</t>
  </si>
  <si>
    <t>0379</t>
  </si>
  <si>
    <t>Other recovered gases</t>
  </si>
  <si>
    <t>0143 Raising of camels and camelids</t>
  </si>
  <si>
    <t>Biomass pellets and briquette plants</t>
  </si>
  <si>
    <t>Offshore wind energy</t>
  </si>
  <si>
    <t>Energía eólica marina</t>
  </si>
  <si>
    <t>Énergie éolienne maritime</t>
  </si>
  <si>
    <t>0390</t>
  </si>
  <si>
    <t>Other coal products</t>
  </si>
  <si>
    <t>0144 Raising of sheep and goats</t>
  </si>
  <si>
    <t>Coke ovens</t>
  </si>
  <si>
    <t>Wind energy n.e.s.</t>
  </si>
  <si>
    <t>Energía eólica n.e.s.</t>
  </si>
  <si>
    <t>Énergie éolienne n.e.s.</t>
  </si>
  <si>
    <t>1000</t>
  </si>
  <si>
    <t>Peat and peat products</t>
  </si>
  <si>
    <t>0145 Raising of swine/pigs</t>
  </si>
  <si>
    <t>Gas works</t>
  </si>
  <si>
    <t>Solar energy</t>
  </si>
  <si>
    <t>Energía solar</t>
  </si>
  <si>
    <t>Énergie solaire</t>
  </si>
  <si>
    <t>1100</t>
  </si>
  <si>
    <t>Peat</t>
  </si>
  <si>
    <t>0146 Raising of poultry</t>
  </si>
  <si>
    <t>Blast furnaces</t>
  </si>
  <si>
    <t>Solar photovoltaic</t>
  </si>
  <si>
    <t>Solar fotovoltaica</t>
  </si>
  <si>
    <t>Solaire photovoltaïque</t>
  </si>
  <si>
    <t>1110</t>
  </si>
  <si>
    <t>Sod peat</t>
  </si>
  <si>
    <t>0149 Raising of other animals</t>
  </si>
  <si>
    <t>Patent fuel plants</t>
  </si>
  <si>
    <t>On-grid Solar photovoltaic</t>
  </si>
  <si>
    <t>Solar fotovoltaica conectada a la red</t>
  </si>
  <si>
    <t>Solaire photovoltaïque sur résau</t>
  </si>
  <si>
    <t>1120</t>
  </si>
  <si>
    <t>Milled peat</t>
  </si>
  <si>
    <t>Mixed farming</t>
  </si>
  <si>
    <t>0150</t>
  </si>
  <si>
    <t>Coal liquefaction plants</t>
  </si>
  <si>
    <t>Photovoltaic Panels (&lt;20kW)</t>
  </si>
  <si>
    <t>Solar fotovoltaica conectada a la red (&lt;20kW)</t>
  </si>
  <si>
    <t>Solaire photovoltaïque sur résau (&lt;20kW)</t>
  </si>
  <si>
    <t>1200</t>
  </si>
  <si>
    <t>Peat products</t>
  </si>
  <si>
    <t>Total Primary Energy Supply</t>
  </si>
  <si>
    <t>Total Energy Supply</t>
  </si>
  <si>
    <t>BKB/peat briquette plants</t>
  </si>
  <si>
    <t>Photovoltaic Panels (20-1000kW)</t>
  </si>
  <si>
    <t>Solar fotovoltaica conectada a la red (20-1000kW)</t>
  </si>
  <si>
    <t>Solaire photovoltaïque sur résau (20-1000kW)</t>
  </si>
  <si>
    <t>1210</t>
  </si>
  <si>
    <t>Peat briquettes</t>
  </si>
  <si>
    <t>Support activities to agriculture and post-harvest crop activities</t>
  </si>
  <si>
    <t>0160</t>
  </si>
  <si>
    <t>Oil refineries</t>
  </si>
  <si>
    <t>Photovoltaic Panels (&gt;1MW)</t>
  </si>
  <si>
    <t>Solar fotovoltaica conectada a la red (&gt;1MW)</t>
  </si>
  <si>
    <t>Solaire photovoltaïque sur résau (&gt;1MW)</t>
  </si>
  <si>
    <t>1290</t>
  </si>
  <si>
    <t>Other peat products</t>
  </si>
  <si>
    <t>0161 Support activities for crop production</t>
  </si>
  <si>
    <t>Petrochemical plants</t>
  </si>
  <si>
    <t>Off-grid Solar photovoltaic</t>
  </si>
  <si>
    <t>Solar fotovoltaica aislada</t>
  </si>
  <si>
    <t>Solaire photovoltaïque hors résau</t>
  </si>
  <si>
    <t>2000</t>
  </si>
  <si>
    <t>Oil shale / oil sands</t>
  </si>
  <si>
    <t>0162 Support activities for animal production</t>
  </si>
  <si>
    <t>Gas-to-liquids (GTL) plants</t>
  </si>
  <si>
    <t>Solar lights (&lt;11W)</t>
  </si>
  <si>
    <t>Luces solares (&lt;11W)</t>
  </si>
  <si>
    <t>Lampes solaires (&lt;11W)</t>
  </si>
  <si>
    <t>3000</t>
  </si>
  <si>
    <t>0163 Post-harvest crop activities</t>
  </si>
  <si>
    <t>Natural gas blending plants</t>
  </si>
  <si>
    <t>SHS (11-50W)</t>
  </si>
  <si>
    <t>Sistemas solares caseros (11-50W)</t>
  </si>
  <si>
    <t>Systèmes solaires domestiques (11-50W)</t>
  </si>
  <si>
    <t>4000</t>
  </si>
  <si>
    <t>0164 Seed processing for propagation</t>
  </si>
  <si>
    <t>Other transformation processes n.e.s.</t>
  </si>
  <si>
    <t>SHS (&gt;50W)</t>
  </si>
  <si>
    <t>Sistemas solares caseros (&gt;50W)</t>
  </si>
  <si>
    <t>Systèmes solaires domestiques (&gt;50W)</t>
  </si>
  <si>
    <t>4100</t>
  </si>
  <si>
    <t>Conventional crude oil</t>
  </si>
  <si>
    <t>Hunting, trapping and related service activities</t>
  </si>
  <si>
    <t>0170</t>
  </si>
  <si>
    <t>Energy industries own use</t>
  </si>
  <si>
    <t>Solar towers</t>
  </si>
  <si>
    <t>Torres solares</t>
  </si>
  <si>
    <t>Tours solaires</t>
  </si>
  <si>
    <t>4200</t>
  </si>
  <si>
    <t>Natural gas liquids (NGL)</t>
  </si>
  <si>
    <t>Forestry and logging</t>
  </si>
  <si>
    <t>Losses</t>
  </si>
  <si>
    <t>Solar pumps</t>
  </si>
  <si>
    <t>Bombas solares</t>
  </si>
  <si>
    <t>Pompage solaire</t>
  </si>
  <si>
    <t>4300</t>
  </si>
  <si>
    <t>Refinery feedstocks</t>
  </si>
  <si>
    <t>Silviculture and other forestry activities</t>
  </si>
  <si>
    <t>Bottom block</t>
  </si>
  <si>
    <t>Final consumption</t>
  </si>
  <si>
    <t>Solar mini-grids</t>
  </si>
  <si>
    <t>Miniredes solares</t>
  </si>
  <si>
    <t>Mini-réseaux solaires</t>
  </si>
  <si>
    <t>4400</t>
  </si>
  <si>
    <t>Additives and oxygenates</t>
  </si>
  <si>
    <t>Logging</t>
  </si>
  <si>
    <t>Final energy consumption</t>
  </si>
  <si>
    <t>Other off-grid PV</t>
  </si>
  <si>
    <t>Otras solares fotovoltaicas aisladas</t>
  </si>
  <si>
    <t>Autres photovoltaïques hors-réseau</t>
  </si>
  <si>
    <t>4500</t>
  </si>
  <si>
    <t>Other hydrocarbons</t>
  </si>
  <si>
    <t>Gathering of non-wood forest products</t>
  </si>
  <si>
    <t>0230</t>
  </si>
  <si>
    <t>Industry</t>
  </si>
  <si>
    <t>Solar thermal energy</t>
  </si>
  <si>
    <t>Energía solar térmica</t>
  </si>
  <si>
    <t>Énergie solaire thermique</t>
  </si>
  <si>
    <t>4600</t>
  </si>
  <si>
    <t>Support services to forestry</t>
  </si>
  <si>
    <t>0240</t>
  </si>
  <si>
    <t>Statistical differences</t>
  </si>
  <si>
    <t>Iron and steel</t>
  </si>
  <si>
    <t>Concentrated solar power</t>
  </si>
  <si>
    <t>Energía solar termoeléctrica (CSP)</t>
  </si>
  <si>
    <t>Solaire thermique à concentration</t>
  </si>
  <si>
    <t>4610</t>
  </si>
  <si>
    <t>Refinery gas</t>
  </si>
  <si>
    <t>Fishing and aquaculture</t>
  </si>
  <si>
    <t>Chemical and petrochemical</t>
  </si>
  <si>
    <t>Other solar thermal energy</t>
  </si>
  <si>
    <t>Otras energías solares térmicas</t>
  </si>
  <si>
    <t>Autres énergies solaires thermiques</t>
  </si>
  <si>
    <t>4620</t>
  </si>
  <si>
    <t>Ethane</t>
  </si>
  <si>
    <t>Fishing</t>
  </si>
  <si>
    <t>Non-ferrous metals</t>
  </si>
  <si>
    <t>Concentrated solar thermal</t>
  </si>
  <si>
    <t>4630</t>
  </si>
  <si>
    <t>Liquefied petroleum gases (LPG)</t>
  </si>
  <si>
    <t>Marine fishing</t>
  </si>
  <si>
    <t>Non-metallic minerals</t>
  </si>
  <si>
    <t>Solar water heaters</t>
  </si>
  <si>
    <t>Calentadores de agua solares</t>
  </si>
  <si>
    <t>Chauffe-eau solaire</t>
  </si>
  <si>
    <t>4640</t>
  </si>
  <si>
    <t>Naphta</t>
  </si>
  <si>
    <t>Freshwater fishing</t>
  </si>
  <si>
    <t>Transformation</t>
  </si>
  <si>
    <t>Electricity, CHP and heat plants</t>
  </si>
  <si>
    <t>Transport equipment</t>
  </si>
  <si>
    <t>Other solar heaters</t>
  </si>
  <si>
    <t>Otros calentadores solares</t>
  </si>
  <si>
    <t>Autres réchauffeurs solaires</t>
  </si>
  <si>
    <t>4650</t>
  </si>
  <si>
    <t>Gasolines</t>
  </si>
  <si>
    <t>Aquaculture</t>
  </si>
  <si>
    <t>Machinery</t>
  </si>
  <si>
    <t>Solar energy n.e.s.</t>
  </si>
  <si>
    <t>Energía solar n.e.s.</t>
  </si>
  <si>
    <t>Énergie solaire n.e.s.</t>
  </si>
  <si>
    <t>4651</t>
  </si>
  <si>
    <t>Aviation gasoline</t>
  </si>
  <si>
    <t>Marine aquaculture</t>
  </si>
  <si>
    <t>0321</t>
  </si>
  <si>
    <t>Mining and quarrying</t>
  </si>
  <si>
    <t>Bioenergy</t>
  </si>
  <si>
    <t>Bioenergía</t>
  </si>
  <si>
    <t>Bioénergie</t>
  </si>
  <si>
    <t>4652</t>
  </si>
  <si>
    <t>Motor gasoline</t>
  </si>
  <si>
    <t>Freshwater aquaculture</t>
  </si>
  <si>
    <t>0322</t>
  </si>
  <si>
    <t>Food and tobacco</t>
  </si>
  <si>
    <t>Renewable municipal waste</t>
  </si>
  <si>
    <t>Desechos municipales renovables</t>
  </si>
  <si>
    <t>Déchets municipaux renouvelables</t>
  </si>
  <si>
    <t>Solid biofuels and renewable waste</t>
  </si>
  <si>
    <t>4653</t>
  </si>
  <si>
    <t>Gasoline-type jet fuel</t>
  </si>
  <si>
    <t>B</t>
  </si>
  <si>
    <t>Paper, pulp and print</t>
  </si>
  <si>
    <t>Solid biofuels</t>
  </si>
  <si>
    <t>Biocombustibles sólidos</t>
  </si>
  <si>
    <t>Biocombustibles solides</t>
  </si>
  <si>
    <t>4660</t>
  </si>
  <si>
    <t>Kerosenes</t>
  </si>
  <si>
    <t>Mining of coal and lignite</t>
  </si>
  <si>
    <t>0500</t>
  </si>
  <si>
    <t>Wood and wood products</t>
  </si>
  <si>
    <t>Wood fuel</t>
  </si>
  <si>
    <t>Combustibles de madera</t>
  </si>
  <si>
    <t>Bois de chauffage</t>
  </si>
  <si>
    <t>Primary solid biofuels</t>
  </si>
  <si>
    <t>4661</t>
  </si>
  <si>
    <t>Kerosene-type jet fuel</t>
  </si>
  <si>
    <t>Mining of hard coal</t>
  </si>
  <si>
    <t>0510</t>
  </si>
  <si>
    <t>Textile and leather</t>
  </si>
  <si>
    <t>Energy crops</t>
  </si>
  <si>
    <t>Cultivos energéticos</t>
  </si>
  <si>
    <t>Cultures énergétiques</t>
  </si>
  <si>
    <t>4669</t>
  </si>
  <si>
    <t>Other kerosene</t>
  </si>
  <si>
    <t>Mining of lignite</t>
  </si>
  <si>
    <t>0520</t>
  </si>
  <si>
    <t>Construction</t>
  </si>
  <si>
    <t>Wood waste</t>
  </si>
  <si>
    <t>Desechos madereros</t>
  </si>
  <si>
    <t>Déchets de bois</t>
  </si>
  <si>
    <t>4670</t>
  </si>
  <si>
    <t>Gas oil / diesel oil and Heavy gas oil</t>
  </si>
  <si>
    <t>Extraction of crude petroleum and natural gas</t>
  </si>
  <si>
    <t>0600</t>
  </si>
  <si>
    <t>Industries n.e.s.</t>
  </si>
  <si>
    <t>Black liquor</t>
  </si>
  <si>
    <t>Licor negro</t>
  </si>
  <si>
    <t>Liqueur noire</t>
  </si>
  <si>
    <t>4671</t>
  </si>
  <si>
    <t>Gas oil / diesel oil</t>
  </si>
  <si>
    <t>Extraction of crude petroleum</t>
  </si>
  <si>
    <t>0610</t>
  </si>
  <si>
    <t>Straw</t>
  </si>
  <si>
    <t>Paja</t>
  </si>
  <si>
    <t>Paille</t>
  </si>
  <si>
    <t>4672</t>
  </si>
  <si>
    <t>Heavy gas oil</t>
  </si>
  <si>
    <t>Extraction of natural gas</t>
  </si>
  <si>
    <t>0620</t>
  </si>
  <si>
    <t>Road</t>
  </si>
  <si>
    <t>Bagasse</t>
  </si>
  <si>
    <t>Bagazo</t>
  </si>
  <si>
    <t>4680</t>
  </si>
  <si>
    <t>Fuel oil</t>
  </si>
  <si>
    <t>Mining of metal ores</t>
  </si>
  <si>
    <t>0700</t>
  </si>
  <si>
    <t>Rail</t>
  </si>
  <si>
    <t>Rice husks</t>
  </si>
  <si>
    <t>Cáscara de arroz</t>
  </si>
  <si>
    <t>Coques de riz</t>
  </si>
  <si>
    <t>4690</t>
  </si>
  <si>
    <t>Other oil products</t>
  </si>
  <si>
    <t>Mining of iron ores</t>
  </si>
  <si>
    <t>0710</t>
  </si>
  <si>
    <t>Domestic aviation</t>
  </si>
  <si>
    <t>Other vegetal and agricultural waste</t>
  </si>
  <si>
    <t>Otros desechos vegetales y agriculturales</t>
  </si>
  <si>
    <t>Autres déchets végétaux</t>
  </si>
  <si>
    <t>4691</t>
  </si>
  <si>
    <t>White spirit and special boiling point industrial spirits</t>
  </si>
  <si>
    <t>Mining of non-ferrous metal ores</t>
  </si>
  <si>
    <t>0720</t>
  </si>
  <si>
    <t>Domestic navigation</t>
  </si>
  <si>
    <t>Renewable industrial waste</t>
  </si>
  <si>
    <t>Desecho industrial renovable</t>
  </si>
  <si>
    <t>Déchets industriels renouvelables</t>
  </si>
  <si>
    <t>4692</t>
  </si>
  <si>
    <t>Lubricants</t>
  </si>
  <si>
    <t>Mining of uranium and thorium ores</t>
  </si>
  <si>
    <t>0721</t>
  </si>
  <si>
    <t>Pipeline transport</t>
  </si>
  <si>
    <t>Animal waste</t>
  </si>
  <si>
    <t>Desechos pecuarios (animales)</t>
  </si>
  <si>
    <t>Déchets animaux</t>
  </si>
  <si>
    <t>4693</t>
  </si>
  <si>
    <t>Paraffin waxes</t>
  </si>
  <si>
    <t>Mining of other non-ferrous metal ores</t>
  </si>
  <si>
    <t>0729</t>
  </si>
  <si>
    <t>Transport n.e.s.</t>
  </si>
  <si>
    <t>Other primary solid biofuels n.e.s.</t>
  </si>
  <si>
    <t>Biocombustibles sólidos primarios n.e.s.</t>
  </si>
  <si>
    <t>Autres biocombustibles solides</t>
  </si>
  <si>
    <t>4694</t>
  </si>
  <si>
    <t>Petroleum coke</t>
  </si>
  <si>
    <t>Other mining and quarrying</t>
  </si>
  <si>
    <t>0800</t>
  </si>
  <si>
    <t>Biomass pellets and briquettes</t>
  </si>
  <si>
    <t>Gránulos y briquetas de biomasa</t>
  </si>
  <si>
    <t>Granules et briquettes de biomasse</t>
  </si>
  <si>
    <t>Secondary solid biofuels</t>
  </si>
  <si>
    <t>4695</t>
  </si>
  <si>
    <t>Bitumen</t>
  </si>
  <si>
    <t>Quarrying of stone, sand and clay</t>
  </si>
  <si>
    <t>0810</t>
  </si>
  <si>
    <t>Households</t>
  </si>
  <si>
    <t>Charcoal</t>
  </si>
  <si>
    <t>Carbón vegetal</t>
  </si>
  <si>
    <t>Charbon végétal</t>
  </si>
  <si>
    <t>4699</t>
  </si>
  <si>
    <t>Other oil producs n.e.c.</t>
  </si>
  <si>
    <t>Mining and quarrying n.e.c.</t>
  </si>
  <si>
    <t>0890</t>
  </si>
  <si>
    <t>Commerce and public services</t>
  </si>
  <si>
    <t>Liquid biofuels</t>
  </si>
  <si>
    <t>Biocombustibles líquidos</t>
  </si>
  <si>
    <t>Biocarburants liquides</t>
  </si>
  <si>
    <t>5000</t>
  </si>
  <si>
    <t>Biofuels</t>
  </si>
  <si>
    <t>0891 Mining of chemical and fertilizer minerals</t>
  </si>
  <si>
    <t>Agriculture, forestry</t>
  </si>
  <si>
    <t>Biogasoline</t>
  </si>
  <si>
    <t>Biogasolina</t>
  </si>
  <si>
    <t>5100</t>
  </si>
  <si>
    <t>0892 Extraction of peat</t>
  </si>
  <si>
    <t>Conventional biogasoline</t>
  </si>
  <si>
    <t>Biogasolina convencional</t>
  </si>
  <si>
    <t>Biogasoline conventionnelle</t>
  </si>
  <si>
    <t>5110</t>
  </si>
  <si>
    <t>Fuelwood, wood residues and by-products</t>
  </si>
  <si>
    <t>0893 Extraction of salt</t>
  </si>
  <si>
    <t>Other n.e.s.</t>
  </si>
  <si>
    <t>Advanced biogasoline</t>
  </si>
  <si>
    <t>Biogasolina avanzada</t>
  </si>
  <si>
    <t>Biogasoline avancée</t>
  </si>
  <si>
    <t>5111</t>
  </si>
  <si>
    <t>Wood pellets</t>
  </si>
  <si>
    <t>0899 Other mining and quarrying n.e.c.</t>
  </si>
  <si>
    <t>Biodiesel</t>
  </si>
  <si>
    <t>Biodiésel</t>
  </si>
  <si>
    <t>5119</t>
  </si>
  <si>
    <t>Other fuelwood, wood residues and by-products</t>
  </si>
  <si>
    <t>Mining support service activities</t>
  </si>
  <si>
    <t>Support activities for petroleum and natural gas extraction</t>
  </si>
  <si>
    <t>0910</t>
  </si>
  <si>
    <t>0900</t>
  </si>
  <si>
    <t>Conventional biodiesel</t>
  </si>
  <si>
    <t>Biodiésel convencional</t>
  </si>
  <si>
    <t>Biodiesel conventionnel</t>
  </si>
  <si>
    <t>5120</t>
  </si>
  <si>
    <t>Support activities for other mining and quarrying</t>
  </si>
  <si>
    <t>0990</t>
  </si>
  <si>
    <t>Advanced biodiesel</t>
  </si>
  <si>
    <t>Biodiésel avanzado</t>
  </si>
  <si>
    <t>Biodiesel avancé</t>
  </si>
  <si>
    <t>5130</t>
  </si>
  <si>
    <t>Bio jet kerosene</t>
  </si>
  <si>
    <t>Bioqueroseno</t>
  </si>
  <si>
    <t>Biokérosène</t>
  </si>
  <si>
    <t>5140</t>
  </si>
  <si>
    <t>Manufacturing</t>
  </si>
  <si>
    <t>Manufacture of food products</t>
  </si>
  <si>
    <t>C</t>
  </si>
  <si>
    <t>Other liquid biofuels</t>
  </si>
  <si>
    <t>Otros biocombustibles líquidos</t>
  </si>
  <si>
    <t>Autres biocarburants liquides</t>
  </si>
  <si>
    <t>5150</t>
  </si>
  <si>
    <t>Other vegetal material and residues</t>
  </si>
  <si>
    <t>Ethanol cooking fuel</t>
  </si>
  <si>
    <t>Etanol para cocinar</t>
  </si>
  <si>
    <t>Combustible de cuisson à l'éthanol</t>
  </si>
  <si>
    <t>5160</t>
  </si>
  <si>
    <t>Processing and preserving of meat</t>
  </si>
  <si>
    <t>1010</t>
  </si>
  <si>
    <t>Other liquid biofuels n.e.s.</t>
  </si>
  <si>
    <t>Otros biocombustibles líquidos n.e.s.</t>
  </si>
  <si>
    <t>Autres biocarburants liquides n.e.s.</t>
  </si>
  <si>
    <t>5200</t>
  </si>
  <si>
    <t>Processing and preserving of fish, crustaceans and molluscs</t>
  </si>
  <si>
    <t>1020</t>
  </si>
  <si>
    <t>Biogas</t>
  </si>
  <si>
    <t>Biogás</t>
  </si>
  <si>
    <t>Biogaz</t>
  </si>
  <si>
    <t>5210</t>
  </si>
  <si>
    <t>Processing and preserving of fruit and vegetables</t>
  </si>
  <si>
    <t>1030</t>
  </si>
  <si>
    <t>Landfill gas</t>
  </si>
  <si>
    <t>Biogás de vertedero</t>
  </si>
  <si>
    <t>Biogaz de décharge</t>
  </si>
  <si>
    <t>5220</t>
  </si>
  <si>
    <t>Biodiesels</t>
  </si>
  <si>
    <t>Manufacture of vegetable and animal oils and fats</t>
  </si>
  <si>
    <t>1040</t>
  </si>
  <si>
    <t>Sewage sludge gas</t>
  </si>
  <si>
    <t>Biogás de lodos residuales</t>
  </si>
  <si>
    <t>Biogaz issu des boues d'épuration</t>
  </si>
  <si>
    <t>5230</t>
  </si>
  <si>
    <t>Manufacture of dairy products</t>
  </si>
  <si>
    <t>1050</t>
  </si>
  <si>
    <t>Other biogases from anaerobic fermentation</t>
  </si>
  <si>
    <t>Otros biogases de fermentación anaeróbica</t>
  </si>
  <si>
    <t>Autres biogaz issus de fermentation anaérobique</t>
  </si>
  <si>
    <t>5290</t>
  </si>
  <si>
    <t>Manufacture of grain mill products, starches and starch products</t>
  </si>
  <si>
    <t>Biogases from thermal processes</t>
  </si>
  <si>
    <t>Biogáses de procesos térmicos</t>
  </si>
  <si>
    <t>Biogaz issus de processus thermiques</t>
  </si>
  <si>
    <t>5300</t>
  </si>
  <si>
    <t>Biogases</t>
  </si>
  <si>
    <t>1061 Manufacture of grain mill products</t>
  </si>
  <si>
    <t>Biogas n.e.s.</t>
  </si>
  <si>
    <t>Biogás n.e.s.</t>
  </si>
  <si>
    <t>Biogaz n.e.s.</t>
  </si>
  <si>
    <t>5310</t>
  </si>
  <si>
    <t>Biogases from anaerobic fermentation</t>
  </si>
  <si>
    <t>1060</t>
  </si>
  <si>
    <t>1062 Manufacture of starches and starch products</t>
  </si>
  <si>
    <t>Bioenergy n.e.s.</t>
  </si>
  <si>
    <t>Bioenergía n.e.s.</t>
  </si>
  <si>
    <t>Bioénergie n.e.s.</t>
  </si>
  <si>
    <t>5311</t>
  </si>
  <si>
    <t>Manufacture of other food products</t>
  </si>
  <si>
    <t>1070</t>
  </si>
  <si>
    <t>Geothermal energy</t>
  </si>
  <si>
    <t>Energía geotérmica</t>
  </si>
  <si>
    <t>Énergie géothermique</t>
  </si>
  <si>
    <t>5312</t>
  </si>
  <si>
    <t>1071 Manufacture of bakery products</t>
  </si>
  <si>
    <t>Flash steam</t>
  </si>
  <si>
    <t>5319</t>
  </si>
  <si>
    <t>1072 Manufacture of sugar</t>
  </si>
  <si>
    <t>Dry steam</t>
  </si>
  <si>
    <t>5320</t>
  </si>
  <si>
    <t>1073 Manufacture of cocoa, chocolate and sugar confectionery</t>
  </si>
  <si>
    <t>Binary cycle</t>
  </si>
  <si>
    <t>6000</t>
  </si>
  <si>
    <t>Waste</t>
  </si>
  <si>
    <t>1074 Manufacture of macaroni, noodles, couscous and similar farinaceous products</t>
  </si>
  <si>
    <t>Geothermal energy n.e.s.</t>
  </si>
  <si>
    <t>6100</t>
  </si>
  <si>
    <t>Industrial waste</t>
  </si>
  <si>
    <t>1075 Manufacture of prepared meals and dishes</t>
  </si>
  <si>
    <t>Multiple renewables*</t>
  </si>
  <si>
    <t>Múltiples renovables</t>
  </si>
  <si>
    <t>6200</t>
  </si>
  <si>
    <t>Municipal waste</t>
  </si>
  <si>
    <t>1079 Manufacture of other food products n.e.c.</t>
  </si>
  <si>
    <t>Other renewable energy</t>
  </si>
  <si>
    <t>7000</t>
  </si>
  <si>
    <t>Electricity</t>
  </si>
  <si>
    <t>Manufacture of prepared animal feeds</t>
  </si>
  <si>
    <t>1080</t>
  </si>
  <si>
    <t>Ground source heat pumps</t>
  </si>
  <si>
    <t>8000</t>
  </si>
  <si>
    <t>Heat</t>
  </si>
  <si>
    <t>Manufacture of beverages</t>
  </si>
  <si>
    <t>Air source heat pumps</t>
  </si>
  <si>
    <t>9000</t>
  </si>
  <si>
    <t>Nuclear fuels and other fuels n.e.c.</t>
  </si>
  <si>
    <t>Distilling, rectifying and blending of spirits</t>
  </si>
  <si>
    <t>1101</t>
  </si>
  <si>
    <t>Water source heat pumps</t>
  </si>
  <si>
    <t>9100</t>
  </si>
  <si>
    <t>Uranium and plutonium</t>
  </si>
  <si>
    <t>Manufacture of wines</t>
  </si>
  <si>
    <t>1102</t>
  </si>
  <si>
    <t>Other renewable energy n.e.s.</t>
  </si>
  <si>
    <t>9101</t>
  </si>
  <si>
    <t>Uranium ores</t>
  </si>
  <si>
    <t>Manufacture of malt liquors and malt</t>
  </si>
  <si>
    <t>1103</t>
  </si>
  <si>
    <t>ELECTRICITY</t>
  </si>
  <si>
    <t>9109</t>
  </si>
  <si>
    <t>Other uranium and plutonium</t>
  </si>
  <si>
    <t>Manufacture of soft drinks; production of mineral waters and other bottled waters</t>
  </si>
  <si>
    <t>1104</t>
  </si>
  <si>
    <t>Electricity: non-renewable</t>
  </si>
  <si>
    <t>9200</t>
  </si>
  <si>
    <t>Other nuclear fuels</t>
  </si>
  <si>
    <t>Manufacture of tobacco products</t>
  </si>
  <si>
    <t>Electricity: renewable</t>
  </si>
  <si>
    <t>9900</t>
  </si>
  <si>
    <t>Other fuels n.e.c.</t>
  </si>
  <si>
    <t>Manufacture of textiles</t>
  </si>
  <si>
    <t>1300</t>
  </si>
  <si>
    <t>HEAT</t>
  </si>
  <si>
    <t>Spinning, weaving and finishing of textiles</t>
  </si>
  <si>
    <t>1310</t>
  </si>
  <si>
    <t>Heat: non-renewable</t>
  </si>
  <si>
    <t>1311 Preparation and spinning of textile fibres</t>
  </si>
  <si>
    <t>Heat: renewable</t>
  </si>
  <si>
    <t>1312 Weaving of textiles</t>
  </si>
  <si>
    <t>TOTAL</t>
  </si>
  <si>
    <t>1313 Finishing of textiles</t>
  </si>
  <si>
    <t>Manufacture of other textiles</t>
  </si>
  <si>
    <t>1390</t>
  </si>
  <si>
    <t>1391 Manufacture of knitted and crocheted fabrics</t>
  </si>
  <si>
    <t>1392 Manufacture of made-up textile articles, except apparel</t>
  </si>
  <si>
    <t>1393 Manufacture of carpets and rugs</t>
  </si>
  <si>
    <t>1394 Manufacture of cordage, rope, twine and netting</t>
  </si>
  <si>
    <t>1399 Manufacture of other textiles n.e.c.</t>
  </si>
  <si>
    <t>Manufacture of wearing apparel</t>
  </si>
  <si>
    <t>Manufacture of wearing apparel, except fur apparel</t>
  </si>
  <si>
    <t>1410</t>
  </si>
  <si>
    <t>Manufacture of articles of fur</t>
  </si>
  <si>
    <t>1420</t>
  </si>
  <si>
    <t>Manufacture of knitted and crocheted apparel</t>
  </si>
  <si>
    <t>1430</t>
  </si>
  <si>
    <t>Manufacture of leather and related products</t>
  </si>
  <si>
    <t>1500</t>
  </si>
  <si>
    <t>Tanning and dressing of leather; manufacture of luggage, handbags, saddlery and harness; dressing and dyeing of fur</t>
  </si>
  <si>
    <t>1510</t>
  </si>
  <si>
    <t>1511 Tanning and dressing of leather; dressing and dyeing of fur</t>
  </si>
  <si>
    <t>1512 Manufacture of luggage, handbags and the like, saddlery and harness</t>
  </si>
  <si>
    <t>Manufacture of footwear</t>
  </si>
  <si>
    <t>1520</t>
  </si>
  <si>
    <t>Manufacture of wood and of products of wood and cork, except furniture; manufacture of articles of straw and plaiting materials</t>
  </si>
  <si>
    <t>1600</t>
  </si>
  <si>
    <t>Sawmilling and planing of wood</t>
  </si>
  <si>
    <t>1610</t>
  </si>
  <si>
    <t>Manufacture of products of wood, cork, straw and plaiting materials</t>
  </si>
  <si>
    <t>1620</t>
  </si>
  <si>
    <t>1621 Manufacture of veneer sheets and wood-based panels</t>
  </si>
  <si>
    <t>1622 Manufacture of builders’ carpentry and joinery</t>
  </si>
  <si>
    <t>1623 Manufacture of wooden containers</t>
  </si>
  <si>
    <t>1629 Manufacture of other products of wood; manufacture of articles of cork, straw and plaiting materials</t>
  </si>
  <si>
    <t>Manufacture of paper and paper products</t>
  </si>
  <si>
    <t>1700</t>
  </si>
  <si>
    <t>Manufacture of pulp, paper and paperboard</t>
  </si>
  <si>
    <t>Manufacture of corrugated paper and paperboard and of containers of paper and paperboard</t>
  </si>
  <si>
    <t>Manufacture of other articles of paper and paperboard</t>
  </si>
  <si>
    <t>Electricity, gas, steam and air conditioning supply</t>
  </si>
  <si>
    <t>D</t>
  </si>
  <si>
    <t>3500</t>
  </si>
  <si>
    <t>Electric power generation, transmission and distribution</t>
  </si>
  <si>
    <t>3510</t>
  </si>
  <si>
    <t>Manufacture of gas; distribution of gaseous fuels through mains</t>
  </si>
  <si>
    <t>3520</t>
  </si>
  <si>
    <t>Steam and air conditioning supply</t>
  </si>
  <si>
    <t>3530</t>
  </si>
  <si>
    <t>Water supply; sewerage, waste management and remediation activities</t>
  </si>
  <si>
    <t>E</t>
  </si>
  <si>
    <t>F</t>
  </si>
  <si>
    <t>Wholesale and retail trade; repair of motor vehicles and motorcycles</t>
  </si>
  <si>
    <t>G</t>
  </si>
  <si>
    <t>Transportation and storage</t>
  </si>
  <si>
    <t>H</t>
  </si>
  <si>
    <t>Accommodation and food service activities</t>
  </si>
  <si>
    <t>I</t>
  </si>
  <si>
    <t>Information and communication</t>
  </si>
  <si>
    <t>J</t>
  </si>
  <si>
    <t>Financial and insurance activities</t>
  </si>
  <si>
    <t>K</t>
  </si>
  <si>
    <t>Real estate activities</t>
  </si>
  <si>
    <t>L</t>
  </si>
  <si>
    <t>Professional, scientific and technical activities</t>
  </si>
  <si>
    <t>M</t>
  </si>
  <si>
    <t>Administrative and support service activities</t>
  </si>
  <si>
    <t>N</t>
  </si>
  <si>
    <t>Public administration and defence; compulsory social security</t>
  </si>
  <si>
    <t>O</t>
  </si>
  <si>
    <t>Education</t>
  </si>
  <si>
    <t>P</t>
  </si>
  <si>
    <t>Human health and social work activities</t>
  </si>
  <si>
    <t>Q</t>
  </si>
  <si>
    <t>Arts, entertainment and recreation</t>
  </si>
  <si>
    <t>R</t>
  </si>
  <si>
    <t>Other service activities</t>
  </si>
  <si>
    <t>S</t>
  </si>
  <si>
    <t>Activities of households as employers; undifferentiated goods- and services-producing activities of households for own use</t>
  </si>
  <si>
    <t>T</t>
  </si>
  <si>
    <t>Activities of extraterritorial organizations and bodies</t>
  </si>
  <si>
    <t>U</t>
  </si>
  <si>
    <t>Flow</t>
  </si>
  <si>
    <t>Capacity</t>
  </si>
  <si>
    <t xml:space="preserve">   On-grid main plant</t>
  </si>
  <si>
    <t xml:space="preserve">   On-grid CHP plant</t>
  </si>
  <si>
    <t xml:space="preserve">   Off-grid main plant</t>
  </si>
  <si>
    <t>International Bunkers</t>
  </si>
  <si>
    <t xml:space="preserve">   Off-grid CHP plant</t>
  </si>
  <si>
    <t>Domestic supply</t>
  </si>
  <si>
    <t xml:space="preserve">   Heat main plant</t>
  </si>
  <si>
    <t>Statistical Differences</t>
  </si>
  <si>
    <t>Biofuels and Waste</t>
  </si>
  <si>
    <t xml:space="preserve">   Heat CHP plant</t>
  </si>
  <si>
    <t>Power plants</t>
  </si>
  <si>
    <t>CHP plants</t>
  </si>
  <si>
    <t>Charcoal production</t>
  </si>
  <si>
    <t xml:space="preserve">Biomass pellet and briquette production </t>
  </si>
  <si>
    <t>Biomass energy</t>
  </si>
  <si>
    <t>Other transformation</t>
  </si>
  <si>
    <t>Energy sector and own use</t>
  </si>
  <si>
    <t>Distribution losses</t>
  </si>
  <si>
    <t>Industry sector</t>
  </si>
  <si>
    <t>Coal and Peat Products</t>
  </si>
  <si>
    <t>Transport sector</t>
  </si>
  <si>
    <t xml:space="preserve">   Road transport</t>
  </si>
  <si>
    <t>Commercial and public services</t>
  </si>
  <si>
    <t>Residential</t>
  </si>
  <si>
    <t xml:space="preserve">   Traditional </t>
  </si>
  <si>
    <t>Corn residues</t>
  </si>
  <si>
    <t xml:space="preserve">   Improved</t>
  </si>
  <si>
    <t>Net Calorific Value</t>
  </si>
  <si>
    <t>RE target</t>
  </si>
  <si>
    <t>RE electricity target</t>
  </si>
  <si>
    <t>RE heat target</t>
  </si>
  <si>
    <t>RE transport target</t>
  </si>
  <si>
    <t>Electricity access target</t>
  </si>
  <si>
    <t>Fuelwood</t>
  </si>
  <si>
    <t>Clean cooking target</t>
  </si>
  <si>
    <t>Gasification&amp;Pyrolisis</t>
  </si>
  <si>
    <t>Energy Efficiency</t>
  </si>
  <si>
    <t>Geothermal</t>
  </si>
  <si>
    <t>Sustainable Development Goals</t>
  </si>
  <si>
    <t>Other targets</t>
  </si>
  <si>
    <t>Fiscal measures (taxes, duties)</t>
  </si>
  <si>
    <t>Financial measures (loans, guarantees)</t>
  </si>
  <si>
    <t>Subsidies (FITs, grants)</t>
  </si>
  <si>
    <t>Enabling rules and regulations</t>
  </si>
  <si>
    <t>Electricity quota or RPS</t>
  </si>
  <si>
    <t>Hybrid</t>
  </si>
  <si>
    <t>Blending mandate</t>
  </si>
  <si>
    <t>Hydro</t>
  </si>
  <si>
    <t>Standards and certification</t>
  </si>
  <si>
    <t>Other measures</t>
  </si>
  <si>
    <t>Large hydropower</t>
  </si>
  <si>
    <t>Marine Energy</t>
  </si>
  <si>
    <t>memo: Of which Renewables</t>
  </si>
  <si>
    <t>Mixed plants</t>
  </si>
  <si>
    <t>Natural Gas</t>
  </si>
  <si>
    <t>Off-grid renewables</t>
  </si>
  <si>
    <t>Offshore wind</t>
  </si>
  <si>
    <t>Oil Products</t>
  </si>
  <si>
    <t>On-grid PV (&lt;20kW)</t>
  </si>
  <si>
    <t>On-grid PV (&gt;1MW)</t>
  </si>
  <si>
    <t>On-grid PV (20-1000kW)</t>
  </si>
  <si>
    <t>Onshore wind</t>
  </si>
  <si>
    <t>Other primary solid biomass</t>
  </si>
  <si>
    <t>Primary Coal and Peat</t>
  </si>
  <si>
    <t>Primary Oil</t>
  </si>
  <si>
    <t>Pulp and paper residues</t>
  </si>
  <si>
    <t>Renewable energy and energy efficiency</t>
  </si>
  <si>
    <t>Renewable Municipal Waste</t>
  </si>
  <si>
    <t>Renewables + Natural gas</t>
  </si>
  <si>
    <t>Renewables + Nuclear</t>
  </si>
  <si>
    <t>Renewables excluding large hydropower</t>
  </si>
  <si>
    <t>Sewage sludge</t>
  </si>
  <si>
    <t>Small hydropower</t>
  </si>
  <si>
    <t>Solar and wind</t>
  </si>
  <si>
    <t>Solar Photovoltaic</t>
  </si>
  <si>
    <t>Solar thermal</t>
  </si>
  <si>
    <t>Total Energy</t>
  </si>
  <si>
    <t>TOTAL NON-RENEWABLE</t>
  </si>
  <si>
    <t>TOTAL RENEWABLE</t>
  </si>
  <si>
    <t>Waste to energy</t>
  </si>
  <si>
    <t>Wood and straw pellets/briquettes</t>
  </si>
  <si>
    <t>Multiple renewables</t>
  </si>
  <si>
    <t>Other non-renewables</t>
  </si>
  <si>
    <t>Biogas (cooking)</t>
  </si>
  <si>
    <t>Biogas electricity</t>
  </si>
  <si>
    <t>Solar home systems (&gt;50 W)</t>
  </si>
  <si>
    <t>Solar home systems (11-50 W)</t>
  </si>
  <si>
    <t>Solar lights</t>
  </si>
  <si>
    <t>Biomass electricity</t>
  </si>
  <si>
    <t>Solar PV (Others)</t>
  </si>
  <si>
    <t>Energy</t>
  </si>
  <si>
    <t>Coal-based hydrogen</t>
  </si>
  <si>
    <t>Coal-based ammonia</t>
  </si>
  <si>
    <t>Other coal products n.e.s.</t>
  </si>
  <si>
    <t xml:space="preserve">Natural gas </t>
  </si>
  <si>
    <t>Liquefied natural gas</t>
  </si>
  <si>
    <t>Natural gas products</t>
  </si>
  <si>
    <t>Natural gas-based hydrogen</t>
  </si>
  <si>
    <t>Natural gas-based ammonia</t>
  </si>
  <si>
    <t>Liquefied Petroleum Gases (LPG)</t>
  </si>
  <si>
    <t>Gas oil/diesel oil and heavy gas oil</t>
  </si>
  <si>
    <t>Gas oil/diesel oil</t>
  </si>
  <si>
    <t>White spirit</t>
  </si>
  <si>
    <t>Petroleoum coke</t>
  </si>
  <si>
    <t>Oil-based hydrogen</t>
  </si>
  <si>
    <t>Oil-based ammonia</t>
  </si>
  <si>
    <t>Other oil products n.e.s.</t>
  </si>
  <si>
    <t>Oil shale/sands</t>
  </si>
  <si>
    <t>Other fossil fuels n.e.s.</t>
  </si>
  <si>
    <t>Non-renewable waste</t>
  </si>
  <si>
    <t>Other non-renewable ammonia</t>
  </si>
  <si>
    <t>Renewable Energy</t>
  </si>
  <si>
    <t>Wave energy</t>
  </si>
  <si>
    <t>Tidal energy</t>
  </si>
  <si>
    <t>Ocean current</t>
  </si>
  <si>
    <t>Salinity gradient</t>
  </si>
  <si>
    <t>Thermal gradient</t>
  </si>
  <si>
    <t>Solar telecom towers</t>
  </si>
  <si>
    <t>Heliostat field collector</t>
  </si>
  <si>
    <t>Linear fresnel reflector</t>
  </si>
  <si>
    <t>Parabolic dish</t>
  </si>
  <si>
    <t>Parabolic trough</t>
  </si>
  <si>
    <t>Solar water heating</t>
  </si>
  <si>
    <t>Solar air heating</t>
  </si>
  <si>
    <t>Solar air natural convection heating</t>
  </si>
  <si>
    <t>Solar air forced convection heating</t>
  </si>
  <si>
    <t>Solar air radiative heating</t>
  </si>
  <si>
    <t>Geothermal heat and power</t>
  </si>
  <si>
    <t>Direct use of geothermal heat</t>
  </si>
  <si>
    <t>Harvested biomass</t>
  </si>
  <si>
    <t>Other harvested biomass</t>
  </si>
  <si>
    <t>Harvest residues</t>
  </si>
  <si>
    <t>Logging residues</t>
  </si>
  <si>
    <t>Other harvest residues</t>
  </si>
  <si>
    <t>Biomass processing residues</t>
  </si>
  <si>
    <t>Plant husks</t>
  </si>
  <si>
    <t>Plant shells</t>
  </si>
  <si>
    <t>Oil plant residues</t>
  </si>
  <si>
    <t>Animal residues</t>
  </si>
  <si>
    <t>Manure/dung</t>
  </si>
  <si>
    <t>Animal processing residues</t>
  </si>
  <si>
    <t>Other animal residues</t>
  </si>
  <si>
    <t>Wood pellets and briquettes</t>
  </si>
  <si>
    <t>Other biomass pellets and briquettes</t>
  </si>
  <si>
    <t>Biomethanol</t>
  </si>
  <si>
    <t>Bioethanol</t>
  </si>
  <si>
    <t>Biobutanol</t>
  </si>
  <si>
    <t>Bio-MTBE</t>
  </si>
  <si>
    <t>Bio-ETBE</t>
  </si>
  <si>
    <t>Transesterified biodiesel</t>
  </si>
  <si>
    <t>Thermal process biodiesel</t>
  </si>
  <si>
    <t>Straight vegetable oil</t>
  </si>
  <si>
    <t>HVO diesel</t>
  </si>
  <si>
    <t>Bio-LPG</t>
  </si>
  <si>
    <t>Biogas from anaerobic digestion</t>
  </si>
  <si>
    <t>Landfill biogas</t>
  </si>
  <si>
    <t>Wastewater sludge biogas</t>
  </si>
  <si>
    <t>Biogas from thermal processes</t>
  </si>
  <si>
    <t>Biomethane</t>
  </si>
  <si>
    <t>Biohydrogen</t>
  </si>
  <si>
    <t>Biothermal hydrogen</t>
  </si>
  <si>
    <t>Renewable electrolytic hydrogen</t>
  </si>
  <si>
    <t>Renewable thermolytic hydrogen</t>
  </si>
  <si>
    <t>Air source heat pump</t>
  </si>
  <si>
    <t>Water source heat pump</t>
  </si>
  <si>
    <t>Ground source heat pump</t>
  </si>
  <si>
    <t>Energy storage</t>
  </si>
  <si>
    <t>Electric storage</t>
  </si>
  <si>
    <t>Supercapacitors</t>
  </si>
  <si>
    <t>Electrochemical storage</t>
  </si>
  <si>
    <t>Stationary electric batteries</t>
  </si>
  <si>
    <t>Electromagnetic storage</t>
  </si>
  <si>
    <t>Mechanical storage</t>
  </si>
  <si>
    <t>Pumped hydro</t>
  </si>
  <si>
    <t>Compressed fluids</t>
  </si>
  <si>
    <t>Flywheels</t>
  </si>
  <si>
    <t>Thermal storage</t>
  </si>
  <si>
    <t>BIOENERGY</t>
  </si>
  <si>
    <t>MULTIPLE</t>
  </si>
  <si>
    <t>HYDROPOWER</t>
  </si>
  <si>
    <t>GEOTHERMAL</t>
  </si>
  <si>
    <t>WIND</t>
  </si>
  <si>
    <t>SOLAR</t>
  </si>
  <si>
    <t>MARINE</t>
  </si>
  <si>
    <t>ALL</t>
  </si>
  <si>
    <t>COAL</t>
  </si>
  <si>
    <t>COMBFUEL</t>
  </si>
  <si>
    <t>COMBNREN</t>
  </si>
  <si>
    <t>COMBREN</t>
  </si>
  <si>
    <t>EPUMPST</t>
  </si>
  <si>
    <t>GEOTHERM</t>
  </si>
  <si>
    <t>HYDRO</t>
  </si>
  <si>
    <t>NATGAS</t>
  </si>
  <si>
    <t>NONSPEC</t>
  </si>
  <si>
    <t>NUCLEAR</t>
  </si>
  <si>
    <t>OIL</t>
  </si>
  <si>
    <t>OTHER</t>
  </si>
  <si>
    <t>OTHERREN</t>
  </si>
  <si>
    <t>ANTCOAL</t>
  </si>
  <si>
    <t>BIODIESEL</t>
  </si>
  <si>
    <t>BIOGASES</t>
  </si>
  <si>
    <t>BITCOAL</t>
  </si>
  <si>
    <t>BITUMEN</t>
  </si>
  <si>
    <t>BKB</t>
  </si>
  <si>
    <t>BLFURGS</t>
  </si>
  <si>
    <t>BOILER</t>
  </si>
  <si>
    <t>CHEMHEAT</t>
  </si>
  <si>
    <t>COALTAR</t>
  </si>
  <si>
    <t>COKCOAL</t>
  </si>
  <si>
    <t>COKEOVGS</t>
  </si>
  <si>
    <t>CRUDEOIL</t>
  </si>
  <si>
    <t>GASDIES</t>
  </si>
  <si>
    <t>GASWKSGS</t>
  </si>
  <si>
    <t>HEATPUMP</t>
  </si>
  <si>
    <t>HYDTPUMP</t>
  </si>
  <si>
    <t>INDWASTE</t>
  </si>
  <si>
    <t>JETKERO</t>
  </si>
  <si>
    <t>LANDFILL</t>
  </si>
  <si>
    <t>LIGNITE</t>
  </si>
  <si>
    <t>LPG</t>
  </si>
  <si>
    <t>MUNWASTEN</t>
  </si>
  <si>
    <t>MUNWASTER</t>
  </si>
  <si>
    <t>NAPHTHA</t>
  </si>
  <si>
    <t>NGL</t>
  </si>
  <si>
    <t>OBIOGAS</t>
  </si>
  <si>
    <t>OBIOLIQ</t>
  </si>
  <si>
    <t>OGASES</t>
  </si>
  <si>
    <t>OILSHALE</t>
  </si>
  <si>
    <t>OPRODS</t>
  </si>
  <si>
    <t>OTHKERO</t>
  </si>
  <si>
    <t>OVENCOKE</t>
  </si>
  <si>
    <t>PATFUEL</t>
  </si>
  <si>
    <t>PEAT</t>
  </si>
  <si>
    <t>PEATPROD</t>
  </si>
  <si>
    <t>PETCOKE</t>
  </si>
  <si>
    <t>REFINGAS</t>
  </si>
  <si>
    <t>RESFUEL</t>
  </si>
  <si>
    <t>SBIOFUELS</t>
  </si>
  <si>
    <t>SLUDGEGS</t>
  </si>
  <si>
    <t>SOLARPV</t>
  </si>
  <si>
    <t>SOLARTH</t>
  </si>
  <si>
    <t>SUBCOAL</t>
  </si>
  <si>
    <t>TIDE</t>
  </si>
  <si>
    <t>Naphtha</t>
  </si>
  <si>
    <t>Pure hydropower</t>
  </si>
  <si>
    <t>Run-of-river hydropower</t>
  </si>
  <si>
    <t>Mixed hydropower</t>
  </si>
  <si>
    <t>Mobile electric batteries</t>
  </si>
  <si>
    <t xml:space="preserve">Latent heat storage </t>
  </si>
  <si>
    <t>Sensible heat storage</t>
  </si>
  <si>
    <t>Hydrogen storage</t>
  </si>
  <si>
    <t>Ammonia storage</t>
  </si>
  <si>
    <t>L7N</t>
  </si>
  <si>
    <t>Level 6</t>
  </si>
  <si>
    <t>Level 7</t>
  </si>
  <si>
    <t>L8N</t>
  </si>
  <si>
    <t>Energy type</t>
  </si>
  <si>
    <t>Total energy</t>
  </si>
  <si>
    <t>Storage</t>
  </si>
  <si>
    <t>Liquid hydrogen storage</t>
  </si>
  <si>
    <t>Solid hydrogen storage</t>
  </si>
  <si>
    <t>Gas hydrogen storage</t>
  </si>
  <si>
    <t>Renewable photolytic hydrogen</t>
  </si>
  <si>
    <t>Superconducting magnetic storage</t>
  </si>
  <si>
    <t>Small solar home systems</t>
  </si>
  <si>
    <t>Large solar home systems</t>
  </si>
  <si>
    <t>Renewable waste</t>
  </si>
  <si>
    <t>Biological hydrogen</t>
  </si>
  <si>
    <t>Level</t>
  </si>
  <si>
    <t>Microalgal biodiesel</t>
  </si>
  <si>
    <t>ONONSPEC</t>
  </si>
  <si>
    <t>ELECTR</t>
  </si>
  <si>
    <t>NONBIODIES</t>
  </si>
  <si>
    <t>NONBIOGASO</t>
  </si>
  <si>
    <t>MRENEW</t>
  </si>
  <si>
    <t>PRIMSBIO</t>
  </si>
  <si>
    <t>NONBIOJETK</t>
  </si>
  <si>
    <t>ETHANE</t>
  </si>
  <si>
    <t>LUBRIC</t>
  </si>
  <si>
    <t>BIOGASOL</t>
  </si>
  <si>
    <t>CHARCOAL</t>
  </si>
  <si>
    <t>WHITESP</t>
  </si>
  <si>
    <t>PARWAX</t>
  </si>
  <si>
    <t>NONCRUDE</t>
  </si>
  <si>
    <t>AVGAS</t>
  </si>
  <si>
    <t>GASCOKE</t>
  </si>
  <si>
    <t>ADDITIVE</t>
  </si>
  <si>
    <t>JETGAS</t>
  </si>
  <si>
    <t>MANGAS</t>
  </si>
  <si>
    <t>BIOJETKERO</t>
  </si>
  <si>
    <t>REFFEEDS</t>
  </si>
  <si>
    <t>Peat-based hydrogen</t>
  </si>
  <si>
    <t>Peat-based ammonia</t>
  </si>
  <si>
    <t>Gas biofuels</t>
  </si>
  <si>
    <t>Nuclear fission</t>
  </si>
  <si>
    <t>Wet natural gas</t>
  </si>
  <si>
    <t>Dry natural gas</t>
  </si>
  <si>
    <t>Solar street lamps</t>
  </si>
  <si>
    <t>Solar water pumps</t>
  </si>
  <si>
    <t>Gas biofuels products</t>
  </si>
  <si>
    <t>Reservoir hydropower</t>
  </si>
  <si>
    <t>Non-bio renewable fuels</t>
  </si>
  <si>
    <t>Non-bio renewable solid fuels</t>
  </si>
  <si>
    <t>Non-bio renewable carbon</t>
  </si>
  <si>
    <t>Non-bio renewable liquid fuels</t>
  </si>
  <si>
    <t>Non-bio renewable gas fuels</t>
  </si>
  <si>
    <t>Non-bio renewable ammonia</t>
  </si>
  <si>
    <t>Non-bio renewable methane</t>
  </si>
  <si>
    <t>Solid wood processing residues</t>
  </si>
  <si>
    <t>Oil cakes</t>
  </si>
  <si>
    <t>Gravitational storage</t>
  </si>
  <si>
    <t>Other biomass processing residues</t>
  </si>
  <si>
    <t>Non-renewable energy</t>
  </si>
  <si>
    <t>Non-renewable</t>
  </si>
  <si>
    <t>Renewable</t>
  </si>
  <si>
    <t>Other fossil fuels</t>
  </si>
  <si>
    <t>Other primary fossil fuels</t>
  </si>
  <si>
    <t>Other fossil fuel products</t>
  </si>
  <si>
    <t>On-grid solar photovoltaic</t>
  </si>
  <si>
    <t>Off-grid solar photovoltaic</t>
  </si>
  <si>
    <t>Other off-grid solar photovoltaic</t>
  </si>
  <si>
    <t>On-grid distributed photovoltaic (30-1 000 kW)</t>
  </si>
  <si>
    <t>On-grid utility-scale photovoltaic (&gt;1 000 kW)</t>
  </si>
  <si>
    <t>On-grid distributed photovoltaic (&lt;30 kW)</t>
  </si>
  <si>
    <t xml:space="preserve">Other non-renewable energy n.e.s. </t>
  </si>
  <si>
    <t>Other concentrated solar power</t>
  </si>
  <si>
    <t>Glazed single solar water heaters</t>
  </si>
  <si>
    <t>Unglazed solar water heaters</t>
  </si>
  <si>
    <t>Glazed combined solar water heaters</t>
  </si>
  <si>
    <t>Concentrated solar water heaters</t>
  </si>
  <si>
    <t>Other solid biofuels</t>
  </si>
  <si>
    <t>Biogasolines</t>
  </si>
  <si>
    <t>Other biogasolines</t>
  </si>
  <si>
    <t>Other biodiesels</t>
  </si>
  <si>
    <t>Bio-jet kerosenes</t>
  </si>
  <si>
    <t>Bio-DME</t>
  </si>
  <si>
    <t>Other gas biofuels products</t>
  </si>
  <si>
    <t>Other non-bio renewable solid fuels</t>
  </si>
  <si>
    <t>Other non-bio renewable liquid fuels</t>
  </si>
  <si>
    <t>Non-bio renewable DME</t>
  </si>
  <si>
    <t>Other non-bio renewable gas fuels</t>
  </si>
  <si>
    <t>Other electric storage</t>
  </si>
  <si>
    <t>Other electrochemical storage</t>
  </si>
  <si>
    <t>Other electromagnetic storage</t>
  </si>
  <si>
    <t>Other mechanical storage</t>
  </si>
  <si>
    <t>Other thermal storage</t>
  </si>
  <si>
    <t>Other chemical fuels storage</t>
  </si>
  <si>
    <t>Chemical fuels storage</t>
  </si>
  <si>
    <t>Other solid hydrogen storage</t>
  </si>
  <si>
    <t>Non-bio renewable gasolines</t>
  </si>
  <si>
    <t>Non-bio renewable diesels</t>
  </si>
  <si>
    <t>Non-bio renewable kerosenes</t>
  </si>
  <si>
    <t>SDG Groups</t>
  </si>
  <si>
    <t>Primary</t>
  </si>
  <si>
    <t>Secondary</t>
  </si>
  <si>
    <t>Source type</t>
  </si>
  <si>
    <t>Primary/Secondary</t>
  </si>
  <si>
    <t>Fossils</t>
  </si>
  <si>
    <t>Multiple</t>
  </si>
  <si>
    <t>Solar</t>
  </si>
  <si>
    <t>Wind</t>
  </si>
  <si>
    <t>Marine</t>
  </si>
  <si>
    <t>L0</t>
  </si>
  <si>
    <t>L1</t>
  </si>
  <si>
    <t>L5</t>
  </si>
  <si>
    <t>L6</t>
  </si>
  <si>
    <t>Animal residue biogas</t>
  </si>
  <si>
    <t>Vegetal residue biogas</t>
  </si>
  <si>
    <t>Other biogas from anaerobic digestion</t>
  </si>
  <si>
    <t>Metal hydride hydrogen storage</t>
  </si>
  <si>
    <t>Adsorbent hydrogen storage</t>
  </si>
  <si>
    <t>Other natural gas products</t>
  </si>
  <si>
    <t>Nuclear fusion fuels</t>
  </si>
  <si>
    <t>Low-temperature solid adsorption direct air capture (LT DAC)</t>
  </si>
  <si>
    <t>high-temperature aqueous absorption direct air capture (HT DAC)</t>
  </si>
  <si>
    <t>Flue gas carbon capture</t>
  </si>
  <si>
    <t>Process</t>
  </si>
  <si>
    <t>Carbon Capture, Utilisation and Storage</t>
  </si>
  <si>
    <t>Electrolysis</t>
  </si>
  <si>
    <t>Alkaline water electrolysis (AEC)</t>
  </si>
  <si>
    <t>Proton exchange membrane electrolysis (PEM)</t>
  </si>
  <si>
    <t>Solid-oxide electrolysis (SOEC)</t>
  </si>
  <si>
    <t>Product</t>
  </si>
  <si>
    <t>Carbon monoxide</t>
  </si>
  <si>
    <t>CO2 electrochemical reduction</t>
  </si>
  <si>
    <t>Fischer-Tropsch fuels</t>
  </si>
  <si>
    <t>Reverse Water Gas Shift</t>
  </si>
  <si>
    <t>Methanol</t>
  </si>
  <si>
    <t>Direct route synthesis</t>
  </si>
  <si>
    <t>Methane</t>
  </si>
  <si>
    <t>Methanation</t>
  </si>
  <si>
    <t>DME</t>
  </si>
  <si>
    <t>DME synthesis</t>
  </si>
  <si>
    <t>Haber-Bosch process</t>
  </si>
  <si>
    <t>Ammonia</t>
  </si>
  <si>
    <t>Product Code</t>
  </si>
  <si>
    <t>Urea synthesis</t>
  </si>
  <si>
    <t>Urea</t>
  </si>
  <si>
    <t>Olefins</t>
  </si>
  <si>
    <t>Aromatics</t>
  </si>
  <si>
    <t>Methanol-to-Olefins</t>
  </si>
  <si>
    <t>Methanol-to-Aromatics</t>
  </si>
  <si>
    <t>CO2 efficiency (kg/kgCO2)</t>
  </si>
  <si>
    <t>Product Messy</t>
  </si>
  <si>
    <t>ProdCode</t>
  </si>
  <si>
    <t>Primary coal and peat</t>
  </si>
  <si>
    <t>Coal and peat products</t>
  </si>
  <si>
    <t>Biofuels and waste</t>
  </si>
  <si>
    <t>Memo: Renewables</t>
  </si>
  <si>
    <t>Oil shale/oil sands</t>
  </si>
  <si>
    <t>Other oil products n.e.c.</t>
  </si>
  <si>
    <t>Conventional biogiesel</t>
  </si>
  <si>
    <t>Conventional Bio jet kerosene</t>
  </si>
  <si>
    <t>Total Electricity</t>
  </si>
  <si>
    <t>Geothermal electricity</t>
  </si>
  <si>
    <t>Hydropower electricity</t>
  </si>
  <si>
    <t>Nuclear electricity</t>
  </si>
  <si>
    <t>Tide, wave and ocean electricity</t>
  </si>
  <si>
    <t>Solar electricity</t>
  </si>
  <si>
    <t>Thermal electricity</t>
  </si>
  <si>
    <t>Wind electricity</t>
  </si>
  <si>
    <t>Heat from combustible fuels</t>
  </si>
  <si>
    <t>Direct use of solar thermal heat</t>
  </si>
  <si>
    <t>Electricity, net installed capacity of electric power plants</t>
  </si>
  <si>
    <t>Sub-type</t>
  </si>
  <si>
    <t>Direct Air Capture</t>
  </si>
  <si>
    <t>Output</t>
  </si>
  <si>
    <t>Input</t>
  </si>
  <si>
    <t>CO2</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</si>
  <si>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</si>
  <si>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</si>
  <si>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</si>
  <si>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</si>
  <si>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</si>
  <si>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</si>
  <si>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</si>
  <si>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</si>
  <si>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Gases; coal, water, producer and similar gases (excluding petroleum and other gaseous hydrocarbons)</t>
  </si>
  <si>
    <t>Tar; distilled from coal, lignite or peat, and other mineral tars, whether or not dehydrated or partially distilled, including reconstituted tars</t>
  </si>
  <si>
    <t>Oils and products of the distillation of high temperature coal tar; benzol (benzene)</t>
  </si>
  <si>
    <t>Oils and products of the distillation of high temperature coal tar; toluol (toluene)</t>
  </si>
  <si>
    <t>Oils and products of the distillation of high temperature coal tar; xylol (xylenes)</t>
  </si>
  <si>
    <t>Oils and products of the distillation of high temperature coal tar; naphthalene</t>
  </si>
  <si>
    <t>Aromatic hydrocarbon mixtures; n.e.c. in heading no. 2707, of which 65% or more by volume (including losses) distils at 250 degrees Celsius by the ISO 3405 method (equivalent to the ASTM D 86 method)</t>
  </si>
  <si>
    <t>Oils and other products of the distillation of high temperature coal tar; creosote oils</t>
  </si>
  <si>
    <t>Oils and other products of the distillation of high temperature coal tar; n.e.c. in heading no. 2707</t>
  </si>
  <si>
    <t>Pitch; obtained from coal tar or from other mineral tars</t>
  </si>
  <si>
    <t>Pitch coke; obtained from coal tar or from other mineral tars</t>
  </si>
  <si>
    <t>Oils; petroleum oils and oils obtained from bituminous minerals, crude</t>
  </si>
  <si>
    <t>Petroleum oils and oils from bituminous minerals, not containing biodiesel, not crude, not waste oils; preparations n.e.c, containing by weight 70% or more of petroleum oils or oils from bituminous minerals; light oils and preparations</t>
  </si>
  <si>
    <t>Petroleum oils and oils from bituminous minerals, not containing biodiesel, not crude, not waste oils; preparations n.e.c, containing by weight 70% or more of petroleum oils or oils from bituminous minerals; not light oils and preparations</t>
  </si>
  <si>
    <t>Petroleum oils and oils from bituminous minerals, containing biodiesel, not crude, not waste oils; preparations n.e.c, containing by weight 70% or more of petroleum oils or oils from bituminous minerals</t>
  </si>
  <si>
    <t>Waste Oils; of petroleum or obtained from bituminous minerals, not crude; and preparations n.e.c., weight 70% or preparations of the same, containing polychlorinated biphenyls (PCBs), polychorinated terphenyls (PCTs) or polybrominated biphenyls (PBBs)</t>
  </si>
  <si>
    <t>Waste Oils; of petroleum or obtained from bituminous minerals, not crude and preparations n.e.c., weight 70% or preparations of the same, not containing polychlorinated biphenyls (PCBs), polychorinated terphenyls (PCTs) or polybrominated biphenyls (PBBs)</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</si>
  <si>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</si>
  <si>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</si>
  <si>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</si>
  <si>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</si>
  <si>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n.e.c. in heading no. 2711</t>
  </si>
  <si>
    <t>Petroleum gases and other gaseous hydrocarbons; in gaseous state, natural gas</t>
  </si>
  <si>
    <t>Petroleum gases and other gaseous hydrocarbons; in gaseous state, other than natural gas</t>
  </si>
  <si>
    <t>Petroleum jelly</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</si>
  <si>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</si>
  <si>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</si>
  <si>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</si>
  <si>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</si>
  <si>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</si>
  <si>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</si>
  <si>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Bituminous or oil shale and tar sands</t>
  </si>
  <si>
    <t>Bitumen and asphalt, natural; asphaltites and asphaltic rock</t>
  </si>
  <si>
    <t>Bituminous mixtures based on natural asphalt, on natural bitumen, on petroleum bitumen, on mineral tar or on mineral tar pitch (e.g. bituminous mastics, cut-backs)</t>
  </si>
  <si>
    <t>Electrical energy</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</si>
  <si>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</si>
  <si>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</si>
  <si>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</si>
  <si>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Hydrogen</t>
  </si>
  <si>
    <t>Wood; for fuel, in logs, in billets, in twigs, in faggots or similar forms, whether or not agglomerated, coniferous</t>
  </si>
  <si>
    <t>Wood; for fuel, in logs, in billets, in twigs, in faggots or similar forms, whether or not agglomerated, non-coniferous</t>
  </si>
  <si>
    <t>Wood; for fuel, in chips or particles, coniferous, whether or not agglomerated</t>
  </si>
  <si>
    <t>Wood; for fuel, in chips or particles, non-coniferous, whether or not agglomerated</t>
  </si>
  <si>
    <t>Wood; for fuel, sawdust and wood waste and scrap, agglomerated in wood pellets</t>
  </si>
  <si>
    <t>Wood; for fuel, sawdust and wood waste and scrap, agglomerated in wood briquettes</t>
  </si>
  <si>
    <t>Wood; for fuel, sawdust and wood waste and scrap, agglomerated in logs or similar forms, other than wood pellets or wood briquettes</t>
  </si>
  <si>
    <t>Wood; for fuel, sawdust and wood waste and scrap, not agglomerated; sawdust</t>
  </si>
  <si>
    <t>Wood; for fuel, sawdust and wood waste and scrap, not agglomerated and not including sawdust</t>
  </si>
  <si>
    <t>Wood; charcoal of bamboo, whether or not agglomerated</t>
  </si>
  <si>
    <t>Wood; charcoal of nut or shell, whether or not agglomerated</t>
  </si>
  <si>
    <t>Wood; charcoal of wood other than bamboo, nut or shell, whether or not agglomerated</t>
  </si>
  <si>
    <t>Beet-pulp, bagasse and other waste of sugar manufacture; whether or not in the form of pellets</t>
  </si>
  <si>
    <t>Fertilizers, animal or vegetable; whether or not mixed together or chemically treated; fertilizers, produced by the mixing or chemical treatment of animal or vegetable products</t>
  </si>
  <si>
    <t>Lyes, residual; from the manufacture of wood pulp, whether or not concentrated, desugared or chemically treated, including lignin sulphonates but excluding tall oil of heading no. 3803</t>
  </si>
  <si>
    <t>Uranium ores and concentrates</t>
  </si>
  <si>
    <t>Spent (irradiated) fuel elements (cartridges) of nuclear reactors</t>
  </si>
  <si>
    <t>Fuel elements (cartridges); non-irradiated</t>
  </si>
  <si>
    <t>Radioactive elements; tritium and its compounds; alloys, dispersions (including cermets), ceramic products and mixtures containing tritium or its compounds</t>
  </si>
  <si>
    <t>Radioactive elements; actinium-225, 227, californium-253, curium-240, 241, 242, 243, 244, einsteinium-253, 254, gadolinium-148, polonium-208, 209, 210, radium-223, uranium-230 or 232, compounds; alloys, dispersions, ceramic products and mixtures</t>
  </si>
  <si>
    <t>Radioactive elements, isotopes and compounds; other alloys, dispersions (including cermets), ceramic products and mixtures containing these elements, isotopes or compounds</t>
  </si>
  <si>
    <t>Radioactive elements, isotopes, compounds n.e.c. in heading no. 2844, alloys, dispersions (including cermets), ceramic products, mixtures containing the elements, isotopes, compounds; radioactive residues</t>
  </si>
  <si>
    <t>Landfill Gas</t>
  </si>
  <si>
    <t>Municipal Wastes (biomass fraction)</t>
  </si>
  <si>
    <t>Other Biogas</t>
  </si>
  <si>
    <t>Other Liquid Biofuels</t>
  </si>
  <si>
    <t>Other Primary Solid Biomass</t>
  </si>
  <si>
    <t>Sludge Gas</t>
  </si>
  <si>
    <t>Sulphite lyes (black liquor)</t>
  </si>
  <si>
    <t>Wood/Wood Waste</t>
  </si>
  <si>
    <t>Gas/Diesel Oil</t>
  </si>
  <si>
    <t>Jet gasoline</t>
  </si>
  <si>
    <t>Jet kerosene</t>
  </si>
  <si>
    <t>Liquefied Petroleum Gases</t>
  </si>
  <si>
    <t>Natural gas liquids</t>
  </si>
  <si>
    <t>Orimulsion</t>
  </si>
  <si>
    <t>Other Petroleum Products</t>
  </si>
  <si>
    <t>Paraffin Waxes</t>
  </si>
  <si>
    <t>Petroleum Coke</t>
  </si>
  <si>
    <t>Refinery Feedstocks</t>
  </si>
  <si>
    <t>Refinery Gas</t>
  </si>
  <si>
    <t>Residual Fuel Oil</t>
  </si>
  <si>
    <t>Shale oil</t>
  </si>
  <si>
    <t>White Spirit and SBP</t>
  </si>
  <si>
    <t>Industrial Wastes</t>
  </si>
  <si>
    <t>Municipal Wastes (non-biomass fraction)</t>
  </si>
  <si>
    <t>Waste Oil</t>
  </si>
  <si>
    <t>Blast Furnace Gas</t>
  </si>
  <si>
    <t>Brown Coal Briquettes</t>
  </si>
  <si>
    <t>Coal Tar</t>
  </si>
  <si>
    <t>Coke Oven Coke and Lignite Coke</t>
  </si>
  <si>
    <t>Coke Oven Gas</t>
  </si>
  <si>
    <t>Coking Coal</t>
  </si>
  <si>
    <t>Gas Coke</t>
  </si>
  <si>
    <t>Gas Works Gas</t>
  </si>
  <si>
    <t>Oil Shale and Tar Sands</t>
  </si>
  <si>
    <t>Other Bituminous Coal</t>
  </si>
  <si>
    <t>Oxygen Steel Furnace Gas</t>
  </si>
  <si>
    <t>Patent Fuel</t>
  </si>
  <si>
    <t>Sub-Bituminous Coal</t>
  </si>
  <si>
    <t>Total Refinery Output</t>
  </si>
  <si>
    <t>Falling Water</t>
  </si>
  <si>
    <t>TextCode</t>
  </si>
  <si>
    <t>GWG</t>
  </si>
  <si>
    <t>BOSFG</t>
  </si>
  <si>
    <t>H2COAL</t>
  </si>
  <si>
    <t>GASOLINE</t>
  </si>
  <si>
    <t>WAVE</t>
  </si>
  <si>
    <t>OCEAN</t>
  </si>
  <si>
    <t>WOOD</t>
  </si>
  <si>
    <t>ENERGY</t>
  </si>
  <si>
    <t>STRAW</t>
  </si>
  <si>
    <t>BAGASSE</t>
  </si>
  <si>
    <t>ANIMAL</t>
  </si>
  <si>
    <t>MANURE</t>
  </si>
  <si>
    <t>HVO</t>
  </si>
  <si>
    <t>H2PEAT</t>
  </si>
  <si>
    <t>LNG</t>
  </si>
  <si>
    <t>CNG</t>
  </si>
  <si>
    <t>NG</t>
  </si>
  <si>
    <t>WETNG</t>
  </si>
  <si>
    <t>DRYNG</t>
  </si>
  <si>
    <t>H2NG</t>
  </si>
  <si>
    <t>CRUDE</t>
  </si>
  <si>
    <t>REFGAS</t>
  </si>
  <si>
    <t>REFFEED</t>
  </si>
  <si>
    <t>GASOIL</t>
  </si>
  <si>
    <t>H2OIL</t>
  </si>
  <si>
    <t>SHALE</t>
  </si>
  <si>
    <t>HYDROMIX</t>
  </si>
  <si>
    <t>WINDON</t>
  </si>
  <si>
    <t>WINDOFF</t>
  </si>
  <si>
    <t>PV</t>
  </si>
  <si>
    <t>PVON</t>
  </si>
  <si>
    <t>PVOFF</t>
  </si>
  <si>
    <t>SHSS</t>
  </si>
  <si>
    <t>SHSL</t>
  </si>
  <si>
    <t>STELECOM</t>
  </si>
  <si>
    <t>PVOFFO</t>
  </si>
  <si>
    <t>CSP</t>
  </si>
  <si>
    <t>HELIO</t>
  </si>
  <si>
    <t>FRESNEL</t>
  </si>
  <si>
    <t>PDISH</t>
  </si>
  <si>
    <t>PTROUGH</t>
  </si>
  <si>
    <t>CSPO</t>
  </si>
  <si>
    <t>SWH</t>
  </si>
  <si>
    <t>CSWH</t>
  </si>
  <si>
    <t>SAH</t>
  </si>
  <si>
    <t>GEOCHP</t>
  </si>
  <si>
    <t>ECROP</t>
  </si>
  <si>
    <t>LOGRES</t>
  </si>
  <si>
    <t>HUSK</t>
  </si>
  <si>
    <t>SHELL</t>
  </si>
  <si>
    <t>SWRES</t>
  </si>
  <si>
    <t>ANIMALO</t>
  </si>
  <si>
    <t>BPB</t>
  </si>
  <si>
    <t>WOODPB</t>
  </si>
  <si>
    <t>OILCAKE</t>
  </si>
  <si>
    <t>BPBO</t>
  </si>
  <si>
    <t>SVO</t>
  </si>
  <si>
    <t>BKERO</t>
  </si>
  <si>
    <t>REMULT</t>
  </si>
  <si>
    <t>PHYDRO</t>
  </si>
  <si>
    <t>ELEC</t>
  </si>
  <si>
    <t>STH2SUG</t>
  </si>
  <si>
    <t>Other gas hydrogen storage</t>
  </si>
  <si>
    <t>Centralised underground hydrogen storage</t>
  </si>
  <si>
    <t>Distributed hydrogen gas tank storage</t>
  </si>
  <si>
    <t>Centralised hydrogen gas tank storage</t>
  </si>
  <si>
    <t>STH2SDT</t>
  </si>
  <si>
    <t>STH2SGT</t>
  </si>
  <si>
    <t>5212</t>
  </si>
  <si>
    <t>5222</t>
  </si>
  <si>
    <t>5232</t>
  </si>
  <si>
    <t>7000G</t>
  </si>
  <si>
    <t>7000H</t>
  </si>
  <si>
    <t>7000N</t>
  </si>
  <si>
    <t>7000O</t>
  </si>
  <si>
    <t>7000S</t>
  </si>
  <si>
    <t>7000T</t>
  </si>
  <si>
    <t>7000W</t>
  </si>
  <si>
    <t>8000T</t>
  </si>
  <si>
    <t>DG</t>
  </si>
  <si>
    <t>DS</t>
  </si>
  <si>
    <t>EC</t>
  </si>
  <si>
    <t>GR</t>
  </si>
  <si>
    <t>WF</t>
  </si>
  <si>
    <t>Additives and Oxygenates</t>
  </si>
  <si>
    <t>Hard Coal</t>
  </si>
  <si>
    <t>Natural Gas Liquids</t>
  </si>
  <si>
    <t>Brown Coal</t>
  </si>
  <si>
    <t>Oil Shale / Oil Sands</t>
  </si>
  <si>
    <t>Coke Oven Coke</t>
  </si>
  <si>
    <t>UNSD NCV (TJ/kt)</t>
  </si>
  <si>
    <t>Non-renewable Electricity</t>
  </si>
  <si>
    <t>Renewable Electricity</t>
  </si>
  <si>
    <t>DNI UNSD Production</t>
  </si>
  <si>
    <t>Non-renewable electrolytic hydrogen</t>
  </si>
  <si>
    <t>Non-renewable thermolytic hydrogen</t>
  </si>
  <si>
    <t>Thermal process bioliquid</t>
  </si>
  <si>
    <t>Uranium</t>
  </si>
  <si>
    <t>Plutonium</t>
  </si>
  <si>
    <t>Thorium</t>
  </si>
  <si>
    <t>Nuclear energy</t>
  </si>
  <si>
    <t>Nuclear fission fuels</t>
  </si>
  <si>
    <t>Compressed natural gas</t>
  </si>
  <si>
    <t>Latent heat storage</t>
  </si>
  <si>
    <t>Alcohol</t>
  </si>
  <si>
    <t>Alcohol - Feedstocks</t>
  </si>
  <si>
    <t>Alcohol Retail</t>
  </si>
  <si>
    <t>Transported Alcohol</t>
  </si>
  <si>
    <t>Alcohol Trans T1</t>
  </si>
  <si>
    <t>Aviation Fuel Transported</t>
  </si>
  <si>
    <t>Biodiesel / FT-Diesel / FAEE</t>
  </si>
  <si>
    <t>Biodiesel Trade</t>
  </si>
  <si>
    <t>Corn Grains</t>
  </si>
  <si>
    <t>Corn Grains at Plant</t>
  </si>
  <si>
    <t>Brown Coal / Lignite</t>
  </si>
  <si>
    <t>Biodiesel Transported</t>
  </si>
  <si>
    <t>Domestic Waste</t>
  </si>
  <si>
    <t>Domestic Waste at Plant</t>
  </si>
  <si>
    <t>Ethanol</t>
  </si>
  <si>
    <t>Ethanol Trade</t>
  </si>
  <si>
    <t>Bio-Syngas Transported</t>
  </si>
  <si>
    <t>Second Gen. Biomass</t>
  </si>
  <si>
    <t>Biomass</t>
  </si>
  <si>
    <t>Bio Methanol</t>
  </si>
  <si>
    <t>Bio-Methanol Transported</t>
  </si>
  <si>
    <t>Methanol Trade</t>
  </si>
  <si>
    <t>SNG</t>
  </si>
  <si>
    <t>Bio-SNG  Trade</t>
  </si>
  <si>
    <t>Oil Crops &amp; Corn Grains</t>
  </si>
  <si>
    <t>Oil Crops</t>
  </si>
  <si>
    <t>Oil Crops at Plant</t>
  </si>
  <si>
    <t>Stover</t>
  </si>
  <si>
    <t>Stover at Plant</t>
  </si>
  <si>
    <t>Sugar Beet / Sugar Cane</t>
  </si>
  <si>
    <t>Sugar Beet / Sugar Cane at Plant</t>
  </si>
  <si>
    <t>Wood Residues</t>
  </si>
  <si>
    <t>Wood Residues at Plant</t>
  </si>
  <si>
    <t>Compressed Gas Retail</t>
  </si>
  <si>
    <t>Compressed Gas T1</t>
  </si>
  <si>
    <t>Coke</t>
  </si>
  <si>
    <t>Diesel Type Retail</t>
  </si>
  <si>
    <t>Diesel Type Transported</t>
  </si>
  <si>
    <t>Diesel Type Trans T1</t>
  </si>
  <si>
    <t>Diesel for Own Use</t>
  </si>
  <si>
    <t>Diesel Feedstock</t>
  </si>
  <si>
    <t>Diesel</t>
  </si>
  <si>
    <t>Transported Diesel</t>
  </si>
  <si>
    <t>Diesel Trade</t>
  </si>
  <si>
    <t>Ethanol Transported</t>
  </si>
  <si>
    <t>Hydrogen Fuel Cell Heat Ind.</t>
  </si>
  <si>
    <t>Hydrogen Fuel Cell Heat R&amp;C</t>
  </si>
  <si>
    <t>Green GT-Synfuel Transported</t>
  </si>
  <si>
    <t>Green GT-Synfuel Trade</t>
  </si>
  <si>
    <t>FT-Hydrogen</t>
  </si>
  <si>
    <t>FT-Hydrogen Transported</t>
  </si>
  <si>
    <t>FT-Hydrogen Trade</t>
  </si>
  <si>
    <t>Green FT-Synfuel</t>
  </si>
  <si>
    <t>Gas Type Transported</t>
  </si>
  <si>
    <t>Gas Type Trans T1</t>
  </si>
  <si>
    <t>Geothermal Energy</t>
  </si>
  <si>
    <t>Gasoline Type Retail</t>
  </si>
  <si>
    <t>Gasoline Type Transported</t>
  </si>
  <si>
    <t>Gasoline Type Trans T1</t>
  </si>
  <si>
    <t>Gasoline</t>
  </si>
  <si>
    <t>Transported Gasoline</t>
  </si>
  <si>
    <t>Gasoline Trade</t>
  </si>
  <si>
    <t>Biomass Gasification</t>
  </si>
  <si>
    <t>Coal - Feedstock</t>
  </si>
  <si>
    <t>Transported Coal</t>
  </si>
  <si>
    <t>Coal Trade</t>
  </si>
  <si>
    <t>Green Hydrogen</t>
  </si>
  <si>
    <t>Retail Hydrogen</t>
  </si>
  <si>
    <t>Hydrogen at Fueling Station</t>
  </si>
  <si>
    <t>Hydrogen Trade</t>
  </si>
  <si>
    <t>Green Hydrogen Trade</t>
  </si>
  <si>
    <t>H2 from Coal</t>
  </si>
  <si>
    <t>H2 from Coal Liquefaction</t>
  </si>
  <si>
    <t>H2 from Coal w/ CO2 Seq.</t>
  </si>
  <si>
    <t>H2 from Coal w/ CO2 Seq. Liquefaction</t>
  </si>
  <si>
    <t>H2 from Natural Gas</t>
  </si>
  <si>
    <t>H2 from Liquefaction - Natural Gas</t>
  </si>
  <si>
    <t>H2 from Nuclear HP Electrolysis</t>
  </si>
  <si>
    <t>H2 from Nuclear HP&amp;HT Electr. Liquefaction</t>
  </si>
  <si>
    <t>H2 from Nuclear HT Electrolysis</t>
  </si>
  <si>
    <t>H2 from Nuclear SI Cycle</t>
  </si>
  <si>
    <t>H2 from Nuclear SI Liquefaction</t>
  </si>
  <si>
    <t>H2 from Solar Zn/ZnO</t>
  </si>
  <si>
    <t>H2 from Solar Coke</t>
  </si>
  <si>
    <t>H2 from (Wind+) Electrolysis</t>
  </si>
  <si>
    <t>H2 from Liquefaction Electrolysis</t>
  </si>
  <si>
    <t>H2 from Petroleum Gasification</t>
  </si>
  <si>
    <t>H2 from Liquefaction - Oil</t>
  </si>
  <si>
    <t>H2 from Biomass</t>
  </si>
  <si>
    <t>H2 from Liquefaction Biomass</t>
  </si>
  <si>
    <t>H2 from Compression</t>
  </si>
  <si>
    <t>H2 from Liquefaction - Other</t>
  </si>
  <si>
    <t>H2 from Terminal Gas.</t>
  </si>
  <si>
    <t>H2 from Terminal Gas. Decentral</t>
  </si>
  <si>
    <t>H2 from Terminal Liq.</t>
  </si>
  <si>
    <t>H2 from Terminal Liq. Decentral</t>
  </si>
  <si>
    <t>H2 from Pipeline 60 km to Gas. Term.</t>
  </si>
  <si>
    <t>H2 from Pipeline 60 km to Liq.</t>
  </si>
  <si>
    <t>H2 from Pipeline Ring</t>
  </si>
  <si>
    <t>H2 from Transport by Truck Gas. 40 km</t>
  </si>
  <si>
    <t>H2 from Transport by Truck Gas. 160 km</t>
  </si>
  <si>
    <t>H2 from Transport by Truck Liq. 40 km</t>
  </si>
  <si>
    <t>H2 from Transport by Truck Liq. 160 km</t>
  </si>
  <si>
    <t>H2 from Transport by Truck Liq. 160 km B</t>
  </si>
  <si>
    <t>Industrial Heat</t>
  </si>
  <si>
    <t>Liquefied Natural Gas</t>
  </si>
  <si>
    <t>Low Temperature Heat from E6A</t>
  </si>
  <si>
    <t>Low Temperature Heat from E6C</t>
  </si>
  <si>
    <t>Low Temperature Heat</t>
  </si>
  <si>
    <t>Retail Methanol</t>
  </si>
  <si>
    <t>Natural Gas I</t>
  </si>
  <si>
    <t>Natural Gas II</t>
  </si>
  <si>
    <t>Natural Gas III</t>
  </si>
  <si>
    <t>Natural Gas IV</t>
  </si>
  <si>
    <t>Natural Gas V</t>
  </si>
  <si>
    <t>Natural Gas VI</t>
  </si>
  <si>
    <t>Natural Gas - Feedstocks</t>
  </si>
  <si>
    <t>Gas for Trade</t>
  </si>
  <si>
    <t>Gas Imported</t>
  </si>
  <si>
    <t>Transported Natural Gas</t>
  </si>
  <si>
    <t>Natural Gas for Own Use</t>
  </si>
  <si>
    <t>Oil I</t>
  </si>
  <si>
    <t>Oil II</t>
  </si>
  <si>
    <t>Oil III</t>
  </si>
  <si>
    <t>Oil IV</t>
  </si>
  <si>
    <t>Oil V</t>
  </si>
  <si>
    <t>Oil Trade</t>
  </si>
  <si>
    <t>Oil Products Retail</t>
  </si>
  <si>
    <t>Residential-Commercial Heating</t>
  </si>
  <si>
    <t>Non-commercial Biomass</t>
  </si>
  <si>
    <t>Solar Energy</t>
  </si>
  <si>
    <t>Solar Energy - Thermal Uses</t>
  </si>
  <si>
    <t>Natural Uranium</t>
  </si>
  <si>
    <t>Wind Energy Onshore</t>
  </si>
  <si>
    <t>Wind Energy Offshore</t>
  </si>
  <si>
    <t>BIOLIQT</t>
  </si>
  <si>
    <t>BIOLPG</t>
  </si>
  <si>
    <t>BIOLIQO</t>
  </si>
  <si>
    <t>BIOLIQONES</t>
  </si>
  <si>
    <t>BIOSOLID</t>
  </si>
  <si>
    <t>HARVBM</t>
  </si>
  <si>
    <t>HARVBMO</t>
  </si>
  <si>
    <t>HARVRES</t>
  </si>
  <si>
    <t>HARVRESO</t>
  </si>
  <si>
    <t>BIOPRES</t>
  </si>
  <si>
    <t>BIOPRESO</t>
  </si>
  <si>
    <t>BLACKLIQ</t>
  </si>
  <si>
    <t>OILPLANT</t>
  </si>
  <si>
    <t>ANIMALPRES</t>
  </si>
  <si>
    <t>BIOSOLIDO</t>
  </si>
  <si>
    <t>BIOLIQ</t>
  </si>
  <si>
    <t>BGASOLINE</t>
  </si>
  <si>
    <t>BIOETOH</t>
  </si>
  <si>
    <t>BIOBUTOH</t>
  </si>
  <si>
    <t>BIOMTBE</t>
  </si>
  <si>
    <t>BIOETBE</t>
  </si>
  <si>
    <t>BGASOLINEO</t>
  </si>
  <si>
    <t>BIOMETOH</t>
  </si>
  <si>
    <t>BIODIESELTR</t>
  </si>
  <si>
    <t>BIODIESELTH</t>
  </si>
  <si>
    <t>BIODIESELM</t>
  </si>
  <si>
    <t>BIODIESELO</t>
  </si>
  <si>
    <t>BIOGAS</t>
  </si>
  <si>
    <t>BIOGASAD</t>
  </si>
  <si>
    <t>BIOGASL</t>
  </si>
  <si>
    <t>BIOGASW</t>
  </si>
  <si>
    <t>BIOGASA</t>
  </si>
  <si>
    <t>BIOGASV</t>
  </si>
  <si>
    <t>BIOGASADO</t>
  </si>
  <si>
    <t>BIOGAST</t>
  </si>
  <si>
    <t>BIOGASP</t>
  </si>
  <si>
    <t>BIOCH4</t>
  </si>
  <si>
    <t>BIOH2</t>
  </si>
  <si>
    <t>BIOH2B</t>
  </si>
  <si>
    <t>BIOH2BT</t>
  </si>
  <si>
    <t>BIODME</t>
  </si>
  <si>
    <t>BIOGASO</t>
  </si>
  <si>
    <t>REWASTE</t>
  </si>
  <si>
    <t>REMSW</t>
  </si>
  <si>
    <t>REISW</t>
  </si>
  <si>
    <t>NONBIORE</t>
  </si>
  <si>
    <t>NONBIORES</t>
  </si>
  <si>
    <t>NONBIOC</t>
  </si>
  <si>
    <t>NONBIORESO</t>
  </si>
  <si>
    <t>NONBIOL</t>
  </si>
  <si>
    <t>NONBIOGASOL</t>
  </si>
  <si>
    <t>NONBIODIESEL</t>
  </si>
  <si>
    <t>NONBIOKERO</t>
  </si>
  <si>
    <t>NONBIOLO</t>
  </si>
  <si>
    <t>NONBIOGAS</t>
  </si>
  <si>
    <t>NONBIOH2E</t>
  </si>
  <si>
    <t>NONBIOH2P</t>
  </si>
  <si>
    <t>NONBIOH2T</t>
  </si>
  <si>
    <t>NONBIONH3</t>
  </si>
  <si>
    <t>NONBIODME</t>
  </si>
  <si>
    <t>NONBIOCH4</t>
  </si>
  <si>
    <t>REOTHER</t>
  </si>
  <si>
    <t>HPAIR</t>
  </si>
  <si>
    <t>HPWATER</t>
  </si>
  <si>
    <t>HPGROUND</t>
  </si>
  <si>
    <t>REOTHERO</t>
  </si>
  <si>
    <t>STG</t>
  </si>
  <si>
    <t>STGELEC</t>
  </si>
  <si>
    <t>STGSUPER</t>
  </si>
  <si>
    <t>STGELECO</t>
  </si>
  <si>
    <t>STGEC</t>
  </si>
  <si>
    <t>STGECS</t>
  </si>
  <si>
    <t>STGECM</t>
  </si>
  <si>
    <t>STGECO</t>
  </si>
  <si>
    <t>STGEM</t>
  </si>
  <si>
    <t>STGEMSUPER</t>
  </si>
  <si>
    <t>STGEMO</t>
  </si>
  <si>
    <t>STGMECH</t>
  </si>
  <si>
    <t>COMPFLUID</t>
  </si>
  <si>
    <t>FLYWHEEL</t>
  </si>
  <si>
    <t>GRAVSTG</t>
  </si>
  <si>
    <t>STGMECHO</t>
  </si>
  <si>
    <t>STGHEAT</t>
  </si>
  <si>
    <t>STGHEATL</t>
  </si>
  <si>
    <t>STGHEATS</t>
  </si>
  <si>
    <t>STGHEATO</t>
  </si>
  <si>
    <t>STGCHEM</t>
  </si>
  <si>
    <t>STGH2</t>
  </si>
  <si>
    <t>STGH2G</t>
  </si>
  <si>
    <t>STGH2GCU</t>
  </si>
  <si>
    <t>STGH2GC</t>
  </si>
  <si>
    <t>STGH2GD</t>
  </si>
  <si>
    <t>STGH2GO</t>
  </si>
  <si>
    <t>STGH2L</t>
  </si>
  <si>
    <t>STGH2S</t>
  </si>
  <si>
    <t>STGH2SMH</t>
  </si>
  <si>
    <t>STGH2SAD</t>
  </si>
  <si>
    <t>STGH2SO</t>
  </si>
  <si>
    <t>STGNH3</t>
  </si>
  <si>
    <t>STGCHEMO</t>
  </si>
  <si>
    <t>NONRE</t>
  </si>
  <si>
    <t>FOSSILS</t>
  </si>
  <si>
    <t>HARDCOAL</t>
  </si>
  <si>
    <t>ANTHRACITE</t>
  </si>
  <si>
    <t>BITUMCOAL</t>
  </si>
  <si>
    <t>COKINGCOAL</t>
  </si>
  <si>
    <t>BITUMCOALO</t>
  </si>
  <si>
    <t>BROWNCOAL</t>
  </si>
  <si>
    <t>SBITUMCOAL</t>
  </si>
  <si>
    <t>COALPROD</t>
  </si>
  <si>
    <t>COALCOKE</t>
  </si>
  <si>
    <t>COKEOVENC</t>
  </si>
  <si>
    <t>COKEBREEZE</t>
  </si>
  <si>
    <t>SEMICOKE</t>
  </si>
  <si>
    <t>PATENTFUEL</t>
  </si>
  <si>
    <t>COKEOVENG</t>
  </si>
  <si>
    <t>RECOVGAS</t>
  </si>
  <si>
    <t>BFG</t>
  </si>
  <si>
    <t>RECOVGASO</t>
  </si>
  <si>
    <t>COALPRODO</t>
  </si>
  <si>
    <t>NH3COAL</t>
  </si>
  <si>
    <t>COALPRODONES</t>
  </si>
  <si>
    <t>PEATNPROD</t>
  </si>
  <si>
    <t>SODPEAT</t>
  </si>
  <si>
    <t>MILLEDPEAT</t>
  </si>
  <si>
    <t>PEATBRIQ</t>
  </si>
  <si>
    <t>NH3PEAT</t>
  </si>
  <si>
    <t>PEATPRODO</t>
  </si>
  <si>
    <t>NGPROD</t>
  </si>
  <si>
    <t>NH3NG</t>
  </si>
  <si>
    <t>NGPRODO</t>
  </si>
  <si>
    <t>ADDITIVES</t>
  </si>
  <si>
    <t>OILPROD</t>
  </si>
  <si>
    <t>AVGASOLINE</t>
  </si>
  <si>
    <t>MOTGASOLINE</t>
  </si>
  <si>
    <t>JETGASOLINE</t>
  </si>
  <si>
    <t>KEROSENE</t>
  </si>
  <si>
    <t>JETKEROSENE</t>
  </si>
  <si>
    <t>KERSENEO</t>
  </si>
  <si>
    <t>GASNHOIL</t>
  </si>
  <si>
    <t>HGASOIL</t>
  </si>
  <si>
    <t>FUELOIL</t>
  </si>
  <si>
    <t>OILPRODO</t>
  </si>
  <si>
    <t>WHITESPIRIT</t>
  </si>
  <si>
    <t>LUBRICANT</t>
  </si>
  <si>
    <t>PARAFWAX</t>
  </si>
  <si>
    <t>NH3OIL</t>
  </si>
  <si>
    <t>HYDROCARBO</t>
  </si>
  <si>
    <t>FOSSILO</t>
  </si>
  <si>
    <t>FOSSILOP</t>
  </si>
  <si>
    <t>FOSSILOPROD</t>
  </si>
  <si>
    <t>FOSSILONES</t>
  </si>
  <si>
    <t>FISSION</t>
  </si>
  <si>
    <t>URANIUM</t>
  </si>
  <si>
    <t>PLUTONIUM</t>
  </si>
  <si>
    <t>THORIUM</t>
  </si>
  <si>
    <t>FUSION</t>
  </si>
  <si>
    <t>NUCLEARO</t>
  </si>
  <si>
    <t>NONREWASTE</t>
  </si>
  <si>
    <t>NONREMSW</t>
  </si>
  <si>
    <t>NONREISW</t>
  </si>
  <si>
    <t>NONREO</t>
  </si>
  <si>
    <t>NONREH2E</t>
  </si>
  <si>
    <t>NONREH2T</t>
  </si>
  <si>
    <t>NONRENH3</t>
  </si>
  <si>
    <t>NONREONES</t>
  </si>
  <si>
    <t>HYDROPURE</t>
  </si>
  <si>
    <t>HYDRORES</t>
  </si>
  <si>
    <t>HYDRORIVER</t>
  </si>
  <si>
    <t>SALINITYG</t>
  </si>
  <si>
    <t>THERMALG</t>
  </si>
  <si>
    <t>PVONUTIL</t>
  </si>
  <si>
    <t>PVONDISTL</t>
  </si>
  <si>
    <t>PVONDISTS</t>
  </si>
  <si>
    <t>SOLARLIGHT</t>
  </si>
  <si>
    <t>SMINIGRID</t>
  </si>
  <si>
    <t>SSTREETLAMP</t>
  </si>
  <si>
    <t>SWATERPUMP</t>
  </si>
  <si>
    <t>SOLART</t>
  </si>
  <si>
    <t>SWHUNG</t>
  </si>
  <si>
    <t>SWHGSINGLE</t>
  </si>
  <si>
    <t>SWHGCOMB</t>
  </si>
  <si>
    <t>SAHNATURAL</t>
  </si>
  <si>
    <t>SAHRADIATIVE</t>
  </si>
  <si>
    <t>SAHFORCED</t>
  </si>
  <si>
    <t>SOLARTO</t>
  </si>
  <si>
    <t>GEODIRECT</t>
  </si>
  <si>
    <t>Heat High Temperature</t>
  </si>
  <si>
    <t>Heat Low Temperature</t>
  </si>
  <si>
    <t>HEAT-HT</t>
  </si>
  <si>
    <t>HEAT-LT</t>
  </si>
  <si>
    <t>Non-bio renewable methanol</t>
  </si>
  <si>
    <t>NONBIOMETOH</t>
  </si>
  <si>
    <t>Carbon content wet (%wt)</t>
  </si>
  <si>
    <t>Carbon content dry (%wt)</t>
  </si>
  <si>
    <t>Other energy crops</t>
  </si>
  <si>
    <t>Sugar crops</t>
  </si>
  <si>
    <t>SUGARCROP</t>
  </si>
  <si>
    <t>Oil crops</t>
  </si>
  <si>
    <t>OILCROP</t>
  </si>
  <si>
    <t>Perennial grass</t>
  </si>
  <si>
    <t>Fast-growing trees</t>
  </si>
  <si>
    <t>GRASS</t>
  </si>
  <si>
    <t>FASTTREE</t>
  </si>
  <si>
    <t>Microalgae</t>
  </si>
  <si>
    <t>Macroalgae</t>
  </si>
  <si>
    <t>ECROPO</t>
  </si>
  <si>
    <t>MICROALGAE</t>
  </si>
  <si>
    <t>MACROALGAE</t>
  </si>
  <si>
    <t>Petrol</t>
  </si>
  <si>
    <t>Petrol (excluding hybrids)</t>
  </si>
  <si>
    <t>Hybrid electric-petrol</t>
  </si>
  <si>
    <t>Plug-in hybrid petrol-electric</t>
  </si>
  <si>
    <t>Diesel (excluding hybrids)</t>
  </si>
  <si>
    <t>Hybrid electric-diesel</t>
  </si>
  <si>
    <t>Plug-in hybrid diesel-electric</t>
  </si>
  <si>
    <t>Compressed natural gas (CNG)</t>
  </si>
  <si>
    <t>Liquefied natural gas (LNG)</t>
  </si>
  <si>
    <t>Bi-fuel vehicles</t>
  </si>
  <si>
    <t>Hydrogen and fuel cells</t>
  </si>
  <si>
    <t>Bio-Naphtha</t>
  </si>
  <si>
    <t>BIONAPHTHA</t>
  </si>
  <si>
    <t>OILPRODONES</t>
  </si>
  <si>
    <t>ISW</t>
  </si>
  <si>
    <t>MSW</t>
  </si>
  <si>
    <t>Industrial solid waste</t>
  </si>
  <si>
    <t>Municipal solid waste</t>
  </si>
  <si>
    <t>Same molecule</t>
  </si>
  <si>
    <t>Kerosene</t>
  </si>
  <si>
    <t>Additives</t>
  </si>
  <si>
    <t>Crude Oil</t>
  </si>
  <si>
    <t>Natural Gas Liquids
(NGLs)</t>
  </si>
  <si>
    <t>Motor Gasoline</t>
  </si>
  <si>
    <t>Aviation Gasoline</t>
  </si>
  <si>
    <t>Jet Gasoline</t>
  </si>
  <si>
    <t>Jet Kerosene</t>
  </si>
  <si>
    <t>Other Kerosene</t>
  </si>
  <si>
    <t>Shale Oil</t>
  </si>
  <si>
    <t>Gas Oil</t>
  </si>
  <si>
    <t>Diesel Oil</t>
  </si>
  <si>
    <t>Waxes</t>
  </si>
  <si>
    <t>White Spirit &amp; SBP</t>
  </si>
  <si>
    <t>Waste Oils</t>
  </si>
  <si>
    <t>Sulphite Lyes (Black Liquor)</t>
  </si>
  <si>
    <t>BROWN</t>
  </si>
  <si>
    <t>UNSD category</t>
  </si>
  <si>
    <t>Primary oil</t>
  </si>
  <si>
    <t>084</t>
  </si>
  <si>
    <t>082</t>
  </si>
  <si>
    <t>083</t>
  </si>
  <si>
    <t>089</t>
  </si>
  <si>
    <t>UNSD production recoding</t>
  </si>
  <si>
    <t>UNSD receipts recoding</t>
  </si>
  <si>
    <t>085CH</t>
  </si>
  <si>
    <t>133</t>
  </si>
  <si>
    <t>1332</t>
  </si>
  <si>
    <t>13321</t>
  </si>
  <si>
    <t>13322</t>
  </si>
  <si>
    <t>1334</t>
  </si>
  <si>
    <t>13341</t>
  </si>
  <si>
    <t>13342</t>
  </si>
  <si>
    <t>1336</t>
  </si>
  <si>
    <t>13361</t>
  </si>
  <si>
    <t>13362</t>
  </si>
  <si>
    <t>CP</t>
  </si>
  <si>
    <t>CS</t>
  </si>
  <si>
    <t>1334R</t>
  </si>
  <si>
    <t>1335</t>
  </si>
  <si>
    <t>13351</t>
  </si>
  <si>
    <t>1331</t>
  </si>
  <si>
    <t>13311</t>
  </si>
  <si>
    <t>1339</t>
  </si>
  <si>
    <t>13392</t>
  </si>
  <si>
    <t>13PH1</t>
  </si>
  <si>
    <t>13352</t>
  </si>
  <si>
    <t>13391</t>
  </si>
  <si>
    <t>1333</t>
  </si>
  <si>
    <t>13331</t>
  </si>
  <si>
    <t>13332</t>
  </si>
  <si>
    <t>1337</t>
  </si>
  <si>
    <t>13371</t>
  </si>
  <si>
    <t>13372</t>
  </si>
  <si>
    <t>UNSD EnergyCode</t>
  </si>
  <si>
    <t>CL</t>
  </si>
  <si>
    <t>AT</t>
  </si>
  <si>
    <t>OB</t>
  </si>
  <si>
    <t>LB</t>
  </si>
  <si>
    <t>SB</t>
  </si>
  <si>
    <t>LN</t>
  </si>
  <si>
    <t>OK</t>
  </si>
  <si>
    <t>BC</t>
  </si>
  <si>
    <t>BB</t>
  </si>
  <si>
    <t>CT</t>
  </si>
  <si>
    <t>OG</t>
  </si>
  <si>
    <t>GG</t>
  </si>
  <si>
    <t>BG</t>
  </si>
  <si>
    <t>BO</t>
  </si>
  <si>
    <t>PT</t>
  </si>
  <si>
    <t>BP</t>
  </si>
  <si>
    <t>CR</t>
  </si>
  <si>
    <t>GL</t>
  </si>
  <si>
    <t>FS</t>
  </si>
  <si>
    <t>AO</t>
  </si>
  <si>
    <t>RG</t>
  </si>
  <si>
    <t>EA</t>
  </si>
  <si>
    <t>LP</t>
  </si>
  <si>
    <t>NP</t>
  </si>
  <si>
    <t>AV</t>
  </si>
  <si>
    <t>MO</t>
  </si>
  <si>
    <t>GJ</t>
  </si>
  <si>
    <t>JF</t>
  </si>
  <si>
    <t>KR</t>
  </si>
  <si>
    <t>DL</t>
  </si>
  <si>
    <t>RF</t>
  </si>
  <si>
    <t>WS</t>
  </si>
  <si>
    <t>LU</t>
  </si>
  <si>
    <t>PW</t>
  </si>
  <si>
    <t>PK</t>
  </si>
  <si>
    <t>BT</t>
  </si>
  <si>
    <t>OH</t>
  </si>
  <si>
    <t>PP</t>
  </si>
  <si>
    <t>OS</t>
  </si>
  <si>
    <t>EN</t>
  </si>
  <si>
    <t>EH</t>
  </si>
  <si>
    <t>EO</t>
  </si>
  <si>
    <t>EW</t>
  </si>
  <si>
    <t>ES</t>
  </si>
  <si>
    <t>EG</t>
  </si>
  <si>
    <t>FW</t>
  </si>
  <si>
    <t>BS</t>
  </si>
  <si>
    <t>PU</t>
  </si>
  <si>
    <t>VW</t>
  </si>
  <si>
    <t>AW</t>
  </si>
  <si>
    <t>CH</t>
  </si>
  <si>
    <t>AL</t>
  </si>
  <si>
    <t>ZG</t>
  </si>
  <si>
    <t>BD</t>
  </si>
  <si>
    <t>ZD</t>
  </si>
  <si>
    <t>BJ</t>
  </si>
  <si>
    <t>OL</t>
  </si>
  <si>
    <t>BI</t>
  </si>
  <si>
    <t>ET</t>
  </si>
  <si>
    <t>ST</t>
  </si>
  <si>
    <t>IW</t>
  </si>
  <si>
    <t>MW</t>
  </si>
  <si>
    <t>Other primary oil n.e.s.</t>
  </si>
  <si>
    <t>OILNES</t>
  </si>
  <si>
    <t>Conventional bio-jet kerosenes</t>
  </si>
  <si>
    <t>BKEROCONV</t>
  </si>
  <si>
    <t>ZJ</t>
  </si>
  <si>
    <t>HYDROCARBONES</t>
  </si>
  <si>
    <t>GK</t>
  </si>
  <si>
    <t>DNI UNSD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</si>
</sst>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 ##0;&quot;&quot;"/>
    <numFmt numFmtId="165" formatCode="##\ ##\ ##"/>
    <numFmt numFmtId="166" formatCode="0.0%"/>
  </numFmts>
  <fonts count="31" x14ac:knownFonts="1">
    <font>
      <sz val="11"/>
      <color theme="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sz val="12"/>
      <color theme="1"/>
      <name val="Calibri"/>
      <family val="2"/>
      <scheme val="minor"/>
    </font>
    <font>
      <i/>
      <sz val="9"/>
      <color theme="1"/>
      <name val="Calibri"/>
      <family val="2"/>
      <scheme val="minor"/>
    </font>
    <font>
      <u/>
      <sz val="11"/>
      <color theme="10"/>
      <name val="Calibri"/>
      <family val="2"/>
      <scheme val="minor"/>
    </font>
    <font>
      <sz val="11"/>
      <color theme="1"/>
      <name val="Calibri"/>
      <family val="2"/>
      <scheme val="minor"/>
    </font>
    <font>
      <u/>
      <sz val="10"/>
      <color theme="0"/>
      <name val="Calibri"/>
      <family val="2"/>
      <scheme val="minor"/>
    </font>
    <font>
      <u/>
      <sz val="10"/>
      <color theme="10"/>
      <name val="Calibri"/>
      <family val="2"/>
      <scheme val="minor"/>
    </font>
    <font>
      <sz val="10"/>
      <color theme="1"/>
      <name val="Calibri"/>
      <family val="2"/>
      <scheme val="minor"/>
    </font>
    <font>
      <b/>
      <sz val="12"/>
      <color theme="1"/>
      <name val="Calibri"/>
      <family val="2"/>
      <scheme val="minor"/>
    </font>
    <font>
      <b/>
      <i/>
      <sz val="11"/>
      <color theme="1"/>
      <name val="Calibri"/>
      <family val="2"/>
      <scheme val="minor"/>
    </font>
    <font>
      <sz val="12"/>
      <color theme="1" tint="0.499984740745262"/>
      <name val="Calibri"/>
      <family val="2"/>
      <scheme val="minor"/>
    </font>
    <font>
      <sz val="11"/>
      <color theme="1" tint="0.499984740745262"/>
      <name val="Calibri"/>
      <family val="2"/>
      <scheme val="minor"/>
    </font>
    <font>
      <i/>
      <sz val="11"/>
      <color theme="1" tint="0.499984740745262"/>
      <name val="Calibri"/>
      <family val="2"/>
      <scheme val="minor"/>
    </font>
    <font>
      <i/>
      <sz val="10"/>
      <color theme="1" tint="0.499984740745262"/>
      <name val="Calibri"/>
      <family val="2"/>
      <scheme val="minor"/>
    </font>
    <font>
      <b/>
      <sz val="13"/>
      <color theme="1"/>
      <name val="Calibri"/>
      <family val="2"/>
      <scheme val="minor"/>
    </font>
    <font>
      <i/>
      <sz val="11"/>
      <name val="Calibri"/>
      <family val="2"/>
      <scheme val="minor"/>
    </font>
    <font>
      <i/>
      <sz val="10"/>
      <name val="Calibri"/>
      <family val="2"/>
      <scheme val="minor"/>
    </font>
    <font>
      <b/>
      <i/>
      <sz val="11"/>
      <color theme="1" tint="0.499984740745262"/>
      <name val="Calibri"/>
      <family val="2"/>
      <scheme val="minor"/>
    </font>
    <font>
      <b/>
      <sz val="11"/>
      <color theme="1" tint="0.499984740745262"/>
      <name val="Calibri"/>
      <family val="2"/>
      <scheme val="minor"/>
    </font>
    <font>
      <b/>
      <sz val="12"/>
      <color theme="1" tint="0.499984740745262"/>
      <name val="Calibri"/>
      <family val="2"/>
      <scheme val="minor"/>
    </font>
    <font>
      <b/>
      <i/>
      <sz val="10"/>
      <color theme="1" tint="0.499984740745262"/>
      <name val="Calibri"/>
      <family val="2"/>
      <scheme val="minor"/>
    </font>
    <font>
      <sz val="11"/>
      <color theme="1" tint="0.34998626667073579"/>
      <name val="Calibri"/>
      <family val="2"/>
      <scheme val="minor"/>
    </font>
    <font>
      <sz val="11"/>
      <name val="Calibri"/>
      <family val="2"/>
      <scheme val="minor"/>
    </font>
    <font>
      <b/>
      <sz val="10"/>
      <color theme="1"/>
      <name val="Calibri"/>
      <family val="2"/>
      <scheme val="minor"/>
    </font>
    <font>
      <sz val="8"/>
      <name val="Calibri"/>
      <family val="2"/>
      <scheme val="minor"/>
    </font>
    <font>
      <b/>
      <sz val="11"/>
      <color theme="0"/>
      <name val="Calibri"/>
      <family val="2"/>
      <scheme val="minor"/>
    </font>
    <font>
      <b/>
      <sz val="12"/>
      <color theme="0"/>
      <name val="Calibri"/>
      <family val="2"/>
      <scheme val="minor"/>
    </font>
    <font>
      <b/>
      <sz val="10"/>
      <color theme="0"/>
      <name val="Calibri"/>
      <family val="2"/>
      <scheme val="minor"/>
    </font>
  </fonts>
  <fills count="22">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4F93D1"/>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theme="8" tint="0.79998168889431442"/>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7"/>
        <bgColor indexed="64"/>
      </patternFill>
    </fill>
    <fill>
      <patternFill patternType="solid">
        <fgColor theme="1" tint="0.34998626667073579"/>
        <bgColor indexed="64"/>
      </patternFill>
    </fill>
    <fill>
      <patternFill patternType="solid">
        <fgColor theme="8"/>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s>
  <borders count="19">
    <border>
      <left/>
      <right/>
      <top/>
      <bottom/>
      <diagonal/>
    </border>
    <border>
      <left style="thin">
        <color theme="8"/>
      </left>
      <right/>
      <top style="thin">
        <color theme="8"/>
      </top>
      <bottom/>
      <diagonal/>
    </border>
    <border>
      <left/>
      <right/>
      <top style="thin">
        <color theme="8"/>
      </top>
      <bottom/>
      <diagonal/>
    </border>
    <border>
      <left/>
      <right/>
      <top style="thin">
        <color theme="8"/>
      </top>
      <bottom style="thin">
        <color theme="8"/>
      </bottom>
      <diagonal/>
    </border>
    <border>
      <left style="thin">
        <color indexed="64"/>
      </left>
      <right/>
      <top/>
      <bottom/>
      <diagonal/>
    </border>
    <border>
      <left style="thin">
        <color theme="8"/>
      </left>
      <right/>
      <top/>
      <bottom/>
      <diagonal/>
    </border>
    <border>
      <left/>
      <right/>
      <top style="thin">
        <color theme="8" tint="0.79998168889431442"/>
      </top>
      <bottom/>
      <diagonal/>
    </border>
    <border>
      <left/>
      <right/>
      <top style="thin">
        <color theme="8" tint="0.79998168889431442"/>
      </top>
      <bottom style="thin">
        <color theme="8" tint="0.79998168889431442"/>
      </bottom>
      <diagonal/>
    </border>
    <border>
      <left/>
      <right/>
      <top style="thin">
        <color theme="8" tint="0.79998168889431442"/>
      </top>
      <bottom style="thin">
        <color theme="8" tint="0.79995117038483843"/>
      </bottom>
      <diagonal/>
    </border>
    <border>
      <left/>
      <right/>
      <top style="thin">
        <color theme="8" tint="0.79995117038483843"/>
      </top>
      <bottom style="thin">
        <color theme="8" tint="0.79995117038483843"/>
      </bottom>
      <diagonal/>
    </border>
    <border>
      <left/>
      <right/>
      <top/>
      <bottom style="thin">
        <color theme="8" tint="0.79998168889431442"/>
      </bottom>
      <diagonal/>
    </border>
    <border>
      <left/>
      <right/>
      <top style="thin">
        <color theme="8" tint="0.79998168889431442"/>
      </top>
      <bottom style="thin">
        <color theme="8" tint="0.39991454817346722"/>
      </bottom>
      <diagonal/>
    </border>
    <border>
      <left/>
      <right/>
      <top style="thin">
        <color theme="8" tint="0.39991454817346722"/>
      </top>
      <bottom style="thin">
        <color theme="8" tint="0.39991454817346722"/>
      </bottom>
      <diagonal/>
    </border>
    <border>
      <left/>
      <right/>
      <top style="thin">
        <color theme="8" tint="0.39991454817346722"/>
      </top>
      <bottom style="thin">
        <color theme="8" tint="0.39994506668294322"/>
      </bottom>
      <diagonal/>
    </border>
    <border>
      <left/>
      <right/>
      <top/>
      <bottom style="thin">
        <color theme="8" tint="0.39994506668294322"/>
      </bottom>
      <diagonal/>
    </border>
    <border>
      <left/>
      <right/>
      <top style="thin">
        <color theme="8" tint="0.39994506668294322"/>
      </top>
      <bottom style="thin">
        <color theme="8" tint="0.39994506668294322"/>
      </bottom>
      <diagonal/>
    </border>
    <border>
      <left/>
      <right/>
      <top style="thin">
        <color theme="0" tint="-4.9989318521683403E-2"/>
      </top>
      <bottom style="thin">
        <color theme="8" tint="0.39994506668294322"/>
      </bottom>
      <diagonal/>
    </border>
    <border>
      <left/>
      <right/>
      <top style="thin">
        <color theme="8"/>
      </top>
      <bottom style="thin">
        <color theme="8" tint="0.79998168889431442"/>
      </bottom>
      <diagonal/>
    </border>
    <border>
      <left/>
      <right/>
      <top style="thin">
        <color theme="8" tint="0.59996337778862885"/>
      </top>
      <bottom style="thin">
        <color theme="8" tint="0.59996337778862885"/>
      </bottom>
      <diagonal/>
    </border>
  </borders>
  <cellStyleXfs count="3">
    <xf numFmtId="0" fontId="0" fillId="0" borderId="0"/>
    <xf numFmtId="0" fontId="6" fillId="0" borderId="0" applyNumberFormat="0" applyFill="0" applyBorder="0" applyAlignment="0" applyProtection="0"/>
    <xf numFmtId="9" fontId="7" fillId="0" borderId="0" applyFont="0" applyFill="0" applyBorder="0" applyAlignment="0" applyProtection="0"/>
  </cellStyleXfs>
  <cellXfs count="128">
    <xf numFmtId="0" fontId="0" fillId="0" borderId="0" xfId="0"/>
    <xf numFmtId="0" fontId="1" fillId="0" borderId="0" xfId="0" applyFont="1"/>
    <xf numFmtId="0" fontId="0" fillId="2" borderId="0" xfId="0" applyFill="1" applyAlignment="1">
      <alignment horizontal="left"/>
    </xf>
    <xf numFmtId="3" fontId="0" fillId="0" borderId="0" xfId="0" applyNumberFormat="1" applyAlignment="1">
      <alignment horizontal="left"/>
    </xf>
    <xf numFmtId="0" fontId="5" fillId="0" borderId="0" xfId="0" applyFont="1" applyAlignment="1">
      <alignment wrapText="1"/>
    </xf>
    <xf numFmtId="0" fontId="4" fillId="0" borderId="2" xfId="0" applyFont="1" applyBorder="1" applyAlignment="1">
      <alignment horizontal="left"/>
    </xf>
    <xf numFmtId="0" fontId="2" fillId="0" borderId="2" xfId="0" applyFont="1" applyBorder="1" applyAlignment="1">
      <alignment horizontal="left"/>
    </xf>
    <xf numFmtId="0" fontId="3" fillId="0" borderId="2" xfId="0" applyFont="1" applyBorder="1" applyAlignment="1">
      <alignment horizontal="left"/>
    </xf>
    <xf numFmtId="0" fontId="0" fillId="0" borderId="3" xfId="0" applyBorder="1"/>
    <xf numFmtId="49" fontId="0" fillId="0" borderId="0" xfId="0" applyNumberFormat="1"/>
    <xf numFmtId="0" fontId="6" fillId="0" borderId="0" xfId="1"/>
    <xf numFmtId="0" fontId="4" fillId="0" borderId="0" xfId="0" applyFont="1" applyAlignment="1">
      <alignment horizontal="left"/>
    </xf>
    <xf numFmtId="0" fontId="0" fillId="0" borderId="0" xfId="0" applyProtection="1">
      <protection locked="0"/>
    </xf>
    <xf numFmtId="0" fontId="0" fillId="4" borderId="0" xfId="0" applyFill="1"/>
    <xf numFmtId="0" fontId="7" fillId="4" borderId="0" xfId="0" applyFont="1" applyFill="1"/>
    <xf numFmtId="0" fontId="8" fillId="4" borderId="0" xfId="1" applyFont="1" applyFill="1"/>
    <xf numFmtId="0" fontId="9" fillId="4" borderId="0" xfId="1" applyFont="1" applyFill="1"/>
    <xf numFmtId="0" fontId="9" fillId="4" borderId="0" xfId="1" applyFont="1" applyFill="1" applyProtection="1">
      <protection locked="0"/>
    </xf>
    <xf numFmtId="0" fontId="6" fillId="4" borderId="0" xfId="1" applyFill="1"/>
    <xf numFmtId="0" fontId="10" fillId="0" borderId="0" xfId="0" applyFont="1"/>
    <xf numFmtId="49" fontId="10" fillId="0" borderId="0" xfId="0" applyNumberFormat="1" applyFont="1"/>
    <xf numFmtId="0" fontId="7" fillId="0" borderId="0" xfId="0" applyFont="1"/>
    <xf numFmtId="0" fontId="9" fillId="0" borderId="0" xfId="1" applyFont="1" applyFill="1" applyProtection="1">
      <protection locked="0"/>
    </xf>
    <xf numFmtId="0" fontId="6" fillId="0" borderId="0" xfId="1" applyFill="1"/>
    <xf numFmtId="0" fontId="2" fillId="0" borderId="0" xfId="0" applyFont="1" applyAlignment="1">
      <alignment horizontal="left" indent="3"/>
    </xf>
    <xf numFmtId="0" fontId="3" fillId="0" borderId="0" xfId="0" applyFont="1" applyAlignment="1">
      <alignment horizontal="left" indent="4"/>
    </xf>
    <xf numFmtId="0" fontId="0" fillId="5" borderId="0" xfId="0" applyFill="1" applyAlignment="1">
      <alignment horizontal="left"/>
    </xf>
    <xf numFmtId="0" fontId="14" fillId="2" borderId="0" xfId="0" applyFont="1" applyFill="1" applyAlignment="1">
      <alignment horizontal="left"/>
    </xf>
    <xf numFmtId="0" fontId="15" fillId="0" borderId="0" xfId="0" applyFont="1" applyAlignment="1">
      <alignment horizontal="left"/>
    </xf>
    <xf numFmtId="0" fontId="16" fillId="0" borderId="0" xfId="0" applyFont="1" applyAlignment="1">
      <alignment horizontal="left"/>
    </xf>
    <xf numFmtId="0" fontId="13" fillId="0" borderId="0" xfId="0" applyFont="1" applyAlignment="1">
      <alignment horizontal="left"/>
    </xf>
    <xf numFmtId="0" fontId="14" fillId="5" borderId="0" xfId="0" applyFont="1" applyFill="1" applyAlignment="1">
      <alignment horizontal="left"/>
    </xf>
    <xf numFmtId="0" fontId="12" fillId="0" borderId="0" xfId="0" applyFont="1" applyAlignment="1">
      <alignment horizontal="left" indent="2"/>
    </xf>
    <xf numFmtId="0" fontId="17" fillId="6" borderId="0" xfId="0" applyFont="1" applyFill="1" applyAlignment="1">
      <alignment horizontal="left"/>
    </xf>
    <xf numFmtId="0" fontId="11" fillId="2" borderId="0" xfId="0" applyFont="1" applyFill="1" applyAlignment="1">
      <alignment horizontal="left" indent="1"/>
    </xf>
    <xf numFmtId="0" fontId="18" fillId="0" borderId="0" xfId="0" applyFont="1" applyAlignment="1">
      <alignment horizontal="left" indent="3"/>
    </xf>
    <xf numFmtId="0" fontId="19" fillId="0" borderId="0" xfId="0" applyFont="1" applyAlignment="1">
      <alignment horizontal="left" indent="4"/>
    </xf>
    <xf numFmtId="0" fontId="20" fillId="0" borderId="0" xfId="0" applyFont="1" applyAlignment="1">
      <alignment horizontal="left"/>
    </xf>
    <xf numFmtId="0" fontId="21" fillId="2" borderId="0" xfId="0" applyFont="1" applyFill="1" applyAlignment="1">
      <alignment horizontal="left"/>
    </xf>
    <xf numFmtId="0" fontId="22" fillId="6" borderId="0" xfId="0" applyFont="1" applyFill="1" applyAlignment="1">
      <alignment horizontal="left"/>
    </xf>
    <xf numFmtId="0" fontId="23" fillId="0" borderId="0" xfId="0" applyFont="1" applyAlignment="1">
      <alignment horizontal="left"/>
    </xf>
    <xf numFmtId="0" fontId="24" fillId="2" borderId="0" xfId="0" applyFont="1" applyFill="1"/>
    <xf numFmtId="0" fontId="24" fillId="2" borderId="4" xfId="0" applyFont="1" applyFill="1" applyBorder="1"/>
    <xf numFmtId="0" fontId="25"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64" fontId="26" fillId="0" borderId="6" xfId="0" applyNumberFormat="1" applyFont="1" applyBorder="1" applyAlignment="1">
      <alignment horizontal="left" indent="1"/>
    </xf>
    <xf numFmtId="164" fontId="10" fillId="5" borderId="7" xfId="0" applyNumberFormat="1" applyFont="1" applyFill="1" applyBorder="1" applyAlignment="1">
      <alignment horizontal="left" indent="2"/>
    </xf>
    <xf numFmtId="164" fontId="10" fillId="5" borderId="8" xfId="0" applyNumberFormat="1" applyFont="1" applyFill="1" applyBorder="1" applyAlignment="1">
      <alignment horizontal="left" indent="2"/>
    </xf>
    <xf numFmtId="164" fontId="26" fillId="0" borderId="9" xfId="0" applyNumberFormat="1" applyFont="1" applyBorder="1" applyAlignment="1">
      <alignment horizontal="left" indent="1"/>
    </xf>
    <xf numFmtId="164" fontId="10" fillId="5" borderId="9" xfId="0" applyNumberFormat="1" applyFont="1" applyFill="1" applyBorder="1" applyAlignment="1">
      <alignment horizontal="left" indent="2"/>
    </xf>
    <xf numFmtId="164" fontId="26" fillId="0" borderId="10" xfId="0" applyNumberFormat="1" applyFont="1" applyBorder="1" applyAlignment="1">
      <alignment horizontal="left" indent="1"/>
    </xf>
    <xf numFmtId="0" fontId="1" fillId="7" borderId="11" xfId="0" applyFont="1" applyFill="1" applyBorder="1" applyAlignment="1">
      <alignment horizontal="left" wrapText="1"/>
    </xf>
    <xf numFmtId="0" fontId="1" fillId="7" borderId="12" xfId="0" applyFont="1" applyFill="1" applyBorder="1" applyAlignment="1">
      <alignment horizontal="left" wrapText="1"/>
    </xf>
    <xf numFmtId="0" fontId="1" fillId="7" borderId="13" xfId="0" applyFont="1" applyFill="1" applyBorder="1" applyAlignment="1">
      <alignment horizontal="left" wrapText="1"/>
    </xf>
    <xf numFmtId="164" fontId="26" fillId="0" borderId="7" xfId="0" applyNumberFormat="1" applyFont="1" applyBorder="1" applyAlignment="1">
      <alignment horizontal="left" indent="1"/>
    </xf>
    <xf numFmtId="0" fontId="1" fillId="7" borderId="14" xfId="0" applyFont="1" applyFill="1" applyBorder="1"/>
    <xf numFmtId="0" fontId="1" fillId="7" borderId="15" xfId="0" applyFont="1" applyFill="1" applyBorder="1"/>
    <xf numFmtId="164" fontId="26" fillId="5" borderId="10" xfId="0" applyNumberFormat="1" applyFont="1" applyFill="1" applyBorder="1" applyAlignment="1">
      <alignment horizontal="left" indent="1"/>
    </xf>
    <xf numFmtId="164" fontId="3" fillId="5" borderId="7" xfId="0" applyNumberFormat="1" applyFont="1" applyFill="1" applyBorder="1" applyAlignment="1">
      <alignment horizontal="left" indent="3"/>
    </xf>
    <xf numFmtId="164" fontId="10" fillId="5" borderId="6" xfId="0" applyNumberFormat="1" applyFont="1" applyFill="1" applyBorder="1" applyAlignment="1">
      <alignment horizontal="left" indent="2"/>
    </xf>
    <xf numFmtId="164" fontId="3" fillId="5" borderId="6" xfId="0" applyNumberFormat="1" applyFont="1" applyFill="1" applyBorder="1" applyAlignment="1">
      <alignment horizontal="left" indent="3"/>
    </xf>
    <xf numFmtId="0" fontId="1" fillId="7" borderId="16" xfId="0" applyFont="1" applyFill="1" applyBorder="1"/>
    <xf numFmtId="0" fontId="1" fillId="7" borderId="18" xfId="0" applyFont="1" applyFill="1" applyBorder="1"/>
    <xf numFmtId="0" fontId="1" fillId="7" borderId="18" xfId="0" applyFont="1" applyFill="1" applyBorder="1" applyAlignment="1">
      <alignment horizontal="left" wrapText="1"/>
    </xf>
    <xf numFmtId="0" fontId="1" fillId="7" borderId="0" xfId="0" applyFont="1" applyFill="1"/>
    <xf numFmtId="164" fontId="26" fillId="5" borderId="17" xfId="0" applyNumberFormat="1" applyFont="1" applyFill="1" applyBorder="1" applyAlignment="1">
      <alignment horizontal="left" indent="1"/>
    </xf>
    <xf numFmtId="0" fontId="11" fillId="0" borderId="0" xfId="0" applyFont="1"/>
    <xf numFmtId="0" fontId="0" fillId="2" borderId="0" xfId="0" applyFill="1"/>
    <xf numFmtId="0" fontId="29" fillId="13" borderId="0" xfId="0" applyFont="1" applyFill="1"/>
    <xf numFmtId="0" fontId="14" fillId="2" borderId="0" xfId="0" applyFont="1" applyFill="1"/>
    <xf numFmtId="0" fontId="15" fillId="2" borderId="0" xfId="0" applyFont="1" applyFill="1"/>
    <xf numFmtId="0" fontId="29" fillId="17" borderId="0" xfId="0" applyFont="1" applyFill="1"/>
    <xf numFmtId="0" fontId="11" fillId="16" borderId="0" xfId="0" applyFont="1" applyFill="1"/>
    <xf numFmtId="0" fontId="28" fillId="10" borderId="0" xfId="0" applyFont="1" applyFill="1" applyAlignment="1">
      <alignment horizontal="left" indent="1"/>
    </xf>
    <xf numFmtId="0" fontId="28" fillId="12" borderId="0" xfId="0" applyFont="1" applyFill="1" applyAlignment="1">
      <alignment horizontal="left" indent="1"/>
    </xf>
    <xf numFmtId="0" fontId="1" fillId="19" borderId="0" xfId="0" applyFont="1" applyFill="1" applyAlignment="1">
      <alignment horizontal="left" indent="1"/>
    </xf>
    <xf numFmtId="0" fontId="30" fillId="11" borderId="0" xfId="0" applyFont="1" applyFill="1" applyAlignment="1">
      <alignment horizontal="left" indent="2"/>
    </xf>
    <xf numFmtId="0" fontId="30" fillId="18" borderId="0" xfId="0" applyFont="1" applyFill="1" applyAlignment="1">
      <alignment horizontal="left" indent="2"/>
    </xf>
    <xf numFmtId="0" fontId="26" fillId="20" borderId="0" xfId="0" applyFont="1" applyFill="1" applyAlignment="1">
      <alignment horizontal="left" indent="2"/>
    </xf>
    <xf numFmtId="0" fontId="0" fillId="21" borderId="0" xfId="0" applyFill="1"/>
    <xf numFmtId="0" fontId="0" fillId="6" borderId="0" xfId="0" applyFill="1"/>
    <xf numFmtId="0" fontId="10" fillId="21" borderId="0" xfId="0" applyFont="1" applyFill="1"/>
    <xf numFmtId="0" fontId="26" fillId="14" borderId="0" xfId="0" applyFont="1" applyFill="1" applyAlignment="1">
      <alignment horizontal="left" indent="3"/>
    </xf>
    <xf numFmtId="0" fontId="26" fillId="15" borderId="0" xfId="0" applyFont="1" applyFill="1" applyAlignment="1">
      <alignment horizontal="left" indent="3"/>
    </xf>
    <xf numFmtId="0" fontId="26" fillId="21" borderId="0" xfId="0" applyFont="1" applyFill="1" applyAlignment="1">
      <alignment horizontal="left" indent="3"/>
    </xf>
    <xf numFmtId="0" fontId="10" fillId="8" borderId="0" xfId="0" applyFont="1" applyFill="1" applyAlignment="1">
      <alignment horizontal="left" indent="4"/>
    </xf>
    <xf numFmtId="0" fontId="10" fillId="9" borderId="0" xfId="0" applyFont="1" applyFill="1" applyAlignment="1">
      <alignment horizontal="left" indent="4"/>
    </xf>
    <xf numFmtId="0" fontId="10" fillId="21" borderId="0" xfId="0" applyFont="1" applyFill="1" applyAlignment="1">
      <alignment horizontal="left" indent="4"/>
    </xf>
    <xf numFmtId="0" fontId="5" fillId="2" borderId="0" xfId="0" applyFont="1" applyFill="1" applyAlignment="1">
      <alignment horizontal="left" indent="5"/>
    </xf>
    <xf numFmtId="0" fontId="5" fillId="6" borderId="0" xfId="0" applyFont="1" applyFill="1" applyAlignment="1">
      <alignment horizontal="left" indent="5"/>
    </xf>
    <xf numFmtId="0" fontId="10" fillId="2" borderId="0" xfId="0" applyFont="1" applyFill="1"/>
    <xf numFmtId="0" fontId="10" fillId="6" borderId="0" xfId="0" applyFont="1" applyFill="1"/>
    <xf numFmtId="9" fontId="0" fillId="0" borderId="0" xfId="0" applyNumberFormat="1"/>
    <xf numFmtId="0" fontId="0" fillId="0" borderId="1" xfId="0" applyBorder="1"/>
    <xf numFmtId="0" fontId="0" fillId="0" borderId="5" xfId="0" applyBorder="1"/>
    <xf numFmtId="165" fontId="29" fillId="17" borderId="0" xfId="0" applyNumberFormat="1" applyFont="1" applyFill="1"/>
    <xf numFmtId="165" fontId="28" fillId="10" borderId="0" xfId="0" applyNumberFormat="1" applyFont="1" applyFill="1"/>
    <xf numFmtId="165" fontId="30" fillId="11" borderId="0" xfId="0" applyNumberFormat="1" applyFont="1" applyFill="1"/>
    <xf numFmtId="165" fontId="26" fillId="14" borderId="0" xfId="0" applyNumberFormat="1" applyFont="1" applyFill="1"/>
    <xf numFmtId="165" fontId="10" fillId="8" borderId="0" xfId="0" applyNumberFormat="1" applyFont="1" applyFill="1"/>
    <xf numFmtId="165" fontId="5" fillId="2" borderId="0" xfId="0" applyNumberFormat="1" applyFont="1" applyFill="1"/>
    <xf numFmtId="165" fontId="29" fillId="13" borderId="0" xfId="0" applyNumberFormat="1" applyFont="1" applyFill="1"/>
    <xf numFmtId="165" fontId="28" fillId="12" borderId="0" xfId="0" applyNumberFormat="1" applyFont="1" applyFill="1"/>
    <xf numFmtId="165" fontId="30" fillId="18" borderId="0" xfId="0" applyNumberFormat="1" applyFont="1" applyFill="1"/>
    <xf numFmtId="165" fontId="26" fillId="15" borderId="0" xfId="0" applyNumberFormat="1" applyFont="1" applyFill="1"/>
    <xf numFmtId="165" fontId="10" fillId="9" borderId="0" xfId="0" applyNumberFormat="1" applyFont="1" applyFill="1"/>
    <xf numFmtId="165" fontId="5" fillId="6" borderId="0" xfId="0" applyNumberFormat="1" applyFont="1" applyFill="1"/>
    <xf numFmtId="165" fontId="11" fillId="16" borderId="0" xfId="0" applyNumberFormat="1" applyFont="1" applyFill="1"/>
    <xf numFmtId="165" fontId="1" fillId="19" borderId="0" xfId="0" applyNumberFormat="1" applyFont="1" applyFill="1"/>
    <xf numFmtId="165" fontId="26" fillId="20" borderId="0" xfId="0" applyNumberFormat="1" applyFont="1" applyFill="1"/>
    <xf numFmtId="165" fontId="26" fillId="21" borderId="0" xfId="0" applyNumberFormat="1" applyFont="1" applyFill="1"/>
    <xf numFmtId="165" fontId="10" fillId="21" borderId="0" xfId="0" applyNumberFormat="1" applyFont="1" applyFill="1"/>
    <xf numFmtId="165" fontId="11" fillId="0" borderId="0" xfId="0" applyNumberFormat="1" applyFont="1"/>
    <xf numFmtId="0" fontId="4" fillId="3" borderId="2" xfId="0" applyFont="1" applyFill="1" applyBorder="1" applyAlignment="1">
      <alignment horizontal="left"/>
    </xf>
    <xf numFmtId="165" fontId="0" fillId="0" borderId="0" xfId="0" applyNumberFormat="1"/>
    <xf numFmtId="0" fontId="0" fillId="0" borderId="2" xfId="0" applyBorder="1"/>
    <xf numFmtId="166" fontId="0" fillId="2" borderId="0" xfId="2" applyNumberFormat="1" applyFont="1" applyFill="1"/>
    <xf numFmtId="166" fontId="0" fillId="6" borderId="0" xfId="2" applyNumberFormat="1" applyFont="1" applyFill="1"/>
    <xf numFmtId="166" fontId="0" fillId="21" borderId="0" xfId="2" applyNumberFormat="1" applyFont="1" applyFill="1"/>
    <xf numFmtId="166" fontId="0" fillId="0" borderId="0" xfId="2" applyNumberFormat="1" applyFont="1" applyFill="1"/>
    <xf numFmtId="0" fontId="0" fillId="0" borderId="0" xfId="0" applyAlignment="1">
      <alignment wrapText="1"/>
    </xf>
    <xf numFmtId="0" fontId="0" fillId="2" borderId="0" xfId="0" quotePrefix="1" applyFill="1"/>
    <xf numFmtId="0" fontId="4" fillId="0" borderId="0" xfId="0" applyFont="1" applyBorder="1" applyAlignment="1">
      <alignment horizontal="left"/>
    </xf>
    <xf numFmtId="0" fontId="0" fillId="0" borderId="0" xfId="0" applyBorder="1"/>
    <xf numFmtId="0" fontId="2" fillId="0" borderId="0" xfId="0" applyFont="1" applyBorder="1" applyAlignment="1">
      <alignment horizontal="left"/>
    </xf>
    <xf numFmtId="0" fontId="3" fillId="0" borderId="0" xfId="0" applyFont="1" applyBorder="1" applyAlignment="1">
      <alignment horizontal="left"/>
    </xf>
  </cellXfs>
  <cellStyles count="3">
    <cellStyle name="Hyperlink" xfId="1" builtinId="8"/>
    <cellStyle name="Normal" xfId="0" builtinId="0"/>
    <cellStyle name="Per cent" xfId="2"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5"/>
        </patternFill>
      </fill>
    </dxf>
    <dxf>
      <fill>
        <patternFill>
          <bgColor theme="7"/>
        </patternFill>
      </fill>
    </dxf>
    <dxf>
      <fill>
        <patternFill>
          <bgColor rgb="FFFFFF00"/>
        </patternFill>
      </fill>
    </dxf>
    <dxf>
      <fill>
        <patternFill>
          <bgColor theme="7"/>
        </patternFill>
      </fill>
    </dxf>
    <dxf>
      <numFmt numFmtId="0" formatCode="General"/>
      <fill>
        <patternFill patternType="solid">
          <fgColor indexed="64"/>
          <bgColor theme="7" tint="0.79998168889431442"/>
        </patternFill>
      </fill>
    </dxf>
    <dxf>
      <numFmt numFmtId="0" formatCode="General"/>
    </dxf>
    <dxf>
      <font>
        <b val="0"/>
        <i val="0"/>
        <strike val="0"/>
        <condense val="0"/>
        <extend val="0"/>
        <outline val="0"/>
        <shadow val="0"/>
        <u val="none"/>
        <vertAlign val="baseline"/>
        <sz val="11"/>
        <color theme="1"/>
        <name val="Calibri"/>
        <family val="2"/>
        <scheme val="minor"/>
      </font>
      <border diagonalUp="0" diagonalDown="0" outline="0">
        <left style="thin">
          <color theme="8"/>
        </left>
        <right/>
        <top style="thin">
          <color theme="8"/>
        </top>
        <bottom/>
      </border>
    </dxf>
    <dxf>
      <font>
        <b val="0"/>
        <i val="0"/>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border diagonalUp="0" diagonalDown="0" outline="0">
        <left/>
        <right/>
        <top style="thin">
          <color theme="8"/>
        </top>
        <bottom/>
      </border>
    </dxf>
    <dxf>
      <numFmt numFmtId="30" formatCode="@"/>
    </dxf>
    <dxf>
      <numFmt numFmtId="30" formatCode="@"/>
    </dxf>
    <dxf>
      <numFmt numFmtId="0" formatCode="General"/>
    </dxf>
    <dxf>
      <numFmt numFmtId="30" formatCode="@"/>
    </dxf>
    <dxf>
      <numFmt numFmtId="30" formatCode="@"/>
    </dxf>
    <dxf>
      <numFmt numFmtId="30" formatCode="@"/>
    </dxf>
    <dxf>
      <numFmt numFmtId="30" formatCode="@"/>
    </dxf>
    <dxf>
      <font>
        <b val="0"/>
        <i/>
        <strike val="0"/>
        <condense val="0"/>
        <extend val="0"/>
        <outline val="0"/>
        <shadow val="0"/>
        <u val="none"/>
        <vertAlign val="baseline"/>
        <sz val="10"/>
        <color theme="1"/>
        <name val="Calibri"/>
        <family val="2"/>
        <scheme val="minor"/>
      </font>
      <numFmt numFmtId="164" formatCode="#\ ###\ ##0;\-#\ ###\ ##0;&quot;&quot;"/>
      <fill>
        <patternFill patternType="solid">
          <fgColor indexed="64"/>
          <bgColor theme="0"/>
        </patternFill>
      </fill>
      <alignment horizontal="left" vertical="bottom" textRotation="0" wrapText="0" indent="3" justifyLastLine="0" shrinkToFit="0" readingOrder="0"/>
    </dxf>
    <dxf>
      <font>
        <b val="0"/>
        <i val="0"/>
        <strike val="0"/>
        <condense val="0"/>
        <extend val="0"/>
        <outline val="0"/>
        <shadow val="0"/>
        <u val="none"/>
        <vertAlign val="baseline"/>
        <sz val="10"/>
        <color theme="1"/>
        <name val="Calibri"/>
        <family val="2"/>
        <scheme val="minor"/>
      </font>
    </dxf>
    <dxf>
      <numFmt numFmtId="0" formatCode="General"/>
    </dxf>
    <dxf>
      <numFmt numFmtId="0" formatCode="General"/>
    </dxf>
    <dxf>
      <numFmt numFmtId="30" formatCode="@"/>
    </dxf>
    <dxf>
      <numFmt numFmtId="30" formatCode="@"/>
    </dxf>
    <dxf>
      <font>
        <strike val="0"/>
        <outline val="0"/>
        <shadow val="0"/>
        <u val="none"/>
        <vertAlign val="baseline"/>
        <sz val="11"/>
        <color auto="1"/>
        <name val="Calibri"/>
        <family val="2"/>
        <scheme val="minor"/>
      </font>
      <numFmt numFmtId="0" formatCode="General"/>
      <fill>
        <patternFill patternType="none">
          <fgColor indexed="64"/>
          <bgColor auto="1"/>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font>
        <strike val="0"/>
        <outline val="0"/>
        <shadow val="0"/>
        <u val="none"/>
        <vertAlign val="baseline"/>
        <sz val="11"/>
        <color theme="1" tint="0.34998626667073579"/>
        <name val="Calibri"/>
        <family val="2"/>
        <scheme val="minor"/>
      </font>
      <numFmt numFmtId="0" formatCode="General"/>
      <fill>
        <patternFill patternType="solid">
          <fgColor indexed="64"/>
          <bgColor theme="0" tint="-4.9989318521683403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tint="0.499984740745262"/>
        <name val="Calibri"/>
        <family val="2"/>
        <scheme val="minor"/>
      </font>
      <fill>
        <patternFill patternType="solid">
          <fgColor indexed="64"/>
          <bgColor theme="0" tint="-4.9989318521683403E-2"/>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4.9989318521683403E-2"/>
        </patternFill>
      </fill>
      <alignment horizontal="left" vertical="bottom" textRotation="0" wrapText="0" relativeIndent="-1" justifyLastLine="0" shrinkToFit="0" readingOrder="0"/>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ont>
        <b val="0"/>
        <strike val="0"/>
        <outline val="0"/>
        <shadow val="0"/>
        <u val="none"/>
        <vertAlign val="baseline"/>
        <sz val="11"/>
        <color theme="1" tint="0.499984740745262"/>
        <name val="Calibri"/>
        <family val="2"/>
        <scheme val="minor"/>
      </font>
      <numFmt numFmtId="0" formatCode="General"/>
      <fill>
        <patternFill patternType="solid">
          <fgColor indexed="64"/>
          <bgColor theme="0" tint="-4.9989318521683403E-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166" formatCode="0.0%"/>
      <fill>
        <patternFill patternType="solid">
          <fgColor indexed="64"/>
          <bgColor theme="7" tint="0.79998168889431442"/>
        </patternFill>
      </fill>
    </dxf>
    <dxf>
      <numFmt numFmtId="166" formatCode="0.0%"/>
      <fill>
        <patternFill patternType="solid">
          <fgColor indexed="64"/>
          <bgColor theme="7" tint="0.79998168889431442"/>
        </patternFill>
      </fill>
    </dxf>
    <dxf>
      <numFmt numFmtId="0" formatCode="General"/>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0" formatCode="General"/>
      <fill>
        <patternFill patternType="solid">
          <fgColor indexed="64"/>
          <bgColor theme="7" tint="0.79998168889431442"/>
        </patternFill>
      </fill>
    </dxf>
    <dxf>
      <font>
        <strike val="0"/>
        <outline val="0"/>
        <shadow val="0"/>
        <u val="none"/>
        <vertAlign val="baseline"/>
        <sz val="10"/>
        <color theme="1"/>
        <name val="Calibri"/>
        <family val="2"/>
        <scheme val="minor"/>
      </font>
      <fill>
        <patternFill patternType="solid">
          <fgColor indexed="64"/>
          <bgColor theme="7" tint="0.79998168889431442"/>
        </patternFill>
      </fill>
    </dxf>
    <dxf>
      <font>
        <b val="0"/>
        <i val="0"/>
        <strike val="0"/>
        <condense val="0"/>
        <extend val="0"/>
        <outline val="0"/>
        <shadow val="0"/>
        <u val="none"/>
        <vertAlign val="baseline"/>
        <sz val="10"/>
        <color theme="1"/>
        <name val="Calibri"/>
        <family val="2"/>
        <scheme val="minor"/>
      </font>
    </dxf>
    <dxf>
      <numFmt numFmtId="165" formatCode="##\ ##\ ##"/>
    </dxf>
    <dxf>
      <numFmt numFmtId="165" formatCode="##\ ##\ ##"/>
    </dxf>
  </dxfs>
  <tableStyles count="0" defaultTableStyle="TableStyleMedium2" defaultPivotStyle="PivotStyleLight16"/>
  <colors>
    <mruColors>
      <color rgb="FFFFCCFF"/>
      <color rgb="FFC9EDFF"/>
      <color rgb="FFEADCF4"/>
      <color rgb="FFDCC5ED"/>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3D1F94A-2BD4-4BF2-B81F-211A85BE9963}" type="doc">
      <dgm:prSet loTypeId="urn:microsoft.com/office/officeart/2005/8/layout/orgChart1" loCatId="hierarchy" qsTypeId="urn:microsoft.com/office/officeart/2005/8/quickstyle/simple1" qsCatId="simple" csTypeId="urn:microsoft.com/office/officeart/2005/8/colors/accent0_1" csCatId="mainScheme" phldr="1"/>
      <dgm:spPr/>
      <dgm:t>
        <a:bodyPr/>
        <a:lstStyle/>
        <a:p>
          <a:endParaRPr lang="en-US"/>
        </a:p>
      </dgm:t>
    </dgm:pt>
    <dgm:pt modelId="{624FCBA6-4037-4BFE-AEF8-B4CBBD83024F}">
      <dgm:prSet phldrT="[Text]" custT="1"/>
      <dgm:spPr>
        <a:solidFill>
          <a:schemeClr val="bg1">
            <a:lumMod val="50000"/>
          </a:schemeClr>
        </a:solidFill>
        <a:ln>
          <a:prstDash val="solid"/>
        </a:ln>
      </dgm:spPr>
      <dgm:t>
        <a:bodyPr lIns="0" tIns="0" rIns="0" bIns="0"/>
        <a:lstStyle/>
        <a:p>
          <a:r>
            <a:rPr lang="en-US" sz="1200" b="1">
              <a:solidFill>
                <a:schemeClr val="bg1"/>
              </a:solidFill>
            </a:rPr>
            <a:t>Non-renewable energy</a:t>
          </a:r>
          <a:br>
            <a:rPr lang="en-US" sz="1200" b="1">
              <a:solidFill>
                <a:schemeClr val="bg1"/>
              </a:solidFill>
            </a:rPr>
          </a:br>
          <a:r>
            <a:rPr lang="en-US" sz="1100" b="0">
              <a:solidFill>
                <a:schemeClr val="bg1"/>
              </a:solidFill>
            </a:rPr>
            <a:t>100000</a:t>
          </a:r>
          <a:endParaRPr lang="en-US" sz="1200" b="0">
            <a:solidFill>
              <a:schemeClr val="bg1"/>
            </a:solidFill>
          </a:endParaRPr>
        </a:p>
      </dgm:t>
    </dgm:pt>
    <dgm:pt modelId="{EC6372AC-8DF6-400C-8481-5DD1DC9538BE}" type="parTrans" cxnId="{430D25AF-2544-4ECE-94CD-FF65BAA24EC3}">
      <dgm:prSet/>
      <dgm:spPr/>
      <dgm:t>
        <a:bodyPr/>
        <a:lstStyle/>
        <a:p>
          <a:endParaRPr lang="en-US" sz="2400"/>
        </a:p>
      </dgm:t>
    </dgm:pt>
    <dgm:pt modelId="{B66B9E58-7399-4F51-8BF3-F6BAC51F7939}" type="sibTrans" cxnId="{430D25AF-2544-4ECE-94CD-FF65BAA24EC3}">
      <dgm:prSet/>
      <dgm:spPr/>
      <dgm:t>
        <a:bodyPr/>
        <a:lstStyle/>
        <a:p>
          <a:endParaRPr lang="en-US" sz="2400"/>
        </a:p>
      </dgm:t>
    </dgm:pt>
    <dgm:pt modelId="{43494D86-EA7A-4DCD-AB36-E02A143CE95D}">
      <dgm:prSet phldrT="[Text]" custT="1"/>
      <dgm:spPr>
        <a:solidFill>
          <a:schemeClr val="bg2"/>
        </a:solidFill>
        <a:ln>
          <a:prstDash val="solid"/>
        </a:ln>
      </dgm:spPr>
      <dgm:t>
        <a:bodyPr/>
        <a:lstStyle/>
        <a:p>
          <a:r>
            <a:rPr lang="en-US" sz="1050" b="1">
              <a:solidFill>
                <a:sysClr val="windowText" lastClr="000000"/>
              </a:solidFill>
            </a:rPr>
            <a:t>Fossil fuels </a:t>
          </a:r>
          <a:br>
            <a:rPr lang="en-US" sz="1050" b="1">
              <a:solidFill>
                <a:sysClr val="windowText" lastClr="000000"/>
              </a:solidFill>
            </a:rPr>
          </a:br>
          <a:r>
            <a:rPr lang="en-US" sz="1000" b="0">
              <a:solidFill>
                <a:sysClr val="windowText" lastClr="000000"/>
              </a:solidFill>
            </a:rPr>
            <a:t>110000</a:t>
          </a:r>
          <a:endParaRPr lang="en-US" sz="1050" b="0">
            <a:solidFill>
              <a:sysClr val="windowText" lastClr="000000"/>
            </a:solidFill>
          </a:endParaRPr>
        </a:p>
      </dgm:t>
    </dgm:pt>
    <dgm:pt modelId="{971DDB20-CC80-441E-AC21-6211670B41E1}" type="parTrans" cxnId="{397D102D-534E-43C5-8C68-0B1F996801C7}">
      <dgm:prSet/>
      <dgm:spPr/>
      <dgm:t>
        <a:bodyPr/>
        <a:lstStyle/>
        <a:p>
          <a:endParaRPr lang="en-US" sz="2400"/>
        </a:p>
      </dgm:t>
    </dgm:pt>
    <dgm:pt modelId="{BC750FC7-4F04-4CF4-9D87-C58E89F45CF9}" type="sibTrans" cxnId="{397D102D-534E-43C5-8C68-0B1F996801C7}">
      <dgm:prSet/>
      <dgm:spPr/>
      <dgm:t>
        <a:bodyPr/>
        <a:lstStyle/>
        <a:p>
          <a:endParaRPr lang="en-US" sz="2400"/>
        </a:p>
      </dgm:t>
    </dgm:pt>
    <dgm:pt modelId="{668FD8E8-F813-44B7-ADB4-AF4C5A9F35DF}">
      <dgm:prSet phldrT="[Text]" custT="1"/>
      <dgm:spPr>
        <a:solidFill>
          <a:schemeClr val="accent1"/>
        </a:solidFill>
        <a:ln>
          <a:prstDash val="solid"/>
        </a:ln>
      </dgm:spPr>
      <dgm:t>
        <a:bodyPr/>
        <a:lstStyle/>
        <a:p>
          <a:r>
            <a:rPr lang="en-US" sz="1200" b="1">
              <a:solidFill>
                <a:schemeClr val="bg1"/>
              </a:solidFill>
            </a:rPr>
            <a:t>Renewable Energy</a:t>
          </a:r>
          <a:br>
            <a:rPr lang="en-US" sz="1200" b="1">
              <a:solidFill>
                <a:schemeClr val="bg1"/>
              </a:solidFill>
            </a:rPr>
          </a:br>
          <a:r>
            <a:rPr lang="en-US" sz="1100" b="0">
              <a:solidFill>
                <a:schemeClr val="bg1"/>
              </a:solidFill>
            </a:rPr>
            <a:t>200000</a:t>
          </a:r>
          <a:endParaRPr lang="en-US" sz="1200" b="0">
            <a:solidFill>
              <a:schemeClr val="bg1"/>
            </a:solidFill>
          </a:endParaRPr>
        </a:p>
      </dgm:t>
    </dgm:pt>
    <dgm:pt modelId="{95DD5D78-5172-41EB-92A6-C4EFFB382529}" type="parTrans" cxnId="{3243F5C9-AC8C-4929-8608-6CFC1D8A7406}">
      <dgm:prSet/>
      <dgm:spPr/>
      <dgm:t>
        <a:bodyPr/>
        <a:lstStyle/>
        <a:p>
          <a:endParaRPr lang="en-US" sz="2400"/>
        </a:p>
      </dgm:t>
    </dgm:pt>
    <dgm:pt modelId="{84F85C8B-E9BA-4546-B0AF-70E0D7C941A6}" type="sibTrans" cxnId="{3243F5C9-AC8C-4929-8608-6CFC1D8A7406}">
      <dgm:prSet/>
      <dgm:spPr/>
      <dgm:t>
        <a:bodyPr/>
        <a:lstStyle/>
        <a:p>
          <a:endParaRPr lang="en-US" sz="2400"/>
        </a:p>
      </dgm:t>
    </dgm:pt>
    <dgm:pt modelId="{B8671627-4FBE-4B11-B2F5-01D35E7A09C7}">
      <dgm:prSet phldrT="[Text]" custT="1"/>
      <dgm:spPr>
        <a:solidFill>
          <a:schemeClr val="bg2"/>
        </a:solidFill>
      </dgm:spPr>
      <dgm:t>
        <a:bodyPr/>
        <a:lstStyle/>
        <a:p>
          <a:r>
            <a:rPr lang="en-US" sz="1050" b="1">
              <a:solidFill>
                <a:sysClr val="windowText" lastClr="000000"/>
              </a:solidFill>
            </a:rPr>
            <a:t>Nuclear fission</a:t>
          </a:r>
          <a:br>
            <a:rPr lang="en-US" sz="1050" b="1">
              <a:solidFill>
                <a:sysClr val="windowText" lastClr="000000"/>
              </a:solidFill>
            </a:rPr>
          </a:br>
          <a:r>
            <a:rPr lang="en-US" sz="1000" b="0">
              <a:solidFill>
                <a:sysClr val="windowText" lastClr="000000"/>
              </a:solidFill>
            </a:rPr>
            <a:t>120000</a:t>
          </a:r>
          <a:endParaRPr lang="en-US" sz="1050" b="0">
            <a:solidFill>
              <a:sysClr val="windowText" lastClr="000000"/>
            </a:solidFill>
          </a:endParaRPr>
        </a:p>
      </dgm:t>
    </dgm:pt>
    <dgm:pt modelId="{461B4438-DE1C-4261-A12C-E1E4DE41AB0C}" type="parTrans" cxnId="{0FCED666-E053-4C72-8F01-43C44C37B50B}">
      <dgm:prSet/>
      <dgm:spPr/>
      <dgm:t>
        <a:bodyPr/>
        <a:lstStyle/>
        <a:p>
          <a:endParaRPr lang="en-US" sz="2400"/>
        </a:p>
      </dgm:t>
    </dgm:pt>
    <dgm:pt modelId="{27037085-1EBA-411E-B3DE-F40B5DD5CA82}" type="sibTrans" cxnId="{0FCED666-E053-4C72-8F01-43C44C37B50B}">
      <dgm:prSet/>
      <dgm:spPr/>
      <dgm:t>
        <a:bodyPr/>
        <a:lstStyle/>
        <a:p>
          <a:endParaRPr lang="en-US" sz="2400"/>
        </a:p>
      </dgm:t>
    </dgm:pt>
    <dgm:pt modelId="{FE848344-69B4-4AF0-A0BA-62F6E39471A7}">
      <dgm:prSet phldrT="[Text]" custT="1"/>
      <dgm:spPr>
        <a:solidFill>
          <a:schemeClr val="bg2"/>
        </a:solidFill>
        <a:ln>
          <a:prstDash val="solid"/>
        </a:ln>
      </dgm:spPr>
      <dgm:t>
        <a:bodyPr/>
        <a:lstStyle/>
        <a:p>
          <a:r>
            <a:rPr lang="en-US" sz="1050" b="1">
              <a:solidFill>
                <a:sysClr val="windowText" lastClr="000000"/>
              </a:solidFill>
            </a:rPr>
            <a:t>Other non-renewable energy</a:t>
          </a:r>
          <a:br>
            <a:rPr lang="en-US" sz="1000" b="1">
              <a:solidFill>
                <a:sysClr val="windowText" lastClr="000000"/>
              </a:solidFill>
            </a:rPr>
          </a:br>
          <a:r>
            <a:rPr lang="en-US" sz="1000" b="0">
              <a:solidFill>
                <a:sysClr val="windowText" lastClr="000000"/>
              </a:solidFill>
            </a:rPr>
            <a:t>140000</a:t>
          </a:r>
        </a:p>
      </dgm:t>
    </dgm:pt>
    <dgm:pt modelId="{C70932F0-1F03-42B4-81FF-F8E306150B04}" type="parTrans" cxnId="{D26B8A8A-3908-4593-86A6-0572FD7D5DAB}">
      <dgm:prSet/>
      <dgm:spPr/>
      <dgm:t>
        <a:bodyPr/>
        <a:lstStyle/>
        <a:p>
          <a:endParaRPr lang="en-US" sz="2400"/>
        </a:p>
      </dgm:t>
    </dgm:pt>
    <dgm:pt modelId="{DFFF63C6-7B13-4114-8717-246C68F1D203}" type="sibTrans" cxnId="{D26B8A8A-3908-4593-86A6-0572FD7D5DAB}">
      <dgm:prSet/>
      <dgm:spPr/>
      <dgm:t>
        <a:bodyPr/>
        <a:lstStyle/>
        <a:p>
          <a:endParaRPr lang="en-US" sz="2400"/>
        </a:p>
      </dgm:t>
    </dgm:pt>
    <dgm:pt modelId="{A6BC0BFA-F253-4133-BCCD-3080B1026916}">
      <dgm:prSet phldrT="[Text]" custT="1"/>
      <dgm:spPr>
        <a:solidFill>
          <a:schemeClr val="accent6">
            <a:lumMod val="20000"/>
            <a:lumOff val="80000"/>
          </a:schemeClr>
        </a:solidFill>
        <a:ln>
          <a:prstDash val="solid"/>
        </a:ln>
      </dgm:spPr>
      <dgm:t>
        <a:bodyPr/>
        <a:lstStyle/>
        <a:p>
          <a:r>
            <a:rPr lang="en-US" sz="1050" b="1"/>
            <a:t>Bioenergy</a:t>
          </a:r>
          <a:br>
            <a:rPr lang="en-US" sz="1050" b="1"/>
          </a:br>
          <a:r>
            <a:rPr lang="en-US" sz="1000" b="0"/>
            <a:t>260000</a:t>
          </a:r>
          <a:endParaRPr lang="en-US" sz="1050" b="0"/>
        </a:p>
      </dgm:t>
    </dgm:pt>
    <dgm:pt modelId="{52D2A314-5AC5-4D94-ACC9-9F784C699FFB}" type="parTrans" cxnId="{B8A39B7B-CE8C-453B-A781-8E2F14AD2100}">
      <dgm:prSet/>
      <dgm:spPr/>
      <dgm:t>
        <a:bodyPr/>
        <a:lstStyle/>
        <a:p>
          <a:endParaRPr lang="en-US" sz="2400"/>
        </a:p>
      </dgm:t>
    </dgm:pt>
    <dgm:pt modelId="{B26A73C5-DA54-4879-8C91-AA4919DEE844}" type="sibTrans" cxnId="{B8A39B7B-CE8C-453B-A781-8E2F14AD2100}">
      <dgm:prSet/>
      <dgm:spPr/>
      <dgm:t>
        <a:bodyPr/>
        <a:lstStyle/>
        <a:p>
          <a:endParaRPr lang="en-US" sz="2400"/>
        </a:p>
      </dgm:t>
    </dgm:pt>
    <dgm:pt modelId="{9AE70B7F-979B-49CE-BC85-C030BB8B70B4}">
      <dgm:prSet phldrT="[Text]" custT="1"/>
      <dgm:spPr>
        <a:solidFill>
          <a:srgbClr val="FFC7CE"/>
        </a:solidFill>
        <a:ln>
          <a:prstDash val="solid"/>
        </a:ln>
      </dgm:spPr>
      <dgm:t>
        <a:bodyPr/>
        <a:lstStyle/>
        <a:p>
          <a:r>
            <a:rPr lang="en-US" sz="1050" b="1"/>
            <a:t>Geothermal energy</a:t>
          </a:r>
          <a:br>
            <a:rPr lang="en-US" sz="1050" b="1"/>
          </a:br>
          <a:r>
            <a:rPr lang="en-US" sz="1000" b="0"/>
            <a:t>250000</a:t>
          </a:r>
          <a:endParaRPr lang="en-US" sz="1050" b="0"/>
        </a:p>
      </dgm:t>
    </dgm:pt>
    <dgm:pt modelId="{FCC5C2AC-03B5-438E-A94A-743C42691E38}" type="parTrans" cxnId="{940131C2-055F-4B96-9392-2BA18DEA880A}">
      <dgm:prSet/>
      <dgm:spPr/>
      <dgm:t>
        <a:bodyPr/>
        <a:lstStyle/>
        <a:p>
          <a:endParaRPr lang="en-US" sz="2400"/>
        </a:p>
      </dgm:t>
    </dgm:pt>
    <dgm:pt modelId="{268A6D64-B107-4E91-B4C7-93B0F9CD56CA}" type="sibTrans" cxnId="{940131C2-055F-4B96-9392-2BA18DEA880A}">
      <dgm:prSet/>
      <dgm:spPr/>
      <dgm:t>
        <a:bodyPr/>
        <a:lstStyle/>
        <a:p>
          <a:endParaRPr lang="en-US" sz="2400"/>
        </a:p>
      </dgm:t>
    </dgm:pt>
    <dgm:pt modelId="{CCEB27B7-C321-4041-835D-689BBBE813E0}">
      <dgm:prSet phldrT="[Text]" custT="1"/>
      <dgm:spPr>
        <a:solidFill>
          <a:schemeClr val="accent5">
            <a:lumMod val="20000"/>
            <a:lumOff val="80000"/>
          </a:schemeClr>
        </a:solidFill>
        <a:ln>
          <a:prstDash val="solid"/>
        </a:ln>
      </dgm:spPr>
      <dgm:t>
        <a:bodyPr/>
        <a:lstStyle/>
        <a:p>
          <a:r>
            <a:rPr lang="en-US" sz="1050" b="1"/>
            <a:t>Renewable hydropower</a:t>
          </a:r>
          <a:br>
            <a:rPr lang="en-US" sz="1050" b="1"/>
          </a:br>
          <a:r>
            <a:rPr lang="en-US" sz="1000" b="0"/>
            <a:t>210000</a:t>
          </a:r>
          <a:endParaRPr lang="en-US" sz="1050" b="0"/>
        </a:p>
      </dgm:t>
    </dgm:pt>
    <dgm:pt modelId="{A0E2C5C2-CA84-4E08-AD8D-22A90C36ACCD}" type="parTrans" cxnId="{2C0408DE-8746-4BDF-8790-AD99AA450C1F}">
      <dgm:prSet/>
      <dgm:spPr/>
      <dgm:t>
        <a:bodyPr/>
        <a:lstStyle/>
        <a:p>
          <a:endParaRPr lang="en-US" sz="2400"/>
        </a:p>
      </dgm:t>
    </dgm:pt>
    <dgm:pt modelId="{96C4A577-90ED-4ED3-A6EB-ADFF6D3628F9}" type="sibTrans" cxnId="{2C0408DE-8746-4BDF-8790-AD99AA450C1F}">
      <dgm:prSet/>
      <dgm:spPr/>
      <dgm:t>
        <a:bodyPr/>
        <a:lstStyle/>
        <a:p>
          <a:endParaRPr lang="en-US" sz="2400"/>
        </a:p>
      </dgm:t>
    </dgm:pt>
    <dgm:pt modelId="{2E764A5A-3A14-45D4-A38B-5595B575B8E6}">
      <dgm:prSet phldrT="[Text]" custT="1"/>
      <dgm:spPr>
        <a:solidFill>
          <a:srgbClr val="EADCF4"/>
        </a:solidFill>
      </dgm:spPr>
      <dgm:t>
        <a:bodyPr/>
        <a:lstStyle/>
        <a:p>
          <a:r>
            <a:rPr lang="en-US" sz="1050" b="1"/>
            <a:t>Marine energy</a:t>
          </a:r>
          <a:br>
            <a:rPr lang="en-US" sz="1050" b="1"/>
          </a:br>
          <a:r>
            <a:rPr lang="en-US" sz="1000" b="0"/>
            <a:t>220000</a:t>
          </a:r>
          <a:endParaRPr lang="en-US" sz="1050" b="0"/>
        </a:p>
      </dgm:t>
    </dgm:pt>
    <dgm:pt modelId="{CB4EA92A-DCE3-4722-B5A8-9FACE7B9B8B1}" type="parTrans" cxnId="{E13F67C1-5001-496F-88AC-6A110DB1F963}">
      <dgm:prSet/>
      <dgm:spPr/>
      <dgm:t>
        <a:bodyPr/>
        <a:lstStyle/>
        <a:p>
          <a:endParaRPr lang="en-US" sz="2400"/>
        </a:p>
      </dgm:t>
    </dgm:pt>
    <dgm:pt modelId="{A4B02A23-F501-45E6-8CA2-A621EE78576F}" type="sibTrans" cxnId="{E13F67C1-5001-496F-88AC-6A110DB1F963}">
      <dgm:prSet/>
      <dgm:spPr/>
      <dgm:t>
        <a:bodyPr/>
        <a:lstStyle/>
        <a:p>
          <a:endParaRPr lang="en-US" sz="2400"/>
        </a:p>
      </dgm:t>
    </dgm:pt>
    <dgm:pt modelId="{3C5E6760-9973-4507-8410-F6115E73979F}">
      <dgm:prSet phldrT="[Text]" custT="1"/>
      <dgm:spPr>
        <a:solidFill>
          <a:schemeClr val="accent4">
            <a:lumMod val="20000"/>
            <a:lumOff val="80000"/>
          </a:schemeClr>
        </a:solidFill>
        <a:ln>
          <a:prstDash val="solid"/>
        </a:ln>
      </dgm:spPr>
      <dgm:t>
        <a:bodyPr/>
        <a:lstStyle/>
        <a:p>
          <a:r>
            <a:rPr lang="en-US" sz="1050" b="1"/>
            <a:t>Solar energy</a:t>
          </a:r>
          <a:br>
            <a:rPr lang="en-US" sz="1050" b="1"/>
          </a:br>
          <a:r>
            <a:rPr lang="en-US" sz="1000" b="0"/>
            <a:t>240000</a:t>
          </a:r>
          <a:endParaRPr lang="en-US" sz="1050" b="0"/>
        </a:p>
      </dgm:t>
    </dgm:pt>
    <dgm:pt modelId="{4C54498C-B717-4B98-AADD-B3C2205606CE}" type="parTrans" cxnId="{06A47C4B-464C-473D-8771-34CD216551E1}">
      <dgm:prSet/>
      <dgm:spPr/>
      <dgm:t>
        <a:bodyPr/>
        <a:lstStyle/>
        <a:p>
          <a:endParaRPr lang="en-US" sz="2400"/>
        </a:p>
      </dgm:t>
    </dgm:pt>
    <dgm:pt modelId="{6AE33032-DC84-4963-BC1A-CB49209059A4}" type="sibTrans" cxnId="{06A47C4B-464C-473D-8771-34CD216551E1}">
      <dgm:prSet/>
      <dgm:spPr/>
      <dgm:t>
        <a:bodyPr/>
        <a:lstStyle/>
        <a:p>
          <a:endParaRPr lang="en-US" sz="2400"/>
        </a:p>
      </dgm:t>
    </dgm:pt>
    <dgm:pt modelId="{CB5DDAB7-D6BA-4F78-8AC1-41093DB49CBF}">
      <dgm:prSet phldrT="[Text]" custT="1"/>
      <dgm:spPr>
        <a:solidFill>
          <a:schemeClr val="bg1">
            <a:lumMod val="95000"/>
          </a:schemeClr>
        </a:solidFill>
        <a:ln>
          <a:prstDash val="solid"/>
        </a:ln>
      </dgm:spPr>
      <dgm:t>
        <a:bodyPr/>
        <a:lstStyle/>
        <a:p>
          <a:r>
            <a:rPr lang="en-US" sz="1050" b="1"/>
            <a:t>Wind energy</a:t>
          </a:r>
          <a:br>
            <a:rPr lang="en-US" sz="1050" b="1"/>
          </a:br>
          <a:r>
            <a:rPr lang="en-US" sz="1000" b="0"/>
            <a:t>230000</a:t>
          </a:r>
          <a:endParaRPr lang="en-US" sz="1050" b="0"/>
        </a:p>
      </dgm:t>
    </dgm:pt>
    <dgm:pt modelId="{0D819E5E-225C-4777-BE2E-6C54DE1586E0}" type="parTrans" cxnId="{FD7B7F95-29BB-4AA3-B7D1-4073D01562D1}">
      <dgm:prSet/>
      <dgm:spPr/>
      <dgm:t>
        <a:bodyPr/>
        <a:lstStyle/>
        <a:p>
          <a:endParaRPr lang="en-US" sz="2400"/>
        </a:p>
      </dgm:t>
    </dgm:pt>
    <dgm:pt modelId="{62B6D0B3-7DD1-49BB-A410-893713021F5E}" type="sibTrans" cxnId="{FD7B7F95-29BB-4AA3-B7D1-4073D01562D1}">
      <dgm:prSet/>
      <dgm:spPr/>
      <dgm:t>
        <a:bodyPr/>
        <a:lstStyle/>
        <a:p>
          <a:endParaRPr lang="en-US" sz="2400"/>
        </a:p>
      </dgm:t>
    </dgm:pt>
    <dgm:pt modelId="{53A6C4B4-CF08-4693-8722-23AD0DF8467A}">
      <dgm:prSet phldrT="[Text]" custT="1"/>
      <dgm:spPr>
        <a:ln>
          <a:prstDash val="solid"/>
        </a:ln>
      </dgm:spPr>
      <dgm:t>
        <a:bodyPr/>
        <a:lstStyle/>
        <a:p>
          <a:r>
            <a:rPr lang="en-US" sz="1050" b="1"/>
            <a:t>Other renewable energy</a:t>
          </a:r>
          <a:br>
            <a:rPr lang="en-US" sz="1050" b="1"/>
          </a:br>
          <a:r>
            <a:rPr lang="en-US" sz="1000" b="0"/>
            <a:t>290000</a:t>
          </a:r>
          <a:endParaRPr lang="en-US" sz="1050" b="0"/>
        </a:p>
      </dgm:t>
    </dgm:pt>
    <dgm:pt modelId="{CB22239A-2C33-4D8A-80F3-FA87867B19F5}" type="parTrans" cxnId="{0CF24780-7752-49DD-A111-CF31D555EE70}">
      <dgm:prSet/>
      <dgm:spPr/>
      <dgm:t>
        <a:bodyPr/>
        <a:lstStyle/>
        <a:p>
          <a:endParaRPr lang="en-US" sz="2400"/>
        </a:p>
      </dgm:t>
    </dgm:pt>
    <dgm:pt modelId="{A9AF7FD8-F06D-4704-844E-8D85D3C59155}" type="sibTrans" cxnId="{0CF24780-7752-49DD-A111-CF31D555EE70}">
      <dgm:prSet/>
      <dgm:spPr/>
      <dgm:t>
        <a:bodyPr/>
        <a:lstStyle/>
        <a:p>
          <a:endParaRPr lang="en-US" sz="2400"/>
        </a:p>
      </dgm:t>
    </dgm:pt>
    <dgm:pt modelId="{8FC40973-C7B4-49AC-A525-0E4B043C5DA4}">
      <dgm:prSet phldrT="[Text]" custT="1"/>
      <dgm:spPr>
        <a:solidFill>
          <a:schemeClr val="bg2"/>
        </a:solidFill>
      </dgm:spPr>
      <dgm:t>
        <a:bodyPr/>
        <a:lstStyle/>
        <a:p>
          <a:r>
            <a:rPr lang="en-US" sz="1050" b="1">
              <a:solidFill>
                <a:sysClr val="windowText" lastClr="000000"/>
              </a:solidFill>
            </a:rPr>
            <a:t>Coal</a:t>
          </a:r>
          <a:br>
            <a:rPr lang="en-US" sz="1050" b="1">
              <a:solidFill>
                <a:sysClr val="windowText" lastClr="000000"/>
              </a:solidFill>
            </a:rPr>
          </a:br>
          <a:r>
            <a:rPr lang="en-US" sz="1000" b="0">
              <a:solidFill>
                <a:sysClr val="windowText" lastClr="000000"/>
              </a:solidFill>
            </a:rPr>
            <a:t>111000</a:t>
          </a:r>
          <a:endParaRPr lang="en-US" sz="1050" b="0">
            <a:solidFill>
              <a:sysClr val="windowText" lastClr="000000"/>
            </a:solidFill>
          </a:endParaRPr>
        </a:p>
      </dgm:t>
    </dgm:pt>
    <dgm:pt modelId="{2C0D0A2F-2AC1-4A5F-A81F-37875786785D}" type="parTrans" cxnId="{36C21895-F876-4AAF-ADD1-3D59BEA7AAD6}">
      <dgm:prSet/>
      <dgm:spPr/>
      <dgm:t>
        <a:bodyPr/>
        <a:lstStyle/>
        <a:p>
          <a:endParaRPr lang="en-US" sz="2400"/>
        </a:p>
      </dgm:t>
    </dgm:pt>
    <dgm:pt modelId="{52F24308-9120-4D96-BE6A-C48C729D6748}" type="sibTrans" cxnId="{36C21895-F876-4AAF-ADD1-3D59BEA7AAD6}">
      <dgm:prSet/>
      <dgm:spPr/>
      <dgm:t>
        <a:bodyPr/>
        <a:lstStyle/>
        <a:p>
          <a:endParaRPr lang="en-US" sz="2400"/>
        </a:p>
      </dgm:t>
    </dgm:pt>
    <dgm:pt modelId="{4D599669-4AD4-4A06-AF34-9C8C105E9C7D}">
      <dgm:prSet phldrT="[Text]" custT="1"/>
      <dgm:spPr>
        <a:solidFill>
          <a:schemeClr val="bg2"/>
        </a:solidFill>
      </dgm:spPr>
      <dgm:t>
        <a:bodyPr/>
        <a:lstStyle/>
        <a:p>
          <a:r>
            <a:rPr lang="en-US" sz="1050" b="1">
              <a:solidFill>
                <a:sysClr val="windowText" lastClr="000000"/>
              </a:solidFill>
            </a:rPr>
            <a:t>Other fossil fuels</a:t>
          </a:r>
          <a:br>
            <a:rPr lang="en-US" sz="1050" b="1">
              <a:solidFill>
                <a:sysClr val="windowText" lastClr="000000"/>
              </a:solidFill>
            </a:rPr>
          </a:br>
          <a:r>
            <a:rPr lang="en-US" sz="1000" b="0">
              <a:solidFill>
                <a:sysClr val="windowText" lastClr="000000"/>
              </a:solidFill>
            </a:rPr>
            <a:t>119000</a:t>
          </a:r>
          <a:endParaRPr lang="en-US" sz="1050" b="0">
            <a:solidFill>
              <a:sysClr val="windowText" lastClr="000000"/>
            </a:solidFill>
          </a:endParaRPr>
        </a:p>
      </dgm:t>
    </dgm:pt>
    <dgm:pt modelId="{D8FFB51A-C1C4-42AC-8A2F-ED66F187AD19}" type="parTrans" cxnId="{EDF86332-27F4-4EF1-9046-FAF746FD1B4D}">
      <dgm:prSet/>
      <dgm:spPr/>
      <dgm:t>
        <a:bodyPr/>
        <a:lstStyle/>
        <a:p>
          <a:endParaRPr lang="en-US" sz="2400"/>
        </a:p>
      </dgm:t>
    </dgm:pt>
    <dgm:pt modelId="{210147B0-5D5D-4B32-8147-3D22475FFFFE}" type="sibTrans" cxnId="{EDF86332-27F4-4EF1-9046-FAF746FD1B4D}">
      <dgm:prSet/>
      <dgm:spPr/>
      <dgm:t>
        <a:bodyPr/>
        <a:lstStyle/>
        <a:p>
          <a:endParaRPr lang="en-US" sz="2400"/>
        </a:p>
      </dgm:t>
    </dgm:pt>
    <dgm:pt modelId="{E705A229-5034-4E22-9973-8D998757AA21}">
      <dgm:prSet phldrT="[Text]" custT="1"/>
      <dgm:spPr>
        <a:solidFill>
          <a:schemeClr val="bg2"/>
        </a:solidFill>
      </dgm:spPr>
      <dgm:t>
        <a:bodyPr/>
        <a:lstStyle/>
        <a:p>
          <a:r>
            <a:rPr lang="en-US" sz="1050" b="1">
              <a:solidFill>
                <a:sysClr val="windowText" lastClr="000000"/>
              </a:solidFill>
            </a:rPr>
            <a:t>Chemical heat</a:t>
          </a:r>
          <a:br>
            <a:rPr lang="en-US" sz="1050" b="1">
              <a:solidFill>
                <a:sysClr val="windowText" lastClr="000000"/>
              </a:solidFill>
            </a:rPr>
          </a:br>
          <a:r>
            <a:rPr lang="en-US" sz="1000" b="0">
              <a:solidFill>
                <a:sysClr val="windowText" lastClr="000000"/>
              </a:solidFill>
            </a:rPr>
            <a:t>141000</a:t>
          </a:r>
          <a:endParaRPr lang="en-US" sz="1050" b="0">
            <a:solidFill>
              <a:sysClr val="windowText" lastClr="000000"/>
            </a:solidFill>
          </a:endParaRPr>
        </a:p>
      </dgm:t>
    </dgm:pt>
    <dgm:pt modelId="{E072609A-F19F-4C3A-9067-E8892D447FED}" type="parTrans" cxnId="{C55C39A7-B83C-420C-8EEB-66D0A20FAF16}">
      <dgm:prSet/>
      <dgm:spPr/>
      <dgm:t>
        <a:bodyPr/>
        <a:lstStyle/>
        <a:p>
          <a:endParaRPr lang="en-US" sz="2400"/>
        </a:p>
      </dgm:t>
    </dgm:pt>
    <dgm:pt modelId="{0AFDCE1B-A64C-4774-B505-24B3F5FAAE0F}" type="sibTrans" cxnId="{C55C39A7-B83C-420C-8EEB-66D0A20FAF16}">
      <dgm:prSet/>
      <dgm:spPr/>
      <dgm:t>
        <a:bodyPr/>
        <a:lstStyle/>
        <a:p>
          <a:endParaRPr lang="en-US" sz="2400"/>
        </a:p>
      </dgm:t>
    </dgm:pt>
    <dgm:pt modelId="{6D171802-7E8E-4762-835E-3F263473E8D8}">
      <dgm:prSet phldrT="[Text]" custT="1"/>
      <dgm:spPr>
        <a:pattFill prst="ltHorz">
          <a:fgClr>
            <a:schemeClr val="accent6">
              <a:lumMod val="20000"/>
              <a:lumOff val="80000"/>
            </a:schemeClr>
          </a:fgClr>
          <a:bgClr>
            <a:schemeClr val="bg1"/>
          </a:bgClr>
        </a:pattFill>
        <a:ln>
          <a:prstDash val="solid"/>
        </a:ln>
      </dgm:spPr>
      <dgm:t>
        <a:bodyPr/>
        <a:lstStyle/>
        <a:p>
          <a:r>
            <a:rPr lang="en-US" sz="1050" b="1"/>
            <a:t>Gas biofuels</a:t>
          </a:r>
          <a:br>
            <a:rPr lang="en-US" sz="1050" b="1"/>
          </a:br>
          <a:r>
            <a:rPr lang="en-US" sz="1000" b="0"/>
            <a:t>263000</a:t>
          </a:r>
          <a:endParaRPr lang="en-US" sz="1050" b="0"/>
        </a:p>
      </dgm:t>
    </dgm:pt>
    <dgm:pt modelId="{D1BDD1B0-EBCA-48CE-84B2-CC857AA087E4}" type="parTrans" cxnId="{D84A10E3-1A76-4DB7-A78C-6699346DADAC}">
      <dgm:prSet/>
      <dgm:spPr/>
      <dgm:t>
        <a:bodyPr/>
        <a:lstStyle/>
        <a:p>
          <a:endParaRPr lang="en-US" sz="2400"/>
        </a:p>
      </dgm:t>
    </dgm:pt>
    <dgm:pt modelId="{0C4CCD29-400B-4F09-A149-232DE587200F}" type="sibTrans" cxnId="{D84A10E3-1A76-4DB7-A78C-6699346DADAC}">
      <dgm:prSet/>
      <dgm:spPr/>
      <dgm:t>
        <a:bodyPr/>
        <a:lstStyle/>
        <a:p>
          <a:endParaRPr lang="en-US" sz="2400"/>
        </a:p>
      </dgm:t>
    </dgm:pt>
    <dgm:pt modelId="{981E1AF4-DA2D-4B6D-9C64-83259D75895C}">
      <dgm:prSet phldrT="[Text]" custT="1"/>
      <dgm:spPr>
        <a:pattFill prst="ltHorz">
          <a:fgClr>
            <a:schemeClr val="accent6">
              <a:lumMod val="20000"/>
              <a:lumOff val="80000"/>
            </a:schemeClr>
          </a:fgClr>
          <a:bgClr>
            <a:schemeClr val="bg1"/>
          </a:bgClr>
        </a:pattFill>
        <a:ln>
          <a:prstDash val="solid"/>
        </a:ln>
      </dgm:spPr>
      <dgm:t>
        <a:bodyPr/>
        <a:lstStyle/>
        <a:p>
          <a:r>
            <a:rPr lang="en-US" sz="1050" b="1"/>
            <a:t>Liquid biofuels</a:t>
          </a:r>
          <a:br>
            <a:rPr lang="en-US" sz="1050" b="1"/>
          </a:br>
          <a:r>
            <a:rPr lang="en-US" sz="1000" b="0"/>
            <a:t>262000</a:t>
          </a:r>
          <a:endParaRPr lang="en-US" sz="1050" b="0"/>
        </a:p>
      </dgm:t>
    </dgm:pt>
    <dgm:pt modelId="{B0961003-2EEB-4C55-B8F4-8E72564C7F0C}" type="parTrans" cxnId="{6EEC75F9-F7E1-4AD8-8400-5D2FB50229E9}">
      <dgm:prSet/>
      <dgm:spPr/>
      <dgm:t>
        <a:bodyPr/>
        <a:lstStyle/>
        <a:p>
          <a:endParaRPr lang="en-US" sz="2400"/>
        </a:p>
      </dgm:t>
    </dgm:pt>
    <dgm:pt modelId="{A715ADF6-2BC9-4DD3-AD21-E1D28ED3C0D0}" type="sibTrans" cxnId="{6EEC75F9-F7E1-4AD8-8400-5D2FB50229E9}">
      <dgm:prSet/>
      <dgm:spPr/>
      <dgm:t>
        <a:bodyPr/>
        <a:lstStyle/>
        <a:p>
          <a:endParaRPr lang="en-US" sz="2400"/>
        </a:p>
      </dgm:t>
    </dgm:pt>
    <dgm:pt modelId="{37E376FE-5121-4167-9C56-B725FCFDC5E0}">
      <dgm:prSet phldrT="[Text]" custT="1"/>
      <dgm:spPr>
        <a:solidFill>
          <a:schemeClr val="accent6">
            <a:lumMod val="20000"/>
            <a:lumOff val="80000"/>
          </a:schemeClr>
        </a:solidFill>
        <a:ln>
          <a:prstDash val="solid"/>
        </a:ln>
      </dgm:spPr>
      <dgm:t>
        <a:bodyPr/>
        <a:lstStyle/>
        <a:p>
          <a:r>
            <a:rPr lang="en-US" sz="1050" b="1"/>
            <a:t>Solid biofuels </a:t>
          </a:r>
          <a:br>
            <a:rPr lang="en-US" sz="1050" b="1"/>
          </a:br>
          <a:r>
            <a:rPr lang="en-US" sz="1000" b="0"/>
            <a:t>261000</a:t>
          </a:r>
          <a:endParaRPr lang="en-US" sz="1050" b="0"/>
        </a:p>
      </dgm:t>
    </dgm:pt>
    <dgm:pt modelId="{9490FF0A-5F37-4EE7-9989-14026F04DCE4}" type="parTrans" cxnId="{89D4AA95-A231-43F9-AC3C-77954084D3FC}">
      <dgm:prSet/>
      <dgm:spPr/>
      <dgm:t>
        <a:bodyPr/>
        <a:lstStyle/>
        <a:p>
          <a:endParaRPr lang="en-US" sz="2400"/>
        </a:p>
      </dgm:t>
    </dgm:pt>
    <dgm:pt modelId="{B851228B-AFFB-470F-BEFF-EE20319FD5D7}" type="sibTrans" cxnId="{89D4AA95-A231-43F9-AC3C-77954084D3FC}">
      <dgm:prSet/>
      <dgm:spPr/>
      <dgm:t>
        <a:bodyPr/>
        <a:lstStyle/>
        <a:p>
          <a:endParaRPr lang="en-US" sz="2400"/>
        </a:p>
      </dgm:t>
    </dgm:pt>
    <dgm:pt modelId="{4FD2859B-28FD-4397-A41C-A0D56C25F818}">
      <dgm:prSet phldrT="[Text]" custT="1"/>
      <dgm:spPr>
        <a:solidFill>
          <a:schemeClr val="accent5">
            <a:lumMod val="20000"/>
            <a:lumOff val="80000"/>
          </a:schemeClr>
        </a:solidFill>
      </dgm:spPr>
      <dgm:t>
        <a:bodyPr/>
        <a:lstStyle/>
        <a:p>
          <a:r>
            <a:rPr lang="en-US" sz="1050" b="1"/>
            <a:t>Pure hydropower</a:t>
          </a:r>
          <a:br>
            <a:rPr lang="en-US" sz="1050" b="1"/>
          </a:br>
          <a:r>
            <a:rPr lang="en-US" sz="1000" b="0"/>
            <a:t>211000</a:t>
          </a:r>
          <a:endParaRPr lang="en-US" sz="1050" b="0"/>
        </a:p>
      </dgm:t>
    </dgm:pt>
    <dgm:pt modelId="{BBB283EE-D400-40C1-A13D-FE4E38ED419B}" type="parTrans" cxnId="{80639CF0-4F72-4A7F-9243-DFE05849557B}">
      <dgm:prSet/>
      <dgm:spPr/>
      <dgm:t>
        <a:bodyPr/>
        <a:lstStyle/>
        <a:p>
          <a:endParaRPr lang="en-US" sz="2400"/>
        </a:p>
      </dgm:t>
    </dgm:pt>
    <dgm:pt modelId="{4FC4D8ED-7C02-4169-BA33-D5F4D9C5D9C9}" type="sibTrans" cxnId="{80639CF0-4F72-4A7F-9243-DFE05849557B}">
      <dgm:prSet/>
      <dgm:spPr/>
      <dgm:t>
        <a:bodyPr/>
        <a:lstStyle/>
        <a:p>
          <a:endParaRPr lang="en-US" sz="2400"/>
        </a:p>
      </dgm:t>
    </dgm:pt>
    <dgm:pt modelId="{1F8FFF8F-321C-46C2-A470-ED77C27BF283}">
      <dgm:prSet phldrT="[Text]" custT="1"/>
      <dgm:spPr>
        <a:solidFill>
          <a:schemeClr val="accent4">
            <a:lumMod val="20000"/>
            <a:lumOff val="80000"/>
          </a:schemeClr>
        </a:solidFill>
        <a:ln>
          <a:prstDash val="solid"/>
        </a:ln>
      </dgm:spPr>
      <dgm:t>
        <a:bodyPr/>
        <a:lstStyle/>
        <a:p>
          <a:r>
            <a:rPr lang="en-US" sz="1050" b="1"/>
            <a:t>Solar photovoltaic</a:t>
          </a:r>
          <a:br>
            <a:rPr lang="en-US" sz="1050" b="1"/>
          </a:br>
          <a:r>
            <a:rPr lang="en-US" sz="1000" b="0"/>
            <a:t>241000</a:t>
          </a:r>
          <a:endParaRPr lang="en-US" sz="1050" b="0"/>
        </a:p>
      </dgm:t>
    </dgm:pt>
    <dgm:pt modelId="{DE25DFA3-0F9D-4B9D-BEA4-2507AC1F9B04}" type="parTrans" cxnId="{5A977446-73D2-41D2-81AF-1B0556622C8F}">
      <dgm:prSet/>
      <dgm:spPr/>
      <dgm:t>
        <a:bodyPr/>
        <a:lstStyle/>
        <a:p>
          <a:endParaRPr lang="en-US" sz="2400"/>
        </a:p>
      </dgm:t>
    </dgm:pt>
    <dgm:pt modelId="{A800E62F-B8D8-4FE2-B17E-6FA5B9952746}" type="sibTrans" cxnId="{5A977446-73D2-41D2-81AF-1B0556622C8F}">
      <dgm:prSet/>
      <dgm:spPr/>
      <dgm:t>
        <a:bodyPr/>
        <a:lstStyle/>
        <a:p>
          <a:endParaRPr lang="en-US" sz="2400"/>
        </a:p>
      </dgm:t>
    </dgm:pt>
    <dgm:pt modelId="{658C7DFD-1446-4BEC-824F-0D1F604AD075}">
      <dgm:prSet phldrT="[Text]" custT="1"/>
      <dgm:spPr>
        <a:solidFill>
          <a:schemeClr val="bg1">
            <a:lumMod val="95000"/>
          </a:schemeClr>
        </a:solidFill>
      </dgm:spPr>
      <dgm:t>
        <a:bodyPr/>
        <a:lstStyle/>
        <a:p>
          <a:r>
            <a:rPr lang="en-US" sz="1050" b="1"/>
            <a:t>Onshore wind energy</a:t>
          </a:r>
          <a:br>
            <a:rPr lang="en-US" sz="1050" b="1"/>
          </a:br>
          <a:r>
            <a:rPr lang="en-US" sz="1000" b="0"/>
            <a:t>231000</a:t>
          </a:r>
          <a:endParaRPr lang="en-US" sz="1050" b="0"/>
        </a:p>
      </dgm:t>
    </dgm:pt>
    <dgm:pt modelId="{C2F263F5-D360-4402-9297-CD0481D96D06}" type="parTrans" cxnId="{262F999E-0324-4851-A45A-CF960F0AF8E0}">
      <dgm:prSet/>
      <dgm:spPr/>
      <dgm:t>
        <a:bodyPr/>
        <a:lstStyle/>
        <a:p>
          <a:endParaRPr lang="en-US" sz="2400"/>
        </a:p>
      </dgm:t>
    </dgm:pt>
    <dgm:pt modelId="{B0EAEB01-74DD-4CE6-8559-AE43CEAC074E}" type="sibTrans" cxnId="{262F999E-0324-4851-A45A-CF960F0AF8E0}">
      <dgm:prSet/>
      <dgm:spPr/>
      <dgm:t>
        <a:bodyPr/>
        <a:lstStyle/>
        <a:p>
          <a:endParaRPr lang="en-US" sz="2400"/>
        </a:p>
      </dgm:t>
    </dgm:pt>
    <dgm:pt modelId="{2B395088-F7D8-4B01-9FFC-6C8E86BE432F}">
      <dgm:prSet phldrT="[Text]" custT="1"/>
      <dgm:spPr>
        <a:solidFill>
          <a:schemeClr val="bg1">
            <a:lumMod val="95000"/>
          </a:schemeClr>
        </a:solidFill>
      </dgm:spPr>
      <dgm:t>
        <a:bodyPr/>
        <a:lstStyle/>
        <a:p>
          <a:r>
            <a:rPr lang="en-US" sz="1050" b="1"/>
            <a:t>Offshore wind energy</a:t>
          </a:r>
          <a:br>
            <a:rPr lang="en-US" sz="1050" b="1"/>
          </a:br>
          <a:r>
            <a:rPr lang="en-US" sz="1000" b="0"/>
            <a:t>232000</a:t>
          </a:r>
          <a:endParaRPr lang="en-US" sz="1050" b="0"/>
        </a:p>
      </dgm:t>
    </dgm:pt>
    <dgm:pt modelId="{41379AF8-A3CE-4C64-8A4A-FAF727BD241C}" type="parTrans" cxnId="{BE0C178C-BEA9-48F7-BA1B-2710CF558CB6}">
      <dgm:prSet/>
      <dgm:spPr/>
      <dgm:t>
        <a:bodyPr/>
        <a:lstStyle/>
        <a:p>
          <a:endParaRPr lang="en-US" sz="2400"/>
        </a:p>
      </dgm:t>
    </dgm:pt>
    <dgm:pt modelId="{B25B7269-1704-4669-8658-26ED01D9B9A2}" type="sibTrans" cxnId="{BE0C178C-BEA9-48F7-BA1B-2710CF558CB6}">
      <dgm:prSet/>
      <dgm:spPr/>
      <dgm:t>
        <a:bodyPr/>
        <a:lstStyle/>
        <a:p>
          <a:endParaRPr lang="en-US" sz="2400"/>
        </a:p>
      </dgm:t>
    </dgm:pt>
    <dgm:pt modelId="{527E59F1-1CBF-4CC6-997B-56BAC50F0B73}">
      <dgm:prSet phldrT="[Text]" custT="1"/>
      <dgm:spPr/>
      <dgm:t>
        <a:bodyPr/>
        <a:lstStyle/>
        <a:p>
          <a:r>
            <a:rPr lang="en-US" sz="1050" b="1"/>
            <a:t>Air-source heat pump</a:t>
          </a:r>
          <a:br>
            <a:rPr lang="en-US" sz="1050" b="1"/>
          </a:br>
          <a:r>
            <a:rPr lang="en-US" sz="1000" b="0"/>
            <a:t>291000</a:t>
          </a:r>
          <a:endParaRPr lang="en-US" sz="1050" b="0"/>
        </a:p>
      </dgm:t>
    </dgm:pt>
    <dgm:pt modelId="{D92568A8-A203-41A1-8DF6-F2F45F663CD6}" type="parTrans" cxnId="{A1D35DF1-8A55-4AD0-8603-5630350F9B59}">
      <dgm:prSet/>
      <dgm:spPr/>
      <dgm:t>
        <a:bodyPr/>
        <a:lstStyle/>
        <a:p>
          <a:endParaRPr lang="en-US" sz="2400"/>
        </a:p>
      </dgm:t>
    </dgm:pt>
    <dgm:pt modelId="{EE5E9F3B-9FF6-4827-8372-382D88B72E22}" type="sibTrans" cxnId="{A1D35DF1-8A55-4AD0-8603-5630350F9B59}">
      <dgm:prSet/>
      <dgm:spPr/>
      <dgm:t>
        <a:bodyPr/>
        <a:lstStyle/>
        <a:p>
          <a:endParaRPr lang="en-US" sz="2400"/>
        </a:p>
      </dgm:t>
    </dgm:pt>
    <dgm:pt modelId="{1183DB6D-C15F-40C8-9366-A500F1FDED64}">
      <dgm:prSet phldrT="[Text]" custT="1"/>
      <dgm:spPr/>
      <dgm:t>
        <a:bodyPr/>
        <a:lstStyle/>
        <a:p>
          <a:r>
            <a:rPr lang="en-US" sz="1050" b="1"/>
            <a:t>Water-source heat pump</a:t>
          </a:r>
          <a:br>
            <a:rPr lang="en-US" sz="1050" b="1"/>
          </a:br>
          <a:r>
            <a:rPr lang="en-US" sz="1000" b="0"/>
            <a:t>292000</a:t>
          </a:r>
          <a:endParaRPr lang="en-US" sz="1050" b="0"/>
        </a:p>
      </dgm:t>
    </dgm:pt>
    <dgm:pt modelId="{ED7A5D29-67B8-41C3-A06A-5AC21B67484F}" type="parTrans" cxnId="{3C58BDCB-42A9-4E7A-81D3-D528476DD83D}">
      <dgm:prSet/>
      <dgm:spPr/>
      <dgm:t>
        <a:bodyPr/>
        <a:lstStyle/>
        <a:p>
          <a:endParaRPr lang="en-US" sz="2400"/>
        </a:p>
      </dgm:t>
    </dgm:pt>
    <dgm:pt modelId="{54F0EFD7-11BF-47D8-ACA3-2F626081F7D0}" type="sibTrans" cxnId="{3C58BDCB-42A9-4E7A-81D3-D528476DD83D}">
      <dgm:prSet/>
      <dgm:spPr/>
      <dgm:t>
        <a:bodyPr/>
        <a:lstStyle/>
        <a:p>
          <a:endParaRPr lang="en-US" sz="2400"/>
        </a:p>
      </dgm:t>
    </dgm:pt>
    <dgm:pt modelId="{1732A81C-095C-4447-B82A-737B748C4F75}">
      <dgm:prSet phldrT="[Text]" custT="1"/>
      <dgm:spPr/>
      <dgm:t>
        <a:bodyPr/>
        <a:lstStyle/>
        <a:p>
          <a:r>
            <a:rPr lang="en-US" sz="1050" b="1"/>
            <a:t>Other renewable energy n.e.s.</a:t>
          </a:r>
          <a:br>
            <a:rPr lang="en-US" sz="1050" b="1"/>
          </a:br>
          <a:r>
            <a:rPr lang="en-US" sz="1000" b="0"/>
            <a:t>299000</a:t>
          </a:r>
          <a:endParaRPr lang="en-US" sz="1050" b="0"/>
        </a:p>
      </dgm:t>
    </dgm:pt>
    <dgm:pt modelId="{A897771D-E6B0-48A3-B27A-81D9F9AE3A3B}" type="parTrans" cxnId="{0CEAB9AE-416B-448F-A9B1-0BE742FE67D9}">
      <dgm:prSet/>
      <dgm:spPr/>
      <dgm:t>
        <a:bodyPr/>
        <a:lstStyle/>
        <a:p>
          <a:endParaRPr lang="en-US" sz="2400"/>
        </a:p>
      </dgm:t>
    </dgm:pt>
    <dgm:pt modelId="{CB7C92A7-3A1E-4C56-A67D-3A6A56BD2DA0}" type="sibTrans" cxnId="{0CEAB9AE-416B-448F-A9B1-0BE742FE67D9}">
      <dgm:prSet/>
      <dgm:spPr/>
      <dgm:t>
        <a:bodyPr/>
        <a:lstStyle/>
        <a:p>
          <a:endParaRPr lang="en-US" sz="2400"/>
        </a:p>
      </dgm:t>
    </dgm:pt>
    <dgm:pt modelId="{4F940E2F-E19A-4388-A49B-EE303CBBD042}">
      <dgm:prSet phldrT="[Text]" custT="1"/>
      <dgm:spPr>
        <a:solidFill>
          <a:schemeClr val="accent6">
            <a:lumMod val="20000"/>
            <a:lumOff val="80000"/>
          </a:schemeClr>
        </a:solidFill>
      </dgm:spPr>
      <dgm:t>
        <a:bodyPr/>
        <a:lstStyle/>
        <a:p>
          <a:r>
            <a:rPr lang="en-US" sz="1050" b="1"/>
            <a:t>Landfill biogas</a:t>
          </a:r>
          <a:br>
            <a:rPr lang="en-US" sz="1050" b="1"/>
          </a:br>
          <a:r>
            <a:rPr lang="en-US" sz="1000" b="0"/>
            <a:t>263110</a:t>
          </a:r>
          <a:endParaRPr lang="en-US" sz="1050" b="0"/>
        </a:p>
      </dgm:t>
    </dgm:pt>
    <dgm:pt modelId="{98C90B68-A1FA-4357-87BD-A300F6F47FF6}" type="parTrans" cxnId="{DCC2FBD4-BF6E-4738-9D1A-8DFC1F208B61}">
      <dgm:prSet/>
      <dgm:spPr/>
      <dgm:t>
        <a:bodyPr/>
        <a:lstStyle/>
        <a:p>
          <a:endParaRPr lang="en-US" sz="2400"/>
        </a:p>
      </dgm:t>
    </dgm:pt>
    <dgm:pt modelId="{4B80747B-1C2C-41FA-BFF8-AA6438BB89C9}" type="sibTrans" cxnId="{DCC2FBD4-BF6E-4738-9D1A-8DFC1F208B61}">
      <dgm:prSet/>
      <dgm:spPr/>
      <dgm:t>
        <a:bodyPr/>
        <a:lstStyle/>
        <a:p>
          <a:endParaRPr lang="en-US" sz="2400"/>
        </a:p>
      </dgm:t>
    </dgm:pt>
    <dgm:pt modelId="{01BDAF2E-E70D-4F79-9055-50B21BDDED8A}">
      <dgm:prSet phldrT="[Text]" custT="1"/>
      <dgm:spPr>
        <a:solidFill>
          <a:schemeClr val="accent6">
            <a:lumMod val="20000"/>
            <a:lumOff val="80000"/>
          </a:schemeClr>
        </a:solidFill>
      </dgm:spPr>
      <dgm:t>
        <a:bodyPr/>
        <a:lstStyle/>
        <a:p>
          <a:r>
            <a:rPr lang="en-US" sz="1050" b="1"/>
            <a:t>Wastewater sludge biogas</a:t>
          </a:r>
          <a:br>
            <a:rPr lang="en-US" sz="1050" b="1"/>
          </a:br>
          <a:r>
            <a:rPr lang="en-US" sz="1000" b="0"/>
            <a:t>263120</a:t>
          </a:r>
          <a:endParaRPr lang="en-US" sz="1050" b="0"/>
        </a:p>
      </dgm:t>
    </dgm:pt>
    <dgm:pt modelId="{50A64364-6B43-4704-B58C-405B5EE75147}" type="parTrans" cxnId="{FA486988-D736-4B14-ACEF-0A77A24E2F2F}">
      <dgm:prSet/>
      <dgm:spPr/>
      <dgm:t>
        <a:bodyPr/>
        <a:lstStyle/>
        <a:p>
          <a:endParaRPr lang="en-US" sz="2400"/>
        </a:p>
      </dgm:t>
    </dgm:pt>
    <dgm:pt modelId="{C237D64A-D20C-43DA-AEA9-F8374EF1D23D}" type="sibTrans" cxnId="{FA486988-D736-4B14-ACEF-0A77A24E2F2F}">
      <dgm:prSet/>
      <dgm:spPr/>
      <dgm:t>
        <a:bodyPr/>
        <a:lstStyle/>
        <a:p>
          <a:endParaRPr lang="en-US" sz="2400"/>
        </a:p>
      </dgm:t>
    </dgm:pt>
    <dgm:pt modelId="{16D42A3B-21AA-4A36-8232-FDBA1AF98D86}">
      <dgm:prSet phldrT="[Text]" custT="1"/>
      <dgm:spPr>
        <a:pattFill prst="ltHorz">
          <a:fgClr>
            <a:schemeClr val="accent6">
              <a:lumMod val="20000"/>
              <a:lumOff val="80000"/>
            </a:schemeClr>
          </a:fgClr>
          <a:bgClr>
            <a:schemeClr val="bg1"/>
          </a:bgClr>
        </a:pattFill>
      </dgm:spPr>
      <dgm:t>
        <a:bodyPr/>
        <a:lstStyle/>
        <a:p>
          <a:r>
            <a:rPr lang="en-US" sz="1050" b="1"/>
            <a:t>Biogas from thermal processes</a:t>
          </a:r>
          <a:br>
            <a:rPr lang="en-US" sz="1050" b="1"/>
          </a:br>
          <a:r>
            <a:rPr lang="en-US" sz="1000" b="0"/>
            <a:t>263200</a:t>
          </a:r>
          <a:endParaRPr lang="en-US" sz="1050" b="0"/>
        </a:p>
      </dgm:t>
    </dgm:pt>
    <dgm:pt modelId="{DD2C533B-6EEA-4928-806F-86489312320E}" type="parTrans" cxnId="{E20CA3D7-20F3-44B1-9C5D-5211B9661798}">
      <dgm:prSet/>
      <dgm:spPr/>
      <dgm:t>
        <a:bodyPr/>
        <a:lstStyle/>
        <a:p>
          <a:endParaRPr lang="en-US" sz="2400"/>
        </a:p>
      </dgm:t>
    </dgm:pt>
    <dgm:pt modelId="{DE12E2A2-A567-452B-A9DC-D945DC943EE5}" type="sibTrans" cxnId="{E20CA3D7-20F3-44B1-9C5D-5211B9661798}">
      <dgm:prSet/>
      <dgm:spPr/>
      <dgm:t>
        <a:bodyPr/>
        <a:lstStyle/>
        <a:p>
          <a:endParaRPr lang="en-US" sz="2400"/>
        </a:p>
      </dgm:t>
    </dgm:pt>
    <dgm:pt modelId="{738E6479-7208-4B42-88E4-24DE0D37F2A1}">
      <dgm:prSet phldrT="[Text]" custT="1"/>
      <dgm:spPr>
        <a:pattFill prst="ltHorz">
          <a:fgClr>
            <a:schemeClr val="accent6">
              <a:lumMod val="20000"/>
              <a:lumOff val="80000"/>
            </a:schemeClr>
          </a:fgClr>
          <a:bgClr>
            <a:schemeClr val="bg1"/>
          </a:bgClr>
        </a:pattFill>
      </dgm:spPr>
      <dgm:t>
        <a:bodyPr/>
        <a:lstStyle/>
        <a:p>
          <a:r>
            <a:rPr lang="en-US" sz="1050" b="1"/>
            <a:t>Bio-jet kerosenes</a:t>
          </a:r>
          <a:br>
            <a:rPr lang="en-US" sz="1050" b="1"/>
          </a:br>
          <a:r>
            <a:rPr lang="en-US" sz="1000" b="0"/>
            <a:t>262300</a:t>
          </a:r>
          <a:endParaRPr lang="en-US" sz="1050" b="0"/>
        </a:p>
      </dgm:t>
    </dgm:pt>
    <dgm:pt modelId="{E0E9976E-46D0-4AB6-A038-6F36C6F49D6F}" type="parTrans" cxnId="{40D64977-75D2-4F63-9CAD-3CF9DF6DC9D7}">
      <dgm:prSet/>
      <dgm:spPr/>
      <dgm:t>
        <a:bodyPr/>
        <a:lstStyle/>
        <a:p>
          <a:endParaRPr lang="en-US" sz="2400"/>
        </a:p>
      </dgm:t>
    </dgm:pt>
    <dgm:pt modelId="{0D7F0321-6CA2-41B2-820A-6954662BC123}" type="sibTrans" cxnId="{40D64977-75D2-4F63-9CAD-3CF9DF6DC9D7}">
      <dgm:prSet/>
      <dgm:spPr/>
      <dgm:t>
        <a:bodyPr/>
        <a:lstStyle/>
        <a:p>
          <a:endParaRPr lang="en-US" sz="2400"/>
        </a:p>
      </dgm:t>
    </dgm:pt>
    <dgm:pt modelId="{E52CA914-0613-42E6-9893-DC261B296E9A}">
      <dgm:prSet phldrT="[Text]" custT="1"/>
      <dgm:spPr>
        <a:pattFill prst="ltHorz">
          <a:fgClr>
            <a:schemeClr val="accent6">
              <a:lumMod val="20000"/>
              <a:lumOff val="80000"/>
            </a:schemeClr>
          </a:fgClr>
          <a:bgClr>
            <a:schemeClr val="bg1"/>
          </a:bgClr>
        </a:pattFill>
        <a:ln>
          <a:prstDash val="solid"/>
        </a:ln>
      </dgm:spPr>
      <dgm:t>
        <a:bodyPr/>
        <a:lstStyle/>
        <a:p>
          <a:r>
            <a:rPr lang="en-US" sz="1050" b="1"/>
            <a:t>Biodiesels</a:t>
          </a:r>
          <a:br>
            <a:rPr lang="en-US" sz="1050" b="1"/>
          </a:br>
          <a:r>
            <a:rPr lang="en-US" sz="1000" b="0"/>
            <a:t>262200</a:t>
          </a:r>
          <a:endParaRPr lang="en-US" sz="1050" b="0"/>
        </a:p>
      </dgm:t>
    </dgm:pt>
    <dgm:pt modelId="{08912F9A-4DC5-4E8E-B151-76980A1E475D}" type="parTrans" cxnId="{76334202-146D-455B-9C33-D475334FFE89}">
      <dgm:prSet/>
      <dgm:spPr/>
      <dgm:t>
        <a:bodyPr/>
        <a:lstStyle/>
        <a:p>
          <a:endParaRPr lang="en-US" sz="2400"/>
        </a:p>
      </dgm:t>
    </dgm:pt>
    <dgm:pt modelId="{7F2BC6A0-862C-43BE-B8DB-EA832751422A}" type="sibTrans" cxnId="{76334202-146D-455B-9C33-D475334FFE89}">
      <dgm:prSet/>
      <dgm:spPr/>
      <dgm:t>
        <a:bodyPr/>
        <a:lstStyle/>
        <a:p>
          <a:endParaRPr lang="en-US" sz="2400"/>
        </a:p>
      </dgm:t>
    </dgm:pt>
    <dgm:pt modelId="{5591052D-DCF4-4653-8D30-D01F56F163F7}">
      <dgm:prSet phldrT="[Text]" custT="1"/>
      <dgm:spPr>
        <a:pattFill prst="ltHorz">
          <a:fgClr>
            <a:schemeClr val="accent6">
              <a:lumMod val="20000"/>
              <a:lumOff val="80000"/>
            </a:schemeClr>
          </a:fgClr>
          <a:bgClr>
            <a:schemeClr val="bg1"/>
          </a:bgClr>
        </a:pattFill>
        <a:ln>
          <a:prstDash val="solid"/>
        </a:ln>
      </dgm:spPr>
      <dgm:t>
        <a:bodyPr/>
        <a:lstStyle/>
        <a:p>
          <a:r>
            <a:rPr lang="en-US" sz="1050" b="1"/>
            <a:t>Biogasolines</a:t>
          </a:r>
          <a:br>
            <a:rPr lang="en-US" sz="1050" b="1"/>
          </a:br>
          <a:r>
            <a:rPr lang="en-US" sz="1000" b="0"/>
            <a:t>262100</a:t>
          </a:r>
          <a:endParaRPr lang="en-US" sz="1050" b="0"/>
        </a:p>
      </dgm:t>
    </dgm:pt>
    <dgm:pt modelId="{1812A62B-E563-4F38-A8C3-ED56E8C9AE25}" type="parTrans" cxnId="{67495218-0C27-4E3F-A246-4B8CEE1EE175}">
      <dgm:prSet/>
      <dgm:spPr/>
      <dgm:t>
        <a:bodyPr/>
        <a:lstStyle/>
        <a:p>
          <a:endParaRPr lang="en-US" sz="2400"/>
        </a:p>
      </dgm:t>
    </dgm:pt>
    <dgm:pt modelId="{76CEBAE3-B748-4A43-9FC8-A4C3D62A8F62}" type="sibTrans" cxnId="{67495218-0C27-4E3F-A246-4B8CEE1EE175}">
      <dgm:prSet/>
      <dgm:spPr/>
      <dgm:t>
        <a:bodyPr/>
        <a:lstStyle/>
        <a:p>
          <a:endParaRPr lang="en-US" sz="2400"/>
        </a:p>
      </dgm:t>
    </dgm:pt>
    <dgm:pt modelId="{41C98DE4-9561-4D06-8FE1-560DBF9A6643}">
      <dgm:prSet phldrT="[Text]" custT="1"/>
      <dgm:spPr>
        <a:pattFill prst="ltHorz">
          <a:fgClr>
            <a:schemeClr val="accent6">
              <a:lumMod val="20000"/>
              <a:lumOff val="80000"/>
            </a:schemeClr>
          </a:fgClr>
          <a:bgClr>
            <a:schemeClr val="bg1"/>
          </a:bgClr>
        </a:pattFill>
        <a:ln>
          <a:prstDash val="solid"/>
        </a:ln>
      </dgm:spPr>
      <dgm:t>
        <a:bodyPr/>
        <a:lstStyle/>
        <a:p>
          <a:r>
            <a:rPr lang="en-US" sz="1050" b="1"/>
            <a:t>Other liquid biofuels</a:t>
          </a:r>
          <a:br>
            <a:rPr lang="en-US" sz="1050" b="1"/>
          </a:br>
          <a:r>
            <a:rPr lang="en-US" sz="1000" b="0"/>
            <a:t>262900</a:t>
          </a:r>
          <a:endParaRPr lang="en-US" sz="1050" b="0"/>
        </a:p>
      </dgm:t>
    </dgm:pt>
    <dgm:pt modelId="{C70A9681-59ED-4F33-AB34-C00BF48F9C0D}" type="parTrans" cxnId="{35275076-57FA-4ACA-95BA-E63A19F2381E}">
      <dgm:prSet/>
      <dgm:spPr/>
      <dgm:t>
        <a:bodyPr/>
        <a:lstStyle/>
        <a:p>
          <a:endParaRPr lang="en-US" sz="2400"/>
        </a:p>
      </dgm:t>
    </dgm:pt>
    <dgm:pt modelId="{51C295C8-8E4D-4250-B58A-2954E135C13F}" type="sibTrans" cxnId="{35275076-57FA-4ACA-95BA-E63A19F2381E}">
      <dgm:prSet/>
      <dgm:spPr/>
      <dgm:t>
        <a:bodyPr/>
        <a:lstStyle/>
        <a:p>
          <a:endParaRPr lang="en-US" sz="2400"/>
        </a:p>
      </dgm:t>
    </dgm:pt>
    <dgm:pt modelId="{441DB316-1E00-4F26-880F-2049E6656922}">
      <dgm:prSet phldrT="[Text]" custT="1"/>
      <dgm:spPr>
        <a:solidFill>
          <a:srgbClr val="FFC7CE"/>
        </a:solidFill>
        <a:ln>
          <a:prstDash val="solid"/>
        </a:ln>
      </dgm:spPr>
      <dgm:t>
        <a:bodyPr/>
        <a:lstStyle/>
        <a:p>
          <a:r>
            <a:rPr lang="en-US" sz="1050" b="1"/>
            <a:t>Geothermal heat and power</a:t>
          </a:r>
          <a:br>
            <a:rPr lang="en-US" sz="1050" b="1"/>
          </a:br>
          <a:r>
            <a:rPr lang="en-US" sz="1000" b="0"/>
            <a:t>251000</a:t>
          </a:r>
          <a:endParaRPr lang="en-US" sz="1050" b="1"/>
        </a:p>
      </dgm:t>
    </dgm:pt>
    <dgm:pt modelId="{5B6DD99F-43D7-4ACB-AE91-9A5CC271799C}" type="parTrans" cxnId="{2D89A603-5703-4B5D-8F12-0C859B792469}">
      <dgm:prSet/>
      <dgm:spPr/>
      <dgm:t>
        <a:bodyPr/>
        <a:lstStyle/>
        <a:p>
          <a:endParaRPr lang="en-US" sz="2400"/>
        </a:p>
      </dgm:t>
    </dgm:pt>
    <dgm:pt modelId="{EDBF2E08-A342-44AB-8430-C7538E94EA28}" type="sibTrans" cxnId="{2D89A603-5703-4B5D-8F12-0C859B792469}">
      <dgm:prSet/>
      <dgm:spPr/>
      <dgm:t>
        <a:bodyPr/>
        <a:lstStyle/>
        <a:p>
          <a:endParaRPr lang="en-US" sz="2400"/>
        </a:p>
      </dgm:t>
    </dgm:pt>
    <dgm:pt modelId="{24F68BBA-935B-4F01-9FC7-B94418686443}">
      <dgm:prSet phldrT="[Text]" custT="1"/>
      <dgm:spPr>
        <a:solidFill>
          <a:schemeClr val="accent4">
            <a:lumMod val="20000"/>
            <a:lumOff val="80000"/>
          </a:schemeClr>
        </a:solidFill>
      </dgm:spPr>
      <dgm:t>
        <a:bodyPr/>
        <a:lstStyle/>
        <a:p>
          <a:r>
            <a:rPr lang="en-US" sz="1050" b="1"/>
            <a:t>Concentrated solar power</a:t>
          </a:r>
          <a:br>
            <a:rPr lang="en-US" sz="1000" b="1"/>
          </a:br>
          <a:r>
            <a:rPr lang="en-US" sz="1000" b="0"/>
            <a:t>242100</a:t>
          </a:r>
          <a:endParaRPr lang="en-US" sz="1050" b="0"/>
        </a:p>
      </dgm:t>
    </dgm:pt>
    <dgm:pt modelId="{E9D4BC7B-EF5F-4020-9C05-F9470FFB9007}" type="parTrans" cxnId="{8BDCB4AE-5928-4752-A5D4-6AFB24656D8C}">
      <dgm:prSet/>
      <dgm:spPr/>
      <dgm:t>
        <a:bodyPr/>
        <a:lstStyle/>
        <a:p>
          <a:endParaRPr lang="en-US" sz="2400"/>
        </a:p>
      </dgm:t>
    </dgm:pt>
    <dgm:pt modelId="{57FE652C-2475-403C-B86A-B5886D11CC50}" type="sibTrans" cxnId="{8BDCB4AE-5928-4752-A5D4-6AFB24656D8C}">
      <dgm:prSet/>
      <dgm:spPr/>
      <dgm:t>
        <a:bodyPr/>
        <a:lstStyle/>
        <a:p>
          <a:endParaRPr lang="en-US" sz="2400"/>
        </a:p>
      </dgm:t>
    </dgm:pt>
    <dgm:pt modelId="{667EE722-C090-4FBC-BF0D-C9B0688E0DE9}">
      <dgm:prSet phldrT="[Text]" custT="1"/>
      <dgm:spPr>
        <a:pattFill prst="ltHorz">
          <a:fgClr>
            <a:schemeClr val="accent6">
              <a:lumMod val="20000"/>
              <a:lumOff val="80000"/>
            </a:schemeClr>
          </a:fgClr>
          <a:bgClr>
            <a:schemeClr val="bg1"/>
          </a:bgClr>
        </a:pattFill>
      </dgm:spPr>
      <dgm:t>
        <a:bodyPr/>
        <a:lstStyle/>
        <a:p>
          <a:r>
            <a:rPr lang="en-US" sz="1050" b="1"/>
            <a:t>Transesterified biodiesel</a:t>
          </a:r>
          <a:br>
            <a:rPr lang="en-US" sz="1050" b="1"/>
          </a:br>
          <a:r>
            <a:rPr lang="en-US" sz="1000" b="0"/>
            <a:t>262210</a:t>
          </a:r>
          <a:endParaRPr lang="en-US" sz="1050" b="0"/>
        </a:p>
      </dgm:t>
    </dgm:pt>
    <dgm:pt modelId="{8663BC97-8A3F-49E9-9CAA-C6AF11F0CFB1}" type="parTrans" cxnId="{22E494FB-B9D0-428B-8BAB-3F56B8142FC4}">
      <dgm:prSet/>
      <dgm:spPr/>
      <dgm:t>
        <a:bodyPr/>
        <a:lstStyle/>
        <a:p>
          <a:endParaRPr lang="en-US" sz="2400"/>
        </a:p>
      </dgm:t>
    </dgm:pt>
    <dgm:pt modelId="{647DA5A7-7AD9-4471-9E61-CDAC3B6E66C5}" type="sibTrans" cxnId="{22E494FB-B9D0-428B-8BAB-3F56B8142FC4}">
      <dgm:prSet/>
      <dgm:spPr/>
      <dgm:t>
        <a:bodyPr/>
        <a:lstStyle/>
        <a:p>
          <a:endParaRPr lang="en-US" sz="2400"/>
        </a:p>
      </dgm:t>
    </dgm:pt>
    <dgm:pt modelId="{487F825D-2F90-4119-9944-E4AAFDB63954}">
      <dgm:prSet phldrT="[Text]" custT="1"/>
      <dgm:spPr>
        <a:pattFill prst="ltHorz">
          <a:fgClr>
            <a:schemeClr val="accent6">
              <a:lumMod val="20000"/>
              <a:lumOff val="80000"/>
            </a:schemeClr>
          </a:fgClr>
          <a:bgClr>
            <a:schemeClr val="bg1"/>
          </a:bgClr>
        </a:pattFill>
      </dgm:spPr>
      <dgm:t>
        <a:bodyPr/>
        <a:lstStyle/>
        <a:p>
          <a:r>
            <a:rPr lang="en-US" sz="1050" b="1"/>
            <a:t>Thermal process biodiesel</a:t>
          </a:r>
          <a:br>
            <a:rPr lang="en-US" sz="1050" b="1"/>
          </a:br>
          <a:r>
            <a:rPr lang="en-US" sz="1000" b="0"/>
            <a:t>262220</a:t>
          </a:r>
          <a:endParaRPr lang="en-US" sz="1050" b="0"/>
        </a:p>
      </dgm:t>
    </dgm:pt>
    <dgm:pt modelId="{62DB5024-8BA8-46C6-8E61-755F393EB1C9}" type="parTrans" cxnId="{DB01E912-8560-4464-B585-65147C3DA7E5}">
      <dgm:prSet/>
      <dgm:spPr/>
      <dgm:t>
        <a:bodyPr/>
        <a:lstStyle/>
        <a:p>
          <a:endParaRPr lang="en-US" sz="2400"/>
        </a:p>
      </dgm:t>
    </dgm:pt>
    <dgm:pt modelId="{0060FA07-A9AB-4F67-94A0-F74D8912C569}" type="sibTrans" cxnId="{DB01E912-8560-4464-B585-65147C3DA7E5}">
      <dgm:prSet/>
      <dgm:spPr/>
      <dgm:t>
        <a:bodyPr/>
        <a:lstStyle/>
        <a:p>
          <a:endParaRPr lang="en-US" sz="2400"/>
        </a:p>
      </dgm:t>
    </dgm:pt>
    <dgm:pt modelId="{8DA3CA87-733E-4583-9CCE-846A32DC1FAE}">
      <dgm:prSet phldrT="[Text]" custT="1"/>
      <dgm:spPr>
        <a:pattFill prst="ltHorz">
          <a:fgClr>
            <a:schemeClr val="accent6">
              <a:lumMod val="20000"/>
              <a:lumOff val="80000"/>
            </a:schemeClr>
          </a:fgClr>
          <a:bgClr>
            <a:schemeClr val="bg1"/>
          </a:bgClr>
        </a:pattFill>
      </dgm:spPr>
      <dgm:t>
        <a:bodyPr/>
        <a:lstStyle/>
        <a:p>
          <a:r>
            <a:rPr lang="en-US" sz="1050" b="1"/>
            <a:t>Bioethanol</a:t>
          </a:r>
          <a:br>
            <a:rPr lang="en-US" sz="1050" b="1"/>
          </a:br>
          <a:r>
            <a:rPr lang="en-US" sz="1000" b="0"/>
            <a:t>262120</a:t>
          </a:r>
          <a:endParaRPr lang="en-US" sz="1050" b="0"/>
        </a:p>
      </dgm:t>
    </dgm:pt>
    <dgm:pt modelId="{9F2554FE-4E10-4780-8965-CE7110AF8925}" type="parTrans" cxnId="{E248DB13-955A-44BD-A092-249E3CD6AFBA}">
      <dgm:prSet/>
      <dgm:spPr/>
      <dgm:t>
        <a:bodyPr/>
        <a:lstStyle/>
        <a:p>
          <a:endParaRPr lang="en-US" sz="2400"/>
        </a:p>
      </dgm:t>
    </dgm:pt>
    <dgm:pt modelId="{AAA33C92-4D59-498A-825A-71F59CA7A72B}" type="sibTrans" cxnId="{E248DB13-955A-44BD-A092-249E3CD6AFBA}">
      <dgm:prSet/>
      <dgm:spPr/>
      <dgm:t>
        <a:bodyPr/>
        <a:lstStyle/>
        <a:p>
          <a:endParaRPr lang="en-US" sz="2400"/>
        </a:p>
      </dgm:t>
    </dgm:pt>
    <dgm:pt modelId="{ADC3BCAA-3562-4802-B5F4-CCB93911D8A5}">
      <dgm:prSet phldrT="[Text]" custT="1"/>
      <dgm:spPr>
        <a:pattFill prst="ltHorz">
          <a:fgClr>
            <a:schemeClr val="accent6">
              <a:lumMod val="20000"/>
              <a:lumOff val="80000"/>
            </a:schemeClr>
          </a:fgClr>
          <a:bgClr>
            <a:schemeClr val="bg1"/>
          </a:bgClr>
        </a:pattFill>
      </dgm:spPr>
      <dgm:t>
        <a:bodyPr/>
        <a:lstStyle/>
        <a:p>
          <a:r>
            <a:rPr lang="en-US" sz="1050" b="1"/>
            <a:t>Bio-MTBE</a:t>
          </a:r>
          <a:br>
            <a:rPr lang="en-US" sz="1050" b="1"/>
          </a:br>
          <a:r>
            <a:rPr lang="en-US" sz="1000" b="0"/>
            <a:t>262140</a:t>
          </a:r>
          <a:endParaRPr lang="en-US" sz="1050" b="0"/>
        </a:p>
      </dgm:t>
    </dgm:pt>
    <dgm:pt modelId="{C5C21CD9-55BF-4787-A7C5-B921C847270A}" type="parTrans" cxnId="{08124497-0266-4214-A000-54616C24DB46}">
      <dgm:prSet/>
      <dgm:spPr/>
      <dgm:t>
        <a:bodyPr/>
        <a:lstStyle/>
        <a:p>
          <a:endParaRPr lang="en-US" sz="2400"/>
        </a:p>
      </dgm:t>
    </dgm:pt>
    <dgm:pt modelId="{6FB31769-07FF-46E2-A7D9-496674837182}" type="sibTrans" cxnId="{08124497-0266-4214-A000-54616C24DB46}">
      <dgm:prSet/>
      <dgm:spPr/>
      <dgm:t>
        <a:bodyPr/>
        <a:lstStyle/>
        <a:p>
          <a:endParaRPr lang="en-US" sz="2400"/>
        </a:p>
      </dgm:t>
    </dgm:pt>
    <dgm:pt modelId="{4DE59608-B863-4692-A43A-020BD43640C4}">
      <dgm:prSet phldrT="[Text]" custT="1"/>
      <dgm:spPr>
        <a:solidFill>
          <a:schemeClr val="accent6">
            <a:lumMod val="20000"/>
            <a:lumOff val="80000"/>
          </a:schemeClr>
        </a:solidFill>
      </dgm:spPr>
      <dgm:t>
        <a:bodyPr/>
        <a:lstStyle/>
        <a:p>
          <a:r>
            <a:rPr lang="en-US" sz="1050" b="1"/>
            <a:t>Bagasse</a:t>
          </a:r>
          <a:br>
            <a:rPr lang="en-US" sz="1050" b="1"/>
          </a:br>
          <a:r>
            <a:rPr lang="en-US" sz="1000" b="0"/>
            <a:t>261310</a:t>
          </a:r>
          <a:endParaRPr lang="en-US" sz="1050" b="0"/>
        </a:p>
      </dgm:t>
    </dgm:pt>
    <dgm:pt modelId="{1C9C5A9C-63F9-47D1-A390-77155C74172C}" type="parTrans" cxnId="{D9E46F10-D7C5-45ED-942F-EFDA634D3BC2}">
      <dgm:prSet/>
      <dgm:spPr/>
      <dgm:t>
        <a:bodyPr/>
        <a:lstStyle/>
        <a:p>
          <a:endParaRPr lang="en-US" sz="2400"/>
        </a:p>
      </dgm:t>
    </dgm:pt>
    <dgm:pt modelId="{1E05E560-70C1-46B6-852B-7AFE33362885}" type="sibTrans" cxnId="{D9E46F10-D7C5-45ED-942F-EFDA634D3BC2}">
      <dgm:prSet/>
      <dgm:spPr/>
      <dgm:t>
        <a:bodyPr/>
        <a:lstStyle/>
        <a:p>
          <a:endParaRPr lang="en-US" sz="2400"/>
        </a:p>
      </dgm:t>
    </dgm:pt>
    <dgm:pt modelId="{6A56D4F6-E20F-4550-BF17-7243096766BA}">
      <dgm:prSet phldrT="[Text]" custT="1"/>
      <dgm:spPr>
        <a:solidFill>
          <a:schemeClr val="accent6">
            <a:lumMod val="20000"/>
            <a:lumOff val="80000"/>
          </a:schemeClr>
        </a:solidFill>
      </dgm:spPr>
      <dgm:t>
        <a:bodyPr/>
        <a:lstStyle/>
        <a:p>
          <a:r>
            <a:rPr lang="en-US" sz="1050" b="1"/>
            <a:t>Black liquor</a:t>
          </a:r>
          <a:br>
            <a:rPr lang="en-US" sz="1050" b="1"/>
          </a:br>
          <a:r>
            <a:rPr lang="en-US" sz="1000" b="0"/>
            <a:t>261320</a:t>
          </a:r>
          <a:endParaRPr lang="en-US" sz="1050" b="0"/>
        </a:p>
      </dgm:t>
    </dgm:pt>
    <dgm:pt modelId="{A285DD4E-11DE-49E7-8728-216DC0E55CF3}" type="parTrans" cxnId="{70DBBF01-6B47-4AC3-8B02-5AC4729187B7}">
      <dgm:prSet/>
      <dgm:spPr/>
      <dgm:t>
        <a:bodyPr/>
        <a:lstStyle/>
        <a:p>
          <a:endParaRPr lang="en-US" sz="2400"/>
        </a:p>
      </dgm:t>
    </dgm:pt>
    <dgm:pt modelId="{2C9DE469-487E-405E-A047-164C4CBD6F01}" type="sibTrans" cxnId="{70DBBF01-6B47-4AC3-8B02-5AC4729187B7}">
      <dgm:prSet/>
      <dgm:spPr/>
      <dgm:t>
        <a:bodyPr/>
        <a:lstStyle/>
        <a:p>
          <a:endParaRPr lang="en-US" sz="2400"/>
        </a:p>
      </dgm:t>
    </dgm:pt>
    <dgm:pt modelId="{A88F999F-C04C-4F2C-82CC-B4B1967DB71B}">
      <dgm:prSet phldrT="[Text]" custT="1"/>
      <dgm:spPr>
        <a:solidFill>
          <a:schemeClr val="accent6">
            <a:lumMod val="20000"/>
            <a:lumOff val="80000"/>
          </a:schemeClr>
        </a:solidFill>
      </dgm:spPr>
      <dgm:t>
        <a:bodyPr/>
        <a:lstStyle/>
        <a:p>
          <a:r>
            <a:rPr lang="en-US" sz="1050" b="1"/>
            <a:t>Energy crops</a:t>
          </a:r>
          <a:br>
            <a:rPr lang="en-US" sz="1050" b="1"/>
          </a:br>
          <a:r>
            <a:rPr lang="en-US" sz="1000" b="0"/>
            <a:t>261120</a:t>
          </a:r>
          <a:endParaRPr lang="en-US" sz="1050" b="0"/>
        </a:p>
      </dgm:t>
    </dgm:pt>
    <dgm:pt modelId="{869F57AB-7F65-4C29-B417-18BE344A9E06}" type="parTrans" cxnId="{F2E3AF43-106F-46C1-8CB4-B4A34BCF99AF}">
      <dgm:prSet/>
      <dgm:spPr/>
      <dgm:t>
        <a:bodyPr/>
        <a:lstStyle/>
        <a:p>
          <a:endParaRPr lang="en-US" sz="2400"/>
        </a:p>
      </dgm:t>
    </dgm:pt>
    <dgm:pt modelId="{7A7A0F97-72CB-438F-9E3B-6E3B6D358135}" type="sibTrans" cxnId="{F2E3AF43-106F-46C1-8CB4-B4A34BCF99AF}">
      <dgm:prSet/>
      <dgm:spPr/>
      <dgm:t>
        <a:bodyPr/>
        <a:lstStyle/>
        <a:p>
          <a:endParaRPr lang="en-US" sz="2400"/>
        </a:p>
      </dgm:t>
    </dgm:pt>
    <dgm:pt modelId="{1FAF1469-3194-4997-B895-D1F8B66E59FE}">
      <dgm:prSet phldrT="[Text]" custT="1"/>
      <dgm:spPr>
        <a:solidFill>
          <a:schemeClr val="accent6">
            <a:lumMod val="20000"/>
            <a:lumOff val="80000"/>
          </a:schemeClr>
        </a:solidFill>
      </dgm:spPr>
      <dgm:t>
        <a:bodyPr/>
        <a:lstStyle/>
        <a:p>
          <a:r>
            <a:rPr lang="en-US" sz="1050" b="1"/>
            <a:t>Straw</a:t>
          </a:r>
          <a:br>
            <a:rPr lang="en-US" sz="1050" b="1"/>
          </a:br>
          <a:r>
            <a:rPr lang="en-US" sz="1000" b="0"/>
            <a:t>261220</a:t>
          </a:r>
          <a:endParaRPr lang="en-US" sz="1050" b="0"/>
        </a:p>
      </dgm:t>
    </dgm:pt>
    <dgm:pt modelId="{03C94E4B-6B95-4DAD-89ED-A1F48711F76C}" type="parTrans" cxnId="{5511D8DD-D3C8-4370-A6D5-979A25D15E44}">
      <dgm:prSet/>
      <dgm:spPr/>
      <dgm:t>
        <a:bodyPr/>
        <a:lstStyle/>
        <a:p>
          <a:endParaRPr lang="en-US" sz="2400"/>
        </a:p>
      </dgm:t>
    </dgm:pt>
    <dgm:pt modelId="{9EE3E8F3-2EF7-441F-AB6F-67806DDD8562}" type="sibTrans" cxnId="{5511D8DD-D3C8-4370-A6D5-979A25D15E44}">
      <dgm:prSet/>
      <dgm:spPr/>
      <dgm:t>
        <a:bodyPr/>
        <a:lstStyle/>
        <a:p>
          <a:endParaRPr lang="en-US" sz="2400"/>
        </a:p>
      </dgm:t>
    </dgm:pt>
    <dgm:pt modelId="{61B3E704-4E8F-4736-9793-47FFB53C6098}">
      <dgm:prSet phldrT="[Text]" custT="1"/>
      <dgm:spPr>
        <a:solidFill>
          <a:schemeClr val="accent6">
            <a:lumMod val="20000"/>
            <a:lumOff val="80000"/>
          </a:schemeClr>
        </a:solidFill>
      </dgm:spPr>
      <dgm:t>
        <a:bodyPr/>
        <a:lstStyle/>
        <a:p>
          <a:r>
            <a:rPr lang="en-US" sz="1050" b="1"/>
            <a:t>Wood fuel</a:t>
          </a:r>
          <a:br>
            <a:rPr lang="en-US" sz="1050" b="1"/>
          </a:br>
          <a:r>
            <a:rPr lang="en-US" sz="1000" b="0"/>
            <a:t>261110</a:t>
          </a:r>
          <a:endParaRPr lang="en-US" sz="1050" b="0"/>
        </a:p>
      </dgm:t>
    </dgm:pt>
    <dgm:pt modelId="{2D141E73-B62B-43C6-94AE-60BD5450AF89}" type="parTrans" cxnId="{FEEEA14C-18C0-4768-99A3-F8BB83034E21}">
      <dgm:prSet/>
      <dgm:spPr/>
      <dgm:t>
        <a:bodyPr/>
        <a:lstStyle/>
        <a:p>
          <a:endParaRPr lang="en-US" sz="2400"/>
        </a:p>
      </dgm:t>
    </dgm:pt>
    <dgm:pt modelId="{04769E59-E89C-4000-9B17-E885C1EDDE1B}" type="sibTrans" cxnId="{FEEEA14C-18C0-4768-99A3-F8BB83034E21}">
      <dgm:prSet/>
      <dgm:spPr/>
      <dgm:t>
        <a:bodyPr/>
        <a:lstStyle/>
        <a:p>
          <a:endParaRPr lang="en-US" sz="2400"/>
        </a:p>
      </dgm:t>
    </dgm:pt>
    <dgm:pt modelId="{EB06DA8D-67CD-455C-A760-70BF410FEEAA}">
      <dgm:prSet phldrT="[Text]" custT="1"/>
      <dgm:spPr>
        <a:solidFill>
          <a:schemeClr val="accent6">
            <a:lumMod val="20000"/>
            <a:lumOff val="80000"/>
          </a:schemeClr>
        </a:solidFill>
      </dgm:spPr>
      <dgm:t>
        <a:bodyPr/>
        <a:lstStyle/>
        <a:p>
          <a:r>
            <a:rPr lang="en-US" sz="1050" b="1"/>
            <a:t>Logging residues</a:t>
          </a:r>
          <a:br>
            <a:rPr lang="en-US" sz="1050" b="1"/>
          </a:br>
          <a:r>
            <a:rPr lang="en-US" sz="1000" b="0"/>
            <a:t>261210</a:t>
          </a:r>
          <a:endParaRPr lang="en-US" sz="1050" b="0"/>
        </a:p>
      </dgm:t>
    </dgm:pt>
    <dgm:pt modelId="{50977109-3DCA-4C61-AB02-F57640852CE2}" type="parTrans" cxnId="{F1008423-1F2B-43B4-8A44-641EB4BC9211}">
      <dgm:prSet/>
      <dgm:spPr/>
      <dgm:t>
        <a:bodyPr/>
        <a:lstStyle/>
        <a:p>
          <a:endParaRPr lang="en-US" sz="2400"/>
        </a:p>
      </dgm:t>
    </dgm:pt>
    <dgm:pt modelId="{E6133DF6-765F-4513-AF7F-E4DC780A655F}" type="sibTrans" cxnId="{F1008423-1F2B-43B4-8A44-641EB4BC9211}">
      <dgm:prSet/>
      <dgm:spPr/>
      <dgm:t>
        <a:bodyPr/>
        <a:lstStyle/>
        <a:p>
          <a:endParaRPr lang="en-US" sz="2400"/>
        </a:p>
      </dgm:t>
    </dgm:pt>
    <dgm:pt modelId="{85588F87-C042-4DDE-8AA8-1C3019723053}">
      <dgm:prSet phldrT="[Text]" custT="1"/>
      <dgm:spPr>
        <a:pattFill prst="ltHorz">
          <a:fgClr>
            <a:schemeClr val="accent6">
              <a:lumMod val="20000"/>
              <a:lumOff val="80000"/>
            </a:schemeClr>
          </a:fgClr>
          <a:bgClr>
            <a:schemeClr val="bg1"/>
          </a:bgClr>
        </a:pattFill>
      </dgm:spPr>
      <dgm:t>
        <a:bodyPr/>
        <a:lstStyle/>
        <a:p>
          <a:r>
            <a:rPr lang="en-US" sz="1050" b="1"/>
            <a:t>Other solid biofuels</a:t>
          </a:r>
          <a:br>
            <a:rPr lang="en-US" sz="1050" b="1"/>
          </a:br>
          <a:r>
            <a:rPr lang="en-US" sz="1000" b="0"/>
            <a:t>261900</a:t>
          </a:r>
          <a:endParaRPr lang="en-US" sz="1050" b="0"/>
        </a:p>
      </dgm:t>
    </dgm:pt>
    <dgm:pt modelId="{F7443207-56E4-4844-8C7D-E8F90438A6CB}" type="parTrans" cxnId="{6FEE11BB-C798-4A72-BCF9-6E24FD8E0971}">
      <dgm:prSet/>
      <dgm:spPr/>
      <dgm:t>
        <a:bodyPr/>
        <a:lstStyle/>
        <a:p>
          <a:endParaRPr lang="en-US" sz="2400"/>
        </a:p>
      </dgm:t>
    </dgm:pt>
    <dgm:pt modelId="{1288DB01-33A6-48D4-9B88-2977C3FDFAE6}" type="sibTrans" cxnId="{6FEE11BB-C798-4A72-BCF9-6E24FD8E0971}">
      <dgm:prSet/>
      <dgm:spPr/>
      <dgm:t>
        <a:bodyPr/>
        <a:lstStyle/>
        <a:p>
          <a:endParaRPr lang="en-US" sz="2400"/>
        </a:p>
      </dgm:t>
    </dgm:pt>
    <dgm:pt modelId="{31DC45D9-D8ED-4679-B491-7ED9DF4D548E}">
      <dgm:prSet phldrT="[Text]" custT="1"/>
      <dgm:spPr>
        <a:solidFill>
          <a:schemeClr val="bg2"/>
        </a:solidFill>
      </dgm:spPr>
      <dgm:t>
        <a:bodyPr/>
        <a:lstStyle/>
        <a:p>
          <a:r>
            <a:rPr lang="en-US" sz="1050" b="1">
              <a:solidFill>
                <a:sysClr val="windowText" lastClr="000000"/>
              </a:solidFill>
            </a:rPr>
            <a:t>Other non-renewable energy n.e.s. </a:t>
          </a:r>
          <a:br>
            <a:rPr lang="en-US" sz="1050" b="1">
              <a:solidFill>
                <a:sysClr val="windowText" lastClr="000000"/>
              </a:solidFill>
            </a:rPr>
          </a:br>
          <a:r>
            <a:rPr lang="en-US" sz="1000" b="0">
              <a:solidFill>
                <a:sysClr val="windowText" lastClr="000000"/>
              </a:solidFill>
            </a:rPr>
            <a:t>149000</a:t>
          </a:r>
          <a:endParaRPr lang="en-US" sz="1050" b="0">
            <a:solidFill>
              <a:sysClr val="windowText" lastClr="000000"/>
            </a:solidFill>
          </a:endParaRPr>
        </a:p>
      </dgm:t>
    </dgm:pt>
    <dgm:pt modelId="{EE8DB93E-4178-4B98-B71F-4A966489DCE1}" type="parTrans" cxnId="{52850B79-8CE7-4E7D-B131-AB5E6264A6BB}">
      <dgm:prSet/>
      <dgm:spPr/>
      <dgm:t>
        <a:bodyPr/>
        <a:lstStyle/>
        <a:p>
          <a:endParaRPr lang="en-US" sz="1800"/>
        </a:p>
      </dgm:t>
    </dgm:pt>
    <dgm:pt modelId="{0BFD8C8E-1075-47FF-94FD-1FE6F543059A}" type="sibTrans" cxnId="{52850B79-8CE7-4E7D-B131-AB5E6264A6BB}">
      <dgm:prSet/>
      <dgm:spPr/>
      <dgm:t>
        <a:bodyPr/>
        <a:lstStyle/>
        <a:p>
          <a:endParaRPr lang="en-US" sz="1800"/>
        </a:p>
      </dgm:t>
    </dgm:pt>
    <dgm:pt modelId="{86269F2E-6E8F-4730-8224-E18D7B039898}">
      <dgm:prSet phldrT="[Text]" custT="1"/>
      <dgm:spPr>
        <a:solidFill>
          <a:schemeClr val="bg2"/>
        </a:solidFill>
      </dgm:spPr>
      <dgm:t>
        <a:bodyPr/>
        <a:lstStyle/>
        <a:p>
          <a:r>
            <a:rPr lang="en-US" sz="1050" b="1">
              <a:solidFill>
                <a:sysClr val="windowText" lastClr="000000"/>
              </a:solidFill>
            </a:rPr>
            <a:t>Natural gas </a:t>
          </a:r>
          <a:br>
            <a:rPr lang="en-US" sz="1050" b="1">
              <a:solidFill>
                <a:sysClr val="windowText" lastClr="000000"/>
              </a:solidFill>
            </a:rPr>
          </a:br>
          <a:r>
            <a:rPr lang="en-US" sz="1000" b="0">
              <a:solidFill>
                <a:sysClr val="windowText" lastClr="000000"/>
              </a:solidFill>
            </a:rPr>
            <a:t>113000</a:t>
          </a:r>
          <a:endParaRPr lang="en-US" sz="1050" b="0">
            <a:solidFill>
              <a:sysClr val="windowText" lastClr="000000"/>
            </a:solidFill>
          </a:endParaRPr>
        </a:p>
      </dgm:t>
    </dgm:pt>
    <dgm:pt modelId="{D149A505-572D-4CDC-8D81-A814FB0F53E6}" type="parTrans" cxnId="{7E15B287-B646-4D8E-9B96-EEBFF93CD55F}">
      <dgm:prSet/>
      <dgm:spPr/>
      <dgm:t>
        <a:bodyPr/>
        <a:lstStyle/>
        <a:p>
          <a:endParaRPr lang="en-US" sz="1800"/>
        </a:p>
      </dgm:t>
    </dgm:pt>
    <dgm:pt modelId="{4F372BC3-7332-4679-BBDE-35A89A3972F2}" type="sibTrans" cxnId="{7E15B287-B646-4D8E-9B96-EEBFF93CD55F}">
      <dgm:prSet/>
      <dgm:spPr/>
      <dgm:t>
        <a:bodyPr/>
        <a:lstStyle/>
        <a:p>
          <a:endParaRPr lang="en-US" sz="1800"/>
        </a:p>
      </dgm:t>
    </dgm:pt>
    <dgm:pt modelId="{2CAF80FB-6C9D-4F54-91B0-E2C431C46A87}">
      <dgm:prSet phldrT="[Text]" custT="1"/>
      <dgm:spPr>
        <a:solidFill>
          <a:schemeClr val="accent4">
            <a:lumMod val="20000"/>
            <a:lumOff val="80000"/>
          </a:schemeClr>
        </a:solidFill>
      </dgm:spPr>
      <dgm:t>
        <a:bodyPr/>
        <a:lstStyle/>
        <a:p>
          <a:r>
            <a:rPr lang="en-US" sz="1050" b="1"/>
            <a:t>On-grid solar photovoltaic</a:t>
          </a:r>
          <a:br>
            <a:rPr lang="en-US" sz="1050" b="1"/>
          </a:br>
          <a:r>
            <a:rPr lang="en-US" sz="1000" b="0"/>
            <a:t>241100</a:t>
          </a:r>
          <a:endParaRPr lang="en-US" sz="1050" b="0"/>
        </a:p>
      </dgm:t>
    </dgm:pt>
    <dgm:pt modelId="{E98D30B1-E59C-4A00-BACA-478E5A6AB413}" type="parTrans" cxnId="{C28DD43A-24EA-4A50-9BE3-68169529BEE1}">
      <dgm:prSet/>
      <dgm:spPr/>
      <dgm:t>
        <a:bodyPr/>
        <a:lstStyle/>
        <a:p>
          <a:endParaRPr lang="en-US" sz="1600"/>
        </a:p>
      </dgm:t>
    </dgm:pt>
    <dgm:pt modelId="{5D69D938-1B5D-49D2-9F94-F76512630B1F}" type="sibTrans" cxnId="{C28DD43A-24EA-4A50-9BE3-68169529BEE1}">
      <dgm:prSet/>
      <dgm:spPr/>
      <dgm:t>
        <a:bodyPr/>
        <a:lstStyle/>
        <a:p>
          <a:endParaRPr lang="en-US" sz="1600"/>
        </a:p>
      </dgm:t>
    </dgm:pt>
    <dgm:pt modelId="{7C1B947C-8306-49C8-AB03-714BEBC3CF09}">
      <dgm:prSet phldrT="[Text]" custT="1"/>
      <dgm:spPr>
        <a:solidFill>
          <a:schemeClr val="accent4">
            <a:lumMod val="20000"/>
            <a:lumOff val="80000"/>
          </a:schemeClr>
        </a:solidFill>
      </dgm:spPr>
      <dgm:t>
        <a:bodyPr/>
        <a:lstStyle/>
        <a:p>
          <a:r>
            <a:rPr lang="en-US" sz="1050" b="1"/>
            <a:t>Small solar home systems</a:t>
          </a:r>
          <a:br>
            <a:rPr lang="en-US" sz="1050" b="1"/>
          </a:br>
          <a:r>
            <a:rPr lang="en-US" sz="1000" b="0"/>
            <a:t>241220</a:t>
          </a:r>
          <a:endParaRPr lang="en-US" sz="1050" b="0"/>
        </a:p>
      </dgm:t>
    </dgm:pt>
    <dgm:pt modelId="{FED3F3C6-39C4-4F26-8304-83CAE85EC212}" type="parTrans" cxnId="{9B7DD863-887C-4DED-B3F2-1F164C16ACF9}">
      <dgm:prSet/>
      <dgm:spPr/>
      <dgm:t>
        <a:bodyPr/>
        <a:lstStyle/>
        <a:p>
          <a:endParaRPr lang="en-US" sz="1600"/>
        </a:p>
      </dgm:t>
    </dgm:pt>
    <dgm:pt modelId="{F10AB30E-73E5-4A20-AE86-66DDF4DAA720}" type="sibTrans" cxnId="{9B7DD863-887C-4DED-B3F2-1F164C16ACF9}">
      <dgm:prSet/>
      <dgm:spPr/>
      <dgm:t>
        <a:bodyPr/>
        <a:lstStyle/>
        <a:p>
          <a:endParaRPr lang="en-US" sz="1600"/>
        </a:p>
      </dgm:t>
    </dgm:pt>
    <dgm:pt modelId="{4BC45046-A6E0-48F7-BA5B-6545909F6576}">
      <dgm:prSet phldrT="[Text]" custT="1"/>
      <dgm:spPr>
        <a:solidFill>
          <a:schemeClr val="accent4">
            <a:lumMod val="20000"/>
            <a:lumOff val="80000"/>
          </a:schemeClr>
        </a:solidFill>
      </dgm:spPr>
      <dgm:t>
        <a:bodyPr/>
        <a:lstStyle/>
        <a:p>
          <a:r>
            <a:rPr lang="en-US" sz="1050" b="1"/>
            <a:t>Large solar home systems</a:t>
          </a:r>
          <a:br>
            <a:rPr lang="en-US" sz="1050" b="1"/>
          </a:br>
          <a:r>
            <a:rPr lang="en-US" sz="1000" b="0"/>
            <a:t>241230</a:t>
          </a:r>
          <a:endParaRPr lang="en-US" sz="1050" b="0"/>
        </a:p>
      </dgm:t>
    </dgm:pt>
    <dgm:pt modelId="{C6C1691E-DC10-4048-B727-3074521B94CD}" type="parTrans" cxnId="{271915ED-D985-46E6-AA97-080124A0FF98}">
      <dgm:prSet/>
      <dgm:spPr/>
      <dgm:t>
        <a:bodyPr/>
        <a:lstStyle/>
        <a:p>
          <a:endParaRPr lang="en-US" sz="1600"/>
        </a:p>
      </dgm:t>
    </dgm:pt>
    <dgm:pt modelId="{9DA0116A-12EE-4005-8E42-4E18FBD33D22}" type="sibTrans" cxnId="{271915ED-D985-46E6-AA97-080124A0FF98}">
      <dgm:prSet/>
      <dgm:spPr/>
      <dgm:t>
        <a:bodyPr/>
        <a:lstStyle/>
        <a:p>
          <a:endParaRPr lang="en-US" sz="1600"/>
        </a:p>
      </dgm:t>
    </dgm:pt>
    <dgm:pt modelId="{CF4DFCAF-2272-4F94-B7C0-D9FC9509311E}">
      <dgm:prSet phldrT="[Text]" custT="1"/>
      <dgm:spPr>
        <a:solidFill>
          <a:srgbClr val="FFC000">
            <a:lumMod val="20000"/>
            <a:lumOff val="80000"/>
          </a:srgbClr>
        </a:solid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r>
            <a:rPr lang="en-US" sz="1050" b="1" kern="1200">
              <a:solidFill>
                <a:sysClr val="windowText" lastClr="000000">
                  <a:hueOff val="0"/>
                  <a:satOff val="0"/>
                  <a:lumOff val="0"/>
                  <a:alphaOff val="0"/>
                </a:sysClr>
              </a:solidFill>
              <a:latin typeface="Calibri" panose="020F0502020204030204"/>
              <a:ea typeface="+mn-ea"/>
              <a:cs typeface="+mn-cs"/>
            </a:rPr>
            <a:t>Solar</a:t>
          </a:r>
          <a:r>
            <a:rPr lang="en-US" sz="1050" b="1" kern="1200"/>
            <a:t> telecom towers</a:t>
          </a:r>
          <a:br>
            <a:rPr lang="en-US" sz="1050" b="1" kern="1200"/>
          </a:br>
          <a:r>
            <a:rPr lang="en-US" sz="1000" b="0" kern="1200"/>
            <a:t>241240</a:t>
          </a:r>
          <a:endParaRPr lang="en-US" sz="1050" b="0" kern="1200"/>
        </a:p>
      </dgm:t>
    </dgm:pt>
    <dgm:pt modelId="{0F1CC4F6-FEF5-470E-B271-F04095BE8E03}" type="parTrans" cxnId="{EF5D6F49-1FA1-4691-B5CE-C9D7698371F8}">
      <dgm:prSet/>
      <dgm:spPr/>
      <dgm:t>
        <a:bodyPr/>
        <a:lstStyle/>
        <a:p>
          <a:endParaRPr lang="en-US" sz="1600"/>
        </a:p>
      </dgm:t>
    </dgm:pt>
    <dgm:pt modelId="{29172368-9DA0-4ED3-9DA0-6334C7182AA2}" type="sibTrans" cxnId="{EF5D6F49-1FA1-4691-B5CE-C9D7698371F8}">
      <dgm:prSet/>
      <dgm:spPr/>
      <dgm:t>
        <a:bodyPr/>
        <a:lstStyle/>
        <a:p>
          <a:endParaRPr lang="en-US" sz="1600"/>
        </a:p>
      </dgm:t>
    </dgm:pt>
    <dgm:pt modelId="{21571612-11CD-4494-8BFD-DB28C601996C}">
      <dgm:prSet phldrT="[Text]" custT="1"/>
      <dgm:spPr>
        <a:solidFill>
          <a:schemeClr val="accent4">
            <a:lumMod val="20000"/>
            <a:lumOff val="80000"/>
          </a:schemeClr>
        </a:solidFill>
      </dgm:spPr>
      <dgm:t>
        <a:bodyPr/>
        <a:lstStyle/>
        <a:p>
          <a:r>
            <a:rPr lang="en-US" sz="1050" b="1"/>
            <a:t>Solar water pumps</a:t>
          </a:r>
          <a:br>
            <a:rPr lang="en-US" sz="1050" b="1"/>
          </a:br>
          <a:r>
            <a:rPr lang="en-US" sz="1000" b="0"/>
            <a:t>241250</a:t>
          </a:r>
          <a:endParaRPr lang="en-US" sz="1050" b="0"/>
        </a:p>
      </dgm:t>
    </dgm:pt>
    <dgm:pt modelId="{8CA06B91-F6AC-4CC1-9BC5-BBC37F39EC65}" type="parTrans" cxnId="{1CB2066A-54B2-4535-B01E-4454A93CBB97}">
      <dgm:prSet/>
      <dgm:spPr/>
      <dgm:t>
        <a:bodyPr/>
        <a:lstStyle/>
        <a:p>
          <a:endParaRPr lang="en-US" sz="1600"/>
        </a:p>
      </dgm:t>
    </dgm:pt>
    <dgm:pt modelId="{E60D4A2F-4664-47DF-9E66-4D31F99CED52}" type="sibTrans" cxnId="{1CB2066A-54B2-4535-B01E-4454A93CBB97}">
      <dgm:prSet/>
      <dgm:spPr/>
      <dgm:t>
        <a:bodyPr/>
        <a:lstStyle/>
        <a:p>
          <a:endParaRPr lang="en-US" sz="1600"/>
        </a:p>
      </dgm:t>
    </dgm:pt>
    <dgm:pt modelId="{CF0527BE-0793-413B-8777-BF8F71D1D5BD}">
      <dgm:prSet phldrT="[Text]" custT="1"/>
      <dgm:spPr>
        <a:solidFill>
          <a:schemeClr val="accent4">
            <a:lumMod val="20000"/>
            <a:lumOff val="80000"/>
          </a:schemeClr>
        </a:solidFill>
      </dgm:spPr>
      <dgm:t>
        <a:bodyPr/>
        <a:lstStyle/>
        <a:p>
          <a:r>
            <a:rPr lang="en-US" sz="1050" b="1"/>
            <a:t>Solar mini-grids</a:t>
          </a:r>
          <a:br>
            <a:rPr lang="en-US" sz="1050" b="1"/>
          </a:br>
          <a:r>
            <a:rPr lang="en-US" sz="1000" b="0"/>
            <a:t>241260</a:t>
          </a:r>
          <a:endParaRPr lang="en-US" sz="1050" b="0"/>
        </a:p>
      </dgm:t>
    </dgm:pt>
    <dgm:pt modelId="{406C992B-9AFE-4D41-AAF4-4174D7922E7E}" type="parTrans" cxnId="{03DDDD4B-8E56-4C12-9B80-ACD9E0DDF283}">
      <dgm:prSet/>
      <dgm:spPr/>
      <dgm:t>
        <a:bodyPr/>
        <a:lstStyle/>
        <a:p>
          <a:endParaRPr lang="en-US" sz="1600"/>
        </a:p>
      </dgm:t>
    </dgm:pt>
    <dgm:pt modelId="{A10814E1-639D-430B-B659-088814641808}" type="sibTrans" cxnId="{03DDDD4B-8E56-4C12-9B80-ACD9E0DDF283}">
      <dgm:prSet/>
      <dgm:spPr/>
      <dgm:t>
        <a:bodyPr/>
        <a:lstStyle/>
        <a:p>
          <a:endParaRPr lang="en-US" sz="1600"/>
        </a:p>
      </dgm:t>
    </dgm:pt>
    <dgm:pt modelId="{803222C5-9AC1-40E8-8786-669DF97B845E}">
      <dgm:prSet phldrT="[Text]" custT="1"/>
      <dgm:spPr>
        <a:solidFill>
          <a:schemeClr val="accent4">
            <a:lumMod val="20000"/>
            <a:lumOff val="80000"/>
          </a:schemeClr>
        </a:solidFill>
      </dgm:spPr>
      <dgm:t>
        <a:bodyPr/>
        <a:lstStyle/>
        <a:p>
          <a:r>
            <a:rPr lang="en-US" sz="1050" b="1"/>
            <a:t>Other off-grid solar photovoltaic</a:t>
          </a:r>
          <a:br>
            <a:rPr lang="en-US" sz="1050" b="1"/>
          </a:br>
          <a:r>
            <a:rPr lang="en-US" sz="1000" b="0"/>
            <a:t>241290</a:t>
          </a:r>
          <a:endParaRPr lang="en-US" sz="1050" b="0"/>
        </a:p>
      </dgm:t>
    </dgm:pt>
    <dgm:pt modelId="{D627746A-12F6-4E88-A79F-A03D22FC6867}" type="parTrans" cxnId="{E29CA430-CCE1-47F4-B324-C0B91919D1BD}">
      <dgm:prSet/>
      <dgm:spPr/>
      <dgm:t>
        <a:bodyPr/>
        <a:lstStyle/>
        <a:p>
          <a:endParaRPr lang="en-US" sz="1600"/>
        </a:p>
      </dgm:t>
    </dgm:pt>
    <dgm:pt modelId="{53DB8AA2-FAA9-4DB6-B457-35404A3B5ABF}" type="sibTrans" cxnId="{E29CA430-CCE1-47F4-B324-C0B91919D1BD}">
      <dgm:prSet/>
      <dgm:spPr/>
      <dgm:t>
        <a:bodyPr/>
        <a:lstStyle/>
        <a:p>
          <a:endParaRPr lang="en-US" sz="1600"/>
        </a:p>
      </dgm:t>
    </dgm:pt>
    <dgm:pt modelId="{631540FB-3808-4E2A-9553-428A5E948F14}">
      <dgm:prSet phldrT="[Text]" custT="1"/>
      <dgm:spPr>
        <a:pattFill prst="ltDnDiag">
          <a:fgClr>
            <a:schemeClr val="accent6">
              <a:lumMod val="20000"/>
              <a:lumOff val="80000"/>
            </a:schemeClr>
          </a:fgClr>
          <a:bgClr>
            <a:schemeClr val="bg1"/>
          </a:bgClr>
        </a:pattFill>
      </dgm:spPr>
      <dgm:t>
        <a:bodyPr/>
        <a:lstStyle/>
        <a:p>
          <a:r>
            <a:rPr lang="en-US" sz="1050" b="1"/>
            <a:t>Charcoal</a:t>
          </a:r>
          <a:br>
            <a:rPr lang="en-US" sz="1200" b="1"/>
          </a:br>
          <a:r>
            <a:rPr lang="en-US" sz="1000" b="0"/>
            <a:t>261600</a:t>
          </a:r>
          <a:endParaRPr lang="en-US" sz="1200" b="0"/>
        </a:p>
      </dgm:t>
    </dgm:pt>
    <dgm:pt modelId="{838F6695-2061-4E48-9A60-4469710F958A}" type="parTrans" cxnId="{F2C5B872-CE93-447E-811C-33FEA498663A}">
      <dgm:prSet/>
      <dgm:spPr/>
      <dgm:t>
        <a:bodyPr/>
        <a:lstStyle/>
        <a:p>
          <a:endParaRPr lang="en-US" sz="1600"/>
        </a:p>
      </dgm:t>
    </dgm:pt>
    <dgm:pt modelId="{AD81F9C5-E091-4B77-8A53-1AFC9517DE7D}" type="sibTrans" cxnId="{F2C5B872-CE93-447E-811C-33FEA498663A}">
      <dgm:prSet/>
      <dgm:spPr/>
      <dgm:t>
        <a:bodyPr/>
        <a:lstStyle/>
        <a:p>
          <a:endParaRPr lang="en-US" sz="1600"/>
        </a:p>
      </dgm:t>
    </dgm:pt>
    <dgm:pt modelId="{BAA0A6F4-6832-4850-8E6B-C61E7C3A8F3A}">
      <dgm:prSet phldrT="[Text]" custT="1"/>
      <dgm:spPr>
        <a:pattFill prst="ltDnDiag">
          <a:fgClr>
            <a:schemeClr val="accent6">
              <a:lumMod val="20000"/>
              <a:lumOff val="80000"/>
            </a:schemeClr>
          </a:fgClr>
          <a:bgClr>
            <a:schemeClr val="bg1"/>
          </a:bgClr>
        </a:pattFill>
      </dgm:spPr>
      <dgm:t>
        <a:bodyPr/>
        <a:lstStyle/>
        <a:p>
          <a:r>
            <a:rPr lang="en-US" sz="1050" b="1"/>
            <a:t>Biomass pellets and briquettes</a:t>
          </a:r>
          <a:br>
            <a:rPr lang="en-US" sz="1050" b="1"/>
          </a:br>
          <a:r>
            <a:rPr lang="en-US" sz="1000" b="0"/>
            <a:t>261500</a:t>
          </a:r>
          <a:endParaRPr lang="en-US" sz="1050" b="0"/>
        </a:p>
      </dgm:t>
    </dgm:pt>
    <dgm:pt modelId="{74B51CE5-A409-4DF8-87C9-0BA5E63BD28D}" type="parTrans" cxnId="{4D418166-ED64-491F-9455-EBD8AEC22202}">
      <dgm:prSet/>
      <dgm:spPr/>
      <dgm:t>
        <a:bodyPr/>
        <a:lstStyle/>
        <a:p>
          <a:endParaRPr lang="en-US" sz="1600"/>
        </a:p>
      </dgm:t>
    </dgm:pt>
    <dgm:pt modelId="{5ED668EE-5486-44AB-B44B-42D90ACD611E}" type="sibTrans" cxnId="{4D418166-ED64-491F-9455-EBD8AEC22202}">
      <dgm:prSet/>
      <dgm:spPr/>
      <dgm:t>
        <a:bodyPr/>
        <a:lstStyle/>
        <a:p>
          <a:endParaRPr lang="en-US" sz="1600"/>
        </a:p>
      </dgm:t>
    </dgm:pt>
    <dgm:pt modelId="{A6EECEBB-98BA-4666-92A6-E5E6373C2CDD}">
      <dgm:prSet phldrT="[Text]" custT="1"/>
      <dgm:spPr>
        <a:solidFill>
          <a:schemeClr val="accent6">
            <a:lumMod val="20000"/>
            <a:lumOff val="80000"/>
          </a:schemeClr>
        </a:solidFill>
      </dgm:spPr>
      <dgm:t>
        <a:bodyPr/>
        <a:lstStyle/>
        <a:p>
          <a:r>
            <a:rPr lang="en-US" sz="1050" b="1"/>
            <a:t>Animal residue biogas</a:t>
          </a:r>
          <a:br>
            <a:rPr lang="en-US" sz="1050" b="1"/>
          </a:br>
          <a:r>
            <a:rPr lang="en-US" sz="1000" b="0"/>
            <a:t>263130</a:t>
          </a:r>
          <a:endParaRPr lang="en-US" sz="1050" b="0"/>
        </a:p>
      </dgm:t>
    </dgm:pt>
    <dgm:pt modelId="{3FA1B321-DF3E-41FF-A634-1DFEF037B309}" type="parTrans" cxnId="{F5F26AFE-F2D1-4EA2-8931-E940547E0113}">
      <dgm:prSet/>
      <dgm:spPr/>
      <dgm:t>
        <a:bodyPr/>
        <a:lstStyle/>
        <a:p>
          <a:endParaRPr lang="en-US" sz="1600"/>
        </a:p>
      </dgm:t>
    </dgm:pt>
    <dgm:pt modelId="{3ED58E76-16CB-46F5-82C7-787BD7B8FBBB}" type="sibTrans" cxnId="{F5F26AFE-F2D1-4EA2-8931-E940547E0113}">
      <dgm:prSet/>
      <dgm:spPr/>
      <dgm:t>
        <a:bodyPr/>
        <a:lstStyle/>
        <a:p>
          <a:endParaRPr lang="en-US" sz="1600"/>
        </a:p>
      </dgm:t>
    </dgm:pt>
    <dgm:pt modelId="{66B1705C-62F7-4DED-B705-F0863D5C3542}">
      <dgm:prSet phldrT="[Text]" custT="1"/>
      <dgm:spPr>
        <a:solidFill>
          <a:schemeClr val="bg2"/>
        </a:solidFill>
      </dgm:spPr>
      <dgm:t>
        <a:bodyPr/>
        <a:lstStyle/>
        <a:p>
          <a:r>
            <a:rPr lang="en-US" sz="1050" b="1">
              <a:solidFill>
                <a:sysClr val="windowText" lastClr="000000"/>
              </a:solidFill>
            </a:rPr>
            <a:t>Hard coal</a:t>
          </a:r>
          <a:br>
            <a:rPr lang="en-US" sz="1050" b="1">
              <a:solidFill>
                <a:sysClr val="windowText" lastClr="000000"/>
              </a:solidFill>
            </a:rPr>
          </a:br>
          <a:r>
            <a:rPr lang="en-US" sz="1000" b="0">
              <a:solidFill>
                <a:sysClr val="windowText" lastClr="000000"/>
              </a:solidFill>
            </a:rPr>
            <a:t>111100</a:t>
          </a:r>
          <a:endParaRPr lang="en-US" sz="1050" b="0">
            <a:solidFill>
              <a:sysClr val="windowText" lastClr="000000"/>
            </a:solidFill>
          </a:endParaRPr>
        </a:p>
      </dgm:t>
    </dgm:pt>
    <dgm:pt modelId="{8B9D720B-F12E-4FC6-9502-C6B758E34180}" type="parTrans" cxnId="{4269B211-90A7-4FEE-8619-F00C81A89093}">
      <dgm:prSet/>
      <dgm:spPr/>
      <dgm:t>
        <a:bodyPr/>
        <a:lstStyle/>
        <a:p>
          <a:endParaRPr lang="en-GB" sz="1600"/>
        </a:p>
      </dgm:t>
    </dgm:pt>
    <dgm:pt modelId="{2B5D0733-B3C4-4C24-84F3-EE129D1B0D19}" type="sibTrans" cxnId="{4269B211-90A7-4FEE-8619-F00C81A89093}">
      <dgm:prSet/>
      <dgm:spPr/>
      <dgm:t>
        <a:bodyPr/>
        <a:lstStyle/>
        <a:p>
          <a:endParaRPr lang="en-GB" sz="1600"/>
        </a:p>
      </dgm:t>
    </dgm:pt>
    <dgm:pt modelId="{71FDD072-FCEA-4B86-8AB5-EDEEFFA315C8}">
      <dgm:prSet phldrT="[Text]" custT="1"/>
      <dgm:spPr>
        <a:solidFill>
          <a:schemeClr val="bg2"/>
        </a:solidFill>
      </dgm:spPr>
      <dgm:t>
        <a:bodyPr/>
        <a:lstStyle/>
        <a:p>
          <a:r>
            <a:rPr lang="en-US" sz="1050" b="1">
              <a:solidFill>
                <a:sysClr val="windowText" lastClr="000000"/>
              </a:solidFill>
            </a:rPr>
            <a:t>Brown coal</a:t>
          </a:r>
          <a:br>
            <a:rPr lang="en-US" sz="1050" b="1">
              <a:solidFill>
                <a:sysClr val="windowText" lastClr="000000"/>
              </a:solidFill>
            </a:rPr>
          </a:br>
          <a:r>
            <a:rPr lang="en-US" sz="1000" b="0">
              <a:solidFill>
                <a:sysClr val="windowText" lastClr="000000"/>
              </a:solidFill>
            </a:rPr>
            <a:t>111200</a:t>
          </a:r>
          <a:endParaRPr lang="en-US" sz="1050" b="0">
            <a:solidFill>
              <a:sysClr val="windowText" lastClr="000000"/>
            </a:solidFill>
          </a:endParaRPr>
        </a:p>
      </dgm:t>
    </dgm:pt>
    <dgm:pt modelId="{7852CCA7-3094-4A6E-9912-46A8B6C969BE}" type="parTrans" cxnId="{022E9684-D9A9-47DE-BE70-687C6DEE33B4}">
      <dgm:prSet/>
      <dgm:spPr/>
      <dgm:t>
        <a:bodyPr/>
        <a:lstStyle/>
        <a:p>
          <a:endParaRPr lang="en-GB" sz="1600"/>
        </a:p>
      </dgm:t>
    </dgm:pt>
    <dgm:pt modelId="{EC292A31-D013-454F-9C3B-DA9CEBB054C4}" type="sibTrans" cxnId="{022E9684-D9A9-47DE-BE70-687C6DEE33B4}">
      <dgm:prSet/>
      <dgm:spPr/>
      <dgm:t>
        <a:bodyPr/>
        <a:lstStyle/>
        <a:p>
          <a:endParaRPr lang="en-GB" sz="1600"/>
        </a:p>
      </dgm:t>
    </dgm:pt>
    <dgm:pt modelId="{A6232338-D847-40DB-807A-FC2CF08A22C7}">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Coal products</a:t>
          </a:r>
          <a:br>
            <a:rPr lang="en-US" sz="1050" b="1">
              <a:solidFill>
                <a:sysClr val="windowText" lastClr="000000"/>
              </a:solidFill>
            </a:rPr>
          </a:br>
          <a:r>
            <a:rPr lang="en-US" sz="1000" b="0">
              <a:solidFill>
                <a:sysClr val="windowText" lastClr="000000"/>
              </a:solidFill>
            </a:rPr>
            <a:t>111300</a:t>
          </a:r>
          <a:endParaRPr lang="en-US" sz="1050" b="0">
            <a:solidFill>
              <a:sysClr val="windowText" lastClr="000000"/>
            </a:solidFill>
          </a:endParaRPr>
        </a:p>
      </dgm:t>
    </dgm:pt>
    <dgm:pt modelId="{7E7D2EB0-7DFF-4DC1-9964-89E1139E3B9B}" type="parTrans" cxnId="{0E578CD9-07DD-4AD8-83BE-BFA9A3EEF016}">
      <dgm:prSet/>
      <dgm:spPr/>
      <dgm:t>
        <a:bodyPr/>
        <a:lstStyle/>
        <a:p>
          <a:endParaRPr lang="en-GB" sz="1600"/>
        </a:p>
      </dgm:t>
    </dgm:pt>
    <dgm:pt modelId="{F7198476-ACB6-4FE2-A433-811841D00742}" type="sibTrans" cxnId="{0E578CD9-07DD-4AD8-83BE-BFA9A3EEF016}">
      <dgm:prSet/>
      <dgm:spPr/>
      <dgm:t>
        <a:bodyPr/>
        <a:lstStyle/>
        <a:p>
          <a:endParaRPr lang="en-GB" sz="1600"/>
        </a:p>
      </dgm:t>
    </dgm:pt>
    <dgm:pt modelId="{F41F49ED-BE36-4A63-9E37-1E1EC5082A60}">
      <dgm:prSet phldrT="[Text]" custT="1"/>
      <dgm:spPr>
        <a:solidFill>
          <a:schemeClr val="bg2"/>
        </a:solidFill>
      </dgm:spPr>
      <dgm:t>
        <a:bodyPr/>
        <a:lstStyle/>
        <a:p>
          <a:r>
            <a:rPr lang="en-US" sz="1050" b="1">
              <a:solidFill>
                <a:sysClr val="windowText" lastClr="000000"/>
              </a:solidFill>
            </a:rPr>
            <a:t>Oil </a:t>
          </a:r>
          <a:br>
            <a:rPr lang="en-US" sz="1050" b="1">
              <a:solidFill>
                <a:sysClr val="windowText" lastClr="000000"/>
              </a:solidFill>
            </a:rPr>
          </a:br>
          <a:r>
            <a:rPr lang="en-US" sz="1000" b="0">
              <a:solidFill>
                <a:sysClr val="windowText" lastClr="000000"/>
              </a:solidFill>
            </a:rPr>
            <a:t>114000</a:t>
          </a:r>
          <a:endParaRPr lang="en-US" sz="1050" b="0">
            <a:solidFill>
              <a:sysClr val="windowText" lastClr="000000"/>
            </a:solidFill>
          </a:endParaRPr>
        </a:p>
      </dgm:t>
    </dgm:pt>
    <dgm:pt modelId="{2B0F7E03-D206-42B6-8474-2A3273D98ED3}" type="parTrans" cxnId="{7C410A32-14FC-4600-9C59-15A00D6B20FB}">
      <dgm:prSet/>
      <dgm:spPr/>
      <dgm:t>
        <a:bodyPr/>
        <a:lstStyle/>
        <a:p>
          <a:endParaRPr lang="en-GB" sz="1600"/>
        </a:p>
      </dgm:t>
    </dgm:pt>
    <dgm:pt modelId="{D0A0031D-6C32-445D-9D12-3AEA017A7011}" type="sibTrans" cxnId="{7C410A32-14FC-4600-9C59-15A00D6B20FB}">
      <dgm:prSet/>
      <dgm:spPr/>
      <dgm:t>
        <a:bodyPr/>
        <a:lstStyle/>
        <a:p>
          <a:endParaRPr lang="en-GB" sz="1600"/>
        </a:p>
      </dgm:t>
    </dgm:pt>
    <dgm:pt modelId="{A430E8EA-CBB1-49E1-A5FC-8BB12855D5A6}">
      <dgm:prSet phldrT="[Text]" custT="1"/>
      <dgm:spPr>
        <a:solidFill>
          <a:schemeClr val="bg2"/>
        </a:solidFill>
      </dgm:spPr>
      <dgm:t>
        <a:bodyPr/>
        <a:lstStyle/>
        <a:p>
          <a:r>
            <a:rPr lang="en-US" sz="1050" b="1">
              <a:solidFill>
                <a:sysClr val="windowText" lastClr="000000"/>
              </a:solidFill>
            </a:rPr>
            <a:t>Natural gas liquids </a:t>
          </a:r>
          <a:br>
            <a:rPr lang="en-US" sz="1050" b="1">
              <a:solidFill>
                <a:sysClr val="windowText" lastClr="000000"/>
              </a:solidFill>
            </a:rPr>
          </a:br>
          <a:r>
            <a:rPr lang="en-US" sz="1000" b="0">
              <a:solidFill>
                <a:sysClr val="windowText" lastClr="000000"/>
              </a:solidFill>
            </a:rPr>
            <a:t>114200</a:t>
          </a:r>
          <a:endParaRPr lang="en-US" sz="1050" b="0">
            <a:solidFill>
              <a:sysClr val="windowText" lastClr="000000"/>
            </a:solidFill>
          </a:endParaRPr>
        </a:p>
      </dgm:t>
    </dgm:pt>
    <dgm:pt modelId="{9ED5F192-F6E4-420D-A295-B5C7FEE62EFF}" type="parTrans" cxnId="{531153E0-3C21-4D22-9B29-DABDF85F123C}">
      <dgm:prSet/>
      <dgm:spPr/>
      <dgm:t>
        <a:bodyPr/>
        <a:lstStyle/>
        <a:p>
          <a:endParaRPr lang="en-GB" sz="1600"/>
        </a:p>
      </dgm:t>
    </dgm:pt>
    <dgm:pt modelId="{E9690F42-B7C9-4283-BB27-71FBE9B77BA3}" type="sibTrans" cxnId="{531153E0-3C21-4D22-9B29-DABDF85F123C}">
      <dgm:prSet/>
      <dgm:spPr/>
      <dgm:t>
        <a:bodyPr/>
        <a:lstStyle/>
        <a:p>
          <a:endParaRPr lang="en-GB" sz="1600"/>
        </a:p>
      </dgm:t>
    </dgm:pt>
    <dgm:pt modelId="{6B1FF03C-004A-412B-95A2-0A74A5548711}">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Refinery feedstocks</a:t>
          </a:r>
          <a:br>
            <a:rPr lang="en-US" sz="1050" b="1">
              <a:solidFill>
                <a:sysClr val="windowText" lastClr="000000"/>
              </a:solidFill>
            </a:rPr>
          </a:br>
          <a:r>
            <a:rPr lang="en-US" sz="1000" b="0">
              <a:solidFill>
                <a:sysClr val="windowText" lastClr="000000"/>
              </a:solidFill>
            </a:rPr>
            <a:t>114300</a:t>
          </a:r>
          <a:endParaRPr lang="en-US" sz="1050" b="0">
            <a:solidFill>
              <a:sysClr val="windowText" lastClr="000000"/>
            </a:solidFill>
          </a:endParaRPr>
        </a:p>
      </dgm:t>
    </dgm:pt>
    <dgm:pt modelId="{F9364649-08A2-4817-82CF-86DC8666942A}" type="parTrans" cxnId="{E9E8A3E9-3418-4E7F-8338-1D1D6A03829E}">
      <dgm:prSet/>
      <dgm:spPr/>
      <dgm:t>
        <a:bodyPr/>
        <a:lstStyle/>
        <a:p>
          <a:endParaRPr lang="en-GB" sz="1600"/>
        </a:p>
      </dgm:t>
    </dgm:pt>
    <dgm:pt modelId="{E4A23C3C-82B2-4FAE-8235-D19FF5D6C765}" type="sibTrans" cxnId="{E9E8A3E9-3418-4E7F-8338-1D1D6A03829E}">
      <dgm:prSet/>
      <dgm:spPr/>
      <dgm:t>
        <a:bodyPr/>
        <a:lstStyle/>
        <a:p>
          <a:endParaRPr lang="en-GB" sz="1600"/>
        </a:p>
      </dgm:t>
    </dgm:pt>
    <dgm:pt modelId="{4B0BE08F-5910-4DFD-9C40-BCFC903B9E38}">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Additives and oxygenates</a:t>
          </a:r>
          <a:br>
            <a:rPr lang="en-US" sz="1050" b="1">
              <a:solidFill>
                <a:sysClr val="windowText" lastClr="000000"/>
              </a:solidFill>
            </a:rPr>
          </a:br>
          <a:r>
            <a:rPr lang="en-US" sz="1000" b="0">
              <a:solidFill>
                <a:sysClr val="windowText" lastClr="000000"/>
              </a:solidFill>
            </a:rPr>
            <a:t>114400</a:t>
          </a:r>
          <a:endParaRPr lang="en-US" sz="1050" b="0">
            <a:solidFill>
              <a:sysClr val="windowText" lastClr="000000"/>
            </a:solidFill>
          </a:endParaRPr>
        </a:p>
      </dgm:t>
    </dgm:pt>
    <dgm:pt modelId="{05953099-D1EF-4694-827D-53469B92EE3B}" type="parTrans" cxnId="{6A5E1F7A-3E80-4BB6-A8B5-E23540497F8C}">
      <dgm:prSet/>
      <dgm:spPr/>
      <dgm:t>
        <a:bodyPr/>
        <a:lstStyle/>
        <a:p>
          <a:endParaRPr lang="en-GB" sz="1600"/>
        </a:p>
      </dgm:t>
    </dgm:pt>
    <dgm:pt modelId="{8DFA3336-A010-43AD-94B5-C9612A590A09}" type="sibTrans" cxnId="{6A5E1F7A-3E80-4BB6-A8B5-E23540497F8C}">
      <dgm:prSet/>
      <dgm:spPr/>
      <dgm:t>
        <a:bodyPr/>
        <a:lstStyle/>
        <a:p>
          <a:endParaRPr lang="en-GB" sz="1600"/>
        </a:p>
      </dgm:t>
    </dgm:pt>
    <dgm:pt modelId="{4D138308-F6EC-4F1F-B24A-FF2D870FE516}">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Oil products</a:t>
          </a:r>
          <a:br>
            <a:rPr lang="en-US" sz="1050" b="1">
              <a:solidFill>
                <a:sysClr val="windowText" lastClr="000000"/>
              </a:solidFill>
            </a:rPr>
          </a:br>
          <a:r>
            <a:rPr lang="en-US" sz="1000" b="0">
              <a:solidFill>
                <a:sysClr val="windowText" lastClr="000000"/>
              </a:solidFill>
            </a:rPr>
            <a:t>114500</a:t>
          </a:r>
          <a:endParaRPr lang="en-US" sz="1050" b="0">
            <a:solidFill>
              <a:sysClr val="windowText" lastClr="000000"/>
            </a:solidFill>
          </a:endParaRPr>
        </a:p>
      </dgm:t>
    </dgm:pt>
    <dgm:pt modelId="{14C9F508-803D-4BAF-8F9C-B237D9437397}" type="parTrans" cxnId="{8277B86C-622E-4DB4-83C3-087DEE3F17AE}">
      <dgm:prSet/>
      <dgm:spPr/>
      <dgm:t>
        <a:bodyPr/>
        <a:lstStyle/>
        <a:p>
          <a:endParaRPr lang="en-GB" sz="1600"/>
        </a:p>
      </dgm:t>
    </dgm:pt>
    <dgm:pt modelId="{37C1BCE8-4C56-4DC9-8694-CE5125F5D5C1}" type="sibTrans" cxnId="{8277B86C-622E-4DB4-83C3-087DEE3F17AE}">
      <dgm:prSet/>
      <dgm:spPr/>
      <dgm:t>
        <a:bodyPr/>
        <a:lstStyle/>
        <a:p>
          <a:endParaRPr lang="en-GB" sz="1600"/>
        </a:p>
      </dgm:t>
    </dgm:pt>
    <dgm:pt modelId="{F91D3B42-1C1E-4A47-91FE-5E139228559A}">
      <dgm:prSet phldrT="[Text]" custT="1"/>
      <dgm:spPr>
        <a:solidFill>
          <a:schemeClr val="accent6">
            <a:lumMod val="20000"/>
            <a:lumOff val="80000"/>
          </a:schemeClr>
        </a:solidFill>
      </dgm:spPr>
      <dgm:t>
        <a:bodyPr/>
        <a:lstStyle/>
        <a:p>
          <a:r>
            <a:rPr lang="en-US" sz="1050" b="1"/>
            <a:t>Biogas from anaerobic digestion</a:t>
          </a:r>
          <a:br>
            <a:rPr lang="en-US" sz="1050" b="1"/>
          </a:br>
          <a:r>
            <a:rPr lang="en-US" sz="1000" b="0"/>
            <a:t>263100</a:t>
          </a:r>
          <a:endParaRPr lang="en-US" sz="1050" b="0"/>
        </a:p>
      </dgm:t>
    </dgm:pt>
    <dgm:pt modelId="{54B96012-1960-4145-94A8-25FF374FE188}" type="parTrans" cxnId="{57F3CCB2-05DE-4EE2-A3B2-16C1E051CB89}">
      <dgm:prSet/>
      <dgm:spPr/>
      <dgm:t>
        <a:bodyPr/>
        <a:lstStyle/>
        <a:p>
          <a:endParaRPr lang="en-GB" sz="1600"/>
        </a:p>
      </dgm:t>
    </dgm:pt>
    <dgm:pt modelId="{AE23F6E8-B9DF-4073-A843-288C47DD2418}" type="sibTrans" cxnId="{57F3CCB2-05DE-4EE2-A3B2-16C1E051CB89}">
      <dgm:prSet/>
      <dgm:spPr/>
      <dgm:t>
        <a:bodyPr/>
        <a:lstStyle/>
        <a:p>
          <a:endParaRPr lang="en-GB" sz="1600"/>
        </a:p>
      </dgm:t>
    </dgm:pt>
    <dgm:pt modelId="{FD10E54D-7B0B-4C4F-B8E2-939387CDB3B9}">
      <dgm:prSet phldrT="[Text]" custT="1"/>
      <dgm:spPr>
        <a:pattFill prst="ltDnDiag">
          <a:fgClr>
            <a:schemeClr val="accent6">
              <a:lumMod val="20000"/>
              <a:lumOff val="80000"/>
            </a:schemeClr>
          </a:fgClr>
          <a:bgClr>
            <a:schemeClr val="bg1"/>
          </a:bgClr>
        </a:pattFill>
      </dgm:spPr>
      <dgm:t>
        <a:bodyPr/>
        <a:lstStyle/>
        <a:p>
          <a:r>
            <a:rPr lang="en-US" sz="1050" b="1"/>
            <a:t>Gas biofuels products</a:t>
          </a:r>
          <a:br>
            <a:rPr lang="en-US" sz="1050" b="1"/>
          </a:br>
          <a:r>
            <a:rPr lang="en-US" sz="1000" b="0"/>
            <a:t>263300</a:t>
          </a:r>
          <a:endParaRPr lang="en-US" sz="1050" b="0"/>
        </a:p>
      </dgm:t>
    </dgm:pt>
    <dgm:pt modelId="{D19739F7-A3E7-4838-8959-7FDC72B7349F}" type="parTrans" cxnId="{A6FD4BCE-18A6-4078-A03C-0416D5453CFB}">
      <dgm:prSet/>
      <dgm:spPr/>
      <dgm:t>
        <a:bodyPr/>
        <a:lstStyle/>
        <a:p>
          <a:endParaRPr lang="en-GB" sz="1600"/>
        </a:p>
      </dgm:t>
    </dgm:pt>
    <dgm:pt modelId="{A3C8FF11-128B-4EA9-BE78-D5A1D0A5445F}" type="sibTrans" cxnId="{A6FD4BCE-18A6-4078-A03C-0416D5453CFB}">
      <dgm:prSet/>
      <dgm:spPr/>
      <dgm:t>
        <a:bodyPr/>
        <a:lstStyle/>
        <a:p>
          <a:endParaRPr lang="en-GB" sz="1600"/>
        </a:p>
      </dgm:t>
    </dgm:pt>
    <dgm:pt modelId="{A8EA00EE-E19D-4089-B2C5-41B7066ABC2E}">
      <dgm:prSet phldrT="[Text]" custT="1"/>
      <dgm:spPr>
        <a:solidFill>
          <a:srgbClr val="EADCF4"/>
        </a:solidFill>
      </dgm:spPr>
      <dgm:t>
        <a:bodyPr/>
        <a:lstStyle/>
        <a:p>
          <a:r>
            <a:rPr lang="en-US" sz="1050" b="1"/>
            <a:t>Tidal energy</a:t>
          </a:r>
          <a:br>
            <a:rPr lang="en-US" sz="1050" b="1"/>
          </a:br>
          <a:r>
            <a:rPr lang="en-US" sz="1000" b="0"/>
            <a:t>222000</a:t>
          </a:r>
          <a:endParaRPr lang="en-US" sz="1050" b="0"/>
        </a:p>
      </dgm:t>
    </dgm:pt>
    <dgm:pt modelId="{C5C28E5C-6D94-41CA-82AC-57783E17F7A5}" type="parTrans" cxnId="{E87C3F49-17DE-4806-8104-103207AC38B8}">
      <dgm:prSet/>
      <dgm:spPr/>
      <dgm:t>
        <a:bodyPr/>
        <a:lstStyle/>
        <a:p>
          <a:endParaRPr lang="en-GB" sz="1600"/>
        </a:p>
      </dgm:t>
    </dgm:pt>
    <dgm:pt modelId="{0039FAE3-9535-4E07-B2D7-62EE4735CA8C}" type="sibTrans" cxnId="{E87C3F49-17DE-4806-8104-103207AC38B8}">
      <dgm:prSet/>
      <dgm:spPr/>
      <dgm:t>
        <a:bodyPr/>
        <a:lstStyle/>
        <a:p>
          <a:endParaRPr lang="en-GB" sz="1600"/>
        </a:p>
      </dgm:t>
    </dgm:pt>
    <dgm:pt modelId="{A24482FC-352B-4DCE-93B6-0721A84D3DAA}">
      <dgm:prSet phldrT="[Text]" custT="1"/>
      <dgm:spPr>
        <a:solidFill>
          <a:srgbClr val="EADCF4"/>
        </a:solidFill>
      </dgm:spPr>
      <dgm:t>
        <a:bodyPr/>
        <a:lstStyle/>
        <a:p>
          <a:r>
            <a:rPr lang="en-US" sz="1050" b="1"/>
            <a:t>Ocean current</a:t>
          </a:r>
          <a:br>
            <a:rPr lang="en-US" sz="1050" b="1"/>
          </a:br>
          <a:r>
            <a:rPr lang="en-US" sz="1000" b="0"/>
            <a:t>223000</a:t>
          </a:r>
          <a:endParaRPr lang="en-US" sz="1050" b="0"/>
        </a:p>
      </dgm:t>
    </dgm:pt>
    <dgm:pt modelId="{DB5D59AE-306A-4C0E-AC81-2C84A144769B}" type="parTrans" cxnId="{27A7AA0C-89B8-4D88-85FD-6D16B2CFFABB}">
      <dgm:prSet/>
      <dgm:spPr/>
      <dgm:t>
        <a:bodyPr/>
        <a:lstStyle/>
        <a:p>
          <a:endParaRPr lang="en-GB" sz="1600"/>
        </a:p>
      </dgm:t>
    </dgm:pt>
    <dgm:pt modelId="{DE8DC365-5B39-4061-8A37-BA951E45EE4B}" type="sibTrans" cxnId="{27A7AA0C-89B8-4D88-85FD-6D16B2CFFABB}">
      <dgm:prSet/>
      <dgm:spPr/>
      <dgm:t>
        <a:bodyPr/>
        <a:lstStyle/>
        <a:p>
          <a:endParaRPr lang="en-GB" sz="1600"/>
        </a:p>
      </dgm:t>
    </dgm:pt>
    <dgm:pt modelId="{5415383A-F5AF-4898-9C22-13AB48B2A05C}">
      <dgm:prSet phldrT="[Text]" custT="1"/>
      <dgm:spPr>
        <a:solidFill>
          <a:srgbClr val="EADCF4"/>
        </a:solidFill>
      </dgm:spPr>
      <dgm:t>
        <a:bodyPr/>
        <a:lstStyle/>
        <a:p>
          <a:r>
            <a:rPr lang="en-US" sz="1050" b="1"/>
            <a:t>Salinity gradient</a:t>
          </a:r>
          <a:br>
            <a:rPr lang="en-US" sz="1050" b="1"/>
          </a:br>
          <a:r>
            <a:rPr lang="en-US" sz="1000" b="0"/>
            <a:t>224000</a:t>
          </a:r>
          <a:endParaRPr lang="en-US" sz="1050" b="0"/>
        </a:p>
      </dgm:t>
    </dgm:pt>
    <dgm:pt modelId="{D7F3EA7A-619D-4972-AD51-63650624138C}" type="parTrans" cxnId="{E1D8BF80-78FF-4C75-8AD2-5C27AB08EB3C}">
      <dgm:prSet/>
      <dgm:spPr/>
      <dgm:t>
        <a:bodyPr/>
        <a:lstStyle/>
        <a:p>
          <a:endParaRPr lang="en-GB" sz="1600"/>
        </a:p>
      </dgm:t>
    </dgm:pt>
    <dgm:pt modelId="{111C6043-E79F-4031-BBD7-23E49C65385B}" type="sibTrans" cxnId="{E1D8BF80-78FF-4C75-8AD2-5C27AB08EB3C}">
      <dgm:prSet/>
      <dgm:spPr/>
      <dgm:t>
        <a:bodyPr/>
        <a:lstStyle/>
        <a:p>
          <a:endParaRPr lang="en-GB" sz="1600"/>
        </a:p>
      </dgm:t>
    </dgm:pt>
    <dgm:pt modelId="{9A3785AA-A16F-4604-8EFE-394E76690213}">
      <dgm:prSet phldrT="[Text]" custT="1"/>
      <dgm:spPr>
        <a:solidFill>
          <a:srgbClr val="EADCF4"/>
        </a:solidFill>
      </dgm:spPr>
      <dgm:t>
        <a:bodyPr/>
        <a:lstStyle/>
        <a:p>
          <a:r>
            <a:rPr lang="en-US" sz="1050" b="1"/>
            <a:t>Thermal gradient</a:t>
          </a:r>
          <a:br>
            <a:rPr lang="en-US" sz="1050" b="1"/>
          </a:br>
          <a:r>
            <a:rPr lang="en-US" sz="1000" b="0"/>
            <a:t>225000</a:t>
          </a:r>
          <a:endParaRPr lang="en-US" sz="1050" b="0"/>
        </a:p>
      </dgm:t>
    </dgm:pt>
    <dgm:pt modelId="{8E03C179-FBF2-492B-BCB0-E0FC2460C488}" type="parTrans" cxnId="{87F5C3A3-2A04-4A17-A7D0-0DD79B684209}">
      <dgm:prSet/>
      <dgm:spPr/>
      <dgm:t>
        <a:bodyPr/>
        <a:lstStyle/>
        <a:p>
          <a:endParaRPr lang="en-GB" sz="1600"/>
        </a:p>
      </dgm:t>
    </dgm:pt>
    <dgm:pt modelId="{59697406-BEA6-4D16-9C3B-6C68A7CF8351}" type="sibTrans" cxnId="{87F5C3A3-2A04-4A17-A7D0-0DD79B684209}">
      <dgm:prSet/>
      <dgm:spPr/>
      <dgm:t>
        <a:bodyPr/>
        <a:lstStyle/>
        <a:p>
          <a:endParaRPr lang="en-GB" sz="1600"/>
        </a:p>
      </dgm:t>
    </dgm:pt>
    <dgm:pt modelId="{BB86F087-5B45-4E71-B294-E4DBD9C04FFC}">
      <dgm:prSet phldrT="[Text]" custT="1"/>
      <dgm:spPr>
        <a:solidFill>
          <a:schemeClr val="bg2"/>
        </a:solidFill>
      </dgm:spPr>
      <dgm:t>
        <a:bodyPr/>
        <a:lstStyle/>
        <a:p>
          <a:r>
            <a:rPr lang="en-US" sz="1050" b="1">
              <a:solidFill>
                <a:sysClr val="windowText" lastClr="000000"/>
              </a:solidFill>
            </a:rPr>
            <a:t>Conventional crude oil</a:t>
          </a:r>
          <a:br>
            <a:rPr lang="en-US" sz="1050" b="1">
              <a:solidFill>
                <a:sysClr val="windowText" lastClr="000000"/>
              </a:solidFill>
            </a:rPr>
          </a:br>
          <a:r>
            <a:rPr lang="en-US" sz="1000" b="0">
              <a:solidFill>
                <a:sysClr val="windowText" lastClr="000000"/>
              </a:solidFill>
            </a:rPr>
            <a:t>114100</a:t>
          </a:r>
          <a:endParaRPr lang="en-US" sz="1050" b="0">
            <a:solidFill>
              <a:sysClr val="windowText" lastClr="000000"/>
            </a:solidFill>
          </a:endParaRPr>
        </a:p>
      </dgm:t>
    </dgm:pt>
    <dgm:pt modelId="{A77D5189-C96F-4644-8CFD-299E8F08B79C}" type="parTrans" cxnId="{1C0A5327-9952-4C24-83FD-A01D1CBFA61B}">
      <dgm:prSet/>
      <dgm:spPr/>
      <dgm:t>
        <a:bodyPr/>
        <a:lstStyle/>
        <a:p>
          <a:endParaRPr lang="en-GB" sz="1600"/>
        </a:p>
      </dgm:t>
    </dgm:pt>
    <dgm:pt modelId="{C020802C-286E-474F-BA47-F97CD0EE512E}" type="sibTrans" cxnId="{1C0A5327-9952-4C24-83FD-A01D1CBFA61B}">
      <dgm:prSet/>
      <dgm:spPr/>
      <dgm:t>
        <a:bodyPr/>
        <a:lstStyle/>
        <a:p>
          <a:endParaRPr lang="en-GB" sz="1600"/>
        </a:p>
      </dgm:t>
    </dgm:pt>
    <dgm:pt modelId="{AB81F61A-F07E-4A65-98C5-2C73B2ACB0E5}">
      <dgm:prSet phldrT="[Text]" custT="1"/>
      <dgm:spPr>
        <a:pattFill prst="ltHorz">
          <a:fgClr>
            <a:schemeClr val="accent6">
              <a:lumMod val="20000"/>
              <a:lumOff val="80000"/>
            </a:schemeClr>
          </a:fgClr>
          <a:bgClr>
            <a:schemeClr val="bg1"/>
          </a:bgClr>
        </a:pattFill>
      </dgm:spPr>
      <dgm:t>
        <a:bodyPr/>
        <a:lstStyle/>
        <a:p>
          <a:r>
            <a:rPr lang="en-GB" sz="1050" b="1"/>
            <a:t>Other biogas from anaerobic digestion</a:t>
          </a:r>
          <a:br>
            <a:rPr lang="en-GB" sz="1050" b="1"/>
          </a:br>
          <a:r>
            <a:rPr lang="en-US" sz="1000" b="0"/>
            <a:t>263190</a:t>
          </a:r>
          <a:endParaRPr lang="en-US" sz="1050" b="0"/>
        </a:p>
      </dgm:t>
    </dgm:pt>
    <dgm:pt modelId="{FA45AAB5-A13D-4D8A-8207-AA32F4AC4118}" type="parTrans" cxnId="{4D6A08BA-414F-4C49-9C7D-A9D329306CED}">
      <dgm:prSet/>
      <dgm:spPr/>
      <dgm:t>
        <a:bodyPr/>
        <a:lstStyle/>
        <a:p>
          <a:endParaRPr lang="en-GB"/>
        </a:p>
      </dgm:t>
    </dgm:pt>
    <dgm:pt modelId="{291556CA-2D62-4712-B1F6-9DE74A35598A}" type="sibTrans" cxnId="{4D6A08BA-414F-4C49-9C7D-A9D329306CED}">
      <dgm:prSet/>
      <dgm:spPr/>
      <dgm:t>
        <a:bodyPr/>
        <a:lstStyle/>
        <a:p>
          <a:endParaRPr lang="en-GB"/>
        </a:p>
      </dgm:t>
    </dgm:pt>
    <dgm:pt modelId="{64C04E40-1E6F-43C9-9D67-7DC020E117FD}">
      <dgm:prSet phldrT="[Text]" custT="1"/>
      <dgm:spPr>
        <a:solidFill>
          <a:schemeClr val="accent6">
            <a:lumMod val="20000"/>
            <a:lumOff val="80000"/>
          </a:schemeClr>
        </a:solidFill>
      </dgm:spPr>
      <dgm:t>
        <a:bodyPr/>
        <a:lstStyle/>
        <a:p>
          <a:r>
            <a:rPr lang="en-US" sz="1050" b="1"/>
            <a:t>Renewable waste</a:t>
          </a:r>
          <a:br>
            <a:rPr lang="en-US" sz="1050" b="1"/>
          </a:br>
          <a:r>
            <a:rPr lang="en-US" sz="1000" b="0"/>
            <a:t>264000</a:t>
          </a:r>
          <a:endParaRPr lang="en-US" sz="1050" b="0"/>
        </a:p>
      </dgm:t>
    </dgm:pt>
    <dgm:pt modelId="{A24DC521-3C04-4016-974D-78BECC2CB266}" type="parTrans" cxnId="{8064B2AC-2EF4-464C-8788-FFA6E1A9DB32}">
      <dgm:prSet/>
      <dgm:spPr/>
      <dgm:t>
        <a:bodyPr/>
        <a:lstStyle/>
        <a:p>
          <a:endParaRPr lang="en-GB"/>
        </a:p>
      </dgm:t>
    </dgm:pt>
    <dgm:pt modelId="{C4E83123-9118-4A2C-A4E2-4AB714C78581}" type="sibTrans" cxnId="{8064B2AC-2EF4-464C-8788-FFA6E1A9DB32}">
      <dgm:prSet/>
      <dgm:spPr/>
      <dgm:t>
        <a:bodyPr/>
        <a:lstStyle/>
        <a:p>
          <a:endParaRPr lang="en-GB"/>
        </a:p>
      </dgm:t>
    </dgm:pt>
    <dgm:pt modelId="{5EB74292-714A-47E6-A388-60055E38E838}">
      <dgm:prSet phldrT="[Text]" custT="1"/>
      <dgm:spPr/>
      <dgm:t>
        <a:bodyPr/>
        <a:lstStyle/>
        <a:p>
          <a:r>
            <a:rPr lang="en-US" sz="1050" b="1"/>
            <a:t>Ground-source heat pump</a:t>
          </a:r>
          <a:br>
            <a:rPr lang="en-US" sz="1050" b="1"/>
          </a:br>
          <a:r>
            <a:rPr lang="en-US" sz="1050" b="0"/>
            <a:t>293000</a:t>
          </a:r>
        </a:p>
      </dgm:t>
    </dgm:pt>
    <dgm:pt modelId="{F1CF6E37-6CCF-4AF6-8762-EE7789056675}" type="parTrans" cxnId="{54F5C981-BC05-4717-80AF-7558D218336E}">
      <dgm:prSet/>
      <dgm:spPr/>
      <dgm:t>
        <a:bodyPr/>
        <a:lstStyle/>
        <a:p>
          <a:endParaRPr lang="en-GB"/>
        </a:p>
      </dgm:t>
    </dgm:pt>
    <dgm:pt modelId="{0DAD655F-C6FE-4AC8-A62B-C7BFE82E9C32}" type="sibTrans" cxnId="{54F5C981-BC05-4717-80AF-7558D218336E}">
      <dgm:prSet/>
      <dgm:spPr/>
      <dgm:t>
        <a:bodyPr/>
        <a:lstStyle/>
        <a:p>
          <a:endParaRPr lang="en-GB"/>
        </a:p>
      </dgm:t>
    </dgm:pt>
    <dgm:pt modelId="{4687629B-9EAF-487A-9973-C66924FFD9B6}">
      <dgm:prSet phldrT="[Text]" custT="1"/>
      <dgm:spPr>
        <a:solidFill>
          <a:srgbClr val="FFCCFF"/>
        </a:solidFill>
        <a:ln>
          <a:prstDash val="solid"/>
        </a:ln>
      </dgm:spPr>
      <dgm:t>
        <a:bodyPr/>
        <a:lstStyle/>
        <a:p>
          <a:r>
            <a:rPr lang="en-US" sz="1050" b="1"/>
            <a:t>Multiple renewables</a:t>
          </a:r>
          <a:br>
            <a:rPr lang="en-US" sz="1050" b="0"/>
          </a:br>
          <a:r>
            <a:rPr lang="en-US" sz="1000" b="0"/>
            <a:t>280000</a:t>
          </a:r>
          <a:endParaRPr lang="en-US" sz="1050" b="0"/>
        </a:p>
      </dgm:t>
    </dgm:pt>
    <dgm:pt modelId="{61CB8516-D842-46CE-AFF8-424F39A00E76}" type="parTrans" cxnId="{58D1FD3B-FAD1-4ED9-945B-010EE76A8373}">
      <dgm:prSet/>
      <dgm:spPr/>
      <dgm:t>
        <a:bodyPr/>
        <a:lstStyle/>
        <a:p>
          <a:endParaRPr lang="en-GB"/>
        </a:p>
      </dgm:t>
    </dgm:pt>
    <dgm:pt modelId="{B1A17D8C-0B27-4C99-9B9D-1D5F11D7CC83}" type="sibTrans" cxnId="{58D1FD3B-FAD1-4ED9-945B-010EE76A8373}">
      <dgm:prSet/>
      <dgm:spPr/>
      <dgm:t>
        <a:bodyPr/>
        <a:lstStyle/>
        <a:p>
          <a:endParaRPr lang="en-GB"/>
        </a:p>
      </dgm:t>
    </dgm:pt>
    <dgm:pt modelId="{92CF3D58-62D0-470A-A6BA-FFB2364E1D20}">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ammonia</a:t>
          </a:r>
          <a:br>
            <a:rPr lang="en-US" sz="1050" b="0"/>
          </a:br>
          <a:r>
            <a:rPr lang="en-US" sz="1000" b="0"/>
            <a:t>273400</a:t>
          </a:r>
          <a:endParaRPr lang="en-US" sz="1050" b="0"/>
        </a:p>
      </dgm:t>
    </dgm:pt>
    <dgm:pt modelId="{DCCEB2FB-4284-4377-9A06-66364A250946}" type="parTrans" cxnId="{1C95FBFC-184E-43EB-B1D0-01BD9EDF898F}">
      <dgm:prSet/>
      <dgm:spPr/>
      <dgm:t>
        <a:bodyPr/>
        <a:lstStyle/>
        <a:p>
          <a:endParaRPr lang="en-GB"/>
        </a:p>
      </dgm:t>
    </dgm:pt>
    <dgm:pt modelId="{CAFA4152-9FB9-4229-B411-DC01EDAB072D}" type="sibTrans" cxnId="{1C95FBFC-184E-43EB-B1D0-01BD9EDF898F}">
      <dgm:prSet/>
      <dgm:spPr/>
      <dgm:t>
        <a:bodyPr/>
        <a:lstStyle/>
        <a:p>
          <a:endParaRPr lang="en-GB"/>
        </a:p>
      </dgm:t>
    </dgm:pt>
    <dgm:pt modelId="{9F2E8308-01CC-44F7-B73C-03A5166D8871}">
      <dgm:prSet phldrT="[Text]" custT="1"/>
      <dgm:spPr>
        <a:pattFill prst="ltHorz">
          <a:fgClr>
            <a:schemeClr val="accent6">
              <a:lumMod val="20000"/>
              <a:lumOff val="80000"/>
            </a:schemeClr>
          </a:fgClr>
          <a:bgClr>
            <a:schemeClr val="bg1"/>
          </a:bgClr>
        </a:pattFill>
        <a:ln>
          <a:prstDash val="solid"/>
        </a:ln>
      </dgm:spPr>
      <dgm:t>
        <a:bodyPr/>
        <a:lstStyle/>
        <a:p>
          <a:r>
            <a:rPr lang="en-US" sz="1050" b="1"/>
            <a:t>Biobutanol</a:t>
          </a:r>
          <a:br>
            <a:rPr lang="en-US" sz="1050" b="0"/>
          </a:br>
          <a:r>
            <a:rPr lang="en-US" sz="1000" b="0"/>
            <a:t>262130</a:t>
          </a:r>
          <a:endParaRPr lang="en-US" sz="1050" b="0"/>
        </a:p>
      </dgm:t>
    </dgm:pt>
    <dgm:pt modelId="{EEF4749F-DE1D-4627-88C7-9F746A6BD04B}" type="parTrans" cxnId="{FD3BE9DF-D9BC-4670-B9D1-B6F3582A820F}">
      <dgm:prSet/>
      <dgm:spPr/>
      <dgm:t>
        <a:bodyPr/>
        <a:lstStyle/>
        <a:p>
          <a:endParaRPr lang="en-GB"/>
        </a:p>
      </dgm:t>
    </dgm:pt>
    <dgm:pt modelId="{CA418A1E-F4C7-4CE4-AF40-371FC9E66E2D}" type="sibTrans" cxnId="{FD3BE9DF-D9BC-4670-B9D1-B6F3582A820F}">
      <dgm:prSet/>
      <dgm:spPr/>
      <dgm:t>
        <a:bodyPr/>
        <a:lstStyle/>
        <a:p>
          <a:endParaRPr lang="en-GB"/>
        </a:p>
      </dgm:t>
    </dgm:pt>
    <dgm:pt modelId="{0D37DE47-166C-4BB7-B770-F60C77BF7ECC}">
      <dgm:prSet phldrT="[Text]" custT="1"/>
      <dgm:spPr>
        <a:pattFill prst="ltHorz">
          <a:fgClr>
            <a:schemeClr val="accent6">
              <a:lumMod val="20000"/>
              <a:lumOff val="80000"/>
            </a:schemeClr>
          </a:fgClr>
          <a:bgClr>
            <a:schemeClr val="bg1"/>
          </a:bgClr>
        </a:patt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pPr marL="0" lvl="0" indent="0" algn="ctr" defTabSz="466725">
            <a:lnSpc>
              <a:spcPct val="90000"/>
            </a:lnSpc>
            <a:spcBef>
              <a:spcPct val="0"/>
            </a:spcBef>
            <a:spcAft>
              <a:spcPct val="35000"/>
            </a:spcAft>
            <a:buNone/>
          </a:pPr>
          <a:r>
            <a:rPr lang="en-US" sz="1050" b="1" kern="1200">
              <a:solidFill>
                <a:sysClr val="windowText" lastClr="000000">
                  <a:hueOff val="0"/>
                  <a:satOff val="0"/>
                  <a:lumOff val="0"/>
                  <a:alphaOff val="0"/>
                </a:sysClr>
              </a:solidFill>
              <a:latin typeface="Calibri" panose="020F0502020204030204"/>
              <a:ea typeface="+mn-ea"/>
              <a:cs typeface="+mn-cs"/>
            </a:rPr>
            <a:t>Hydrogenated vegetable oil diesel</a:t>
          </a:r>
          <a:br>
            <a:rPr lang="en-US" sz="1050" b="1" kern="1200">
              <a:solidFill>
                <a:sysClr val="windowText" lastClr="000000">
                  <a:hueOff val="0"/>
                  <a:satOff val="0"/>
                  <a:lumOff val="0"/>
                  <a:alphaOff val="0"/>
                </a:sysClr>
              </a:solidFill>
              <a:latin typeface="Calibri" panose="020F0502020204030204"/>
              <a:ea typeface="+mn-ea"/>
              <a:cs typeface="+mn-cs"/>
            </a:rPr>
          </a:br>
          <a:r>
            <a:rPr lang="en-US" sz="1000" b="0" kern="1200">
              <a:solidFill>
                <a:sysClr val="windowText" lastClr="000000">
                  <a:hueOff val="0"/>
                  <a:satOff val="0"/>
                  <a:lumOff val="0"/>
                  <a:alphaOff val="0"/>
                </a:sysClr>
              </a:solidFill>
              <a:latin typeface="Calibri" panose="020F0502020204030204"/>
              <a:ea typeface="+mn-ea"/>
              <a:cs typeface="+mn-cs"/>
            </a:rPr>
            <a:t>262250</a:t>
          </a:r>
          <a:endParaRPr lang="en-US" sz="1050" b="0" kern="1200">
            <a:solidFill>
              <a:sysClr val="windowText" lastClr="000000">
                <a:hueOff val="0"/>
                <a:satOff val="0"/>
                <a:lumOff val="0"/>
                <a:alphaOff val="0"/>
              </a:sysClr>
            </a:solidFill>
            <a:latin typeface="Calibri" panose="020F0502020204030204"/>
            <a:ea typeface="+mn-ea"/>
            <a:cs typeface="+mn-cs"/>
          </a:endParaRPr>
        </a:p>
      </dgm:t>
    </dgm:pt>
    <dgm:pt modelId="{939DC143-D0A5-47E0-A8C6-ABD27D48AA37}" type="parTrans" cxnId="{7225824D-BAAE-4718-BFD1-009379F59267}">
      <dgm:prSet/>
      <dgm:spPr/>
      <dgm:t>
        <a:bodyPr/>
        <a:lstStyle/>
        <a:p>
          <a:endParaRPr lang="en-GB"/>
        </a:p>
      </dgm:t>
    </dgm:pt>
    <dgm:pt modelId="{9C8F1186-5160-4A21-A745-3206D578F53F}" type="sibTrans" cxnId="{7225824D-BAAE-4718-BFD1-009379F59267}">
      <dgm:prSet/>
      <dgm:spPr/>
      <dgm:t>
        <a:bodyPr/>
        <a:lstStyle/>
        <a:p>
          <a:endParaRPr lang="en-GB"/>
        </a:p>
      </dgm:t>
    </dgm:pt>
    <dgm:pt modelId="{BF5CB15B-20CE-4AB7-A918-CA6CEA343B3D}">
      <dgm:prSet phldrT="[Text]" custT="1"/>
      <dgm:spPr>
        <a:solidFill>
          <a:schemeClr val="accent6">
            <a:lumMod val="20000"/>
            <a:lumOff val="80000"/>
          </a:schemeClr>
        </a:solidFill>
      </dgm:spPr>
      <dgm:t>
        <a:bodyPr/>
        <a:lstStyle/>
        <a:p>
          <a:r>
            <a:rPr lang="en-US" sz="1050" b="1"/>
            <a:t>Plant husks</a:t>
          </a:r>
          <a:br>
            <a:rPr lang="en-US" sz="1050" b="1"/>
          </a:br>
          <a:r>
            <a:rPr lang="en-US" sz="1000" b="0"/>
            <a:t>261330</a:t>
          </a:r>
          <a:endParaRPr lang="en-US" sz="1050" b="0"/>
        </a:p>
      </dgm:t>
    </dgm:pt>
    <dgm:pt modelId="{7D197ADC-F93E-436C-8EE0-8E75586D4D89}" type="parTrans" cxnId="{47F8D7A4-DD9F-4083-B789-0E1078B91CB8}">
      <dgm:prSet/>
      <dgm:spPr/>
      <dgm:t>
        <a:bodyPr/>
        <a:lstStyle/>
        <a:p>
          <a:endParaRPr lang="en-GB"/>
        </a:p>
      </dgm:t>
    </dgm:pt>
    <dgm:pt modelId="{EEF97E77-354F-48A7-B2F8-3D1F8C0FF934}" type="sibTrans" cxnId="{47F8D7A4-DD9F-4083-B789-0E1078B91CB8}">
      <dgm:prSet/>
      <dgm:spPr/>
      <dgm:t>
        <a:bodyPr/>
        <a:lstStyle/>
        <a:p>
          <a:endParaRPr lang="en-GB"/>
        </a:p>
      </dgm:t>
    </dgm:pt>
    <dgm:pt modelId="{01A1075C-5A2D-4D14-9D04-3BBCFB83A3FB}">
      <dgm:prSet phldrT="[Text]" custT="1"/>
      <dgm:spPr>
        <a:solidFill>
          <a:schemeClr val="accent6">
            <a:lumMod val="20000"/>
            <a:lumOff val="80000"/>
          </a:schemeClr>
        </a:solidFill>
      </dgm:spPr>
      <dgm:t>
        <a:bodyPr/>
        <a:lstStyle/>
        <a:p>
          <a:r>
            <a:rPr lang="en-US" sz="1050" b="1"/>
            <a:t>Plant shells</a:t>
          </a:r>
          <a:br>
            <a:rPr lang="en-US" sz="1050" b="0"/>
          </a:br>
          <a:r>
            <a:rPr lang="en-US" sz="1000" b="0"/>
            <a:t>261340</a:t>
          </a:r>
          <a:endParaRPr lang="en-US" sz="1050" b="0"/>
        </a:p>
      </dgm:t>
    </dgm:pt>
    <dgm:pt modelId="{D77E7DB1-3ADB-45B0-AAEF-9D9CEB0DD92A}" type="parTrans" cxnId="{1DCC8D46-8F9F-4C61-9EDF-469F0A6E8B1D}">
      <dgm:prSet/>
      <dgm:spPr/>
      <dgm:t>
        <a:bodyPr/>
        <a:lstStyle/>
        <a:p>
          <a:endParaRPr lang="en-GB"/>
        </a:p>
      </dgm:t>
    </dgm:pt>
    <dgm:pt modelId="{E0DEFF88-EB7A-4ABA-9B85-A15AA8DA0A44}" type="sibTrans" cxnId="{1DCC8D46-8F9F-4C61-9EDF-469F0A6E8B1D}">
      <dgm:prSet/>
      <dgm:spPr/>
      <dgm:t>
        <a:bodyPr/>
        <a:lstStyle/>
        <a:p>
          <a:endParaRPr lang="en-GB"/>
        </a:p>
      </dgm:t>
    </dgm:pt>
    <dgm:pt modelId="{DBC60928-6F55-4D3D-8A18-00418604EA51}">
      <dgm:prSet phldrT="[Text]" custT="1"/>
      <dgm:spPr>
        <a:solidFill>
          <a:schemeClr val="accent6">
            <a:lumMod val="20000"/>
            <a:lumOff val="80000"/>
          </a:schemeClr>
        </a:solidFill>
      </dgm:spPr>
      <dgm:t>
        <a:bodyPr/>
        <a:lstStyle/>
        <a:p>
          <a:pPr algn="ctr"/>
          <a:r>
            <a:rPr lang="en-US" sz="1050" b="1"/>
            <a:t>Solid wood processing residues</a:t>
          </a:r>
          <a:br>
            <a:rPr lang="en-US" sz="1050" b="0"/>
          </a:br>
          <a:r>
            <a:rPr lang="en-US" sz="1000" b="0"/>
            <a:t>261350</a:t>
          </a:r>
          <a:endParaRPr lang="en-US" sz="1050" b="0"/>
        </a:p>
      </dgm:t>
    </dgm:pt>
    <dgm:pt modelId="{0CD0D40F-7D53-4E4D-A17E-BC6DAB8DD001}" type="parTrans" cxnId="{1F85EE30-5CCF-44E2-B3BD-F5A1164569C5}">
      <dgm:prSet/>
      <dgm:spPr/>
      <dgm:t>
        <a:bodyPr/>
        <a:lstStyle/>
        <a:p>
          <a:endParaRPr lang="en-GB"/>
        </a:p>
      </dgm:t>
    </dgm:pt>
    <dgm:pt modelId="{B387B50B-F579-4B30-8BF1-5F7207B372BE}" type="sibTrans" cxnId="{1F85EE30-5CCF-44E2-B3BD-F5A1164569C5}">
      <dgm:prSet/>
      <dgm:spPr/>
      <dgm:t>
        <a:bodyPr/>
        <a:lstStyle/>
        <a:p>
          <a:endParaRPr lang="en-GB"/>
        </a:p>
      </dgm:t>
    </dgm:pt>
    <dgm:pt modelId="{201EEA7F-7334-4A45-8ED4-7294998966B3}">
      <dgm:prSet phldrT="[Text]" custT="1"/>
      <dgm:spPr>
        <a:solidFill>
          <a:srgbClr val="EADCF4"/>
        </a:solidFill>
      </dgm:spPr>
      <dgm:t>
        <a:bodyPr/>
        <a:lstStyle/>
        <a:p>
          <a:r>
            <a:rPr lang="en-US" sz="1050" b="1"/>
            <a:t>Wave energy</a:t>
          </a:r>
          <a:br>
            <a:rPr lang="en-US" sz="1050" b="1"/>
          </a:br>
          <a:r>
            <a:rPr lang="en-US" sz="1000" b="0"/>
            <a:t>221000</a:t>
          </a:r>
          <a:endParaRPr lang="en-US" sz="1050" b="0"/>
        </a:p>
      </dgm:t>
    </dgm:pt>
    <dgm:pt modelId="{48297509-E534-4AEB-8B37-CA0244981934}" type="parTrans" cxnId="{2DE291B2-C0CF-4084-92A8-2A69E6CECD87}">
      <dgm:prSet/>
      <dgm:spPr/>
      <dgm:t>
        <a:bodyPr/>
        <a:lstStyle/>
        <a:p>
          <a:endParaRPr lang="en-GB"/>
        </a:p>
      </dgm:t>
    </dgm:pt>
    <dgm:pt modelId="{E6860D1E-CE74-4174-B5A1-9A962BFFD67C}" type="sibTrans" cxnId="{2DE291B2-C0CF-4084-92A8-2A69E6CECD87}">
      <dgm:prSet/>
      <dgm:spPr/>
      <dgm:t>
        <a:bodyPr/>
        <a:lstStyle/>
        <a:p>
          <a:endParaRPr lang="en-GB"/>
        </a:p>
      </dgm:t>
    </dgm:pt>
    <dgm:pt modelId="{1E7C492F-62DC-462E-B45D-565684507B11}">
      <dgm:prSet phldrT="[Text]" custT="1"/>
      <dgm:spPr>
        <a:solidFill>
          <a:schemeClr val="bg2"/>
        </a:solidFill>
      </dgm:spPr>
      <dgm:t>
        <a:bodyPr/>
        <a:lstStyle/>
        <a:p>
          <a:r>
            <a:rPr lang="en-US" sz="1050" b="1">
              <a:solidFill>
                <a:sysClr val="windowText" lastClr="000000"/>
              </a:solidFill>
            </a:rPr>
            <a:t>Uranium and plutonium</a:t>
          </a:r>
          <a:br>
            <a:rPr lang="en-US" sz="1050" b="1">
              <a:solidFill>
                <a:sysClr val="windowText" lastClr="000000"/>
              </a:solidFill>
            </a:rPr>
          </a:br>
          <a:r>
            <a:rPr lang="en-US" sz="1000" b="0">
              <a:solidFill>
                <a:sysClr val="windowText" lastClr="000000"/>
              </a:solidFill>
            </a:rPr>
            <a:t>121000</a:t>
          </a:r>
          <a:endParaRPr lang="en-US" sz="1050" b="0">
            <a:solidFill>
              <a:sysClr val="windowText" lastClr="000000"/>
            </a:solidFill>
          </a:endParaRPr>
        </a:p>
      </dgm:t>
    </dgm:pt>
    <dgm:pt modelId="{DAE4712C-240C-4594-8B62-F190DF32B439}" type="parTrans" cxnId="{ADDCE8D8-82B9-4DC5-8B06-EBA065294E93}">
      <dgm:prSet/>
      <dgm:spPr/>
      <dgm:t>
        <a:bodyPr/>
        <a:lstStyle/>
        <a:p>
          <a:endParaRPr lang="en-GB"/>
        </a:p>
      </dgm:t>
    </dgm:pt>
    <dgm:pt modelId="{955325DD-1162-478E-8AFE-272C28A3C2DD}" type="sibTrans" cxnId="{ADDCE8D8-82B9-4DC5-8B06-EBA065294E93}">
      <dgm:prSet/>
      <dgm:spPr/>
      <dgm:t>
        <a:bodyPr/>
        <a:lstStyle/>
        <a:p>
          <a:endParaRPr lang="en-GB"/>
        </a:p>
      </dgm:t>
    </dgm:pt>
    <dgm:pt modelId="{79551598-49A1-43CC-A27E-9835D96707B4}">
      <dgm:prSet phldrT="[Text]" custT="1"/>
      <dgm:spPr>
        <a:solidFill>
          <a:schemeClr val="bg2"/>
        </a:solidFill>
      </dgm:spPr>
      <dgm:t>
        <a:bodyPr/>
        <a:lstStyle/>
        <a:p>
          <a:r>
            <a:rPr lang="en-US" sz="1050" b="1">
              <a:solidFill>
                <a:sysClr val="windowText" lastClr="000000"/>
              </a:solidFill>
            </a:rPr>
            <a:t>Other nuclear fuels</a:t>
          </a:r>
          <a:br>
            <a:rPr lang="en-US" sz="1050" b="1">
              <a:solidFill>
                <a:sysClr val="windowText" lastClr="000000"/>
              </a:solidFill>
            </a:rPr>
          </a:br>
          <a:r>
            <a:rPr lang="en-US" sz="1000" b="0">
              <a:solidFill>
                <a:sysClr val="windowText" lastClr="000000"/>
              </a:solidFill>
            </a:rPr>
            <a:t>129000</a:t>
          </a:r>
          <a:endParaRPr lang="en-US" sz="1050" b="0">
            <a:solidFill>
              <a:sysClr val="windowText" lastClr="000000"/>
            </a:solidFill>
          </a:endParaRPr>
        </a:p>
      </dgm:t>
    </dgm:pt>
    <dgm:pt modelId="{E7BAD2DA-E1CA-43FD-BB3D-D56838651AEA}" type="parTrans" cxnId="{4C3CAD22-9C9C-4E87-8693-030EB0732854}">
      <dgm:prSet/>
      <dgm:spPr/>
      <dgm:t>
        <a:bodyPr/>
        <a:lstStyle/>
        <a:p>
          <a:endParaRPr lang="en-GB"/>
        </a:p>
      </dgm:t>
    </dgm:pt>
    <dgm:pt modelId="{5ADBC7B9-6382-4856-9AE2-EE0198BE0031}" type="sibTrans" cxnId="{4C3CAD22-9C9C-4E87-8693-030EB0732854}">
      <dgm:prSet/>
      <dgm:spPr/>
      <dgm:t>
        <a:bodyPr/>
        <a:lstStyle/>
        <a:p>
          <a:endParaRPr lang="en-GB"/>
        </a:p>
      </dgm:t>
    </dgm:pt>
    <dgm:pt modelId="{B2F55F9F-403F-4EC6-A36F-D5F8ABEB3D8E}">
      <dgm:prSet phldrT="[Text]" custT="1"/>
      <dgm:spPr>
        <a:solidFill>
          <a:schemeClr val="accent4">
            <a:lumMod val="20000"/>
            <a:lumOff val="80000"/>
          </a:schemeClr>
        </a:solidFill>
      </dgm:spPr>
      <dgm:t>
        <a:bodyPr/>
        <a:lstStyle/>
        <a:p>
          <a:r>
            <a:rPr lang="en-US" sz="1050" b="1"/>
            <a:t>Solar air heating</a:t>
          </a:r>
          <a:br>
            <a:rPr lang="en-US" sz="1050" b="1"/>
          </a:br>
          <a:r>
            <a:rPr lang="en-US" sz="1000" b="0"/>
            <a:t>242300</a:t>
          </a:r>
          <a:endParaRPr lang="en-US" sz="1050" b="0"/>
        </a:p>
      </dgm:t>
    </dgm:pt>
    <dgm:pt modelId="{B28D2935-1624-45D5-86BD-D4EBFFBC4325}" type="parTrans" cxnId="{B41DB2FD-C9F8-4EAE-A27C-CC1075A32030}">
      <dgm:prSet/>
      <dgm:spPr/>
      <dgm:t>
        <a:bodyPr/>
        <a:lstStyle/>
        <a:p>
          <a:endParaRPr lang="en-GB"/>
        </a:p>
      </dgm:t>
    </dgm:pt>
    <dgm:pt modelId="{1F8BDAA0-74E9-4BC3-8FDE-9E8731082F2B}" type="sibTrans" cxnId="{B41DB2FD-C9F8-4EAE-A27C-CC1075A32030}">
      <dgm:prSet/>
      <dgm:spPr/>
      <dgm:t>
        <a:bodyPr/>
        <a:lstStyle/>
        <a:p>
          <a:endParaRPr lang="en-GB"/>
        </a:p>
      </dgm:t>
    </dgm:pt>
    <dgm:pt modelId="{D7C7AC6F-61A5-44DB-A1AA-ED57DD6791E8}">
      <dgm:prSet phldrT="[Text]" custT="1"/>
      <dgm:spPr>
        <a:solidFill>
          <a:schemeClr val="accent4">
            <a:lumMod val="20000"/>
            <a:lumOff val="80000"/>
          </a:schemeClr>
        </a:solidFill>
      </dgm:spPr>
      <dgm:t>
        <a:bodyPr/>
        <a:lstStyle/>
        <a:p>
          <a:r>
            <a:rPr lang="en-US" sz="1050" b="1"/>
            <a:t>Heliostat field collector</a:t>
          </a:r>
          <a:br>
            <a:rPr lang="en-US" sz="1050" b="0"/>
          </a:br>
          <a:r>
            <a:rPr lang="en-US" sz="1000" b="0"/>
            <a:t>242110</a:t>
          </a:r>
          <a:endParaRPr lang="en-US" sz="1050" b="0"/>
        </a:p>
      </dgm:t>
    </dgm:pt>
    <dgm:pt modelId="{17EFF492-98ED-4199-A16A-40CC300BFE5E}" type="parTrans" cxnId="{201F2E46-0C0B-4473-ABDE-DB6645E05740}">
      <dgm:prSet/>
      <dgm:spPr/>
      <dgm:t>
        <a:bodyPr/>
        <a:lstStyle/>
        <a:p>
          <a:endParaRPr lang="en-GB"/>
        </a:p>
      </dgm:t>
    </dgm:pt>
    <dgm:pt modelId="{29A4CDEB-EC42-404E-ACBC-93B4B95723AD}" type="sibTrans" cxnId="{201F2E46-0C0B-4473-ABDE-DB6645E05740}">
      <dgm:prSet/>
      <dgm:spPr/>
      <dgm:t>
        <a:bodyPr/>
        <a:lstStyle/>
        <a:p>
          <a:endParaRPr lang="en-GB"/>
        </a:p>
      </dgm:t>
    </dgm:pt>
    <dgm:pt modelId="{8F6DE852-327B-4577-9FE1-062E937150BD}">
      <dgm:prSet phldrT="[Text]" custT="1"/>
      <dgm:spPr>
        <a:solidFill>
          <a:schemeClr val="accent4">
            <a:lumMod val="20000"/>
            <a:lumOff val="80000"/>
          </a:schemeClr>
        </a:solidFill>
      </dgm:spPr>
      <dgm:t>
        <a:bodyPr/>
        <a:lstStyle/>
        <a:p>
          <a:r>
            <a:rPr lang="en-US" sz="1050" b="1"/>
            <a:t>Linear Fresnel reflector</a:t>
          </a:r>
          <a:br>
            <a:rPr lang="en-US" sz="1050" b="0"/>
          </a:br>
          <a:r>
            <a:rPr lang="en-US" sz="1000" b="0"/>
            <a:t>242120</a:t>
          </a:r>
          <a:endParaRPr lang="en-US" sz="1050" b="1"/>
        </a:p>
      </dgm:t>
    </dgm:pt>
    <dgm:pt modelId="{E02B2C77-2C0D-4825-8691-3A81AD7E2D52}" type="parTrans" cxnId="{721D3E82-FB46-4469-87A4-91B236A219C9}">
      <dgm:prSet/>
      <dgm:spPr/>
      <dgm:t>
        <a:bodyPr/>
        <a:lstStyle/>
        <a:p>
          <a:endParaRPr lang="en-GB"/>
        </a:p>
      </dgm:t>
    </dgm:pt>
    <dgm:pt modelId="{62F6B9F8-DC58-42BF-BBEB-A761080463E3}" type="sibTrans" cxnId="{721D3E82-FB46-4469-87A4-91B236A219C9}">
      <dgm:prSet/>
      <dgm:spPr/>
      <dgm:t>
        <a:bodyPr/>
        <a:lstStyle/>
        <a:p>
          <a:endParaRPr lang="en-GB"/>
        </a:p>
      </dgm:t>
    </dgm:pt>
    <dgm:pt modelId="{C291B836-B40E-4080-B454-37647321FD66}">
      <dgm:prSet phldrT="[Text]" custT="1"/>
      <dgm:spPr>
        <a:solidFill>
          <a:schemeClr val="accent4">
            <a:lumMod val="20000"/>
            <a:lumOff val="80000"/>
          </a:schemeClr>
        </a:solidFill>
      </dgm:spPr>
      <dgm:t>
        <a:bodyPr/>
        <a:lstStyle/>
        <a:p>
          <a:r>
            <a:rPr lang="en-US" sz="1050" b="1"/>
            <a:t>Parabolic trough</a:t>
          </a:r>
          <a:br>
            <a:rPr lang="en-US" sz="1050" b="1"/>
          </a:br>
          <a:r>
            <a:rPr lang="en-US" sz="1000" b="0"/>
            <a:t>242140</a:t>
          </a:r>
          <a:endParaRPr lang="en-US" sz="1050" b="1"/>
        </a:p>
      </dgm:t>
    </dgm:pt>
    <dgm:pt modelId="{8D42A11F-59C9-44B2-BDAD-AF181B5668FD}" type="parTrans" cxnId="{176ECF6C-416B-4748-9B4E-E8F030C2DF50}">
      <dgm:prSet/>
      <dgm:spPr/>
      <dgm:t>
        <a:bodyPr/>
        <a:lstStyle/>
        <a:p>
          <a:endParaRPr lang="en-GB"/>
        </a:p>
      </dgm:t>
    </dgm:pt>
    <dgm:pt modelId="{B82E4B3D-2F23-4FBE-B66C-E8CB41A73CBD}" type="sibTrans" cxnId="{176ECF6C-416B-4748-9B4E-E8F030C2DF50}">
      <dgm:prSet/>
      <dgm:spPr/>
      <dgm:t>
        <a:bodyPr/>
        <a:lstStyle/>
        <a:p>
          <a:endParaRPr lang="en-GB"/>
        </a:p>
      </dgm:t>
    </dgm:pt>
    <dgm:pt modelId="{7026F640-864F-44FD-BB4A-CD33E5F15DE0}">
      <dgm:prSet phldrT="[Text]" custT="1"/>
      <dgm:spPr>
        <a:solidFill>
          <a:schemeClr val="accent4">
            <a:lumMod val="20000"/>
            <a:lumOff val="80000"/>
          </a:schemeClr>
        </a:solidFill>
      </dgm:spPr>
      <dgm:t>
        <a:bodyPr/>
        <a:lstStyle/>
        <a:p>
          <a:r>
            <a:rPr lang="en-US" sz="1050" b="1"/>
            <a:t>Parabolic dish</a:t>
          </a:r>
          <a:br>
            <a:rPr lang="en-US" sz="1050" b="0"/>
          </a:br>
          <a:r>
            <a:rPr lang="en-US" sz="1000" b="0"/>
            <a:t>242130</a:t>
          </a:r>
          <a:endParaRPr lang="en-US" sz="1050" b="1"/>
        </a:p>
      </dgm:t>
    </dgm:pt>
    <dgm:pt modelId="{6E408EB6-AC8E-4CC8-BEC8-06F4D8061ADF}" type="parTrans" cxnId="{4F1F7678-DA00-4AE5-857F-DDD0D688FD8D}">
      <dgm:prSet/>
      <dgm:spPr/>
      <dgm:t>
        <a:bodyPr/>
        <a:lstStyle/>
        <a:p>
          <a:endParaRPr lang="en-GB"/>
        </a:p>
      </dgm:t>
    </dgm:pt>
    <dgm:pt modelId="{6F172C9C-3290-4705-ACD9-FE06C515DF0C}" type="sibTrans" cxnId="{4F1F7678-DA00-4AE5-857F-DDD0D688FD8D}">
      <dgm:prSet/>
      <dgm:spPr/>
      <dgm:t>
        <a:bodyPr/>
        <a:lstStyle/>
        <a:p>
          <a:endParaRPr lang="en-GB"/>
        </a:p>
      </dgm:t>
    </dgm:pt>
    <dgm:pt modelId="{4530D1F9-D79B-4F21-A3D8-9A72766751AB}">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fuels</a:t>
          </a:r>
          <a:br>
            <a:rPr lang="en-US" sz="1050" b="1"/>
          </a:br>
          <a:r>
            <a:rPr lang="en-US" sz="1000" b="0"/>
            <a:t>270000</a:t>
          </a:r>
          <a:endParaRPr lang="en-US" sz="1050" b="0"/>
        </a:p>
      </dgm:t>
    </dgm:pt>
    <dgm:pt modelId="{661FFE08-7AA2-45A2-B810-4C07FE722FE7}" type="parTrans" cxnId="{E243B97F-821A-4755-87CF-F0EB179B5F5C}">
      <dgm:prSet/>
      <dgm:spPr/>
      <dgm:t>
        <a:bodyPr/>
        <a:lstStyle/>
        <a:p>
          <a:endParaRPr lang="en-GB"/>
        </a:p>
      </dgm:t>
    </dgm:pt>
    <dgm:pt modelId="{5C76BF81-FE31-43E6-A125-166B01182174}" type="sibTrans" cxnId="{E243B97F-821A-4755-87CF-F0EB179B5F5C}">
      <dgm:prSet/>
      <dgm:spPr/>
      <dgm:t>
        <a:bodyPr/>
        <a:lstStyle/>
        <a:p>
          <a:endParaRPr lang="en-GB"/>
        </a:p>
      </dgm:t>
    </dgm:pt>
    <dgm:pt modelId="{BCDD699D-25B2-4814-BDDF-0F3CFE0D2496}">
      <dgm:prSet phldrT="[Text]" custT="1"/>
      <dgm:spPr>
        <a:pattFill prst="ltHorz">
          <a:fgClr>
            <a:schemeClr val="accent6">
              <a:lumMod val="20000"/>
              <a:lumOff val="80000"/>
            </a:schemeClr>
          </a:fgClr>
          <a:bgClr>
            <a:schemeClr val="bg1"/>
          </a:bgClr>
        </a:pattFill>
      </dgm:spPr>
      <dgm:t>
        <a:bodyPr/>
        <a:lstStyle/>
        <a:p>
          <a:r>
            <a:rPr lang="en-US" sz="1050" b="1"/>
            <a:t>Bio-ETBE</a:t>
          </a:r>
          <a:br>
            <a:rPr lang="en-US" sz="1050" b="1"/>
          </a:br>
          <a:r>
            <a:rPr lang="en-US" sz="1000" b="0"/>
            <a:t>262150</a:t>
          </a:r>
          <a:endParaRPr lang="en-US" sz="1050" b="0"/>
        </a:p>
      </dgm:t>
    </dgm:pt>
    <dgm:pt modelId="{C80E27A9-3396-48B6-B8C6-FA85991AB4F8}" type="parTrans" cxnId="{D01AD88D-5EED-4406-ADA7-0A71F55480F6}">
      <dgm:prSet/>
      <dgm:spPr/>
      <dgm:t>
        <a:bodyPr/>
        <a:lstStyle/>
        <a:p>
          <a:endParaRPr lang="en-GB"/>
        </a:p>
      </dgm:t>
    </dgm:pt>
    <dgm:pt modelId="{4EE088D3-1DF7-42FE-8738-EF5380A7449C}" type="sibTrans" cxnId="{D01AD88D-5EED-4406-ADA7-0A71F55480F6}">
      <dgm:prSet/>
      <dgm:spPr/>
      <dgm:t>
        <a:bodyPr/>
        <a:lstStyle/>
        <a:p>
          <a:endParaRPr lang="en-GB"/>
        </a:p>
      </dgm:t>
    </dgm:pt>
    <dgm:pt modelId="{39A16437-0264-4D44-9B1F-CB364CD15762}">
      <dgm:prSet phldrT="[Text]" custT="1"/>
      <dgm:spPr>
        <a:solidFill>
          <a:schemeClr val="accent4">
            <a:lumMod val="20000"/>
            <a:lumOff val="80000"/>
          </a:schemeClr>
        </a:solidFill>
      </dgm:spPr>
      <dgm:t>
        <a:bodyPr/>
        <a:lstStyle/>
        <a:p>
          <a:r>
            <a:rPr lang="en-US" sz="1050" b="1"/>
            <a:t>Other concentrated solar power</a:t>
          </a:r>
          <a:br>
            <a:rPr lang="en-US" sz="1050" b="1"/>
          </a:br>
          <a:r>
            <a:rPr lang="en-US" sz="1000" b="0"/>
            <a:t>242190</a:t>
          </a:r>
          <a:endParaRPr lang="en-US" sz="1100" b="1"/>
        </a:p>
      </dgm:t>
    </dgm:pt>
    <dgm:pt modelId="{F0EF17A1-AD37-4072-9CD8-307B96939FAA}" type="parTrans" cxnId="{4A5531BB-0A58-440C-827E-F6767859FFC5}">
      <dgm:prSet/>
      <dgm:spPr/>
      <dgm:t>
        <a:bodyPr/>
        <a:lstStyle/>
        <a:p>
          <a:endParaRPr lang="en-GB"/>
        </a:p>
      </dgm:t>
    </dgm:pt>
    <dgm:pt modelId="{2B1EB88C-AC08-4EF8-ADD0-858365A39344}" type="sibTrans" cxnId="{4A5531BB-0A58-440C-827E-F6767859FFC5}">
      <dgm:prSet/>
      <dgm:spPr/>
      <dgm:t>
        <a:bodyPr/>
        <a:lstStyle/>
        <a:p>
          <a:endParaRPr lang="en-GB"/>
        </a:p>
      </dgm:t>
    </dgm:pt>
    <dgm:pt modelId="{C6425DEA-6FA3-417E-B750-3540F6EE7CF3}">
      <dgm:prSet phldrT="[Text]" custT="1"/>
      <dgm:spPr>
        <a:solidFill>
          <a:srgbClr val="FFC7CE"/>
        </a:solidFill>
        <a:ln>
          <a:prstDash val="solid"/>
        </a:ln>
      </dgm:spPr>
      <dgm:t>
        <a:bodyPr/>
        <a:lstStyle/>
        <a:p>
          <a:r>
            <a:rPr lang="en-US" sz="1050" b="1"/>
            <a:t>Direct use of geothermal heat</a:t>
          </a:r>
          <a:br>
            <a:rPr lang="en-US" sz="1050" b="1"/>
          </a:br>
          <a:r>
            <a:rPr lang="en-US" sz="1000" b="0"/>
            <a:t>252000</a:t>
          </a:r>
          <a:endParaRPr lang="en-US" sz="1050" b="0"/>
        </a:p>
      </dgm:t>
    </dgm:pt>
    <dgm:pt modelId="{E5864F28-3C1A-4FC2-A916-CD915C8A8469}" type="parTrans" cxnId="{34DEA5C0-C2E9-441B-A54E-8FD1125807E3}">
      <dgm:prSet/>
      <dgm:spPr/>
      <dgm:t>
        <a:bodyPr/>
        <a:lstStyle/>
        <a:p>
          <a:endParaRPr lang="en-GB"/>
        </a:p>
      </dgm:t>
    </dgm:pt>
    <dgm:pt modelId="{A23BA2C8-C107-44FB-980F-0897402F5A07}" type="sibTrans" cxnId="{34DEA5C0-C2E9-441B-A54E-8FD1125807E3}">
      <dgm:prSet/>
      <dgm:spPr/>
      <dgm:t>
        <a:bodyPr/>
        <a:lstStyle/>
        <a:p>
          <a:endParaRPr lang="en-GB"/>
        </a:p>
      </dgm:t>
    </dgm:pt>
    <dgm:pt modelId="{CE77CF4A-19B6-4CD5-A983-704F5EDE28D0}">
      <dgm:prSet phldrT="[Text]" custT="1"/>
      <dgm:spPr>
        <a:solidFill>
          <a:schemeClr val="accent6">
            <a:lumMod val="20000"/>
            <a:lumOff val="80000"/>
          </a:schemeClr>
        </a:solidFill>
      </dgm:spPr>
      <dgm:t>
        <a:bodyPr/>
        <a:lstStyle/>
        <a:p>
          <a:pPr algn="ctr"/>
          <a:r>
            <a:rPr lang="en-US" sz="1050" b="1"/>
            <a:t>Animal residues</a:t>
          </a:r>
          <a:br>
            <a:rPr lang="en-US" sz="1050" b="1"/>
          </a:br>
          <a:r>
            <a:rPr lang="en-US" sz="1000" b="0"/>
            <a:t>261400</a:t>
          </a:r>
          <a:endParaRPr lang="en-US" sz="1050" b="0"/>
        </a:p>
      </dgm:t>
    </dgm:pt>
    <dgm:pt modelId="{8C96EFB4-025F-47A3-9E04-909CB2059DD7}" type="parTrans" cxnId="{5C2D645D-15F1-4451-A71A-61F7451D8884}">
      <dgm:prSet/>
      <dgm:spPr/>
      <dgm:t>
        <a:bodyPr/>
        <a:lstStyle/>
        <a:p>
          <a:endParaRPr lang="en-GB"/>
        </a:p>
      </dgm:t>
    </dgm:pt>
    <dgm:pt modelId="{5C34AD04-235B-41A1-9148-B6177138476F}" type="sibTrans" cxnId="{5C2D645D-15F1-4451-A71A-61F7451D8884}">
      <dgm:prSet/>
      <dgm:spPr/>
      <dgm:t>
        <a:bodyPr/>
        <a:lstStyle/>
        <a:p>
          <a:endParaRPr lang="en-GB"/>
        </a:p>
      </dgm:t>
    </dgm:pt>
    <dgm:pt modelId="{F7F9F4CE-0839-430A-B431-438E607CE798}">
      <dgm:prSet phldrT="[Text]" custT="1"/>
      <dgm:spPr>
        <a:solidFill>
          <a:schemeClr val="accent4">
            <a:lumMod val="20000"/>
            <a:lumOff val="80000"/>
          </a:schemeClr>
        </a:solidFill>
      </dgm:spPr>
      <dgm:t>
        <a:bodyPr/>
        <a:lstStyle/>
        <a:p>
          <a:r>
            <a:rPr lang="en-US" sz="1050" b="1"/>
            <a:t>Solar water heating</a:t>
          </a:r>
          <a:br>
            <a:rPr lang="en-US" sz="1050" b="1"/>
          </a:br>
          <a:r>
            <a:rPr lang="en-US" sz="1000" b="0"/>
            <a:t>242200</a:t>
          </a:r>
          <a:endParaRPr lang="en-US" sz="1050" b="0"/>
        </a:p>
      </dgm:t>
    </dgm:pt>
    <dgm:pt modelId="{41611002-A6D2-48D7-9ACC-02A7120F5D4B}" type="parTrans" cxnId="{21C64D58-1718-4D82-9655-57134C1962DD}">
      <dgm:prSet/>
      <dgm:spPr/>
      <dgm:t>
        <a:bodyPr/>
        <a:lstStyle/>
        <a:p>
          <a:endParaRPr lang="en-GB"/>
        </a:p>
      </dgm:t>
    </dgm:pt>
    <dgm:pt modelId="{0C29E16F-65F5-4249-AD72-1D0A7CFFD395}" type="sibTrans" cxnId="{21C64D58-1718-4D82-9655-57134C1962DD}">
      <dgm:prSet/>
      <dgm:spPr/>
      <dgm:t>
        <a:bodyPr/>
        <a:lstStyle/>
        <a:p>
          <a:endParaRPr lang="en-GB"/>
        </a:p>
      </dgm:t>
    </dgm:pt>
    <dgm:pt modelId="{E69890C1-B5A8-4EE6-85A3-2D7756D9244E}">
      <dgm:prSet phldrT="[Text]" custT="1"/>
      <dgm:spPr>
        <a:solidFill>
          <a:schemeClr val="accent4">
            <a:lumMod val="20000"/>
            <a:lumOff val="80000"/>
          </a:schemeClr>
        </a:solidFill>
      </dgm:spPr>
      <dgm:t>
        <a:bodyPr/>
        <a:lstStyle/>
        <a:p>
          <a:r>
            <a:rPr lang="en-US" sz="1050" b="1"/>
            <a:t>Other solar thermal energy</a:t>
          </a:r>
          <a:br>
            <a:rPr lang="en-US" sz="1050" b="0"/>
          </a:br>
          <a:r>
            <a:rPr lang="en-US" sz="1000" b="0"/>
            <a:t>242900</a:t>
          </a:r>
          <a:endParaRPr lang="en-US" sz="1050" b="1"/>
        </a:p>
      </dgm:t>
    </dgm:pt>
    <dgm:pt modelId="{65A8BBB8-93FD-4F40-900C-717A69878C5B}" type="sibTrans" cxnId="{550F1C73-7802-495C-A63A-C2BC4069E7EB}">
      <dgm:prSet/>
      <dgm:spPr/>
      <dgm:t>
        <a:bodyPr/>
        <a:lstStyle/>
        <a:p>
          <a:endParaRPr lang="en-GB"/>
        </a:p>
      </dgm:t>
    </dgm:pt>
    <dgm:pt modelId="{24D903A8-733C-4B62-A39A-F18D65C99C15}" type="parTrans" cxnId="{550F1C73-7802-495C-A63A-C2BC4069E7EB}">
      <dgm:prSet/>
      <dgm:spPr/>
      <dgm:t>
        <a:bodyPr/>
        <a:lstStyle/>
        <a:p>
          <a:endParaRPr lang="en-GB"/>
        </a:p>
      </dgm:t>
    </dgm:pt>
    <dgm:pt modelId="{8923AB61-7091-4FEB-BC6C-476E63849FCA}">
      <dgm:prSet phldrT="[Text]" custT="1"/>
      <dgm:spPr>
        <a:solidFill>
          <a:schemeClr val="accent6">
            <a:lumMod val="20000"/>
            <a:lumOff val="80000"/>
          </a:schemeClr>
        </a:solidFill>
      </dgm:spPr>
      <dgm:t>
        <a:bodyPr/>
        <a:lstStyle/>
        <a:p>
          <a:r>
            <a:rPr lang="en-US" sz="1050" b="1"/>
            <a:t>Harvested biomass</a:t>
          </a:r>
          <a:br>
            <a:rPr lang="en-US" sz="1050" b="1"/>
          </a:br>
          <a:r>
            <a:rPr lang="en-US" sz="1000" b="0"/>
            <a:t>261100</a:t>
          </a:r>
          <a:endParaRPr lang="en-US" sz="1050" b="0"/>
        </a:p>
      </dgm:t>
    </dgm:pt>
    <dgm:pt modelId="{E5A58C16-8798-45B6-8B44-C3D693F485DB}" type="parTrans" cxnId="{4D3FBB32-5BDF-4925-BB75-BB0F0533D4BF}">
      <dgm:prSet/>
      <dgm:spPr/>
      <dgm:t>
        <a:bodyPr/>
        <a:lstStyle/>
        <a:p>
          <a:endParaRPr lang="en-GB"/>
        </a:p>
      </dgm:t>
    </dgm:pt>
    <dgm:pt modelId="{01A709C3-9873-4D10-A73C-00AB39523C4D}" type="sibTrans" cxnId="{4D3FBB32-5BDF-4925-BB75-BB0F0533D4BF}">
      <dgm:prSet/>
      <dgm:spPr/>
      <dgm:t>
        <a:bodyPr/>
        <a:lstStyle/>
        <a:p>
          <a:endParaRPr lang="en-GB"/>
        </a:p>
      </dgm:t>
    </dgm:pt>
    <dgm:pt modelId="{6B75C790-037F-43B7-80EF-92C969F2F001}">
      <dgm:prSet phldrT="[Text]" custT="1"/>
      <dgm:spPr>
        <a:solidFill>
          <a:schemeClr val="accent6">
            <a:lumMod val="20000"/>
            <a:lumOff val="80000"/>
          </a:schemeClr>
        </a:solidFill>
      </dgm:spPr>
      <dgm:t>
        <a:bodyPr/>
        <a:lstStyle/>
        <a:p>
          <a:r>
            <a:rPr lang="en-US" sz="1050" b="1"/>
            <a:t>Harvest residues</a:t>
          </a:r>
          <a:br>
            <a:rPr lang="en-US" sz="1050" b="1"/>
          </a:br>
          <a:r>
            <a:rPr lang="en-US" sz="1000" b="0"/>
            <a:t>261200</a:t>
          </a:r>
          <a:endParaRPr lang="en-US" sz="1050" b="0"/>
        </a:p>
      </dgm:t>
    </dgm:pt>
    <dgm:pt modelId="{170872F0-748E-4360-8800-30064BCC9377}" type="parTrans" cxnId="{440A1923-3516-4A56-B79D-E57A89F1BEB0}">
      <dgm:prSet/>
      <dgm:spPr/>
      <dgm:t>
        <a:bodyPr/>
        <a:lstStyle/>
        <a:p>
          <a:endParaRPr lang="en-GB"/>
        </a:p>
      </dgm:t>
    </dgm:pt>
    <dgm:pt modelId="{EC389CBE-4192-4F50-8C53-E8AC9FF7DD45}" type="sibTrans" cxnId="{440A1923-3516-4A56-B79D-E57A89F1BEB0}">
      <dgm:prSet/>
      <dgm:spPr/>
      <dgm:t>
        <a:bodyPr/>
        <a:lstStyle/>
        <a:p>
          <a:endParaRPr lang="en-GB"/>
        </a:p>
      </dgm:t>
    </dgm:pt>
    <dgm:pt modelId="{0F55FE95-8893-4B7D-BDCB-FDC155E3EACC}">
      <dgm:prSet phldrT="[Text]" custT="1"/>
      <dgm:spPr>
        <a:solidFill>
          <a:schemeClr val="accent6">
            <a:lumMod val="20000"/>
            <a:lumOff val="80000"/>
          </a:schemeClr>
        </a:solidFill>
      </dgm:spPr>
      <dgm:t>
        <a:bodyPr/>
        <a:lstStyle/>
        <a:p>
          <a:r>
            <a:rPr lang="en-US" sz="1050" b="1"/>
            <a:t>Biomass processing residues</a:t>
          </a:r>
          <a:br>
            <a:rPr lang="en-US" sz="1050" b="1"/>
          </a:br>
          <a:r>
            <a:rPr lang="en-US" sz="1000" b="0"/>
            <a:t>261300</a:t>
          </a:r>
        </a:p>
      </dgm:t>
    </dgm:pt>
    <dgm:pt modelId="{120129CF-CE72-4122-BEEC-F5F43579A0DA}" type="parTrans" cxnId="{C8EC8795-2DE5-4FA7-8244-EDFF0D129D68}">
      <dgm:prSet/>
      <dgm:spPr/>
      <dgm:t>
        <a:bodyPr/>
        <a:lstStyle/>
        <a:p>
          <a:endParaRPr lang="en-GB"/>
        </a:p>
      </dgm:t>
    </dgm:pt>
    <dgm:pt modelId="{81837173-3B6C-4978-BD73-178AE6F96035}" type="sibTrans" cxnId="{C8EC8795-2DE5-4FA7-8244-EDFF0D129D68}">
      <dgm:prSet/>
      <dgm:spPr/>
      <dgm:t>
        <a:bodyPr/>
        <a:lstStyle/>
        <a:p>
          <a:endParaRPr lang="en-GB"/>
        </a:p>
      </dgm:t>
    </dgm:pt>
    <dgm:pt modelId="{44A7865B-321F-4B06-B06F-C3092D158DD7}">
      <dgm:prSet phldrT="[Text]" custT="1"/>
      <dgm:spPr>
        <a:solidFill>
          <a:schemeClr val="accent6">
            <a:lumMod val="20000"/>
            <a:lumOff val="80000"/>
          </a:schemeClr>
        </a:solidFill>
      </dgm:spPr>
      <dgm:t>
        <a:bodyPr/>
        <a:lstStyle/>
        <a:p>
          <a:r>
            <a:rPr lang="en-US" sz="1050" b="1"/>
            <a:t>Other harvested biomass</a:t>
          </a:r>
          <a:br>
            <a:rPr lang="en-US" sz="1050" b="1"/>
          </a:br>
          <a:r>
            <a:rPr lang="en-US" sz="1000" b="0"/>
            <a:t>261190</a:t>
          </a:r>
          <a:endParaRPr lang="en-US" sz="1050" b="0"/>
        </a:p>
      </dgm:t>
    </dgm:pt>
    <dgm:pt modelId="{E485F257-56AF-4ED1-8E5C-59185A20C2D8}" type="parTrans" cxnId="{E2782ADA-03BD-4A7A-8430-96264F4D6E41}">
      <dgm:prSet/>
      <dgm:spPr/>
      <dgm:t>
        <a:bodyPr/>
        <a:lstStyle/>
        <a:p>
          <a:endParaRPr lang="en-GB"/>
        </a:p>
      </dgm:t>
    </dgm:pt>
    <dgm:pt modelId="{0CEB8031-224A-4079-ABFD-FA2B534C83E7}" type="sibTrans" cxnId="{E2782ADA-03BD-4A7A-8430-96264F4D6E41}">
      <dgm:prSet/>
      <dgm:spPr/>
      <dgm:t>
        <a:bodyPr/>
        <a:lstStyle/>
        <a:p>
          <a:endParaRPr lang="en-GB"/>
        </a:p>
      </dgm:t>
    </dgm:pt>
    <dgm:pt modelId="{B3F50DDB-EF97-495B-B854-7D6C784A55DE}">
      <dgm:prSet phldrT="[Text]" custT="1"/>
      <dgm:spPr>
        <a:solidFill>
          <a:schemeClr val="accent6">
            <a:lumMod val="20000"/>
            <a:lumOff val="80000"/>
          </a:schemeClr>
        </a:solidFill>
      </dgm:spPr>
      <dgm:t>
        <a:bodyPr/>
        <a:lstStyle/>
        <a:p>
          <a:r>
            <a:rPr lang="en-US" sz="1050" b="1"/>
            <a:t>Other harvest residues</a:t>
          </a:r>
          <a:br>
            <a:rPr lang="en-US" sz="1050" b="1"/>
          </a:br>
          <a:r>
            <a:rPr lang="en-US" sz="1000" b="0"/>
            <a:t>261290</a:t>
          </a:r>
          <a:endParaRPr lang="en-US" sz="1050" b="0"/>
        </a:p>
      </dgm:t>
    </dgm:pt>
    <dgm:pt modelId="{76E10DBD-73F3-4551-8402-2FA5700A0BE1}" type="parTrans" cxnId="{E9E2F02E-B3A8-4108-BD26-A28EF70590AC}">
      <dgm:prSet/>
      <dgm:spPr/>
      <dgm:t>
        <a:bodyPr/>
        <a:lstStyle/>
        <a:p>
          <a:endParaRPr lang="en-GB"/>
        </a:p>
      </dgm:t>
    </dgm:pt>
    <dgm:pt modelId="{6C404F15-8055-4F48-A9B5-9983B41D6550}" type="sibTrans" cxnId="{E9E2F02E-B3A8-4108-BD26-A28EF70590AC}">
      <dgm:prSet/>
      <dgm:spPr/>
      <dgm:t>
        <a:bodyPr/>
        <a:lstStyle/>
        <a:p>
          <a:endParaRPr lang="en-GB"/>
        </a:p>
      </dgm:t>
    </dgm:pt>
    <dgm:pt modelId="{1F00CD85-06AD-4311-9BB0-289B41D9FE14}">
      <dgm:prSet phldrT="[Text]" custT="1"/>
      <dgm:spPr>
        <a:solidFill>
          <a:schemeClr val="accent6">
            <a:lumMod val="20000"/>
            <a:lumOff val="80000"/>
          </a:schemeClr>
        </a:solidFill>
      </dgm:spPr>
      <dgm:t>
        <a:bodyPr/>
        <a:lstStyle/>
        <a:p>
          <a:pPr algn="ctr"/>
          <a:r>
            <a:rPr lang="en-US" sz="1050" b="1"/>
            <a:t>Oil plant residues</a:t>
          </a:r>
          <a:br>
            <a:rPr lang="en-US" sz="1050" b="1"/>
          </a:br>
          <a:r>
            <a:rPr lang="en-US" sz="1000" b="0"/>
            <a:t>261360</a:t>
          </a:r>
          <a:endParaRPr lang="en-US" sz="1050" b="0"/>
        </a:p>
      </dgm:t>
    </dgm:pt>
    <dgm:pt modelId="{578A1195-DDDD-4095-B511-8A9209306ED6}" type="parTrans" cxnId="{57D4D17D-E5B7-498B-B762-6144A8BAD38C}">
      <dgm:prSet/>
      <dgm:spPr/>
      <dgm:t>
        <a:bodyPr/>
        <a:lstStyle/>
        <a:p>
          <a:endParaRPr lang="en-GB"/>
        </a:p>
      </dgm:t>
    </dgm:pt>
    <dgm:pt modelId="{95CB33A5-D8F9-47F9-AD15-3653358530D9}" type="sibTrans" cxnId="{57D4D17D-E5B7-498B-B762-6144A8BAD38C}">
      <dgm:prSet/>
      <dgm:spPr/>
      <dgm:t>
        <a:bodyPr/>
        <a:lstStyle/>
        <a:p>
          <a:endParaRPr lang="en-GB"/>
        </a:p>
      </dgm:t>
    </dgm:pt>
    <dgm:pt modelId="{20723C5C-EB4F-4AA1-88A2-E6D367D78F3E}">
      <dgm:prSet phldrT="[Text]" custT="1"/>
      <dgm:spPr>
        <a:solidFill>
          <a:schemeClr val="accent6">
            <a:lumMod val="20000"/>
            <a:lumOff val="80000"/>
          </a:schemeClr>
        </a:solidFill>
      </dgm:spPr>
      <dgm:t>
        <a:bodyPr/>
        <a:lstStyle/>
        <a:p>
          <a:pPr algn="ctr"/>
          <a:r>
            <a:rPr lang="en-US" sz="1050" b="1"/>
            <a:t>Other biomass processing residues</a:t>
          </a:r>
          <a:br>
            <a:rPr lang="en-US" sz="1050" b="0"/>
          </a:br>
          <a:r>
            <a:rPr lang="en-US" sz="1000" b="0"/>
            <a:t>261390</a:t>
          </a:r>
          <a:endParaRPr lang="en-US" sz="1050" b="0"/>
        </a:p>
      </dgm:t>
    </dgm:pt>
    <dgm:pt modelId="{2E13DEC0-8B25-4620-8220-0C46F408AA93}" type="parTrans" cxnId="{9B150D18-5CDC-409B-91CA-59D441BFFE82}">
      <dgm:prSet/>
      <dgm:spPr/>
      <dgm:t>
        <a:bodyPr/>
        <a:lstStyle/>
        <a:p>
          <a:endParaRPr lang="en-GB"/>
        </a:p>
      </dgm:t>
    </dgm:pt>
    <dgm:pt modelId="{228715B9-EB32-4D56-8BF7-AE843B04A90D}" type="sibTrans" cxnId="{9B150D18-5CDC-409B-91CA-59D441BFFE82}">
      <dgm:prSet/>
      <dgm:spPr/>
      <dgm:t>
        <a:bodyPr/>
        <a:lstStyle/>
        <a:p>
          <a:endParaRPr lang="en-GB"/>
        </a:p>
      </dgm:t>
    </dgm:pt>
    <dgm:pt modelId="{4810ACD6-252C-478A-A613-29B71C31ABE2}">
      <dgm:prSet phldrT="[Text]" custT="1"/>
      <dgm:spPr>
        <a:solidFill>
          <a:schemeClr val="accent6">
            <a:lumMod val="20000"/>
            <a:lumOff val="80000"/>
          </a:schemeClr>
        </a:solidFill>
      </dgm:spPr>
      <dgm:t>
        <a:bodyPr/>
        <a:lstStyle/>
        <a:p>
          <a:pPr algn="ctr"/>
          <a:r>
            <a:rPr lang="en-US" sz="1050" b="1"/>
            <a:t>Manure/dung</a:t>
          </a:r>
          <a:br>
            <a:rPr lang="en-US" sz="1050" b="1"/>
          </a:br>
          <a:r>
            <a:rPr lang="en-US" sz="1000" b="0"/>
            <a:t>261410</a:t>
          </a:r>
          <a:endParaRPr lang="en-US" sz="1050" b="0"/>
        </a:p>
      </dgm:t>
    </dgm:pt>
    <dgm:pt modelId="{138AAEB8-E9B9-4F6E-9F63-8D9C51266EC0}" type="parTrans" cxnId="{B55CED5D-C0E4-4A20-9004-D60A44FF7913}">
      <dgm:prSet/>
      <dgm:spPr/>
      <dgm:t>
        <a:bodyPr/>
        <a:lstStyle/>
        <a:p>
          <a:endParaRPr lang="en-GB"/>
        </a:p>
      </dgm:t>
    </dgm:pt>
    <dgm:pt modelId="{961D5806-624D-4DB7-8672-EBEEE73EC3C7}" type="sibTrans" cxnId="{B55CED5D-C0E4-4A20-9004-D60A44FF7913}">
      <dgm:prSet/>
      <dgm:spPr/>
      <dgm:t>
        <a:bodyPr/>
        <a:lstStyle/>
        <a:p>
          <a:endParaRPr lang="en-GB"/>
        </a:p>
      </dgm:t>
    </dgm:pt>
    <dgm:pt modelId="{AA44B941-0A54-4D7A-9B2A-D755ED061030}">
      <dgm:prSet phldrT="[Text]" custT="1"/>
      <dgm:spPr>
        <a:solidFill>
          <a:schemeClr val="accent6">
            <a:lumMod val="20000"/>
            <a:lumOff val="80000"/>
          </a:schemeClr>
        </a:solidFill>
      </dgm:spPr>
      <dgm:t>
        <a:bodyPr/>
        <a:lstStyle/>
        <a:p>
          <a:pPr algn="ctr"/>
          <a:r>
            <a:rPr lang="en-US" sz="1050" b="1"/>
            <a:t>Animal processing residues</a:t>
          </a:r>
          <a:br>
            <a:rPr lang="en-US" sz="1050" b="1"/>
          </a:br>
          <a:r>
            <a:rPr lang="en-US" sz="1000" b="0"/>
            <a:t>261420</a:t>
          </a:r>
          <a:endParaRPr lang="en-US" sz="1050" b="0"/>
        </a:p>
      </dgm:t>
    </dgm:pt>
    <dgm:pt modelId="{A0F0EA8E-B803-447C-B926-3AD3AD68F037}" type="parTrans" cxnId="{8C146CC2-F4B7-4188-A641-55E32259EF1A}">
      <dgm:prSet/>
      <dgm:spPr/>
      <dgm:t>
        <a:bodyPr/>
        <a:lstStyle/>
        <a:p>
          <a:endParaRPr lang="en-GB"/>
        </a:p>
      </dgm:t>
    </dgm:pt>
    <dgm:pt modelId="{87881D9A-972A-4874-9777-8411E6092D2D}" type="sibTrans" cxnId="{8C146CC2-F4B7-4188-A641-55E32259EF1A}">
      <dgm:prSet/>
      <dgm:spPr/>
      <dgm:t>
        <a:bodyPr/>
        <a:lstStyle/>
        <a:p>
          <a:endParaRPr lang="en-GB"/>
        </a:p>
      </dgm:t>
    </dgm:pt>
    <dgm:pt modelId="{7D092BB6-0004-49F0-A33B-2302CAB2CF02}">
      <dgm:prSet phldrT="[Text]" custT="1"/>
      <dgm:spPr>
        <a:solidFill>
          <a:schemeClr val="accent6">
            <a:lumMod val="20000"/>
            <a:lumOff val="80000"/>
          </a:schemeClr>
        </a:solidFill>
      </dgm:spPr>
      <dgm:t>
        <a:bodyPr/>
        <a:lstStyle/>
        <a:p>
          <a:pPr algn="ctr"/>
          <a:r>
            <a:rPr lang="en-US" sz="1050" b="1"/>
            <a:t>Other animal residues</a:t>
          </a:r>
          <a:br>
            <a:rPr lang="en-US" sz="1050" b="1"/>
          </a:br>
          <a:r>
            <a:rPr lang="en-US" sz="1000" b="0"/>
            <a:t>261490</a:t>
          </a:r>
          <a:endParaRPr lang="en-US" sz="1050" b="0"/>
        </a:p>
      </dgm:t>
    </dgm:pt>
    <dgm:pt modelId="{94F05D89-7EFB-4284-BE14-824E2C91859C}" type="parTrans" cxnId="{2FF5D0C6-DFA8-40C0-9EA8-E45763186336}">
      <dgm:prSet/>
      <dgm:spPr/>
      <dgm:t>
        <a:bodyPr/>
        <a:lstStyle/>
        <a:p>
          <a:endParaRPr lang="en-GB"/>
        </a:p>
      </dgm:t>
    </dgm:pt>
    <dgm:pt modelId="{87F605AF-C5BE-4197-B795-C66BE9EF236E}" type="sibTrans" cxnId="{2FF5D0C6-DFA8-40C0-9EA8-E45763186336}">
      <dgm:prSet/>
      <dgm:spPr/>
      <dgm:t>
        <a:bodyPr/>
        <a:lstStyle/>
        <a:p>
          <a:endParaRPr lang="en-GB"/>
        </a:p>
      </dgm:t>
    </dgm:pt>
    <dgm:pt modelId="{54F7D859-F39B-4AE6-8563-DAEB118DFA01}">
      <dgm:prSet phldrT="[Text]" custT="1"/>
      <dgm:spPr>
        <a:pattFill prst="ltHorz">
          <a:fgClr>
            <a:schemeClr val="accent6">
              <a:lumMod val="20000"/>
              <a:lumOff val="80000"/>
            </a:schemeClr>
          </a:fgClr>
          <a:bgClr>
            <a:schemeClr val="bg1"/>
          </a:bgClr>
        </a:pattFill>
      </dgm:spPr>
      <dgm:t>
        <a:bodyPr/>
        <a:lstStyle/>
        <a:p>
          <a:r>
            <a:rPr lang="en-US" sz="1050" b="1"/>
            <a:t>Other biogasolines</a:t>
          </a:r>
          <a:br>
            <a:rPr lang="en-US" sz="1050" b="1"/>
          </a:br>
          <a:r>
            <a:rPr lang="en-US" sz="1000" b="0"/>
            <a:t>262190</a:t>
          </a:r>
          <a:endParaRPr lang="en-US" sz="1050" b="0"/>
        </a:p>
      </dgm:t>
    </dgm:pt>
    <dgm:pt modelId="{31F88A8F-76C0-4CBA-81EB-8098A536A7D9}" type="parTrans" cxnId="{ADB0D406-A6FD-47BD-A8FD-548CF4DCD40F}">
      <dgm:prSet/>
      <dgm:spPr/>
      <dgm:t>
        <a:bodyPr/>
        <a:lstStyle/>
        <a:p>
          <a:endParaRPr lang="en-GB"/>
        </a:p>
      </dgm:t>
    </dgm:pt>
    <dgm:pt modelId="{7D86B283-43C4-4E16-A9CE-694CA7DC85A0}" type="sibTrans" cxnId="{ADB0D406-A6FD-47BD-A8FD-548CF4DCD40F}">
      <dgm:prSet/>
      <dgm:spPr/>
      <dgm:t>
        <a:bodyPr/>
        <a:lstStyle/>
        <a:p>
          <a:endParaRPr lang="en-GB"/>
        </a:p>
      </dgm:t>
    </dgm:pt>
    <dgm:pt modelId="{48C789E9-31B2-4DF5-877F-2BBCF314ECF3}">
      <dgm:prSet phldrT="[Text]" custT="1"/>
      <dgm:spPr>
        <a:pattFill prst="ltHorz">
          <a:fgClr>
            <a:schemeClr val="accent6">
              <a:lumMod val="20000"/>
              <a:lumOff val="80000"/>
            </a:schemeClr>
          </a:fgClr>
          <a:bgClr>
            <a:schemeClr val="bg1"/>
          </a:bgClr>
        </a:pattFill>
      </dgm:spPr>
      <dgm:t>
        <a:bodyPr/>
        <a:lstStyle/>
        <a:p>
          <a:r>
            <a:rPr lang="en-US" sz="1050" b="1"/>
            <a:t>Straight vegetable oil</a:t>
          </a:r>
          <a:br>
            <a:rPr lang="en-US" sz="1050" b="1"/>
          </a:br>
          <a:r>
            <a:rPr lang="en-US" sz="1000" b="0"/>
            <a:t>262240</a:t>
          </a:r>
          <a:endParaRPr lang="en-US" sz="1050" b="0"/>
        </a:p>
      </dgm:t>
    </dgm:pt>
    <dgm:pt modelId="{4AA10C4C-F20A-4062-9BC8-5E15112BBC86}" type="parTrans" cxnId="{5CFD0C26-A5A3-43E5-93A8-0A870A38054C}">
      <dgm:prSet/>
      <dgm:spPr/>
      <dgm:t>
        <a:bodyPr/>
        <a:lstStyle/>
        <a:p>
          <a:endParaRPr lang="en-GB"/>
        </a:p>
      </dgm:t>
    </dgm:pt>
    <dgm:pt modelId="{D13C6519-854D-4E53-8AF6-9DA606749121}" type="sibTrans" cxnId="{5CFD0C26-A5A3-43E5-93A8-0A870A38054C}">
      <dgm:prSet/>
      <dgm:spPr/>
      <dgm:t>
        <a:bodyPr/>
        <a:lstStyle/>
        <a:p>
          <a:endParaRPr lang="en-GB"/>
        </a:p>
      </dgm:t>
    </dgm:pt>
    <dgm:pt modelId="{E74780CF-0CB3-4F83-8FA4-5E3EEB557BE4}">
      <dgm:prSet phldrT="[Text]" custT="1"/>
      <dgm:spPr>
        <a:pattFill prst="ltHorz">
          <a:fgClr>
            <a:schemeClr val="accent6">
              <a:lumMod val="20000"/>
              <a:lumOff val="80000"/>
            </a:schemeClr>
          </a:fgClr>
          <a:bgClr>
            <a:schemeClr val="bg1"/>
          </a:bgClr>
        </a:pattFill>
      </dgm:spPr>
      <dgm:t>
        <a:bodyPr/>
        <a:lstStyle/>
        <a:p>
          <a:r>
            <a:rPr lang="en-US" sz="1050" b="1"/>
            <a:t>Other biodiesels</a:t>
          </a:r>
          <a:br>
            <a:rPr lang="en-US" sz="1050" b="1"/>
          </a:br>
          <a:r>
            <a:rPr lang="en-US" sz="1000" b="0"/>
            <a:t>262290</a:t>
          </a:r>
          <a:endParaRPr lang="en-US" sz="1050" b="0"/>
        </a:p>
      </dgm:t>
    </dgm:pt>
    <dgm:pt modelId="{BA336FCC-ADB8-4A51-8423-33B47C94A9E4}" type="parTrans" cxnId="{76C26A4B-DB79-46DC-8298-D431EA5F57AD}">
      <dgm:prSet/>
      <dgm:spPr/>
      <dgm:t>
        <a:bodyPr/>
        <a:lstStyle/>
        <a:p>
          <a:endParaRPr lang="en-GB"/>
        </a:p>
      </dgm:t>
    </dgm:pt>
    <dgm:pt modelId="{3B8ADFAA-5E15-46DB-A733-39ABE41411C7}" type="sibTrans" cxnId="{76C26A4B-DB79-46DC-8298-D431EA5F57AD}">
      <dgm:prSet/>
      <dgm:spPr/>
      <dgm:t>
        <a:bodyPr/>
        <a:lstStyle/>
        <a:p>
          <a:endParaRPr lang="en-GB"/>
        </a:p>
      </dgm:t>
    </dgm:pt>
    <dgm:pt modelId="{044F81DB-AA8D-4DF9-A880-D3CA808C2F04}">
      <dgm:prSet phldrT="[Text]" custT="1"/>
      <dgm:spPr>
        <a:pattFill prst="ltHorz">
          <a:fgClr>
            <a:schemeClr val="accent6">
              <a:lumMod val="20000"/>
              <a:lumOff val="80000"/>
            </a:schemeClr>
          </a:fgClr>
          <a:bgClr>
            <a:schemeClr val="bg1"/>
          </a:bgClr>
        </a:pattFill>
      </dgm:spPr>
      <dgm:t>
        <a:bodyPr/>
        <a:lstStyle/>
        <a:p>
          <a:r>
            <a:rPr lang="en-US" sz="1050" b="1"/>
            <a:t>Vegetal residue biogas</a:t>
          </a:r>
          <a:br>
            <a:rPr lang="en-US" sz="1050" b="1"/>
          </a:br>
          <a:r>
            <a:rPr lang="en-US" sz="1000" b="0"/>
            <a:t>263140</a:t>
          </a:r>
          <a:endParaRPr lang="en-US" sz="1050" b="0"/>
        </a:p>
      </dgm:t>
    </dgm:pt>
    <dgm:pt modelId="{F0FC0A44-2E99-42D2-A1E3-031B70FD1F49}" type="parTrans" cxnId="{9E4BEC64-4420-4F0C-930D-137FD036A773}">
      <dgm:prSet/>
      <dgm:spPr/>
      <dgm:t>
        <a:bodyPr/>
        <a:lstStyle/>
        <a:p>
          <a:endParaRPr lang="en-GB"/>
        </a:p>
      </dgm:t>
    </dgm:pt>
    <dgm:pt modelId="{359D0AC8-E3F9-4F02-BDA4-C7FFCDAB4BEC}" type="sibTrans" cxnId="{9E4BEC64-4420-4F0C-930D-137FD036A773}">
      <dgm:prSet/>
      <dgm:spPr/>
      <dgm:t>
        <a:bodyPr/>
        <a:lstStyle/>
        <a:p>
          <a:endParaRPr lang="en-GB"/>
        </a:p>
      </dgm:t>
    </dgm:pt>
    <dgm:pt modelId="{4D4E1A9F-02D8-41E5-9746-F410EC7C0753}">
      <dgm:prSet phldrT="[Text]" custT="1"/>
      <dgm:spPr>
        <a:solidFill>
          <a:schemeClr val="bg2"/>
        </a:solidFill>
      </dgm:spPr>
      <dgm:t>
        <a:bodyPr/>
        <a:lstStyle/>
        <a:p>
          <a:r>
            <a:rPr lang="en-US" sz="1050" b="1">
              <a:solidFill>
                <a:sysClr val="windowText" lastClr="000000"/>
              </a:solidFill>
            </a:rPr>
            <a:t>Oil shale/sands</a:t>
          </a:r>
          <a:br>
            <a:rPr lang="en-US" sz="1050" b="1">
              <a:solidFill>
                <a:sysClr val="windowText" lastClr="000000"/>
              </a:solidFill>
            </a:rPr>
          </a:br>
          <a:r>
            <a:rPr lang="en-US" sz="1000" b="0">
              <a:solidFill>
                <a:sysClr val="windowText" lastClr="000000"/>
              </a:solidFill>
            </a:rPr>
            <a:t>115000</a:t>
          </a:r>
          <a:endParaRPr lang="en-US" sz="1050" b="0">
            <a:solidFill>
              <a:sysClr val="windowText" lastClr="000000"/>
            </a:solidFill>
          </a:endParaRPr>
        </a:p>
      </dgm:t>
    </dgm:pt>
    <dgm:pt modelId="{88EFE5EA-D955-4054-8F24-6A4F8979421C}" type="parTrans" cxnId="{97EE5144-CAF6-448F-9EE4-07A329B93732}">
      <dgm:prSet/>
      <dgm:spPr/>
      <dgm:t>
        <a:bodyPr/>
        <a:lstStyle/>
        <a:p>
          <a:endParaRPr lang="en-GB"/>
        </a:p>
      </dgm:t>
    </dgm:pt>
    <dgm:pt modelId="{59C1EB04-9182-4E6F-B3F4-E8C941F909FB}" type="sibTrans" cxnId="{97EE5144-CAF6-448F-9EE4-07A329B93732}">
      <dgm:prSet/>
      <dgm:spPr/>
      <dgm:t>
        <a:bodyPr/>
        <a:lstStyle/>
        <a:p>
          <a:endParaRPr lang="en-GB"/>
        </a:p>
      </dgm:t>
    </dgm:pt>
    <dgm:pt modelId="{72F3D303-0065-410A-A999-86607290AFCA}">
      <dgm:prSet phldrT="[Text]" custT="1"/>
      <dgm:spPr>
        <a:solidFill>
          <a:schemeClr val="accent1">
            <a:lumMod val="20000"/>
            <a:lumOff val="80000"/>
          </a:schemeClr>
        </a:solidFill>
        <a:ln>
          <a:prstDash val="solid"/>
        </a:ln>
      </dgm:spPr>
      <dgm:t>
        <a:bodyPr lIns="0" tIns="0" rIns="0" bIns="0"/>
        <a:lstStyle/>
        <a:p>
          <a:r>
            <a:rPr lang="en-US" sz="1400" b="1">
              <a:solidFill>
                <a:sysClr val="windowText" lastClr="000000"/>
              </a:solidFill>
            </a:rPr>
            <a:t>Energy</a:t>
          </a:r>
          <a:br>
            <a:rPr lang="en-US" sz="1400" b="1">
              <a:solidFill>
                <a:sysClr val="windowText" lastClr="000000"/>
              </a:solidFill>
            </a:rPr>
          </a:br>
          <a:r>
            <a:rPr lang="en-US" sz="1200" b="0">
              <a:solidFill>
                <a:sysClr val="windowText" lastClr="000000"/>
              </a:solidFill>
            </a:rPr>
            <a:t>900000</a:t>
          </a:r>
          <a:endParaRPr lang="en-US" sz="1400" b="0">
            <a:solidFill>
              <a:sysClr val="windowText" lastClr="000000"/>
            </a:solidFill>
          </a:endParaRPr>
        </a:p>
      </dgm:t>
    </dgm:pt>
    <dgm:pt modelId="{52D158F7-095D-40F5-B300-7B3852EFA004}" type="parTrans" cxnId="{2A217850-0269-40FB-AB80-25B14CDCF605}">
      <dgm:prSet/>
      <dgm:spPr/>
      <dgm:t>
        <a:bodyPr/>
        <a:lstStyle/>
        <a:p>
          <a:endParaRPr lang="en-GB"/>
        </a:p>
      </dgm:t>
    </dgm:pt>
    <dgm:pt modelId="{E0175852-6281-448B-834F-A80A1C0505AD}" type="sibTrans" cxnId="{2A217850-0269-40FB-AB80-25B14CDCF605}">
      <dgm:prSet/>
      <dgm:spPr/>
      <dgm:t>
        <a:bodyPr/>
        <a:lstStyle/>
        <a:p>
          <a:endParaRPr lang="en-GB"/>
        </a:p>
      </dgm:t>
    </dgm:pt>
    <dgm:pt modelId="{19850839-240C-410A-936D-7830E2F30E11}">
      <dgm:prSet phldrT="[Text]" custT="1"/>
      <dgm:spPr>
        <a:solidFill>
          <a:schemeClr val="bg2"/>
        </a:solidFill>
      </dgm:spPr>
      <dgm:t>
        <a:bodyPr/>
        <a:lstStyle/>
        <a:p>
          <a:r>
            <a:rPr lang="en-US" sz="1050" b="1">
              <a:solidFill>
                <a:sysClr val="windowText" lastClr="000000"/>
              </a:solidFill>
            </a:rPr>
            <a:t>Other primary fossil fuels</a:t>
          </a:r>
          <a:br>
            <a:rPr lang="en-US" sz="1050" b="1">
              <a:solidFill>
                <a:sysClr val="windowText" lastClr="000000"/>
              </a:solidFill>
            </a:rPr>
          </a:br>
          <a:r>
            <a:rPr lang="en-US" sz="1000" b="0">
              <a:solidFill>
                <a:sysClr val="windowText" lastClr="000000"/>
              </a:solidFill>
            </a:rPr>
            <a:t>119100</a:t>
          </a:r>
          <a:endParaRPr lang="en-US" sz="1050" b="0">
            <a:solidFill>
              <a:sysClr val="windowText" lastClr="000000"/>
            </a:solidFill>
          </a:endParaRPr>
        </a:p>
      </dgm:t>
    </dgm:pt>
    <dgm:pt modelId="{EA63679F-CE4F-456D-A474-D258EF160DC4}" type="parTrans" cxnId="{23DA2973-2ABF-4928-8ABC-B80525E19093}">
      <dgm:prSet/>
      <dgm:spPr/>
      <dgm:t>
        <a:bodyPr/>
        <a:lstStyle/>
        <a:p>
          <a:endParaRPr lang="en-GB"/>
        </a:p>
      </dgm:t>
    </dgm:pt>
    <dgm:pt modelId="{8CC113EC-86FA-4F01-AE6E-1FBAD6D009DF}" type="sibTrans" cxnId="{23DA2973-2ABF-4928-8ABC-B80525E19093}">
      <dgm:prSet/>
      <dgm:spPr/>
      <dgm:t>
        <a:bodyPr/>
        <a:lstStyle/>
        <a:p>
          <a:endParaRPr lang="en-GB"/>
        </a:p>
      </dgm:t>
    </dgm:pt>
    <dgm:pt modelId="{25BFED4C-FFDC-4FF8-98DF-2DC76BD9FE4E}">
      <dgm:prSet phldrT="[Text]" custT="1"/>
      <dgm:spPr>
        <a:pattFill prst="ltDnDiag">
          <a:fgClr>
            <a:schemeClr val="bg2"/>
          </a:fgClr>
          <a:bgClr>
            <a:schemeClr val="bg1"/>
          </a:bgClr>
        </a:pattFill>
      </dgm:spPr>
      <dgm:t>
        <a:bodyPr/>
        <a:lstStyle/>
        <a:p>
          <a:r>
            <a:rPr lang="en-US" sz="1050" b="1">
              <a:solidFill>
                <a:sysClr val="windowText" lastClr="000000"/>
              </a:solidFill>
            </a:rPr>
            <a:t>Other fossil fuel products </a:t>
          </a:r>
          <a:br>
            <a:rPr lang="en-US" sz="1050" b="1">
              <a:solidFill>
                <a:sysClr val="windowText" lastClr="000000"/>
              </a:solidFill>
            </a:rPr>
          </a:br>
          <a:r>
            <a:rPr lang="en-US" sz="1000" b="0">
              <a:solidFill>
                <a:sysClr val="windowText" lastClr="000000"/>
              </a:solidFill>
            </a:rPr>
            <a:t>119200</a:t>
          </a:r>
          <a:endParaRPr lang="en-US" sz="1050" b="0">
            <a:solidFill>
              <a:sysClr val="windowText" lastClr="000000"/>
            </a:solidFill>
          </a:endParaRPr>
        </a:p>
      </dgm:t>
    </dgm:pt>
    <dgm:pt modelId="{3507EBDC-C49E-4E2C-8419-BCF61C768C03}" type="parTrans" cxnId="{22F85475-AEA4-43FA-971C-FEE810F8624B}">
      <dgm:prSet/>
      <dgm:spPr/>
      <dgm:t>
        <a:bodyPr/>
        <a:lstStyle/>
        <a:p>
          <a:endParaRPr lang="en-GB"/>
        </a:p>
      </dgm:t>
    </dgm:pt>
    <dgm:pt modelId="{2928BFD3-D50C-4C8E-A0FC-3054D314A942}" type="sibTrans" cxnId="{22F85475-AEA4-43FA-971C-FEE810F8624B}">
      <dgm:prSet/>
      <dgm:spPr/>
      <dgm:t>
        <a:bodyPr/>
        <a:lstStyle/>
        <a:p>
          <a:endParaRPr lang="en-GB"/>
        </a:p>
      </dgm:t>
    </dgm:pt>
    <dgm:pt modelId="{2AFBB642-F300-4348-9BA8-7043A63D420A}">
      <dgm:prSet phldrT="[Text]" custT="1"/>
      <dgm:spPr>
        <a:solidFill>
          <a:schemeClr val="bg2"/>
        </a:solidFill>
      </dgm:spPr>
      <dgm:t>
        <a:bodyPr/>
        <a:lstStyle/>
        <a:p>
          <a:r>
            <a:rPr lang="en-US" sz="1050" b="1">
              <a:solidFill>
                <a:sysClr val="windowText" lastClr="000000"/>
              </a:solidFill>
            </a:rPr>
            <a:t>Other fossil fuels n.e.s.</a:t>
          </a:r>
          <a:br>
            <a:rPr lang="en-US" sz="1050" b="1">
              <a:solidFill>
                <a:sysClr val="windowText" lastClr="000000"/>
              </a:solidFill>
            </a:rPr>
          </a:br>
          <a:r>
            <a:rPr lang="en-US" sz="1000" b="0">
              <a:solidFill>
                <a:sysClr val="windowText" lastClr="000000"/>
              </a:solidFill>
            </a:rPr>
            <a:t>119900</a:t>
          </a:r>
          <a:endParaRPr lang="en-US" sz="1050" b="0">
            <a:solidFill>
              <a:sysClr val="windowText" lastClr="000000"/>
            </a:solidFill>
          </a:endParaRPr>
        </a:p>
      </dgm:t>
    </dgm:pt>
    <dgm:pt modelId="{5565E615-4FA5-4C4C-B647-CD16C4654733}" type="parTrans" cxnId="{AADE501C-74D7-44DE-9CC9-E998ADF64F8F}">
      <dgm:prSet/>
      <dgm:spPr/>
      <dgm:t>
        <a:bodyPr/>
        <a:lstStyle/>
        <a:p>
          <a:endParaRPr lang="en-GB"/>
        </a:p>
      </dgm:t>
    </dgm:pt>
    <dgm:pt modelId="{ACEB78D6-942F-4CFF-9FE2-7CD26F633982}" type="sibTrans" cxnId="{AADE501C-74D7-44DE-9CC9-E998ADF64F8F}">
      <dgm:prSet/>
      <dgm:spPr/>
      <dgm:t>
        <a:bodyPr/>
        <a:lstStyle/>
        <a:p>
          <a:endParaRPr lang="en-GB"/>
        </a:p>
      </dgm:t>
    </dgm:pt>
    <dgm:pt modelId="{734C8B5F-9381-487F-9E6B-C9F554DA0E0F}">
      <dgm:prSet phldrT="[Text]" custT="1"/>
      <dgm:spPr>
        <a:pattFill prst="ltUpDiag">
          <a:fgClr>
            <a:srgbClr val="FFFF00"/>
          </a:fgClr>
          <a:bgClr>
            <a:schemeClr val="bg1"/>
          </a:bgClr>
        </a:pattFill>
      </dgm:spPr>
      <dgm:t>
        <a:bodyPr/>
        <a:lstStyle/>
        <a:p>
          <a:r>
            <a:rPr lang="en-US" sz="1200" b="1"/>
            <a:t>Energy storage</a:t>
          </a:r>
          <a:br>
            <a:rPr lang="en-US" sz="1100" b="1"/>
          </a:br>
          <a:r>
            <a:rPr lang="en-US" sz="1100" b="0"/>
            <a:t>300000</a:t>
          </a:r>
        </a:p>
      </dgm:t>
    </dgm:pt>
    <dgm:pt modelId="{7F6B50DA-6284-485F-85DE-99ABCE6CFEC4}" type="parTrans" cxnId="{B41A42FB-DA9D-4CA1-B25B-64B4C9321871}">
      <dgm:prSet/>
      <dgm:spPr>
        <a:ln>
          <a:prstDash val="dash"/>
        </a:ln>
      </dgm:spPr>
      <dgm:t>
        <a:bodyPr/>
        <a:lstStyle/>
        <a:p>
          <a:endParaRPr lang="en-GB"/>
        </a:p>
      </dgm:t>
    </dgm:pt>
    <dgm:pt modelId="{21F6C1EF-03D4-434C-B7A5-E025AC472045}" type="sibTrans" cxnId="{B41A42FB-DA9D-4CA1-B25B-64B4C9321871}">
      <dgm:prSet/>
      <dgm:spPr/>
      <dgm:t>
        <a:bodyPr/>
        <a:lstStyle/>
        <a:p>
          <a:endParaRPr lang="en-GB"/>
        </a:p>
      </dgm:t>
    </dgm:pt>
    <dgm:pt modelId="{F1E11E84-55E5-4A33-9124-2EED04F86C74}">
      <dgm:prSet phldrT="[Text]" custT="1"/>
      <dgm:spPr>
        <a:pattFill prst="ltUpDiag">
          <a:fgClr>
            <a:srgbClr val="FFFF00"/>
          </a:fgClr>
          <a:bgClr>
            <a:schemeClr val="bg1"/>
          </a:bgClr>
        </a:pattFill>
      </dgm:spPr>
      <dgm:t>
        <a:bodyPr/>
        <a:lstStyle/>
        <a:p>
          <a:r>
            <a:rPr lang="en-US" sz="1050" b="1"/>
            <a:t>Electrochemical storage</a:t>
          </a:r>
          <a:br>
            <a:rPr lang="en-US" sz="1050" b="1"/>
          </a:br>
          <a:r>
            <a:rPr lang="en-US" sz="1000" b="0"/>
            <a:t>320000</a:t>
          </a:r>
          <a:endParaRPr lang="en-US" sz="1050" b="0"/>
        </a:p>
      </dgm:t>
    </dgm:pt>
    <dgm:pt modelId="{3844977A-B4C0-42EF-B4BD-68BBDFD4BC2F}" type="parTrans" cxnId="{DD83EC40-0082-4C56-B0E8-E9B7BA203FFC}">
      <dgm:prSet/>
      <dgm:spPr/>
      <dgm:t>
        <a:bodyPr/>
        <a:lstStyle/>
        <a:p>
          <a:endParaRPr lang="en-GB"/>
        </a:p>
      </dgm:t>
    </dgm:pt>
    <dgm:pt modelId="{B99A7B98-0C7D-4991-8505-37415B032A9E}" type="sibTrans" cxnId="{DD83EC40-0082-4C56-B0E8-E9B7BA203FFC}">
      <dgm:prSet/>
      <dgm:spPr/>
      <dgm:t>
        <a:bodyPr/>
        <a:lstStyle/>
        <a:p>
          <a:endParaRPr lang="en-GB"/>
        </a:p>
      </dgm:t>
    </dgm:pt>
    <dgm:pt modelId="{04D519F8-B01A-4986-A285-EE31BD737934}">
      <dgm:prSet phldrT="[Text]" custT="1"/>
      <dgm:spPr>
        <a:pattFill prst="ltUpDiag">
          <a:fgClr>
            <a:srgbClr val="FFFF00"/>
          </a:fgClr>
          <a:bgClr>
            <a:schemeClr val="bg1"/>
          </a:bgClr>
        </a:pattFill>
      </dgm:spPr>
      <dgm:t>
        <a:bodyPr/>
        <a:lstStyle/>
        <a:p>
          <a:r>
            <a:rPr lang="en-US" sz="1050" b="1"/>
            <a:t>Mechanical storage</a:t>
          </a:r>
          <a:br>
            <a:rPr lang="en-US" sz="1050" b="1"/>
          </a:br>
          <a:r>
            <a:rPr lang="en-US" sz="1000" b="0"/>
            <a:t>340000</a:t>
          </a:r>
          <a:endParaRPr lang="en-US" sz="1050" b="0"/>
        </a:p>
      </dgm:t>
    </dgm:pt>
    <dgm:pt modelId="{C1D0219A-8019-4598-AB73-BCC57F4403BF}" type="parTrans" cxnId="{9751877A-63C2-4739-8DEC-6E221CE94374}">
      <dgm:prSet/>
      <dgm:spPr/>
      <dgm:t>
        <a:bodyPr/>
        <a:lstStyle/>
        <a:p>
          <a:endParaRPr lang="en-GB"/>
        </a:p>
      </dgm:t>
    </dgm:pt>
    <dgm:pt modelId="{F08403C6-7EAC-455C-B20D-B1AE86D1DED2}" type="sibTrans" cxnId="{9751877A-63C2-4739-8DEC-6E221CE94374}">
      <dgm:prSet/>
      <dgm:spPr/>
      <dgm:t>
        <a:bodyPr/>
        <a:lstStyle/>
        <a:p>
          <a:endParaRPr lang="en-GB"/>
        </a:p>
      </dgm:t>
    </dgm:pt>
    <dgm:pt modelId="{FD24B971-6079-4D0F-974A-96B22A245152}">
      <dgm:prSet phldrT="[Text]" custT="1"/>
      <dgm:spPr>
        <a:pattFill prst="ltUpDiag">
          <a:fgClr>
            <a:srgbClr val="FFFF00"/>
          </a:fgClr>
          <a:bgClr>
            <a:schemeClr val="bg1"/>
          </a:bgClr>
        </a:pattFill>
      </dgm:spPr>
      <dgm:t>
        <a:bodyPr/>
        <a:lstStyle/>
        <a:p>
          <a:r>
            <a:rPr lang="en-US" sz="1050" b="1"/>
            <a:t>Thermal storage</a:t>
          </a:r>
          <a:br>
            <a:rPr lang="en-US" sz="1050" b="1"/>
          </a:br>
          <a:r>
            <a:rPr lang="en-US" sz="1000" b="0"/>
            <a:t>350000</a:t>
          </a:r>
          <a:endParaRPr lang="en-US" sz="1050" b="0"/>
        </a:p>
      </dgm:t>
    </dgm:pt>
    <dgm:pt modelId="{1CFF21BB-7382-4C48-B17E-8324F99020A1}" type="parTrans" cxnId="{5D24DBAD-6E4A-4BFC-AF52-7ABA7A047239}">
      <dgm:prSet/>
      <dgm:spPr/>
      <dgm:t>
        <a:bodyPr/>
        <a:lstStyle/>
        <a:p>
          <a:endParaRPr lang="en-GB"/>
        </a:p>
      </dgm:t>
    </dgm:pt>
    <dgm:pt modelId="{667FDABC-2B5F-40DA-BFD3-C9E43457BFCB}" type="sibTrans" cxnId="{5D24DBAD-6E4A-4BFC-AF52-7ABA7A047239}">
      <dgm:prSet/>
      <dgm:spPr/>
      <dgm:t>
        <a:bodyPr/>
        <a:lstStyle/>
        <a:p>
          <a:endParaRPr lang="en-GB"/>
        </a:p>
      </dgm:t>
    </dgm:pt>
    <dgm:pt modelId="{A4A29A10-673A-4945-BC28-1960217650D3}">
      <dgm:prSet phldrT="[Text]" custT="1"/>
      <dgm:spPr>
        <a:pattFill prst="ltUpDiag">
          <a:fgClr>
            <a:srgbClr val="FFFF00"/>
          </a:fgClr>
          <a:bgClr>
            <a:schemeClr val="bg1"/>
          </a:bgClr>
        </a:pattFill>
      </dgm:spPr>
      <dgm:t>
        <a:bodyPr/>
        <a:lstStyle/>
        <a:p>
          <a:r>
            <a:rPr lang="en-US" sz="1050" b="1"/>
            <a:t>Chemical fuels storage</a:t>
          </a:r>
          <a:br>
            <a:rPr lang="en-US" sz="1050" b="1"/>
          </a:br>
          <a:r>
            <a:rPr lang="en-US" sz="1000" b="0"/>
            <a:t>360000</a:t>
          </a:r>
          <a:endParaRPr lang="en-US" sz="1050" b="0"/>
        </a:p>
      </dgm:t>
    </dgm:pt>
    <dgm:pt modelId="{3BCE4EE7-6AEB-4019-BFDE-C7B45E04C453}" type="parTrans" cxnId="{4F9FEE65-3FC6-4BB7-B178-A9958078E6D8}">
      <dgm:prSet/>
      <dgm:spPr/>
      <dgm:t>
        <a:bodyPr/>
        <a:lstStyle/>
        <a:p>
          <a:endParaRPr lang="en-GB"/>
        </a:p>
      </dgm:t>
    </dgm:pt>
    <dgm:pt modelId="{FDDB06A4-6960-4824-B042-95F9302D6307}" type="sibTrans" cxnId="{4F9FEE65-3FC6-4BB7-B178-A9958078E6D8}">
      <dgm:prSet/>
      <dgm:spPr/>
      <dgm:t>
        <a:bodyPr/>
        <a:lstStyle/>
        <a:p>
          <a:endParaRPr lang="en-GB"/>
        </a:p>
      </dgm:t>
    </dgm:pt>
    <dgm:pt modelId="{5019FE34-9829-4EB2-96B3-F222C088A958}">
      <dgm:prSet phldrT="[Text]" custT="1"/>
      <dgm:spPr>
        <a:pattFill prst="ltUpDiag">
          <a:fgClr>
            <a:srgbClr val="FFFF00"/>
          </a:fgClr>
          <a:bgClr>
            <a:schemeClr val="bg1"/>
          </a:bgClr>
        </a:pattFill>
      </dgm:spPr>
      <dgm:t>
        <a:bodyPr/>
        <a:lstStyle/>
        <a:p>
          <a:r>
            <a:rPr lang="en-US" sz="1050" b="1"/>
            <a:t>Pumped hydro</a:t>
          </a:r>
          <a:br>
            <a:rPr lang="en-US" sz="1050" b="1"/>
          </a:br>
          <a:r>
            <a:rPr lang="en-US" sz="1000" b="0"/>
            <a:t>341000</a:t>
          </a:r>
          <a:endParaRPr lang="en-US" sz="1050" b="0"/>
        </a:p>
      </dgm:t>
    </dgm:pt>
    <dgm:pt modelId="{390CAD22-01D0-41F2-B458-7E947D62E541}" type="parTrans" cxnId="{E564743A-BB4B-4586-836C-469E1739CDB7}">
      <dgm:prSet/>
      <dgm:spPr/>
      <dgm:t>
        <a:bodyPr/>
        <a:lstStyle/>
        <a:p>
          <a:endParaRPr lang="en-GB"/>
        </a:p>
      </dgm:t>
    </dgm:pt>
    <dgm:pt modelId="{5D11314D-E523-4F3B-8E08-7C6DFF9B5211}" type="sibTrans" cxnId="{E564743A-BB4B-4586-836C-469E1739CDB7}">
      <dgm:prSet/>
      <dgm:spPr/>
      <dgm:t>
        <a:bodyPr/>
        <a:lstStyle/>
        <a:p>
          <a:endParaRPr lang="en-GB"/>
        </a:p>
      </dgm:t>
    </dgm:pt>
    <dgm:pt modelId="{4173C88A-ECDC-4040-B53F-BD5D7AAFFF62}">
      <dgm:prSet phldrT="[Text]" custT="1"/>
      <dgm:spPr>
        <a:pattFill prst="ltUpDiag">
          <a:fgClr>
            <a:srgbClr val="FFFF00"/>
          </a:fgClr>
          <a:bgClr>
            <a:schemeClr val="bg1"/>
          </a:bgClr>
        </a:pattFill>
      </dgm:spPr>
      <dgm:t>
        <a:bodyPr/>
        <a:lstStyle/>
        <a:p>
          <a:r>
            <a:rPr lang="en-US" sz="1050" b="1"/>
            <a:t>Electromagnetic storage</a:t>
          </a:r>
          <a:br>
            <a:rPr lang="en-US" sz="1050" b="1"/>
          </a:br>
          <a:r>
            <a:rPr lang="en-US" sz="1000" b="0"/>
            <a:t>330000</a:t>
          </a:r>
          <a:endParaRPr lang="en-US" sz="1050" b="0"/>
        </a:p>
      </dgm:t>
    </dgm:pt>
    <dgm:pt modelId="{3D003A27-E7ED-4268-9B7F-3C0C5998E185}" type="parTrans" cxnId="{CB7F38FA-A5D8-46D2-B61C-04575B8F0D31}">
      <dgm:prSet/>
      <dgm:spPr/>
      <dgm:t>
        <a:bodyPr/>
        <a:lstStyle/>
        <a:p>
          <a:endParaRPr lang="en-GB"/>
        </a:p>
      </dgm:t>
    </dgm:pt>
    <dgm:pt modelId="{BAB60555-909B-4A00-803E-0FE3AE7742AF}" type="sibTrans" cxnId="{CB7F38FA-A5D8-46D2-B61C-04575B8F0D31}">
      <dgm:prSet/>
      <dgm:spPr/>
      <dgm:t>
        <a:bodyPr/>
        <a:lstStyle/>
        <a:p>
          <a:endParaRPr lang="en-GB"/>
        </a:p>
      </dgm:t>
    </dgm:pt>
    <dgm:pt modelId="{3F708C78-4B6B-4D04-ABED-7FF92A664A63}">
      <dgm:prSet phldrT="[Text]" custT="1"/>
      <dgm:spPr>
        <a:pattFill prst="ltUpDiag">
          <a:fgClr>
            <a:srgbClr val="FFFF00"/>
          </a:fgClr>
          <a:bgClr>
            <a:schemeClr val="bg1"/>
          </a:bgClr>
        </a:pattFill>
      </dgm:spPr>
      <dgm:t>
        <a:bodyPr/>
        <a:lstStyle/>
        <a:p>
          <a:r>
            <a:rPr lang="en-US" sz="1050" b="1"/>
            <a:t>Stationary electric batteries</a:t>
          </a:r>
          <a:br>
            <a:rPr lang="en-US" sz="1050" b="1"/>
          </a:br>
          <a:r>
            <a:rPr lang="en-US" sz="1000" b="0"/>
            <a:t>321000</a:t>
          </a:r>
          <a:endParaRPr lang="en-US" sz="1050" b="0"/>
        </a:p>
      </dgm:t>
    </dgm:pt>
    <dgm:pt modelId="{6E8190F6-1767-4B84-B6B0-F6FE02607253}" type="parTrans" cxnId="{E18DC1E2-7116-4631-B6A5-9F1B05184320}">
      <dgm:prSet/>
      <dgm:spPr/>
      <dgm:t>
        <a:bodyPr/>
        <a:lstStyle/>
        <a:p>
          <a:endParaRPr lang="en-GB"/>
        </a:p>
      </dgm:t>
    </dgm:pt>
    <dgm:pt modelId="{211CFFA2-FFCC-4093-896A-E7DE38123415}" type="sibTrans" cxnId="{E18DC1E2-7116-4631-B6A5-9F1B05184320}">
      <dgm:prSet/>
      <dgm:spPr/>
      <dgm:t>
        <a:bodyPr/>
        <a:lstStyle/>
        <a:p>
          <a:endParaRPr lang="en-GB"/>
        </a:p>
      </dgm:t>
    </dgm:pt>
    <dgm:pt modelId="{0DE592A2-E6EC-49F9-B7C8-E1FC79BAA314}">
      <dgm:prSet phldrT="[Text]" custT="1"/>
      <dgm:spPr>
        <a:pattFill prst="ltUpDiag">
          <a:fgClr>
            <a:srgbClr val="FFFF00"/>
          </a:fgClr>
          <a:bgClr>
            <a:schemeClr val="bg1"/>
          </a:bgClr>
        </a:pattFill>
      </dgm:spPr>
      <dgm:t>
        <a:bodyPr/>
        <a:lstStyle/>
        <a:p>
          <a:r>
            <a:rPr lang="en-US" sz="1050" b="1"/>
            <a:t>Compressed fluids</a:t>
          </a:r>
          <a:br>
            <a:rPr lang="en-US" sz="1050" b="1"/>
          </a:br>
          <a:r>
            <a:rPr lang="en-US" sz="1000" b="0"/>
            <a:t>342000</a:t>
          </a:r>
          <a:endParaRPr lang="en-US" sz="1050" b="0"/>
        </a:p>
      </dgm:t>
    </dgm:pt>
    <dgm:pt modelId="{51A38032-8C2B-43E0-95D8-C1AA139C8CFA}" type="parTrans" cxnId="{705DF23F-9F23-42B9-A94B-B7C4F11DB7B2}">
      <dgm:prSet/>
      <dgm:spPr/>
      <dgm:t>
        <a:bodyPr/>
        <a:lstStyle/>
        <a:p>
          <a:endParaRPr lang="en-GB"/>
        </a:p>
      </dgm:t>
    </dgm:pt>
    <dgm:pt modelId="{0C52F090-6F1B-4D5D-90FF-BA330F5D4A67}" type="sibTrans" cxnId="{705DF23F-9F23-42B9-A94B-B7C4F11DB7B2}">
      <dgm:prSet/>
      <dgm:spPr/>
      <dgm:t>
        <a:bodyPr/>
        <a:lstStyle/>
        <a:p>
          <a:endParaRPr lang="en-GB"/>
        </a:p>
      </dgm:t>
    </dgm:pt>
    <dgm:pt modelId="{827C8138-2817-43FC-98EE-B56EB68BDB67}">
      <dgm:prSet phldrT="[Text]" custT="1"/>
      <dgm:spPr>
        <a:pattFill prst="ltUpDiag">
          <a:fgClr>
            <a:srgbClr val="FFFF00"/>
          </a:fgClr>
          <a:bgClr>
            <a:schemeClr val="bg1"/>
          </a:bgClr>
        </a:pattFill>
      </dgm:spPr>
      <dgm:t>
        <a:bodyPr/>
        <a:lstStyle/>
        <a:p>
          <a:r>
            <a:rPr lang="en-US" sz="1050" b="1"/>
            <a:t>Flywheels</a:t>
          </a:r>
          <a:br>
            <a:rPr lang="en-US" sz="1050" b="1"/>
          </a:br>
          <a:r>
            <a:rPr lang="en-US" sz="1000" b="0"/>
            <a:t>343000</a:t>
          </a:r>
          <a:endParaRPr lang="en-US" sz="1050" b="0"/>
        </a:p>
      </dgm:t>
    </dgm:pt>
    <dgm:pt modelId="{3793BC54-E8D0-4259-9651-48BFBB2FE130}" type="parTrans" cxnId="{95BB4644-B3D7-48D7-8A14-42CA44C05913}">
      <dgm:prSet/>
      <dgm:spPr/>
      <dgm:t>
        <a:bodyPr/>
        <a:lstStyle/>
        <a:p>
          <a:endParaRPr lang="en-GB"/>
        </a:p>
      </dgm:t>
    </dgm:pt>
    <dgm:pt modelId="{E89ED04D-814A-4562-9CB0-4C396576FF95}" type="sibTrans" cxnId="{95BB4644-B3D7-48D7-8A14-42CA44C05913}">
      <dgm:prSet/>
      <dgm:spPr/>
      <dgm:t>
        <a:bodyPr/>
        <a:lstStyle/>
        <a:p>
          <a:endParaRPr lang="en-GB"/>
        </a:p>
      </dgm:t>
    </dgm:pt>
    <dgm:pt modelId="{9059873F-23AD-4520-865D-7D0086E7D41E}">
      <dgm:prSet phldrT="[Text]" custT="1"/>
      <dgm:spPr>
        <a:pattFill prst="ltUpDiag">
          <a:fgClr>
            <a:srgbClr val="FFFF00"/>
          </a:fgClr>
          <a:bgClr>
            <a:schemeClr val="bg1"/>
          </a:bgClr>
        </a:pattFill>
      </dgm:spPr>
      <dgm:t>
        <a:bodyPr/>
        <a:lstStyle/>
        <a:p>
          <a:r>
            <a:rPr lang="en-US" sz="1050" b="1"/>
            <a:t>Gravitational storage</a:t>
          </a:r>
          <a:br>
            <a:rPr lang="en-US" sz="1050" b="1"/>
          </a:br>
          <a:r>
            <a:rPr lang="en-US" sz="1000" b="0"/>
            <a:t>344000</a:t>
          </a:r>
          <a:endParaRPr lang="en-US" sz="1050" b="0"/>
        </a:p>
      </dgm:t>
    </dgm:pt>
    <dgm:pt modelId="{511A8C96-C326-471D-8475-0C92809D4B35}" type="parTrans" cxnId="{FC141D15-5C6D-41A3-9E3A-898FD50F1FD5}">
      <dgm:prSet/>
      <dgm:spPr/>
      <dgm:t>
        <a:bodyPr/>
        <a:lstStyle/>
        <a:p>
          <a:endParaRPr lang="en-GB"/>
        </a:p>
      </dgm:t>
    </dgm:pt>
    <dgm:pt modelId="{2F471752-3163-43BF-83ED-D742F738D5DF}" type="sibTrans" cxnId="{FC141D15-5C6D-41A3-9E3A-898FD50F1FD5}">
      <dgm:prSet/>
      <dgm:spPr/>
      <dgm:t>
        <a:bodyPr/>
        <a:lstStyle/>
        <a:p>
          <a:endParaRPr lang="en-GB"/>
        </a:p>
      </dgm:t>
    </dgm:pt>
    <dgm:pt modelId="{AA3CFB6D-FF58-47FB-86D1-C68A63CCCCC6}">
      <dgm:prSet phldrT="[Text]" custT="1"/>
      <dgm:spPr>
        <a:pattFill prst="ltUpDiag">
          <a:fgClr>
            <a:srgbClr val="FFFF00"/>
          </a:fgClr>
          <a:bgClr>
            <a:schemeClr val="bg1"/>
          </a:bgClr>
        </a:pattFill>
      </dgm:spPr>
      <dgm:t>
        <a:bodyPr/>
        <a:lstStyle/>
        <a:p>
          <a:r>
            <a:rPr lang="en-US" sz="1050" b="1"/>
            <a:t>Latent heat storage </a:t>
          </a:r>
          <a:br>
            <a:rPr lang="en-US" sz="1050" b="1"/>
          </a:br>
          <a:r>
            <a:rPr lang="en-US" sz="1000" b="0"/>
            <a:t>351000</a:t>
          </a:r>
          <a:endParaRPr lang="en-US" sz="1050" b="0"/>
        </a:p>
      </dgm:t>
    </dgm:pt>
    <dgm:pt modelId="{6953E66D-796A-40D3-9587-44737C2C9F0E}" type="parTrans" cxnId="{CF3C67B8-0844-4118-8B89-8A1C6541B8A1}">
      <dgm:prSet/>
      <dgm:spPr/>
      <dgm:t>
        <a:bodyPr/>
        <a:lstStyle/>
        <a:p>
          <a:endParaRPr lang="en-GB"/>
        </a:p>
      </dgm:t>
    </dgm:pt>
    <dgm:pt modelId="{A6239832-D620-4E58-BFEF-8529FAAAC226}" type="sibTrans" cxnId="{CF3C67B8-0844-4118-8B89-8A1C6541B8A1}">
      <dgm:prSet/>
      <dgm:spPr/>
      <dgm:t>
        <a:bodyPr/>
        <a:lstStyle/>
        <a:p>
          <a:endParaRPr lang="en-GB"/>
        </a:p>
      </dgm:t>
    </dgm:pt>
    <dgm:pt modelId="{A3AA0C47-E6D0-47AD-9A3E-9F1E5F4F7559}">
      <dgm:prSet phldrT="[Text]" custT="1"/>
      <dgm:spPr>
        <a:pattFill prst="ltUpDiag">
          <a:fgClr>
            <a:srgbClr val="FFFF00"/>
          </a:fgClr>
          <a:bgClr>
            <a:schemeClr val="bg1"/>
          </a:bgClr>
        </a:pattFill>
      </dgm:spPr>
      <dgm:t>
        <a:bodyPr/>
        <a:lstStyle/>
        <a:p>
          <a:r>
            <a:rPr lang="en-US" sz="1050" b="1"/>
            <a:t>Sensible heat storage</a:t>
          </a:r>
          <a:br>
            <a:rPr lang="en-US" sz="1050" b="1"/>
          </a:br>
          <a:r>
            <a:rPr lang="en-US" sz="1000" b="0"/>
            <a:t>352000</a:t>
          </a:r>
          <a:endParaRPr lang="en-US" sz="1050" b="0"/>
        </a:p>
      </dgm:t>
    </dgm:pt>
    <dgm:pt modelId="{4603DBF8-D408-4392-88FE-7547A22C85A4}" type="parTrans" cxnId="{D643B843-69E6-48A4-AE7E-7E777BDBDFFC}">
      <dgm:prSet/>
      <dgm:spPr/>
      <dgm:t>
        <a:bodyPr/>
        <a:lstStyle/>
        <a:p>
          <a:endParaRPr lang="en-GB"/>
        </a:p>
      </dgm:t>
    </dgm:pt>
    <dgm:pt modelId="{7A41AB29-3A72-469B-9C8A-1638EDCC75C3}" type="sibTrans" cxnId="{D643B843-69E6-48A4-AE7E-7E777BDBDFFC}">
      <dgm:prSet/>
      <dgm:spPr/>
      <dgm:t>
        <a:bodyPr/>
        <a:lstStyle/>
        <a:p>
          <a:endParaRPr lang="en-GB"/>
        </a:p>
      </dgm:t>
    </dgm:pt>
    <dgm:pt modelId="{05601CD5-C6D9-4CD2-BCB2-12516C9D44F7}">
      <dgm:prSet phldrT="[Text]" custT="1"/>
      <dgm:spPr>
        <a:pattFill prst="ltUpDiag">
          <a:fgClr>
            <a:srgbClr val="FFFF00"/>
          </a:fgClr>
          <a:bgClr>
            <a:schemeClr val="bg1"/>
          </a:bgClr>
        </a:pattFill>
      </dgm:spPr>
      <dgm:t>
        <a:bodyPr/>
        <a:lstStyle/>
        <a:p>
          <a:r>
            <a:rPr lang="en-US" sz="1050" b="1"/>
            <a:t>Superconducting magnetic storage</a:t>
          </a:r>
          <a:br>
            <a:rPr lang="en-US" sz="1050" b="1"/>
          </a:br>
          <a:r>
            <a:rPr lang="en-US" sz="1000" b="0"/>
            <a:t>331000</a:t>
          </a:r>
          <a:endParaRPr lang="en-US" sz="1050" b="0"/>
        </a:p>
      </dgm:t>
    </dgm:pt>
    <dgm:pt modelId="{F150F665-274A-4F03-BA2B-5FA387C61C74}" type="parTrans" cxnId="{3DFA0975-6C1E-49EE-8A35-B5E98865DD43}">
      <dgm:prSet/>
      <dgm:spPr/>
      <dgm:t>
        <a:bodyPr/>
        <a:lstStyle/>
        <a:p>
          <a:endParaRPr lang="en-GB"/>
        </a:p>
      </dgm:t>
    </dgm:pt>
    <dgm:pt modelId="{C0F9D08C-EE61-4AA0-BB1D-DD67DBA8A737}" type="sibTrans" cxnId="{3DFA0975-6C1E-49EE-8A35-B5E98865DD43}">
      <dgm:prSet/>
      <dgm:spPr/>
      <dgm:t>
        <a:bodyPr/>
        <a:lstStyle/>
        <a:p>
          <a:endParaRPr lang="en-GB"/>
        </a:p>
      </dgm:t>
    </dgm:pt>
    <dgm:pt modelId="{EFEC8CCF-2CFD-4887-8A2D-5EDB6E21E0F8}">
      <dgm:prSet phldrT="[Text]" custT="1"/>
      <dgm:spPr>
        <a:pattFill prst="ltUpDiag">
          <a:fgClr>
            <a:srgbClr val="FFFF00"/>
          </a:fgClr>
          <a:bgClr>
            <a:schemeClr val="bg1"/>
          </a:bgClr>
        </a:pattFill>
      </dgm:spPr>
      <dgm:t>
        <a:bodyPr/>
        <a:lstStyle/>
        <a:p>
          <a:r>
            <a:rPr lang="en-US" sz="1050" b="1"/>
            <a:t>Hydrogen storage</a:t>
          </a:r>
          <a:br>
            <a:rPr lang="en-US" sz="1050" b="1"/>
          </a:br>
          <a:r>
            <a:rPr lang="en-US" sz="1000" b="0"/>
            <a:t>361000</a:t>
          </a:r>
          <a:endParaRPr lang="en-US" sz="1050" b="0"/>
        </a:p>
      </dgm:t>
    </dgm:pt>
    <dgm:pt modelId="{D74CEC8C-5D60-491F-98AD-522DB0543277}" type="parTrans" cxnId="{0B1DE0D2-9169-4E9C-B378-7AABE16BE6A0}">
      <dgm:prSet/>
      <dgm:spPr/>
      <dgm:t>
        <a:bodyPr/>
        <a:lstStyle/>
        <a:p>
          <a:endParaRPr lang="en-GB"/>
        </a:p>
      </dgm:t>
    </dgm:pt>
    <dgm:pt modelId="{0509A6AF-39F6-4743-A509-323A69727AB9}" type="sibTrans" cxnId="{0B1DE0D2-9169-4E9C-B378-7AABE16BE6A0}">
      <dgm:prSet/>
      <dgm:spPr/>
      <dgm:t>
        <a:bodyPr/>
        <a:lstStyle/>
        <a:p>
          <a:endParaRPr lang="en-GB"/>
        </a:p>
      </dgm:t>
    </dgm:pt>
    <dgm:pt modelId="{8D83A27F-420B-4927-BF91-3096E921DE84}">
      <dgm:prSet phldrT="[Text]" custT="1"/>
      <dgm:spPr>
        <a:pattFill prst="ltUpDiag">
          <a:fgClr>
            <a:srgbClr val="FFFF00"/>
          </a:fgClr>
          <a:bgClr>
            <a:schemeClr val="bg1"/>
          </a:bgClr>
        </a:pattFill>
      </dgm:spPr>
      <dgm:t>
        <a:bodyPr/>
        <a:lstStyle/>
        <a:p>
          <a:r>
            <a:rPr lang="en-US" sz="1050" b="1"/>
            <a:t>Other chemical fuels storage</a:t>
          </a:r>
          <a:br>
            <a:rPr lang="en-US" sz="1050" b="1"/>
          </a:br>
          <a:r>
            <a:rPr lang="en-US" sz="1000" b="0"/>
            <a:t>369000</a:t>
          </a:r>
          <a:endParaRPr lang="en-US" sz="1050" b="0"/>
        </a:p>
      </dgm:t>
    </dgm:pt>
    <dgm:pt modelId="{85D4254C-4CFC-443D-9D55-3E987463FB1C}" type="parTrans" cxnId="{8202A5E5-3D7F-4341-8D3E-4350ACAFAB36}">
      <dgm:prSet/>
      <dgm:spPr/>
      <dgm:t>
        <a:bodyPr/>
        <a:lstStyle/>
        <a:p>
          <a:endParaRPr lang="en-GB"/>
        </a:p>
      </dgm:t>
    </dgm:pt>
    <dgm:pt modelId="{930A6384-2A3B-4D78-8544-CEBB3E93E69A}" type="sibTrans" cxnId="{8202A5E5-3D7F-4341-8D3E-4350ACAFAB36}">
      <dgm:prSet/>
      <dgm:spPr/>
      <dgm:t>
        <a:bodyPr/>
        <a:lstStyle/>
        <a:p>
          <a:endParaRPr lang="en-GB"/>
        </a:p>
      </dgm:t>
    </dgm:pt>
    <dgm:pt modelId="{3EFB6F83-0F50-42CC-83FC-2ED148A81797}">
      <dgm:prSet phldrT="[Text]" custT="1"/>
      <dgm:spPr>
        <a:solidFill>
          <a:schemeClr val="bg2"/>
        </a:solidFill>
        <a:ln>
          <a:prstDash val="solid"/>
        </a:ln>
      </dgm:spPr>
      <dgm:t>
        <a:bodyPr/>
        <a:lstStyle/>
        <a:p>
          <a:r>
            <a:rPr lang="en-US" sz="1050" b="1">
              <a:solidFill>
                <a:sysClr val="windowText" lastClr="000000"/>
              </a:solidFill>
            </a:rPr>
            <a:t>Non-renewable waste</a:t>
          </a:r>
          <a:br>
            <a:rPr lang="en-US" sz="1050" b="1">
              <a:solidFill>
                <a:sysClr val="windowText" lastClr="000000"/>
              </a:solidFill>
            </a:rPr>
          </a:br>
          <a:r>
            <a:rPr lang="en-US" sz="1000" b="0">
              <a:solidFill>
                <a:sysClr val="windowText" lastClr="000000"/>
              </a:solidFill>
            </a:rPr>
            <a:t>130000</a:t>
          </a:r>
          <a:endParaRPr lang="en-US" sz="1050" b="0">
            <a:solidFill>
              <a:sysClr val="windowText" lastClr="000000"/>
            </a:solidFill>
          </a:endParaRPr>
        </a:p>
      </dgm:t>
    </dgm:pt>
    <dgm:pt modelId="{272C46AF-08D6-43F9-BB5B-B14F851E60AF}" type="parTrans" cxnId="{AD7F191F-92F0-4C0B-8CB3-F1D6F5F092D0}">
      <dgm:prSet/>
      <dgm:spPr/>
      <dgm:t>
        <a:bodyPr/>
        <a:lstStyle/>
        <a:p>
          <a:endParaRPr lang="en-GB"/>
        </a:p>
      </dgm:t>
    </dgm:pt>
    <dgm:pt modelId="{FEFD8DB5-11CF-41FE-80EC-4B6ACBE8B3E5}" type="sibTrans" cxnId="{AD7F191F-92F0-4C0B-8CB3-F1D6F5F092D0}">
      <dgm:prSet/>
      <dgm:spPr/>
      <dgm:t>
        <a:bodyPr/>
        <a:lstStyle/>
        <a:p>
          <a:endParaRPr lang="en-GB"/>
        </a:p>
      </dgm:t>
    </dgm:pt>
    <dgm:pt modelId="{94F15C96-FF94-48C8-953C-B1B9398FFF34}">
      <dgm:prSet phldrT="[Text]" custT="1"/>
      <dgm:spPr>
        <a:solidFill>
          <a:schemeClr val="bg2"/>
        </a:solidFill>
      </dgm:spPr>
      <dgm:t>
        <a:bodyPr/>
        <a:lstStyle/>
        <a:p>
          <a:r>
            <a:rPr lang="en-US" sz="1050" b="1">
              <a:solidFill>
                <a:sysClr val="windowText" lastClr="000000"/>
              </a:solidFill>
            </a:rPr>
            <a:t>Non-renewable industrial waste</a:t>
          </a:r>
          <a:br>
            <a:rPr lang="en-US" sz="1050" b="1">
              <a:solidFill>
                <a:sysClr val="windowText" lastClr="000000"/>
              </a:solidFill>
            </a:rPr>
          </a:br>
          <a:r>
            <a:rPr lang="en-US" sz="1000" b="0">
              <a:solidFill>
                <a:sysClr val="windowText" lastClr="000000"/>
              </a:solidFill>
            </a:rPr>
            <a:t>131000</a:t>
          </a:r>
          <a:endParaRPr lang="en-US" sz="1050" b="0">
            <a:solidFill>
              <a:sysClr val="windowText" lastClr="000000"/>
            </a:solidFill>
          </a:endParaRPr>
        </a:p>
      </dgm:t>
    </dgm:pt>
    <dgm:pt modelId="{5470B045-64D7-4051-9BE3-18D85A7F860F}" type="parTrans" cxnId="{9310C77E-89D2-46E0-B652-22FE82AB3570}">
      <dgm:prSet/>
      <dgm:spPr/>
      <dgm:t>
        <a:bodyPr/>
        <a:lstStyle/>
        <a:p>
          <a:endParaRPr lang="en-GB"/>
        </a:p>
      </dgm:t>
    </dgm:pt>
    <dgm:pt modelId="{69589D04-F077-418F-9E48-D232BFC430CC}" type="sibTrans" cxnId="{9310C77E-89D2-46E0-B652-22FE82AB3570}">
      <dgm:prSet/>
      <dgm:spPr/>
      <dgm:t>
        <a:bodyPr/>
        <a:lstStyle/>
        <a:p>
          <a:endParaRPr lang="en-GB"/>
        </a:p>
      </dgm:t>
    </dgm:pt>
    <dgm:pt modelId="{109F7E6B-3DA8-47A9-B8CE-1BBF972B168A}">
      <dgm:prSet phldrT="[Text]" custT="1"/>
      <dgm:spPr>
        <a:solidFill>
          <a:schemeClr val="bg2"/>
        </a:solidFill>
      </dgm:spPr>
      <dgm:t>
        <a:bodyPr/>
        <a:lstStyle/>
        <a:p>
          <a:r>
            <a:rPr lang="en-US" sz="1050" b="1">
              <a:solidFill>
                <a:sysClr val="windowText" lastClr="000000"/>
              </a:solidFill>
            </a:rPr>
            <a:t>Non-renewable municipal waste</a:t>
          </a:r>
          <a:br>
            <a:rPr lang="en-US" sz="1050" b="1">
              <a:solidFill>
                <a:sysClr val="windowText" lastClr="000000"/>
              </a:solidFill>
            </a:rPr>
          </a:br>
          <a:r>
            <a:rPr lang="en-US" sz="1000" b="0">
              <a:solidFill>
                <a:sysClr val="windowText" lastClr="000000"/>
              </a:solidFill>
            </a:rPr>
            <a:t>132000</a:t>
          </a:r>
          <a:endParaRPr lang="en-US" sz="1050" b="0">
            <a:solidFill>
              <a:sysClr val="windowText" lastClr="000000"/>
            </a:solidFill>
          </a:endParaRPr>
        </a:p>
      </dgm:t>
    </dgm:pt>
    <dgm:pt modelId="{1C20E06F-E0BA-4A9E-86A3-2F88046861BC}" type="parTrans" cxnId="{40EC77B6-9B91-4C9A-88C6-6D7B282806C4}">
      <dgm:prSet/>
      <dgm:spPr/>
      <dgm:t>
        <a:bodyPr/>
        <a:lstStyle/>
        <a:p>
          <a:endParaRPr lang="en-GB"/>
        </a:p>
      </dgm:t>
    </dgm:pt>
    <dgm:pt modelId="{473070A1-FB7E-44C7-8FFA-04B6FBFC498B}" type="sibTrans" cxnId="{40EC77B6-9B91-4C9A-88C6-6D7B282806C4}">
      <dgm:prSet/>
      <dgm:spPr/>
      <dgm:t>
        <a:bodyPr/>
        <a:lstStyle/>
        <a:p>
          <a:endParaRPr lang="en-GB"/>
        </a:p>
      </dgm:t>
    </dgm:pt>
    <dgm:pt modelId="{5B3109DE-A521-450A-91D5-9785EE5C6138}">
      <dgm:prSet phldrT="[Text]" custT="1"/>
      <dgm:spPr>
        <a:pattFill prst="ltDnDiag">
          <a:fgClr>
            <a:schemeClr val="accent6">
              <a:lumMod val="20000"/>
              <a:lumOff val="80000"/>
            </a:schemeClr>
          </a:fgClr>
          <a:bgClr>
            <a:schemeClr val="bg1"/>
          </a:bgClr>
        </a:pattFill>
      </dgm:spPr>
      <dgm:t>
        <a:bodyPr/>
        <a:lstStyle/>
        <a:p>
          <a:r>
            <a:rPr lang="en-US" sz="1050" b="1"/>
            <a:t>Biohydrogen</a:t>
          </a:r>
          <a:br>
            <a:rPr lang="en-US" sz="1050" b="1"/>
          </a:br>
          <a:r>
            <a:rPr lang="en-US" sz="1000" b="0"/>
            <a:t>263320</a:t>
          </a:r>
          <a:endParaRPr lang="en-US" sz="1050" b="0"/>
        </a:p>
      </dgm:t>
    </dgm:pt>
    <dgm:pt modelId="{866E4B91-1117-42EC-97E3-35255B8D6AF3}" type="parTrans" cxnId="{18AC9A7D-7E1E-4BCC-9B6A-59868BF2F450}">
      <dgm:prSet/>
      <dgm:spPr/>
      <dgm:t>
        <a:bodyPr/>
        <a:lstStyle/>
        <a:p>
          <a:endParaRPr lang="en-GB"/>
        </a:p>
      </dgm:t>
    </dgm:pt>
    <dgm:pt modelId="{EFB629B6-D012-41FF-AD23-1CA793A2F3D7}" type="sibTrans" cxnId="{18AC9A7D-7E1E-4BCC-9B6A-59868BF2F450}">
      <dgm:prSet/>
      <dgm:spPr/>
      <dgm:t>
        <a:bodyPr/>
        <a:lstStyle/>
        <a:p>
          <a:endParaRPr lang="en-GB"/>
        </a:p>
      </dgm:t>
    </dgm:pt>
    <dgm:pt modelId="{24DDC09B-12C1-4FE5-A7D4-27B08A5DB303}">
      <dgm:prSet phldrT="[Text]" custT="1"/>
      <dgm:spPr>
        <a:pattFill prst="ltDnDiag">
          <a:fgClr>
            <a:schemeClr val="accent6">
              <a:lumMod val="20000"/>
              <a:lumOff val="80000"/>
            </a:schemeClr>
          </a:fgClr>
          <a:bgClr>
            <a:schemeClr val="bg1"/>
          </a:bgClr>
        </a:pattFill>
      </dgm:spPr>
      <dgm:t>
        <a:bodyPr/>
        <a:lstStyle/>
        <a:p>
          <a:r>
            <a:rPr lang="en-US" sz="1050" b="1"/>
            <a:t>Biothermal hydrogen</a:t>
          </a:r>
          <a:br>
            <a:rPr lang="en-US" sz="1050" b="1"/>
          </a:br>
          <a:r>
            <a:rPr lang="en-US" sz="1000" b="0"/>
            <a:t>263322</a:t>
          </a:r>
          <a:endParaRPr lang="en-US" sz="1050" b="0"/>
        </a:p>
      </dgm:t>
    </dgm:pt>
    <dgm:pt modelId="{8BB21947-522E-497A-A4DE-24AF1805C893}" type="parTrans" cxnId="{549B6189-DD76-4712-BE14-32F75D2BE8AC}">
      <dgm:prSet/>
      <dgm:spPr/>
      <dgm:t>
        <a:bodyPr/>
        <a:lstStyle/>
        <a:p>
          <a:endParaRPr lang="en-GB"/>
        </a:p>
      </dgm:t>
    </dgm:pt>
    <dgm:pt modelId="{E1A4E1DA-E48B-49EC-AD4E-830E9B629B95}" type="sibTrans" cxnId="{549B6189-DD76-4712-BE14-32F75D2BE8AC}">
      <dgm:prSet/>
      <dgm:spPr/>
      <dgm:t>
        <a:bodyPr/>
        <a:lstStyle/>
        <a:p>
          <a:endParaRPr lang="en-GB"/>
        </a:p>
      </dgm:t>
    </dgm:pt>
    <dgm:pt modelId="{02AD0736-B907-44DA-B6A6-000A82885EE4}">
      <dgm:prSet phldrT="[Text]" custT="1"/>
      <dgm:spPr>
        <a:pattFill prst="ltUpDiag">
          <a:fgClr>
            <a:srgbClr val="FFFF00"/>
          </a:fgClr>
          <a:bgClr>
            <a:schemeClr val="bg1"/>
          </a:bgClr>
        </a:pattFill>
      </dgm:spPr>
      <dgm:t>
        <a:bodyPr/>
        <a:lstStyle/>
        <a:p>
          <a:r>
            <a:rPr lang="en-US" sz="1050" b="1"/>
            <a:t>Mobile electric batteries</a:t>
          </a:r>
          <a:br>
            <a:rPr lang="en-US" sz="1050" b="1"/>
          </a:br>
          <a:r>
            <a:rPr lang="en-US" sz="1000" b="0"/>
            <a:t>322000</a:t>
          </a:r>
          <a:endParaRPr lang="en-US" sz="1050" b="0"/>
        </a:p>
      </dgm:t>
    </dgm:pt>
    <dgm:pt modelId="{1F7B3F46-3DF0-45D9-B612-C01421161B3A}" type="parTrans" cxnId="{EB877ACE-8012-4593-A22B-DAC68CD2B373}">
      <dgm:prSet/>
      <dgm:spPr/>
      <dgm:t>
        <a:bodyPr/>
        <a:lstStyle/>
        <a:p>
          <a:endParaRPr lang="en-GB"/>
        </a:p>
      </dgm:t>
    </dgm:pt>
    <dgm:pt modelId="{A875836E-8858-4FA7-9857-CCBE514923CB}" type="sibTrans" cxnId="{EB877ACE-8012-4593-A22B-DAC68CD2B373}">
      <dgm:prSet/>
      <dgm:spPr/>
      <dgm:t>
        <a:bodyPr/>
        <a:lstStyle/>
        <a:p>
          <a:endParaRPr lang="en-GB"/>
        </a:p>
      </dgm:t>
    </dgm:pt>
    <dgm:pt modelId="{F052FEB2-876D-4DF4-AB4E-C704B0274BB4}">
      <dgm:prSet phldrT="[Text]" custT="1"/>
      <dgm:spPr>
        <a:pattFill prst="ltUpDiag">
          <a:fgClr>
            <a:srgbClr val="FFFF00"/>
          </a:fgClr>
          <a:bgClr>
            <a:schemeClr val="bg1"/>
          </a:bgClr>
        </a:pattFill>
      </dgm:spPr>
      <dgm:t>
        <a:bodyPr/>
        <a:lstStyle/>
        <a:p>
          <a:r>
            <a:rPr lang="en-US" sz="1050" b="1"/>
            <a:t>Electric storage</a:t>
          </a:r>
          <a:br>
            <a:rPr lang="en-US" sz="1050" b="1"/>
          </a:br>
          <a:r>
            <a:rPr lang="en-US" sz="1000" b="0"/>
            <a:t>310000</a:t>
          </a:r>
          <a:endParaRPr lang="en-US" sz="1050" b="0"/>
        </a:p>
      </dgm:t>
    </dgm:pt>
    <dgm:pt modelId="{29566C64-8FE0-4051-B99C-65E2217C8FC3}" type="parTrans" cxnId="{7E640170-C8E8-4074-9A08-A101B1C0F0A4}">
      <dgm:prSet/>
      <dgm:spPr/>
      <dgm:t>
        <a:bodyPr/>
        <a:lstStyle/>
        <a:p>
          <a:endParaRPr lang="en-GB"/>
        </a:p>
      </dgm:t>
    </dgm:pt>
    <dgm:pt modelId="{002B6D87-C4E4-4B44-8650-1E3A7D242CF4}" type="sibTrans" cxnId="{7E640170-C8E8-4074-9A08-A101B1C0F0A4}">
      <dgm:prSet/>
      <dgm:spPr/>
      <dgm:t>
        <a:bodyPr/>
        <a:lstStyle/>
        <a:p>
          <a:endParaRPr lang="en-GB"/>
        </a:p>
      </dgm:t>
    </dgm:pt>
    <dgm:pt modelId="{7C8D31CE-B5AC-4B72-ABD2-D094763D1FED}">
      <dgm:prSet phldrT="[Text]" custT="1"/>
      <dgm:spPr>
        <a:pattFill prst="ltUpDiag">
          <a:fgClr>
            <a:srgbClr val="FFFF00"/>
          </a:fgClr>
          <a:bgClr>
            <a:schemeClr val="bg1"/>
          </a:bgClr>
        </a:pattFill>
      </dgm:spPr>
      <dgm:t>
        <a:bodyPr/>
        <a:lstStyle/>
        <a:p>
          <a:r>
            <a:rPr lang="en-US" sz="1050" b="1"/>
            <a:t>Supercapacitors</a:t>
          </a:r>
          <a:br>
            <a:rPr lang="en-US" sz="1050" b="1"/>
          </a:br>
          <a:r>
            <a:rPr lang="en-US" sz="1000" b="0"/>
            <a:t>311000</a:t>
          </a:r>
          <a:endParaRPr lang="en-US" sz="1050" b="0"/>
        </a:p>
      </dgm:t>
    </dgm:pt>
    <dgm:pt modelId="{5FFD8D41-00CA-443E-A135-CD7A2C7FEE82}" type="parTrans" cxnId="{7DFA77E5-4A88-4B0C-B41E-0B98B1CA907F}">
      <dgm:prSet/>
      <dgm:spPr/>
      <dgm:t>
        <a:bodyPr/>
        <a:lstStyle/>
        <a:p>
          <a:endParaRPr lang="en-GB"/>
        </a:p>
      </dgm:t>
    </dgm:pt>
    <dgm:pt modelId="{0846184F-B64D-4A44-BD2D-B28470F8C0F5}" type="sibTrans" cxnId="{7DFA77E5-4A88-4B0C-B41E-0B98B1CA907F}">
      <dgm:prSet/>
      <dgm:spPr/>
      <dgm:t>
        <a:bodyPr/>
        <a:lstStyle/>
        <a:p>
          <a:endParaRPr lang="en-GB"/>
        </a:p>
      </dgm:t>
    </dgm:pt>
    <dgm:pt modelId="{65BE6814-3F0C-4148-8403-2B704DD5B257}">
      <dgm:prSet phldrT="[Text]" custT="1"/>
      <dgm:spPr>
        <a:pattFill prst="ltHorz">
          <a:fgClr>
            <a:schemeClr val="accent6">
              <a:lumMod val="20000"/>
              <a:lumOff val="80000"/>
            </a:schemeClr>
          </a:fgClr>
          <a:bgClr>
            <a:schemeClr val="bg1"/>
          </a:bgClr>
        </a:pattFill>
      </dgm:spPr>
      <dgm:t>
        <a:bodyPr/>
        <a:lstStyle/>
        <a:p>
          <a:r>
            <a:rPr lang="en-US" sz="1050" b="1"/>
            <a:t>Biomethanol</a:t>
          </a:r>
          <a:br>
            <a:rPr lang="en-US" sz="1050" b="1"/>
          </a:br>
          <a:r>
            <a:rPr lang="en-US" sz="1000" b="0"/>
            <a:t>262110</a:t>
          </a:r>
          <a:endParaRPr lang="en-US" sz="1050" b="0"/>
        </a:p>
      </dgm:t>
    </dgm:pt>
    <dgm:pt modelId="{58959EFA-3782-435F-ACEE-9CADCD54E707}" type="parTrans" cxnId="{48E0B5F4-6377-4295-B610-A0EDE97FDE01}">
      <dgm:prSet/>
      <dgm:spPr/>
      <dgm:t>
        <a:bodyPr/>
        <a:lstStyle/>
        <a:p>
          <a:endParaRPr lang="en-GB"/>
        </a:p>
      </dgm:t>
    </dgm:pt>
    <dgm:pt modelId="{FB52AC5C-3D00-49D2-BE47-8C2FC9F761D8}" type="sibTrans" cxnId="{48E0B5F4-6377-4295-B610-A0EDE97FDE01}">
      <dgm:prSet/>
      <dgm:spPr/>
      <dgm:t>
        <a:bodyPr/>
        <a:lstStyle/>
        <a:p>
          <a:endParaRPr lang="en-GB"/>
        </a:p>
      </dgm:t>
    </dgm:pt>
    <dgm:pt modelId="{34FF5F5E-1B27-44DF-A7EC-AEE7E6D1FF27}">
      <dgm:prSet phldrT="[Text]" custT="1"/>
      <dgm:spPr>
        <a:solidFill>
          <a:schemeClr val="bg2"/>
        </a:solidFill>
      </dgm:spPr>
      <dgm:t>
        <a:bodyPr/>
        <a:lstStyle/>
        <a:p>
          <a:r>
            <a:rPr lang="en-US" sz="1050" b="1">
              <a:solidFill>
                <a:sysClr val="windowText" lastClr="000000"/>
              </a:solidFill>
            </a:rPr>
            <a:t>Anthracite</a:t>
          </a:r>
          <a:br>
            <a:rPr lang="en-US" sz="1050" b="1">
              <a:solidFill>
                <a:sysClr val="windowText" lastClr="000000"/>
              </a:solidFill>
            </a:rPr>
          </a:br>
          <a:r>
            <a:rPr lang="en-US" sz="1000" b="0">
              <a:solidFill>
                <a:sysClr val="windowText" lastClr="000000"/>
              </a:solidFill>
            </a:rPr>
            <a:t>111110</a:t>
          </a:r>
          <a:endParaRPr lang="en-US" sz="1050" b="0">
            <a:solidFill>
              <a:sysClr val="windowText" lastClr="000000"/>
            </a:solidFill>
          </a:endParaRPr>
        </a:p>
      </dgm:t>
    </dgm:pt>
    <dgm:pt modelId="{E051CD3A-A55A-4CF9-8A65-3E209C0533A8}" type="parTrans" cxnId="{6153B6D3-1BD8-4200-96CA-913B406FEF93}">
      <dgm:prSet/>
      <dgm:spPr/>
      <dgm:t>
        <a:bodyPr/>
        <a:lstStyle/>
        <a:p>
          <a:endParaRPr lang="en-GB"/>
        </a:p>
      </dgm:t>
    </dgm:pt>
    <dgm:pt modelId="{3D86F58D-E87A-40F1-80E9-6E17BBC56196}" type="sibTrans" cxnId="{6153B6D3-1BD8-4200-96CA-913B406FEF93}">
      <dgm:prSet/>
      <dgm:spPr/>
      <dgm:t>
        <a:bodyPr/>
        <a:lstStyle/>
        <a:p>
          <a:endParaRPr lang="en-GB"/>
        </a:p>
      </dgm:t>
    </dgm:pt>
    <dgm:pt modelId="{C8B090C1-E889-4B07-A5F7-783E8A24C7E4}">
      <dgm:prSet phldrT="[Text]" custT="1"/>
      <dgm:spPr>
        <a:solidFill>
          <a:schemeClr val="bg2"/>
        </a:solidFill>
      </dgm:spPr>
      <dgm:t>
        <a:bodyPr/>
        <a:lstStyle/>
        <a:p>
          <a:r>
            <a:rPr lang="en-US" sz="1050" b="1">
              <a:solidFill>
                <a:sysClr val="windowText" lastClr="000000"/>
              </a:solidFill>
            </a:rPr>
            <a:t>Bituminous coal</a:t>
          </a:r>
          <a:br>
            <a:rPr lang="en-US" sz="1050" b="1">
              <a:solidFill>
                <a:sysClr val="windowText" lastClr="000000"/>
              </a:solidFill>
            </a:rPr>
          </a:br>
          <a:r>
            <a:rPr lang="en-US" sz="1050" b="0">
              <a:solidFill>
                <a:sysClr val="windowText" lastClr="000000"/>
              </a:solidFill>
            </a:rPr>
            <a:t>111120</a:t>
          </a:r>
        </a:p>
      </dgm:t>
    </dgm:pt>
    <dgm:pt modelId="{967E9CED-3657-4F07-9E98-4D79FEFF4AA4}" type="parTrans" cxnId="{8556B6A2-D8A8-41D1-BE0D-472C69874C18}">
      <dgm:prSet/>
      <dgm:spPr/>
      <dgm:t>
        <a:bodyPr/>
        <a:lstStyle/>
        <a:p>
          <a:endParaRPr lang="en-GB"/>
        </a:p>
      </dgm:t>
    </dgm:pt>
    <dgm:pt modelId="{F7958B5D-1254-4F44-B9C5-6E5C0E58D02E}" type="sibTrans" cxnId="{8556B6A2-D8A8-41D1-BE0D-472C69874C18}">
      <dgm:prSet/>
      <dgm:spPr/>
      <dgm:t>
        <a:bodyPr/>
        <a:lstStyle/>
        <a:p>
          <a:endParaRPr lang="en-GB"/>
        </a:p>
      </dgm:t>
    </dgm:pt>
    <dgm:pt modelId="{636D016F-A4F3-4C8A-B4AB-3E183C888165}">
      <dgm:prSet phldrT="[Text]" custT="1"/>
      <dgm:spPr>
        <a:solidFill>
          <a:schemeClr val="bg2"/>
        </a:solidFill>
      </dgm:spPr>
      <dgm:t>
        <a:bodyPr/>
        <a:lstStyle/>
        <a:p>
          <a:r>
            <a:rPr lang="en-US" sz="1050" b="1">
              <a:solidFill>
                <a:sysClr val="windowText" lastClr="000000"/>
              </a:solidFill>
            </a:rPr>
            <a:t>Coking coal</a:t>
          </a:r>
          <a:br>
            <a:rPr lang="en-US" sz="1050" b="1">
              <a:solidFill>
                <a:sysClr val="windowText" lastClr="000000"/>
              </a:solidFill>
            </a:rPr>
          </a:br>
          <a:r>
            <a:rPr lang="en-US" sz="1050" b="0">
              <a:solidFill>
                <a:sysClr val="windowText" lastClr="000000"/>
              </a:solidFill>
            </a:rPr>
            <a:t>111121</a:t>
          </a:r>
        </a:p>
      </dgm:t>
    </dgm:pt>
    <dgm:pt modelId="{15944826-1840-444B-931C-6EACD2B83551}" type="parTrans" cxnId="{82F8BAF8-07B0-4E1B-8029-27AC3FC07FAF}">
      <dgm:prSet/>
      <dgm:spPr/>
      <dgm:t>
        <a:bodyPr/>
        <a:lstStyle/>
        <a:p>
          <a:endParaRPr lang="en-GB"/>
        </a:p>
      </dgm:t>
    </dgm:pt>
    <dgm:pt modelId="{5CB5EB3D-55C4-4061-9465-E734474A3EB2}" type="sibTrans" cxnId="{82F8BAF8-07B0-4E1B-8029-27AC3FC07FAF}">
      <dgm:prSet/>
      <dgm:spPr/>
      <dgm:t>
        <a:bodyPr/>
        <a:lstStyle/>
        <a:p>
          <a:endParaRPr lang="en-GB"/>
        </a:p>
      </dgm:t>
    </dgm:pt>
    <dgm:pt modelId="{6E319C87-5DA3-42B6-8F49-67B2CC49CED9}">
      <dgm:prSet phldrT="[Text]" custT="1"/>
      <dgm:spPr>
        <a:solidFill>
          <a:schemeClr val="bg2"/>
        </a:solidFill>
      </dgm:spPr>
      <dgm:t>
        <a:bodyPr/>
        <a:lstStyle/>
        <a:p>
          <a:r>
            <a:rPr lang="en-US" sz="1050" b="1">
              <a:solidFill>
                <a:sysClr val="windowText" lastClr="000000"/>
              </a:solidFill>
            </a:rPr>
            <a:t>Other bituminous coal</a:t>
          </a:r>
          <a:br>
            <a:rPr lang="en-US" sz="1050" b="1">
              <a:solidFill>
                <a:sysClr val="windowText" lastClr="000000"/>
              </a:solidFill>
            </a:rPr>
          </a:br>
          <a:r>
            <a:rPr lang="en-US" sz="1050" b="0">
              <a:solidFill>
                <a:sysClr val="windowText" lastClr="000000"/>
              </a:solidFill>
            </a:rPr>
            <a:t>111129</a:t>
          </a:r>
        </a:p>
      </dgm:t>
    </dgm:pt>
    <dgm:pt modelId="{30700F40-02C9-4AA1-8303-5A94A67A145B}" type="parTrans" cxnId="{479B77E8-BADE-46F6-9BA0-42C19CA29C83}">
      <dgm:prSet/>
      <dgm:spPr/>
      <dgm:t>
        <a:bodyPr/>
        <a:lstStyle/>
        <a:p>
          <a:endParaRPr lang="en-GB"/>
        </a:p>
      </dgm:t>
    </dgm:pt>
    <dgm:pt modelId="{A135A15F-6661-4F39-BB99-3B874E78D581}" type="sibTrans" cxnId="{479B77E8-BADE-46F6-9BA0-42C19CA29C83}">
      <dgm:prSet/>
      <dgm:spPr/>
      <dgm:t>
        <a:bodyPr/>
        <a:lstStyle/>
        <a:p>
          <a:endParaRPr lang="en-GB"/>
        </a:p>
      </dgm:t>
    </dgm:pt>
    <dgm:pt modelId="{A1A4E016-7379-46FC-A054-3AA8C4226052}">
      <dgm:prSet phldrT="[Text]" custT="1"/>
      <dgm:spPr>
        <a:solidFill>
          <a:schemeClr val="bg2"/>
        </a:solidFill>
      </dgm:spPr>
      <dgm:t>
        <a:bodyPr/>
        <a:lstStyle/>
        <a:p>
          <a:r>
            <a:rPr lang="en-US" sz="1050" b="1">
              <a:solidFill>
                <a:sysClr val="windowText" lastClr="000000"/>
              </a:solidFill>
            </a:rPr>
            <a:t>Sub-bituminous coal</a:t>
          </a:r>
          <a:br>
            <a:rPr lang="en-US" sz="1050" b="1">
              <a:solidFill>
                <a:sysClr val="windowText" lastClr="000000"/>
              </a:solidFill>
            </a:rPr>
          </a:br>
          <a:r>
            <a:rPr lang="en-US" sz="1050" b="0">
              <a:solidFill>
                <a:sysClr val="windowText" lastClr="000000"/>
              </a:solidFill>
            </a:rPr>
            <a:t>111210</a:t>
          </a:r>
        </a:p>
      </dgm:t>
    </dgm:pt>
    <dgm:pt modelId="{2E64C421-9FDB-4ABB-824D-A9009CCF07AF}" type="parTrans" cxnId="{408B4E15-A051-4C0D-B43F-C0FCEBD9AEB1}">
      <dgm:prSet/>
      <dgm:spPr/>
      <dgm:t>
        <a:bodyPr/>
        <a:lstStyle/>
        <a:p>
          <a:endParaRPr lang="en-GB"/>
        </a:p>
      </dgm:t>
    </dgm:pt>
    <dgm:pt modelId="{FF37C95A-B596-46C1-AFBC-278D3355ADE5}" type="sibTrans" cxnId="{408B4E15-A051-4C0D-B43F-C0FCEBD9AEB1}">
      <dgm:prSet/>
      <dgm:spPr/>
      <dgm:t>
        <a:bodyPr/>
        <a:lstStyle/>
        <a:p>
          <a:endParaRPr lang="en-GB"/>
        </a:p>
      </dgm:t>
    </dgm:pt>
    <dgm:pt modelId="{EA359315-D0D6-4EF3-8C96-4FBFEB4146DB}">
      <dgm:prSet phldrT="[Text]" custT="1"/>
      <dgm:spPr>
        <a:solidFill>
          <a:schemeClr val="bg2"/>
        </a:solidFill>
      </dgm:spPr>
      <dgm:t>
        <a:bodyPr/>
        <a:lstStyle/>
        <a:p>
          <a:r>
            <a:rPr lang="en-US" sz="1050" b="1">
              <a:solidFill>
                <a:sysClr val="windowText" lastClr="000000"/>
              </a:solidFill>
            </a:rPr>
            <a:t>Lignite</a:t>
          </a:r>
          <a:br>
            <a:rPr lang="en-US" sz="1050" b="1">
              <a:solidFill>
                <a:sysClr val="windowText" lastClr="000000"/>
              </a:solidFill>
            </a:rPr>
          </a:br>
          <a:r>
            <a:rPr lang="en-US" sz="1050" b="0">
              <a:solidFill>
                <a:sysClr val="windowText" lastClr="000000"/>
              </a:solidFill>
            </a:rPr>
            <a:t>111220</a:t>
          </a:r>
        </a:p>
      </dgm:t>
    </dgm:pt>
    <dgm:pt modelId="{979C3A29-B299-4E27-AA34-49DB2BB4921F}" type="parTrans" cxnId="{8B222434-CA7D-4E8E-8CAC-D9BBF59889DA}">
      <dgm:prSet/>
      <dgm:spPr/>
      <dgm:t>
        <a:bodyPr/>
        <a:lstStyle/>
        <a:p>
          <a:endParaRPr lang="en-GB"/>
        </a:p>
      </dgm:t>
    </dgm:pt>
    <dgm:pt modelId="{B4507869-70E7-4D71-B019-A0687996B974}" type="sibTrans" cxnId="{8B222434-CA7D-4E8E-8CAC-D9BBF59889DA}">
      <dgm:prSet/>
      <dgm:spPr/>
      <dgm:t>
        <a:bodyPr/>
        <a:lstStyle/>
        <a:p>
          <a:endParaRPr lang="en-GB"/>
        </a:p>
      </dgm:t>
    </dgm:pt>
    <dgm:pt modelId="{DBFBE633-1848-4458-87F4-B5C52D4BB0FC}">
      <dgm:prSet phldrT="[Text]" custT="1"/>
      <dgm:spPr>
        <a:pattFill prst="ltDnDiag">
          <a:fgClr>
            <a:schemeClr val="bg2"/>
          </a:fgClr>
          <a:bgClr>
            <a:schemeClr val="bg1"/>
          </a:bgClr>
        </a:pattFill>
      </dgm:spPr>
      <dgm:t>
        <a:bodyPr/>
        <a:lstStyle/>
        <a:p>
          <a:r>
            <a:rPr lang="en-US" sz="1050" b="1">
              <a:solidFill>
                <a:sysClr val="windowText" lastClr="000000"/>
              </a:solidFill>
            </a:rPr>
            <a:t>Coal coke</a:t>
          </a:r>
          <a:br>
            <a:rPr lang="en-US" sz="1050" b="1">
              <a:solidFill>
                <a:sysClr val="windowText" lastClr="000000"/>
              </a:solidFill>
            </a:rPr>
          </a:br>
          <a:r>
            <a:rPr lang="en-US" sz="1000" b="0">
              <a:solidFill>
                <a:sysClr val="windowText" lastClr="000000"/>
              </a:solidFill>
            </a:rPr>
            <a:t>111310</a:t>
          </a:r>
          <a:endParaRPr lang="en-US" sz="1050" b="0">
            <a:solidFill>
              <a:sysClr val="windowText" lastClr="000000"/>
            </a:solidFill>
          </a:endParaRPr>
        </a:p>
      </dgm:t>
    </dgm:pt>
    <dgm:pt modelId="{4A328B28-371E-47C7-A546-8ED9FA207ECB}" type="parTrans" cxnId="{07C995BE-DEAB-451E-BE79-B83A4DA546D9}">
      <dgm:prSet/>
      <dgm:spPr/>
      <dgm:t>
        <a:bodyPr/>
        <a:lstStyle/>
        <a:p>
          <a:endParaRPr lang="en-GB"/>
        </a:p>
      </dgm:t>
    </dgm:pt>
    <dgm:pt modelId="{5D0A172E-FF12-404E-B3AA-B03E38A52469}" type="sibTrans" cxnId="{07C995BE-DEAB-451E-BE79-B83A4DA546D9}">
      <dgm:prSet/>
      <dgm:spPr/>
      <dgm:t>
        <a:bodyPr/>
        <a:lstStyle/>
        <a:p>
          <a:endParaRPr lang="en-GB"/>
        </a:p>
      </dgm:t>
    </dgm:pt>
    <dgm:pt modelId="{1A39669A-4A75-42F4-B0ED-F2835897083F}">
      <dgm:prSet phldrT="[Text]" custT="1"/>
      <dgm:spPr>
        <a:pattFill prst="ltDnDiag">
          <a:fgClr>
            <a:schemeClr val="bg2"/>
          </a:fgClr>
          <a:bgClr>
            <a:schemeClr val="bg1"/>
          </a:bgClr>
        </a:pattFill>
      </dgm:spPr>
      <dgm:t>
        <a:bodyPr/>
        <a:lstStyle/>
        <a:p>
          <a:r>
            <a:rPr lang="en-US" sz="1050" b="1">
              <a:solidFill>
                <a:sysClr val="windowText" lastClr="000000"/>
              </a:solidFill>
            </a:rPr>
            <a:t>Patent fuel</a:t>
          </a:r>
          <a:br>
            <a:rPr lang="en-US" sz="1050" b="1">
              <a:solidFill>
                <a:sysClr val="windowText" lastClr="000000"/>
              </a:solidFill>
            </a:rPr>
          </a:br>
          <a:r>
            <a:rPr lang="en-US" sz="1000" b="0">
              <a:solidFill>
                <a:sysClr val="windowText" lastClr="000000"/>
              </a:solidFill>
            </a:rPr>
            <a:t>111320</a:t>
          </a:r>
          <a:endParaRPr lang="en-US" sz="1050" b="0">
            <a:solidFill>
              <a:sysClr val="windowText" lastClr="000000"/>
            </a:solidFill>
          </a:endParaRPr>
        </a:p>
      </dgm:t>
    </dgm:pt>
    <dgm:pt modelId="{BEC1A4FF-3071-4C25-B002-30A5532A28E6}" type="parTrans" cxnId="{5A807DEC-A2F1-4071-8FCE-9DC27CEB9CA6}">
      <dgm:prSet/>
      <dgm:spPr/>
      <dgm:t>
        <a:bodyPr/>
        <a:lstStyle/>
        <a:p>
          <a:endParaRPr lang="en-GB"/>
        </a:p>
      </dgm:t>
    </dgm:pt>
    <dgm:pt modelId="{EEB5C6B2-E270-4E12-9283-1637C10F5136}" type="sibTrans" cxnId="{5A807DEC-A2F1-4071-8FCE-9DC27CEB9CA6}">
      <dgm:prSet/>
      <dgm:spPr/>
      <dgm:t>
        <a:bodyPr/>
        <a:lstStyle/>
        <a:p>
          <a:endParaRPr lang="en-GB"/>
        </a:p>
      </dgm:t>
    </dgm:pt>
    <dgm:pt modelId="{A9C6CD5C-3BFE-4F40-A0A2-6440C65A6574}">
      <dgm:prSet phldrT="[Text]" custT="1"/>
      <dgm:spPr>
        <a:pattFill prst="ltDnDiag">
          <a:fgClr>
            <a:schemeClr val="bg2"/>
          </a:fgClr>
          <a:bgClr>
            <a:schemeClr val="bg1"/>
          </a:bgClr>
        </a:pattFill>
      </dgm:spPr>
      <dgm:t>
        <a:bodyPr/>
        <a:lstStyle/>
        <a:p>
          <a:r>
            <a:rPr lang="en-US" sz="1050" b="1">
              <a:solidFill>
                <a:sysClr val="windowText" lastClr="000000"/>
              </a:solidFill>
            </a:rPr>
            <a:t>Brown coal briquettes</a:t>
          </a:r>
          <a:br>
            <a:rPr lang="en-US" sz="1050" b="1">
              <a:solidFill>
                <a:sysClr val="windowText" lastClr="000000"/>
              </a:solidFill>
            </a:rPr>
          </a:br>
          <a:r>
            <a:rPr lang="en-US" sz="1000" b="0">
              <a:solidFill>
                <a:sysClr val="windowText" lastClr="000000"/>
              </a:solidFill>
            </a:rPr>
            <a:t>111330</a:t>
          </a:r>
          <a:endParaRPr lang="en-US" sz="1050" b="0">
            <a:solidFill>
              <a:sysClr val="windowText" lastClr="000000"/>
            </a:solidFill>
          </a:endParaRPr>
        </a:p>
      </dgm:t>
    </dgm:pt>
    <dgm:pt modelId="{430AEF66-2B6B-4E40-BD92-7A5B9BC44106}" type="parTrans" cxnId="{68238A83-2D04-482F-8785-D4F53D17D88A}">
      <dgm:prSet/>
      <dgm:spPr/>
      <dgm:t>
        <a:bodyPr/>
        <a:lstStyle/>
        <a:p>
          <a:endParaRPr lang="en-GB"/>
        </a:p>
      </dgm:t>
    </dgm:pt>
    <dgm:pt modelId="{1EE07391-BFE2-491A-8D45-481E576B9384}" type="sibTrans" cxnId="{68238A83-2D04-482F-8785-D4F53D17D88A}">
      <dgm:prSet/>
      <dgm:spPr/>
      <dgm:t>
        <a:bodyPr/>
        <a:lstStyle/>
        <a:p>
          <a:endParaRPr lang="en-GB"/>
        </a:p>
      </dgm:t>
    </dgm:pt>
    <dgm:pt modelId="{2873A3ED-D613-4A37-8EE8-00920EDE206B}">
      <dgm:prSet phldrT="[Text]" custT="1"/>
      <dgm:spPr>
        <a:pattFill prst="ltDnDiag">
          <a:fgClr>
            <a:schemeClr val="bg2"/>
          </a:fgClr>
          <a:bgClr>
            <a:schemeClr val="bg1"/>
          </a:bgClr>
        </a:pattFill>
      </dgm:spPr>
      <dgm:t>
        <a:bodyPr/>
        <a:lstStyle/>
        <a:p>
          <a:r>
            <a:rPr lang="en-US" sz="1050" b="1">
              <a:solidFill>
                <a:sysClr val="windowText" lastClr="000000"/>
              </a:solidFill>
            </a:rPr>
            <a:t>Coal tar</a:t>
          </a:r>
          <a:br>
            <a:rPr lang="en-US" sz="1050" b="1">
              <a:solidFill>
                <a:sysClr val="windowText" lastClr="000000"/>
              </a:solidFill>
            </a:rPr>
          </a:br>
          <a:r>
            <a:rPr lang="en-US" sz="1000" b="0">
              <a:solidFill>
                <a:sysClr val="windowText" lastClr="000000"/>
              </a:solidFill>
            </a:rPr>
            <a:t>111340</a:t>
          </a:r>
          <a:endParaRPr lang="en-US" sz="1050" b="0">
            <a:solidFill>
              <a:sysClr val="windowText" lastClr="000000"/>
            </a:solidFill>
          </a:endParaRPr>
        </a:p>
      </dgm:t>
    </dgm:pt>
    <dgm:pt modelId="{560B7FBE-8261-497E-95A6-A4352541D2CF}" type="parTrans" cxnId="{0737CD89-79D8-4760-83FE-B5C81DAEF8F6}">
      <dgm:prSet/>
      <dgm:spPr/>
      <dgm:t>
        <a:bodyPr/>
        <a:lstStyle/>
        <a:p>
          <a:endParaRPr lang="en-GB"/>
        </a:p>
      </dgm:t>
    </dgm:pt>
    <dgm:pt modelId="{98A84A57-1AAF-4873-9BD3-D59A80304BB9}" type="sibTrans" cxnId="{0737CD89-79D8-4760-83FE-B5C81DAEF8F6}">
      <dgm:prSet/>
      <dgm:spPr/>
      <dgm:t>
        <a:bodyPr/>
        <a:lstStyle/>
        <a:p>
          <a:endParaRPr lang="en-GB"/>
        </a:p>
      </dgm:t>
    </dgm:pt>
    <dgm:pt modelId="{2AD98657-974F-47A9-AC62-73BF0131A9C9}">
      <dgm:prSet phldrT="[Text]" custT="1"/>
      <dgm:spPr>
        <a:pattFill prst="ltDnDiag">
          <a:fgClr>
            <a:schemeClr val="bg2"/>
          </a:fgClr>
          <a:bgClr>
            <a:schemeClr val="bg1"/>
          </a:bgClr>
        </a:pattFill>
      </dgm:spPr>
      <dgm:t>
        <a:bodyPr/>
        <a:lstStyle/>
        <a:p>
          <a:r>
            <a:rPr lang="en-US" sz="1050" b="1">
              <a:solidFill>
                <a:sysClr val="windowText" lastClr="000000"/>
              </a:solidFill>
            </a:rPr>
            <a:t>Coke oven gas</a:t>
          </a:r>
          <a:br>
            <a:rPr lang="en-US" sz="1050" b="1">
              <a:solidFill>
                <a:sysClr val="windowText" lastClr="000000"/>
              </a:solidFill>
            </a:rPr>
          </a:br>
          <a:r>
            <a:rPr lang="en-US" sz="1000" b="0">
              <a:solidFill>
                <a:sysClr val="windowText" lastClr="000000"/>
              </a:solidFill>
            </a:rPr>
            <a:t>111350</a:t>
          </a:r>
          <a:endParaRPr lang="en-US" sz="1050" b="0">
            <a:solidFill>
              <a:sysClr val="windowText" lastClr="000000"/>
            </a:solidFill>
          </a:endParaRPr>
        </a:p>
      </dgm:t>
    </dgm:pt>
    <dgm:pt modelId="{387B037D-10B1-4922-8590-8D4303DE7323}" type="parTrans" cxnId="{EF23D5F7-69BE-4CA8-945B-34FC1E9C0B25}">
      <dgm:prSet/>
      <dgm:spPr/>
      <dgm:t>
        <a:bodyPr/>
        <a:lstStyle/>
        <a:p>
          <a:endParaRPr lang="en-GB"/>
        </a:p>
      </dgm:t>
    </dgm:pt>
    <dgm:pt modelId="{BA07E5BA-92C1-49EB-84D3-29EB0DCEDAE6}" type="sibTrans" cxnId="{EF23D5F7-69BE-4CA8-945B-34FC1E9C0B25}">
      <dgm:prSet/>
      <dgm:spPr/>
      <dgm:t>
        <a:bodyPr/>
        <a:lstStyle/>
        <a:p>
          <a:endParaRPr lang="en-GB"/>
        </a:p>
      </dgm:t>
    </dgm:pt>
    <dgm:pt modelId="{4FE96E8C-8EE4-4139-A8BC-01C2D32C4E45}">
      <dgm:prSet phldrT="[Text]" custT="1"/>
      <dgm:spPr>
        <a:pattFill prst="ltDnDiag">
          <a:fgClr>
            <a:schemeClr val="bg2"/>
          </a:fgClr>
          <a:bgClr>
            <a:schemeClr val="bg1"/>
          </a:bgClr>
        </a:pattFill>
      </dgm:spPr>
      <dgm:t>
        <a:bodyPr/>
        <a:lstStyle/>
        <a:p>
          <a:r>
            <a:rPr lang="en-US" sz="1050" b="1">
              <a:solidFill>
                <a:sysClr val="windowText" lastClr="000000"/>
              </a:solidFill>
            </a:rPr>
            <a:t>Gas works gas</a:t>
          </a:r>
          <a:br>
            <a:rPr lang="en-US" sz="1050" b="1">
              <a:solidFill>
                <a:sysClr val="windowText" lastClr="000000"/>
              </a:solidFill>
            </a:rPr>
          </a:br>
          <a:r>
            <a:rPr lang="en-US" sz="1000" b="0">
              <a:solidFill>
                <a:sysClr val="windowText" lastClr="000000"/>
              </a:solidFill>
            </a:rPr>
            <a:t>111360</a:t>
          </a:r>
          <a:endParaRPr lang="en-US" sz="1050" b="0">
            <a:solidFill>
              <a:sysClr val="windowText" lastClr="000000"/>
            </a:solidFill>
          </a:endParaRPr>
        </a:p>
      </dgm:t>
    </dgm:pt>
    <dgm:pt modelId="{5847D14F-9A9B-43DB-B6D4-DB254AAB8E52}" type="parTrans" cxnId="{E5B2598F-87B2-4741-8EEC-973DC9D43865}">
      <dgm:prSet/>
      <dgm:spPr/>
      <dgm:t>
        <a:bodyPr/>
        <a:lstStyle/>
        <a:p>
          <a:endParaRPr lang="en-GB"/>
        </a:p>
      </dgm:t>
    </dgm:pt>
    <dgm:pt modelId="{96026234-85D1-4A19-8509-D2FFD8369E83}" type="sibTrans" cxnId="{E5B2598F-87B2-4741-8EEC-973DC9D43865}">
      <dgm:prSet/>
      <dgm:spPr/>
      <dgm:t>
        <a:bodyPr/>
        <a:lstStyle/>
        <a:p>
          <a:endParaRPr lang="en-GB"/>
        </a:p>
      </dgm:t>
    </dgm:pt>
    <dgm:pt modelId="{E8A2E369-A01E-47FF-87B0-76ED80F67B60}">
      <dgm:prSet phldrT="[Text]" custT="1"/>
      <dgm:spPr>
        <a:pattFill prst="ltDnDiag">
          <a:fgClr>
            <a:schemeClr val="bg2"/>
          </a:fgClr>
          <a:bgClr>
            <a:schemeClr val="bg1"/>
          </a:bgClr>
        </a:pattFill>
      </dgm:spPr>
      <dgm:t>
        <a:bodyPr/>
        <a:lstStyle/>
        <a:p>
          <a:r>
            <a:rPr lang="en-US" sz="1050" b="1">
              <a:solidFill>
                <a:sysClr val="windowText" lastClr="000000"/>
              </a:solidFill>
            </a:rPr>
            <a:t>Recovered gases</a:t>
          </a:r>
          <a:br>
            <a:rPr lang="en-US" sz="1050" b="1">
              <a:solidFill>
                <a:sysClr val="windowText" lastClr="000000"/>
              </a:solidFill>
            </a:rPr>
          </a:br>
          <a:r>
            <a:rPr lang="en-US" sz="1000" b="0">
              <a:solidFill>
                <a:sysClr val="windowText" lastClr="000000"/>
              </a:solidFill>
            </a:rPr>
            <a:t>111370</a:t>
          </a:r>
          <a:endParaRPr lang="en-US" sz="1050" b="0">
            <a:solidFill>
              <a:sysClr val="windowText" lastClr="000000"/>
            </a:solidFill>
          </a:endParaRPr>
        </a:p>
      </dgm:t>
    </dgm:pt>
    <dgm:pt modelId="{98D9D6CE-6322-49D6-861D-4DD638E56228}" type="parTrans" cxnId="{26EBA39D-B217-4EE6-AF2A-35B14A259FF0}">
      <dgm:prSet/>
      <dgm:spPr/>
      <dgm:t>
        <a:bodyPr/>
        <a:lstStyle/>
        <a:p>
          <a:endParaRPr lang="en-GB"/>
        </a:p>
      </dgm:t>
    </dgm:pt>
    <dgm:pt modelId="{2C27D16C-4FF9-4C09-BCA4-690A0B68A29B}" type="sibTrans" cxnId="{26EBA39D-B217-4EE6-AF2A-35B14A259FF0}">
      <dgm:prSet/>
      <dgm:spPr/>
      <dgm:t>
        <a:bodyPr/>
        <a:lstStyle/>
        <a:p>
          <a:endParaRPr lang="en-GB"/>
        </a:p>
      </dgm:t>
    </dgm:pt>
    <dgm:pt modelId="{F4A1CC51-0434-4C0E-A870-44440E1A02D9}">
      <dgm:prSet phldrT="[Text]" custT="1"/>
      <dgm:spPr>
        <a:pattFill prst="ltDnDiag">
          <a:fgClr>
            <a:schemeClr val="bg2"/>
          </a:fgClr>
          <a:bgClr>
            <a:schemeClr val="bg1"/>
          </a:bgClr>
        </a:pattFill>
      </dgm:spPr>
      <dgm:t>
        <a:bodyPr/>
        <a:lstStyle/>
        <a:p>
          <a:r>
            <a:rPr lang="en-US" sz="1050" b="1">
              <a:solidFill>
                <a:sysClr val="windowText" lastClr="000000"/>
              </a:solidFill>
            </a:rPr>
            <a:t>Other coal products</a:t>
          </a:r>
          <a:br>
            <a:rPr lang="en-US" sz="1050" b="1">
              <a:solidFill>
                <a:sysClr val="windowText" lastClr="000000"/>
              </a:solidFill>
            </a:rPr>
          </a:br>
          <a:r>
            <a:rPr lang="en-US" sz="1000" b="0">
              <a:solidFill>
                <a:sysClr val="windowText" lastClr="000000"/>
              </a:solidFill>
            </a:rPr>
            <a:t>111390</a:t>
          </a:r>
          <a:endParaRPr lang="en-US" sz="1050" b="0">
            <a:solidFill>
              <a:sysClr val="windowText" lastClr="000000"/>
            </a:solidFill>
          </a:endParaRPr>
        </a:p>
      </dgm:t>
    </dgm:pt>
    <dgm:pt modelId="{2F7A45B6-6E1A-4CAC-B83D-A1D28C755CE3}" type="parTrans" cxnId="{64D55ED5-0E7B-42FA-9DD6-2835745194DD}">
      <dgm:prSet/>
      <dgm:spPr/>
      <dgm:t>
        <a:bodyPr/>
        <a:lstStyle/>
        <a:p>
          <a:endParaRPr lang="en-GB"/>
        </a:p>
      </dgm:t>
    </dgm:pt>
    <dgm:pt modelId="{196B665E-B92F-4707-B917-CF719CF7EB27}" type="sibTrans" cxnId="{64D55ED5-0E7B-42FA-9DD6-2835745194DD}">
      <dgm:prSet/>
      <dgm:spPr/>
      <dgm:t>
        <a:bodyPr/>
        <a:lstStyle/>
        <a:p>
          <a:endParaRPr lang="en-GB"/>
        </a:p>
      </dgm:t>
    </dgm:pt>
    <dgm:pt modelId="{A80098DA-C80A-4B77-8F44-5A6EA76A1F2D}">
      <dgm:prSet phldrT="[Text]" custT="1"/>
      <dgm:spPr>
        <a:solidFill>
          <a:schemeClr val="bg2"/>
        </a:solidFill>
      </dgm:spPr>
      <dgm:t>
        <a:bodyPr/>
        <a:lstStyle/>
        <a:p>
          <a:r>
            <a:rPr lang="en-US" sz="1050" b="1">
              <a:solidFill>
                <a:sysClr val="windowText" lastClr="000000"/>
              </a:solidFill>
            </a:rPr>
            <a:t>Peat and peat products</a:t>
          </a:r>
          <a:br>
            <a:rPr lang="en-US" sz="1050" b="1">
              <a:solidFill>
                <a:sysClr val="windowText" lastClr="000000"/>
              </a:solidFill>
            </a:rPr>
          </a:br>
          <a:r>
            <a:rPr lang="en-US" sz="1000" b="0">
              <a:solidFill>
                <a:sysClr val="windowText" lastClr="000000"/>
              </a:solidFill>
            </a:rPr>
            <a:t>112000</a:t>
          </a:r>
          <a:endParaRPr lang="en-US" sz="1050" b="0">
            <a:solidFill>
              <a:sysClr val="windowText" lastClr="000000"/>
            </a:solidFill>
          </a:endParaRPr>
        </a:p>
      </dgm:t>
    </dgm:pt>
    <dgm:pt modelId="{001C17F2-085A-4D2E-B5D3-E2D8533B3286}" type="parTrans" cxnId="{C8BE347A-0BD3-4B1B-8FC7-C795F12291C0}">
      <dgm:prSet/>
      <dgm:spPr/>
      <dgm:t>
        <a:bodyPr/>
        <a:lstStyle/>
        <a:p>
          <a:endParaRPr lang="en-GB"/>
        </a:p>
      </dgm:t>
    </dgm:pt>
    <dgm:pt modelId="{4D564C08-E444-4823-925B-5033A3A823B4}" type="sibTrans" cxnId="{C8BE347A-0BD3-4B1B-8FC7-C795F12291C0}">
      <dgm:prSet/>
      <dgm:spPr/>
      <dgm:t>
        <a:bodyPr/>
        <a:lstStyle/>
        <a:p>
          <a:endParaRPr lang="en-GB"/>
        </a:p>
      </dgm:t>
    </dgm:pt>
    <dgm:pt modelId="{8F0CA22B-B976-4897-94C1-A5DBABB2DA3B}">
      <dgm:prSet phldrT="[Text]" custT="1"/>
      <dgm:spPr>
        <a:solidFill>
          <a:schemeClr val="bg2"/>
        </a:solidFill>
      </dgm:spPr>
      <dgm:t>
        <a:bodyPr/>
        <a:lstStyle/>
        <a:p>
          <a:r>
            <a:rPr lang="en-US" sz="1050" b="1">
              <a:solidFill>
                <a:sysClr val="windowText" lastClr="000000"/>
              </a:solidFill>
            </a:rPr>
            <a:t>Peat</a:t>
          </a:r>
          <a:br>
            <a:rPr lang="en-US" sz="1050" b="1">
              <a:solidFill>
                <a:sysClr val="windowText" lastClr="000000"/>
              </a:solidFill>
            </a:rPr>
          </a:br>
          <a:r>
            <a:rPr lang="en-US" sz="1000" b="0">
              <a:solidFill>
                <a:sysClr val="windowText" lastClr="000000"/>
              </a:solidFill>
            </a:rPr>
            <a:t>112100</a:t>
          </a:r>
          <a:endParaRPr lang="en-US" sz="1050" b="0">
            <a:solidFill>
              <a:sysClr val="windowText" lastClr="000000"/>
            </a:solidFill>
          </a:endParaRPr>
        </a:p>
      </dgm:t>
    </dgm:pt>
    <dgm:pt modelId="{F13E853B-7FF9-478E-A44A-137B56EB1EF0}" type="parTrans" cxnId="{9E3736E1-B9FA-4D3C-887F-0C228EDF4AD2}">
      <dgm:prSet/>
      <dgm:spPr/>
      <dgm:t>
        <a:bodyPr/>
        <a:lstStyle/>
        <a:p>
          <a:endParaRPr lang="en-GB"/>
        </a:p>
      </dgm:t>
    </dgm:pt>
    <dgm:pt modelId="{D935542E-3A75-489B-8934-FC42F8A13454}" type="sibTrans" cxnId="{9E3736E1-B9FA-4D3C-887F-0C228EDF4AD2}">
      <dgm:prSet/>
      <dgm:spPr/>
      <dgm:t>
        <a:bodyPr/>
        <a:lstStyle/>
        <a:p>
          <a:endParaRPr lang="en-GB"/>
        </a:p>
      </dgm:t>
    </dgm:pt>
    <dgm:pt modelId="{C96A7505-6770-4770-A152-D1D662290F25}">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Peat products</a:t>
          </a:r>
          <a:br>
            <a:rPr lang="en-US" sz="1050" b="1">
              <a:solidFill>
                <a:sysClr val="windowText" lastClr="000000"/>
              </a:solidFill>
            </a:rPr>
          </a:br>
          <a:r>
            <a:rPr lang="en-US" sz="1000" b="0">
              <a:solidFill>
                <a:sysClr val="windowText" lastClr="000000"/>
              </a:solidFill>
            </a:rPr>
            <a:t>112200</a:t>
          </a:r>
          <a:endParaRPr lang="en-US" sz="1050" b="0">
            <a:solidFill>
              <a:sysClr val="windowText" lastClr="000000"/>
            </a:solidFill>
          </a:endParaRPr>
        </a:p>
      </dgm:t>
    </dgm:pt>
    <dgm:pt modelId="{5CA0ACA5-F6F1-46FF-8D18-425965FC1080}" type="parTrans" cxnId="{06318727-40E3-4AAE-A503-5A469B39070B}">
      <dgm:prSet/>
      <dgm:spPr/>
      <dgm:t>
        <a:bodyPr/>
        <a:lstStyle/>
        <a:p>
          <a:endParaRPr lang="en-GB"/>
        </a:p>
      </dgm:t>
    </dgm:pt>
    <dgm:pt modelId="{7E4ECF5A-8047-4CB4-B4FA-6FBA4B0B1519}" type="sibTrans" cxnId="{06318727-40E3-4AAE-A503-5A469B39070B}">
      <dgm:prSet/>
      <dgm:spPr/>
      <dgm:t>
        <a:bodyPr/>
        <a:lstStyle/>
        <a:p>
          <a:endParaRPr lang="en-GB"/>
        </a:p>
      </dgm:t>
    </dgm:pt>
    <dgm:pt modelId="{CA8E9C58-B0D6-42DA-9DB3-53574B04DCCF}">
      <dgm:prSet phldrT="[Text]" custT="1"/>
      <dgm:spPr>
        <a:solidFill>
          <a:schemeClr val="bg2"/>
        </a:solidFill>
      </dgm:spPr>
      <dgm:t>
        <a:bodyPr/>
        <a:lstStyle/>
        <a:p>
          <a:r>
            <a:rPr lang="en-US" sz="1050" b="1">
              <a:solidFill>
                <a:sysClr val="windowText" lastClr="000000"/>
              </a:solidFill>
            </a:rPr>
            <a:t>Sod peat</a:t>
          </a:r>
          <a:br>
            <a:rPr lang="en-US" sz="1050" b="1">
              <a:solidFill>
                <a:sysClr val="windowText" lastClr="000000"/>
              </a:solidFill>
            </a:rPr>
          </a:br>
          <a:r>
            <a:rPr lang="en-US" sz="1000" b="0">
              <a:solidFill>
                <a:sysClr val="windowText" lastClr="000000"/>
              </a:solidFill>
            </a:rPr>
            <a:t>112110</a:t>
          </a:r>
          <a:endParaRPr lang="en-US" sz="1050" b="0">
            <a:solidFill>
              <a:sysClr val="windowText" lastClr="000000"/>
            </a:solidFill>
          </a:endParaRPr>
        </a:p>
      </dgm:t>
    </dgm:pt>
    <dgm:pt modelId="{87F70D47-D39B-41BA-97E4-C930D6BF1540}" type="parTrans" cxnId="{C2507B39-D0F9-49A4-B831-162E4F57A7C9}">
      <dgm:prSet/>
      <dgm:spPr/>
      <dgm:t>
        <a:bodyPr/>
        <a:lstStyle/>
        <a:p>
          <a:endParaRPr lang="en-GB"/>
        </a:p>
      </dgm:t>
    </dgm:pt>
    <dgm:pt modelId="{3EBFB321-622A-42E5-8410-4B0498A1BE3B}" type="sibTrans" cxnId="{C2507B39-D0F9-49A4-B831-162E4F57A7C9}">
      <dgm:prSet/>
      <dgm:spPr/>
      <dgm:t>
        <a:bodyPr/>
        <a:lstStyle/>
        <a:p>
          <a:endParaRPr lang="en-GB"/>
        </a:p>
      </dgm:t>
    </dgm:pt>
    <dgm:pt modelId="{C538FF67-62E3-499F-9E05-3BD3C36D6FCC}">
      <dgm:prSet phldrT="[Text]" custT="1"/>
      <dgm:spPr>
        <a:solidFill>
          <a:schemeClr val="bg2"/>
        </a:solidFill>
      </dgm:spPr>
      <dgm:t>
        <a:bodyPr/>
        <a:lstStyle/>
        <a:p>
          <a:r>
            <a:rPr lang="en-US" sz="1050" b="1">
              <a:solidFill>
                <a:sysClr val="windowText" lastClr="000000"/>
              </a:solidFill>
            </a:rPr>
            <a:t>Milled peat</a:t>
          </a:r>
          <a:br>
            <a:rPr lang="en-US" sz="1050" b="1">
              <a:solidFill>
                <a:sysClr val="windowText" lastClr="000000"/>
              </a:solidFill>
            </a:rPr>
          </a:br>
          <a:r>
            <a:rPr lang="en-US" sz="1000" b="0">
              <a:solidFill>
                <a:sysClr val="windowText" lastClr="000000"/>
              </a:solidFill>
            </a:rPr>
            <a:t>112120</a:t>
          </a:r>
          <a:endParaRPr lang="en-US" sz="1050" b="0">
            <a:solidFill>
              <a:sysClr val="windowText" lastClr="000000"/>
            </a:solidFill>
          </a:endParaRPr>
        </a:p>
      </dgm:t>
    </dgm:pt>
    <dgm:pt modelId="{F1DD2E4C-12A0-40E8-990A-98CA6B290FA8}" type="parTrans" cxnId="{2B30AB1E-19D0-4D62-B462-CCD5AA625217}">
      <dgm:prSet/>
      <dgm:spPr/>
      <dgm:t>
        <a:bodyPr/>
        <a:lstStyle/>
        <a:p>
          <a:endParaRPr lang="en-GB"/>
        </a:p>
      </dgm:t>
    </dgm:pt>
    <dgm:pt modelId="{F9DD2B0C-4EB5-4FC2-A894-BA55EA0C7A7B}" type="sibTrans" cxnId="{2B30AB1E-19D0-4D62-B462-CCD5AA625217}">
      <dgm:prSet/>
      <dgm:spPr/>
      <dgm:t>
        <a:bodyPr/>
        <a:lstStyle/>
        <a:p>
          <a:endParaRPr lang="en-GB"/>
        </a:p>
      </dgm:t>
    </dgm:pt>
    <dgm:pt modelId="{09FB452B-3E8F-4AE9-AA52-5EC6BD88167E}">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Peat briquettes</a:t>
          </a:r>
          <a:br>
            <a:rPr lang="en-US" sz="1050" b="1">
              <a:solidFill>
                <a:sysClr val="windowText" lastClr="000000"/>
              </a:solidFill>
            </a:rPr>
          </a:br>
          <a:r>
            <a:rPr lang="en-US" sz="1000" b="0">
              <a:solidFill>
                <a:sysClr val="windowText" lastClr="000000"/>
              </a:solidFill>
            </a:rPr>
            <a:t>112210</a:t>
          </a:r>
          <a:endParaRPr lang="en-US" sz="1050" b="0">
            <a:solidFill>
              <a:sysClr val="windowText" lastClr="000000"/>
            </a:solidFill>
          </a:endParaRPr>
        </a:p>
      </dgm:t>
    </dgm:pt>
    <dgm:pt modelId="{83DE7630-43AC-41D3-9DDE-B7D7C969FBD7}" type="parTrans" cxnId="{985AF703-AD9F-4EE1-B8B3-D2004F64F745}">
      <dgm:prSet/>
      <dgm:spPr/>
      <dgm:t>
        <a:bodyPr/>
        <a:lstStyle/>
        <a:p>
          <a:endParaRPr lang="en-GB"/>
        </a:p>
      </dgm:t>
    </dgm:pt>
    <dgm:pt modelId="{888725A4-AFB3-4CB1-A0A1-2E17A8BF4824}" type="sibTrans" cxnId="{985AF703-AD9F-4EE1-B8B3-D2004F64F745}">
      <dgm:prSet/>
      <dgm:spPr/>
      <dgm:t>
        <a:bodyPr/>
        <a:lstStyle/>
        <a:p>
          <a:endParaRPr lang="en-GB"/>
        </a:p>
      </dgm:t>
    </dgm:pt>
    <dgm:pt modelId="{9E8BFB46-E297-4315-941D-50527A6D7983}">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Other peat products</a:t>
          </a:r>
          <a:br>
            <a:rPr lang="en-US" sz="1050" b="1">
              <a:solidFill>
                <a:sysClr val="windowText" lastClr="000000"/>
              </a:solidFill>
            </a:rPr>
          </a:br>
          <a:r>
            <a:rPr lang="en-US" sz="1000" b="0">
              <a:solidFill>
                <a:sysClr val="windowText" lastClr="000000"/>
              </a:solidFill>
            </a:rPr>
            <a:t>112290</a:t>
          </a:r>
          <a:endParaRPr lang="en-US" sz="1050" b="0">
            <a:solidFill>
              <a:sysClr val="windowText" lastClr="000000"/>
            </a:solidFill>
          </a:endParaRPr>
        </a:p>
      </dgm:t>
    </dgm:pt>
    <dgm:pt modelId="{34CC0B34-224B-4B27-8E61-32E70E74ED72}" type="parTrans" cxnId="{6F16D49E-1502-456D-A1BF-11FCF9427EF0}">
      <dgm:prSet/>
      <dgm:spPr/>
      <dgm:t>
        <a:bodyPr/>
        <a:lstStyle/>
        <a:p>
          <a:endParaRPr lang="en-GB"/>
        </a:p>
      </dgm:t>
    </dgm:pt>
    <dgm:pt modelId="{D04C43B4-E22F-49AE-8757-6C81328D2DA2}" type="sibTrans" cxnId="{6F16D49E-1502-456D-A1BF-11FCF9427EF0}">
      <dgm:prSet/>
      <dgm:spPr/>
      <dgm:t>
        <a:bodyPr/>
        <a:lstStyle/>
        <a:p>
          <a:endParaRPr lang="en-GB"/>
        </a:p>
      </dgm:t>
    </dgm:pt>
    <dgm:pt modelId="{5F39BE30-4348-486D-8BCC-845ACD98CD91}">
      <dgm:prSet phldrT="[Text]" custT="1"/>
      <dgm:spPr>
        <a:solidFill>
          <a:schemeClr val="bg2"/>
        </a:solidFill>
      </dgm:spPr>
      <dgm:t>
        <a:bodyPr/>
        <a:lstStyle/>
        <a:p>
          <a:r>
            <a:rPr lang="en-US" sz="1050" b="1">
              <a:solidFill>
                <a:sysClr val="windowText" lastClr="000000"/>
              </a:solidFill>
            </a:rPr>
            <a:t>Wet natural gas</a:t>
          </a:r>
          <a:br>
            <a:rPr lang="en-US" sz="1050" b="1">
              <a:solidFill>
                <a:sysClr val="windowText" lastClr="000000"/>
              </a:solidFill>
            </a:rPr>
          </a:br>
          <a:r>
            <a:rPr lang="en-US" sz="1000" b="0">
              <a:solidFill>
                <a:sysClr val="windowText" lastClr="000000"/>
              </a:solidFill>
            </a:rPr>
            <a:t>113100</a:t>
          </a:r>
          <a:endParaRPr lang="en-US" sz="1050" b="0">
            <a:solidFill>
              <a:sysClr val="windowText" lastClr="000000"/>
            </a:solidFill>
          </a:endParaRPr>
        </a:p>
      </dgm:t>
    </dgm:pt>
    <dgm:pt modelId="{48C62576-C347-45D3-A062-942FC9CB0A12}" type="parTrans" cxnId="{F475733B-C2B9-409D-A068-BF6B46E7153A}">
      <dgm:prSet/>
      <dgm:spPr/>
      <dgm:t>
        <a:bodyPr/>
        <a:lstStyle/>
        <a:p>
          <a:endParaRPr lang="en-GB"/>
        </a:p>
      </dgm:t>
    </dgm:pt>
    <dgm:pt modelId="{8FEEEE23-C929-4A7B-9027-04F21AADD24B}" type="sibTrans" cxnId="{F475733B-C2B9-409D-A068-BF6B46E7153A}">
      <dgm:prSet/>
      <dgm:spPr/>
      <dgm:t>
        <a:bodyPr/>
        <a:lstStyle/>
        <a:p>
          <a:endParaRPr lang="en-GB"/>
        </a:p>
      </dgm:t>
    </dgm:pt>
    <dgm:pt modelId="{9084847E-30A5-4EF1-AF92-BC6FB7F4E1C7}">
      <dgm:prSet phldrT="[Text]" custT="1"/>
      <dgm:spPr>
        <a:solidFill>
          <a:schemeClr val="bg2"/>
        </a:solidFill>
      </dgm:spPr>
      <dgm:t>
        <a:bodyPr/>
        <a:lstStyle/>
        <a:p>
          <a:r>
            <a:rPr lang="en-US" sz="1050" b="1">
              <a:solidFill>
                <a:sysClr val="windowText" lastClr="000000"/>
              </a:solidFill>
            </a:rPr>
            <a:t>Liquefied natural gas</a:t>
          </a:r>
          <a:br>
            <a:rPr lang="en-US" sz="1050" b="1">
              <a:solidFill>
                <a:sysClr val="windowText" lastClr="000000"/>
              </a:solidFill>
            </a:rPr>
          </a:br>
          <a:r>
            <a:rPr lang="en-US" sz="1000" b="0">
              <a:solidFill>
                <a:sysClr val="windowText" lastClr="000000"/>
              </a:solidFill>
            </a:rPr>
            <a:t>113200</a:t>
          </a:r>
          <a:endParaRPr lang="en-US" sz="1050" b="0">
            <a:solidFill>
              <a:sysClr val="windowText" lastClr="000000"/>
            </a:solidFill>
          </a:endParaRPr>
        </a:p>
      </dgm:t>
    </dgm:pt>
    <dgm:pt modelId="{10B896D3-0393-4FDC-8D4D-D7B7F0D986E2}" type="parTrans" cxnId="{6996E8DE-8815-4B4A-9477-F47F26E52317}">
      <dgm:prSet/>
      <dgm:spPr/>
      <dgm:t>
        <a:bodyPr/>
        <a:lstStyle/>
        <a:p>
          <a:endParaRPr lang="en-GB"/>
        </a:p>
      </dgm:t>
    </dgm:pt>
    <dgm:pt modelId="{D5AA821C-AF99-494D-BBF2-05C5B2F5BB9B}" type="sibTrans" cxnId="{6996E8DE-8815-4B4A-9477-F47F26E52317}">
      <dgm:prSet/>
      <dgm:spPr/>
      <dgm:t>
        <a:bodyPr/>
        <a:lstStyle/>
        <a:p>
          <a:endParaRPr lang="en-GB"/>
        </a:p>
      </dgm:t>
    </dgm:pt>
    <dgm:pt modelId="{925481C1-8C62-4771-8584-6C589CE0BF1D}">
      <dgm:prSet phldrT="[Text]" custT="1"/>
      <dgm:spPr>
        <a:solidFill>
          <a:schemeClr val="bg2"/>
        </a:solidFill>
      </dgm:spPr>
      <dgm:t>
        <a:bodyPr/>
        <a:lstStyle/>
        <a:p>
          <a:r>
            <a:rPr lang="en-US" sz="1050" b="1">
              <a:solidFill>
                <a:sysClr val="windowText" lastClr="000000"/>
              </a:solidFill>
            </a:rPr>
            <a:t>Compressed natural gas </a:t>
          </a:r>
          <a:br>
            <a:rPr lang="en-US" sz="1050" b="1">
              <a:solidFill>
                <a:sysClr val="windowText" lastClr="000000"/>
              </a:solidFill>
            </a:rPr>
          </a:br>
          <a:r>
            <a:rPr lang="en-US" sz="1000" b="0">
              <a:solidFill>
                <a:sysClr val="windowText" lastClr="000000"/>
              </a:solidFill>
            </a:rPr>
            <a:t>113300</a:t>
          </a:r>
          <a:endParaRPr lang="en-US" sz="1050" b="0">
            <a:solidFill>
              <a:sysClr val="windowText" lastClr="000000"/>
            </a:solidFill>
          </a:endParaRPr>
        </a:p>
      </dgm:t>
    </dgm:pt>
    <dgm:pt modelId="{46ABA199-A95B-4512-9F2C-1BED99117E6E}" type="parTrans" cxnId="{1A49EF51-73B5-4426-97D7-0E065972F0A6}">
      <dgm:prSet/>
      <dgm:spPr/>
      <dgm:t>
        <a:bodyPr/>
        <a:lstStyle/>
        <a:p>
          <a:endParaRPr lang="en-GB"/>
        </a:p>
      </dgm:t>
    </dgm:pt>
    <dgm:pt modelId="{3E39063F-4613-453D-AF48-986255035A47}" type="sibTrans" cxnId="{1A49EF51-73B5-4426-97D7-0E065972F0A6}">
      <dgm:prSet/>
      <dgm:spPr/>
      <dgm:t>
        <a:bodyPr/>
        <a:lstStyle/>
        <a:p>
          <a:endParaRPr lang="en-GB"/>
        </a:p>
      </dgm:t>
    </dgm:pt>
    <dgm:pt modelId="{AA13D9C3-DE12-4386-9218-55336D97163C}">
      <dgm:prSet phldrT="[Text]" custT="1"/>
      <dgm:spPr>
        <a:pattFill prst="ltHorz">
          <a:fgClr>
            <a:schemeClr val="accent6">
              <a:lumMod val="20000"/>
              <a:lumOff val="80000"/>
            </a:schemeClr>
          </a:fgClr>
          <a:bgClr>
            <a:schemeClr val="bg1"/>
          </a:bgClr>
        </a:pattFill>
        <a:ln>
          <a:prstDash val="solid"/>
        </a:ln>
      </dgm:spPr>
      <dgm:t>
        <a:bodyPr/>
        <a:lstStyle/>
        <a:p>
          <a:r>
            <a:rPr lang="en-US" sz="1050" b="1"/>
            <a:t>Bio-LPG</a:t>
          </a:r>
          <a:br>
            <a:rPr lang="en-US" sz="1050" b="1"/>
          </a:br>
          <a:r>
            <a:rPr lang="en-US" sz="1000" b="0"/>
            <a:t>262910</a:t>
          </a:r>
          <a:endParaRPr lang="en-US" sz="1050" b="0"/>
        </a:p>
      </dgm:t>
    </dgm:pt>
    <dgm:pt modelId="{0E9BCA7E-3A0B-4BD5-B8D1-E7C586DE6325}" type="parTrans" cxnId="{8672794C-A2A3-4FA6-AE5D-3D0F81304C59}">
      <dgm:prSet/>
      <dgm:spPr/>
      <dgm:t>
        <a:bodyPr/>
        <a:lstStyle/>
        <a:p>
          <a:endParaRPr lang="en-GB"/>
        </a:p>
      </dgm:t>
    </dgm:pt>
    <dgm:pt modelId="{A31FBC49-D773-4143-9956-850A5E851BD6}" type="sibTrans" cxnId="{8672794C-A2A3-4FA6-AE5D-3D0F81304C59}">
      <dgm:prSet/>
      <dgm:spPr/>
      <dgm:t>
        <a:bodyPr/>
        <a:lstStyle/>
        <a:p>
          <a:endParaRPr lang="en-GB"/>
        </a:p>
      </dgm:t>
    </dgm:pt>
    <dgm:pt modelId="{298CC665-FF50-4B2C-9490-9ACF0AB8284C}">
      <dgm:prSet phldrT="[Text]" custT="1"/>
      <dgm:spPr>
        <a:pattFill prst="ltHorz">
          <a:fgClr>
            <a:schemeClr val="accent6">
              <a:lumMod val="20000"/>
              <a:lumOff val="80000"/>
            </a:schemeClr>
          </a:fgClr>
          <a:bgClr>
            <a:schemeClr val="bg1"/>
          </a:bgClr>
        </a:pattFill>
        <a:ln>
          <a:prstDash val="solid"/>
        </a:ln>
      </dgm:spPr>
      <dgm:t>
        <a:bodyPr/>
        <a:lstStyle/>
        <a:p>
          <a:r>
            <a:rPr lang="en-US" sz="1050" b="1"/>
            <a:t>Other liquid biofuels n.e.s.</a:t>
          </a:r>
          <a:br>
            <a:rPr lang="en-US" sz="1050" b="1"/>
          </a:br>
          <a:r>
            <a:rPr lang="en-US" sz="1000" b="0"/>
            <a:t>262990</a:t>
          </a:r>
          <a:endParaRPr lang="en-US" sz="1050" b="0"/>
        </a:p>
      </dgm:t>
    </dgm:pt>
    <dgm:pt modelId="{16D22254-C9B2-4B6E-84AE-A024BE9B3D3B}" type="parTrans" cxnId="{CC83CA82-B2CF-47FF-8586-F970AC4DCF35}">
      <dgm:prSet/>
      <dgm:spPr/>
      <dgm:t>
        <a:bodyPr/>
        <a:lstStyle/>
        <a:p>
          <a:endParaRPr lang="en-GB"/>
        </a:p>
      </dgm:t>
    </dgm:pt>
    <dgm:pt modelId="{F1C2B8C5-5738-4565-AFB9-108713BA3EB8}" type="sibTrans" cxnId="{CC83CA82-B2CF-47FF-8586-F970AC4DCF35}">
      <dgm:prSet/>
      <dgm:spPr/>
      <dgm:t>
        <a:bodyPr/>
        <a:lstStyle/>
        <a:p>
          <a:endParaRPr lang="en-GB"/>
        </a:p>
      </dgm:t>
    </dgm:pt>
    <dgm:pt modelId="{8FF3568A-CAA4-4B5F-A69D-D7BC18D34268}">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solid fuels</a:t>
          </a:r>
          <a:br>
            <a:rPr lang="en-US" sz="1050" b="0"/>
          </a:br>
          <a:r>
            <a:rPr lang="en-US" sz="1000" b="0"/>
            <a:t>271000</a:t>
          </a:r>
        </a:p>
      </dgm:t>
    </dgm:pt>
    <dgm:pt modelId="{DADDBE30-8B33-4103-B337-38369D94F0CE}" type="parTrans" cxnId="{B85554E7-86C6-474F-A1E6-8D8623D9F76F}">
      <dgm:prSet/>
      <dgm:spPr/>
      <dgm:t>
        <a:bodyPr/>
        <a:lstStyle/>
        <a:p>
          <a:endParaRPr lang="en-GB"/>
        </a:p>
      </dgm:t>
    </dgm:pt>
    <dgm:pt modelId="{3827829F-C586-4481-B43A-0919AC9D8BAF}" type="sibTrans" cxnId="{B85554E7-86C6-474F-A1E6-8D8623D9F76F}">
      <dgm:prSet/>
      <dgm:spPr/>
      <dgm:t>
        <a:bodyPr/>
        <a:lstStyle/>
        <a:p>
          <a:endParaRPr lang="en-GB"/>
        </a:p>
      </dgm:t>
    </dgm:pt>
    <dgm:pt modelId="{B5E062C0-51FF-475B-AB77-41B3C120B87C}">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liquid fuels</a:t>
          </a:r>
          <a:br>
            <a:rPr lang="en-US" sz="1050" b="0"/>
          </a:br>
          <a:r>
            <a:rPr lang="en-US" sz="1000" b="0"/>
            <a:t>272000</a:t>
          </a:r>
          <a:endParaRPr lang="en-US" sz="1050" b="0"/>
        </a:p>
      </dgm:t>
    </dgm:pt>
    <dgm:pt modelId="{4B61A3EB-7851-480D-97AE-AAA81D67AC7D}" type="parTrans" cxnId="{C475E70E-240D-4CA6-A9DA-C84775DB05DB}">
      <dgm:prSet/>
      <dgm:spPr/>
      <dgm:t>
        <a:bodyPr/>
        <a:lstStyle/>
        <a:p>
          <a:endParaRPr lang="en-GB"/>
        </a:p>
      </dgm:t>
    </dgm:pt>
    <dgm:pt modelId="{29A875B1-F2D4-480E-868D-6A5A2E0021A6}" type="sibTrans" cxnId="{C475E70E-240D-4CA6-A9DA-C84775DB05DB}">
      <dgm:prSet/>
      <dgm:spPr/>
      <dgm:t>
        <a:bodyPr/>
        <a:lstStyle/>
        <a:p>
          <a:endParaRPr lang="en-GB"/>
        </a:p>
      </dgm:t>
    </dgm:pt>
    <dgm:pt modelId="{AEFC0FA9-2342-4015-A81F-EBCAB4D4A36F}">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gas fuels</a:t>
          </a:r>
          <a:br>
            <a:rPr lang="en-US" sz="1050" b="0"/>
          </a:br>
          <a:r>
            <a:rPr lang="en-US" sz="1000" b="0"/>
            <a:t>273000</a:t>
          </a:r>
          <a:endParaRPr lang="en-US" sz="1050" b="0"/>
        </a:p>
      </dgm:t>
    </dgm:pt>
    <dgm:pt modelId="{F6166141-EBCE-4D39-B2DD-547EF703D58C}" type="parTrans" cxnId="{BE345D6D-9A98-4FAF-94F7-64FCBACB5B0B}">
      <dgm:prSet/>
      <dgm:spPr/>
      <dgm:t>
        <a:bodyPr/>
        <a:lstStyle/>
        <a:p>
          <a:endParaRPr lang="en-GB"/>
        </a:p>
      </dgm:t>
    </dgm:pt>
    <dgm:pt modelId="{54B33EF6-52CC-4AB6-91B1-F84E8A3F5934}" type="sibTrans" cxnId="{BE345D6D-9A98-4FAF-94F7-64FCBACB5B0B}">
      <dgm:prSet/>
      <dgm:spPr/>
      <dgm:t>
        <a:bodyPr/>
        <a:lstStyle/>
        <a:p>
          <a:endParaRPr lang="en-GB"/>
        </a:p>
      </dgm:t>
    </dgm:pt>
    <dgm:pt modelId="{C0BAA408-BB68-4C3A-B248-C402579E8C6F}">
      <dgm:prSet phldrT="[Text]" custT="1"/>
      <dgm:spPr>
        <a:pattFill prst="ltDnDiag">
          <a:fgClr>
            <a:schemeClr val="accent2">
              <a:lumMod val="40000"/>
              <a:lumOff val="60000"/>
            </a:schemeClr>
          </a:fgClr>
          <a:bgClr>
            <a:schemeClr val="bg1"/>
          </a:bgClr>
        </a:pattFill>
        <a:ln>
          <a:prstDash val="solid"/>
        </a:ln>
      </dgm:spPr>
      <dgm:t>
        <a:bodyPr/>
        <a:lstStyle/>
        <a:p>
          <a:r>
            <a:rPr lang="en-US" sz="1050" b="1"/>
            <a:t>Renewable electrolytic hydrogen</a:t>
          </a:r>
          <a:br>
            <a:rPr lang="en-US" sz="1050" b="0"/>
          </a:br>
          <a:r>
            <a:rPr lang="en-US" sz="1000" b="0"/>
            <a:t>273100</a:t>
          </a:r>
          <a:endParaRPr lang="en-US" sz="1050" b="0"/>
        </a:p>
      </dgm:t>
    </dgm:pt>
    <dgm:pt modelId="{EA51EB90-AB65-4110-84B3-187C79A86DC5}" type="parTrans" cxnId="{313288AA-25C6-4F9F-9CD7-ACD3EC0AD412}">
      <dgm:prSet/>
      <dgm:spPr/>
      <dgm:t>
        <a:bodyPr/>
        <a:lstStyle/>
        <a:p>
          <a:endParaRPr lang="en-GB"/>
        </a:p>
      </dgm:t>
    </dgm:pt>
    <dgm:pt modelId="{98095030-4F46-44C9-B728-64592CC9F2FD}" type="sibTrans" cxnId="{313288AA-25C6-4F9F-9CD7-ACD3EC0AD412}">
      <dgm:prSet/>
      <dgm:spPr/>
      <dgm:t>
        <a:bodyPr/>
        <a:lstStyle/>
        <a:p>
          <a:endParaRPr lang="en-GB"/>
        </a:p>
      </dgm:t>
    </dgm:pt>
    <dgm:pt modelId="{9251A46D-2BE0-4272-8860-C252FCA0E36F}">
      <dgm:prSet phldrT="[Text]" custT="1"/>
      <dgm:spPr>
        <a:pattFill prst="ltDnDiag">
          <a:fgClr>
            <a:schemeClr val="accent2">
              <a:lumMod val="40000"/>
              <a:lumOff val="60000"/>
            </a:schemeClr>
          </a:fgClr>
          <a:bgClr>
            <a:schemeClr val="bg1"/>
          </a:bgClr>
        </a:pattFill>
        <a:ln>
          <a:prstDash val="solid"/>
        </a:ln>
      </dgm:spPr>
      <dgm:t>
        <a:bodyPr/>
        <a:lstStyle/>
        <a:p>
          <a:r>
            <a:rPr lang="en-US" sz="1050" b="1"/>
            <a:t>Renewable photolytic hydrogen</a:t>
          </a:r>
          <a:br>
            <a:rPr lang="en-US" sz="1100" b="0"/>
          </a:br>
          <a:r>
            <a:rPr lang="en-US" sz="1000" b="0"/>
            <a:t>273200</a:t>
          </a:r>
          <a:endParaRPr lang="en-US" sz="1100" b="0"/>
        </a:p>
      </dgm:t>
    </dgm:pt>
    <dgm:pt modelId="{D3BB6DD2-32D4-4C61-9F1E-95198B66568D}" type="parTrans" cxnId="{41B370C1-3996-48A8-95B3-6F9CD1895365}">
      <dgm:prSet/>
      <dgm:spPr/>
      <dgm:t>
        <a:bodyPr/>
        <a:lstStyle/>
        <a:p>
          <a:endParaRPr lang="en-GB"/>
        </a:p>
      </dgm:t>
    </dgm:pt>
    <dgm:pt modelId="{1A6BFCE9-E811-4316-B136-76450D3C52C6}" type="sibTrans" cxnId="{41B370C1-3996-48A8-95B3-6F9CD1895365}">
      <dgm:prSet/>
      <dgm:spPr/>
      <dgm:t>
        <a:bodyPr/>
        <a:lstStyle/>
        <a:p>
          <a:endParaRPr lang="en-GB"/>
        </a:p>
      </dgm:t>
    </dgm:pt>
    <dgm:pt modelId="{A1A6043F-1314-4D8F-807A-DCB8AA616AF7}">
      <dgm:prSet phldrT="[Text]" custT="1"/>
      <dgm:spPr>
        <a:pattFill prst="ltDnDiag">
          <a:fgClr>
            <a:schemeClr val="accent2">
              <a:lumMod val="40000"/>
              <a:lumOff val="60000"/>
            </a:schemeClr>
          </a:fgClr>
          <a:bgClr>
            <a:schemeClr val="bg1"/>
          </a:bgClr>
        </a:pattFill>
        <a:ln>
          <a:prstDash val="solid"/>
        </a:ln>
      </dgm:spPr>
      <dgm:t>
        <a:bodyPr/>
        <a:lstStyle/>
        <a:p>
          <a:r>
            <a:rPr lang="en-US" sz="1050" b="1"/>
            <a:t>Renewable thermolytic hydrogen</a:t>
          </a:r>
          <a:br>
            <a:rPr lang="en-US" sz="1100" b="0"/>
          </a:br>
          <a:r>
            <a:rPr lang="en-US" sz="1000" b="0"/>
            <a:t>273300</a:t>
          </a:r>
          <a:endParaRPr lang="en-US" sz="1050" b="0"/>
        </a:p>
      </dgm:t>
    </dgm:pt>
    <dgm:pt modelId="{E3E2BEE7-4F1F-4AF7-BA2F-5153D813D02F}" type="parTrans" cxnId="{C6A920F1-E4C6-465E-994C-2B5C0BA14A1D}">
      <dgm:prSet/>
      <dgm:spPr/>
      <dgm:t>
        <a:bodyPr/>
        <a:lstStyle/>
        <a:p>
          <a:endParaRPr lang="en-GB"/>
        </a:p>
      </dgm:t>
    </dgm:pt>
    <dgm:pt modelId="{0D0E0DB3-D08C-4827-A549-B2AC93E62F30}" type="sibTrans" cxnId="{C6A920F1-E4C6-465E-994C-2B5C0BA14A1D}">
      <dgm:prSet/>
      <dgm:spPr/>
      <dgm:t>
        <a:bodyPr/>
        <a:lstStyle/>
        <a:p>
          <a:endParaRPr lang="en-GB"/>
        </a:p>
      </dgm:t>
    </dgm:pt>
    <dgm:pt modelId="{3966608D-C2F4-4B13-95D8-3B194261431C}">
      <dgm:prSet phldrT="[Text]" custT="1"/>
      <dgm:spPr>
        <a:pattFill prst="ltDnDiag">
          <a:fgClr>
            <a:schemeClr val="accent2">
              <a:lumMod val="40000"/>
              <a:lumOff val="60000"/>
            </a:schemeClr>
          </a:fgClr>
          <a:bgClr>
            <a:schemeClr val="bg1"/>
          </a:bgClr>
        </a:pattFill>
        <a:ln>
          <a:prstDash val="solid"/>
        </a:ln>
      </dgm:spPr>
      <dgm:t>
        <a:bodyPr/>
        <a:lstStyle/>
        <a:p>
          <a:r>
            <a:rPr lang="en-US" sz="1050" b="1"/>
            <a:t>Other non-bio renewable gas fuels</a:t>
          </a:r>
          <a:br>
            <a:rPr lang="en-US" sz="1050" b="0"/>
          </a:br>
          <a:r>
            <a:rPr lang="en-US" sz="1000" b="0"/>
            <a:t>273900</a:t>
          </a:r>
          <a:endParaRPr lang="en-US" sz="1050" b="0"/>
        </a:p>
      </dgm:t>
    </dgm:pt>
    <dgm:pt modelId="{AC0CBECA-5188-40E4-8347-671284FF0F21}" type="parTrans" cxnId="{3E787E04-A886-46DE-8ECD-E8A25D08A168}">
      <dgm:prSet/>
      <dgm:spPr/>
      <dgm:t>
        <a:bodyPr/>
        <a:lstStyle/>
        <a:p>
          <a:endParaRPr lang="en-GB"/>
        </a:p>
      </dgm:t>
    </dgm:pt>
    <dgm:pt modelId="{31A34297-4D0C-4C79-8C94-E2E08AB45773}" type="sibTrans" cxnId="{3E787E04-A886-46DE-8ECD-E8A25D08A168}">
      <dgm:prSet/>
      <dgm:spPr/>
      <dgm:t>
        <a:bodyPr/>
        <a:lstStyle/>
        <a:p>
          <a:endParaRPr lang="en-GB"/>
        </a:p>
      </dgm:t>
    </dgm:pt>
    <dgm:pt modelId="{BD3530F7-EA45-4827-8204-FABD43E02086}">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DME</a:t>
          </a:r>
          <a:br>
            <a:rPr lang="en-US" sz="1050" b="0"/>
          </a:br>
          <a:r>
            <a:rPr lang="en-US" sz="1000" b="0"/>
            <a:t>273500</a:t>
          </a:r>
          <a:endParaRPr lang="en-US" sz="1050" b="0"/>
        </a:p>
      </dgm:t>
    </dgm:pt>
    <dgm:pt modelId="{3F9E6036-C1F6-4DB3-976C-10461FC1392C}" type="parTrans" cxnId="{1E8C5B0E-DFBA-474B-828D-509611339DF4}">
      <dgm:prSet/>
      <dgm:spPr/>
      <dgm:t>
        <a:bodyPr/>
        <a:lstStyle/>
        <a:p>
          <a:endParaRPr lang="en-GB"/>
        </a:p>
      </dgm:t>
    </dgm:pt>
    <dgm:pt modelId="{D8FA73AD-4B24-4B67-8AB3-5EAF2E86445D}" type="sibTrans" cxnId="{1E8C5B0E-DFBA-474B-828D-509611339DF4}">
      <dgm:prSet/>
      <dgm:spPr/>
      <dgm:t>
        <a:bodyPr/>
        <a:lstStyle/>
        <a:p>
          <a:endParaRPr lang="en-GB"/>
        </a:p>
      </dgm:t>
    </dgm:pt>
    <dgm:pt modelId="{D93F8FC5-B1EC-48A5-BE67-12F26D119071}">
      <dgm:prSet phldrT="[Text]" custT="1"/>
      <dgm:spPr>
        <a:pattFill prst="ltDnDiag">
          <a:fgClr>
            <a:schemeClr val="accent6">
              <a:lumMod val="20000"/>
              <a:lumOff val="80000"/>
            </a:schemeClr>
          </a:fgClr>
          <a:bgClr>
            <a:schemeClr val="bg1"/>
          </a:bgClr>
        </a:pattFill>
      </dgm:spPr>
      <dgm:t>
        <a:bodyPr/>
        <a:lstStyle/>
        <a:p>
          <a:r>
            <a:rPr lang="en-US" sz="1050" b="1"/>
            <a:t>Bio-DME</a:t>
          </a:r>
          <a:br>
            <a:rPr lang="en-US" sz="1050" b="1"/>
          </a:br>
          <a:r>
            <a:rPr lang="en-US" sz="1000" b="0"/>
            <a:t>263330</a:t>
          </a:r>
          <a:endParaRPr lang="en-US" sz="1050" b="0"/>
        </a:p>
      </dgm:t>
    </dgm:pt>
    <dgm:pt modelId="{670C0FB0-3E50-4F75-875A-6D5296FE311B}" type="parTrans" cxnId="{AC0DF829-1481-41E2-9A85-6462C1222563}">
      <dgm:prSet/>
      <dgm:spPr/>
      <dgm:t>
        <a:bodyPr/>
        <a:lstStyle/>
        <a:p>
          <a:endParaRPr lang="en-GB"/>
        </a:p>
      </dgm:t>
    </dgm:pt>
    <dgm:pt modelId="{179FB65E-3A24-4658-B16A-83C360139DA1}" type="sibTrans" cxnId="{AC0DF829-1481-41E2-9A85-6462C1222563}">
      <dgm:prSet/>
      <dgm:spPr/>
      <dgm:t>
        <a:bodyPr/>
        <a:lstStyle/>
        <a:p>
          <a:endParaRPr lang="en-GB"/>
        </a:p>
      </dgm:t>
    </dgm:pt>
    <dgm:pt modelId="{FB0F6AE7-73B3-4BCC-A860-E9D777904C06}">
      <dgm:prSet phldrT="[Text]" custT="1"/>
      <dgm:spPr>
        <a:pattFill prst="ltDnDiag">
          <a:fgClr>
            <a:schemeClr val="accent2">
              <a:lumMod val="40000"/>
              <a:lumOff val="60000"/>
            </a:schemeClr>
          </a:fgClr>
          <a:bgClr>
            <a:schemeClr val="bg1"/>
          </a:bgClr>
        </a:pattFill>
        <a:ln>
          <a:prstDash val="solid"/>
        </a:ln>
      </dgm:spPr>
      <dgm:t>
        <a:bodyPr/>
        <a:lstStyle/>
        <a:p>
          <a:r>
            <a:rPr lang="en-US" sz="1050" b="1"/>
            <a:t>Other non-bio renewable liquid fuels</a:t>
          </a:r>
          <a:br>
            <a:rPr lang="en-US" sz="1050" b="0"/>
          </a:br>
          <a:r>
            <a:rPr lang="en-US" sz="1000" b="0"/>
            <a:t>272900</a:t>
          </a:r>
          <a:endParaRPr lang="en-US" sz="1050" b="0"/>
        </a:p>
      </dgm:t>
    </dgm:pt>
    <dgm:pt modelId="{61C8F238-EEF4-4CF0-9D7F-3E09E606208E}" type="parTrans" cxnId="{061F21CF-C526-4E3B-9678-8542204DFC3E}">
      <dgm:prSet/>
      <dgm:spPr/>
      <dgm:t>
        <a:bodyPr/>
        <a:lstStyle/>
        <a:p>
          <a:endParaRPr lang="en-GB"/>
        </a:p>
      </dgm:t>
    </dgm:pt>
    <dgm:pt modelId="{573F1135-640A-4B39-A217-AD84DB6948DF}" type="sibTrans" cxnId="{061F21CF-C526-4E3B-9678-8542204DFC3E}">
      <dgm:prSet/>
      <dgm:spPr/>
      <dgm:t>
        <a:bodyPr/>
        <a:lstStyle/>
        <a:p>
          <a:endParaRPr lang="en-GB"/>
        </a:p>
      </dgm:t>
    </dgm:pt>
    <dgm:pt modelId="{AA8C37E9-B6EE-48BA-BAA5-9C97E15160C0}">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gasolines</a:t>
          </a:r>
          <a:br>
            <a:rPr lang="en-US" sz="1050" b="0"/>
          </a:br>
          <a:r>
            <a:rPr lang="en-US" sz="1000" b="0"/>
            <a:t>272100</a:t>
          </a:r>
          <a:endParaRPr lang="en-US" sz="1050" b="0"/>
        </a:p>
      </dgm:t>
    </dgm:pt>
    <dgm:pt modelId="{E7EBD5C7-DDD5-429F-B5F1-004D75C012A3}" type="parTrans" cxnId="{C2BEBA1C-A6EE-4DA8-9405-66F109244832}">
      <dgm:prSet/>
      <dgm:spPr/>
      <dgm:t>
        <a:bodyPr/>
        <a:lstStyle/>
        <a:p>
          <a:endParaRPr lang="en-GB"/>
        </a:p>
      </dgm:t>
    </dgm:pt>
    <dgm:pt modelId="{126E33AA-F082-4C96-9314-553FE33FBBB6}" type="sibTrans" cxnId="{C2BEBA1C-A6EE-4DA8-9405-66F109244832}">
      <dgm:prSet/>
      <dgm:spPr/>
      <dgm:t>
        <a:bodyPr/>
        <a:lstStyle/>
        <a:p>
          <a:endParaRPr lang="en-GB"/>
        </a:p>
      </dgm:t>
    </dgm:pt>
    <dgm:pt modelId="{3DD9F085-3147-42C8-A165-CE24AFCD5EEC}">
      <dgm:prSet phldrT="[Text]" custT="1"/>
      <dgm:spPr>
        <a:pattFill prst="ltDnDiag">
          <a:fgClr>
            <a:schemeClr val="accent6">
              <a:lumMod val="20000"/>
              <a:lumOff val="80000"/>
            </a:schemeClr>
          </a:fgClr>
          <a:bgClr>
            <a:schemeClr val="bg1"/>
          </a:bgClr>
        </a:pattFill>
      </dgm:spPr>
      <dgm:t>
        <a:bodyPr/>
        <a:lstStyle/>
        <a:p>
          <a:r>
            <a:rPr lang="en-US" sz="1050" b="1"/>
            <a:t>Biomethane</a:t>
          </a:r>
          <a:br>
            <a:rPr lang="en-US" sz="1050" b="1"/>
          </a:br>
          <a:r>
            <a:rPr lang="en-US" sz="1000" b="0"/>
            <a:t>263310</a:t>
          </a:r>
          <a:endParaRPr lang="en-US" sz="1050" b="0"/>
        </a:p>
      </dgm:t>
    </dgm:pt>
    <dgm:pt modelId="{9ABF48A2-88A4-4296-A0ED-96D4EE33E37B}" type="parTrans" cxnId="{57288925-B7A4-486B-A0D0-82F19090FC84}">
      <dgm:prSet/>
      <dgm:spPr/>
      <dgm:t>
        <a:bodyPr/>
        <a:lstStyle/>
        <a:p>
          <a:endParaRPr lang="en-GB"/>
        </a:p>
      </dgm:t>
    </dgm:pt>
    <dgm:pt modelId="{72F6BDB0-EDF0-42D4-A34C-73E49518237E}" type="sibTrans" cxnId="{57288925-B7A4-486B-A0D0-82F19090FC84}">
      <dgm:prSet/>
      <dgm:spPr/>
      <dgm:t>
        <a:bodyPr/>
        <a:lstStyle/>
        <a:p>
          <a:endParaRPr lang="en-GB"/>
        </a:p>
      </dgm:t>
    </dgm:pt>
    <dgm:pt modelId="{C2908B37-3AA7-43C5-BD35-0AF5D7A6AFFD}">
      <dgm:prSet phldrT="[Text]" custT="1"/>
      <dgm:spPr>
        <a:pattFill prst="ltDnDiag">
          <a:fgClr>
            <a:schemeClr val="accent6">
              <a:lumMod val="20000"/>
              <a:lumOff val="80000"/>
            </a:schemeClr>
          </a:fgClr>
          <a:bgClr>
            <a:schemeClr val="bg1"/>
          </a:bgClr>
        </a:pattFill>
      </dgm:spPr>
      <dgm:t>
        <a:bodyPr/>
        <a:lstStyle/>
        <a:p>
          <a:r>
            <a:rPr lang="en-US" sz="1050" b="1"/>
            <a:t>Other gas biofuels products</a:t>
          </a:r>
          <a:br>
            <a:rPr lang="en-US" sz="1050" b="1"/>
          </a:br>
          <a:r>
            <a:rPr lang="en-US" sz="1000" b="0"/>
            <a:t>263390</a:t>
          </a:r>
          <a:endParaRPr lang="en-US" sz="1050" b="0"/>
        </a:p>
      </dgm:t>
    </dgm:pt>
    <dgm:pt modelId="{AEE8AE1A-3065-45B3-AC41-7B5E6EB23B99}" type="parTrans" cxnId="{E416DB19-9158-4850-995D-D20B2134BC6F}">
      <dgm:prSet/>
      <dgm:spPr/>
      <dgm:t>
        <a:bodyPr/>
        <a:lstStyle/>
        <a:p>
          <a:endParaRPr lang="en-GB"/>
        </a:p>
      </dgm:t>
    </dgm:pt>
    <dgm:pt modelId="{DF907158-CA43-4091-935F-E4D3A8A2230F}" type="sibTrans" cxnId="{E416DB19-9158-4850-995D-D20B2134BC6F}">
      <dgm:prSet/>
      <dgm:spPr/>
      <dgm:t>
        <a:bodyPr/>
        <a:lstStyle/>
        <a:p>
          <a:endParaRPr lang="en-GB"/>
        </a:p>
      </dgm:t>
    </dgm:pt>
    <dgm:pt modelId="{21DA3B63-3617-4995-A74C-73F55889E998}">
      <dgm:prSet phldrT="[Text]" custT="1"/>
      <dgm:spPr/>
      <dgm:t>
        <a:bodyPr/>
        <a:lstStyle/>
        <a:p>
          <a:r>
            <a:rPr lang="en-US" sz="1050" b="1"/>
            <a:t>Nuclear fusion</a:t>
          </a:r>
          <a:br>
            <a:rPr lang="en-US" sz="1050" b="0"/>
          </a:br>
          <a:r>
            <a:rPr lang="en-US" sz="1000" b="0"/>
            <a:t>294000</a:t>
          </a:r>
          <a:endParaRPr lang="en-US" sz="1050" b="0"/>
        </a:p>
      </dgm:t>
    </dgm:pt>
    <dgm:pt modelId="{AF59D583-0434-43B9-A417-C599C987F990}" type="parTrans" cxnId="{DF7609AB-9632-465C-B1FE-4208E679EF00}">
      <dgm:prSet/>
      <dgm:spPr/>
      <dgm:t>
        <a:bodyPr/>
        <a:lstStyle/>
        <a:p>
          <a:endParaRPr lang="en-GB"/>
        </a:p>
      </dgm:t>
    </dgm:pt>
    <dgm:pt modelId="{6752B7DC-BFB2-4003-9104-9BE9DED8472A}" type="sibTrans" cxnId="{DF7609AB-9632-465C-B1FE-4208E679EF00}">
      <dgm:prSet/>
      <dgm:spPr/>
      <dgm:t>
        <a:bodyPr/>
        <a:lstStyle/>
        <a:p>
          <a:endParaRPr lang="en-GB"/>
        </a:p>
      </dgm:t>
    </dgm:pt>
    <dgm:pt modelId="{7C5D9E23-1DFF-4658-A7C0-5FADC95D2D8C}">
      <dgm:prSet phldrT="[Text]" custT="1"/>
      <dgm:spPr>
        <a:solidFill>
          <a:schemeClr val="accent5">
            <a:lumMod val="20000"/>
            <a:lumOff val="80000"/>
          </a:schemeClr>
        </a:solidFill>
      </dgm:spPr>
      <dgm:t>
        <a:bodyPr/>
        <a:lstStyle/>
        <a:p>
          <a:r>
            <a:rPr lang="en-US" sz="1050" b="1"/>
            <a:t>Mixed hydropower</a:t>
          </a:r>
          <a:br>
            <a:rPr lang="en-US" sz="1050" b="1"/>
          </a:br>
          <a:r>
            <a:rPr lang="en-US" sz="1000" b="0"/>
            <a:t>212000</a:t>
          </a:r>
          <a:endParaRPr lang="en-US" sz="1050" b="0"/>
        </a:p>
      </dgm:t>
    </dgm:pt>
    <dgm:pt modelId="{821FDB64-7DAF-42E3-A83D-5C29EA5F02AC}" type="parTrans" cxnId="{44BBD9A1-12CF-43E5-845F-31DA633E6DAC}">
      <dgm:prSet/>
      <dgm:spPr/>
      <dgm:t>
        <a:bodyPr/>
        <a:lstStyle/>
        <a:p>
          <a:endParaRPr lang="en-GB"/>
        </a:p>
      </dgm:t>
    </dgm:pt>
    <dgm:pt modelId="{112E7B82-7276-4314-8E32-3A55272C06A1}" type="sibTrans" cxnId="{44BBD9A1-12CF-43E5-845F-31DA633E6DAC}">
      <dgm:prSet/>
      <dgm:spPr/>
      <dgm:t>
        <a:bodyPr/>
        <a:lstStyle/>
        <a:p>
          <a:endParaRPr lang="en-GB"/>
        </a:p>
      </dgm:t>
    </dgm:pt>
    <dgm:pt modelId="{F66EE8E3-FED5-4EE4-8436-4ED51E9BED17}">
      <dgm:prSet phldrT="[Text]" custT="1"/>
      <dgm:spPr>
        <a:solidFill>
          <a:schemeClr val="accent5">
            <a:lumMod val="20000"/>
            <a:lumOff val="80000"/>
          </a:schemeClr>
        </a:solidFill>
      </dgm:spPr>
      <dgm:t>
        <a:bodyPr/>
        <a:lstStyle/>
        <a:p>
          <a:r>
            <a:rPr lang="en-US" sz="1050" b="1"/>
            <a:t>Reservoir hydropower</a:t>
          </a:r>
          <a:br>
            <a:rPr lang="en-US" sz="1050" b="0"/>
          </a:br>
          <a:r>
            <a:rPr lang="en-US" sz="1000" b="0"/>
            <a:t>211100</a:t>
          </a:r>
          <a:endParaRPr lang="en-US" sz="1050" b="0"/>
        </a:p>
      </dgm:t>
    </dgm:pt>
    <dgm:pt modelId="{CD763F49-A447-4F40-8C07-34074393A471}" type="parTrans" cxnId="{1A795198-99F4-4F61-84AD-A61B19C21259}">
      <dgm:prSet/>
      <dgm:spPr/>
      <dgm:t>
        <a:bodyPr/>
        <a:lstStyle/>
        <a:p>
          <a:endParaRPr lang="en-GB"/>
        </a:p>
      </dgm:t>
    </dgm:pt>
    <dgm:pt modelId="{F757BA77-3FEE-45F3-AE6E-DCD90E5D8538}" type="sibTrans" cxnId="{1A795198-99F4-4F61-84AD-A61B19C21259}">
      <dgm:prSet/>
      <dgm:spPr/>
      <dgm:t>
        <a:bodyPr/>
        <a:lstStyle/>
        <a:p>
          <a:endParaRPr lang="en-GB"/>
        </a:p>
      </dgm:t>
    </dgm:pt>
    <dgm:pt modelId="{BB046DF1-5379-44C8-A43A-2348411C2FE1}">
      <dgm:prSet phldrT="[Text]" custT="1"/>
      <dgm:spPr>
        <a:solidFill>
          <a:schemeClr val="accent5">
            <a:lumMod val="20000"/>
            <a:lumOff val="80000"/>
          </a:schemeClr>
        </a:solidFill>
      </dgm:spPr>
      <dgm:t>
        <a:bodyPr/>
        <a:lstStyle/>
        <a:p>
          <a:r>
            <a:rPr lang="en-US" sz="1050" b="1"/>
            <a:t>Run-of-river hydropower</a:t>
          </a:r>
          <a:br>
            <a:rPr lang="en-US" sz="1050" b="0"/>
          </a:br>
          <a:r>
            <a:rPr lang="en-US" sz="1000" b="0"/>
            <a:t>211200</a:t>
          </a:r>
          <a:endParaRPr lang="en-US" sz="1050" b="0"/>
        </a:p>
      </dgm:t>
    </dgm:pt>
    <dgm:pt modelId="{DE9883FB-F4D5-4518-8204-ABE11F12E75D}" type="parTrans" cxnId="{978B7CFD-120B-4309-BAAA-D3C4AF659FAE}">
      <dgm:prSet/>
      <dgm:spPr/>
      <dgm:t>
        <a:bodyPr/>
        <a:lstStyle/>
        <a:p>
          <a:endParaRPr lang="en-GB"/>
        </a:p>
      </dgm:t>
    </dgm:pt>
    <dgm:pt modelId="{08F84EE8-6F58-450D-8AD4-9CDD6D153019}" type="sibTrans" cxnId="{978B7CFD-120B-4309-BAAA-D3C4AF659FAE}">
      <dgm:prSet/>
      <dgm:spPr/>
      <dgm:t>
        <a:bodyPr/>
        <a:lstStyle/>
        <a:p>
          <a:endParaRPr lang="en-GB"/>
        </a:p>
      </dgm:t>
    </dgm:pt>
    <dgm:pt modelId="{9E0CF1C0-BE1B-46BA-8A22-8082AFB94BC8}">
      <dgm:prSet phldrT="[Text]" custT="1"/>
      <dgm:spPr>
        <a:pattFill prst="ltDnDiag">
          <a:fgClr>
            <a:schemeClr val="accent6">
              <a:lumMod val="20000"/>
              <a:lumOff val="80000"/>
            </a:schemeClr>
          </a:fgClr>
          <a:bgClr>
            <a:schemeClr val="bg1"/>
          </a:bgClr>
        </a:pattFill>
      </dgm:spPr>
      <dgm:t>
        <a:bodyPr/>
        <a:lstStyle/>
        <a:p>
          <a:r>
            <a:rPr lang="en-US" sz="1050" b="1"/>
            <a:t>Wood pellets and briquettes</a:t>
          </a:r>
          <a:br>
            <a:rPr lang="en-US" sz="1050" b="1"/>
          </a:br>
          <a:r>
            <a:rPr lang="en-US" sz="1000" b="0"/>
            <a:t>261510</a:t>
          </a:r>
          <a:endParaRPr lang="en-US" sz="1050" b="0"/>
        </a:p>
      </dgm:t>
    </dgm:pt>
    <dgm:pt modelId="{A0A868BC-9C64-465D-9A8B-860C189FEF19}" type="parTrans" cxnId="{9317A575-4804-4DDB-8696-5646A31C1016}">
      <dgm:prSet/>
      <dgm:spPr/>
      <dgm:t>
        <a:bodyPr/>
        <a:lstStyle/>
        <a:p>
          <a:endParaRPr lang="en-GB"/>
        </a:p>
      </dgm:t>
    </dgm:pt>
    <dgm:pt modelId="{3B1B0CAD-C3B4-4350-B1DA-84FB8BA0CE4A}" type="sibTrans" cxnId="{9317A575-4804-4DDB-8696-5646A31C1016}">
      <dgm:prSet/>
      <dgm:spPr/>
      <dgm:t>
        <a:bodyPr/>
        <a:lstStyle/>
        <a:p>
          <a:endParaRPr lang="en-GB"/>
        </a:p>
      </dgm:t>
    </dgm:pt>
    <dgm:pt modelId="{2BB71D9C-6E93-4176-AFB8-A931FD64791B}">
      <dgm:prSet phldrT="[Text]" custT="1"/>
      <dgm:spPr>
        <a:pattFill prst="ltDnDiag">
          <a:fgClr>
            <a:schemeClr val="accent6">
              <a:lumMod val="20000"/>
              <a:lumOff val="80000"/>
            </a:schemeClr>
          </a:fgClr>
          <a:bgClr>
            <a:schemeClr val="bg1"/>
          </a:bgClr>
        </a:pattFill>
      </dgm:spPr>
      <dgm:t>
        <a:bodyPr/>
        <a:lstStyle/>
        <a:p>
          <a:r>
            <a:rPr lang="en-US" sz="1050" b="1"/>
            <a:t>Other biomass pellets and briquettes</a:t>
          </a:r>
          <a:br>
            <a:rPr lang="en-US" sz="1050" b="1"/>
          </a:br>
          <a:r>
            <a:rPr lang="en-US" sz="1000" b="0"/>
            <a:t>261590</a:t>
          </a:r>
          <a:endParaRPr lang="en-US" sz="1050" b="0"/>
        </a:p>
      </dgm:t>
    </dgm:pt>
    <dgm:pt modelId="{6E16D81C-4F87-4ACC-83DE-F25AA0F19FC2}" type="parTrans" cxnId="{B76CE472-2150-411F-AF71-BB197CC992D9}">
      <dgm:prSet/>
      <dgm:spPr/>
      <dgm:t>
        <a:bodyPr/>
        <a:lstStyle/>
        <a:p>
          <a:endParaRPr lang="en-GB"/>
        </a:p>
      </dgm:t>
    </dgm:pt>
    <dgm:pt modelId="{4F285F69-CBB0-45E3-80F7-7E0EEB1AD0ED}" type="sibTrans" cxnId="{B76CE472-2150-411F-AF71-BB197CC992D9}">
      <dgm:prSet/>
      <dgm:spPr/>
      <dgm:t>
        <a:bodyPr/>
        <a:lstStyle/>
        <a:p>
          <a:endParaRPr lang="en-GB"/>
        </a:p>
      </dgm:t>
    </dgm:pt>
    <dgm:pt modelId="{25F99B51-CB6C-4FB9-B111-3930904D8521}">
      <dgm:prSet phldrT="[Text]" custT="1"/>
      <dgm:spPr>
        <a:solidFill>
          <a:schemeClr val="accent4">
            <a:lumMod val="20000"/>
            <a:lumOff val="80000"/>
          </a:schemeClr>
        </a:solidFill>
      </dgm:spPr>
      <dgm:t>
        <a:bodyPr/>
        <a:lstStyle/>
        <a:p>
          <a:r>
            <a:rPr lang="en-US" sz="1050" b="1"/>
            <a:t>Solar lights</a:t>
          </a:r>
          <a:br>
            <a:rPr lang="en-US" sz="1050" b="1"/>
          </a:br>
          <a:r>
            <a:rPr lang="en-US" sz="1000" b="0"/>
            <a:t>241210</a:t>
          </a:r>
          <a:endParaRPr lang="en-US" sz="1050" b="0"/>
        </a:p>
      </dgm:t>
    </dgm:pt>
    <dgm:pt modelId="{926D49FF-50DB-4A0C-A60E-8DE65D795E04}" type="parTrans" cxnId="{2800CB46-3016-40F8-A75D-1FE7D29C7D3B}">
      <dgm:prSet/>
      <dgm:spPr/>
      <dgm:t>
        <a:bodyPr/>
        <a:lstStyle/>
        <a:p>
          <a:endParaRPr lang="en-GB"/>
        </a:p>
      </dgm:t>
    </dgm:pt>
    <dgm:pt modelId="{371D8854-5064-4FEA-8CEA-306A0F5AE437}" type="sibTrans" cxnId="{2800CB46-3016-40F8-A75D-1FE7D29C7D3B}">
      <dgm:prSet/>
      <dgm:spPr/>
      <dgm:t>
        <a:bodyPr/>
        <a:lstStyle/>
        <a:p>
          <a:endParaRPr lang="en-GB"/>
        </a:p>
      </dgm:t>
    </dgm:pt>
    <dgm:pt modelId="{2130FFB1-0433-4133-A8C3-71D4D7BC6E6F}">
      <dgm:prSet phldrT="[Text]" custT="1"/>
      <dgm:spPr>
        <a:solidFill>
          <a:schemeClr val="accent4">
            <a:lumMod val="20000"/>
            <a:lumOff val="80000"/>
          </a:schemeClr>
        </a:solidFill>
      </dgm:spPr>
      <dgm:t>
        <a:bodyPr/>
        <a:lstStyle/>
        <a:p>
          <a:r>
            <a:rPr lang="en-US" sz="1050" b="1"/>
            <a:t>Solar thermal energy</a:t>
          </a:r>
          <a:br>
            <a:rPr lang="en-US" sz="1050" b="1"/>
          </a:br>
          <a:r>
            <a:rPr lang="en-US" sz="1000" b="0"/>
            <a:t>242000</a:t>
          </a:r>
          <a:endParaRPr lang="en-US" sz="1050" b="0"/>
        </a:p>
      </dgm:t>
    </dgm:pt>
    <dgm:pt modelId="{7AABDA85-D669-404D-ACBD-CB9DC28FB235}" type="sibTrans" cxnId="{A8C84E49-2FB2-4091-8EE2-AD28AD1BE665}">
      <dgm:prSet/>
      <dgm:spPr/>
      <dgm:t>
        <a:bodyPr/>
        <a:lstStyle/>
        <a:p>
          <a:endParaRPr lang="en-US" sz="1600"/>
        </a:p>
      </dgm:t>
    </dgm:pt>
    <dgm:pt modelId="{88F0909E-ACD4-40F1-928D-9BA7EE46E7F2}" type="parTrans" cxnId="{A8C84E49-2FB2-4091-8EE2-AD28AD1BE665}">
      <dgm:prSet/>
      <dgm:spPr/>
      <dgm:t>
        <a:bodyPr/>
        <a:lstStyle/>
        <a:p>
          <a:endParaRPr lang="en-US" sz="1600"/>
        </a:p>
      </dgm:t>
    </dgm:pt>
    <dgm:pt modelId="{40651F84-828E-4E5E-990F-07E1DB1D6715}">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Refinery gas</a:t>
          </a:r>
          <a:br>
            <a:rPr lang="en-US" sz="1050" b="1">
              <a:solidFill>
                <a:sysClr val="windowText" lastClr="000000"/>
              </a:solidFill>
            </a:rPr>
          </a:br>
          <a:r>
            <a:rPr lang="en-US" sz="1000" b="0">
              <a:solidFill>
                <a:sysClr val="windowText" lastClr="000000"/>
              </a:solidFill>
            </a:rPr>
            <a:t>114510</a:t>
          </a:r>
          <a:endParaRPr lang="en-US" sz="1050" b="0">
            <a:solidFill>
              <a:sysClr val="windowText" lastClr="000000"/>
            </a:solidFill>
          </a:endParaRPr>
        </a:p>
      </dgm:t>
    </dgm:pt>
    <dgm:pt modelId="{3DB1C1A1-0CD0-458A-824D-1F445F7D7B8F}" type="parTrans" cxnId="{525A6EE7-E0C6-4765-96A6-8C55E605BB64}">
      <dgm:prSet/>
      <dgm:spPr/>
      <dgm:t>
        <a:bodyPr/>
        <a:lstStyle/>
        <a:p>
          <a:endParaRPr lang="en-GB"/>
        </a:p>
      </dgm:t>
    </dgm:pt>
    <dgm:pt modelId="{19C11AE6-DA39-425D-857F-D010F25B7E7C}" type="sibTrans" cxnId="{525A6EE7-E0C6-4765-96A6-8C55E605BB64}">
      <dgm:prSet/>
      <dgm:spPr/>
      <dgm:t>
        <a:bodyPr/>
        <a:lstStyle/>
        <a:p>
          <a:endParaRPr lang="en-GB"/>
        </a:p>
      </dgm:t>
    </dgm:pt>
    <dgm:pt modelId="{B2583F77-58CD-429C-829C-2E67A6CCFEE6}">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Ethane</a:t>
          </a:r>
          <a:br>
            <a:rPr lang="en-US" sz="1050" b="1">
              <a:solidFill>
                <a:sysClr val="windowText" lastClr="000000"/>
              </a:solidFill>
            </a:rPr>
          </a:br>
          <a:r>
            <a:rPr lang="en-US" sz="1000" b="0">
              <a:solidFill>
                <a:sysClr val="windowText" lastClr="000000"/>
              </a:solidFill>
            </a:rPr>
            <a:t>114520</a:t>
          </a:r>
        </a:p>
      </dgm:t>
    </dgm:pt>
    <dgm:pt modelId="{1D330067-FD54-46D7-8C61-B96EA574B2A1}" type="parTrans" cxnId="{1B7DC9D9-2472-459F-91BE-1F5D26DF8FF1}">
      <dgm:prSet/>
      <dgm:spPr/>
      <dgm:t>
        <a:bodyPr/>
        <a:lstStyle/>
        <a:p>
          <a:endParaRPr lang="en-GB"/>
        </a:p>
      </dgm:t>
    </dgm:pt>
    <dgm:pt modelId="{710FC1BB-1ABC-49D5-9084-A1320825DC81}" type="sibTrans" cxnId="{1B7DC9D9-2472-459F-91BE-1F5D26DF8FF1}">
      <dgm:prSet/>
      <dgm:spPr/>
      <dgm:t>
        <a:bodyPr/>
        <a:lstStyle/>
        <a:p>
          <a:endParaRPr lang="en-GB"/>
        </a:p>
      </dgm:t>
    </dgm:pt>
    <dgm:pt modelId="{94542E4A-D1E8-42C9-9FE4-ABD4D7205DBC}">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Liquefied Petroleum Gases</a:t>
          </a:r>
          <a:br>
            <a:rPr lang="en-US" sz="1050" b="1">
              <a:solidFill>
                <a:sysClr val="windowText" lastClr="000000"/>
              </a:solidFill>
            </a:rPr>
          </a:br>
          <a:r>
            <a:rPr lang="en-US" sz="1000" b="0">
              <a:solidFill>
                <a:sysClr val="windowText" lastClr="000000"/>
              </a:solidFill>
            </a:rPr>
            <a:t>114530</a:t>
          </a:r>
          <a:endParaRPr lang="en-US" sz="1050" b="0">
            <a:solidFill>
              <a:sysClr val="windowText" lastClr="000000"/>
            </a:solidFill>
          </a:endParaRPr>
        </a:p>
      </dgm:t>
    </dgm:pt>
    <dgm:pt modelId="{15360FA0-D6C2-4800-930F-2C5CEDF49A41}" type="parTrans" cxnId="{38EB133D-8E5D-483C-A251-B7C1C4CE911B}">
      <dgm:prSet/>
      <dgm:spPr/>
      <dgm:t>
        <a:bodyPr/>
        <a:lstStyle/>
        <a:p>
          <a:endParaRPr lang="en-GB"/>
        </a:p>
      </dgm:t>
    </dgm:pt>
    <dgm:pt modelId="{E4A56F67-F7DB-483F-B7FF-E9FA461139C2}" type="sibTrans" cxnId="{38EB133D-8E5D-483C-A251-B7C1C4CE911B}">
      <dgm:prSet/>
      <dgm:spPr/>
      <dgm:t>
        <a:bodyPr/>
        <a:lstStyle/>
        <a:p>
          <a:endParaRPr lang="en-GB"/>
        </a:p>
      </dgm:t>
    </dgm:pt>
    <dgm:pt modelId="{647C2198-ACDA-4EF2-9E0A-77DA5B315C4B}">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Naphtha</a:t>
          </a:r>
          <a:br>
            <a:rPr lang="en-US" sz="1050" b="1">
              <a:solidFill>
                <a:sysClr val="windowText" lastClr="000000"/>
              </a:solidFill>
            </a:rPr>
          </a:br>
          <a:r>
            <a:rPr lang="en-US" sz="1000" b="0">
              <a:solidFill>
                <a:sysClr val="windowText" lastClr="000000"/>
              </a:solidFill>
            </a:rPr>
            <a:t>114540</a:t>
          </a:r>
          <a:endParaRPr lang="en-US" sz="1050" b="0">
            <a:solidFill>
              <a:sysClr val="windowText" lastClr="000000"/>
            </a:solidFill>
          </a:endParaRPr>
        </a:p>
      </dgm:t>
    </dgm:pt>
    <dgm:pt modelId="{D7642367-3B56-4504-9BE0-3B70F11B826F}" type="parTrans" cxnId="{22F80EEC-8562-4C7C-848F-08C0B86F1582}">
      <dgm:prSet/>
      <dgm:spPr/>
      <dgm:t>
        <a:bodyPr/>
        <a:lstStyle/>
        <a:p>
          <a:endParaRPr lang="en-GB"/>
        </a:p>
      </dgm:t>
    </dgm:pt>
    <dgm:pt modelId="{538F7E6F-9636-4295-A199-55100F7D2AF8}" type="sibTrans" cxnId="{22F80EEC-8562-4C7C-848F-08C0B86F1582}">
      <dgm:prSet/>
      <dgm:spPr/>
      <dgm:t>
        <a:bodyPr/>
        <a:lstStyle/>
        <a:p>
          <a:endParaRPr lang="en-GB"/>
        </a:p>
      </dgm:t>
    </dgm:pt>
    <dgm:pt modelId="{54A3E45B-197D-4803-9D53-988457AAFE7D}">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Gasolines</a:t>
          </a:r>
          <a:br>
            <a:rPr lang="en-US" sz="1050" b="1">
              <a:solidFill>
                <a:sysClr val="windowText" lastClr="000000"/>
              </a:solidFill>
            </a:rPr>
          </a:br>
          <a:r>
            <a:rPr lang="en-US" sz="1000" b="0">
              <a:solidFill>
                <a:sysClr val="windowText" lastClr="000000"/>
              </a:solidFill>
            </a:rPr>
            <a:t>114550</a:t>
          </a:r>
        </a:p>
      </dgm:t>
    </dgm:pt>
    <dgm:pt modelId="{78DE5C7E-1B9F-473E-8582-625C544D5C0A}" type="parTrans" cxnId="{BEDDA8F0-AECF-45A0-A494-57675C923944}">
      <dgm:prSet/>
      <dgm:spPr/>
      <dgm:t>
        <a:bodyPr/>
        <a:lstStyle/>
        <a:p>
          <a:endParaRPr lang="en-GB"/>
        </a:p>
      </dgm:t>
    </dgm:pt>
    <dgm:pt modelId="{E52999DE-70C0-4E35-A53D-DD2B397A88B2}" type="sibTrans" cxnId="{BEDDA8F0-AECF-45A0-A494-57675C923944}">
      <dgm:prSet/>
      <dgm:spPr/>
      <dgm:t>
        <a:bodyPr/>
        <a:lstStyle/>
        <a:p>
          <a:endParaRPr lang="en-GB"/>
        </a:p>
      </dgm:t>
    </dgm:pt>
    <dgm:pt modelId="{DDF6C6EA-A17F-4E38-9FF4-72B93A4C0D55}">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Kerosenes</a:t>
          </a:r>
          <a:br>
            <a:rPr lang="en-US" sz="1050" b="1">
              <a:solidFill>
                <a:sysClr val="windowText" lastClr="000000"/>
              </a:solidFill>
            </a:rPr>
          </a:br>
          <a:r>
            <a:rPr lang="en-US" sz="1000" b="0">
              <a:solidFill>
                <a:sysClr val="windowText" lastClr="000000"/>
              </a:solidFill>
            </a:rPr>
            <a:t>114560</a:t>
          </a:r>
          <a:endParaRPr lang="en-US" sz="1050" b="0">
            <a:solidFill>
              <a:sysClr val="windowText" lastClr="000000"/>
            </a:solidFill>
          </a:endParaRPr>
        </a:p>
      </dgm:t>
    </dgm:pt>
    <dgm:pt modelId="{5C59B6F4-2ED7-40D1-84F9-6EBEC8259C80}" type="parTrans" cxnId="{E9336D59-4274-4DC8-97F3-3D007F103A85}">
      <dgm:prSet/>
      <dgm:spPr/>
      <dgm:t>
        <a:bodyPr/>
        <a:lstStyle/>
        <a:p>
          <a:endParaRPr lang="en-GB"/>
        </a:p>
      </dgm:t>
    </dgm:pt>
    <dgm:pt modelId="{BA37EA3F-EB8A-4E52-9F8B-33AFC4D18619}" type="sibTrans" cxnId="{E9336D59-4274-4DC8-97F3-3D007F103A85}">
      <dgm:prSet/>
      <dgm:spPr/>
      <dgm:t>
        <a:bodyPr/>
        <a:lstStyle/>
        <a:p>
          <a:endParaRPr lang="en-GB"/>
        </a:p>
      </dgm:t>
    </dgm:pt>
    <dgm:pt modelId="{783D575E-D60D-46E5-9E00-175027F47FEC}">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Gas oil/diesel oil and heavy gas oil</a:t>
          </a:r>
          <a:br>
            <a:rPr lang="en-US" sz="1050" b="1">
              <a:solidFill>
                <a:sysClr val="windowText" lastClr="000000"/>
              </a:solidFill>
            </a:rPr>
          </a:br>
          <a:r>
            <a:rPr lang="en-US" sz="1000" b="0">
              <a:solidFill>
                <a:sysClr val="windowText" lastClr="000000"/>
              </a:solidFill>
            </a:rPr>
            <a:t>114570</a:t>
          </a:r>
        </a:p>
      </dgm:t>
    </dgm:pt>
    <dgm:pt modelId="{B2F16794-742C-452A-988E-E3C762692148}" type="parTrans" cxnId="{FC61C526-60E3-4CB5-A89A-C60028AE264B}">
      <dgm:prSet/>
      <dgm:spPr/>
      <dgm:t>
        <a:bodyPr/>
        <a:lstStyle/>
        <a:p>
          <a:endParaRPr lang="en-GB"/>
        </a:p>
      </dgm:t>
    </dgm:pt>
    <dgm:pt modelId="{5FEFF1DD-66C0-428B-B1F9-C88192F76145}" type="sibTrans" cxnId="{FC61C526-60E3-4CB5-A89A-C60028AE264B}">
      <dgm:prSet/>
      <dgm:spPr/>
      <dgm:t>
        <a:bodyPr/>
        <a:lstStyle/>
        <a:p>
          <a:endParaRPr lang="en-GB"/>
        </a:p>
      </dgm:t>
    </dgm:pt>
    <dgm:pt modelId="{65D3F9C9-8ACE-4C36-856C-AD4ACE70282A}">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Fuel oil</a:t>
          </a:r>
          <a:br>
            <a:rPr lang="en-US" sz="1050" b="1">
              <a:solidFill>
                <a:sysClr val="windowText" lastClr="000000"/>
              </a:solidFill>
            </a:rPr>
          </a:br>
          <a:r>
            <a:rPr lang="en-US" sz="1000" b="0">
              <a:solidFill>
                <a:sysClr val="windowText" lastClr="000000"/>
              </a:solidFill>
            </a:rPr>
            <a:t>114580</a:t>
          </a:r>
          <a:endParaRPr lang="en-US" sz="1050" b="0">
            <a:solidFill>
              <a:sysClr val="windowText" lastClr="000000"/>
            </a:solidFill>
          </a:endParaRPr>
        </a:p>
      </dgm:t>
    </dgm:pt>
    <dgm:pt modelId="{22EA02FD-51DA-4753-8A07-BC868D05D656}" type="parTrans" cxnId="{A27EA4E1-3B9F-4393-9CD9-4986B8DC3993}">
      <dgm:prSet/>
      <dgm:spPr/>
      <dgm:t>
        <a:bodyPr/>
        <a:lstStyle/>
        <a:p>
          <a:endParaRPr lang="en-GB"/>
        </a:p>
      </dgm:t>
    </dgm:pt>
    <dgm:pt modelId="{5B060E3C-4DA1-47DB-A278-3A8C89980842}" type="sibTrans" cxnId="{A27EA4E1-3B9F-4393-9CD9-4986B8DC3993}">
      <dgm:prSet/>
      <dgm:spPr/>
      <dgm:t>
        <a:bodyPr/>
        <a:lstStyle/>
        <a:p>
          <a:endParaRPr lang="en-GB"/>
        </a:p>
      </dgm:t>
    </dgm:pt>
    <dgm:pt modelId="{1335BBCF-8E8D-42C6-B619-071D35BDD3FC}">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Other oil products</a:t>
          </a:r>
          <a:br>
            <a:rPr lang="en-US" sz="1050" b="1">
              <a:solidFill>
                <a:sysClr val="windowText" lastClr="000000"/>
              </a:solidFill>
            </a:rPr>
          </a:br>
          <a:r>
            <a:rPr lang="en-US" sz="1000" b="0">
              <a:solidFill>
                <a:sysClr val="windowText" lastClr="000000"/>
              </a:solidFill>
            </a:rPr>
            <a:t>114590</a:t>
          </a:r>
          <a:endParaRPr lang="en-US" sz="1050" b="0">
            <a:solidFill>
              <a:sysClr val="windowText" lastClr="000000"/>
            </a:solidFill>
          </a:endParaRPr>
        </a:p>
      </dgm:t>
    </dgm:pt>
    <dgm:pt modelId="{3941D30F-7A48-47DE-A068-4F3543927452}" type="parTrans" cxnId="{23FC458C-0D54-47A6-AB78-36F65185FE59}">
      <dgm:prSet/>
      <dgm:spPr/>
      <dgm:t>
        <a:bodyPr/>
        <a:lstStyle/>
        <a:p>
          <a:endParaRPr lang="en-GB"/>
        </a:p>
      </dgm:t>
    </dgm:pt>
    <dgm:pt modelId="{4B79EF6A-8EF5-4ED4-AA39-20E496D392AC}" type="sibTrans" cxnId="{23FC458C-0D54-47A6-AB78-36F65185FE59}">
      <dgm:prSet/>
      <dgm:spPr/>
      <dgm:t>
        <a:bodyPr/>
        <a:lstStyle/>
        <a:p>
          <a:endParaRPr lang="en-GB"/>
        </a:p>
      </dgm:t>
    </dgm:pt>
    <dgm:pt modelId="{CD941BBE-ED6F-4484-80C4-9B7ED8F9D1D1}">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White spirit</a:t>
          </a:r>
          <a:br>
            <a:rPr lang="en-US" sz="1050" b="1">
              <a:solidFill>
                <a:sysClr val="windowText" lastClr="000000"/>
              </a:solidFill>
            </a:rPr>
          </a:br>
          <a:r>
            <a:rPr lang="en-US" sz="1000" b="0">
              <a:solidFill>
                <a:sysClr val="windowText" lastClr="000000"/>
              </a:solidFill>
            </a:rPr>
            <a:t>114591</a:t>
          </a:r>
          <a:endParaRPr lang="en-US" sz="1050" b="0">
            <a:solidFill>
              <a:sysClr val="windowText" lastClr="000000"/>
            </a:solidFill>
          </a:endParaRPr>
        </a:p>
      </dgm:t>
    </dgm:pt>
    <dgm:pt modelId="{BD4E4A7D-0761-4D5C-91B2-36EA73AB663F}" type="parTrans" cxnId="{8348E619-F748-4327-B3A5-24E40A27AB13}">
      <dgm:prSet/>
      <dgm:spPr/>
      <dgm:t>
        <a:bodyPr/>
        <a:lstStyle/>
        <a:p>
          <a:endParaRPr lang="en-GB"/>
        </a:p>
      </dgm:t>
    </dgm:pt>
    <dgm:pt modelId="{0EBAB1FA-B436-4A3E-8952-D2B52C473186}" type="sibTrans" cxnId="{8348E619-F748-4327-B3A5-24E40A27AB13}">
      <dgm:prSet/>
      <dgm:spPr/>
      <dgm:t>
        <a:bodyPr/>
        <a:lstStyle/>
        <a:p>
          <a:endParaRPr lang="en-GB"/>
        </a:p>
      </dgm:t>
    </dgm:pt>
    <dgm:pt modelId="{2017E836-4C29-406F-BBC0-5D59708D1C19}">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Lubricants</a:t>
          </a:r>
          <a:br>
            <a:rPr lang="en-US" sz="1050" b="1">
              <a:solidFill>
                <a:sysClr val="windowText" lastClr="000000"/>
              </a:solidFill>
            </a:rPr>
          </a:br>
          <a:r>
            <a:rPr lang="en-US" sz="1000" b="0">
              <a:solidFill>
                <a:sysClr val="windowText" lastClr="000000"/>
              </a:solidFill>
            </a:rPr>
            <a:t>114592</a:t>
          </a:r>
          <a:endParaRPr lang="en-US" sz="1050" b="0">
            <a:solidFill>
              <a:sysClr val="windowText" lastClr="000000"/>
            </a:solidFill>
          </a:endParaRPr>
        </a:p>
      </dgm:t>
    </dgm:pt>
    <dgm:pt modelId="{0D1CBB38-7F92-41BA-9FCA-95CD49A8E1EC}" type="parTrans" cxnId="{B4413276-C354-4CF9-85FA-A17ACD1AC83C}">
      <dgm:prSet/>
      <dgm:spPr/>
      <dgm:t>
        <a:bodyPr/>
        <a:lstStyle/>
        <a:p>
          <a:endParaRPr lang="en-GB"/>
        </a:p>
      </dgm:t>
    </dgm:pt>
    <dgm:pt modelId="{396B0871-3794-4FB6-B921-F8B3CDAE541A}" type="sibTrans" cxnId="{B4413276-C354-4CF9-85FA-A17ACD1AC83C}">
      <dgm:prSet/>
      <dgm:spPr/>
      <dgm:t>
        <a:bodyPr/>
        <a:lstStyle/>
        <a:p>
          <a:endParaRPr lang="en-GB"/>
        </a:p>
      </dgm:t>
    </dgm:pt>
    <dgm:pt modelId="{97EB310D-25B9-4879-AB93-C462D26CD9B4}">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Paraffin waxes</a:t>
          </a:r>
          <a:br>
            <a:rPr lang="en-US" sz="1050" b="1">
              <a:solidFill>
                <a:sysClr val="windowText" lastClr="000000"/>
              </a:solidFill>
            </a:rPr>
          </a:br>
          <a:r>
            <a:rPr lang="en-US" sz="1000" b="0">
              <a:solidFill>
                <a:sysClr val="windowText" lastClr="000000"/>
              </a:solidFill>
            </a:rPr>
            <a:t>114593</a:t>
          </a:r>
          <a:endParaRPr lang="en-US" sz="1050" b="0">
            <a:solidFill>
              <a:sysClr val="windowText" lastClr="000000"/>
            </a:solidFill>
          </a:endParaRPr>
        </a:p>
      </dgm:t>
    </dgm:pt>
    <dgm:pt modelId="{C050A6A5-7AD5-4ED2-A84F-78A646BF2A7A}" type="parTrans" cxnId="{7EE8F1A5-F5E9-4F6D-8924-1C106FA900C4}">
      <dgm:prSet/>
      <dgm:spPr/>
      <dgm:t>
        <a:bodyPr/>
        <a:lstStyle/>
        <a:p>
          <a:endParaRPr lang="en-GB"/>
        </a:p>
      </dgm:t>
    </dgm:pt>
    <dgm:pt modelId="{A6F8C454-7D66-4DFE-A979-04BB5D21D808}" type="sibTrans" cxnId="{7EE8F1A5-F5E9-4F6D-8924-1C106FA900C4}">
      <dgm:prSet/>
      <dgm:spPr/>
      <dgm:t>
        <a:bodyPr/>
        <a:lstStyle/>
        <a:p>
          <a:endParaRPr lang="en-GB"/>
        </a:p>
      </dgm:t>
    </dgm:pt>
    <dgm:pt modelId="{266B2208-CD93-4175-A5D1-E0B77C227719}">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Petroleoum coke</a:t>
          </a:r>
          <a:br>
            <a:rPr lang="en-US" sz="1050" b="1">
              <a:solidFill>
                <a:sysClr val="windowText" lastClr="000000"/>
              </a:solidFill>
            </a:rPr>
          </a:br>
          <a:r>
            <a:rPr lang="en-US" sz="1000" b="0">
              <a:solidFill>
                <a:sysClr val="windowText" lastClr="000000"/>
              </a:solidFill>
            </a:rPr>
            <a:t>114594</a:t>
          </a:r>
          <a:endParaRPr lang="en-US" sz="1050" b="0">
            <a:solidFill>
              <a:sysClr val="windowText" lastClr="000000"/>
            </a:solidFill>
          </a:endParaRPr>
        </a:p>
      </dgm:t>
    </dgm:pt>
    <dgm:pt modelId="{438C64B7-74FF-466F-998E-55F0A1D92961}" type="parTrans" cxnId="{D97DD2D3-B4E5-4E74-88B3-411A3309F64C}">
      <dgm:prSet/>
      <dgm:spPr/>
      <dgm:t>
        <a:bodyPr/>
        <a:lstStyle/>
        <a:p>
          <a:endParaRPr lang="en-GB"/>
        </a:p>
      </dgm:t>
    </dgm:pt>
    <dgm:pt modelId="{E08DCC07-044A-46FC-8668-60A91E0E14E2}" type="sibTrans" cxnId="{D97DD2D3-B4E5-4E74-88B3-411A3309F64C}">
      <dgm:prSet/>
      <dgm:spPr/>
      <dgm:t>
        <a:bodyPr/>
        <a:lstStyle/>
        <a:p>
          <a:endParaRPr lang="en-GB"/>
        </a:p>
      </dgm:t>
    </dgm:pt>
    <dgm:pt modelId="{5ADA30E8-8214-492C-8520-D10371E61389}">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Bitumen</a:t>
          </a:r>
          <a:br>
            <a:rPr lang="en-US" sz="1050" b="1">
              <a:solidFill>
                <a:sysClr val="windowText" lastClr="000000"/>
              </a:solidFill>
            </a:rPr>
          </a:br>
          <a:r>
            <a:rPr lang="en-US" sz="1000" b="0">
              <a:solidFill>
                <a:sysClr val="windowText" lastClr="000000"/>
              </a:solidFill>
            </a:rPr>
            <a:t>114595</a:t>
          </a:r>
          <a:endParaRPr lang="en-US" sz="1050" b="0">
            <a:solidFill>
              <a:sysClr val="windowText" lastClr="000000"/>
            </a:solidFill>
          </a:endParaRPr>
        </a:p>
      </dgm:t>
    </dgm:pt>
    <dgm:pt modelId="{231A9114-EDDC-49B1-9E36-4061AC701AA8}" type="parTrans" cxnId="{209BC575-66EA-422D-8971-DCA00C51D456}">
      <dgm:prSet/>
      <dgm:spPr/>
      <dgm:t>
        <a:bodyPr/>
        <a:lstStyle/>
        <a:p>
          <a:endParaRPr lang="en-GB"/>
        </a:p>
      </dgm:t>
    </dgm:pt>
    <dgm:pt modelId="{EF81FB0F-0220-4B82-8BC0-6EEE001F1D72}" type="sibTrans" cxnId="{209BC575-66EA-422D-8971-DCA00C51D456}">
      <dgm:prSet/>
      <dgm:spPr/>
      <dgm:t>
        <a:bodyPr/>
        <a:lstStyle/>
        <a:p>
          <a:endParaRPr lang="en-GB"/>
        </a:p>
      </dgm:t>
    </dgm:pt>
    <dgm:pt modelId="{5B698CD0-A9F7-4761-99CC-5848B867E308}">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Oil-based hydrogen</a:t>
          </a:r>
          <a:br>
            <a:rPr lang="en-US" sz="1050" b="1">
              <a:solidFill>
                <a:sysClr val="windowText" lastClr="000000"/>
              </a:solidFill>
            </a:rPr>
          </a:br>
          <a:r>
            <a:rPr lang="en-US" sz="1000" b="0">
              <a:solidFill>
                <a:sysClr val="windowText" lastClr="000000"/>
              </a:solidFill>
            </a:rPr>
            <a:t>114596</a:t>
          </a:r>
          <a:endParaRPr lang="en-US" sz="1050" b="0">
            <a:solidFill>
              <a:sysClr val="windowText" lastClr="000000"/>
            </a:solidFill>
          </a:endParaRPr>
        </a:p>
      </dgm:t>
    </dgm:pt>
    <dgm:pt modelId="{8134F0FC-4D76-4D4C-BE10-0DE4B24B98D6}" type="parTrans" cxnId="{6C4AA41B-F7CE-4BB1-BEE8-EB3D13965C49}">
      <dgm:prSet/>
      <dgm:spPr/>
      <dgm:t>
        <a:bodyPr/>
        <a:lstStyle/>
        <a:p>
          <a:endParaRPr lang="en-GB"/>
        </a:p>
      </dgm:t>
    </dgm:pt>
    <dgm:pt modelId="{D77CAD52-CBDE-45A5-9B10-87D16156A78D}" type="sibTrans" cxnId="{6C4AA41B-F7CE-4BB1-BEE8-EB3D13965C49}">
      <dgm:prSet/>
      <dgm:spPr/>
      <dgm:t>
        <a:bodyPr/>
        <a:lstStyle/>
        <a:p>
          <a:endParaRPr lang="en-GB"/>
        </a:p>
      </dgm:t>
    </dgm:pt>
    <dgm:pt modelId="{5E2610D4-FA93-40B7-AF49-36310863B632}">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Oil-based ammonia</a:t>
          </a:r>
          <a:br>
            <a:rPr lang="en-US" sz="1050" b="1">
              <a:solidFill>
                <a:sysClr val="windowText" lastClr="000000"/>
              </a:solidFill>
            </a:rPr>
          </a:br>
          <a:r>
            <a:rPr lang="en-US" sz="1000" b="0">
              <a:solidFill>
                <a:sysClr val="windowText" lastClr="000000"/>
              </a:solidFill>
            </a:rPr>
            <a:t>114597</a:t>
          </a:r>
          <a:endParaRPr lang="en-US" sz="1050" b="0">
            <a:solidFill>
              <a:sysClr val="windowText" lastClr="000000"/>
            </a:solidFill>
          </a:endParaRPr>
        </a:p>
      </dgm:t>
    </dgm:pt>
    <dgm:pt modelId="{46E7F7F7-F7A1-400D-A653-C18CD0C954B7}" type="parTrans" cxnId="{77B9CC36-1689-432E-824D-9921A04122CA}">
      <dgm:prSet/>
      <dgm:spPr/>
      <dgm:t>
        <a:bodyPr/>
        <a:lstStyle/>
        <a:p>
          <a:endParaRPr lang="en-GB"/>
        </a:p>
      </dgm:t>
    </dgm:pt>
    <dgm:pt modelId="{616728DD-2F2E-4B5E-AAF8-7569876A8A5D}" type="sibTrans" cxnId="{77B9CC36-1689-432E-824D-9921A04122CA}">
      <dgm:prSet/>
      <dgm:spPr/>
      <dgm:t>
        <a:bodyPr/>
        <a:lstStyle/>
        <a:p>
          <a:endParaRPr lang="en-GB"/>
        </a:p>
      </dgm:t>
    </dgm:pt>
    <dgm:pt modelId="{86C44C6F-3744-4FFE-9E87-8AA25F0F800B}">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Other oil products n.e.s.</a:t>
          </a:r>
          <a:br>
            <a:rPr lang="en-US" sz="1050" b="1">
              <a:solidFill>
                <a:sysClr val="windowText" lastClr="000000"/>
              </a:solidFill>
            </a:rPr>
          </a:br>
          <a:r>
            <a:rPr lang="en-US" sz="1000" b="0">
              <a:solidFill>
                <a:sysClr val="windowText" lastClr="000000"/>
              </a:solidFill>
            </a:rPr>
            <a:t>114599</a:t>
          </a:r>
          <a:endParaRPr lang="en-US" sz="1050" b="0">
            <a:solidFill>
              <a:sysClr val="windowText" lastClr="000000"/>
            </a:solidFill>
          </a:endParaRPr>
        </a:p>
      </dgm:t>
    </dgm:pt>
    <dgm:pt modelId="{1497E387-74B4-41E0-AAE1-612EAB6E576C}" type="parTrans" cxnId="{5C43A7AD-AB11-4890-8677-C5CA7178A180}">
      <dgm:prSet/>
      <dgm:spPr/>
      <dgm:t>
        <a:bodyPr/>
        <a:lstStyle/>
        <a:p>
          <a:endParaRPr lang="en-GB"/>
        </a:p>
      </dgm:t>
    </dgm:pt>
    <dgm:pt modelId="{D1428D14-F01B-4E10-8E15-C4241B50716F}" type="sibTrans" cxnId="{5C43A7AD-AB11-4890-8677-C5CA7178A180}">
      <dgm:prSet/>
      <dgm:spPr/>
      <dgm:t>
        <a:bodyPr/>
        <a:lstStyle/>
        <a:p>
          <a:endParaRPr lang="en-GB"/>
        </a:p>
      </dgm:t>
    </dgm:pt>
    <dgm:pt modelId="{ABE779BC-863F-402D-B89B-6A9F49FFB149}">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Aviation gasoline</a:t>
          </a:r>
          <a:br>
            <a:rPr lang="en-US" sz="1050" b="1">
              <a:solidFill>
                <a:sysClr val="windowText" lastClr="000000"/>
              </a:solidFill>
            </a:rPr>
          </a:br>
          <a:r>
            <a:rPr lang="en-US" sz="1000" b="0">
              <a:solidFill>
                <a:sysClr val="windowText" lastClr="000000"/>
              </a:solidFill>
            </a:rPr>
            <a:t>114551</a:t>
          </a:r>
          <a:endParaRPr lang="en-US" sz="1050" b="0">
            <a:solidFill>
              <a:sysClr val="windowText" lastClr="000000"/>
            </a:solidFill>
          </a:endParaRPr>
        </a:p>
      </dgm:t>
    </dgm:pt>
    <dgm:pt modelId="{F82ADA2B-DC41-4CAD-8A99-41DD37F82055}" type="parTrans" cxnId="{4DCF6640-C9FB-49F8-827D-A6042B9E302A}">
      <dgm:prSet/>
      <dgm:spPr/>
      <dgm:t>
        <a:bodyPr/>
        <a:lstStyle/>
        <a:p>
          <a:endParaRPr lang="en-GB"/>
        </a:p>
      </dgm:t>
    </dgm:pt>
    <dgm:pt modelId="{E3CA9B0F-36F1-473F-8536-38683E84C6E0}" type="sibTrans" cxnId="{4DCF6640-C9FB-49F8-827D-A6042B9E302A}">
      <dgm:prSet/>
      <dgm:spPr/>
      <dgm:t>
        <a:bodyPr/>
        <a:lstStyle/>
        <a:p>
          <a:endParaRPr lang="en-GB"/>
        </a:p>
      </dgm:t>
    </dgm:pt>
    <dgm:pt modelId="{62DBDDDE-002A-47B0-9F6E-092BF65CE2F8}">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Motor gasoline</a:t>
          </a:r>
          <a:br>
            <a:rPr lang="en-US" sz="1050" b="1">
              <a:solidFill>
                <a:sysClr val="windowText" lastClr="000000"/>
              </a:solidFill>
            </a:rPr>
          </a:br>
          <a:r>
            <a:rPr lang="en-US" sz="1000" b="0">
              <a:solidFill>
                <a:sysClr val="windowText" lastClr="000000"/>
              </a:solidFill>
            </a:rPr>
            <a:t>114552</a:t>
          </a:r>
          <a:endParaRPr lang="en-US" sz="1050" b="0">
            <a:solidFill>
              <a:sysClr val="windowText" lastClr="000000"/>
            </a:solidFill>
          </a:endParaRPr>
        </a:p>
      </dgm:t>
    </dgm:pt>
    <dgm:pt modelId="{0113DE95-0A0E-42C4-B8AB-7646BCA87492}" type="parTrans" cxnId="{0F61607E-A7A5-42FB-BAFA-EEF6C3D455A3}">
      <dgm:prSet/>
      <dgm:spPr/>
      <dgm:t>
        <a:bodyPr/>
        <a:lstStyle/>
        <a:p>
          <a:endParaRPr lang="en-GB"/>
        </a:p>
      </dgm:t>
    </dgm:pt>
    <dgm:pt modelId="{D18293CA-0A9F-48E8-93D3-0DF572B90B28}" type="sibTrans" cxnId="{0F61607E-A7A5-42FB-BAFA-EEF6C3D455A3}">
      <dgm:prSet/>
      <dgm:spPr/>
      <dgm:t>
        <a:bodyPr/>
        <a:lstStyle/>
        <a:p>
          <a:endParaRPr lang="en-GB"/>
        </a:p>
      </dgm:t>
    </dgm:pt>
    <dgm:pt modelId="{67D035AA-9A29-45B5-BC2E-54B9DB86CFC7}">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Gasoline-type jet fuel</a:t>
          </a:r>
          <a:br>
            <a:rPr lang="en-US" sz="1050" b="1">
              <a:solidFill>
                <a:sysClr val="windowText" lastClr="000000"/>
              </a:solidFill>
            </a:rPr>
          </a:br>
          <a:r>
            <a:rPr lang="en-US" sz="1000" b="0">
              <a:solidFill>
                <a:sysClr val="windowText" lastClr="000000"/>
              </a:solidFill>
            </a:rPr>
            <a:t>114553</a:t>
          </a:r>
          <a:endParaRPr lang="en-US" sz="1050" b="0">
            <a:solidFill>
              <a:sysClr val="windowText" lastClr="000000"/>
            </a:solidFill>
          </a:endParaRPr>
        </a:p>
      </dgm:t>
    </dgm:pt>
    <dgm:pt modelId="{93EBC4F5-D73D-4D57-995D-28EDD796952E}" type="parTrans" cxnId="{DDB78741-DCA5-4272-AD81-21DF313235DC}">
      <dgm:prSet/>
      <dgm:spPr/>
      <dgm:t>
        <a:bodyPr/>
        <a:lstStyle/>
        <a:p>
          <a:endParaRPr lang="en-GB"/>
        </a:p>
      </dgm:t>
    </dgm:pt>
    <dgm:pt modelId="{A07A03E9-B3F1-44C5-B754-BBF78694A939}" type="sibTrans" cxnId="{DDB78741-DCA5-4272-AD81-21DF313235DC}">
      <dgm:prSet/>
      <dgm:spPr/>
      <dgm:t>
        <a:bodyPr/>
        <a:lstStyle/>
        <a:p>
          <a:endParaRPr lang="en-GB"/>
        </a:p>
      </dgm:t>
    </dgm:pt>
    <dgm:pt modelId="{CB046B06-6760-455D-B5B3-0932F6F70811}">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Kerosene-type jet fuel</a:t>
          </a:r>
          <a:br>
            <a:rPr lang="en-US" sz="1050" b="1">
              <a:solidFill>
                <a:sysClr val="windowText" lastClr="000000"/>
              </a:solidFill>
            </a:rPr>
          </a:br>
          <a:r>
            <a:rPr lang="en-US" sz="1000" b="0">
              <a:solidFill>
                <a:sysClr val="windowText" lastClr="000000"/>
              </a:solidFill>
            </a:rPr>
            <a:t>114561</a:t>
          </a:r>
          <a:endParaRPr lang="en-US" sz="1050" b="0">
            <a:solidFill>
              <a:sysClr val="windowText" lastClr="000000"/>
            </a:solidFill>
          </a:endParaRPr>
        </a:p>
      </dgm:t>
    </dgm:pt>
    <dgm:pt modelId="{1FFD6337-FD68-4EE7-AE48-BEE65FDB5F87}" type="parTrans" cxnId="{AC240EAF-1D80-4850-8541-C2252E55A2EB}">
      <dgm:prSet/>
      <dgm:spPr/>
      <dgm:t>
        <a:bodyPr/>
        <a:lstStyle/>
        <a:p>
          <a:endParaRPr lang="en-GB"/>
        </a:p>
      </dgm:t>
    </dgm:pt>
    <dgm:pt modelId="{9B5D2919-1755-4E35-B007-75C9BB9D132F}" type="sibTrans" cxnId="{AC240EAF-1D80-4850-8541-C2252E55A2EB}">
      <dgm:prSet/>
      <dgm:spPr/>
      <dgm:t>
        <a:bodyPr/>
        <a:lstStyle/>
        <a:p>
          <a:endParaRPr lang="en-GB"/>
        </a:p>
      </dgm:t>
    </dgm:pt>
    <dgm:pt modelId="{A01FD5DA-4F75-4485-B40E-BF3BB4A7C9FA}">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Other kerosene</a:t>
          </a:r>
          <a:br>
            <a:rPr lang="en-US" sz="1050" b="1">
              <a:solidFill>
                <a:sysClr val="windowText" lastClr="000000"/>
              </a:solidFill>
            </a:rPr>
          </a:br>
          <a:r>
            <a:rPr lang="en-US" sz="1000" b="0">
              <a:solidFill>
                <a:sysClr val="windowText" lastClr="000000"/>
              </a:solidFill>
            </a:rPr>
            <a:t>114569</a:t>
          </a:r>
          <a:endParaRPr lang="en-US" sz="1050" b="0">
            <a:solidFill>
              <a:sysClr val="windowText" lastClr="000000"/>
            </a:solidFill>
          </a:endParaRPr>
        </a:p>
      </dgm:t>
    </dgm:pt>
    <dgm:pt modelId="{DC58D234-E519-4CC7-8E14-19EC381646B6}" type="parTrans" cxnId="{C54C7BBE-E812-4577-AADD-E42B141C5E8B}">
      <dgm:prSet/>
      <dgm:spPr/>
      <dgm:t>
        <a:bodyPr/>
        <a:lstStyle/>
        <a:p>
          <a:endParaRPr lang="en-GB"/>
        </a:p>
      </dgm:t>
    </dgm:pt>
    <dgm:pt modelId="{5544762A-BD16-4746-A630-75D327BA3235}" type="sibTrans" cxnId="{C54C7BBE-E812-4577-AADD-E42B141C5E8B}">
      <dgm:prSet/>
      <dgm:spPr/>
      <dgm:t>
        <a:bodyPr/>
        <a:lstStyle/>
        <a:p>
          <a:endParaRPr lang="en-GB"/>
        </a:p>
      </dgm:t>
    </dgm:pt>
    <dgm:pt modelId="{E195324A-4000-470B-80FB-2FFFFE8D9E6A}">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Gas oil/diesel oil</a:t>
          </a:r>
          <a:br>
            <a:rPr lang="en-US" sz="1050" b="1">
              <a:solidFill>
                <a:sysClr val="windowText" lastClr="000000"/>
              </a:solidFill>
            </a:rPr>
          </a:br>
          <a:r>
            <a:rPr lang="en-US" sz="1000" b="0">
              <a:solidFill>
                <a:sysClr val="windowText" lastClr="000000"/>
              </a:solidFill>
            </a:rPr>
            <a:t>114571</a:t>
          </a:r>
          <a:endParaRPr lang="en-US" sz="1050" b="0">
            <a:solidFill>
              <a:sysClr val="windowText" lastClr="000000"/>
            </a:solidFill>
          </a:endParaRPr>
        </a:p>
      </dgm:t>
    </dgm:pt>
    <dgm:pt modelId="{583B2D27-C9D7-4735-BF30-88E58FAE0151}" type="parTrans" cxnId="{24556FEC-16F6-45DA-ABFA-BBA22E0BF0D0}">
      <dgm:prSet/>
      <dgm:spPr/>
      <dgm:t>
        <a:bodyPr/>
        <a:lstStyle/>
        <a:p>
          <a:endParaRPr lang="en-GB"/>
        </a:p>
      </dgm:t>
    </dgm:pt>
    <dgm:pt modelId="{9A50A5E0-9285-466B-90A0-DDD8D87D016D}" type="sibTrans" cxnId="{24556FEC-16F6-45DA-ABFA-BBA22E0BF0D0}">
      <dgm:prSet/>
      <dgm:spPr/>
      <dgm:t>
        <a:bodyPr/>
        <a:lstStyle/>
        <a:p>
          <a:endParaRPr lang="en-GB"/>
        </a:p>
      </dgm:t>
    </dgm:pt>
    <dgm:pt modelId="{CA118DFD-D54C-4689-B6AC-B82B01E04B1F}">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Heavy gas oil</a:t>
          </a:r>
          <a:br>
            <a:rPr lang="en-US" sz="1050" b="1">
              <a:solidFill>
                <a:sysClr val="windowText" lastClr="000000"/>
              </a:solidFill>
            </a:rPr>
          </a:br>
          <a:r>
            <a:rPr lang="en-US" sz="1000" b="0">
              <a:solidFill>
                <a:sysClr val="windowText" lastClr="000000"/>
              </a:solidFill>
            </a:rPr>
            <a:t>114572</a:t>
          </a:r>
          <a:endParaRPr lang="en-US" sz="1050" b="0">
            <a:solidFill>
              <a:sysClr val="windowText" lastClr="000000"/>
            </a:solidFill>
          </a:endParaRPr>
        </a:p>
      </dgm:t>
    </dgm:pt>
    <dgm:pt modelId="{353E3CE9-40F6-447F-B9B5-DD5A888D8E6B}" type="parTrans" cxnId="{90C6C6C4-6FB1-4585-86EF-8AC96E8B10A0}">
      <dgm:prSet/>
      <dgm:spPr/>
      <dgm:t>
        <a:bodyPr/>
        <a:lstStyle/>
        <a:p>
          <a:endParaRPr lang="en-GB"/>
        </a:p>
      </dgm:t>
    </dgm:pt>
    <dgm:pt modelId="{9752AE4C-BC0F-460E-930F-21259A6C0CA3}" type="sibTrans" cxnId="{90C6C6C4-6FB1-4585-86EF-8AC96E8B10A0}">
      <dgm:prSet/>
      <dgm:spPr/>
      <dgm:t>
        <a:bodyPr/>
        <a:lstStyle/>
        <a:p>
          <a:endParaRPr lang="en-GB"/>
        </a:p>
      </dgm:t>
    </dgm:pt>
    <dgm:pt modelId="{E31F9984-EABE-42CF-A5C3-6BEE0475157C}">
      <dgm:prSet phldrT="[Text]" custT="1"/>
      <dgm:spPr>
        <a:solidFill>
          <a:schemeClr val="accent4">
            <a:lumMod val="20000"/>
            <a:lumOff val="80000"/>
          </a:schemeClr>
        </a:solidFill>
      </dgm:spPr>
      <dgm:t>
        <a:bodyPr/>
        <a:lstStyle/>
        <a:p>
          <a:r>
            <a:rPr lang="en-US" sz="1050" b="1"/>
            <a:t>Unglazed solar water heaters</a:t>
          </a:r>
          <a:br>
            <a:rPr lang="en-US" sz="1050" b="1"/>
          </a:br>
          <a:r>
            <a:rPr lang="en-US" sz="1000" b="0"/>
            <a:t>242210</a:t>
          </a:r>
          <a:endParaRPr lang="en-US" sz="1050" b="0"/>
        </a:p>
      </dgm:t>
    </dgm:pt>
    <dgm:pt modelId="{C53E8780-DBB9-4B71-BED3-3D72990A1A93}" type="parTrans" cxnId="{FECDE2E3-3C73-4D79-AA3D-92DEABB8385E}">
      <dgm:prSet/>
      <dgm:spPr/>
      <dgm:t>
        <a:bodyPr/>
        <a:lstStyle/>
        <a:p>
          <a:endParaRPr lang="en-GB"/>
        </a:p>
      </dgm:t>
    </dgm:pt>
    <dgm:pt modelId="{76EA6F69-78C1-4A4C-93E1-DBD04102901F}" type="sibTrans" cxnId="{FECDE2E3-3C73-4D79-AA3D-92DEABB8385E}">
      <dgm:prSet/>
      <dgm:spPr/>
      <dgm:t>
        <a:bodyPr/>
        <a:lstStyle/>
        <a:p>
          <a:endParaRPr lang="en-GB"/>
        </a:p>
      </dgm:t>
    </dgm:pt>
    <dgm:pt modelId="{83A95EC7-DC92-4835-BEBF-750A6BB02C17}">
      <dgm:prSet phldrT="[Text]" custT="1"/>
      <dgm:spPr>
        <a:solidFill>
          <a:schemeClr val="accent4">
            <a:lumMod val="20000"/>
            <a:lumOff val="80000"/>
          </a:schemeClr>
        </a:solidFill>
      </dgm:spPr>
      <dgm:t>
        <a:bodyPr/>
        <a:lstStyle/>
        <a:p>
          <a:r>
            <a:rPr lang="en-US" sz="1050" b="1"/>
            <a:t>Concentrated solar water heaters</a:t>
          </a:r>
          <a:br>
            <a:rPr lang="en-US" sz="1050" b="1"/>
          </a:br>
          <a:r>
            <a:rPr lang="en-US" sz="1000" b="0"/>
            <a:t>242240</a:t>
          </a:r>
          <a:endParaRPr lang="en-US" sz="1050" b="0"/>
        </a:p>
      </dgm:t>
    </dgm:pt>
    <dgm:pt modelId="{382AC0B9-A995-4FF6-9F60-D5640F442699}" type="parTrans" cxnId="{E4E03765-346C-44D9-8175-A8B0D15373B3}">
      <dgm:prSet/>
      <dgm:spPr/>
      <dgm:t>
        <a:bodyPr/>
        <a:lstStyle/>
        <a:p>
          <a:endParaRPr lang="en-GB"/>
        </a:p>
      </dgm:t>
    </dgm:pt>
    <dgm:pt modelId="{67F34A48-5255-48E7-8A6D-F4A579F41F2C}" type="sibTrans" cxnId="{E4E03765-346C-44D9-8175-A8B0D15373B3}">
      <dgm:prSet/>
      <dgm:spPr/>
      <dgm:t>
        <a:bodyPr/>
        <a:lstStyle/>
        <a:p>
          <a:endParaRPr lang="en-GB"/>
        </a:p>
      </dgm:t>
    </dgm:pt>
    <dgm:pt modelId="{86E61AC4-C846-4D1C-B65B-6555FD9EE258}">
      <dgm:prSet phldrT="[Text]" custT="1"/>
      <dgm:spPr>
        <a:solidFill>
          <a:schemeClr val="accent4">
            <a:lumMod val="20000"/>
            <a:lumOff val="80000"/>
          </a:schemeClr>
        </a:solidFill>
      </dgm:spPr>
      <dgm:t>
        <a:bodyPr/>
        <a:lstStyle/>
        <a:p>
          <a:r>
            <a:rPr lang="en-US" sz="1050" b="1"/>
            <a:t>Glazed single solar water heaters</a:t>
          </a:r>
          <a:br>
            <a:rPr lang="en-US" sz="1050" b="1"/>
          </a:br>
          <a:r>
            <a:rPr lang="en-US" sz="1000" b="0"/>
            <a:t>242220</a:t>
          </a:r>
        </a:p>
      </dgm:t>
    </dgm:pt>
    <dgm:pt modelId="{FE292139-D1CB-419B-9093-AB70E97A3266}" type="parTrans" cxnId="{6614D93C-1D07-41BC-B5BD-3B9CE2738586}">
      <dgm:prSet/>
      <dgm:spPr/>
      <dgm:t>
        <a:bodyPr/>
        <a:lstStyle/>
        <a:p>
          <a:endParaRPr lang="en-GB"/>
        </a:p>
      </dgm:t>
    </dgm:pt>
    <dgm:pt modelId="{47AE5826-501D-4E53-A1C4-A0FEAE60A87D}" type="sibTrans" cxnId="{6614D93C-1D07-41BC-B5BD-3B9CE2738586}">
      <dgm:prSet/>
      <dgm:spPr/>
      <dgm:t>
        <a:bodyPr/>
        <a:lstStyle/>
        <a:p>
          <a:endParaRPr lang="en-GB"/>
        </a:p>
      </dgm:t>
    </dgm:pt>
    <dgm:pt modelId="{FECC9238-9990-4194-A985-57830279189D}">
      <dgm:prSet phldrT="[Text]" custT="1"/>
      <dgm:spPr>
        <a:solidFill>
          <a:schemeClr val="accent4">
            <a:lumMod val="20000"/>
            <a:lumOff val="80000"/>
          </a:schemeClr>
        </a:solidFill>
      </dgm:spPr>
      <dgm:t>
        <a:bodyPr/>
        <a:lstStyle/>
        <a:p>
          <a:r>
            <a:rPr lang="en-US" sz="1050" b="1"/>
            <a:t>Glazed combined solar water heaters</a:t>
          </a:r>
          <a:br>
            <a:rPr lang="en-US" sz="1050" b="1"/>
          </a:br>
          <a:r>
            <a:rPr lang="en-US" sz="1000" b="0"/>
            <a:t>242230</a:t>
          </a:r>
          <a:endParaRPr lang="en-US" sz="1050" b="0"/>
        </a:p>
      </dgm:t>
    </dgm:pt>
    <dgm:pt modelId="{77B0C87F-4918-4159-A1CE-6259B31DA524}" type="parTrans" cxnId="{1467BA79-E40C-4E31-A711-0DF72F42ABA0}">
      <dgm:prSet/>
      <dgm:spPr/>
      <dgm:t>
        <a:bodyPr/>
        <a:lstStyle/>
        <a:p>
          <a:endParaRPr lang="en-GB"/>
        </a:p>
      </dgm:t>
    </dgm:pt>
    <dgm:pt modelId="{752D85BE-FE2F-4266-81B4-0DBE7218263D}" type="sibTrans" cxnId="{1467BA79-E40C-4E31-A711-0DF72F42ABA0}">
      <dgm:prSet/>
      <dgm:spPr/>
      <dgm:t>
        <a:bodyPr/>
        <a:lstStyle/>
        <a:p>
          <a:endParaRPr lang="en-GB"/>
        </a:p>
      </dgm:t>
    </dgm:pt>
    <dgm:pt modelId="{8BB6122D-E6A2-4709-A14A-8420CE30194E}">
      <dgm:prSet phldrT="[Text]" custT="1"/>
      <dgm:spPr>
        <a:solidFill>
          <a:schemeClr val="accent4">
            <a:lumMod val="20000"/>
            <a:lumOff val="80000"/>
          </a:schemeClr>
        </a:solidFill>
      </dgm:spPr>
      <dgm:t>
        <a:bodyPr/>
        <a:lstStyle/>
        <a:p>
          <a:r>
            <a:rPr lang="en-US" sz="1050" b="1"/>
            <a:t>Solar air natural convection heating</a:t>
          </a:r>
          <a:br>
            <a:rPr lang="en-US" sz="1050" b="1"/>
          </a:br>
          <a:r>
            <a:rPr lang="en-US" sz="1000" b="0"/>
            <a:t>242310</a:t>
          </a:r>
          <a:endParaRPr lang="en-US" sz="1050" b="0"/>
        </a:p>
      </dgm:t>
    </dgm:pt>
    <dgm:pt modelId="{562D67E4-FD85-4F69-9F9A-1E59E4DE253D}" type="sibTrans" cxnId="{48ECD368-76D9-4468-903B-B8E238A80CBD}">
      <dgm:prSet/>
      <dgm:spPr/>
      <dgm:t>
        <a:bodyPr/>
        <a:lstStyle/>
        <a:p>
          <a:endParaRPr lang="en-GB"/>
        </a:p>
      </dgm:t>
    </dgm:pt>
    <dgm:pt modelId="{A16C7D7A-E18B-40EF-AA96-52629C1D62A0}" type="parTrans" cxnId="{48ECD368-76D9-4468-903B-B8E238A80CBD}">
      <dgm:prSet/>
      <dgm:spPr/>
      <dgm:t>
        <a:bodyPr/>
        <a:lstStyle/>
        <a:p>
          <a:endParaRPr lang="en-GB"/>
        </a:p>
      </dgm:t>
    </dgm:pt>
    <dgm:pt modelId="{5BD91ACA-C58E-4171-B542-F9AF479E8D0A}">
      <dgm:prSet phldrT="[Text]" custT="1"/>
      <dgm:spPr>
        <a:solidFill>
          <a:schemeClr val="accent4">
            <a:lumMod val="20000"/>
            <a:lumOff val="80000"/>
          </a:schemeClr>
        </a:solidFill>
      </dgm:spPr>
      <dgm:t>
        <a:bodyPr/>
        <a:lstStyle/>
        <a:p>
          <a:r>
            <a:rPr lang="en-US" sz="1050" b="1"/>
            <a:t>Solar air forced convection heating</a:t>
          </a:r>
          <a:br>
            <a:rPr lang="en-US" sz="1050" b="1"/>
          </a:br>
          <a:r>
            <a:rPr lang="en-US" sz="1000" b="0"/>
            <a:t>242320</a:t>
          </a:r>
          <a:endParaRPr lang="en-US" sz="1050" b="0"/>
        </a:p>
      </dgm:t>
    </dgm:pt>
    <dgm:pt modelId="{7EC1CE27-8225-4AC7-874A-E7046298514E}" type="sibTrans" cxnId="{74E5BE46-D7C0-4F46-9A98-5C9BE02E5FD6}">
      <dgm:prSet/>
      <dgm:spPr/>
      <dgm:t>
        <a:bodyPr/>
        <a:lstStyle/>
        <a:p>
          <a:endParaRPr lang="en-GB"/>
        </a:p>
      </dgm:t>
    </dgm:pt>
    <dgm:pt modelId="{797AB545-F139-4F2D-9047-9278BB941265}" type="parTrans" cxnId="{74E5BE46-D7C0-4F46-9A98-5C9BE02E5FD6}">
      <dgm:prSet/>
      <dgm:spPr/>
      <dgm:t>
        <a:bodyPr/>
        <a:lstStyle/>
        <a:p>
          <a:endParaRPr lang="en-GB"/>
        </a:p>
      </dgm:t>
    </dgm:pt>
    <dgm:pt modelId="{60C71A3B-0C4E-4CE6-B808-21A1DEACDEC5}">
      <dgm:prSet phldrT="[Text]" custT="1"/>
      <dgm:spPr>
        <a:solidFill>
          <a:schemeClr val="accent4">
            <a:lumMod val="20000"/>
            <a:lumOff val="80000"/>
          </a:schemeClr>
        </a:solidFill>
      </dgm:spPr>
      <dgm:t>
        <a:bodyPr/>
        <a:lstStyle/>
        <a:p>
          <a:r>
            <a:rPr lang="en-US" sz="1050" b="1"/>
            <a:t>Solar air radiative heating</a:t>
          </a:r>
          <a:br>
            <a:rPr lang="en-US" sz="1050" b="1"/>
          </a:br>
          <a:r>
            <a:rPr lang="en-US" sz="1000" b="0"/>
            <a:t>242330</a:t>
          </a:r>
          <a:endParaRPr lang="en-US" sz="1050" b="0"/>
        </a:p>
      </dgm:t>
    </dgm:pt>
    <dgm:pt modelId="{6EAC4A03-4C90-4687-883E-662EF7443E3D}" type="sibTrans" cxnId="{0D668DF5-E4F2-4E88-B53B-B20A39475175}">
      <dgm:prSet/>
      <dgm:spPr/>
      <dgm:t>
        <a:bodyPr/>
        <a:lstStyle/>
        <a:p>
          <a:endParaRPr lang="en-GB"/>
        </a:p>
      </dgm:t>
    </dgm:pt>
    <dgm:pt modelId="{48AD2F60-989F-4833-8C6B-22449A9EFE4B}" type="parTrans" cxnId="{0D668DF5-E4F2-4E88-B53B-B20A39475175}">
      <dgm:prSet/>
      <dgm:spPr/>
      <dgm:t>
        <a:bodyPr/>
        <a:lstStyle/>
        <a:p>
          <a:endParaRPr lang="en-GB"/>
        </a:p>
      </dgm:t>
    </dgm:pt>
    <dgm:pt modelId="{41CD94C2-59F0-44A3-BBC5-F29D686C70EF}">
      <dgm:prSet phldrT="[Text]" custT="1"/>
      <dgm:spPr>
        <a:pattFill prst="ltDnDiag">
          <a:fgClr>
            <a:schemeClr val="bg2"/>
          </a:fgClr>
          <a:bgClr>
            <a:schemeClr val="bg1"/>
          </a:bgClr>
        </a:pattFill>
      </dgm:spPr>
      <dgm:t>
        <a:bodyPr/>
        <a:lstStyle/>
        <a:p>
          <a:r>
            <a:rPr lang="en-US" sz="1050" b="1">
              <a:solidFill>
                <a:sysClr val="windowText" lastClr="000000"/>
              </a:solidFill>
            </a:rPr>
            <a:t>Blast furnace gas</a:t>
          </a:r>
          <a:br>
            <a:rPr lang="en-US" sz="1050" b="1">
              <a:solidFill>
                <a:sysClr val="windowText" lastClr="000000"/>
              </a:solidFill>
            </a:rPr>
          </a:br>
          <a:r>
            <a:rPr lang="en-US" sz="1000" b="0">
              <a:solidFill>
                <a:sysClr val="windowText" lastClr="000000"/>
              </a:solidFill>
            </a:rPr>
            <a:t>111371</a:t>
          </a:r>
          <a:endParaRPr lang="en-US" sz="1050" b="0">
            <a:solidFill>
              <a:sysClr val="windowText" lastClr="000000"/>
            </a:solidFill>
          </a:endParaRPr>
        </a:p>
      </dgm:t>
    </dgm:pt>
    <dgm:pt modelId="{0978688B-9487-4599-BFA2-E6CAEF31F3AD}" type="parTrans" cxnId="{73458FD4-3CF4-4347-8072-1C102E6F698F}">
      <dgm:prSet/>
      <dgm:spPr/>
      <dgm:t>
        <a:bodyPr/>
        <a:lstStyle/>
        <a:p>
          <a:endParaRPr lang="en-GB"/>
        </a:p>
      </dgm:t>
    </dgm:pt>
    <dgm:pt modelId="{45E329D6-9389-4179-B628-B09A7A0C0633}" type="sibTrans" cxnId="{73458FD4-3CF4-4347-8072-1C102E6F698F}">
      <dgm:prSet/>
      <dgm:spPr/>
      <dgm:t>
        <a:bodyPr/>
        <a:lstStyle/>
        <a:p>
          <a:endParaRPr lang="en-GB"/>
        </a:p>
      </dgm:t>
    </dgm:pt>
    <dgm:pt modelId="{E9C9B03C-CE48-4E81-8181-9DE10C5B64B7}">
      <dgm:prSet phldrT="[Text]" custT="1"/>
      <dgm:spPr>
        <a:pattFill prst="ltDnDiag">
          <a:fgClr>
            <a:schemeClr val="bg2"/>
          </a:fgClr>
          <a:bgClr>
            <a:schemeClr val="bg1"/>
          </a:bgClr>
        </a:pattFill>
      </dgm:spPr>
      <dgm:t>
        <a:bodyPr/>
        <a:lstStyle/>
        <a:p>
          <a:r>
            <a:rPr lang="en-US" sz="1050" b="1">
              <a:solidFill>
                <a:sysClr val="windowText" lastClr="000000"/>
              </a:solidFill>
            </a:rPr>
            <a:t>Basic oxygen steel furnace gas</a:t>
          </a:r>
          <a:br>
            <a:rPr lang="en-US" sz="1050" b="1">
              <a:solidFill>
                <a:sysClr val="windowText" lastClr="000000"/>
              </a:solidFill>
            </a:rPr>
          </a:br>
          <a:r>
            <a:rPr lang="en-US" sz="1000" b="0">
              <a:solidFill>
                <a:sysClr val="windowText" lastClr="000000"/>
              </a:solidFill>
            </a:rPr>
            <a:t>111372</a:t>
          </a:r>
          <a:endParaRPr lang="en-US" sz="1050" b="0">
            <a:solidFill>
              <a:sysClr val="windowText" lastClr="000000"/>
            </a:solidFill>
          </a:endParaRPr>
        </a:p>
      </dgm:t>
    </dgm:pt>
    <dgm:pt modelId="{826823C1-8B37-449D-B030-B0C21A0CD432}" type="parTrans" cxnId="{AB26F147-6B50-4E89-9F8A-1082640C2566}">
      <dgm:prSet/>
      <dgm:spPr/>
      <dgm:t>
        <a:bodyPr/>
        <a:lstStyle/>
        <a:p>
          <a:endParaRPr lang="en-GB"/>
        </a:p>
      </dgm:t>
    </dgm:pt>
    <dgm:pt modelId="{D93888E8-B926-405D-9FA6-A81D6FD67833}" type="sibTrans" cxnId="{AB26F147-6B50-4E89-9F8A-1082640C2566}">
      <dgm:prSet/>
      <dgm:spPr/>
      <dgm:t>
        <a:bodyPr/>
        <a:lstStyle/>
        <a:p>
          <a:endParaRPr lang="en-GB"/>
        </a:p>
      </dgm:t>
    </dgm:pt>
    <dgm:pt modelId="{C2B82F46-1FD0-4897-8F95-9366B049019F}">
      <dgm:prSet phldrT="[Text]" custT="1"/>
      <dgm:spPr>
        <a:pattFill prst="ltDnDiag">
          <a:fgClr>
            <a:schemeClr val="bg2"/>
          </a:fgClr>
          <a:bgClr>
            <a:schemeClr val="bg1"/>
          </a:bgClr>
        </a:pattFill>
      </dgm:spPr>
      <dgm:t>
        <a:bodyPr/>
        <a:lstStyle/>
        <a:p>
          <a:r>
            <a:rPr lang="en-US" sz="1050" b="1">
              <a:solidFill>
                <a:sysClr val="windowText" lastClr="000000"/>
              </a:solidFill>
            </a:rPr>
            <a:t>Other recovered gases</a:t>
          </a:r>
          <a:br>
            <a:rPr lang="en-US" sz="1050" b="1">
              <a:solidFill>
                <a:sysClr val="windowText" lastClr="000000"/>
              </a:solidFill>
            </a:rPr>
          </a:br>
          <a:r>
            <a:rPr lang="en-US" sz="1000" b="0">
              <a:solidFill>
                <a:sysClr val="windowText" lastClr="000000"/>
              </a:solidFill>
            </a:rPr>
            <a:t>111373</a:t>
          </a:r>
          <a:endParaRPr lang="en-US" sz="1050" b="0">
            <a:solidFill>
              <a:sysClr val="windowText" lastClr="000000"/>
            </a:solidFill>
          </a:endParaRPr>
        </a:p>
      </dgm:t>
    </dgm:pt>
    <dgm:pt modelId="{ACAA7FF2-7C37-4371-A863-825F5BE56C60}" type="parTrans" cxnId="{D068BDF3-7852-4D74-82CD-F03B862C6D88}">
      <dgm:prSet/>
      <dgm:spPr/>
      <dgm:t>
        <a:bodyPr/>
        <a:lstStyle/>
        <a:p>
          <a:endParaRPr lang="en-GB"/>
        </a:p>
      </dgm:t>
    </dgm:pt>
    <dgm:pt modelId="{52C0366D-76EF-4007-9EB1-87F92E159F56}" type="sibTrans" cxnId="{D068BDF3-7852-4D74-82CD-F03B862C6D88}">
      <dgm:prSet/>
      <dgm:spPr/>
      <dgm:t>
        <a:bodyPr/>
        <a:lstStyle/>
        <a:p>
          <a:endParaRPr lang="en-GB"/>
        </a:p>
      </dgm:t>
    </dgm:pt>
    <dgm:pt modelId="{0D22E87B-87AD-4527-894E-7FC0C92FA266}">
      <dgm:prSet phldrT="[Text]" custT="1"/>
      <dgm:spPr>
        <a:pattFill prst="ltDnDiag">
          <a:fgClr>
            <a:schemeClr val="bg2"/>
          </a:fgClr>
          <a:bgClr>
            <a:schemeClr val="bg1"/>
          </a:bgClr>
        </a:pattFill>
      </dgm:spPr>
      <dgm:t>
        <a:bodyPr/>
        <a:lstStyle/>
        <a:p>
          <a:r>
            <a:rPr lang="en-US" sz="1050" b="1">
              <a:solidFill>
                <a:sysClr val="windowText" lastClr="000000"/>
              </a:solidFill>
            </a:rPr>
            <a:t>Coal-based hydrogen</a:t>
          </a:r>
          <a:br>
            <a:rPr lang="en-US" sz="1050" b="1">
              <a:solidFill>
                <a:sysClr val="windowText" lastClr="000000"/>
              </a:solidFill>
            </a:rPr>
          </a:br>
          <a:r>
            <a:rPr lang="en-US" sz="1000" b="0">
              <a:solidFill>
                <a:sysClr val="windowText" lastClr="000000"/>
              </a:solidFill>
            </a:rPr>
            <a:t>111391</a:t>
          </a:r>
          <a:endParaRPr lang="en-US" sz="1050" b="0">
            <a:solidFill>
              <a:sysClr val="windowText" lastClr="000000"/>
            </a:solidFill>
          </a:endParaRPr>
        </a:p>
      </dgm:t>
    </dgm:pt>
    <dgm:pt modelId="{33D489BE-B749-490B-98FA-8D34847AD854}" type="parTrans" cxnId="{1C226112-B7DA-4061-A850-5EBDBE4F9397}">
      <dgm:prSet/>
      <dgm:spPr/>
      <dgm:t>
        <a:bodyPr/>
        <a:lstStyle/>
        <a:p>
          <a:endParaRPr lang="en-GB"/>
        </a:p>
      </dgm:t>
    </dgm:pt>
    <dgm:pt modelId="{71B3F5CE-80F1-4796-82D8-B16354AC06B6}" type="sibTrans" cxnId="{1C226112-B7DA-4061-A850-5EBDBE4F9397}">
      <dgm:prSet/>
      <dgm:spPr/>
      <dgm:t>
        <a:bodyPr/>
        <a:lstStyle/>
        <a:p>
          <a:endParaRPr lang="en-GB"/>
        </a:p>
      </dgm:t>
    </dgm:pt>
    <dgm:pt modelId="{C8631DC2-E378-4CB2-AB88-4675D872DC2A}">
      <dgm:prSet phldrT="[Text]" custT="1"/>
      <dgm:spPr>
        <a:pattFill prst="ltDnDiag">
          <a:fgClr>
            <a:schemeClr val="bg2"/>
          </a:fgClr>
          <a:bgClr>
            <a:schemeClr val="bg1"/>
          </a:bgClr>
        </a:pattFill>
      </dgm:spPr>
      <dgm:t>
        <a:bodyPr/>
        <a:lstStyle/>
        <a:p>
          <a:r>
            <a:rPr lang="en-US" sz="1050" b="1">
              <a:solidFill>
                <a:sysClr val="windowText" lastClr="000000"/>
              </a:solidFill>
            </a:rPr>
            <a:t>Coal-based ammonia</a:t>
          </a:r>
          <a:br>
            <a:rPr lang="en-US" sz="1050" b="1">
              <a:solidFill>
                <a:sysClr val="windowText" lastClr="000000"/>
              </a:solidFill>
            </a:rPr>
          </a:br>
          <a:r>
            <a:rPr lang="en-US" sz="1000" b="0">
              <a:solidFill>
                <a:sysClr val="windowText" lastClr="000000"/>
              </a:solidFill>
            </a:rPr>
            <a:t>111392</a:t>
          </a:r>
          <a:endParaRPr lang="en-US" sz="1050" b="0">
            <a:solidFill>
              <a:sysClr val="windowText" lastClr="000000"/>
            </a:solidFill>
          </a:endParaRPr>
        </a:p>
      </dgm:t>
    </dgm:pt>
    <dgm:pt modelId="{E5112E47-A2AF-4F0E-9183-E60E0192E41E}" type="parTrans" cxnId="{CB751078-8457-4BD2-A981-AC551260A78E}">
      <dgm:prSet/>
      <dgm:spPr/>
      <dgm:t>
        <a:bodyPr/>
        <a:lstStyle/>
        <a:p>
          <a:endParaRPr lang="en-GB"/>
        </a:p>
      </dgm:t>
    </dgm:pt>
    <dgm:pt modelId="{3331DE28-6E75-4529-BEA9-4FABEC5B6AE5}" type="sibTrans" cxnId="{CB751078-8457-4BD2-A981-AC551260A78E}">
      <dgm:prSet/>
      <dgm:spPr/>
      <dgm:t>
        <a:bodyPr/>
        <a:lstStyle/>
        <a:p>
          <a:endParaRPr lang="en-GB"/>
        </a:p>
      </dgm:t>
    </dgm:pt>
    <dgm:pt modelId="{E5574D11-1ACC-4F61-A8BE-2E2DD030F4F9}">
      <dgm:prSet phldrT="[Text]" custT="1"/>
      <dgm:spPr>
        <a:pattFill prst="ltDnDiag">
          <a:fgClr>
            <a:schemeClr val="bg2"/>
          </a:fgClr>
          <a:bgClr>
            <a:schemeClr val="bg1"/>
          </a:bgClr>
        </a:pattFill>
      </dgm:spPr>
      <dgm:t>
        <a:bodyPr/>
        <a:lstStyle/>
        <a:p>
          <a:r>
            <a:rPr lang="en-US" sz="1050" b="1">
              <a:solidFill>
                <a:sysClr val="windowText" lastClr="000000"/>
              </a:solidFill>
            </a:rPr>
            <a:t>Other coal products n.e.s.</a:t>
          </a:r>
          <a:br>
            <a:rPr lang="en-US" sz="1050" b="1">
              <a:solidFill>
                <a:sysClr val="windowText" lastClr="000000"/>
              </a:solidFill>
            </a:rPr>
          </a:br>
          <a:r>
            <a:rPr lang="en-US" sz="1000" b="0">
              <a:solidFill>
                <a:sysClr val="windowText" lastClr="000000"/>
              </a:solidFill>
            </a:rPr>
            <a:t>111399</a:t>
          </a:r>
        </a:p>
      </dgm:t>
    </dgm:pt>
    <dgm:pt modelId="{036157CB-C6E0-45A6-9025-BC4C243A80B7}" type="parTrans" cxnId="{D8D82793-3190-44AE-8F91-762FEBE2347C}">
      <dgm:prSet/>
      <dgm:spPr/>
      <dgm:t>
        <a:bodyPr/>
        <a:lstStyle/>
        <a:p>
          <a:endParaRPr lang="en-GB"/>
        </a:p>
      </dgm:t>
    </dgm:pt>
    <dgm:pt modelId="{98BB61EC-C0E5-40E4-A569-3522DA23D2A1}" type="sibTrans" cxnId="{D8D82793-3190-44AE-8F91-762FEBE2347C}">
      <dgm:prSet/>
      <dgm:spPr/>
      <dgm:t>
        <a:bodyPr/>
        <a:lstStyle/>
        <a:p>
          <a:endParaRPr lang="en-GB"/>
        </a:p>
      </dgm:t>
    </dgm:pt>
    <dgm:pt modelId="{5C6E158C-CCC5-477F-A592-4269EA95EB1B}">
      <dgm:prSet phldrT="[Text]" custT="1"/>
      <dgm:spPr>
        <a:pattFill prst="ltDnDiag">
          <a:fgClr>
            <a:schemeClr val="bg2"/>
          </a:fgClr>
          <a:bgClr>
            <a:schemeClr val="bg1"/>
          </a:bgClr>
        </a:pattFill>
      </dgm:spPr>
      <dgm:t>
        <a:bodyPr/>
        <a:lstStyle/>
        <a:p>
          <a:r>
            <a:rPr lang="en-US" sz="1050" b="1">
              <a:solidFill>
                <a:sysClr val="windowText" lastClr="000000"/>
              </a:solidFill>
            </a:rPr>
            <a:t>Coke oven coke</a:t>
          </a:r>
          <a:br>
            <a:rPr lang="en-US" sz="1050" b="1">
              <a:solidFill>
                <a:sysClr val="windowText" lastClr="000000"/>
              </a:solidFill>
            </a:rPr>
          </a:br>
          <a:r>
            <a:rPr lang="en-US" sz="1000" b="0">
              <a:solidFill>
                <a:sysClr val="windowText" lastClr="000000"/>
              </a:solidFill>
            </a:rPr>
            <a:t>111311</a:t>
          </a:r>
          <a:endParaRPr lang="en-US" sz="1050" b="0">
            <a:solidFill>
              <a:sysClr val="windowText" lastClr="000000"/>
            </a:solidFill>
          </a:endParaRPr>
        </a:p>
      </dgm:t>
    </dgm:pt>
    <dgm:pt modelId="{57B491C1-BF9D-426A-85A2-EC0CCD56D810}" type="parTrans" cxnId="{7D9B72BD-9D91-49CC-914E-41666417FD17}">
      <dgm:prSet/>
      <dgm:spPr/>
      <dgm:t>
        <a:bodyPr/>
        <a:lstStyle/>
        <a:p>
          <a:endParaRPr lang="en-GB"/>
        </a:p>
      </dgm:t>
    </dgm:pt>
    <dgm:pt modelId="{2BB27951-F01A-4757-9D0F-D89BDCC414F9}" type="sibTrans" cxnId="{7D9B72BD-9D91-49CC-914E-41666417FD17}">
      <dgm:prSet/>
      <dgm:spPr/>
      <dgm:t>
        <a:bodyPr/>
        <a:lstStyle/>
        <a:p>
          <a:endParaRPr lang="en-GB"/>
        </a:p>
      </dgm:t>
    </dgm:pt>
    <dgm:pt modelId="{EFCC3EF5-1ACE-4D51-ADE0-BB1E37F0CD2E}">
      <dgm:prSet phldrT="[Text]" custT="1"/>
      <dgm:spPr>
        <a:pattFill prst="ltDnDiag">
          <a:fgClr>
            <a:schemeClr val="bg2"/>
          </a:fgClr>
          <a:bgClr>
            <a:schemeClr val="bg1"/>
          </a:bgClr>
        </a:pattFill>
      </dgm:spPr>
      <dgm:t>
        <a:bodyPr/>
        <a:lstStyle/>
        <a:p>
          <a:r>
            <a:rPr lang="en-US" sz="1050" b="1">
              <a:solidFill>
                <a:sysClr val="windowText" lastClr="000000"/>
              </a:solidFill>
            </a:rPr>
            <a:t>Gas coke</a:t>
          </a:r>
          <a:br>
            <a:rPr lang="en-US" sz="1050" b="1">
              <a:solidFill>
                <a:sysClr val="windowText" lastClr="000000"/>
              </a:solidFill>
            </a:rPr>
          </a:br>
          <a:r>
            <a:rPr lang="en-US" sz="1000" b="0">
              <a:solidFill>
                <a:sysClr val="windowText" lastClr="000000"/>
              </a:solidFill>
            </a:rPr>
            <a:t>111312</a:t>
          </a:r>
          <a:endParaRPr lang="en-US" sz="1050" b="0">
            <a:solidFill>
              <a:sysClr val="windowText" lastClr="000000"/>
            </a:solidFill>
          </a:endParaRPr>
        </a:p>
      </dgm:t>
    </dgm:pt>
    <dgm:pt modelId="{D3FE2CB9-4032-4184-B0E7-FFF636A4F3F3}" type="parTrans" cxnId="{3F6CC0CC-9C64-47B6-A579-6D6537729333}">
      <dgm:prSet/>
      <dgm:spPr/>
      <dgm:t>
        <a:bodyPr/>
        <a:lstStyle/>
        <a:p>
          <a:endParaRPr lang="en-GB"/>
        </a:p>
      </dgm:t>
    </dgm:pt>
    <dgm:pt modelId="{D0321DA6-6532-4ED4-9609-D44A49612670}" type="sibTrans" cxnId="{3F6CC0CC-9C64-47B6-A579-6D6537729333}">
      <dgm:prSet/>
      <dgm:spPr/>
      <dgm:t>
        <a:bodyPr/>
        <a:lstStyle/>
        <a:p>
          <a:endParaRPr lang="en-GB"/>
        </a:p>
      </dgm:t>
    </dgm:pt>
    <dgm:pt modelId="{BFA7FA89-9744-4851-B655-6F798EA4D5BB}">
      <dgm:prSet phldrT="[Text]" custT="1"/>
      <dgm:spPr>
        <a:pattFill prst="ltDnDiag">
          <a:fgClr>
            <a:schemeClr val="bg2"/>
          </a:fgClr>
          <a:bgClr>
            <a:schemeClr val="bg1"/>
          </a:bgClr>
        </a:pattFill>
      </dgm:spPr>
      <dgm:t>
        <a:bodyPr/>
        <a:lstStyle/>
        <a:p>
          <a:r>
            <a:rPr lang="en-US" sz="1050" b="1">
              <a:solidFill>
                <a:sysClr val="windowText" lastClr="000000"/>
              </a:solidFill>
            </a:rPr>
            <a:t>Coke breeze</a:t>
          </a:r>
          <a:br>
            <a:rPr lang="en-US" sz="1050" b="1">
              <a:solidFill>
                <a:sysClr val="windowText" lastClr="000000"/>
              </a:solidFill>
            </a:rPr>
          </a:br>
          <a:r>
            <a:rPr lang="en-US" sz="1000" b="0">
              <a:solidFill>
                <a:sysClr val="windowText" lastClr="000000"/>
              </a:solidFill>
            </a:rPr>
            <a:t>111313</a:t>
          </a:r>
          <a:endParaRPr lang="en-US" sz="1050" b="0">
            <a:solidFill>
              <a:sysClr val="windowText" lastClr="000000"/>
            </a:solidFill>
          </a:endParaRPr>
        </a:p>
      </dgm:t>
    </dgm:pt>
    <dgm:pt modelId="{4E40F7B9-DDDF-44B2-A287-3601D4FC8EF4}" type="parTrans" cxnId="{B6850DA5-86F8-4B92-9E4D-9E1ECBA2B22D}">
      <dgm:prSet/>
      <dgm:spPr/>
      <dgm:t>
        <a:bodyPr/>
        <a:lstStyle/>
        <a:p>
          <a:endParaRPr lang="en-GB"/>
        </a:p>
      </dgm:t>
    </dgm:pt>
    <dgm:pt modelId="{FB32A69F-641D-4410-B02B-5D4AA862E28D}" type="sibTrans" cxnId="{B6850DA5-86F8-4B92-9E4D-9E1ECBA2B22D}">
      <dgm:prSet/>
      <dgm:spPr/>
      <dgm:t>
        <a:bodyPr/>
        <a:lstStyle/>
        <a:p>
          <a:endParaRPr lang="en-GB"/>
        </a:p>
      </dgm:t>
    </dgm:pt>
    <dgm:pt modelId="{2C4410AC-AC27-4BD9-B2A2-5000A73932DD}">
      <dgm:prSet phldrT="[Text]" custT="1"/>
      <dgm:spPr>
        <a:pattFill prst="ltDnDiag">
          <a:fgClr>
            <a:schemeClr val="bg2"/>
          </a:fgClr>
          <a:bgClr>
            <a:schemeClr val="bg1"/>
          </a:bgClr>
        </a:pattFill>
      </dgm:spPr>
      <dgm:t>
        <a:bodyPr/>
        <a:lstStyle/>
        <a:p>
          <a:r>
            <a:rPr lang="en-US" sz="1050" b="1">
              <a:solidFill>
                <a:sysClr val="windowText" lastClr="000000"/>
              </a:solidFill>
            </a:rPr>
            <a:t>Semi cokes</a:t>
          </a:r>
          <a:br>
            <a:rPr lang="en-US" sz="1050" b="1">
              <a:solidFill>
                <a:sysClr val="windowText" lastClr="000000"/>
              </a:solidFill>
            </a:rPr>
          </a:br>
          <a:r>
            <a:rPr lang="en-US" sz="1000" b="0">
              <a:solidFill>
                <a:sysClr val="windowText" lastClr="000000"/>
              </a:solidFill>
            </a:rPr>
            <a:t>111314</a:t>
          </a:r>
          <a:endParaRPr lang="en-US" sz="1050" b="0">
            <a:solidFill>
              <a:sysClr val="windowText" lastClr="000000"/>
            </a:solidFill>
          </a:endParaRPr>
        </a:p>
      </dgm:t>
    </dgm:pt>
    <dgm:pt modelId="{4AE9D112-E6F0-4A1C-9F8C-EDF4A44E1661}" type="parTrans" cxnId="{71ED09ED-8A0E-4BFC-B1BA-F31C79A00FC8}">
      <dgm:prSet/>
      <dgm:spPr/>
      <dgm:t>
        <a:bodyPr/>
        <a:lstStyle/>
        <a:p>
          <a:endParaRPr lang="en-GB"/>
        </a:p>
      </dgm:t>
    </dgm:pt>
    <dgm:pt modelId="{51CD786D-94C2-4BF1-B87B-934627719BFC}" type="sibTrans" cxnId="{71ED09ED-8A0E-4BFC-B1BA-F31C79A00FC8}">
      <dgm:prSet/>
      <dgm:spPr/>
      <dgm:t>
        <a:bodyPr/>
        <a:lstStyle/>
        <a:p>
          <a:endParaRPr lang="en-GB"/>
        </a:p>
      </dgm:t>
    </dgm:pt>
    <dgm:pt modelId="{5BE49A35-83BB-40E1-8540-26BCCF73D567}">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Natural gas products</a:t>
          </a:r>
          <a:br>
            <a:rPr lang="en-US" sz="1050" b="1">
              <a:solidFill>
                <a:sysClr val="windowText" lastClr="000000"/>
              </a:solidFill>
            </a:rPr>
          </a:br>
          <a:r>
            <a:rPr lang="en-US" sz="1000" b="0">
              <a:solidFill>
                <a:sysClr val="windowText" lastClr="000000"/>
              </a:solidFill>
            </a:rPr>
            <a:t>113300</a:t>
          </a:r>
          <a:endParaRPr lang="en-US" sz="1050" b="0">
            <a:solidFill>
              <a:sysClr val="windowText" lastClr="000000"/>
            </a:solidFill>
          </a:endParaRPr>
        </a:p>
      </dgm:t>
    </dgm:pt>
    <dgm:pt modelId="{B0D37A53-C3D9-4BE1-A570-D6BF31C3EA5F}" type="parTrans" cxnId="{822499DF-1965-4348-A386-874B9522C328}">
      <dgm:prSet/>
      <dgm:spPr/>
      <dgm:t>
        <a:bodyPr/>
        <a:lstStyle/>
        <a:p>
          <a:endParaRPr lang="en-GB"/>
        </a:p>
      </dgm:t>
    </dgm:pt>
    <dgm:pt modelId="{1FD55936-D3CD-49E4-ACE4-D73160D5E4DC}" type="sibTrans" cxnId="{822499DF-1965-4348-A386-874B9522C328}">
      <dgm:prSet/>
      <dgm:spPr/>
      <dgm:t>
        <a:bodyPr/>
        <a:lstStyle/>
        <a:p>
          <a:endParaRPr lang="en-GB"/>
        </a:p>
      </dgm:t>
    </dgm:pt>
    <dgm:pt modelId="{2A627E95-80B8-471F-B8C1-0A185CA00521}">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Natural gas-based hydrogen</a:t>
          </a:r>
          <a:br>
            <a:rPr lang="en-US" sz="1050" b="1">
              <a:solidFill>
                <a:sysClr val="windowText" lastClr="000000"/>
              </a:solidFill>
            </a:rPr>
          </a:br>
          <a:r>
            <a:rPr lang="en-US" sz="1000" b="0">
              <a:solidFill>
                <a:sysClr val="windowText" lastClr="000000"/>
              </a:solidFill>
            </a:rPr>
            <a:t>113310</a:t>
          </a:r>
          <a:endParaRPr lang="en-US" sz="1050" b="0">
            <a:solidFill>
              <a:sysClr val="windowText" lastClr="000000"/>
            </a:solidFill>
          </a:endParaRPr>
        </a:p>
      </dgm:t>
    </dgm:pt>
    <dgm:pt modelId="{0CAB4728-9217-4D5D-836F-6E3DFEA60D44}" type="parTrans" cxnId="{AB8D0E07-07A1-4F6A-85E9-512AFAA95782}">
      <dgm:prSet/>
      <dgm:spPr/>
      <dgm:t>
        <a:bodyPr/>
        <a:lstStyle/>
        <a:p>
          <a:endParaRPr lang="en-GB"/>
        </a:p>
      </dgm:t>
    </dgm:pt>
    <dgm:pt modelId="{DAD32C0F-2FF3-4FF3-9A95-4AF454BE3455}" type="sibTrans" cxnId="{AB8D0E07-07A1-4F6A-85E9-512AFAA95782}">
      <dgm:prSet/>
      <dgm:spPr/>
      <dgm:t>
        <a:bodyPr/>
        <a:lstStyle/>
        <a:p>
          <a:endParaRPr lang="en-GB"/>
        </a:p>
      </dgm:t>
    </dgm:pt>
    <dgm:pt modelId="{CF06B935-4100-4BE2-A656-9B7695371F75}">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Natural gas-based ammonia</a:t>
          </a:r>
          <a:br>
            <a:rPr lang="en-US" sz="1050" b="1">
              <a:solidFill>
                <a:sysClr val="windowText" lastClr="000000"/>
              </a:solidFill>
            </a:rPr>
          </a:br>
          <a:r>
            <a:rPr lang="en-US" sz="1000" b="0">
              <a:solidFill>
                <a:sysClr val="windowText" lastClr="000000"/>
              </a:solidFill>
            </a:rPr>
            <a:t>113320</a:t>
          </a:r>
          <a:endParaRPr lang="en-US" sz="1050" b="0">
            <a:solidFill>
              <a:sysClr val="windowText" lastClr="000000"/>
            </a:solidFill>
          </a:endParaRPr>
        </a:p>
      </dgm:t>
    </dgm:pt>
    <dgm:pt modelId="{5EB231EC-99CC-414B-8157-E10ACDC6FEF3}" type="parTrans" cxnId="{1767E056-A9F7-4B3E-AA9A-EA9258FFE6AD}">
      <dgm:prSet/>
      <dgm:spPr/>
      <dgm:t>
        <a:bodyPr/>
        <a:lstStyle/>
        <a:p>
          <a:endParaRPr lang="en-GB"/>
        </a:p>
      </dgm:t>
    </dgm:pt>
    <dgm:pt modelId="{F3FD4B8C-8963-4837-88ED-854C596FE3C8}" type="sibTrans" cxnId="{1767E056-A9F7-4B3E-AA9A-EA9258FFE6AD}">
      <dgm:prSet/>
      <dgm:spPr/>
      <dgm:t>
        <a:bodyPr/>
        <a:lstStyle/>
        <a:p>
          <a:endParaRPr lang="en-GB"/>
        </a:p>
      </dgm:t>
    </dgm:pt>
    <dgm:pt modelId="{F9F9650D-9E40-4A77-84BA-79F05439E5AD}">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Other natural gas products</a:t>
          </a:r>
          <a:br>
            <a:rPr lang="en-US" sz="1050" b="1">
              <a:solidFill>
                <a:sysClr val="windowText" lastClr="000000"/>
              </a:solidFill>
            </a:rPr>
          </a:br>
          <a:r>
            <a:rPr lang="en-US" sz="1000" b="0">
              <a:solidFill>
                <a:sysClr val="windowText" lastClr="000000"/>
              </a:solidFill>
            </a:rPr>
            <a:t>113390</a:t>
          </a:r>
          <a:endParaRPr lang="en-US" sz="1050" b="0">
            <a:solidFill>
              <a:sysClr val="windowText" lastClr="000000"/>
            </a:solidFill>
          </a:endParaRPr>
        </a:p>
      </dgm:t>
    </dgm:pt>
    <dgm:pt modelId="{7B4BB738-2D09-4661-B3AE-81BC8F151623}" type="parTrans" cxnId="{43B672ED-F343-403D-81C9-5946B814219C}">
      <dgm:prSet/>
      <dgm:spPr/>
      <dgm:t>
        <a:bodyPr/>
        <a:lstStyle/>
        <a:p>
          <a:endParaRPr lang="en-GB"/>
        </a:p>
      </dgm:t>
    </dgm:pt>
    <dgm:pt modelId="{F84115D7-882E-487A-BD68-04F61C08DEE1}" type="sibTrans" cxnId="{43B672ED-F343-403D-81C9-5946B814219C}">
      <dgm:prSet/>
      <dgm:spPr/>
      <dgm:t>
        <a:bodyPr/>
        <a:lstStyle/>
        <a:p>
          <a:endParaRPr lang="en-GB"/>
        </a:p>
      </dgm:t>
    </dgm:pt>
    <dgm:pt modelId="{0A8A6A6F-4C33-494A-B78A-EAE66C4DDB5E}">
      <dgm:prSet phldrT="[Text]" custT="1"/>
      <dgm:spPr>
        <a:pattFill prst="ltUpDiag">
          <a:fgClr>
            <a:srgbClr val="FFFF00"/>
          </a:fgClr>
          <a:bgClr>
            <a:schemeClr val="bg1"/>
          </a:bgClr>
        </a:pattFill>
      </dgm:spPr>
      <dgm:t>
        <a:bodyPr/>
        <a:lstStyle/>
        <a:p>
          <a:r>
            <a:rPr lang="en-US" sz="1050" b="1"/>
            <a:t>Ammonia storage</a:t>
          </a:r>
          <a:br>
            <a:rPr lang="en-US" sz="1050" b="1"/>
          </a:br>
          <a:r>
            <a:rPr lang="en-US" sz="1000" b="0"/>
            <a:t>362000</a:t>
          </a:r>
          <a:endParaRPr lang="en-US" sz="1050" b="0"/>
        </a:p>
      </dgm:t>
    </dgm:pt>
    <dgm:pt modelId="{40D61342-2987-4A13-8D25-E4F08BD35033}" type="parTrans" cxnId="{0FFC1D40-3061-414D-91F3-DDAF0DD27D43}">
      <dgm:prSet/>
      <dgm:spPr/>
      <dgm:t>
        <a:bodyPr/>
        <a:lstStyle/>
        <a:p>
          <a:endParaRPr lang="en-GB"/>
        </a:p>
      </dgm:t>
    </dgm:pt>
    <dgm:pt modelId="{3E8FCB1D-4D93-4879-88BB-2BAAB1C6E6E4}" type="sibTrans" cxnId="{0FFC1D40-3061-414D-91F3-DDAF0DD27D43}">
      <dgm:prSet/>
      <dgm:spPr/>
      <dgm:t>
        <a:bodyPr/>
        <a:lstStyle/>
        <a:p>
          <a:endParaRPr lang="en-GB"/>
        </a:p>
      </dgm:t>
    </dgm:pt>
    <dgm:pt modelId="{BEFE57E8-75D1-4DE3-802C-66CDCBF2C4C6}">
      <dgm:prSet phldrT="[Text]" custT="1"/>
      <dgm:spPr>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pPr marL="0" lvl="0" indent="0" algn="ctr" defTabSz="466725">
            <a:lnSpc>
              <a:spcPct val="90000"/>
            </a:lnSpc>
            <a:spcBef>
              <a:spcPct val="0"/>
            </a:spcBef>
            <a:spcAft>
              <a:spcPct val="35000"/>
            </a:spcAft>
            <a:buNone/>
          </a:pPr>
          <a:r>
            <a:rPr lang="en-US" sz="1050" b="1" kern="1200">
              <a:solidFill>
                <a:sysClr val="windowText" lastClr="000000"/>
              </a:solidFill>
              <a:latin typeface="Calibri" panose="020F0502020204030204"/>
              <a:ea typeface="+mn-ea"/>
              <a:cs typeface="+mn-cs"/>
            </a:rPr>
            <a:t>Other non-renewable electrolytic hydrogen</a:t>
          </a:r>
          <a:br>
            <a:rPr lang="en-US" sz="1050" b="1" kern="1200">
              <a:solidFill>
                <a:sysClr val="windowText" lastClr="000000"/>
              </a:solidFill>
              <a:latin typeface="Calibri" panose="020F0502020204030204"/>
              <a:ea typeface="+mn-ea"/>
              <a:cs typeface="+mn-cs"/>
            </a:rPr>
          </a:br>
          <a:r>
            <a:rPr lang="en-US" sz="1000" b="0" kern="1200">
              <a:solidFill>
                <a:sysClr val="windowText" lastClr="000000"/>
              </a:solidFill>
              <a:latin typeface="Calibri" panose="020F0502020204030204"/>
              <a:ea typeface="+mn-ea"/>
              <a:cs typeface="+mn-cs"/>
            </a:rPr>
            <a:t>142000</a:t>
          </a:r>
          <a:endParaRPr lang="en-US" sz="1050" b="0" kern="1200">
            <a:solidFill>
              <a:sysClr val="windowText" lastClr="000000"/>
            </a:solidFill>
            <a:latin typeface="Calibri" panose="020F0502020204030204"/>
            <a:ea typeface="+mn-ea"/>
            <a:cs typeface="+mn-cs"/>
          </a:endParaRPr>
        </a:p>
      </dgm:t>
    </dgm:pt>
    <dgm:pt modelId="{22ADACDB-61F0-4B28-A48C-2A83BF8BE40B}" type="parTrans" cxnId="{18850303-8CE2-423F-ABAB-94892AD51331}">
      <dgm:prSet/>
      <dgm:spPr/>
      <dgm:t>
        <a:bodyPr/>
        <a:lstStyle/>
        <a:p>
          <a:endParaRPr lang="en-GB"/>
        </a:p>
      </dgm:t>
    </dgm:pt>
    <dgm:pt modelId="{24D9B63E-88BA-4BBA-8900-E0E68A67F998}" type="sibTrans" cxnId="{18850303-8CE2-423F-ABAB-94892AD51331}">
      <dgm:prSet/>
      <dgm:spPr/>
      <dgm:t>
        <a:bodyPr/>
        <a:lstStyle/>
        <a:p>
          <a:endParaRPr lang="en-GB"/>
        </a:p>
      </dgm:t>
    </dgm:pt>
    <dgm:pt modelId="{9E5D52D3-374F-4E43-9C4E-BF0B3D31EC7B}">
      <dgm:prSet phldrT="[Text]" custT="1"/>
      <dgm:spPr>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r>
            <a:rPr lang="en-US" sz="1050" b="1" kern="1200">
              <a:solidFill>
                <a:sysClr val="windowText" lastClr="000000"/>
              </a:solidFill>
              <a:latin typeface="Calibri" panose="020F0502020204030204"/>
              <a:ea typeface="+mn-ea"/>
              <a:cs typeface="+mn-cs"/>
            </a:rPr>
            <a:t>Other</a:t>
          </a:r>
          <a:r>
            <a:rPr lang="en-US" sz="1050" b="1" kern="1200">
              <a:solidFill>
                <a:sysClr val="windowText" lastClr="000000"/>
              </a:solidFill>
            </a:rPr>
            <a:t> non-renewable thermolytic hydrogen</a:t>
          </a:r>
          <a:br>
            <a:rPr lang="en-US" sz="1050" b="1" kern="1200">
              <a:solidFill>
                <a:sysClr val="windowText" lastClr="000000"/>
              </a:solidFill>
            </a:rPr>
          </a:br>
          <a:r>
            <a:rPr lang="en-US" sz="1000" b="0" kern="1200">
              <a:solidFill>
                <a:sysClr val="windowText" lastClr="000000"/>
              </a:solidFill>
            </a:rPr>
            <a:t>143000</a:t>
          </a:r>
          <a:endParaRPr lang="en-US" sz="1050" b="0" kern="1200">
            <a:solidFill>
              <a:sysClr val="windowText" lastClr="000000"/>
            </a:solidFill>
          </a:endParaRPr>
        </a:p>
      </dgm:t>
    </dgm:pt>
    <dgm:pt modelId="{EA53066A-B3FF-4729-B512-2FB05783CDFD}" type="parTrans" cxnId="{28395D2C-19F5-4751-9A20-0D0B849700AC}">
      <dgm:prSet/>
      <dgm:spPr/>
      <dgm:t>
        <a:bodyPr/>
        <a:lstStyle/>
        <a:p>
          <a:endParaRPr lang="en-GB"/>
        </a:p>
      </dgm:t>
    </dgm:pt>
    <dgm:pt modelId="{2D28BB72-12D0-44C2-B7D0-2016ECFF6591}" type="sibTrans" cxnId="{28395D2C-19F5-4751-9A20-0D0B849700AC}">
      <dgm:prSet/>
      <dgm:spPr/>
      <dgm:t>
        <a:bodyPr/>
        <a:lstStyle/>
        <a:p>
          <a:endParaRPr lang="en-GB"/>
        </a:p>
      </dgm:t>
    </dgm:pt>
    <dgm:pt modelId="{AE6EB06C-12F8-4964-BB56-502B7A700042}">
      <dgm:prSet phldrT="[Text]" custT="1"/>
      <dgm:spPr>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r>
            <a:rPr lang="en-US" sz="1050" b="1">
              <a:solidFill>
                <a:sysClr val="windowText" lastClr="000000"/>
              </a:solidFill>
            </a:rPr>
            <a:t>Other non-renewable ammonia</a:t>
          </a:r>
          <a:br>
            <a:rPr lang="en-US" sz="1050" b="1">
              <a:solidFill>
                <a:sysClr val="windowText" lastClr="000000"/>
              </a:solidFill>
            </a:rPr>
          </a:br>
          <a:r>
            <a:rPr lang="en-US" sz="1000" b="0">
              <a:solidFill>
                <a:sysClr val="windowText" lastClr="000000"/>
              </a:solidFill>
            </a:rPr>
            <a:t>144000</a:t>
          </a:r>
        </a:p>
      </dgm:t>
    </dgm:pt>
    <dgm:pt modelId="{A830B224-1B71-43B7-BF60-8199ADEC889C}" type="parTrans" cxnId="{A89A3935-FC90-469E-BEC8-299AF095ECB2}">
      <dgm:prSet/>
      <dgm:spPr/>
      <dgm:t>
        <a:bodyPr/>
        <a:lstStyle/>
        <a:p>
          <a:endParaRPr lang="en-GB"/>
        </a:p>
      </dgm:t>
    </dgm:pt>
    <dgm:pt modelId="{41A66551-2123-4400-B017-87E22C99FCD6}" type="sibTrans" cxnId="{A89A3935-FC90-469E-BEC8-299AF095ECB2}">
      <dgm:prSet/>
      <dgm:spPr/>
      <dgm:t>
        <a:bodyPr/>
        <a:lstStyle/>
        <a:p>
          <a:endParaRPr lang="en-GB"/>
        </a:p>
      </dgm:t>
    </dgm:pt>
    <dgm:pt modelId="{6F2DABE7-9A70-4D84-9106-F429484E2300}">
      <dgm:prSet phldrT="[Text]" custT="1"/>
      <dgm:spPr>
        <a:pattFill prst="ltUpDiag">
          <a:fgClr>
            <a:srgbClr val="FFFF00"/>
          </a:fgClr>
          <a:bgClr>
            <a:schemeClr val="bg1"/>
          </a:bgClr>
        </a:pattFill>
      </dgm:spPr>
      <dgm:t>
        <a:bodyPr/>
        <a:lstStyle/>
        <a:p>
          <a:r>
            <a:rPr lang="en-US" sz="1050" b="1"/>
            <a:t>Other electric storage</a:t>
          </a:r>
          <a:br>
            <a:rPr lang="en-US" sz="1050" b="1"/>
          </a:br>
          <a:r>
            <a:rPr lang="en-US" sz="1000" b="0"/>
            <a:t>319000</a:t>
          </a:r>
          <a:endParaRPr lang="en-US" sz="1050" b="0"/>
        </a:p>
      </dgm:t>
    </dgm:pt>
    <dgm:pt modelId="{A7C45C67-718E-424C-8067-3A8203AE7A2B}" type="parTrans" cxnId="{03BA0417-466C-46D6-8D09-813DD54F9CBC}">
      <dgm:prSet/>
      <dgm:spPr/>
      <dgm:t>
        <a:bodyPr/>
        <a:lstStyle/>
        <a:p>
          <a:endParaRPr lang="en-GB"/>
        </a:p>
      </dgm:t>
    </dgm:pt>
    <dgm:pt modelId="{9A8D4D82-ADFC-478C-8C58-FEF2CB46975E}" type="sibTrans" cxnId="{03BA0417-466C-46D6-8D09-813DD54F9CBC}">
      <dgm:prSet/>
      <dgm:spPr/>
      <dgm:t>
        <a:bodyPr/>
        <a:lstStyle/>
        <a:p>
          <a:endParaRPr lang="en-GB"/>
        </a:p>
      </dgm:t>
    </dgm:pt>
    <dgm:pt modelId="{B1FF8223-4C4D-44C7-8D05-0DE5DD4452AD}">
      <dgm:prSet phldrT="[Text]" custT="1"/>
      <dgm:spPr>
        <a:pattFill prst="ltUpDiag">
          <a:fgClr>
            <a:srgbClr val="FFFF00"/>
          </a:fgClr>
          <a:bgClr>
            <a:schemeClr val="bg1"/>
          </a:bgClr>
        </a:pattFill>
      </dgm:spPr>
      <dgm:t>
        <a:bodyPr/>
        <a:lstStyle/>
        <a:p>
          <a:r>
            <a:rPr lang="en-US" sz="1050" b="1"/>
            <a:t>Other electrochemical storage</a:t>
          </a:r>
          <a:br>
            <a:rPr lang="en-US" sz="1050" b="1"/>
          </a:br>
          <a:r>
            <a:rPr lang="en-US" sz="1000" b="0"/>
            <a:t>329000</a:t>
          </a:r>
          <a:endParaRPr lang="en-US" sz="1050" b="0"/>
        </a:p>
      </dgm:t>
    </dgm:pt>
    <dgm:pt modelId="{19861599-005C-4BE2-A6D8-421B9BB82FC4}" type="parTrans" cxnId="{DFB63800-CA10-44FA-BC2A-1349FEA419CB}">
      <dgm:prSet/>
      <dgm:spPr/>
      <dgm:t>
        <a:bodyPr/>
        <a:lstStyle/>
        <a:p>
          <a:endParaRPr lang="en-GB"/>
        </a:p>
      </dgm:t>
    </dgm:pt>
    <dgm:pt modelId="{5CD53720-B128-40F6-9EC4-A332A34BDAC9}" type="sibTrans" cxnId="{DFB63800-CA10-44FA-BC2A-1349FEA419CB}">
      <dgm:prSet/>
      <dgm:spPr/>
      <dgm:t>
        <a:bodyPr/>
        <a:lstStyle/>
        <a:p>
          <a:endParaRPr lang="en-GB"/>
        </a:p>
      </dgm:t>
    </dgm:pt>
    <dgm:pt modelId="{4C2606F4-851D-4AC6-8912-08CBFFB97BB2}">
      <dgm:prSet phldrT="[Text]" custT="1"/>
      <dgm:spPr>
        <a:pattFill prst="ltUpDiag">
          <a:fgClr>
            <a:srgbClr val="FFFF00"/>
          </a:fgClr>
          <a:bgClr>
            <a:schemeClr val="bg1"/>
          </a:bgClr>
        </a:pattFill>
      </dgm:spPr>
      <dgm:t>
        <a:bodyPr/>
        <a:lstStyle/>
        <a:p>
          <a:r>
            <a:rPr lang="en-US" sz="1050" b="1"/>
            <a:t>Other electromagnetic storage</a:t>
          </a:r>
          <a:br>
            <a:rPr lang="en-US" sz="1050" b="1"/>
          </a:br>
          <a:r>
            <a:rPr lang="en-US" sz="1000" b="0"/>
            <a:t>339000</a:t>
          </a:r>
          <a:endParaRPr lang="en-US" sz="1050" b="0"/>
        </a:p>
      </dgm:t>
    </dgm:pt>
    <dgm:pt modelId="{6DA5D88D-1E4A-428A-ACBA-9A2D0BEB046E}" type="parTrans" cxnId="{D164F588-B195-41FB-B81E-F4A1F0424D7C}">
      <dgm:prSet/>
      <dgm:spPr/>
      <dgm:t>
        <a:bodyPr/>
        <a:lstStyle/>
        <a:p>
          <a:endParaRPr lang="en-GB"/>
        </a:p>
      </dgm:t>
    </dgm:pt>
    <dgm:pt modelId="{7034472B-761D-4D2A-B55B-8B95F11FC27C}" type="sibTrans" cxnId="{D164F588-B195-41FB-B81E-F4A1F0424D7C}">
      <dgm:prSet/>
      <dgm:spPr/>
      <dgm:t>
        <a:bodyPr/>
        <a:lstStyle/>
        <a:p>
          <a:endParaRPr lang="en-GB"/>
        </a:p>
      </dgm:t>
    </dgm:pt>
    <dgm:pt modelId="{DF071821-8BA9-4868-B806-A40BE4759DA3}">
      <dgm:prSet phldrT="[Text]" custT="1"/>
      <dgm:spPr>
        <a:pattFill prst="ltUpDiag">
          <a:fgClr>
            <a:srgbClr val="FFFF00"/>
          </a:fgClr>
          <a:bgClr>
            <a:schemeClr val="bg1"/>
          </a:bgClr>
        </a:pattFill>
      </dgm:spPr>
      <dgm:t>
        <a:bodyPr/>
        <a:lstStyle/>
        <a:p>
          <a:r>
            <a:rPr lang="en-US" sz="1050" b="1"/>
            <a:t>Other mechanical storage</a:t>
          </a:r>
          <a:br>
            <a:rPr lang="en-US" sz="1050" b="1"/>
          </a:br>
          <a:r>
            <a:rPr lang="en-US" sz="1000" b="0"/>
            <a:t>349000</a:t>
          </a:r>
          <a:endParaRPr lang="en-US" sz="1050" b="0"/>
        </a:p>
      </dgm:t>
    </dgm:pt>
    <dgm:pt modelId="{A7B47410-4336-4308-85EE-478C329B4409}" type="parTrans" cxnId="{3504385A-604D-4049-AA46-1EF31920FF42}">
      <dgm:prSet/>
      <dgm:spPr/>
      <dgm:t>
        <a:bodyPr/>
        <a:lstStyle/>
        <a:p>
          <a:endParaRPr lang="en-GB"/>
        </a:p>
      </dgm:t>
    </dgm:pt>
    <dgm:pt modelId="{30E868D5-8ACB-434C-B055-A13DE4610C87}" type="sibTrans" cxnId="{3504385A-604D-4049-AA46-1EF31920FF42}">
      <dgm:prSet/>
      <dgm:spPr/>
      <dgm:t>
        <a:bodyPr/>
        <a:lstStyle/>
        <a:p>
          <a:endParaRPr lang="en-GB"/>
        </a:p>
      </dgm:t>
    </dgm:pt>
    <dgm:pt modelId="{9E60DC48-126F-4245-8806-7202F6C0228B}">
      <dgm:prSet phldrT="[Text]" custT="1"/>
      <dgm:spPr>
        <a:pattFill prst="ltUpDiag">
          <a:fgClr>
            <a:srgbClr val="FFFF00"/>
          </a:fgClr>
          <a:bgClr>
            <a:schemeClr val="bg1"/>
          </a:bgClr>
        </a:pattFill>
      </dgm:spPr>
      <dgm:t>
        <a:bodyPr/>
        <a:lstStyle/>
        <a:p>
          <a:r>
            <a:rPr lang="en-US" sz="1050" b="1"/>
            <a:t>Other thermal storage</a:t>
          </a:r>
          <a:br>
            <a:rPr lang="en-US" sz="1050" b="1"/>
          </a:br>
          <a:r>
            <a:rPr lang="en-US" sz="1000" b="0"/>
            <a:t>359000</a:t>
          </a:r>
          <a:endParaRPr lang="en-US" sz="1050" b="0"/>
        </a:p>
      </dgm:t>
    </dgm:pt>
    <dgm:pt modelId="{8DE7A28B-E696-4E90-B677-F436B88D0904}" type="parTrans" cxnId="{5742EA6A-A624-46AD-A1B2-EB2BD336DCE0}">
      <dgm:prSet/>
      <dgm:spPr/>
      <dgm:t>
        <a:bodyPr/>
        <a:lstStyle/>
        <a:p>
          <a:endParaRPr lang="en-GB"/>
        </a:p>
      </dgm:t>
    </dgm:pt>
    <dgm:pt modelId="{1ECD6F05-90DE-486D-A5A2-345E3F35A3CB}" type="sibTrans" cxnId="{5742EA6A-A624-46AD-A1B2-EB2BD336DCE0}">
      <dgm:prSet/>
      <dgm:spPr/>
      <dgm:t>
        <a:bodyPr/>
        <a:lstStyle/>
        <a:p>
          <a:endParaRPr lang="en-GB"/>
        </a:p>
      </dgm:t>
    </dgm:pt>
    <dgm:pt modelId="{EBA15179-5EBF-4CDB-A793-B8E55FEB3F1C}">
      <dgm:prSet phldrT="[Text]" custT="1"/>
      <dgm:spPr>
        <a:pattFill prst="ltUpDiag">
          <a:fgClr>
            <a:srgbClr val="FFFF00"/>
          </a:fgClr>
          <a:bgClr>
            <a:schemeClr val="bg1"/>
          </a:bgClr>
        </a:pattFill>
      </dgm:spPr>
      <dgm:t>
        <a:bodyPr/>
        <a:lstStyle/>
        <a:p>
          <a:r>
            <a:rPr lang="en-US" sz="1050" b="1"/>
            <a:t>Gas hydrogen storage</a:t>
          </a:r>
          <a:br>
            <a:rPr lang="en-US" sz="1050" b="1"/>
          </a:br>
          <a:r>
            <a:rPr lang="en-US" sz="1000" b="0"/>
            <a:t>361100</a:t>
          </a:r>
          <a:endParaRPr lang="en-US" sz="1050" b="0"/>
        </a:p>
      </dgm:t>
    </dgm:pt>
    <dgm:pt modelId="{6C7A5B7C-5FDE-487C-A75A-9086A0CE44FA}" type="parTrans" cxnId="{6D6DB835-8517-42C5-A2F6-9FA58E79628E}">
      <dgm:prSet/>
      <dgm:spPr/>
      <dgm:t>
        <a:bodyPr/>
        <a:lstStyle/>
        <a:p>
          <a:endParaRPr lang="en-GB"/>
        </a:p>
      </dgm:t>
    </dgm:pt>
    <dgm:pt modelId="{2D961233-B87A-4B15-8C03-19BBF311A544}" type="sibTrans" cxnId="{6D6DB835-8517-42C5-A2F6-9FA58E79628E}">
      <dgm:prSet/>
      <dgm:spPr/>
      <dgm:t>
        <a:bodyPr/>
        <a:lstStyle/>
        <a:p>
          <a:endParaRPr lang="en-GB"/>
        </a:p>
      </dgm:t>
    </dgm:pt>
    <dgm:pt modelId="{278EEAB8-0CD5-40A4-BC9E-C17368CB323C}">
      <dgm:prSet phldrT="[Text]" custT="1"/>
      <dgm:spPr>
        <a:pattFill prst="ltUpDiag">
          <a:fgClr>
            <a:srgbClr val="FFFF00"/>
          </a:fgClr>
          <a:bgClr>
            <a:schemeClr val="bg1"/>
          </a:bgClr>
        </a:pattFill>
      </dgm:spPr>
      <dgm:t>
        <a:bodyPr/>
        <a:lstStyle/>
        <a:p>
          <a:r>
            <a:rPr lang="en-US" sz="1050" b="1"/>
            <a:t>Liquid hydrogen storage</a:t>
          </a:r>
          <a:br>
            <a:rPr lang="en-US" sz="1050" b="1"/>
          </a:br>
          <a:r>
            <a:rPr lang="en-US" sz="1000" b="0"/>
            <a:t>361200</a:t>
          </a:r>
          <a:endParaRPr lang="en-US" sz="1050" b="0"/>
        </a:p>
      </dgm:t>
    </dgm:pt>
    <dgm:pt modelId="{FD6ACADE-3DE3-4450-BDC2-4A1CDA0BAB73}" type="parTrans" cxnId="{263D4AA2-0ECF-4C93-B30A-89C3D4A79160}">
      <dgm:prSet/>
      <dgm:spPr/>
      <dgm:t>
        <a:bodyPr/>
        <a:lstStyle/>
        <a:p>
          <a:endParaRPr lang="en-GB"/>
        </a:p>
      </dgm:t>
    </dgm:pt>
    <dgm:pt modelId="{D22B83E7-7C33-4D8F-8BE4-30D09FE6FC47}" type="sibTrans" cxnId="{263D4AA2-0ECF-4C93-B30A-89C3D4A79160}">
      <dgm:prSet/>
      <dgm:spPr/>
      <dgm:t>
        <a:bodyPr/>
        <a:lstStyle/>
        <a:p>
          <a:endParaRPr lang="en-GB"/>
        </a:p>
      </dgm:t>
    </dgm:pt>
    <dgm:pt modelId="{6EA8C77C-EAF6-4BE6-AD96-7C80110BF0BC}">
      <dgm:prSet phldrT="[Text]" custT="1"/>
      <dgm:spPr>
        <a:pattFill prst="ltUpDiag">
          <a:fgClr>
            <a:srgbClr val="FFFF00"/>
          </a:fgClr>
          <a:bgClr>
            <a:schemeClr val="bg1"/>
          </a:bgClr>
        </a:pattFill>
      </dgm:spPr>
      <dgm:t>
        <a:bodyPr/>
        <a:lstStyle/>
        <a:p>
          <a:r>
            <a:rPr lang="en-US" sz="1050" b="1"/>
            <a:t>Solid hydrogen storage</a:t>
          </a:r>
          <a:br>
            <a:rPr lang="en-US" sz="1050" b="1"/>
          </a:br>
          <a:r>
            <a:rPr lang="en-US" sz="1000" b="0"/>
            <a:t>361300</a:t>
          </a:r>
          <a:endParaRPr lang="en-US" sz="1050" b="0"/>
        </a:p>
      </dgm:t>
    </dgm:pt>
    <dgm:pt modelId="{BC1698E3-5DC0-474F-92AD-6099F395E83A}" type="parTrans" cxnId="{9BF88690-9E54-4DE5-8B03-D9B17111BE28}">
      <dgm:prSet/>
      <dgm:spPr/>
      <dgm:t>
        <a:bodyPr/>
        <a:lstStyle/>
        <a:p>
          <a:endParaRPr lang="en-GB"/>
        </a:p>
      </dgm:t>
    </dgm:pt>
    <dgm:pt modelId="{BB6DBD3F-D2DF-427B-8D40-BEDF875D199A}" type="sibTrans" cxnId="{9BF88690-9E54-4DE5-8B03-D9B17111BE28}">
      <dgm:prSet/>
      <dgm:spPr/>
      <dgm:t>
        <a:bodyPr/>
        <a:lstStyle/>
        <a:p>
          <a:endParaRPr lang="en-GB"/>
        </a:p>
      </dgm:t>
    </dgm:pt>
    <dgm:pt modelId="{C185934A-43AC-4019-ADFF-87F5674C44DE}">
      <dgm:prSet phldrT="[Text]" custT="1"/>
      <dgm:spPr>
        <a:pattFill prst="ltUpDiag">
          <a:fgClr>
            <a:srgbClr val="FFFF00"/>
          </a:fgClr>
          <a:bgClr>
            <a:schemeClr val="bg1"/>
          </a:bgClr>
        </a:pattFill>
      </dgm:spPr>
      <dgm:t>
        <a:bodyPr/>
        <a:lstStyle/>
        <a:p>
          <a:r>
            <a:rPr lang="en-US" sz="1050" b="1"/>
            <a:t>Metal hydride hydrogen storage</a:t>
          </a:r>
          <a:br>
            <a:rPr lang="en-US" sz="1050" b="1"/>
          </a:br>
          <a:r>
            <a:rPr lang="en-US" sz="1000" b="0"/>
            <a:t>361310</a:t>
          </a:r>
          <a:endParaRPr lang="en-US" sz="1050" b="0"/>
        </a:p>
      </dgm:t>
    </dgm:pt>
    <dgm:pt modelId="{58FEE52A-7AF2-4518-B104-7436EAA933C6}" type="parTrans" cxnId="{4C227342-82E6-4DC6-8B70-5F5553C33E90}">
      <dgm:prSet/>
      <dgm:spPr/>
      <dgm:t>
        <a:bodyPr/>
        <a:lstStyle/>
        <a:p>
          <a:endParaRPr lang="en-GB"/>
        </a:p>
      </dgm:t>
    </dgm:pt>
    <dgm:pt modelId="{CC5EE34B-6E6C-4309-88C1-FAFEF72DDBC8}" type="sibTrans" cxnId="{4C227342-82E6-4DC6-8B70-5F5553C33E90}">
      <dgm:prSet/>
      <dgm:spPr/>
      <dgm:t>
        <a:bodyPr/>
        <a:lstStyle/>
        <a:p>
          <a:endParaRPr lang="en-GB"/>
        </a:p>
      </dgm:t>
    </dgm:pt>
    <dgm:pt modelId="{A49A2F49-29A2-4409-A8AA-7C842ECB3A93}">
      <dgm:prSet phldrT="[Text]" custT="1"/>
      <dgm:spPr>
        <a:pattFill prst="ltUpDiag">
          <a:fgClr>
            <a:srgbClr val="FFFF00"/>
          </a:fgClr>
          <a:bgClr>
            <a:schemeClr val="bg1"/>
          </a:bgClr>
        </a:pattFill>
      </dgm:spPr>
      <dgm:t>
        <a:bodyPr/>
        <a:lstStyle/>
        <a:p>
          <a:r>
            <a:rPr lang="en-US" sz="1050" b="1"/>
            <a:t>Adsorbent hydrogen storage</a:t>
          </a:r>
          <a:br>
            <a:rPr lang="en-US" sz="1050" b="1"/>
          </a:br>
          <a:r>
            <a:rPr lang="en-US" sz="1000" b="0"/>
            <a:t>361320</a:t>
          </a:r>
          <a:endParaRPr lang="en-US" sz="1050" b="0"/>
        </a:p>
      </dgm:t>
    </dgm:pt>
    <dgm:pt modelId="{566D328A-7046-49A4-A8F3-056A23838A3E}" type="parTrans" cxnId="{B7D9A8C0-1F6F-44FE-806E-8F0C52125161}">
      <dgm:prSet/>
      <dgm:spPr/>
      <dgm:t>
        <a:bodyPr/>
        <a:lstStyle/>
        <a:p>
          <a:endParaRPr lang="en-GB"/>
        </a:p>
      </dgm:t>
    </dgm:pt>
    <dgm:pt modelId="{C253E6FC-AF23-4196-B590-4C43EEB7349F}" type="sibTrans" cxnId="{B7D9A8C0-1F6F-44FE-806E-8F0C52125161}">
      <dgm:prSet/>
      <dgm:spPr/>
      <dgm:t>
        <a:bodyPr/>
        <a:lstStyle/>
        <a:p>
          <a:endParaRPr lang="en-GB"/>
        </a:p>
      </dgm:t>
    </dgm:pt>
    <dgm:pt modelId="{49EF50CC-F6C6-4511-9873-DDFEA99D5099}">
      <dgm:prSet phldrT="[Text]" custT="1"/>
      <dgm:spPr>
        <a:solidFill>
          <a:schemeClr val="accent6">
            <a:lumMod val="20000"/>
            <a:lumOff val="80000"/>
          </a:schemeClr>
        </a:solidFill>
      </dgm:spPr>
      <dgm:t>
        <a:bodyPr/>
        <a:lstStyle/>
        <a:p>
          <a:r>
            <a:rPr lang="en-US" sz="1050" b="1"/>
            <a:t>Renewable municipal waste</a:t>
          </a:r>
          <a:br>
            <a:rPr lang="en-US" sz="1050" b="0"/>
          </a:br>
          <a:r>
            <a:rPr lang="en-US" sz="1000" b="0"/>
            <a:t>264100</a:t>
          </a:r>
          <a:endParaRPr lang="en-US" sz="1050" b="0"/>
        </a:p>
      </dgm:t>
    </dgm:pt>
    <dgm:pt modelId="{56A57D1B-4852-4909-B6A0-549EF8E66A64}" type="parTrans" cxnId="{96AABA12-02D8-46AC-B874-185D503BB510}">
      <dgm:prSet/>
      <dgm:spPr/>
      <dgm:t>
        <a:bodyPr/>
        <a:lstStyle/>
        <a:p>
          <a:endParaRPr lang="en-US"/>
        </a:p>
      </dgm:t>
    </dgm:pt>
    <dgm:pt modelId="{F5751EA3-A601-4437-90C2-3E181257AE71}" type="sibTrans" cxnId="{96AABA12-02D8-46AC-B874-185D503BB510}">
      <dgm:prSet/>
      <dgm:spPr/>
      <dgm:t>
        <a:bodyPr/>
        <a:lstStyle/>
        <a:p>
          <a:endParaRPr lang="en-US"/>
        </a:p>
      </dgm:t>
    </dgm:pt>
    <dgm:pt modelId="{E636B005-FAAC-4710-8C3E-B22ABBD265C7}">
      <dgm:prSet phldrT="[Text]" custT="1"/>
      <dgm:spPr>
        <a:solidFill>
          <a:schemeClr val="accent6">
            <a:lumMod val="20000"/>
            <a:lumOff val="80000"/>
          </a:schemeClr>
        </a:solidFill>
      </dgm:spPr>
      <dgm:t>
        <a:bodyPr/>
        <a:lstStyle/>
        <a:p>
          <a:r>
            <a:rPr lang="en-US" sz="1050" b="1"/>
            <a:t>Renewable industrial waste</a:t>
          </a:r>
          <a:br>
            <a:rPr lang="en-US" sz="1050" b="0"/>
          </a:br>
          <a:r>
            <a:rPr lang="en-US" sz="1000" b="0"/>
            <a:t>264200</a:t>
          </a:r>
          <a:endParaRPr lang="en-US" sz="1050" b="0"/>
        </a:p>
      </dgm:t>
    </dgm:pt>
    <dgm:pt modelId="{0301553D-8786-475F-83B1-EF4349ED89FC}" type="parTrans" cxnId="{EB869CA8-779A-42D9-A320-436D7A54AD02}">
      <dgm:prSet/>
      <dgm:spPr/>
      <dgm:t>
        <a:bodyPr/>
        <a:lstStyle/>
        <a:p>
          <a:endParaRPr lang="en-US"/>
        </a:p>
      </dgm:t>
    </dgm:pt>
    <dgm:pt modelId="{0D582455-3A33-4817-8210-19B8D13F8119}" type="sibTrans" cxnId="{EB869CA8-779A-42D9-A320-436D7A54AD02}">
      <dgm:prSet/>
      <dgm:spPr/>
      <dgm:t>
        <a:bodyPr/>
        <a:lstStyle/>
        <a:p>
          <a:endParaRPr lang="en-US"/>
        </a:p>
      </dgm:t>
    </dgm:pt>
    <dgm:pt modelId="{18502FA2-63FD-490F-8568-59F2241113F1}">
      <dgm:prSet custT="1"/>
      <dgm:spPr>
        <a:solidFill>
          <a:schemeClr val="accent4">
            <a:lumMod val="20000"/>
            <a:lumOff val="80000"/>
          </a:schemeClr>
        </a:solidFill>
      </dgm:spPr>
      <dgm:t>
        <a:bodyPr/>
        <a:lstStyle/>
        <a:p>
          <a:r>
            <a:rPr lang="en-US" sz="1050" b="1"/>
            <a:t>Solar street lamps</a:t>
          </a:r>
          <a:br>
            <a:rPr lang="en-US" sz="1200" b="1"/>
          </a:br>
          <a:r>
            <a:rPr lang="en-US" sz="1000" b="0"/>
            <a:t>241270</a:t>
          </a:r>
          <a:endParaRPr lang="en-US" sz="1200" b="0"/>
        </a:p>
      </dgm:t>
    </dgm:pt>
    <dgm:pt modelId="{B1A55261-9E28-4100-B2A4-A33DF4773EDA}" type="parTrans" cxnId="{5AE6A02E-68CF-407A-B2E5-46CC43864213}">
      <dgm:prSet/>
      <dgm:spPr/>
      <dgm:t>
        <a:bodyPr/>
        <a:lstStyle/>
        <a:p>
          <a:endParaRPr lang="en-US"/>
        </a:p>
      </dgm:t>
    </dgm:pt>
    <dgm:pt modelId="{2CC1F357-DE17-44F9-A50D-8C478C77657A}" type="sibTrans" cxnId="{5AE6A02E-68CF-407A-B2E5-46CC43864213}">
      <dgm:prSet/>
      <dgm:spPr/>
      <dgm:t>
        <a:bodyPr/>
        <a:lstStyle/>
        <a:p>
          <a:endParaRPr lang="en-US"/>
        </a:p>
      </dgm:t>
    </dgm:pt>
    <dgm:pt modelId="{A78428E5-C70B-4883-B1BC-7785632EED0F}">
      <dgm:prSet custT="1"/>
      <dgm:spPr>
        <a:pattFill prst="ltDnDiag">
          <a:fgClr>
            <a:srgbClr val="70AD47">
              <a:lumMod val="20000"/>
              <a:lumOff val="80000"/>
            </a:srgbClr>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gm:spPr>
      <dgm:t>
        <a:bodyPr spcFirstLastPara="0" vert="horz" wrap="square" lIns="6985" tIns="6985" rIns="6985" bIns="6985" numCol="1" spcCol="1270" anchor="ctr" anchorCtr="0"/>
        <a:lstStyle/>
        <a:p>
          <a:r>
            <a:rPr lang="en-US" sz="1050" b="1" kern="1200"/>
            <a:t>Biological hydrogen</a:t>
          </a:r>
          <a:br>
            <a:rPr lang="en-US" sz="1050" b="1" kern="1200"/>
          </a:br>
          <a:r>
            <a:rPr lang="en-US" sz="1000" b="0" kern="1200">
              <a:solidFill>
                <a:sysClr val="windowText" lastClr="000000">
                  <a:hueOff val="0"/>
                  <a:satOff val="0"/>
                  <a:lumOff val="0"/>
                  <a:alphaOff val="0"/>
                </a:sysClr>
              </a:solidFill>
              <a:latin typeface="Calibri" panose="020F0502020204030204"/>
              <a:ea typeface="+mn-ea"/>
              <a:cs typeface="+mn-cs"/>
            </a:rPr>
            <a:t>263321</a:t>
          </a:r>
          <a:endParaRPr lang="en-US" sz="1050" b="0" kern="1200">
            <a:solidFill>
              <a:sysClr val="windowText" lastClr="000000">
                <a:hueOff val="0"/>
                <a:satOff val="0"/>
                <a:lumOff val="0"/>
                <a:alphaOff val="0"/>
              </a:sysClr>
            </a:solidFill>
            <a:latin typeface="Calibri" panose="020F0502020204030204"/>
            <a:ea typeface="+mn-ea"/>
            <a:cs typeface="+mn-cs"/>
          </a:endParaRPr>
        </a:p>
      </dgm:t>
    </dgm:pt>
    <dgm:pt modelId="{134F1239-921E-434D-ADCC-1D1C5B875250}" type="parTrans" cxnId="{FF018C49-3625-450C-9CA8-BA43F29CA0E0}">
      <dgm:prSet/>
      <dgm:spPr/>
      <dgm:t>
        <a:bodyPr/>
        <a:lstStyle/>
        <a:p>
          <a:endParaRPr lang="en-US"/>
        </a:p>
      </dgm:t>
    </dgm:pt>
    <dgm:pt modelId="{590CDC82-F9ED-4FC5-9C03-FEE08F6BEF1C}" type="sibTrans" cxnId="{FF018C49-3625-450C-9CA8-BA43F29CA0E0}">
      <dgm:prSet/>
      <dgm:spPr/>
      <dgm:t>
        <a:bodyPr/>
        <a:lstStyle/>
        <a:p>
          <a:endParaRPr lang="en-US"/>
        </a:p>
      </dgm:t>
    </dgm:pt>
    <dgm:pt modelId="{36D670E3-E08F-4258-9034-9537875A477B}">
      <dgm:prSet phldrT="[Text]" custT="1"/>
      <dgm:spPr>
        <a:pattFill prst="ltUpDiag">
          <a:fgClr>
            <a:srgbClr val="FFFF00"/>
          </a:fgClr>
          <a:bgClr>
            <a:schemeClr val="bg1"/>
          </a:bgClr>
        </a:pattFill>
      </dgm:spPr>
      <dgm:t>
        <a:bodyPr/>
        <a:lstStyle/>
        <a:p>
          <a:r>
            <a:rPr lang="en-US" sz="1050" b="1"/>
            <a:t>Other solid hydrogen storage</a:t>
          </a:r>
          <a:br>
            <a:rPr lang="en-US" sz="1050" b="0"/>
          </a:br>
          <a:r>
            <a:rPr lang="en-US" sz="1000" b="0"/>
            <a:t>361390</a:t>
          </a:r>
          <a:endParaRPr lang="en-US" sz="1050" b="0"/>
        </a:p>
      </dgm:t>
    </dgm:pt>
    <dgm:pt modelId="{C97C6C2C-8E95-4994-8CA3-58CD63D2A664}" type="parTrans" cxnId="{A7D48C8E-6B38-4F06-B127-4C18F23C5BFF}">
      <dgm:prSet/>
      <dgm:spPr/>
      <dgm:t>
        <a:bodyPr/>
        <a:lstStyle/>
        <a:p>
          <a:endParaRPr lang="en-US"/>
        </a:p>
      </dgm:t>
    </dgm:pt>
    <dgm:pt modelId="{CABFEFF7-3063-4153-9878-9AE517DC80A8}" type="sibTrans" cxnId="{A7D48C8E-6B38-4F06-B127-4C18F23C5BFF}">
      <dgm:prSet/>
      <dgm:spPr/>
      <dgm:t>
        <a:bodyPr/>
        <a:lstStyle/>
        <a:p>
          <a:endParaRPr lang="en-US"/>
        </a:p>
      </dgm:t>
    </dgm:pt>
    <dgm:pt modelId="{546F882E-02A2-4E82-983D-284DAEFE663D}">
      <dgm:prSet phldrT="[Text]" custT="1"/>
      <dgm:spPr>
        <a:pattFill prst="ltHorz">
          <a:fgClr>
            <a:schemeClr val="accent6">
              <a:lumMod val="20000"/>
              <a:lumOff val="80000"/>
            </a:schemeClr>
          </a:fgClr>
          <a:bgClr>
            <a:schemeClr val="bg1"/>
          </a:bgClr>
        </a:pattFill>
      </dgm:spPr>
      <dgm:t>
        <a:bodyPr/>
        <a:lstStyle/>
        <a:p>
          <a:r>
            <a:rPr lang="en-US" sz="1050" b="1"/>
            <a:t>Microalgal biodiesel</a:t>
          </a:r>
          <a:br>
            <a:rPr lang="en-US" sz="1200" b="1"/>
          </a:br>
          <a:r>
            <a:rPr lang="en-US" sz="1000" b="0"/>
            <a:t>262230</a:t>
          </a:r>
          <a:endParaRPr lang="en-US" sz="1200" b="0"/>
        </a:p>
      </dgm:t>
    </dgm:pt>
    <dgm:pt modelId="{D67F30EC-648F-4953-A1B5-A7106A8B9C21}" type="parTrans" cxnId="{B977470A-411E-437F-AD0D-93E771656394}">
      <dgm:prSet/>
      <dgm:spPr/>
      <dgm:t>
        <a:bodyPr/>
        <a:lstStyle/>
        <a:p>
          <a:endParaRPr lang="en-US"/>
        </a:p>
      </dgm:t>
    </dgm:pt>
    <dgm:pt modelId="{AC9037AB-48ED-45E3-ADE0-4095DA83CA6E}" type="sibTrans" cxnId="{B977470A-411E-437F-AD0D-93E771656394}">
      <dgm:prSet/>
      <dgm:spPr/>
      <dgm:t>
        <a:bodyPr/>
        <a:lstStyle/>
        <a:p>
          <a:endParaRPr lang="en-US"/>
        </a:p>
      </dgm:t>
    </dgm:pt>
    <dgm:pt modelId="{C4FBCDDB-D0F7-4DF6-9939-2A53BEFE8555}">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diesels</a:t>
          </a:r>
          <a:br>
            <a:rPr lang="en-US" sz="1100" b="0"/>
          </a:br>
          <a:r>
            <a:rPr lang="en-US" sz="1000" b="0"/>
            <a:t>272200</a:t>
          </a:r>
          <a:endParaRPr lang="en-US" sz="1100" b="0"/>
        </a:p>
      </dgm:t>
    </dgm:pt>
    <dgm:pt modelId="{4CB5114A-CEBB-491F-9758-BA618FF477F2}" type="parTrans" cxnId="{CE5F235F-61A7-4F1E-928B-6ECE75B948FD}">
      <dgm:prSet/>
      <dgm:spPr/>
      <dgm:t>
        <a:bodyPr/>
        <a:lstStyle/>
        <a:p>
          <a:endParaRPr lang="en-US"/>
        </a:p>
      </dgm:t>
    </dgm:pt>
    <dgm:pt modelId="{B63CEF5C-C22B-4DF2-B715-9C8873A38835}" type="sibTrans" cxnId="{CE5F235F-61A7-4F1E-928B-6ECE75B948FD}">
      <dgm:prSet/>
      <dgm:spPr/>
      <dgm:t>
        <a:bodyPr/>
        <a:lstStyle/>
        <a:p>
          <a:endParaRPr lang="en-US"/>
        </a:p>
      </dgm:t>
    </dgm:pt>
    <dgm:pt modelId="{B0F35BDD-1A2D-4B0E-8B7B-7060D56B4FFD}">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kerosenes</a:t>
          </a:r>
          <a:br>
            <a:rPr lang="en-US" sz="1100" b="0"/>
          </a:br>
          <a:r>
            <a:rPr lang="en-US" sz="1000" b="0"/>
            <a:t>272300</a:t>
          </a:r>
          <a:endParaRPr lang="en-US" sz="1100" b="0"/>
        </a:p>
      </dgm:t>
    </dgm:pt>
    <dgm:pt modelId="{23F75C7D-7FCC-492C-9D36-47C6A92A8E2F}" type="parTrans" cxnId="{3F1ABDAE-3241-4642-A91B-0E41EEE5DFC5}">
      <dgm:prSet/>
      <dgm:spPr/>
      <dgm:t>
        <a:bodyPr/>
        <a:lstStyle/>
        <a:p>
          <a:endParaRPr lang="en-US"/>
        </a:p>
      </dgm:t>
    </dgm:pt>
    <dgm:pt modelId="{96F19EE3-894D-48BF-889C-270BF11184FC}" type="sibTrans" cxnId="{3F1ABDAE-3241-4642-A91B-0E41EEE5DFC5}">
      <dgm:prSet/>
      <dgm:spPr/>
      <dgm:t>
        <a:bodyPr/>
        <a:lstStyle/>
        <a:p>
          <a:endParaRPr lang="en-US"/>
        </a:p>
      </dgm:t>
    </dgm:pt>
    <dgm:pt modelId="{261AC762-8441-4A03-97AC-AD71E122E56E}">
      <dgm:prSet phldrT="[Text]" custT="1"/>
      <dgm:spPr>
        <a:solidFill>
          <a:schemeClr val="bg2"/>
        </a:solidFill>
      </dgm:spPr>
      <dgm:t>
        <a:bodyPr/>
        <a:lstStyle/>
        <a:p>
          <a:r>
            <a:rPr lang="en-US" sz="1050" b="1">
              <a:solidFill>
                <a:sysClr val="windowText" lastClr="000000"/>
              </a:solidFill>
            </a:rPr>
            <a:t>Dry natural gas</a:t>
          </a:r>
          <a:br>
            <a:rPr lang="en-US" sz="1050" b="0">
              <a:solidFill>
                <a:sysClr val="windowText" lastClr="000000"/>
              </a:solidFill>
            </a:rPr>
          </a:br>
          <a:r>
            <a:rPr lang="en-US" sz="1000" b="0">
              <a:solidFill>
                <a:sysClr val="windowText" lastClr="000000"/>
              </a:solidFill>
            </a:rPr>
            <a:t>113200</a:t>
          </a:r>
          <a:endParaRPr lang="en-US" sz="1050" b="0">
            <a:solidFill>
              <a:sysClr val="windowText" lastClr="000000"/>
            </a:solidFill>
          </a:endParaRPr>
        </a:p>
      </dgm:t>
    </dgm:pt>
    <dgm:pt modelId="{836480B4-8447-4711-8B34-48F7C7F0F122}" type="parTrans" cxnId="{8D5792D1-725D-400A-9353-143EB70BCC8B}">
      <dgm:prSet/>
      <dgm:spPr/>
      <dgm:t>
        <a:bodyPr/>
        <a:lstStyle/>
        <a:p>
          <a:endParaRPr lang="en-GB"/>
        </a:p>
      </dgm:t>
    </dgm:pt>
    <dgm:pt modelId="{216F970C-E438-42D9-907A-0F08ECE1AD51}" type="sibTrans" cxnId="{8D5792D1-725D-400A-9353-143EB70BCC8B}">
      <dgm:prSet/>
      <dgm:spPr/>
      <dgm:t>
        <a:bodyPr/>
        <a:lstStyle/>
        <a:p>
          <a:endParaRPr lang="en-GB"/>
        </a:p>
      </dgm:t>
    </dgm:pt>
    <dgm:pt modelId="{F35C6DA3-2482-46AA-B232-A1931123E027}">
      <dgm:prSet phldrT="[Text]" custT="1"/>
      <dgm:spPr>
        <a:solidFill>
          <a:schemeClr val="accent4">
            <a:lumMod val="20000"/>
            <a:lumOff val="80000"/>
          </a:schemeClr>
        </a:solidFill>
      </dgm:spPr>
      <dgm:t>
        <a:bodyPr/>
        <a:lstStyle/>
        <a:p>
          <a:r>
            <a:rPr lang="en-US" sz="1050" b="1"/>
            <a:t>Off-grid solar photovoltaic</a:t>
          </a:r>
          <a:br>
            <a:rPr lang="en-US" sz="1050" b="1"/>
          </a:br>
          <a:r>
            <a:rPr lang="en-US" sz="1000" b="0"/>
            <a:t>241200</a:t>
          </a:r>
          <a:endParaRPr lang="en-US" sz="1050" b="0"/>
        </a:p>
      </dgm:t>
    </dgm:pt>
    <dgm:pt modelId="{F5B9F326-C225-40EA-8364-6F96CA08C903}" type="parTrans" cxnId="{D9D753F8-09D2-4431-8744-A089F39FE422}">
      <dgm:prSet/>
      <dgm:spPr/>
      <dgm:t>
        <a:bodyPr/>
        <a:lstStyle/>
        <a:p>
          <a:endParaRPr lang="en-GB"/>
        </a:p>
      </dgm:t>
    </dgm:pt>
    <dgm:pt modelId="{41D3F6B9-E4EE-45D3-AE58-E5A59465DB0A}" type="sibTrans" cxnId="{D9D753F8-09D2-4431-8744-A089F39FE422}">
      <dgm:prSet/>
      <dgm:spPr/>
      <dgm:t>
        <a:bodyPr/>
        <a:lstStyle/>
        <a:p>
          <a:endParaRPr lang="en-GB"/>
        </a:p>
      </dgm:t>
    </dgm:pt>
    <dgm:pt modelId="{B352CEAB-52D3-4E64-8236-D79B73B32FA1}">
      <dgm:prSet phldrT="[Text]" custT="1"/>
      <dgm:spPr>
        <a:solidFill>
          <a:schemeClr val="accent4">
            <a:lumMod val="20000"/>
            <a:lumOff val="80000"/>
          </a:schemeClr>
        </a:solidFill>
      </dgm:spPr>
      <dgm:t>
        <a:bodyPr/>
        <a:lstStyle/>
        <a:p>
          <a:r>
            <a:rPr lang="en-US" sz="1050" b="1"/>
            <a:t>On-grid utility-scale photovoltaic </a:t>
          </a:r>
          <a:br>
            <a:rPr lang="en-US" sz="1050" b="1"/>
          </a:br>
          <a:r>
            <a:rPr lang="en-US" sz="1050" b="1"/>
            <a:t>(&gt;1 000 kW)</a:t>
          </a:r>
          <a:br>
            <a:rPr lang="en-US" sz="1050" b="1"/>
          </a:br>
          <a:r>
            <a:rPr lang="en-US" sz="1000" b="0"/>
            <a:t>241110</a:t>
          </a:r>
          <a:endParaRPr lang="en-US" sz="1050" b="0"/>
        </a:p>
      </dgm:t>
    </dgm:pt>
    <dgm:pt modelId="{F3B1A565-4822-48DB-A534-938E8EFB42F5}" type="parTrans" cxnId="{C216B0A2-D857-4A95-8130-FD32F1B620B1}">
      <dgm:prSet/>
      <dgm:spPr/>
      <dgm:t>
        <a:bodyPr/>
        <a:lstStyle/>
        <a:p>
          <a:endParaRPr lang="en-GB"/>
        </a:p>
      </dgm:t>
    </dgm:pt>
    <dgm:pt modelId="{698CDDFF-46BF-4DAF-B08F-824FE5F3F4B9}" type="sibTrans" cxnId="{C216B0A2-D857-4A95-8130-FD32F1B620B1}">
      <dgm:prSet/>
      <dgm:spPr/>
      <dgm:t>
        <a:bodyPr/>
        <a:lstStyle/>
        <a:p>
          <a:endParaRPr lang="en-GB"/>
        </a:p>
      </dgm:t>
    </dgm:pt>
    <dgm:pt modelId="{8130E6E9-6299-4680-A9A1-35CFC113836C}">
      <dgm:prSet phldrT="[Text]" custT="1"/>
      <dgm:spPr>
        <a:solidFill>
          <a:schemeClr val="accent4">
            <a:lumMod val="20000"/>
            <a:lumOff val="80000"/>
          </a:schemeClr>
        </a:solidFill>
      </dgm:spPr>
      <dgm:t>
        <a:bodyPr/>
        <a:lstStyle/>
        <a:p>
          <a:r>
            <a:rPr lang="en-US" sz="1050" b="1"/>
            <a:t>On-grid distributed photovoltaic </a:t>
          </a:r>
          <a:br>
            <a:rPr lang="en-US" sz="1050" b="1"/>
          </a:br>
          <a:r>
            <a:rPr lang="en-US" sz="1050" b="1"/>
            <a:t>(30-1 000 kW)</a:t>
          </a:r>
          <a:br>
            <a:rPr lang="en-US" sz="1050" b="1"/>
          </a:br>
          <a:r>
            <a:rPr lang="en-US" sz="1000" b="0"/>
            <a:t>241120</a:t>
          </a:r>
          <a:endParaRPr lang="en-US" sz="1050" b="0"/>
        </a:p>
      </dgm:t>
    </dgm:pt>
    <dgm:pt modelId="{25657745-DD72-4621-B425-3AFB1527C28D}" type="parTrans" cxnId="{CD9AF77B-8FDD-4FD6-A709-35CAF68B6BC3}">
      <dgm:prSet/>
      <dgm:spPr/>
      <dgm:t>
        <a:bodyPr/>
        <a:lstStyle/>
        <a:p>
          <a:endParaRPr lang="en-GB"/>
        </a:p>
      </dgm:t>
    </dgm:pt>
    <dgm:pt modelId="{6BC943A8-A271-4B1F-BC3A-03C78E082100}" type="sibTrans" cxnId="{CD9AF77B-8FDD-4FD6-A709-35CAF68B6BC3}">
      <dgm:prSet/>
      <dgm:spPr/>
      <dgm:t>
        <a:bodyPr/>
        <a:lstStyle/>
        <a:p>
          <a:endParaRPr lang="en-GB"/>
        </a:p>
      </dgm:t>
    </dgm:pt>
    <dgm:pt modelId="{28454BE6-A4D9-42AC-91D4-EC8376D081CF}">
      <dgm:prSet phldrT="[Text]" custT="1"/>
      <dgm:spPr>
        <a:solidFill>
          <a:schemeClr val="accent4">
            <a:lumMod val="20000"/>
            <a:lumOff val="80000"/>
          </a:schemeClr>
        </a:solidFill>
      </dgm:spPr>
      <dgm:t>
        <a:bodyPr/>
        <a:lstStyle/>
        <a:p>
          <a:r>
            <a:rPr lang="en-US" sz="1050" b="1"/>
            <a:t>On-grid distributed photovoltaic </a:t>
          </a:r>
          <a:br>
            <a:rPr lang="en-US" sz="1050" b="1"/>
          </a:br>
          <a:r>
            <a:rPr lang="en-US" sz="1050" b="1"/>
            <a:t>(&lt;30 kW)</a:t>
          </a:r>
          <a:br>
            <a:rPr lang="en-US" sz="1050" b="1"/>
          </a:br>
          <a:r>
            <a:rPr lang="en-US" sz="1000" b="0"/>
            <a:t>241130</a:t>
          </a:r>
          <a:endParaRPr lang="en-US" sz="1050" b="0"/>
        </a:p>
      </dgm:t>
    </dgm:pt>
    <dgm:pt modelId="{102F5C12-FE34-4B9E-8E60-451C1F5798D9}" type="parTrans" cxnId="{D6658107-8122-44AC-990E-BA20C407CA23}">
      <dgm:prSet/>
      <dgm:spPr/>
      <dgm:t>
        <a:bodyPr/>
        <a:lstStyle/>
        <a:p>
          <a:endParaRPr lang="en-GB"/>
        </a:p>
      </dgm:t>
    </dgm:pt>
    <dgm:pt modelId="{E127D64A-78D0-4161-BF16-7B6171288521}" type="sibTrans" cxnId="{D6658107-8122-44AC-990E-BA20C407CA23}">
      <dgm:prSet/>
      <dgm:spPr/>
      <dgm:t>
        <a:bodyPr/>
        <a:lstStyle/>
        <a:p>
          <a:endParaRPr lang="en-GB"/>
        </a:p>
      </dgm:t>
    </dgm:pt>
    <dgm:pt modelId="{1F9D464E-981B-451D-AC48-E5F984B8FAFE}">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Peat-based hydrogen</a:t>
          </a:r>
          <a:br>
            <a:rPr lang="en-US" sz="1050" b="1">
              <a:solidFill>
                <a:sysClr val="windowText" lastClr="000000"/>
              </a:solidFill>
            </a:rPr>
          </a:br>
          <a:r>
            <a:rPr lang="en-US" sz="1000" b="0">
              <a:solidFill>
                <a:sysClr val="windowText" lastClr="000000"/>
              </a:solidFill>
            </a:rPr>
            <a:t>112220</a:t>
          </a:r>
          <a:endParaRPr lang="en-US" sz="1050" b="0">
            <a:solidFill>
              <a:sysClr val="windowText" lastClr="000000"/>
            </a:solidFill>
          </a:endParaRPr>
        </a:p>
      </dgm:t>
    </dgm:pt>
    <dgm:pt modelId="{3F3C32BD-6635-4CD9-B1F8-B8FB123B8054}" type="parTrans" cxnId="{F60B5AFD-67C4-4171-A414-93BC12C1A9C3}">
      <dgm:prSet/>
      <dgm:spPr/>
      <dgm:t>
        <a:bodyPr/>
        <a:lstStyle/>
        <a:p>
          <a:endParaRPr lang="en-GB"/>
        </a:p>
      </dgm:t>
    </dgm:pt>
    <dgm:pt modelId="{88FADF74-8284-4947-B993-39E24C63FE3A}" type="sibTrans" cxnId="{F60B5AFD-67C4-4171-A414-93BC12C1A9C3}">
      <dgm:prSet/>
      <dgm:spPr/>
      <dgm:t>
        <a:bodyPr/>
        <a:lstStyle/>
        <a:p>
          <a:endParaRPr lang="en-GB"/>
        </a:p>
      </dgm:t>
    </dgm:pt>
    <dgm:pt modelId="{22438E18-2FD6-4CCA-B78D-3FC731294CBF}">
      <dgm:prSet phldrT="[Text]" custT="1"/>
      <dgm:spPr>
        <a:pattFill prst="ltDnDiag">
          <a:fgClr>
            <a:schemeClr val="bg1">
              <a:lumMod val="85000"/>
            </a:schemeClr>
          </a:fgClr>
          <a:bgClr>
            <a:schemeClr val="bg1"/>
          </a:bgClr>
        </a:pattFill>
      </dgm:spPr>
      <dgm:t>
        <a:bodyPr/>
        <a:lstStyle/>
        <a:p>
          <a:r>
            <a:rPr lang="en-US" sz="1050" b="1">
              <a:solidFill>
                <a:sysClr val="windowText" lastClr="000000"/>
              </a:solidFill>
            </a:rPr>
            <a:t>Peat-based ammonia</a:t>
          </a:r>
          <a:br>
            <a:rPr lang="en-US" sz="1050" b="0">
              <a:solidFill>
                <a:sysClr val="windowText" lastClr="000000"/>
              </a:solidFill>
            </a:rPr>
          </a:br>
          <a:r>
            <a:rPr lang="en-US" sz="1000" b="0">
              <a:solidFill>
                <a:sysClr val="windowText" lastClr="000000"/>
              </a:solidFill>
            </a:rPr>
            <a:t>112230</a:t>
          </a:r>
          <a:endParaRPr lang="en-US" sz="1050" b="0">
            <a:solidFill>
              <a:sysClr val="windowText" lastClr="000000"/>
            </a:solidFill>
          </a:endParaRPr>
        </a:p>
      </dgm:t>
    </dgm:pt>
    <dgm:pt modelId="{D9824643-22D6-4B69-9BE4-8D68EED2ED50}" type="parTrans" cxnId="{16AADFAB-6924-45A4-BBF0-EDA4C7A9F4FF}">
      <dgm:prSet/>
      <dgm:spPr/>
      <dgm:t>
        <a:bodyPr/>
        <a:lstStyle/>
        <a:p>
          <a:endParaRPr lang="en-GB"/>
        </a:p>
      </dgm:t>
    </dgm:pt>
    <dgm:pt modelId="{CA40370F-F16B-48FF-940A-70FCB8930739}" type="sibTrans" cxnId="{16AADFAB-6924-45A4-BBF0-EDA4C7A9F4FF}">
      <dgm:prSet/>
      <dgm:spPr/>
      <dgm:t>
        <a:bodyPr/>
        <a:lstStyle/>
        <a:p>
          <a:endParaRPr lang="en-GB"/>
        </a:p>
      </dgm:t>
    </dgm:pt>
    <dgm:pt modelId="{C1BFF298-EFBC-4114-8E71-845F08577E5E}">
      <dgm:prSet phldrT="[Text]" custT="1"/>
      <dgm:spPr>
        <a:pattFill prst="ltDnDiag">
          <a:fgClr>
            <a:schemeClr val="accent6">
              <a:lumMod val="20000"/>
              <a:lumOff val="80000"/>
            </a:schemeClr>
          </a:fgClr>
          <a:bgClr>
            <a:schemeClr val="bg1"/>
          </a:bgClr>
        </a:pattFill>
      </dgm:spPr>
      <dgm:t>
        <a:bodyPr/>
        <a:lstStyle/>
        <a:p>
          <a:r>
            <a:rPr lang="en-US" sz="1050" b="1"/>
            <a:t>Oil cakes</a:t>
          </a:r>
          <a:br>
            <a:rPr lang="en-US" sz="1050" b="0"/>
          </a:br>
          <a:r>
            <a:rPr lang="en-US" sz="1000" b="0"/>
            <a:t>261520</a:t>
          </a:r>
        </a:p>
      </dgm:t>
    </dgm:pt>
    <dgm:pt modelId="{970EAE6C-8716-415E-B5D8-D3D811AF8CDD}" type="parTrans" cxnId="{C8DE88C1-F1AB-4F8E-87F7-E56406A1130C}">
      <dgm:prSet/>
      <dgm:spPr/>
      <dgm:t>
        <a:bodyPr/>
        <a:lstStyle/>
        <a:p>
          <a:endParaRPr lang="en-GB"/>
        </a:p>
      </dgm:t>
    </dgm:pt>
    <dgm:pt modelId="{A1E50CB7-FA2F-4311-928F-D6D4E1BDCC79}" type="sibTrans" cxnId="{C8DE88C1-F1AB-4F8E-87F7-E56406A1130C}">
      <dgm:prSet/>
      <dgm:spPr/>
      <dgm:t>
        <a:bodyPr/>
        <a:lstStyle/>
        <a:p>
          <a:endParaRPr lang="en-GB"/>
        </a:p>
      </dgm:t>
    </dgm:pt>
    <dgm:pt modelId="{23E60360-6F46-4ADB-B68C-A3A2A0CADFA3}">
      <dgm:prSet phldrT="[Text]" custT="1"/>
      <dgm:spPr>
        <a:pattFill prst="ltDnDiag">
          <a:fgClr>
            <a:schemeClr val="accent2">
              <a:lumMod val="40000"/>
              <a:lumOff val="60000"/>
            </a:schemeClr>
          </a:fgClr>
          <a:bgClr>
            <a:schemeClr val="bg1"/>
          </a:bgClr>
        </a:pattFill>
        <a:ln>
          <a:prstDash val="solid"/>
        </a:ln>
      </dgm:spPr>
      <dgm:t>
        <a:bodyPr/>
        <a:lstStyle/>
        <a:p>
          <a:r>
            <a:rPr lang="en-US" sz="1000" b="1"/>
            <a:t>Non-bio renewable carbon</a:t>
          </a:r>
          <a:br>
            <a:rPr lang="en-US" sz="1000" b="0"/>
          </a:br>
          <a:r>
            <a:rPr lang="en-US" sz="900" b="0"/>
            <a:t>271100</a:t>
          </a:r>
          <a:endParaRPr lang="en-US" sz="1000" b="0"/>
        </a:p>
      </dgm:t>
    </dgm:pt>
    <dgm:pt modelId="{DBE5A299-CD7A-401E-A625-D95836E7A15E}" type="parTrans" cxnId="{D47EF3BD-F3DD-4221-AA0D-BB6DE2C09884}">
      <dgm:prSet/>
      <dgm:spPr/>
      <dgm:t>
        <a:bodyPr/>
        <a:lstStyle/>
        <a:p>
          <a:endParaRPr lang="en-GB"/>
        </a:p>
      </dgm:t>
    </dgm:pt>
    <dgm:pt modelId="{D5A4376E-C11B-40D9-8E13-CBF153B9C6B1}" type="sibTrans" cxnId="{D47EF3BD-F3DD-4221-AA0D-BB6DE2C09884}">
      <dgm:prSet/>
      <dgm:spPr/>
      <dgm:t>
        <a:bodyPr/>
        <a:lstStyle/>
        <a:p>
          <a:endParaRPr lang="en-GB"/>
        </a:p>
      </dgm:t>
    </dgm:pt>
    <dgm:pt modelId="{EA48A9D0-AF8A-4A23-B9F4-E6E200AFE35B}">
      <dgm:prSet phldrT="[Text]" custT="1"/>
      <dgm:spPr>
        <a:pattFill prst="ltDnDiag">
          <a:fgClr>
            <a:schemeClr val="accent2">
              <a:lumMod val="40000"/>
              <a:lumOff val="60000"/>
            </a:schemeClr>
          </a:fgClr>
          <a:bgClr>
            <a:schemeClr val="bg1"/>
          </a:bgClr>
        </a:pattFill>
        <a:ln>
          <a:prstDash val="solid"/>
        </a:ln>
      </dgm:spPr>
      <dgm:t>
        <a:bodyPr/>
        <a:lstStyle/>
        <a:p>
          <a:r>
            <a:rPr lang="en-US" sz="1000" b="1"/>
            <a:t>Other non-bio renewable solid fuels</a:t>
          </a:r>
          <a:br>
            <a:rPr lang="en-US" sz="1000" b="0"/>
          </a:br>
          <a:r>
            <a:rPr lang="en-US" sz="900" b="0"/>
            <a:t>271900</a:t>
          </a:r>
          <a:endParaRPr lang="en-US" sz="1000" b="0"/>
        </a:p>
      </dgm:t>
    </dgm:pt>
    <dgm:pt modelId="{60423652-73DA-47DA-B70A-CB1D850CBF74}" type="parTrans" cxnId="{A64BD897-4056-4ED8-ADB4-91052DA7D0CF}">
      <dgm:prSet/>
      <dgm:spPr/>
      <dgm:t>
        <a:bodyPr/>
        <a:lstStyle/>
        <a:p>
          <a:endParaRPr lang="en-GB"/>
        </a:p>
      </dgm:t>
    </dgm:pt>
    <dgm:pt modelId="{AD5BE9F3-516A-4B38-B970-3187D90D755D}" type="sibTrans" cxnId="{A64BD897-4056-4ED8-ADB4-91052DA7D0CF}">
      <dgm:prSet/>
      <dgm:spPr/>
      <dgm:t>
        <a:bodyPr/>
        <a:lstStyle/>
        <a:p>
          <a:endParaRPr lang="en-GB"/>
        </a:p>
      </dgm:t>
    </dgm:pt>
    <dgm:pt modelId="{BBB8D6B9-BE73-4813-841B-801ADCF5BA66}">
      <dgm:prSet phldrT="[Text]" custT="1"/>
      <dgm:spPr>
        <a:pattFill prst="ltDnDiag">
          <a:fgClr>
            <a:schemeClr val="accent2">
              <a:lumMod val="40000"/>
              <a:lumOff val="60000"/>
            </a:schemeClr>
          </a:fgClr>
          <a:bgClr>
            <a:schemeClr val="bg1"/>
          </a:bgClr>
        </a:pattFill>
        <a:ln>
          <a:prstDash val="solid"/>
        </a:ln>
      </dgm:spPr>
      <dgm:t>
        <a:bodyPr/>
        <a:lstStyle/>
        <a:p>
          <a:r>
            <a:rPr lang="en-US" sz="1050" b="1"/>
            <a:t>Non-bio renewable methane</a:t>
          </a:r>
          <a:br>
            <a:rPr lang="en-US" sz="1050" b="0"/>
          </a:br>
          <a:r>
            <a:rPr lang="en-US" sz="1000" b="0"/>
            <a:t>273600</a:t>
          </a:r>
          <a:endParaRPr lang="en-US" sz="1050" b="0"/>
        </a:p>
      </dgm:t>
    </dgm:pt>
    <dgm:pt modelId="{8D0E6E12-B5D4-48C2-AEF0-1DF8718C851C}" type="parTrans" cxnId="{0B75E0A4-FE74-4511-97E2-FC36A5E74315}">
      <dgm:prSet/>
      <dgm:spPr/>
      <dgm:t>
        <a:bodyPr/>
        <a:lstStyle/>
        <a:p>
          <a:endParaRPr lang="en-GB"/>
        </a:p>
      </dgm:t>
    </dgm:pt>
    <dgm:pt modelId="{0213CE18-9825-48D0-8EAF-522D0BDD1FE7}" type="sibTrans" cxnId="{0B75E0A4-FE74-4511-97E2-FC36A5E74315}">
      <dgm:prSet/>
      <dgm:spPr/>
      <dgm:t>
        <a:bodyPr/>
        <a:lstStyle/>
        <a:p>
          <a:endParaRPr lang="en-GB"/>
        </a:p>
      </dgm:t>
    </dgm:pt>
    <dgm:pt modelId="{0BBC6875-58A3-4042-9EC6-78847F6D95E8}" type="pres">
      <dgm:prSet presAssocID="{C3D1F94A-2BD4-4BF2-B81F-211A85BE9963}" presName="hierChild1" presStyleCnt="0">
        <dgm:presLayoutVars>
          <dgm:orgChart val="1"/>
          <dgm:chPref val="1"/>
          <dgm:dir/>
          <dgm:animOne val="branch"/>
          <dgm:animLvl val="lvl"/>
          <dgm:resizeHandles/>
        </dgm:presLayoutVars>
      </dgm:prSet>
      <dgm:spPr/>
    </dgm:pt>
    <dgm:pt modelId="{89B07E36-9DD1-4BA0-A780-2FFA68390BDE}" type="pres">
      <dgm:prSet presAssocID="{72F3D303-0065-410A-A999-86607290AFCA}" presName="hierRoot1" presStyleCnt="0">
        <dgm:presLayoutVars>
          <dgm:hierBranch val="init"/>
        </dgm:presLayoutVars>
      </dgm:prSet>
      <dgm:spPr/>
    </dgm:pt>
    <dgm:pt modelId="{ABDDBC06-E9C7-4796-82D8-BDE05EF41B66}" type="pres">
      <dgm:prSet presAssocID="{72F3D303-0065-410A-A999-86607290AFCA}" presName="rootComposite1" presStyleCnt="0"/>
      <dgm:spPr/>
    </dgm:pt>
    <dgm:pt modelId="{3D6751DD-A043-4022-ACF2-1C96AF6C95F9}" type="pres">
      <dgm:prSet presAssocID="{72F3D303-0065-410A-A999-86607290AFCA}" presName="rootText1" presStyleLbl="node0" presStyleIdx="0" presStyleCnt="1">
        <dgm:presLayoutVars>
          <dgm:chPref val="3"/>
        </dgm:presLayoutVars>
      </dgm:prSet>
      <dgm:spPr/>
    </dgm:pt>
    <dgm:pt modelId="{3CB802A4-490B-4366-A05B-49ECFBC378F7}" type="pres">
      <dgm:prSet presAssocID="{72F3D303-0065-410A-A999-86607290AFCA}" presName="rootConnector1" presStyleLbl="node1" presStyleIdx="0" presStyleCnt="0"/>
      <dgm:spPr/>
    </dgm:pt>
    <dgm:pt modelId="{793A510E-DDFF-4AFA-82F4-1AFFAF88EE29}" type="pres">
      <dgm:prSet presAssocID="{72F3D303-0065-410A-A999-86607290AFCA}" presName="hierChild2" presStyleCnt="0"/>
      <dgm:spPr/>
    </dgm:pt>
    <dgm:pt modelId="{BC04FFC6-9EA5-4641-AE1D-5CFA55FE4B05}" type="pres">
      <dgm:prSet presAssocID="{EC6372AC-8DF6-400C-8481-5DD1DC9538BE}" presName="Name37" presStyleLbl="parChTrans1D2" presStyleIdx="0" presStyleCnt="3"/>
      <dgm:spPr/>
    </dgm:pt>
    <dgm:pt modelId="{D9BB04F3-26CB-46EC-A3DE-E15F32607913}" type="pres">
      <dgm:prSet presAssocID="{624FCBA6-4037-4BFE-AEF8-B4CBBD83024F}" presName="hierRoot2" presStyleCnt="0">
        <dgm:presLayoutVars>
          <dgm:hierBranch val="init"/>
        </dgm:presLayoutVars>
      </dgm:prSet>
      <dgm:spPr/>
    </dgm:pt>
    <dgm:pt modelId="{64EF3C95-B425-4CC7-9B9B-139EEC4F2A0E}" type="pres">
      <dgm:prSet presAssocID="{624FCBA6-4037-4BFE-AEF8-B4CBBD83024F}" presName="rootComposite" presStyleCnt="0"/>
      <dgm:spPr/>
    </dgm:pt>
    <dgm:pt modelId="{E54A3918-1E03-4C4D-B367-E1EDCFDCB376}" type="pres">
      <dgm:prSet presAssocID="{624FCBA6-4037-4BFE-AEF8-B4CBBD83024F}" presName="rootText" presStyleLbl="node2" presStyleIdx="0" presStyleCnt="3">
        <dgm:presLayoutVars>
          <dgm:chPref val="3"/>
        </dgm:presLayoutVars>
      </dgm:prSet>
      <dgm:spPr/>
    </dgm:pt>
    <dgm:pt modelId="{D402473B-E8FC-4932-B2A9-C769417B7AC1}" type="pres">
      <dgm:prSet presAssocID="{624FCBA6-4037-4BFE-AEF8-B4CBBD83024F}" presName="rootConnector" presStyleLbl="node2" presStyleIdx="0" presStyleCnt="3"/>
      <dgm:spPr/>
    </dgm:pt>
    <dgm:pt modelId="{14BC3F44-1727-43C4-A577-3D78B09BF10D}" type="pres">
      <dgm:prSet presAssocID="{624FCBA6-4037-4BFE-AEF8-B4CBBD83024F}" presName="hierChild4" presStyleCnt="0"/>
      <dgm:spPr/>
    </dgm:pt>
    <dgm:pt modelId="{5CC4BB92-6ADF-4F0A-9BBA-0F7A5DC71FEC}" type="pres">
      <dgm:prSet presAssocID="{971DDB20-CC80-441E-AC21-6211670B41E1}" presName="Name37" presStyleLbl="parChTrans1D3" presStyleIdx="0" presStyleCnt="19"/>
      <dgm:spPr/>
    </dgm:pt>
    <dgm:pt modelId="{2839CCF3-0638-4FC5-BB45-C7091A41E23E}" type="pres">
      <dgm:prSet presAssocID="{43494D86-EA7A-4DCD-AB36-E02A143CE95D}" presName="hierRoot2" presStyleCnt="0">
        <dgm:presLayoutVars>
          <dgm:hierBranch val="init"/>
        </dgm:presLayoutVars>
      </dgm:prSet>
      <dgm:spPr/>
    </dgm:pt>
    <dgm:pt modelId="{47F893B2-6798-4210-AF4D-54E2AF892BC2}" type="pres">
      <dgm:prSet presAssocID="{43494D86-EA7A-4DCD-AB36-E02A143CE95D}" presName="rootComposite" presStyleCnt="0"/>
      <dgm:spPr/>
    </dgm:pt>
    <dgm:pt modelId="{992E0C3F-42F3-4CC1-A288-5064FE474712}" type="pres">
      <dgm:prSet presAssocID="{43494D86-EA7A-4DCD-AB36-E02A143CE95D}" presName="rootText" presStyleLbl="node3" presStyleIdx="0" presStyleCnt="19">
        <dgm:presLayoutVars>
          <dgm:chPref val="3"/>
        </dgm:presLayoutVars>
      </dgm:prSet>
      <dgm:spPr/>
    </dgm:pt>
    <dgm:pt modelId="{3E3AE83F-90C3-4B0C-85E7-0840EC4BEF4C}" type="pres">
      <dgm:prSet presAssocID="{43494D86-EA7A-4DCD-AB36-E02A143CE95D}" presName="rootConnector" presStyleLbl="node3" presStyleIdx="0" presStyleCnt="19"/>
      <dgm:spPr/>
    </dgm:pt>
    <dgm:pt modelId="{0967584A-6C48-40B2-8023-1DC86A6FA07E}" type="pres">
      <dgm:prSet presAssocID="{43494D86-EA7A-4DCD-AB36-E02A143CE95D}" presName="hierChild4" presStyleCnt="0"/>
      <dgm:spPr/>
    </dgm:pt>
    <dgm:pt modelId="{3348A3A5-3437-4F52-A19B-25571B2433A7}" type="pres">
      <dgm:prSet presAssocID="{2C0D0A2F-2AC1-4A5F-A81F-37875786785D}" presName="Name37" presStyleLbl="parChTrans1D4" presStyleIdx="0" presStyleCnt="243"/>
      <dgm:spPr/>
    </dgm:pt>
    <dgm:pt modelId="{A9290984-C8CC-498B-B232-BBE4AE95E07C}" type="pres">
      <dgm:prSet presAssocID="{8FC40973-C7B4-49AC-A525-0E4B043C5DA4}" presName="hierRoot2" presStyleCnt="0">
        <dgm:presLayoutVars>
          <dgm:hierBranch/>
        </dgm:presLayoutVars>
      </dgm:prSet>
      <dgm:spPr/>
    </dgm:pt>
    <dgm:pt modelId="{F43AE5C0-6F74-4664-8D14-62014DA5925C}" type="pres">
      <dgm:prSet presAssocID="{8FC40973-C7B4-49AC-A525-0E4B043C5DA4}" presName="rootComposite" presStyleCnt="0"/>
      <dgm:spPr/>
    </dgm:pt>
    <dgm:pt modelId="{D5FA9279-95CF-4D83-BA68-D5AE8F5A2A60}" type="pres">
      <dgm:prSet presAssocID="{8FC40973-C7B4-49AC-A525-0E4B043C5DA4}" presName="rootText" presStyleLbl="node4" presStyleIdx="0" presStyleCnt="243">
        <dgm:presLayoutVars>
          <dgm:chPref val="3"/>
        </dgm:presLayoutVars>
      </dgm:prSet>
      <dgm:spPr/>
    </dgm:pt>
    <dgm:pt modelId="{F9382D2B-4C9B-48DF-AB51-21033BD2C0E0}" type="pres">
      <dgm:prSet presAssocID="{8FC40973-C7B4-49AC-A525-0E4B043C5DA4}" presName="rootConnector" presStyleLbl="node4" presStyleIdx="0" presStyleCnt="243"/>
      <dgm:spPr/>
    </dgm:pt>
    <dgm:pt modelId="{E6AA7BA8-1626-4508-93D2-0F7D47FF57D1}" type="pres">
      <dgm:prSet presAssocID="{8FC40973-C7B4-49AC-A525-0E4B043C5DA4}" presName="hierChild4" presStyleCnt="0"/>
      <dgm:spPr/>
    </dgm:pt>
    <dgm:pt modelId="{FE3F7803-43A4-439D-9A4F-14B0C0C377C5}" type="pres">
      <dgm:prSet presAssocID="{8B9D720B-F12E-4FC6-9502-C6B758E34180}" presName="Name35" presStyleLbl="parChTrans1D4" presStyleIdx="1" presStyleCnt="243"/>
      <dgm:spPr/>
    </dgm:pt>
    <dgm:pt modelId="{88D4D7BA-67CE-4DB9-BB3E-334036D8B344}" type="pres">
      <dgm:prSet presAssocID="{66B1705C-62F7-4DED-B705-F0863D5C3542}" presName="hierRoot2" presStyleCnt="0">
        <dgm:presLayoutVars>
          <dgm:hierBranch val="init"/>
        </dgm:presLayoutVars>
      </dgm:prSet>
      <dgm:spPr/>
    </dgm:pt>
    <dgm:pt modelId="{9D64B059-4D03-477D-B648-8483CF0753C2}" type="pres">
      <dgm:prSet presAssocID="{66B1705C-62F7-4DED-B705-F0863D5C3542}" presName="rootComposite" presStyleCnt="0"/>
      <dgm:spPr/>
    </dgm:pt>
    <dgm:pt modelId="{A4DD2796-1B77-4CC5-A1D4-C68ABA607BD3}" type="pres">
      <dgm:prSet presAssocID="{66B1705C-62F7-4DED-B705-F0863D5C3542}" presName="rootText" presStyleLbl="node4" presStyleIdx="1" presStyleCnt="243">
        <dgm:presLayoutVars>
          <dgm:chPref val="3"/>
        </dgm:presLayoutVars>
      </dgm:prSet>
      <dgm:spPr/>
    </dgm:pt>
    <dgm:pt modelId="{EDB9F3ED-2D0B-4368-9DE7-08644850497A}" type="pres">
      <dgm:prSet presAssocID="{66B1705C-62F7-4DED-B705-F0863D5C3542}" presName="rootConnector" presStyleLbl="node4" presStyleIdx="1" presStyleCnt="243"/>
      <dgm:spPr/>
    </dgm:pt>
    <dgm:pt modelId="{EB102EB7-65D8-41DA-B67A-948E26CD6882}" type="pres">
      <dgm:prSet presAssocID="{66B1705C-62F7-4DED-B705-F0863D5C3542}" presName="hierChild4" presStyleCnt="0"/>
      <dgm:spPr/>
    </dgm:pt>
    <dgm:pt modelId="{CCB3DB7C-6F0D-464E-9395-193B4C0C524D}" type="pres">
      <dgm:prSet presAssocID="{E051CD3A-A55A-4CF9-8A65-3E209C0533A8}" presName="Name37" presStyleLbl="parChTrans1D4" presStyleIdx="2" presStyleCnt="243"/>
      <dgm:spPr/>
    </dgm:pt>
    <dgm:pt modelId="{7C407433-5869-4395-9E99-4C47159808CF}" type="pres">
      <dgm:prSet presAssocID="{34FF5F5E-1B27-44DF-A7EC-AEE7E6D1FF27}" presName="hierRoot2" presStyleCnt="0">
        <dgm:presLayoutVars>
          <dgm:hierBranch val="init"/>
        </dgm:presLayoutVars>
      </dgm:prSet>
      <dgm:spPr/>
    </dgm:pt>
    <dgm:pt modelId="{41F155DB-DE7F-4A1D-828C-52F3AD2A0148}" type="pres">
      <dgm:prSet presAssocID="{34FF5F5E-1B27-44DF-A7EC-AEE7E6D1FF27}" presName="rootComposite" presStyleCnt="0"/>
      <dgm:spPr/>
    </dgm:pt>
    <dgm:pt modelId="{3C2A7602-E2BA-4D42-9EA8-0BC8C24DBD9F}" type="pres">
      <dgm:prSet presAssocID="{34FF5F5E-1B27-44DF-A7EC-AEE7E6D1FF27}" presName="rootText" presStyleLbl="node4" presStyleIdx="2" presStyleCnt="243">
        <dgm:presLayoutVars>
          <dgm:chPref val="3"/>
        </dgm:presLayoutVars>
      </dgm:prSet>
      <dgm:spPr/>
    </dgm:pt>
    <dgm:pt modelId="{AB15EC0B-D3E1-4648-8E6D-D5699D581099}" type="pres">
      <dgm:prSet presAssocID="{34FF5F5E-1B27-44DF-A7EC-AEE7E6D1FF27}" presName="rootConnector" presStyleLbl="node4" presStyleIdx="2" presStyleCnt="243"/>
      <dgm:spPr/>
    </dgm:pt>
    <dgm:pt modelId="{433F280B-F815-4037-B28A-898B1A374A08}" type="pres">
      <dgm:prSet presAssocID="{34FF5F5E-1B27-44DF-A7EC-AEE7E6D1FF27}" presName="hierChild4" presStyleCnt="0"/>
      <dgm:spPr/>
    </dgm:pt>
    <dgm:pt modelId="{5226EABD-268C-41A7-89A1-9FD3377CB921}" type="pres">
      <dgm:prSet presAssocID="{34FF5F5E-1B27-44DF-A7EC-AEE7E6D1FF27}" presName="hierChild5" presStyleCnt="0"/>
      <dgm:spPr/>
    </dgm:pt>
    <dgm:pt modelId="{8BF52E3B-B16F-42CC-AFFC-5EAFE45F8123}" type="pres">
      <dgm:prSet presAssocID="{967E9CED-3657-4F07-9E98-4D79FEFF4AA4}" presName="Name37" presStyleLbl="parChTrans1D4" presStyleIdx="3" presStyleCnt="243"/>
      <dgm:spPr/>
    </dgm:pt>
    <dgm:pt modelId="{21193072-311E-492C-8B94-34D0A711B0AB}" type="pres">
      <dgm:prSet presAssocID="{C8B090C1-E889-4B07-A5F7-783E8A24C7E4}" presName="hierRoot2" presStyleCnt="0">
        <dgm:presLayoutVars>
          <dgm:hierBranch val="init"/>
        </dgm:presLayoutVars>
      </dgm:prSet>
      <dgm:spPr/>
    </dgm:pt>
    <dgm:pt modelId="{2C82C04E-7F32-44F6-A97C-A584734271D5}" type="pres">
      <dgm:prSet presAssocID="{C8B090C1-E889-4B07-A5F7-783E8A24C7E4}" presName="rootComposite" presStyleCnt="0"/>
      <dgm:spPr/>
    </dgm:pt>
    <dgm:pt modelId="{2F731B9B-DB74-4B61-AA66-F931A3A3850E}" type="pres">
      <dgm:prSet presAssocID="{C8B090C1-E889-4B07-A5F7-783E8A24C7E4}" presName="rootText" presStyleLbl="node4" presStyleIdx="3" presStyleCnt="243">
        <dgm:presLayoutVars>
          <dgm:chPref val="3"/>
        </dgm:presLayoutVars>
      </dgm:prSet>
      <dgm:spPr/>
    </dgm:pt>
    <dgm:pt modelId="{F7E3C707-A814-4962-9EFE-EA8997055BBD}" type="pres">
      <dgm:prSet presAssocID="{C8B090C1-E889-4B07-A5F7-783E8A24C7E4}" presName="rootConnector" presStyleLbl="node4" presStyleIdx="3" presStyleCnt="243"/>
      <dgm:spPr/>
    </dgm:pt>
    <dgm:pt modelId="{7BF91B97-5EB3-41B7-83F3-CAD4016CF3EE}" type="pres">
      <dgm:prSet presAssocID="{C8B090C1-E889-4B07-A5F7-783E8A24C7E4}" presName="hierChild4" presStyleCnt="0"/>
      <dgm:spPr/>
    </dgm:pt>
    <dgm:pt modelId="{CDA52C2D-48E8-4BE1-8549-897717976730}" type="pres">
      <dgm:prSet presAssocID="{15944826-1840-444B-931C-6EACD2B83551}" presName="Name37" presStyleLbl="parChTrans1D4" presStyleIdx="4" presStyleCnt="243"/>
      <dgm:spPr/>
    </dgm:pt>
    <dgm:pt modelId="{00565709-C698-4D90-A675-C9B0E9721858}" type="pres">
      <dgm:prSet presAssocID="{636D016F-A4F3-4C8A-B4AB-3E183C888165}" presName="hierRoot2" presStyleCnt="0">
        <dgm:presLayoutVars>
          <dgm:hierBranch val="init"/>
        </dgm:presLayoutVars>
      </dgm:prSet>
      <dgm:spPr/>
    </dgm:pt>
    <dgm:pt modelId="{24605ED7-4D7A-4F5C-9FDF-DA363E44421B}" type="pres">
      <dgm:prSet presAssocID="{636D016F-A4F3-4C8A-B4AB-3E183C888165}" presName="rootComposite" presStyleCnt="0"/>
      <dgm:spPr/>
    </dgm:pt>
    <dgm:pt modelId="{092DDAB3-180F-4746-9179-C397492A3593}" type="pres">
      <dgm:prSet presAssocID="{636D016F-A4F3-4C8A-B4AB-3E183C888165}" presName="rootText" presStyleLbl="node4" presStyleIdx="4" presStyleCnt="243">
        <dgm:presLayoutVars>
          <dgm:chPref val="3"/>
        </dgm:presLayoutVars>
      </dgm:prSet>
      <dgm:spPr/>
    </dgm:pt>
    <dgm:pt modelId="{06BE4815-1DFA-4038-9DCD-FE66D69B08A1}" type="pres">
      <dgm:prSet presAssocID="{636D016F-A4F3-4C8A-B4AB-3E183C888165}" presName="rootConnector" presStyleLbl="node4" presStyleIdx="4" presStyleCnt="243"/>
      <dgm:spPr/>
    </dgm:pt>
    <dgm:pt modelId="{9FC13774-A3E9-4ABB-9BB9-154EB371D542}" type="pres">
      <dgm:prSet presAssocID="{636D016F-A4F3-4C8A-B4AB-3E183C888165}" presName="hierChild4" presStyleCnt="0"/>
      <dgm:spPr/>
    </dgm:pt>
    <dgm:pt modelId="{755BC8FC-23DB-4B6E-97D6-B5E8BF1E6AAB}" type="pres">
      <dgm:prSet presAssocID="{636D016F-A4F3-4C8A-B4AB-3E183C888165}" presName="hierChild5" presStyleCnt="0"/>
      <dgm:spPr/>
    </dgm:pt>
    <dgm:pt modelId="{998777F2-52FB-464C-A2A9-0F27AF93ED99}" type="pres">
      <dgm:prSet presAssocID="{30700F40-02C9-4AA1-8303-5A94A67A145B}" presName="Name37" presStyleLbl="parChTrans1D4" presStyleIdx="5" presStyleCnt="243"/>
      <dgm:spPr/>
    </dgm:pt>
    <dgm:pt modelId="{12501FE5-E2BB-41B4-9541-8117B6093B74}" type="pres">
      <dgm:prSet presAssocID="{6E319C87-5DA3-42B6-8F49-67B2CC49CED9}" presName="hierRoot2" presStyleCnt="0">
        <dgm:presLayoutVars>
          <dgm:hierBranch val="init"/>
        </dgm:presLayoutVars>
      </dgm:prSet>
      <dgm:spPr/>
    </dgm:pt>
    <dgm:pt modelId="{983CC3A4-618C-4A46-897A-DD80EB56D34C}" type="pres">
      <dgm:prSet presAssocID="{6E319C87-5DA3-42B6-8F49-67B2CC49CED9}" presName="rootComposite" presStyleCnt="0"/>
      <dgm:spPr/>
    </dgm:pt>
    <dgm:pt modelId="{AE9D82C9-2E95-4389-94D9-C2A60EA4CF33}" type="pres">
      <dgm:prSet presAssocID="{6E319C87-5DA3-42B6-8F49-67B2CC49CED9}" presName="rootText" presStyleLbl="node4" presStyleIdx="5" presStyleCnt="243">
        <dgm:presLayoutVars>
          <dgm:chPref val="3"/>
        </dgm:presLayoutVars>
      </dgm:prSet>
      <dgm:spPr/>
    </dgm:pt>
    <dgm:pt modelId="{94609F5A-CBAE-46C5-A242-CE47C7346256}" type="pres">
      <dgm:prSet presAssocID="{6E319C87-5DA3-42B6-8F49-67B2CC49CED9}" presName="rootConnector" presStyleLbl="node4" presStyleIdx="5" presStyleCnt="243"/>
      <dgm:spPr/>
    </dgm:pt>
    <dgm:pt modelId="{B2D53647-9016-460F-A7DB-78EAAF24AC5B}" type="pres">
      <dgm:prSet presAssocID="{6E319C87-5DA3-42B6-8F49-67B2CC49CED9}" presName="hierChild4" presStyleCnt="0"/>
      <dgm:spPr/>
    </dgm:pt>
    <dgm:pt modelId="{EB953FA4-FC46-49AF-917A-298A045866ED}" type="pres">
      <dgm:prSet presAssocID="{6E319C87-5DA3-42B6-8F49-67B2CC49CED9}" presName="hierChild5" presStyleCnt="0"/>
      <dgm:spPr/>
    </dgm:pt>
    <dgm:pt modelId="{EB3C6157-0E4C-4F24-BA5B-C938F854ADAC}" type="pres">
      <dgm:prSet presAssocID="{C8B090C1-E889-4B07-A5F7-783E8A24C7E4}" presName="hierChild5" presStyleCnt="0"/>
      <dgm:spPr/>
    </dgm:pt>
    <dgm:pt modelId="{24C4858E-2D0C-4958-89EA-0632B6411679}" type="pres">
      <dgm:prSet presAssocID="{66B1705C-62F7-4DED-B705-F0863D5C3542}" presName="hierChild5" presStyleCnt="0"/>
      <dgm:spPr/>
    </dgm:pt>
    <dgm:pt modelId="{FF1B590C-B050-43A0-8E6F-C029377877ED}" type="pres">
      <dgm:prSet presAssocID="{7852CCA7-3094-4A6E-9912-46A8B6C969BE}" presName="Name35" presStyleLbl="parChTrans1D4" presStyleIdx="6" presStyleCnt="243"/>
      <dgm:spPr/>
    </dgm:pt>
    <dgm:pt modelId="{C33FFA9E-7074-49EA-BFFF-11949A3B90FA}" type="pres">
      <dgm:prSet presAssocID="{71FDD072-FCEA-4B86-8AB5-EDEEFFA315C8}" presName="hierRoot2" presStyleCnt="0">
        <dgm:presLayoutVars>
          <dgm:hierBranch val="init"/>
        </dgm:presLayoutVars>
      </dgm:prSet>
      <dgm:spPr/>
    </dgm:pt>
    <dgm:pt modelId="{CE7761B2-5210-481A-9493-993E6E9B7324}" type="pres">
      <dgm:prSet presAssocID="{71FDD072-FCEA-4B86-8AB5-EDEEFFA315C8}" presName="rootComposite" presStyleCnt="0"/>
      <dgm:spPr/>
    </dgm:pt>
    <dgm:pt modelId="{9675808E-098C-4E0E-B58D-5A8562424480}" type="pres">
      <dgm:prSet presAssocID="{71FDD072-FCEA-4B86-8AB5-EDEEFFA315C8}" presName="rootText" presStyleLbl="node4" presStyleIdx="6" presStyleCnt="243">
        <dgm:presLayoutVars>
          <dgm:chPref val="3"/>
        </dgm:presLayoutVars>
      </dgm:prSet>
      <dgm:spPr/>
    </dgm:pt>
    <dgm:pt modelId="{708CC365-0421-4F99-9D43-39BB1B1FC00E}" type="pres">
      <dgm:prSet presAssocID="{71FDD072-FCEA-4B86-8AB5-EDEEFFA315C8}" presName="rootConnector" presStyleLbl="node4" presStyleIdx="6" presStyleCnt="243"/>
      <dgm:spPr/>
    </dgm:pt>
    <dgm:pt modelId="{FE245A75-EFCC-44D2-883A-6BC97E307964}" type="pres">
      <dgm:prSet presAssocID="{71FDD072-FCEA-4B86-8AB5-EDEEFFA315C8}" presName="hierChild4" presStyleCnt="0"/>
      <dgm:spPr/>
    </dgm:pt>
    <dgm:pt modelId="{88EA436B-D0B8-4714-ADFF-95643252547A}" type="pres">
      <dgm:prSet presAssocID="{2E64C421-9FDB-4ABB-824D-A9009CCF07AF}" presName="Name37" presStyleLbl="parChTrans1D4" presStyleIdx="7" presStyleCnt="243"/>
      <dgm:spPr/>
    </dgm:pt>
    <dgm:pt modelId="{BA1238A9-F5AC-41DE-A93F-4F7AFBC83224}" type="pres">
      <dgm:prSet presAssocID="{A1A4E016-7379-46FC-A054-3AA8C4226052}" presName="hierRoot2" presStyleCnt="0">
        <dgm:presLayoutVars>
          <dgm:hierBranch val="init"/>
        </dgm:presLayoutVars>
      </dgm:prSet>
      <dgm:spPr/>
    </dgm:pt>
    <dgm:pt modelId="{14D7C7AD-3FAA-40F6-87EF-5AF2292657EE}" type="pres">
      <dgm:prSet presAssocID="{A1A4E016-7379-46FC-A054-3AA8C4226052}" presName="rootComposite" presStyleCnt="0"/>
      <dgm:spPr/>
    </dgm:pt>
    <dgm:pt modelId="{151D60C7-A027-4E0E-8E1B-BD7CCCBB31BA}" type="pres">
      <dgm:prSet presAssocID="{A1A4E016-7379-46FC-A054-3AA8C4226052}" presName="rootText" presStyleLbl="node4" presStyleIdx="7" presStyleCnt="243">
        <dgm:presLayoutVars>
          <dgm:chPref val="3"/>
        </dgm:presLayoutVars>
      </dgm:prSet>
      <dgm:spPr/>
    </dgm:pt>
    <dgm:pt modelId="{94328263-E476-4069-99E9-5A6488996F2F}" type="pres">
      <dgm:prSet presAssocID="{A1A4E016-7379-46FC-A054-3AA8C4226052}" presName="rootConnector" presStyleLbl="node4" presStyleIdx="7" presStyleCnt="243"/>
      <dgm:spPr/>
    </dgm:pt>
    <dgm:pt modelId="{ECD74CA6-0732-41EF-884D-AD25124DC332}" type="pres">
      <dgm:prSet presAssocID="{A1A4E016-7379-46FC-A054-3AA8C4226052}" presName="hierChild4" presStyleCnt="0"/>
      <dgm:spPr/>
    </dgm:pt>
    <dgm:pt modelId="{D9509AF3-783B-47D5-8314-8DAE7E59C0C8}" type="pres">
      <dgm:prSet presAssocID="{A1A4E016-7379-46FC-A054-3AA8C4226052}" presName="hierChild5" presStyleCnt="0"/>
      <dgm:spPr/>
    </dgm:pt>
    <dgm:pt modelId="{0AC3E728-96E8-441C-979B-C522F79F7EE4}" type="pres">
      <dgm:prSet presAssocID="{979C3A29-B299-4E27-AA34-49DB2BB4921F}" presName="Name37" presStyleLbl="parChTrans1D4" presStyleIdx="8" presStyleCnt="243"/>
      <dgm:spPr/>
    </dgm:pt>
    <dgm:pt modelId="{EFC79F44-ABB5-4F94-92D1-D03660859134}" type="pres">
      <dgm:prSet presAssocID="{EA359315-D0D6-4EF3-8C96-4FBFEB4146DB}" presName="hierRoot2" presStyleCnt="0">
        <dgm:presLayoutVars>
          <dgm:hierBranch val="init"/>
        </dgm:presLayoutVars>
      </dgm:prSet>
      <dgm:spPr/>
    </dgm:pt>
    <dgm:pt modelId="{94D86E19-1431-40BD-A67F-265901EE95A8}" type="pres">
      <dgm:prSet presAssocID="{EA359315-D0D6-4EF3-8C96-4FBFEB4146DB}" presName="rootComposite" presStyleCnt="0"/>
      <dgm:spPr/>
    </dgm:pt>
    <dgm:pt modelId="{0F4D8CFA-30F7-4B8C-A3DF-4CAD41AC1DB0}" type="pres">
      <dgm:prSet presAssocID="{EA359315-D0D6-4EF3-8C96-4FBFEB4146DB}" presName="rootText" presStyleLbl="node4" presStyleIdx="8" presStyleCnt="243">
        <dgm:presLayoutVars>
          <dgm:chPref val="3"/>
        </dgm:presLayoutVars>
      </dgm:prSet>
      <dgm:spPr/>
    </dgm:pt>
    <dgm:pt modelId="{4827BB5C-7375-4BAB-A237-7D7CD8650C2D}" type="pres">
      <dgm:prSet presAssocID="{EA359315-D0D6-4EF3-8C96-4FBFEB4146DB}" presName="rootConnector" presStyleLbl="node4" presStyleIdx="8" presStyleCnt="243"/>
      <dgm:spPr/>
    </dgm:pt>
    <dgm:pt modelId="{3F339D62-3E29-4760-A19D-44CBAAE6F6B0}" type="pres">
      <dgm:prSet presAssocID="{EA359315-D0D6-4EF3-8C96-4FBFEB4146DB}" presName="hierChild4" presStyleCnt="0"/>
      <dgm:spPr/>
    </dgm:pt>
    <dgm:pt modelId="{A517B025-C8D3-4CE9-9036-125776AD5107}" type="pres">
      <dgm:prSet presAssocID="{EA359315-D0D6-4EF3-8C96-4FBFEB4146DB}" presName="hierChild5" presStyleCnt="0"/>
      <dgm:spPr/>
    </dgm:pt>
    <dgm:pt modelId="{F7457596-839F-46C0-8665-A4A87B72E143}" type="pres">
      <dgm:prSet presAssocID="{71FDD072-FCEA-4B86-8AB5-EDEEFFA315C8}" presName="hierChild5" presStyleCnt="0"/>
      <dgm:spPr/>
    </dgm:pt>
    <dgm:pt modelId="{BF58865D-C2EA-4D5E-86C9-8869486E9D3E}" type="pres">
      <dgm:prSet presAssocID="{7E7D2EB0-7DFF-4DC1-9964-89E1139E3B9B}" presName="Name35" presStyleLbl="parChTrans1D4" presStyleIdx="9" presStyleCnt="243"/>
      <dgm:spPr/>
    </dgm:pt>
    <dgm:pt modelId="{DE8C0EDE-A6C3-4252-8CBB-918B65F1173F}" type="pres">
      <dgm:prSet presAssocID="{A6232338-D847-40DB-807A-FC2CF08A22C7}" presName="hierRoot2" presStyleCnt="0">
        <dgm:presLayoutVars>
          <dgm:hierBranch val="r"/>
        </dgm:presLayoutVars>
      </dgm:prSet>
      <dgm:spPr/>
    </dgm:pt>
    <dgm:pt modelId="{7B3215F2-AA4E-4AA6-BE2B-B334A85E8A57}" type="pres">
      <dgm:prSet presAssocID="{A6232338-D847-40DB-807A-FC2CF08A22C7}" presName="rootComposite" presStyleCnt="0"/>
      <dgm:spPr/>
    </dgm:pt>
    <dgm:pt modelId="{9471BD94-FFD5-4DB7-92CE-A527E184F8FD}" type="pres">
      <dgm:prSet presAssocID="{A6232338-D847-40DB-807A-FC2CF08A22C7}" presName="rootText" presStyleLbl="node4" presStyleIdx="9" presStyleCnt="243">
        <dgm:presLayoutVars>
          <dgm:chPref val="3"/>
        </dgm:presLayoutVars>
      </dgm:prSet>
      <dgm:spPr/>
    </dgm:pt>
    <dgm:pt modelId="{F089FC72-08E5-4019-B0E5-EA9380C7D2CC}" type="pres">
      <dgm:prSet presAssocID="{A6232338-D847-40DB-807A-FC2CF08A22C7}" presName="rootConnector" presStyleLbl="node4" presStyleIdx="9" presStyleCnt="243"/>
      <dgm:spPr/>
    </dgm:pt>
    <dgm:pt modelId="{E7E92FB6-7527-4324-AE3C-3C4FDD9C5424}" type="pres">
      <dgm:prSet presAssocID="{A6232338-D847-40DB-807A-FC2CF08A22C7}" presName="hierChild4" presStyleCnt="0"/>
      <dgm:spPr/>
    </dgm:pt>
    <dgm:pt modelId="{B6249A1C-ABC3-483B-8DE2-CAE366E10BE2}" type="pres">
      <dgm:prSet presAssocID="{4A328B28-371E-47C7-A546-8ED9FA207ECB}" presName="Name50" presStyleLbl="parChTrans1D4" presStyleIdx="10" presStyleCnt="243"/>
      <dgm:spPr/>
    </dgm:pt>
    <dgm:pt modelId="{07BFF8CB-C413-4A27-80A4-41E24A939074}" type="pres">
      <dgm:prSet presAssocID="{DBFBE633-1848-4458-87F4-B5C52D4BB0FC}" presName="hierRoot2" presStyleCnt="0">
        <dgm:presLayoutVars>
          <dgm:hierBranch val="init"/>
        </dgm:presLayoutVars>
      </dgm:prSet>
      <dgm:spPr/>
    </dgm:pt>
    <dgm:pt modelId="{BB56CAC9-390A-4764-AB9F-E3003D480614}" type="pres">
      <dgm:prSet presAssocID="{DBFBE633-1848-4458-87F4-B5C52D4BB0FC}" presName="rootComposite" presStyleCnt="0"/>
      <dgm:spPr/>
    </dgm:pt>
    <dgm:pt modelId="{9B687C2B-398B-42B8-A887-497A286F24AC}" type="pres">
      <dgm:prSet presAssocID="{DBFBE633-1848-4458-87F4-B5C52D4BB0FC}" presName="rootText" presStyleLbl="node4" presStyleIdx="10" presStyleCnt="243">
        <dgm:presLayoutVars>
          <dgm:chPref val="3"/>
        </dgm:presLayoutVars>
      </dgm:prSet>
      <dgm:spPr/>
    </dgm:pt>
    <dgm:pt modelId="{D2907235-BA5F-416C-BBB1-DBCC73DBC977}" type="pres">
      <dgm:prSet presAssocID="{DBFBE633-1848-4458-87F4-B5C52D4BB0FC}" presName="rootConnector" presStyleLbl="node4" presStyleIdx="10" presStyleCnt="243"/>
      <dgm:spPr/>
    </dgm:pt>
    <dgm:pt modelId="{05BBC819-B3AD-45B5-B519-DDDFFA952898}" type="pres">
      <dgm:prSet presAssocID="{DBFBE633-1848-4458-87F4-B5C52D4BB0FC}" presName="hierChild4" presStyleCnt="0"/>
      <dgm:spPr/>
    </dgm:pt>
    <dgm:pt modelId="{88B1B710-91FD-4E35-8413-4D8F37346F5D}" type="pres">
      <dgm:prSet presAssocID="{57B491C1-BF9D-426A-85A2-EC0CCD56D810}" presName="Name37" presStyleLbl="parChTrans1D4" presStyleIdx="11" presStyleCnt="243"/>
      <dgm:spPr/>
    </dgm:pt>
    <dgm:pt modelId="{5107C698-AD81-4B47-82C5-69A078043513}" type="pres">
      <dgm:prSet presAssocID="{5C6E158C-CCC5-477F-A592-4269EA95EB1B}" presName="hierRoot2" presStyleCnt="0">
        <dgm:presLayoutVars>
          <dgm:hierBranch val="init"/>
        </dgm:presLayoutVars>
      </dgm:prSet>
      <dgm:spPr/>
    </dgm:pt>
    <dgm:pt modelId="{6C177090-0CC9-4AA0-9F03-085000AD5414}" type="pres">
      <dgm:prSet presAssocID="{5C6E158C-CCC5-477F-A592-4269EA95EB1B}" presName="rootComposite" presStyleCnt="0"/>
      <dgm:spPr/>
    </dgm:pt>
    <dgm:pt modelId="{0BC4D6D7-71C7-41AC-B006-D9C19C7261AD}" type="pres">
      <dgm:prSet presAssocID="{5C6E158C-CCC5-477F-A592-4269EA95EB1B}" presName="rootText" presStyleLbl="node4" presStyleIdx="11" presStyleCnt="243">
        <dgm:presLayoutVars>
          <dgm:chPref val="3"/>
        </dgm:presLayoutVars>
      </dgm:prSet>
      <dgm:spPr/>
    </dgm:pt>
    <dgm:pt modelId="{E92409AB-09FA-4832-A99E-D0AF01A18CB2}" type="pres">
      <dgm:prSet presAssocID="{5C6E158C-CCC5-477F-A592-4269EA95EB1B}" presName="rootConnector" presStyleLbl="node4" presStyleIdx="11" presStyleCnt="243"/>
      <dgm:spPr/>
    </dgm:pt>
    <dgm:pt modelId="{F678CDB6-7AA7-4095-8C15-441F74B47B11}" type="pres">
      <dgm:prSet presAssocID="{5C6E158C-CCC5-477F-A592-4269EA95EB1B}" presName="hierChild4" presStyleCnt="0"/>
      <dgm:spPr/>
    </dgm:pt>
    <dgm:pt modelId="{9C6EE18F-DA98-450E-9623-4C0A6C3AE2DC}" type="pres">
      <dgm:prSet presAssocID="{5C6E158C-CCC5-477F-A592-4269EA95EB1B}" presName="hierChild5" presStyleCnt="0"/>
      <dgm:spPr/>
    </dgm:pt>
    <dgm:pt modelId="{8793FFBD-ABE0-453D-A51F-014C7DFEA590}" type="pres">
      <dgm:prSet presAssocID="{D3FE2CB9-4032-4184-B0E7-FFF636A4F3F3}" presName="Name37" presStyleLbl="parChTrans1D4" presStyleIdx="12" presStyleCnt="243"/>
      <dgm:spPr/>
    </dgm:pt>
    <dgm:pt modelId="{9044BA52-28A1-4944-BE39-E2B6C479467F}" type="pres">
      <dgm:prSet presAssocID="{EFCC3EF5-1ACE-4D51-ADE0-BB1E37F0CD2E}" presName="hierRoot2" presStyleCnt="0">
        <dgm:presLayoutVars>
          <dgm:hierBranch val="init"/>
        </dgm:presLayoutVars>
      </dgm:prSet>
      <dgm:spPr/>
    </dgm:pt>
    <dgm:pt modelId="{43F43855-F82C-478C-9C23-EF785FE264EF}" type="pres">
      <dgm:prSet presAssocID="{EFCC3EF5-1ACE-4D51-ADE0-BB1E37F0CD2E}" presName="rootComposite" presStyleCnt="0"/>
      <dgm:spPr/>
    </dgm:pt>
    <dgm:pt modelId="{7BF64B17-42C9-4478-B0B8-F5D7892BA038}" type="pres">
      <dgm:prSet presAssocID="{EFCC3EF5-1ACE-4D51-ADE0-BB1E37F0CD2E}" presName="rootText" presStyleLbl="node4" presStyleIdx="12" presStyleCnt="243">
        <dgm:presLayoutVars>
          <dgm:chPref val="3"/>
        </dgm:presLayoutVars>
      </dgm:prSet>
      <dgm:spPr/>
    </dgm:pt>
    <dgm:pt modelId="{CABC921B-0853-4FA6-945F-4957D73B6FE4}" type="pres">
      <dgm:prSet presAssocID="{EFCC3EF5-1ACE-4D51-ADE0-BB1E37F0CD2E}" presName="rootConnector" presStyleLbl="node4" presStyleIdx="12" presStyleCnt="243"/>
      <dgm:spPr/>
    </dgm:pt>
    <dgm:pt modelId="{6B15DC04-4E44-4171-8FF0-8E71BAF1D778}" type="pres">
      <dgm:prSet presAssocID="{EFCC3EF5-1ACE-4D51-ADE0-BB1E37F0CD2E}" presName="hierChild4" presStyleCnt="0"/>
      <dgm:spPr/>
    </dgm:pt>
    <dgm:pt modelId="{F4D6807A-33B4-49E7-AEAE-E1A3582E0D74}" type="pres">
      <dgm:prSet presAssocID="{EFCC3EF5-1ACE-4D51-ADE0-BB1E37F0CD2E}" presName="hierChild5" presStyleCnt="0"/>
      <dgm:spPr/>
    </dgm:pt>
    <dgm:pt modelId="{098D44D5-CFD9-471F-A5A2-47475B0761BC}" type="pres">
      <dgm:prSet presAssocID="{4E40F7B9-DDDF-44B2-A287-3601D4FC8EF4}" presName="Name37" presStyleLbl="parChTrans1D4" presStyleIdx="13" presStyleCnt="243"/>
      <dgm:spPr/>
    </dgm:pt>
    <dgm:pt modelId="{6BD11D8C-A477-4243-95A1-5B7AD9B2271F}" type="pres">
      <dgm:prSet presAssocID="{BFA7FA89-9744-4851-B655-6F798EA4D5BB}" presName="hierRoot2" presStyleCnt="0">
        <dgm:presLayoutVars>
          <dgm:hierBranch val="init"/>
        </dgm:presLayoutVars>
      </dgm:prSet>
      <dgm:spPr/>
    </dgm:pt>
    <dgm:pt modelId="{3C04DA24-E350-40A7-8AD9-87BC737C4704}" type="pres">
      <dgm:prSet presAssocID="{BFA7FA89-9744-4851-B655-6F798EA4D5BB}" presName="rootComposite" presStyleCnt="0"/>
      <dgm:spPr/>
    </dgm:pt>
    <dgm:pt modelId="{1E5F8131-6FEC-423E-8CEA-1EDAE83B5572}" type="pres">
      <dgm:prSet presAssocID="{BFA7FA89-9744-4851-B655-6F798EA4D5BB}" presName="rootText" presStyleLbl="node4" presStyleIdx="13" presStyleCnt="243">
        <dgm:presLayoutVars>
          <dgm:chPref val="3"/>
        </dgm:presLayoutVars>
      </dgm:prSet>
      <dgm:spPr/>
    </dgm:pt>
    <dgm:pt modelId="{9D9CF3E3-DB84-4F5F-B52E-76ED833E03A7}" type="pres">
      <dgm:prSet presAssocID="{BFA7FA89-9744-4851-B655-6F798EA4D5BB}" presName="rootConnector" presStyleLbl="node4" presStyleIdx="13" presStyleCnt="243"/>
      <dgm:spPr/>
    </dgm:pt>
    <dgm:pt modelId="{5E9F83AF-AD11-4782-8C62-24626F8A7C30}" type="pres">
      <dgm:prSet presAssocID="{BFA7FA89-9744-4851-B655-6F798EA4D5BB}" presName="hierChild4" presStyleCnt="0"/>
      <dgm:spPr/>
    </dgm:pt>
    <dgm:pt modelId="{91512EFF-1824-4AE9-8B59-4F82765CFC92}" type="pres">
      <dgm:prSet presAssocID="{BFA7FA89-9744-4851-B655-6F798EA4D5BB}" presName="hierChild5" presStyleCnt="0"/>
      <dgm:spPr/>
    </dgm:pt>
    <dgm:pt modelId="{6E7C9CC7-CC65-4F06-8FF8-030F3350E547}" type="pres">
      <dgm:prSet presAssocID="{4AE9D112-E6F0-4A1C-9F8C-EDF4A44E1661}" presName="Name37" presStyleLbl="parChTrans1D4" presStyleIdx="14" presStyleCnt="243"/>
      <dgm:spPr/>
    </dgm:pt>
    <dgm:pt modelId="{CA37A170-894D-4DDB-B31C-60ED2AD56762}" type="pres">
      <dgm:prSet presAssocID="{2C4410AC-AC27-4BD9-B2A2-5000A73932DD}" presName="hierRoot2" presStyleCnt="0">
        <dgm:presLayoutVars>
          <dgm:hierBranch val="init"/>
        </dgm:presLayoutVars>
      </dgm:prSet>
      <dgm:spPr/>
    </dgm:pt>
    <dgm:pt modelId="{7D3816B0-F9B2-45E8-87C3-19EB2F52C08A}" type="pres">
      <dgm:prSet presAssocID="{2C4410AC-AC27-4BD9-B2A2-5000A73932DD}" presName="rootComposite" presStyleCnt="0"/>
      <dgm:spPr/>
    </dgm:pt>
    <dgm:pt modelId="{0EB06CC0-FAE4-4906-B97A-C00D76C708C5}" type="pres">
      <dgm:prSet presAssocID="{2C4410AC-AC27-4BD9-B2A2-5000A73932DD}" presName="rootText" presStyleLbl="node4" presStyleIdx="14" presStyleCnt="243">
        <dgm:presLayoutVars>
          <dgm:chPref val="3"/>
        </dgm:presLayoutVars>
      </dgm:prSet>
      <dgm:spPr/>
    </dgm:pt>
    <dgm:pt modelId="{6BDB5213-4632-40F0-939B-FF9F09CFC9EA}" type="pres">
      <dgm:prSet presAssocID="{2C4410AC-AC27-4BD9-B2A2-5000A73932DD}" presName="rootConnector" presStyleLbl="node4" presStyleIdx="14" presStyleCnt="243"/>
      <dgm:spPr/>
    </dgm:pt>
    <dgm:pt modelId="{0FE990AD-E296-420B-AEA2-493FE48AAEC2}" type="pres">
      <dgm:prSet presAssocID="{2C4410AC-AC27-4BD9-B2A2-5000A73932DD}" presName="hierChild4" presStyleCnt="0"/>
      <dgm:spPr/>
    </dgm:pt>
    <dgm:pt modelId="{31809E2E-A9AF-41AA-A8C6-B8128D40FB18}" type="pres">
      <dgm:prSet presAssocID="{2C4410AC-AC27-4BD9-B2A2-5000A73932DD}" presName="hierChild5" presStyleCnt="0"/>
      <dgm:spPr/>
    </dgm:pt>
    <dgm:pt modelId="{88171EB3-7910-4EF0-950E-B634D810AE96}" type="pres">
      <dgm:prSet presAssocID="{DBFBE633-1848-4458-87F4-B5C52D4BB0FC}" presName="hierChild5" presStyleCnt="0"/>
      <dgm:spPr/>
    </dgm:pt>
    <dgm:pt modelId="{5AF2FCD2-EDFD-4F3B-9000-3157F0DFF34A}" type="pres">
      <dgm:prSet presAssocID="{BEC1A4FF-3071-4C25-B002-30A5532A28E6}" presName="Name50" presStyleLbl="parChTrans1D4" presStyleIdx="15" presStyleCnt="243"/>
      <dgm:spPr/>
    </dgm:pt>
    <dgm:pt modelId="{43B45A6A-40E1-4071-884B-F17564B1BB43}" type="pres">
      <dgm:prSet presAssocID="{1A39669A-4A75-42F4-B0ED-F2835897083F}" presName="hierRoot2" presStyleCnt="0">
        <dgm:presLayoutVars>
          <dgm:hierBranch val="init"/>
        </dgm:presLayoutVars>
      </dgm:prSet>
      <dgm:spPr/>
    </dgm:pt>
    <dgm:pt modelId="{53E86AE7-CA6F-4094-9F1E-402AC8341D13}" type="pres">
      <dgm:prSet presAssocID="{1A39669A-4A75-42F4-B0ED-F2835897083F}" presName="rootComposite" presStyleCnt="0"/>
      <dgm:spPr/>
    </dgm:pt>
    <dgm:pt modelId="{C18318F2-3F77-4FF0-A253-762FB3211C6D}" type="pres">
      <dgm:prSet presAssocID="{1A39669A-4A75-42F4-B0ED-F2835897083F}" presName="rootText" presStyleLbl="node4" presStyleIdx="15" presStyleCnt="243">
        <dgm:presLayoutVars>
          <dgm:chPref val="3"/>
        </dgm:presLayoutVars>
      </dgm:prSet>
      <dgm:spPr/>
    </dgm:pt>
    <dgm:pt modelId="{E5C6C019-C73C-4A00-BF17-B4E2B9CFF3A7}" type="pres">
      <dgm:prSet presAssocID="{1A39669A-4A75-42F4-B0ED-F2835897083F}" presName="rootConnector" presStyleLbl="node4" presStyleIdx="15" presStyleCnt="243"/>
      <dgm:spPr/>
    </dgm:pt>
    <dgm:pt modelId="{6A3B3972-4BE2-43AE-A050-6B123C9A76EC}" type="pres">
      <dgm:prSet presAssocID="{1A39669A-4A75-42F4-B0ED-F2835897083F}" presName="hierChild4" presStyleCnt="0"/>
      <dgm:spPr/>
    </dgm:pt>
    <dgm:pt modelId="{62E07442-7DBE-484A-BBF4-6C51477C0CEC}" type="pres">
      <dgm:prSet presAssocID="{1A39669A-4A75-42F4-B0ED-F2835897083F}" presName="hierChild5" presStyleCnt="0"/>
      <dgm:spPr/>
    </dgm:pt>
    <dgm:pt modelId="{D0B3085C-A02D-4C21-8C7E-64AFA8BF9295}" type="pres">
      <dgm:prSet presAssocID="{430AEF66-2B6B-4E40-BD92-7A5B9BC44106}" presName="Name50" presStyleLbl="parChTrans1D4" presStyleIdx="16" presStyleCnt="243"/>
      <dgm:spPr/>
    </dgm:pt>
    <dgm:pt modelId="{15F02C0F-3E06-4669-90FF-024DF13E8620}" type="pres">
      <dgm:prSet presAssocID="{A9C6CD5C-3BFE-4F40-A0A2-6440C65A6574}" presName="hierRoot2" presStyleCnt="0">
        <dgm:presLayoutVars>
          <dgm:hierBranch val="init"/>
        </dgm:presLayoutVars>
      </dgm:prSet>
      <dgm:spPr/>
    </dgm:pt>
    <dgm:pt modelId="{927896E1-A912-404D-8689-8B21A9000371}" type="pres">
      <dgm:prSet presAssocID="{A9C6CD5C-3BFE-4F40-A0A2-6440C65A6574}" presName="rootComposite" presStyleCnt="0"/>
      <dgm:spPr/>
    </dgm:pt>
    <dgm:pt modelId="{BB79C701-9FD4-4A43-B47B-A44C9C499028}" type="pres">
      <dgm:prSet presAssocID="{A9C6CD5C-3BFE-4F40-A0A2-6440C65A6574}" presName="rootText" presStyleLbl="node4" presStyleIdx="16" presStyleCnt="243">
        <dgm:presLayoutVars>
          <dgm:chPref val="3"/>
        </dgm:presLayoutVars>
      </dgm:prSet>
      <dgm:spPr/>
    </dgm:pt>
    <dgm:pt modelId="{C5D68DC9-A73A-4551-8E9C-396B7114F6D7}" type="pres">
      <dgm:prSet presAssocID="{A9C6CD5C-3BFE-4F40-A0A2-6440C65A6574}" presName="rootConnector" presStyleLbl="node4" presStyleIdx="16" presStyleCnt="243"/>
      <dgm:spPr/>
    </dgm:pt>
    <dgm:pt modelId="{9D9FA552-CBC0-4A5D-8CE7-F362A4E1F25E}" type="pres">
      <dgm:prSet presAssocID="{A9C6CD5C-3BFE-4F40-A0A2-6440C65A6574}" presName="hierChild4" presStyleCnt="0"/>
      <dgm:spPr/>
    </dgm:pt>
    <dgm:pt modelId="{EFFFE36B-FBD4-4CCD-AF19-365C04E71203}" type="pres">
      <dgm:prSet presAssocID="{A9C6CD5C-3BFE-4F40-A0A2-6440C65A6574}" presName="hierChild5" presStyleCnt="0"/>
      <dgm:spPr/>
    </dgm:pt>
    <dgm:pt modelId="{316A1FAD-6C22-4FC2-B824-5B6B937897EC}" type="pres">
      <dgm:prSet presAssocID="{560B7FBE-8261-497E-95A6-A4352541D2CF}" presName="Name50" presStyleLbl="parChTrans1D4" presStyleIdx="17" presStyleCnt="243"/>
      <dgm:spPr/>
    </dgm:pt>
    <dgm:pt modelId="{9ABD6CA4-6BF3-4A0A-A3A2-02075F3659C3}" type="pres">
      <dgm:prSet presAssocID="{2873A3ED-D613-4A37-8EE8-00920EDE206B}" presName="hierRoot2" presStyleCnt="0">
        <dgm:presLayoutVars>
          <dgm:hierBranch val="init"/>
        </dgm:presLayoutVars>
      </dgm:prSet>
      <dgm:spPr/>
    </dgm:pt>
    <dgm:pt modelId="{B16773F6-4BB8-440B-AC5F-B0A27027CE04}" type="pres">
      <dgm:prSet presAssocID="{2873A3ED-D613-4A37-8EE8-00920EDE206B}" presName="rootComposite" presStyleCnt="0"/>
      <dgm:spPr/>
    </dgm:pt>
    <dgm:pt modelId="{7E19969C-0FD0-466A-9CFB-A5A8144250B0}" type="pres">
      <dgm:prSet presAssocID="{2873A3ED-D613-4A37-8EE8-00920EDE206B}" presName="rootText" presStyleLbl="node4" presStyleIdx="17" presStyleCnt="243">
        <dgm:presLayoutVars>
          <dgm:chPref val="3"/>
        </dgm:presLayoutVars>
      </dgm:prSet>
      <dgm:spPr/>
    </dgm:pt>
    <dgm:pt modelId="{7BF62AFB-9317-4E54-90EB-3DDF770A3D86}" type="pres">
      <dgm:prSet presAssocID="{2873A3ED-D613-4A37-8EE8-00920EDE206B}" presName="rootConnector" presStyleLbl="node4" presStyleIdx="17" presStyleCnt="243"/>
      <dgm:spPr/>
    </dgm:pt>
    <dgm:pt modelId="{C676634F-091B-4E55-BAA6-AEA1BC3A5172}" type="pres">
      <dgm:prSet presAssocID="{2873A3ED-D613-4A37-8EE8-00920EDE206B}" presName="hierChild4" presStyleCnt="0"/>
      <dgm:spPr/>
    </dgm:pt>
    <dgm:pt modelId="{1E23F858-4769-4C2F-B778-DB63EC295049}" type="pres">
      <dgm:prSet presAssocID="{2873A3ED-D613-4A37-8EE8-00920EDE206B}" presName="hierChild5" presStyleCnt="0"/>
      <dgm:spPr/>
    </dgm:pt>
    <dgm:pt modelId="{7BA87D69-0C68-4EAF-BFBA-5B0F0922A1EC}" type="pres">
      <dgm:prSet presAssocID="{387B037D-10B1-4922-8590-8D4303DE7323}" presName="Name50" presStyleLbl="parChTrans1D4" presStyleIdx="18" presStyleCnt="243"/>
      <dgm:spPr/>
    </dgm:pt>
    <dgm:pt modelId="{DFEDC1A9-9D64-49EC-BFCD-02EDFEB2BC29}" type="pres">
      <dgm:prSet presAssocID="{2AD98657-974F-47A9-AC62-73BF0131A9C9}" presName="hierRoot2" presStyleCnt="0">
        <dgm:presLayoutVars>
          <dgm:hierBranch val="init"/>
        </dgm:presLayoutVars>
      </dgm:prSet>
      <dgm:spPr/>
    </dgm:pt>
    <dgm:pt modelId="{D1E3ACF8-C07D-4904-A198-4AD098110DF7}" type="pres">
      <dgm:prSet presAssocID="{2AD98657-974F-47A9-AC62-73BF0131A9C9}" presName="rootComposite" presStyleCnt="0"/>
      <dgm:spPr/>
    </dgm:pt>
    <dgm:pt modelId="{1139C7C6-CAF1-4E5E-916B-8D97018EB019}" type="pres">
      <dgm:prSet presAssocID="{2AD98657-974F-47A9-AC62-73BF0131A9C9}" presName="rootText" presStyleLbl="node4" presStyleIdx="18" presStyleCnt="243">
        <dgm:presLayoutVars>
          <dgm:chPref val="3"/>
        </dgm:presLayoutVars>
      </dgm:prSet>
      <dgm:spPr/>
    </dgm:pt>
    <dgm:pt modelId="{7C934789-C1E6-4EA4-A0D9-1334848962B7}" type="pres">
      <dgm:prSet presAssocID="{2AD98657-974F-47A9-AC62-73BF0131A9C9}" presName="rootConnector" presStyleLbl="node4" presStyleIdx="18" presStyleCnt="243"/>
      <dgm:spPr/>
    </dgm:pt>
    <dgm:pt modelId="{DED343BD-F604-44BD-9FE6-42EF316CD9EE}" type="pres">
      <dgm:prSet presAssocID="{2AD98657-974F-47A9-AC62-73BF0131A9C9}" presName="hierChild4" presStyleCnt="0"/>
      <dgm:spPr/>
    </dgm:pt>
    <dgm:pt modelId="{8EABB28C-AF6E-4AED-84B5-E3E438BC05C2}" type="pres">
      <dgm:prSet presAssocID="{2AD98657-974F-47A9-AC62-73BF0131A9C9}" presName="hierChild5" presStyleCnt="0"/>
      <dgm:spPr/>
    </dgm:pt>
    <dgm:pt modelId="{BBA05ED8-3067-47DA-B234-5324D51AA647}" type="pres">
      <dgm:prSet presAssocID="{5847D14F-9A9B-43DB-B6D4-DB254AAB8E52}" presName="Name50" presStyleLbl="parChTrans1D4" presStyleIdx="19" presStyleCnt="243"/>
      <dgm:spPr/>
    </dgm:pt>
    <dgm:pt modelId="{9958D380-D492-4620-B7E7-957664D75717}" type="pres">
      <dgm:prSet presAssocID="{4FE96E8C-8EE4-4139-A8BC-01C2D32C4E45}" presName="hierRoot2" presStyleCnt="0">
        <dgm:presLayoutVars>
          <dgm:hierBranch val="init"/>
        </dgm:presLayoutVars>
      </dgm:prSet>
      <dgm:spPr/>
    </dgm:pt>
    <dgm:pt modelId="{1E6FC14D-F8CB-4CFF-9790-163BE8CADFC1}" type="pres">
      <dgm:prSet presAssocID="{4FE96E8C-8EE4-4139-A8BC-01C2D32C4E45}" presName="rootComposite" presStyleCnt="0"/>
      <dgm:spPr/>
    </dgm:pt>
    <dgm:pt modelId="{FD383DCB-9A27-4AB2-8120-3DE8383FFB47}" type="pres">
      <dgm:prSet presAssocID="{4FE96E8C-8EE4-4139-A8BC-01C2D32C4E45}" presName="rootText" presStyleLbl="node4" presStyleIdx="19" presStyleCnt="243">
        <dgm:presLayoutVars>
          <dgm:chPref val="3"/>
        </dgm:presLayoutVars>
      </dgm:prSet>
      <dgm:spPr/>
    </dgm:pt>
    <dgm:pt modelId="{51FA0752-677B-46DF-8EB6-83ADAE65B8A5}" type="pres">
      <dgm:prSet presAssocID="{4FE96E8C-8EE4-4139-A8BC-01C2D32C4E45}" presName="rootConnector" presStyleLbl="node4" presStyleIdx="19" presStyleCnt="243"/>
      <dgm:spPr/>
    </dgm:pt>
    <dgm:pt modelId="{ADA140B8-3282-47EB-8636-782BFCDE3496}" type="pres">
      <dgm:prSet presAssocID="{4FE96E8C-8EE4-4139-A8BC-01C2D32C4E45}" presName="hierChild4" presStyleCnt="0"/>
      <dgm:spPr/>
    </dgm:pt>
    <dgm:pt modelId="{84A55A55-CAF1-4F2D-86ED-0679EDD46FCD}" type="pres">
      <dgm:prSet presAssocID="{4FE96E8C-8EE4-4139-A8BC-01C2D32C4E45}" presName="hierChild5" presStyleCnt="0"/>
      <dgm:spPr/>
    </dgm:pt>
    <dgm:pt modelId="{ECA59E38-E784-475C-8EED-285AA5A4C5FA}" type="pres">
      <dgm:prSet presAssocID="{98D9D6CE-6322-49D6-861D-4DD638E56228}" presName="Name50" presStyleLbl="parChTrans1D4" presStyleIdx="20" presStyleCnt="243"/>
      <dgm:spPr/>
    </dgm:pt>
    <dgm:pt modelId="{B885A8AB-B35D-49A1-85E3-971DD9B33950}" type="pres">
      <dgm:prSet presAssocID="{E8A2E369-A01E-47FF-87B0-76ED80F67B60}" presName="hierRoot2" presStyleCnt="0">
        <dgm:presLayoutVars>
          <dgm:hierBranch val="init"/>
        </dgm:presLayoutVars>
      </dgm:prSet>
      <dgm:spPr/>
    </dgm:pt>
    <dgm:pt modelId="{7280A71A-5E94-4849-9F39-6B0D0205B35E}" type="pres">
      <dgm:prSet presAssocID="{E8A2E369-A01E-47FF-87B0-76ED80F67B60}" presName="rootComposite" presStyleCnt="0"/>
      <dgm:spPr/>
    </dgm:pt>
    <dgm:pt modelId="{97F0C1CF-74CF-404A-B5F8-CE77F2E981AD}" type="pres">
      <dgm:prSet presAssocID="{E8A2E369-A01E-47FF-87B0-76ED80F67B60}" presName="rootText" presStyleLbl="node4" presStyleIdx="20" presStyleCnt="243">
        <dgm:presLayoutVars>
          <dgm:chPref val="3"/>
        </dgm:presLayoutVars>
      </dgm:prSet>
      <dgm:spPr/>
    </dgm:pt>
    <dgm:pt modelId="{619F5435-A16F-4FE7-B94F-ED66E3432ECB}" type="pres">
      <dgm:prSet presAssocID="{E8A2E369-A01E-47FF-87B0-76ED80F67B60}" presName="rootConnector" presStyleLbl="node4" presStyleIdx="20" presStyleCnt="243"/>
      <dgm:spPr/>
    </dgm:pt>
    <dgm:pt modelId="{2DBD8C47-6993-43FB-B961-1E8E656FB777}" type="pres">
      <dgm:prSet presAssocID="{E8A2E369-A01E-47FF-87B0-76ED80F67B60}" presName="hierChild4" presStyleCnt="0"/>
      <dgm:spPr/>
    </dgm:pt>
    <dgm:pt modelId="{804665FC-0945-42CD-95A4-23DBD0DC3279}" type="pres">
      <dgm:prSet presAssocID="{0978688B-9487-4599-BFA2-E6CAEF31F3AD}" presName="Name37" presStyleLbl="parChTrans1D4" presStyleIdx="21" presStyleCnt="243"/>
      <dgm:spPr/>
    </dgm:pt>
    <dgm:pt modelId="{0B0893C9-C34D-42A8-9BE3-96E9ADD0711C}" type="pres">
      <dgm:prSet presAssocID="{41CD94C2-59F0-44A3-BBC5-F29D686C70EF}" presName="hierRoot2" presStyleCnt="0">
        <dgm:presLayoutVars>
          <dgm:hierBranch val="init"/>
        </dgm:presLayoutVars>
      </dgm:prSet>
      <dgm:spPr/>
    </dgm:pt>
    <dgm:pt modelId="{EA51A402-A594-45C6-A71C-7D2116073B9E}" type="pres">
      <dgm:prSet presAssocID="{41CD94C2-59F0-44A3-BBC5-F29D686C70EF}" presName="rootComposite" presStyleCnt="0"/>
      <dgm:spPr/>
    </dgm:pt>
    <dgm:pt modelId="{302F38BF-0449-4D20-97CD-2195155388FE}" type="pres">
      <dgm:prSet presAssocID="{41CD94C2-59F0-44A3-BBC5-F29D686C70EF}" presName="rootText" presStyleLbl="node4" presStyleIdx="21" presStyleCnt="243">
        <dgm:presLayoutVars>
          <dgm:chPref val="3"/>
        </dgm:presLayoutVars>
      </dgm:prSet>
      <dgm:spPr/>
    </dgm:pt>
    <dgm:pt modelId="{AFCF73DB-8751-4948-B8C7-84796E53C3FC}" type="pres">
      <dgm:prSet presAssocID="{41CD94C2-59F0-44A3-BBC5-F29D686C70EF}" presName="rootConnector" presStyleLbl="node4" presStyleIdx="21" presStyleCnt="243"/>
      <dgm:spPr/>
    </dgm:pt>
    <dgm:pt modelId="{536E0FC7-FF6F-4791-A146-388953AA9096}" type="pres">
      <dgm:prSet presAssocID="{41CD94C2-59F0-44A3-BBC5-F29D686C70EF}" presName="hierChild4" presStyleCnt="0"/>
      <dgm:spPr/>
    </dgm:pt>
    <dgm:pt modelId="{0F466D6C-4C31-421C-A7EF-9DB8FBC0D0A1}" type="pres">
      <dgm:prSet presAssocID="{41CD94C2-59F0-44A3-BBC5-F29D686C70EF}" presName="hierChild5" presStyleCnt="0"/>
      <dgm:spPr/>
    </dgm:pt>
    <dgm:pt modelId="{1AC1EDA9-E2F0-441C-BD45-AF4DA73867DF}" type="pres">
      <dgm:prSet presAssocID="{826823C1-8B37-449D-B030-B0C21A0CD432}" presName="Name37" presStyleLbl="parChTrans1D4" presStyleIdx="22" presStyleCnt="243"/>
      <dgm:spPr/>
    </dgm:pt>
    <dgm:pt modelId="{3723497B-DE63-4560-8F81-D6D256A01CA9}" type="pres">
      <dgm:prSet presAssocID="{E9C9B03C-CE48-4E81-8181-9DE10C5B64B7}" presName="hierRoot2" presStyleCnt="0">
        <dgm:presLayoutVars>
          <dgm:hierBranch val="init"/>
        </dgm:presLayoutVars>
      </dgm:prSet>
      <dgm:spPr/>
    </dgm:pt>
    <dgm:pt modelId="{363938AD-3404-4405-814D-BACEB8AD031B}" type="pres">
      <dgm:prSet presAssocID="{E9C9B03C-CE48-4E81-8181-9DE10C5B64B7}" presName="rootComposite" presStyleCnt="0"/>
      <dgm:spPr/>
    </dgm:pt>
    <dgm:pt modelId="{22658707-FC77-4702-B7D3-0A2F67FC2D6D}" type="pres">
      <dgm:prSet presAssocID="{E9C9B03C-CE48-4E81-8181-9DE10C5B64B7}" presName="rootText" presStyleLbl="node4" presStyleIdx="22" presStyleCnt="243">
        <dgm:presLayoutVars>
          <dgm:chPref val="3"/>
        </dgm:presLayoutVars>
      </dgm:prSet>
      <dgm:spPr/>
    </dgm:pt>
    <dgm:pt modelId="{FDDEB235-AA29-444B-9C11-F89E654B3C26}" type="pres">
      <dgm:prSet presAssocID="{E9C9B03C-CE48-4E81-8181-9DE10C5B64B7}" presName="rootConnector" presStyleLbl="node4" presStyleIdx="22" presStyleCnt="243"/>
      <dgm:spPr/>
    </dgm:pt>
    <dgm:pt modelId="{09AF2E8D-7B99-4187-B09A-534669C97B9B}" type="pres">
      <dgm:prSet presAssocID="{E9C9B03C-CE48-4E81-8181-9DE10C5B64B7}" presName="hierChild4" presStyleCnt="0"/>
      <dgm:spPr/>
    </dgm:pt>
    <dgm:pt modelId="{3D3E0E55-B218-4071-8E48-E3653EBA371D}" type="pres">
      <dgm:prSet presAssocID="{E9C9B03C-CE48-4E81-8181-9DE10C5B64B7}" presName="hierChild5" presStyleCnt="0"/>
      <dgm:spPr/>
    </dgm:pt>
    <dgm:pt modelId="{8BAE17A5-94DC-492D-90D3-BC9FC14A6EEC}" type="pres">
      <dgm:prSet presAssocID="{ACAA7FF2-7C37-4371-A863-825F5BE56C60}" presName="Name37" presStyleLbl="parChTrans1D4" presStyleIdx="23" presStyleCnt="243"/>
      <dgm:spPr/>
    </dgm:pt>
    <dgm:pt modelId="{7D5B7217-CBE1-45CD-8E8A-3C1845A943D5}" type="pres">
      <dgm:prSet presAssocID="{C2B82F46-1FD0-4897-8F95-9366B049019F}" presName="hierRoot2" presStyleCnt="0">
        <dgm:presLayoutVars>
          <dgm:hierBranch val="init"/>
        </dgm:presLayoutVars>
      </dgm:prSet>
      <dgm:spPr/>
    </dgm:pt>
    <dgm:pt modelId="{5D3FDA1E-4E3B-406A-A564-9A24E567E362}" type="pres">
      <dgm:prSet presAssocID="{C2B82F46-1FD0-4897-8F95-9366B049019F}" presName="rootComposite" presStyleCnt="0"/>
      <dgm:spPr/>
    </dgm:pt>
    <dgm:pt modelId="{D9D539C2-11F3-4715-A2AF-8B810BA17F64}" type="pres">
      <dgm:prSet presAssocID="{C2B82F46-1FD0-4897-8F95-9366B049019F}" presName="rootText" presStyleLbl="node4" presStyleIdx="23" presStyleCnt="243">
        <dgm:presLayoutVars>
          <dgm:chPref val="3"/>
        </dgm:presLayoutVars>
      </dgm:prSet>
      <dgm:spPr/>
    </dgm:pt>
    <dgm:pt modelId="{1D4103EC-1284-44AD-8D27-EA5C000F20AF}" type="pres">
      <dgm:prSet presAssocID="{C2B82F46-1FD0-4897-8F95-9366B049019F}" presName="rootConnector" presStyleLbl="node4" presStyleIdx="23" presStyleCnt="243"/>
      <dgm:spPr/>
    </dgm:pt>
    <dgm:pt modelId="{E4A4A6BE-17C8-42DA-B517-7EC83E6297ED}" type="pres">
      <dgm:prSet presAssocID="{C2B82F46-1FD0-4897-8F95-9366B049019F}" presName="hierChild4" presStyleCnt="0"/>
      <dgm:spPr/>
    </dgm:pt>
    <dgm:pt modelId="{066601EF-6E30-48A9-9915-C6C705CE8A83}" type="pres">
      <dgm:prSet presAssocID="{C2B82F46-1FD0-4897-8F95-9366B049019F}" presName="hierChild5" presStyleCnt="0"/>
      <dgm:spPr/>
    </dgm:pt>
    <dgm:pt modelId="{14DA5ECE-2161-45BD-B707-59857C2C2CBE}" type="pres">
      <dgm:prSet presAssocID="{E8A2E369-A01E-47FF-87B0-76ED80F67B60}" presName="hierChild5" presStyleCnt="0"/>
      <dgm:spPr/>
    </dgm:pt>
    <dgm:pt modelId="{7726CE78-B518-4A61-AD7B-DB3E0A61F47A}" type="pres">
      <dgm:prSet presAssocID="{2F7A45B6-6E1A-4CAC-B83D-A1D28C755CE3}" presName="Name50" presStyleLbl="parChTrans1D4" presStyleIdx="24" presStyleCnt="243"/>
      <dgm:spPr/>
    </dgm:pt>
    <dgm:pt modelId="{D63DECDE-19E7-4214-A581-5327A5F18988}" type="pres">
      <dgm:prSet presAssocID="{F4A1CC51-0434-4C0E-A870-44440E1A02D9}" presName="hierRoot2" presStyleCnt="0">
        <dgm:presLayoutVars>
          <dgm:hierBranch val="init"/>
        </dgm:presLayoutVars>
      </dgm:prSet>
      <dgm:spPr/>
    </dgm:pt>
    <dgm:pt modelId="{D02D0950-30EF-4D25-934A-6BAF99F347A6}" type="pres">
      <dgm:prSet presAssocID="{F4A1CC51-0434-4C0E-A870-44440E1A02D9}" presName="rootComposite" presStyleCnt="0"/>
      <dgm:spPr/>
    </dgm:pt>
    <dgm:pt modelId="{5304541A-2CFF-48F7-BF1C-5AAD70B1C524}" type="pres">
      <dgm:prSet presAssocID="{F4A1CC51-0434-4C0E-A870-44440E1A02D9}" presName="rootText" presStyleLbl="node4" presStyleIdx="24" presStyleCnt="243">
        <dgm:presLayoutVars>
          <dgm:chPref val="3"/>
        </dgm:presLayoutVars>
      </dgm:prSet>
      <dgm:spPr/>
    </dgm:pt>
    <dgm:pt modelId="{3984EFAF-44A0-4CD2-BE43-256C03491F78}" type="pres">
      <dgm:prSet presAssocID="{F4A1CC51-0434-4C0E-A870-44440E1A02D9}" presName="rootConnector" presStyleLbl="node4" presStyleIdx="24" presStyleCnt="243"/>
      <dgm:spPr/>
    </dgm:pt>
    <dgm:pt modelId="{3FD37777-CED4-4E6C-9E46-A60E5B06BA9E}" type="pres">
      <dgm:prSet presAssocID="{F4A1CC51-0434-4C0E-A870-44440E1A02D9}" presName="hierChild4" presStyleCnt="0"/>
      <dgm:spPr/>
    </dgm:pt>
    <dgm:pt modelId="{4B4B6ADA-3736-4CCC-A7F5-3630BA0EE1B7}" type="pres">
      <dgm:prSet presAssocID="{33D489BE-B749-490B-98FA-8D34847AD854}" presName="Name37" presStyleLbl="parChTrans1D4" presStyleIdx="25" presStyleCnt="243"/>
      <dgm:spPr/>
    </dgm:pt>
    <dgm:pt modelId="{389044DE-7702-4E1E-9C6A-005B83228350}" type="pres">
      <dgm:prSet presAssocID="{0D22E87B-87AD-4527-894E-7FC0C92FA266}" presName="hierRoot2" presStyleCnt="0">
        <dgm:presLayoutVars>
          <dgm:hierBranch val="init"/>
        </dgm:presLayoutVars>
      </dgm:prSet>
      <dgm:spPr/>
    </dgm:pt>
    <dgm:pt modelId="{247E7AE9-64CA-40A1-A424-17A69C7D32E4}" type="pres">
      <dgm:prSet presAssocID="{0D22E87B-87AD-4527-894E-7FC0C92FA266}" presName="rootComposite" presStyleCnt="0"/>
      <dgm:spPr/>
    </dgm:pt>
    <dgm:pt modelId="{796820A9-3C8B-478E-BAC4-1C14F7600B14}" type="pres">
      <dgm:prSet presAssocID="{0D22E87B-87AD-4527-894E-7FC0C92FA266}" presName="rootText" presStyleLbl="node4" presStyleIdx="25" presStyleCnt="243">
        <dgm:presLayoutVars>
          <dgm:chPref val="3"/>
        </dgm:presLayoutVars>
      </dgm:prSet>
      <dgm:spPr/>
    </dgm:pt>
    <dgm:pt modelId="{4D3BF624-DD55-4D07-923D-638A4A195268}" type="pres">
      <dgm:prSet presAssocID="{0D22E87B-87AD-4527-894E-7FC0C92FA266}" presName="rootConnector" presStyleLbl="node4" presStyleIdx="25" presStyleCnt="243"/>
      <dgm:spPr/>
    </dgm:pt>
    <dgm:pt modelId="{A59D379D-7BCD-40EF-A4B2-89BAC31F914F}" type="pres">
      <dgm:prSet presAssocID="{0D22E87B-87AD-4527-894E-7FC0C92FA266}" presName="hierChild4" presStyleCnt="0"/>
      <dgm:spPr/>
    </dgm:pt>
    <dgm:pt modelId="{DA8177D9-FD34-4766-BF15-259179A5BAEA}" type="pres">
      <dgm:prSet presAssocID="{0D22E87B-87AD-4527-894E-7FC0C92FA266}" presName="hierChild5" presStyleCnt="0"/>
      <dgm:spPr/>
    </dgm:pt>
    <dgm:pt modelId="{14D289AC-5E39-419B-A1F5-26964B159C43}" type="pres">
      <dgm:prSet presAssocID="{E5112E47-A2AF-4F0E-9183-E60E0192E41E}" presName="Name37" presStyleLbl="parChTrans1D4" presStyleIdx="26" presStyleCnt="243"/>
      <dgm:spPr/>
    </dgm:pt>
    <dgm:pt modelId="{ECEBF281-C238-4125-813C-187E250FFE79}" type="pres">
      <dgm:prSet presAssocID="{C8631DC2-E378-4CB2-AB88-4675D872DC2A}" presName="hierRoot2" presStyleCnt="0">
        <dgm:presLayoutVars>
          <dgm:hierBranch val="init"/>
        </dgm:presLayoutVars>
      </dgm:prSet>
      <dgm:spPr/>
    </dgm:pt>
    <dgm:pt modelId="{635A4651-E023-4430-863A-58EAEAC6E3A9}" type="pres">
      <dgm:prSet presAssocID="{C8631DC2-E378-4CB2-AB88-4675D872DC2A}" presName="rootComposite" presStyleCnt="0"/>
      <dgm:spPr/>
    </dgm:pt>
    <dgm:pt modelId="{4AA1B075-4F36-482F-BDE4-B4123BFDFA4A}" type="pres">
      <dgm:prSet presAssocID="{C8631DC2-E378-4CB2-AB88-4675D872DC2A}" presName="rootText" presStyleLbl="node4" presStyleIdx="26" presStyleCnt="243">
        <dgm:presLayoutVars>
          <dgm:chPref val="3"/>
        </dgm:presLayoutVars>
      </dgm:prSet>
      <dgm:spPr/>
    </dgm:pt>
    <dgm:pt modelId="{0272A16F-A3F8-4418-8588-83344AE238EF}" type="pres">
      <dgm:prSet presAssocID="{C8631DC2-E378-4CB2-AB88-4675D872DC2A}" presName="rootConnector" presStyleLbl="node4" presStyleIdx="26" presStyleCnt="243"/>
      <dgm:spPr/>
    </dgm:pt>
    <dgm:pt modelId="{72F2EF4F-0A63-4070-A9F7-8FFE488C8CDC}" type="pres">
      <dgm:prSet presAssocID="{C8631DC2-E378-4CB2-AB88-4675D872DC2A}" presName="hierChild4" presStyleCnt="0"/>
      <dgm:spPr/>
    </dgm:pt>
    <dgm:pt modelId="{6771BD94-55EF-471A-A48D-6DC22C180D29}" type="pres">
      <dgm:prSet presAssocID="{C8631DC2-E378-4CB2-AB88-4675D872DC2A}" presName="hierChild5" presStyleCnt="0"/>
      <dgm:spPr/>
    </dgm:pt>
    <dgm:pt modelId="{229DAE5A-10A2-412C-BFD7-2CF17ECBFCA0}" type="pres">
      <dgm:prSet presAssocID="{036157CB-C6E0-45A6-9025-BC4C243A80B7}" presName="Name37" presStyleLbl="parChTrans1D4" presStyleIdx="27" presStyleCnt="243"/>
      <dgm:spPr/>
    </dgm:pt>
    <dgm:pt modelId="{C2800A55-17C1-4B0A-AA74-C2D94030F1FF}" type="pres">
      <dgm:prSet presAssocID="{E5574D11-1ACC-4F61-A8BE-2E2DD030F4F9}" presName="hierRoot2" presStyleCnt="0">
        <dgm:presLayoutVars>
          <dgm:hierBranch val="init"/>
        </dgm:presLayoutVars>
      </dgm:prSet>
      <dgm:spPr/>
    </dgm:pt>
    <dgm:pt modelId="{9ED890E6-3E58-46EC-969C-F7A03121400E}" type="pres">
      <dgm:prSet presAssocID="{E5574D11-1ACC-4F61-A8BE-2E2DD030F4F9}" presName="rootComposite" presStyleCnt="0"/>
      <dgm:spPr/>
    </dgm:pt>
    <dgm:pt modelId="{6793C568-2D01-41FE-A5FC-93FF121A5BB9}" type="pres">
      <dgm:prSet presAssocID="{E5574D11-1ACC-4F61-A8BE-2E2DD030F4F9}" presName="rootText" presStyleLbl="node4" presStyleIdx="27" presStyleCnt="243">
        <dgm:presLayoutVars>
          <dgm:chPref val="3"/>
        </dgm:presLayoutVars>
      </dgm:prSet>
      <dgm:spPr/>
    </dgm:pt>
    <dgm:pt modelId="{FF2E973A-4707-40E2-B592-DB13EBB84CA7}" type="pres">
      <dgm:prSet presAssocID="{E5574D11-1ACC-4F61-A8BE-2E2DD030F4F9}" presName="rootConnector" presStyleLbl="node4" presStyleIdx="27" presStyleCnt="243"/>
      <dgm:spPr/>
    </dgm:pt>
    <dgm:pt modelId="{BC358D4A-FC24-4D89-AE45-083422CC10CE}" type="pres">
      <dgm:prSet presAssocID="{E5574D11-1ACC-4F61-A8BE-2E2DD030F4F9}" presName="hierChild4" presStyleCnt="0"/>
      <dgm:spPr/>
    </dgm:pt>
    <dgm:pt modelId="{5B908E96-B739-4A79-87ED-67F819111D3A}" type="pres">
      <dgm:prSet presAssocID="{E5574D11-1ACC-4F61-A8BE-2E2DD030F4F9}" presName="hierChild5" presStyleCnt="0"/>
      <dgm:spPr/>
    </dgm:pt>
    <dgm:pt modelId="{5A3DFA76-AC53-475A-89CA-BB2E93E48F81}" type="pres">
      <dgm:prSet presAssocID="{F4A1CC51-0434-4C0E-A870-44440E1A02D9}" presName="hierChild5" presStyleCnt="0"/>
      <dgm:spPr/>
    </dgm:pt>
    <dgm:pt modelId="{8D3AF7BD-3769-4E95-9E1B-9A6724B394A2}" type="pres">
      <dgm:prSet presAssocID="{A6232338-D847-40DB-807A-FC2CF08A22C7}" presName="hierChild5" presStyleCnt="0"/>
      <dgm:spPr/>
    </dgm:pt>
    <dgm:pt modelId="{A95ACD39-570D-4B29-9367-FDB4A614E043}" type="pres">
      <dgm:prSet presAssocID="{8FC40973-C7B4-49AC-A525-0E4B043C5DA4}" presName="hierChild5" presStyleCnt="0"/>
      <dgm:spPr/>
    </dgm:pt>
    <dgm:pt modelId="{41C85DF5-9E13-4F62-A8BB-465DFFB235FD}" type="pres">
      <dgm:prSet presAssocID="{001C17F2-085A-4D2E-B5D3-E2D8533B3286}" presName="Name37" presStyleLbl="parChTrans1D4" presStyleIdx="28" presStyleCnt="243"/>
      <dgm:spPr/>
    </dgm:pt>
    <dgm:pt modelId="{EF6F12D5-0466-49E3-95F2-75508FA6C14A}" type="pres">
      <dgm:prSet presAssocID="{A80098DA-C80A-4B77-8F44-5A6EA76A1F2D}" presName="hierRoot2" presStyleCnt="0">
        <dgm:presLayoutVars>
          <dgm:hierBranch val="init"/>
        </dgm:presLayoutVars>
      </dgm:prSet>
      <dgm:spPr/>
    </dgm:pt>
    <dgm:pt modelId="{3C48438E-D630-4F37-8FA5-210747FDD073}" type="pres">
      <dgm:prSet presAssocID="{A80098DA-C80A-4B77-8F44-5A6EA76A1F2D}" presName="rootComposite" presStyleCnt="0"/>
      <dgm:spPr/>
    </dgm:pt>
    <dgm:pt modelId="{716787AA-5CB6-4C05-A687-B9340853CC52}" type="pres">
      <dgm:prSet presAssocID="{A80098DA-C80A-4B77-8F44-5A6EA76A1F2D}" presName="rootText" presStyleLbl="node4" presStyleIdx="28" presStyleCnt="243">
        <dgm:presLayoutVars>
          <dgm:chPref val="3"/>
        </dgm:presLayoutVars>
      </dgm:prSet>
      <dgm:spPr/>
    </dgm:pt>
    <dgm:pt modelId="{D82E2718-A593-4075-B902-3E172DD1E678}" type="pres">
      <dgm:prSet presAssocID="{A80098DA-C80A-4B77-8F44-5A6EA76A1F2D}" presName="rootConnector" presStyleLbl="node4" presStyleIdx="28" presStyleCnt="243"/>
      <dgm:spPr/>
    </dgm:pt>
    <dgm:pt modelId="{8D9EAEEE-094B-4F39-88F0-284E3AC465E0}" type="pres">
      <dgm:prSet presAssocID="{A80098DA-C80A-4B77-8F44-5A6EA76A1F2D}" presName="hierChild4" presStyleCnt="0"/>
      <dgm:spPr/>
    </dgm:pt>
    <dgm:pt modelId="{0CCF6D34-7478-462D-A3CB-98B162ADBDF8}" type="pres">
      <dgm:prSet presAssocID="{F13E853B-7FF9-478E-A44A-137B56EB1EF0}" presName="Name37" presStyleLbl="parChTrans1D4" presStyleIdx="29" presStyleCnt="243"/>
      <dgm:spPr/>
    </dgm:pt>
    <dgm:pt modelId="{A52BB829-9296-46BA-9252-F69305B4B801}" type="pres">
      <dgm:prSet presAssocID="{8F0CA22B-B976-4897-94C1-A5DBABB2DA3B}" presName="hierRoot2" presStyleCnt="0">
        <dgm:presLayoutVars>
          <dgm:hierBranch val="init"/>
        </dgm:presLayoutVars>
      </dgm:prSet>
      <dgm:spPr/>
    </dgm:pt>
    <dgm:pt modelId="{5E046E05-A48A-416E-9792-828C2FEB1D71}" type="pres">
      <dgm:prSet presAssocID="{8F0CA22B-B976-4897-94C1-A5DBABB2DA3B}" presName="rootComposite" presStyleCnt="0"/>
      <dgm:spPr/>
    </dgm:pt>
    <dgm:pt modelId="{3C4190D3-F4FC-4810-8940-5F073A1EE88B}" type="pres">
      <dgm:prSet presAssocID="{8F0CA22B-B976-4897-94C1-A5DBABB2DA3B}" presName="rootText" presStyleLbl="node4" presStyleIdx="29" presStyleCnt="243">
        <dgm:presLayoutVars>
          <dgm:chPref val="3"/>
        </dgm:presLayoutVars>
      </dgm:prSet>
      <dgm:spPr/>
    </dgm:pt>
    <dgm:pt modelId="{8D65E529-C257-441F-8E57-F57050914B50}" type="pres">
      <dgm:prSet presAssocID="{8F0CA22B-B976-4897-94C1-A5DBABB2DA3B}" presName="rootConnector" presStyleLbl="node4" presStyleIdx="29" presStyleCnt="243"/>
      <dgm:spPr/>
    </dgm:pt>
    <dgm:pt modelId="{88F97D6B-B336-42F4-9F43-06D50BC6A3AA}" type="pres">
      <dgm:prSet presAssocID="{8F0CA22B-B976-4897-94C1-A5DBABB2DA3B}" presName="hierChild4" presStyleCnt="0"/>
      <dgm:spPr/>
    </dgm:pt>
    <dgm:pt modelId="{B95C4E54-A506-4F12-9BB8-CFB24DB8D6EF}" type="pres">
      <dgm:prSet presAssocID="{87F70D47-D39B-41BA-97E4-C930D6BF1540}" presName="Name37" presStyleLbl="parChTrans1D4" presStyleIdx="30" presStyleCnt="243"/>
      <dgm:spPr/>
    </dgm:pt>
    <dgm:pt modelId="{25DCBC29-F44E-459D-B3A2-432142A949C9}" type="pres">
      <dgm:prSet presAssocID="{CA8E9C58-B0D6-42DA-9DB3-53574B04DCCF}" presName="hierRoot2" presStyleCnt="0">
        <dgm:presLayoutVars>
          <dgm:hierBranch val="init"/>
        </dgm:presLayoutVars>
      </dgm:prSet>
      <dgm:spPr/>
    </dgm:pt>
    <dgm:pt modelId="{46F4AE21-318C-4D8F-9675-B72E0A15E016}" type="pres">
      <dgm:prSet presAssocID="{CA8E9C58-B0D6-42DA-9DB3-53574B04DCCF}" presName="rootComposite" presStyleCnt="0"/>
      <dgm:spPr/>
    </dgm:pt>
    <dgm:pt modelId="{C1DA4007-A360-43BA-AA7D-F65192007956}" type="pres">
      <dgm:prSet presAssocID="{CA8E9C58-B0D6-42DA-9DB3-53574B04DCCF}" presName="rootText" presStyleLbl="node4" presStyleIdx="30" presStyleCnt="243">
        <dgm:presLayoutVars>
          <dgm:chPref val="3"/>
        </dgm:presLayoutVars>
      </dgm:prSet>
      <dgm:spPr/>
    </dgm:pt>
    <dgm:pt modelId="{E0D84F01-EB59-4B6D-9D94-3162864D0631}" type="pres">
      <dgm:prSet presAssocID="{CA8E9C58-B0D6-42DA-9DB3-53574B04DCCF}" presName="rootConnector" presStyleLbl="node4" presStyleIdx="30" presStyleCnt="243"/>
      <dgm:spPr/>
    </dgm:pt>
    <dgm:pt modelId="{D87FFEF6-854A-419C-8194-31E4E09B7C12}" type="pres">
      <dgm:prSet presAssocID="{CA8E9C58-B0D6-42DA-9DB3-53574B04DCCF}" presName="hierChild4" presStyleCnt="0"/>
      <dgm:spPr/>
    </dgm:pt>
    <dgm:pt modelId="{78EB3A1B-9438-4885-B0AE-C91551BC01F9}" type="pres">
      <dgm:prSet presAssocID="{CA8E9C58-B0D6-42DA-9DB3-53574B04DCCF}" presName="hierChild5" presStyleCnt="0"/>
      <dgm:spPr/>
    </dgm:pt>
    <dgm:pt modelId="{1DFB3316-E80C-471D-94F4-6ADC2A834BEF}" type="pres">
      <dgm:prSet presAssocID="{F1DD2E4C-12A0-40E8-990A-98CA6B290FA8}" presName="Name37" presStyleLbl="parChTrans1D4" presStyleIdx="31" presStyleCnt="243"/>
      <dgm:spPr/>
    </dgm:pt>
    <dgm:pt modelId="{496F35EF-1772-48D1-8562-14F60051B7EF}" type="pres">
      <dgm:prSet presAssocID="{C538FF67-62E3-499F-9E05-3BD3C36D6FCC}" presName="hierRoot2" presStyleCnt="0">
        <dgm:presLayoutVars>
          <dgm:hierBranch val="init"/>
        </dgm:presLayoutVars>
      </dgm:prSet>
      <dgm:spPr/>
    </dgm:pt>
    <dgm:pt modelId="{66F5342C-B5A2-4910-B61B-BE88CF640BB2}" type="pres">
      <dgm:prSet presAssocID="{C538FF67-62E3-499F-9E05-3BD3C36D6FCC}" presName="rootComposite" presStyleCnt="0"/>
      <dgm:spPr/>
    </dgm:pt>
    <dgm:pt modelId="{1FAEC8B9-1620-40CD-AF0A-81014B81F591}" type="pres">
      <dgm:prSet presAssocID="{C538FF67-62E3-499F-9E05-3BD3C36D6FCC}" presName="rootText" presStyleLbl="node4" presStyleIdx="31" presStyleCnt="243">
        <dgm:presLayoutVars>
          <dgm:chPref val="3"/>
        </dgm:presLayoutVars>
      </dgm:prSet>
      <dgm:spPr/>
    </dgm:pt>
    <dgm:pt modelId="{D92E0C15-FFDE-4D4D-B7E2-B07281D01A24}" type="pres">
      <dgm:prSet presAssocID="{C538FF67-62E3-499F-9E05-3BD3C36D6FCC}" presName="rootConnector" presStyleLbl="node4" presStyleIdx="31" presStyleCnt="243"/>
      <dgm:spPr/>
    </dgm:pt>
    <dgm:pt modelId="{9F5A3731-DCA3-4CAB-82AD-2C083FF60544}" type="pres">
      <dgm:prSet presAssocID="{C538FF67-62E3-499F-9E05-3BD3C36D6FCC}" presName="hierChild4" presStyleCnt="0"/>
      <dgm:spPr/>
    </dgm:pt>
    <dgm:pt modelId="{766FD2C6-D8D1-4CF1-8541-10A2C47FFC0F}" type="pres">
      <dgm:prSet presAssocID="{C538FF67-62E3-499F-9E05-3BD3C36D6FCC}" presName="hierChild5" presStyleCnt="0"/>
      <dgm:spPr/>
    </dgm:pt>
    <dgm:pt modelId="{9F5064A6-39D1-4B46-A015-3440689C597A}" type="pres">
      <dgm:prSet presAssocID="{8F0CA22B-B976-4897-94C1-A5DBABB2DA3B}" presName="hierChild5" presStyleCnt="0"/>
      <dgm:spPr/>
    </dgm:pt>
    <dgm:pt modelId="{0F336E24-1947-48B4-B4F4-9A3FBEAFDD5D}" type="pres">
      <dgm:prSet presAssocID="{5CA0ACA5-F6F1-46FF-8D18-425965FC1080}" presName="Name37" presStyleLbl="parChTrans1D4" presStyleIdx="32" presStyleCnt="243"/>
      <dgm:spPr/>
    </dgm:pt>
    <dgm:pt modelId="{183405F9-094C-417B-BA44-F616C30E8FAF}" type="pres">
      <dgm:prSet presAssocID="{C96A7505-6770-4770-A152-D1D662290F25}" presName="hierRoot2" presStyleCnt="0">
        <dgm:presLayoutVars>
          <dgm:hierBranch val="init"/>
        </dgm:presLayoutVars>
      </dgm:prSet>
      <dgm:spPr/>
    </dgm:pt>
    <dgm:pt modelId="{D53A8143-BB82-428D-ADD0-78456EE91C24}" type="pres">
      <dgm:prSet presAssocID="{C96A7505-6770-4770-A152-D1D662290F25}" presName="rootComposite" presStyleCnt="0"/>
      <dgm:spPr/>
    </dgm:pt>
    <dgm:pt modelId="{866E4FC1-3CF3-45B7-BE60-37F9C053A188}" type="pres">
      <dgm:prSet presAssocID="{C96A7505-6770-4770-A152-D1D662290F25}" presName="rootText" presStyleLbl="node4" presStyleIdx="32" presStyleCnt="243">
        <dgm:presLayoutVars>
          <dgm:chPref val="3"/>
        </dgm:presLayoutVars>
      </dgm:prSet>
      <dgm:spPr/>
    </dgm:pt>
    <dgm:pt modelId="{DB0D28C5-6F16-4EF9-AAA2-E84856127121}" type="pres">
      <dgm:prSet presAssocID="{C96A7505-6770-4770-A152-D1D662290F25}" presName="rootConnector" presStyleLbl="node4" presStyleIdx="32" presStyleCnt="243"/>
      <dgm:spPr/>
    </dgm:pt>
    <dgm:pt modelId="{ACF1C1E0-1572-48E6-B423-9C1355D66862}" type="pres">
      <dgm:prSet presAssocID="{C96A7505-6770-4770-A152-D1D662290F25}" presName="hierChild4" presStyleCnt="0"/>
      <dgm:spPr/>
    </dgm:pt>
    <dgm:pt modelId="{B29EC56D-E536-4CEA-BB72-E567469C02DE}" type="pres">
      <dgm:prSet presAssocID="{83DE7630-43AC-41D3-9DDE-B7D7C969FBD7}" presName="Name37" presStyleLbl="parChTrans1D4" presStyleIdx="33" presStyleCnt="243"/>
      <dgm:spPr/>
    </dgm:pt>
    <dgm:pt modelId="{EDBC31CE-51BC-441B-9DFA-D7B35D39BDF5}" type="pres">
      <dgm:prSet presAssocID="{09FB452B-3E8F-4AE9-AA52-5EC6BD88167E}" presName="hierRoot2" presStyleCnt="0">
        <dgm:presLayoutVars>
          <dgm:hierBranch val="init"/>
        </dgm:presLayoutVars>
      </dgm:prSet>
      <dgm:spPr/>
    </dgm:pt>
    <dgm:pt modelId="{235D9D00-16D8-4A18-9336-7AE0D8111350}" type="pres">
      <dgm:prSet presAssocID="{09FB452B-3E8F-4AE9-AA52-5EC6BD88167E}" presName="rootComposite" presStyleCnt="0"/>
      <dgm:spPr/>
    </dgm:pt>
    <dgm:pt modelId="{EF00520E-C4AB-436E-A7B2-609885E8348D}" type="pres">
      <dgm:prSet presAssocID="{09FB452B-3E8F-4AE9-AA52-5EC6BD88167E}" presName="rootText" presStyleLbl="node4" presStyleIdx="33" presStyleCnt="243">
        <dgm:presLayoutVars>
          <dgm:chPref val="3"/>
        </dgm:presLayoutVars>
      </dgm:prSet>
      <dgm:spPr/>
    </dgm:pt>
    <dgm:pt modelId="{0A46BDE0-F36C-4643-8FCD-7EC150C73437}" type="pres">
      <dgm:prSet presAssocID="{09FB452B-3E8F-4AE9-AA52-5EC6BD88167E}" presName="rootConnector" presStyleLbl="node4" presStyleIdx="33" presStyleCnt="243"/>
      <dgm:spPr/>
    </dgm:pt>
    <dgm:pt modelId="{A3D8C086-F4EC-4AA1-B06C-39848C3C110C}" type="pres">
      <dgm:prSet presAssocID="{09FB452B-3E8F-4AE9-AA52-5EC6BD88167E}" presName="hierChild4" presStyleCnt="0"/>
      <dgm:spPr/>
    </dgm:pt>
    <dgm:pt modelId="{F5E2D6B4-6A56-423A-9982-3B4E30A693E5}" type="pres">
      <dgm:prSet presAssocID="{09FB452B-3E8F-4AE9-AA52-5EC6BD88167E}" presName="hierChild5" presStyleCnt="0"/>
      <dgm:spPr/>
    </dgm:pt>
    <dgm:pt modelId="{4B8DAE74-C1BE-4637-A8C4-CA3035967BAC}" type="pres">
      <dgm:prSet presAssocID="{3F3C32BD-6635-4CD9-B1F8-B8FB123B8054}" presName="Name37" presStyleLbl="parChTrans1D4" presStyleIdx="34" presStyleCnt="243"/>
      <dgm:spPr/>
    </dgm:pt>
    <dgm:pt modelId="{0BC7A88C-0CC4-4C08-933A-21FF9E13754F}" type="pres">
      <dgm:prSet presAssocID="{1F9D464E-981B-451D-AC48-E5F984B8FAFE}" presName="hierRoot2" presStyleCnt="0">
        <dgm:presLayoutVars>
          <dgm:hierBranch val="init"/>
        </dgm:presLayoutVars>
      </dgm:prSet>
      <dgm:spPr/>
    </dgm:pt>
    <dgm:pt modelId="{39845257-0260-48E5-853E-C0992CF3BF8F}" type="pres">
      <dgm:prSet presAssocID="{1F9D464E-981B-451D-AC48-E5F984B8FAFE}" presName="rootComposite" presStyleCnt="0"/>
      <dgm:spPr/>
    </dgm:pt>
    <dgm:pt modelId="{EED603B7-ACC2-4021-B121-8AF5A83DA528}" type="pres">
      <dgm:prSet presAssocID="{1F9D464E-981B-451D-AC48-E5F984B8FAFE}" presName="rootText" presStyleLbl="node4" presStyleIdx="34" presStyleCnt="243">
        <dgm:presLayoutVars>
          <dgm:chPref val="3"/>
        </dgm:presLayoutVars>
      </dgm:prSet>
      <dgm:spPr/>
    </dgm:pt>
    <dgm:pt modelId="{D61A406A-86EB-4D44-8B51-F7E9D4BDE603}" type="pres">
      <dgm:prSet presAssocID="{1F9D464E-981B-451D-AC48-E5F984B8FAFE}" presName="rootConnector" presStyleLbl="node4" presStyleIdx="34" presStyleCnt="243"/>
      <dgm:spPr/>
    </dgm:pt>
    <dgm:pt modelId="{F2233ACA-66EF-497E-ACE5-91B9DDCA5B2E}" type="pres">
      <dgm:prSet presAssocID="{1F9D464E-981B-451D-AC48-E5F984B8FAFE}" presName="hierChild4" presStyleCnt="0"/>
      <dgm:spPr/>
    </dgm:pt>
    <dgm:pt modelId="{BFAB5CF8-C38C-4B69-9DA7-12A1B71DCB49}" type="pres">
      <dgm:prSet presAssocID="{1F9D464E-981B-451D-AC48-E5F984B8FAFE}" presName="hierChild5" presStyleCnt="0"/>
      <dgm:spPr/>
    </dgm:pt>
    <dgm:pt modelId="{0B6907AF-976E-4DDC-B8CE-F0045249655B}" type="pres">
      <dgm:prSet presAssocID="{D9824643-22D6-4B69-9BE4-8D68EED2ED50}" presName="Name37" presStyleLbl="parChTrans1D4" presStyleIdx="35" presStyleCnt="243"/>
      <dgm:spPr/>
    </dgm:pt>
    <dgm:pt modelId="{334566E6-6274-4619-9D91-CD2560D36589}" type="pres">
      <dgm:prSet presAssocID="{22438E18-2FD6-4CCA-B78D-3FC731294CBF}" presName="hierRoot2" presStyleCnt="0">
        <dgm:presLayoutVars>
          <dgm:hierBranch val="init"/>
        </dgm:presLayoutVars>
      </dgm:prSet>
      <dgm:spPr/>
    </dgm:pt>
    <dgm:pt modelId="{80F4DAEF-B538-4FAE-9306-68677687E88F}" type="pres">
      <dgm:prSet presAssocID="{22438E18-2FD6-4CCA-B78D-3FC731294CBF}" presName="rootComposite" presStyleCnt="0"/>
      <dgm:spPr/>
    </dgm:pt>
    <dgm:pt modelId="{622E5712-87DF-4A84-90A7-4D094C8084E7}" type="pres">
      <dgm:prSet presAssocID="{22438E18-2FD6-4CCA-B78D-3FC731294CBF}" presName="rootText" presStyleLbl="node4" presStyleIdx="35" presStyleCnt="243">
        <dgm:presLayoutVars>
          <dgm:chPref val="3"/>
        </dgm:presLayoutVars>
      </dgm:prSet>
      <dgm:spPr/>
    </dgm:pt>
    <dgm:pt modelId="{4CA0C448-AF23-4D27-A9A5-32C89F667FD1}" type="pres">
      <dgm:prSet presAssocID="{22438E18-2FD6-4CCA-B78D-3FC731294CBF}" presName="rootConnector" presStyleLbl="node4" presStyleIdx="35" presStyleCnt="243"/>
      <dgm:spPr/>
    </dgm:pt>
    <dgm:pt modelId="{7371F5E5-7FEA-418F-A6DC-1683B49C7D10}" type="pres">
      <dgm:prSet presAssocID="{22438E18-2FD6-4CCA-B78D-3FC731294CBF}" presName="hierChild4" presStyleCnt="0"/>
      <dgm:spPr/>
    </dgm:pt>
    <dgm:pt modelId="{58E5D543-2A9E-4C56-86B8-119E62B1F174}" type="pres">
      <dgm:prSet presAssocID="{22438E18-2FD6-4CCA-B78D-3FC731294CBF}" presName="hierChild5" presStyleCnt="0"/>
      <dgm:spPr/>
    </dgm:pt>
    <dgm:pt modelId="{6D3CA8F7-E042-444D-AC9A-1B20BF13316C}" type="pres">
      <dgm:prSet presAssocID="{34CC0B34-224B-4B27-8E61-32E70E74ED72}" presName="Name37" presStyleLbl="parChTrans1D4" presStyleIdx="36" presStyleCnt="243"/>
      <dgm:spPr/>
    </dgm:pt>
    <dgm:pt modelId="{CE1DDA47-AD6F-47FB-BBF4-8F8001FA7147}" type="pres">
      <dgm:prSet presAssocID="{9E8BFB46-E297-4315-941D-50527A6D7983}" presName="hierRoot2" presStyleCnt="0">
        <dgm:presLayoutVars>
          <dgm:hierBranch val="init"/>
        </dgm:presLayoutVars>
      </dgm:prSet>
      <dgm:spPr/>
    </dgm:pt>
    <dgm:pt modelId="{18C8EB8A-2667-4704-9C1B-BFAFBF3E7E35}" type="pres">
      <dgm:prSet presAssocID="{9E8BFB46-E297-4315-941D-50527A6D7983}" presName="rootComposite" presStyleCnt="0"/>
      <dgm:spPr/>
    </dgm:pt>
    <dgm:pt modelId="{D266B9AF-6D48-40E3-8EBD-AF588DFA91CC}" type="pres">
      <dgm:prSet presAssocID="{9E8BFB46-E297-4315-941D-50527A6D7983}" presName="rootText" presStyleLbl="node4" presStyleIdx="36" presStyleCnt="243">
        <dgm:presLayoutVars>
          <dgm:chPref val="3"/>
        </dgm:presLayoutVars>
      </dgm:prSet>
      <dgm:spPr/>
    </dgm:pt>
    <dgm:pt modelId="{52F63D95-5C84-4728-918F-955187F5A66E}" type="pres">
      <dgm:prSet presAssocID="{9E8BFB46-E297-4315-941D-50527A6D7983}" presName="rootConnector" presStyleLbl="node4" presStyleIdx="36" presStyleCnt="243"/>
      <dgm:spPr/>
    </dgm:pt>
    <dgm:pt modelId="{771E4EE7-A259-4207-A55F-C4DB0E067BC6}" type="pres">
      <dgm:prSet presAssocID="{9E8BFB46-E297-4315-941D-50527A6D7983}" presName="hierChild4" presStyleCnt="0"/>
      <dgm:spPr/>
    </dgm:pt>
    <dgm:pt modelId="{ED329A58-5A0C-4AF0-B229-0698E55BF7DD}" type="pres">
      <dgm:prSet presAssocID="{9E8BFB46-E297-4315-941D-50527A6D7983}" presName="hierChild5" presStyleCnt="0"/>
      <dgm:spPr/>
    </dgm:pt>
    <dgm:pt modelId="{066B9AAF-0A9C-40D8-ABF1-5B75BBEBC214}" type="pres">
      <dgm:prSet presAssocID="{C96A7505-6770-4770-A152-D1D662290F25}" presName="hierChild5" presStyleCnt="0"/>
      <dgm:spPr/>
    </dgm:pt>
    <dgm:pt modelId="{8A8055C6-024A-49DB-B4CE-3AB60803DFF3}" type="pres">
      <dgm:prSet presAssocID="{A80098DA-C80A-4B77-8F44-5A6EA76A1F2D}" presName="hierChild5" presStyleCnt="0"/>
      <dgm:spPr/>
    </dgm:pt>
    <dgm:pt modelId="{F412D91D-E6DF-4CEA-8701-B073A8FD2290}" type="pres">
      <dgm:prSet presAssocID="{D149A505-572D-4CDC-8D81-A814FB0F53E6}" presName="Name37" presStyleLbl="parChTrans1D4" presStyleIdx="37" presStyleCnt="243"/>
      <dgm:spPr/>
    </dgm:pt>
    <dgm:pt modelId="{16F1A5F0-1E88-4A26-8A91-451CE4298AE6}" type="pres">
      <dgm:prSet presAssocID="{86269F2E-6E8F-4730-8224-E18D7B039898}" presName="hierRoot2" presStyleCnt="0">
        <dgm:presLayoutVars>
          <dgm:hierBranch val="r"/>
        </dgm:presLayoutVars>
      </dgm:prSet>
      <dgm:spPr/>
    </dgm:pt>
    <dgm:pt modelId="{7BC5D34E-0F72-48DC-B90B-52FFF0366B48}" type="pres">
      <dgm:prSet presAssocID="{86269F2E-6E8F-4730-8224-E18D7B039898}" presName="rootComposite" presStyleCnt="0"/>
      <dgm:spPr/>
    </dgm:pt>
    <dgm:pt modelId="{B5ADB9EC-6355-4105-96AE-5B792D7945D4}" type="pres">
      <dgm:prSet presAssocID="{86269F2E-6E8F-4730-8224-E18D7B039898}" presName="rootText" presStyleLbl="node4" presStyleIdx="37" presStyleCnt="243">
        <dgm:presLayoutVars>
          <dgm:chPref val="3"/>
        </dgm:presLayoutVars>
      </dgm:prSet>
      <dgm:spPr/>
    </dgm:pt>
    <dgm:pt modelId="{136BC803-CD36-4181-A6C1-4402FB7CF5C3}" type="pres">
      <dgm:prSet presAssocID="{86269F2E-6E8F-4730-8224-E18D7B039898}" presName="rootConnector" presStyleLbl="node4" presStyleIdx="37" presStyleCnt="243"/>
      <dgm:spPr/>
    </dgm:pt>
    <dgm:pt modelId="{85FB1F5F-B83B-4878-BB18-FE443E16ABFC}" type="pres">
      <dgm:prSet presAssocID="{86269F2E-6E8F-4730-8224-E18D7B039898}" presName="hierChild4" presStyleCnt="0"/>
      <dgm:spPr/>
    </dgm:pt>
    <dgm:pt modelId="{851CBB15-86BD-4759-8FB1-6041E3ECBDC3}" type="pres">
      <dgm:prSet presAssocID="{48C62576-C347-45D3-A062-942FC9CB0A12}" presName="Name50" presStyleLbl="parChTrans1D4" presStyleIdx="38" presStyleCnt="243"/>
      <dgm:spPr/>
    </dgm:pt>
    <dgm:pt modelId="{4EB34C5D-5931-4B8B-A7FE-38D00229212F}" type="pres">
      <dgm:prSet presAssocID="{5F39BE30-4348-486D-8BCC-845ACD98CD91}" presName="hierRoot2" presStyleCnt="0">
        <dgm:presLayoutVars>
          <dgm:hierBranch val="init"/>
        </dgm:presLayoutVars>
      </dgm:prSet>
      <dgm:spPr/>
    </dgm:pt>
    <dgm:pt modelId="{9E3AEDC1-A4EA-4B42-912E-B62133BC35CF}" type="pres">
      <dgm:prSet presAssocID="{5F39BE30-4348-486D-8BCC-845ACD98CD91}" presName="rootComposite" presStyleCnt="0"/>
      <dgm:spPr/>
    </dgm:pt>
    <dgm:pt modelId="{1929155A-0BBF-47A9-A824-BAE16E2A3636}" type="pres">
      <dgm:prSet presAssocID="{5F39BE30-4348-486D-8BCC-845ACD98CD91}" presName="rootText" presStyleLbl="node4" presStyleIdx="38" presStyleCnt="243">
        <dgm:presLayoutVars>
          <dgm:chPref val="3"/>
        </dgm:presLayoutVars>
      </dgm:prSet>
      <dgm:spPr/>
    </dgm:pt>
    <dgm:pt modelId="{1FE2B47A-DAC1-4B31-848B-A65512DE18F3}" type="pres">
      <dgm:prSet presAssocID="{5F39BE30-4348-486D-8BCC-845ACD98CD91}" presName="rootConnector" presStyleLbl="node4" presStyleIdx="38" presStyleCnt="243"/>
      <dgm:spPr/>
    </dgm:pt>
    <dgm:pt modelId="{9CA01BA7-30BE-4FDE-8D19-6F9F797AF9F9}" type="pres">
      <dgm:prSet presAssocID="{5F39BE30-4348-486D-8BCC-845ACD98CD91}" presName="hierChild4" presStyleCnt="0"/>
      <dgm:spPr/>
    </dgm:pt>
    <dgm:pt modelId="{C350EF59-121F-4635-929F-6F4DDE4C464E}" type="pres">
      <dgm:prSet presAssocID="{5F39BE30-4348-486D-8BCC-845ACD98CD91}" presName="hierChild5" presStyleCnt="0"/>
      <dgm:spPr/>
    </dgm:pt>
    <dgm:pt modelId="{35DF9D2C-2463-4D45-8AE1-7899904C9F2F}" type="pres">
      <dgm:prSet presAssocID="{836480B4-8447-4711-8B34-48F7C7F0F122}" presName="Name50" presStyleLbl="parChTrans1D4" presStyleIdx="39" presStyleCnt="243"/>
      <dgm:spPr/>
    </dgm:pt>
    <dgm:pt modelId="{971B2CD1-BA80-4CCD-B122-F55BEF39BE62}" type="pres">
      <dgm:prSet presAssocID="{261AC762-8441-4A03-97AC-AD71E122E56E}" presName="hierRoot2" presStyleCnt="0">
        <dgm:presLayoutVars>
          <dgm:hierBranch val="init"/>
        </dgm:presLayoutVars>
      </dgm:prSet>
      <dgm:spPr/>
    </dgm:pt>
    <dgm:pt modelId="{73B2374A-E327-4827-B413-D81ACE229043}" type="pres">
      <dgm:prSet presAssocID="{261AC762-8441-4A03-97AC-AD71E122E56E}" presName="rootComposite" presStyleCnt="0"/>
      <dgm:spPr/>
    </dgm:pt>
    <dgm:pt modelId="{EE20F720-F98C-43E8-A1D6-56D586AC6531}" type="pres">
      <dgm:prSet presAssocID="{261AC762-8441-4A03-97AC-AD71E122E56E}" presName="rootText" presStyleLbl="node4" presStyleIdx="39" presStyleCnt="243">
        <dgm:presLayoutVars>
          <dgm:chPref val="3"/>
        </dgm:presLayoutVars>
      </dgm:prSet>
      <dgm:spPr/>
    </dgm:pt>
    <dgm:pt modelId="{CCB5D44E-69E8-4869-8F22-7B1266FDA2D8}" type="pres">
      <dgm:prSet presAssocID="{261AC762-8441-4A03-97AC-AD71E122E56E}" presName="rootConnector" presStyleLbl="node4" presStyleIdx="39" presStyleCnt="243"/>
      <dgm:spPr/>
    </dgm:pt>
    <dgm:pt modelId="{CBB503E0-16E3-4156-B9BD-76D61501A89E}" type="pres">
      <dgm:prSet presAssocID="{261AC762-8441-4A03-97AC-AD71E122E56E}" presName="hierChild4" presStyleCnt="0"/>
      <dgm:spPr/>
    </dgm:pt>
    <dgm:pt modelId="{4F1D01BD-62B1-4C97-B85F-C12EF4F92E28}" type="pres">
      <dgm:prSet presAssocID="{10B896D3-0393-4FDC-8D4D-D7B7F0D986E2}" presName="Name37" presStyleLbl="parChTrans1D4" presStyleIdx="40" presStyleCnt="243"/>
      <dgm:spPr/>
    </dgm:pt>
    <dgm:pt modelId="{9AB4407F-4587-4C72-A59D-EE03459EF5FB}" type="pres">
      <dgm:prSet presAssocID="{9084847E-30A5-4EF1-AF92-BC6FB7F4E1C7}" presName="hierRoot2" presStyleCnt="0">
        <dgm:presLayoutVars>
          <dgm:hierBranch val="init"/>
        </dgm:presLayoutVars>
      </dgm:prSet>
      <dgm:spPr/>
    </dgm:pt>
    <dgm:pt modelId="{F1BE5369-42D2-4F3A-8DDC-2BCD2949C5A2}" type="pres">
      <dgm:prSet presAssocID="{9084847E-30A5-4EF1-AF92-BC6FB7F4E1C7}" presName="rootComposite" presStyleCnt="0"/>
      <dgm:spPr/>
    </dgm:pt>
    <dgm:pt modelId="{740781A4-1045-4587-8403-BFCE6A13CC68}" type="pres">
      <dgm:prSet presAssocID="{9084847E-30A5-4EF1-AF92-BC6FB7F4E1C7}" presName="rootText" presStyleLbl="node4" presStyleIdx="40" presStyleCnt="243">
        <dgm:presLayoutVars>
          <dgm:chPref val="3"/>
        </dgm:presLayoutVars>
      </dgm:prSet>
      <dgm:spPr/>
    </dgm:pt>
    <dgm:pt modelId="{D03B3E8D-FA1D-4C0E-902C-E98A4E78EA2D}" type="pres">
      <dgm:prSet presAssocID="{9084847E-30A5-4EF1-AF92-BC6FB7F4E1C7}" presName="rootConnector" presStyleLbl="node4" presStyleIdx="40" presStyleCnt="243"/>
      <dgm:spPr/>
    </dgm:pt>
    <dgm:pt modelId="{2FAF375E-A6CD-4384-98B2-EF75D4993E2D}" type="pres">
      <dgm:prSet presAssocID="{9084847E-30A5-4EF1-AF92-BC6FB7F4E1C7}" presName="hierChild4" presStyleCnt="0"/>
      <dgm:spPr/>
    </dgm:pt>
    <dgm:pt modelId="{FFE1DA3C-504D-4AC0-8E2E-DBD4D33CA213}" type="pres">
      <dgm:prSet presAssocID="{9084847E-30A5-4EF1-AF92-BC6FB7F4E1C7}" presName="hierChild5" presStyleCnt="0"/>
      <dgm:spPr/>
    </dgm:pt>
    <dgm:pt modelId="{EB58EB4C-843D-425F-B515-93F2E10A1D04}" type="pres">
      <dgm:prSet presAssocID="{46ABA199-A95B-4512-9F2C-1BED99117E6E}" presName="Name37" presStyleLbl="parChTrans1D4" presStyleIdx="41" presStyleCnt="243"/>
      <dgm:spPr/>
    </dgm:pt>
    <dgm:pt modelId="{841CBC1E-F4EC-4906-AF5B-7AC2DA7ED7BF}" type="pres">
      <dgm:prSet presAssocID="{925481C1-8C62-4771-8584-6C589CE0BF1D}" presName="hierRoot2" presStyleCnt="0">
        <dgm:presLayoutVars>
          <dgm:hierBranch val="init"/>
        </dgm:presLayoutVars>
      </dgm:prSet>
      <dgm:spPr/>
    </dgm:pt>
    <dgm:pt modelId="{9226C5C6-E469-452F-A3DF-761E36410680}" type="pres">
      <dgm:prSet presAssocID="{925481C1-8C62-4771-8584-6C589CE0BF1D}" presName="rootComposite" presStyleCnt="0"/>
      <dgm:spPr/>
    </dgm:pt>
    <dgm:pt modelId="{5B6359D7-85BC-4AE5-BD27-A2DBF588A62E}" type="pres">
      <dgm:prSet presAssocID="{925481C1-8C62-4771-8584-6C589CE0BF1D}" presName="rootText" presStyleLbl="node4" presStyleIdx="41" presStyleCnt="243">
        <dgm:presLayoutVars>
          <dgm:chPref val="3"/>
        </dgm:presLayoutVars>
      </dgm:prSet>
      <dgm:spPr/>
    </dgm:pt>
    <dgm:pt modelId="{1C3F7A5B-1208-41C2-9382-C41ACE245FFC}" type="pres">
      <dgm:prSet presAssocID="{925481C1-8C62-4771-8584-6C589CE0BF1D}" presName="rootConnector" presStyleLbl="node4" presStyleIdx="41" presStyleCnt="243"/>
      <dgm:spPr/>
    </dgm:pt>
    <dgm:pt modelId="{0117005C-040B-48C7-9ADE-CF811535293A}" type="pres">
      <dgm:prSet presAssocID="{925481C1-8C62-4771-8584-6C589CE0BF1D}" presName="hierChild4" presStyleCnt="0"/>
      <dgm:spPr/>
    </dgm:pt>
    <dgm:pt modelId="{661E4887-4B8B-427E-A2BF-0DFD6845C6CC}" type="pres">
      <dgm:prSet presAssocID="{925481C1-8C62-4771-8584-6C589CE0BF1D}" presName="hierChild5" presStyleCnt="0"/>
      <dgm:spPr/>
    </dgm:pt>
    <dgm:pt modelId="{32D3EF1A-1551-4521-82C4-B444DF0CBF99}" type="pres">
      <dgm:prSet presAssocID="{261AC762-8441-4A03-97AC-AD71E122E56E}" presName="hierChild5" presStyleCnt="0"/>
      <dgm:spPr/>
    </dgm:pt>
    <dgm:pt modelId="{71FB8098-11C4-4403-95C7-A08709462B84}" type="pres">
      <dgm:prSet presAssocID="{B0D37A53-C3D9-4BE1-A570-D6BF31C3EA5F}" presName="Name50" presStyleLbl="parChTrans1D4" presStyleIdx="42" presStyleCnt="243"/>
      <dgm:spPr/>
    </dgm:pt>
    <dgm:pt modelId="{5F53D950-C99C-4936-B403-14A0F387F0C4}" type="pres">
      <dgm:prSet presAssocID="{5BE49A35-83BB-40E1-8540-26BCCF73D567}" presName="hierRoot2" presStyleCnt="0">
        <dgm:presLayoutVars>
          <dgm:hierBranch val="init"/>
        </dgm:presLayoutVars>
      </dgm:prSet>
      <dgm:spPr/>
    </dgm:pt>
    <dgm:pt modelId="{BAF63C94-7DA7-4D47-B9CB-13B4924B8412}" type="pres">
      <dgm:prSet presAssocID="{5BE49A35-83BB-40E1-8540-26BCCF73D567}" presName="rootComposite" presStyleCnt="0"/>
      <dgm:spPr/>
    </dgm:pt>
    <dgm:pt modelId="{E76DB6DD-5738-4DA5-9270-E0A1C20DCEF1}" type="pres">
      <dgm:prSet presAssocID="{5BE49A35-83BB-40E1-8540-26BCCF73D567}" presName="rootText" presStyleLbl="node4" presStyleIdx="42" presStyleCnt="243">
        <dgm:presLayoutVars>
          <dgm:chPref val="3"/>
        </dgm:presLayoutVars>
      </dgm:prSet>
      <dgm:spPr/>
    </dgm:pt>
    <dgm:pt modelId="{DDB4569A-41CC-4EF0-B3DE-3EA4D284BA38}" type="pres">
      <dgm:prSet presAssocID="{5BE49A35-83BB-40E1-8540-26BCCF73D567}" presName="rootConnector" presStyleLbl="node4" presStyleIdx="42" presStyleCnt="243"/>
      <dgm:spPr/>
    </dgm:pt>
    <dgm:pt modelId="{DBC917C3-27D4-45E0-83F4-902F052693FB}" type="pres">
      <dgm:prSet presAssocID="{5BE49A35-83BB-40E1-8540-26BCCF73D567}" presName="hierChild4" presStyleCnt="0"/>
      <dgm:spPr/>
    </dgm:pt>
    <dgm:pt modelId="{0B2D7D50-D235-41A1-B7EB-BDCAE1A93195}" type="pres">
      <dgm:prSet presAssocID="{0CAB4728-9217-4D5D-836F-6E3DFEA60D44}" presName="Name37" presStyleLbl="parChTrans1D4" presStyleIdx="43" presStyleCnt="243"/>
      <dgm:spPr/>
    </dgm:pt>
    <dgm:pt modelId="{946FC18A-BA83-4D13-B6FA-E4EF453C8F6A}" type="pres">
      <dgm:prSet presAssocID="{2A627E95-80B8-471F-B8C1-0A185CA00521}" presName="hierRoot2" presStyleCnt="0">
        <dgm:presLayoutVars>
          <dgm:hierBranch val="init"/>
        </dgm:presLayoutVars>
      </dgm:prSet>
      <dgm:spPr/>
    </dgm:pt>
    <dgm:pt modelId="{35C1565B-B1D8-4019-B6BE-800DA46F827D}" type="pres">
      <dgm:prSet presAssocID="{2A627E95-80B8-471F-B8C1-0A185CA00521}" presName="rootComposite" presStyleCnt="0"/>
      <dgm:spPr/>
    </dgm:pt>
    <dgm:pt modelId="{C74F5F62-AE16-41C5-B2C2-E5C0720672B6}" type="pres">
      <dgm:prSet presAssocID="{2A627E95-80B8-471F-B8C1-0A185CA00521}" presName="rootText" presStyleLbl="node4" presStyleIdx="43" presStyleCnt="243">
        <dgm:presLayoutVars>
          <dgm:chPref val="3"/>
        </dgm:presLayoutVars>
      </dgm:prSet>
      <dgm:spPr/>
    </dgm:pt>
    <dgm:pt modelId="{4A20DBA5-9DC3-48EF-ACE3-9DC8E63C0436}" type="pres">
      <dgm:prSet presAssocID="{2A627E95-80B8-471F-B8C1-0A185CA00521}" presName="rootConnector" presStyleLbl="node4" presStyleIdx="43" presStyleCnt="243"/>
      <dgm:spPr/>
    </dgm:pt>
    <dgm:pt modelId="{D7831773-F396-4EF3-8A36-97828139C4B2}" type="pres">
      <dgm:prSet presAssocID="{2A627E95-80B8-471F-B8C1-0A185CA00521}" presName="hierChild4" presStyleCnt="0"/>
      <dgm:spPr/>
    </dgm:pt>
    <dgm:pt modelId="{5EDE1DD1-9B09-4B22-B68F-913752FA062D}" type="pres">
      <dgm:prSet presAssocID="{2A627E95-80B8-471F-B8C1-0A185CA00521}" presName="hierChild5" presStyleCnt="0"/>
      <dgm:spPr/>
    </dgm:pt>
    <dgm:pt modelId="{22C77CCB-D0E2-45BB-B21D-20310FD437AF}" type="pres">
      <dgm:prSet presAssocID="{5EB231EC-99CC-414B-8157-E10ACDC6FEF3}" presName="Name37" presStyleLbl="parChTrans1D4" presStyleIdx="44" presStyleCnt="243"/>
      <dgm:spPr/>
    </dgm:pt>
    <dgm:pt modelId="{AE2D3A94-5916-46FA-A723-9FC3BA812D3D}" type="pres">
      <dgm:prSet presAssocID="{CF06B935-4100-4BE2-A656-9B7695371F75}" presName="hierRoot2" presStyleCnt="0">
        <dgm:presLayoutVars>
          <dgm:hierBranch val="init"/>
        </dgm:presLayoutVars>
      </dgm:prSet>
      <dgm:spPr/>
    </dgm:pt>
    <dgm:pt modelId="{ADA8950A-9E3A-46F5-9EB6-D89AAE8DB04C}" type="pres">
      <dgm:prSet presAssocID="{CF06B935-4100-4BE2-A656-9B7695371F75}" presName="rootComposite" presStyleCnt="0"/>
      <dgm:spPr/>
    </dgm:pt>
    <dgm:pt modelId="{6C7531BB-14B7-4720-8827-772B6BF4762C}" type="pres">
      <dgm:prSet presAssocID="{CF06B935-4100-4BE2-A656-9B7695371F75}" presName="rootText" presStyleLbl="node4" presStyleIdx="44" presStyleCnt="243">
        <dgm:presLayoutVars>
          <dgm:chPref val="3"/>
        </dgm:presLayoutVars>
      </dgm:prSet>
      <dgm:spPr/>
    </dgm:pt>
    <dgm:pt modelId="{BFAFA008-E868-445B-9843-70E535E4B49E}" type="pres">
      <dgm:prSet presAssocID="{CF06B935-4100-4BE2-A656-9B7695371F75}" presName="rootConnector" presStyleLbl="node4" presStyleIdx="44" presStyleCnt="243"/>
      <dgm:spPr/>
    </dgm:pt>
    <dgm:pt modelId="{97A4D400-A3BA-4546-BB07-1FB643951C71}" type="pres">
      <dgm:prSet presAssocID="{CF06B935-4100-4BE2-A656-9B7695371F75}" presName="hierChild4" presStyleCnt="0"/>
      <dgm:spPr/>
    </dgm:pt>
    <dgm:pt modelId="{63BF08B3-DB73-47EA-A799-4474A2EE2811}" type="pres">
      <dgm:prSet presAssocID="{CF06B935-4100-4BE2-A656-9B7695371F75}" presName="hierChild5" presStyleCnt="0"/>
      <dgm:spPr/>
    </dgm:pt>
    <dgm:pt modelId="{9EDC0B39-3792-4A4B-9EF0-87136FA58764}" type="pres">
      <dgm:prSet presAssocID="{7B4BB738-2D09-4661-B3AE-81BC8F151623}" presName="Name37" presStyleLbl="parChTrans1D4" presStyleIdx="45" presStyleCnt="243"/>
      <dgm:spPr/>
    </dgm:pt>
    <dgm:pt modelId="{2878EF12-04D5-4317-9C5F-9307BCE7E888}" type="pres">
      <dgm:prSet presAssocID="{F9F9650D-9E40-4A77-84BA-79F05439E5AD}" presName="hierRoot2" presStyleCnt="0">
        <dgm:presLayoutVars>
          <dgm:hierBranch val="init"/>
        </dgm:presLayoutVars>
      </dgm:prSet>
      <dgm:spPr/>
    </dgm:pt>
    <dgm:pt modelId="{F0609C56-1607-4E21-A5F8-55AFFFA6460A}" type="pres">
      <dgm:prSet presAssocID="{F9F9650D-9E40-4A77-84BA-79F05439E5AD}" presName="rootComposite" presStyleCnt="0"/>
      <dgm:spPr/>
    </dgm:pt>
    <dgm:pt modelId="{BF4FDDE6-6C81-4C1D-B009-A98C55D59C4B}" type="pres">
      <dgm:prSet presAssocID="{F9F9650D-9E40-4A77-84BA-79F05439E5AD}" presName="rootText" presStyleLbl="node4" presStyleIdx="45" presStyleCnt="243">
        <dgm:presLayoutVars>
          <dgm:chPref val="3"/>
        </dgm:presLayoutVars>
      </dgm:prSet>
      <dgm:spPr/>
    </dgm:pt>
    <dgm:pt modelId="{2A93E887-4E38-4811-A093-A12E88DBFAC3}" type="pres">
      <dgm:prSet presAssocID="{F9F9650D-9E40-4A77-84BA-79F05439E5AD}" presName="rootConnector" presStyleLbl="node4" presStyleIdx="45" presStyleCnt="243"/>
      <dgm:spPr/>
    </dgm:pt>
    <dgm:pt modelId="{ACE04E26-C83F-4882-AC68-89721B74309B}" type="pres">
      <dgm:prSet presAssocID="{F9F9650D-9E40-4A77-84BA-79F05439E5AD}" presName="hierChild4" presStyleCnt="0"/>
      <dgm:spPr/>
    </dgm:pt>
    <dgm:pt modelId="{1B88A371-687F-4CFE-95EF-DB0DFC2DAC93}" type="pres">
      <dgm:prSet presAssocID="{F9F9650D-9E40-4A77-84BA-79F05439E5AD}" presName="hierChild5" presStyleCnt="0"/>
      <dgm:spPr/>
    </dgm:pt>
    <dgm:pt modelId="{C1F1B2C5-68FD-4334-AC7F-0BD64E320C28}" type="pres">
      <dgm:prSet presAssocID="{5BE49A35-83BB-40E1-8540-26BCCF73D567}" presName="hierChild5" presStyleCnt="0"/>
      <dgm:spPr/>
    </dgm:pt>
    <dgm:pt modelId="{9ECC9AE6-86EE-4E88-98F4-4080B6FAAE93}" type="pres">
      <dgm:prSet presAssocID="{86269F2E-6E8F-4730-8224-E18D7B039898}" presName="hierChild5" presStyleCnt="0"/>
      <dgm:spPr/>
    </dgm:pt>
    <dgm:pt modelId="{C63014B2-715B-4F2E-8C95-9F9E64178254}" type="pres">
      <dgm:prSet presAssocID="{2B0F7E03-D206-42B6-8474-2A3273D98ED3}" presName="Name37" presStyleLbl="parChTrans1D4" presStyleIdx="46" presStyleCnt="243"/>
      <dgm:spPr/>
    </dgm:pt>
    <dgm:pt modelId="{2CAC2966-0871-4586-9DEA-148FAB7251F1}" type="pres">
      <dgm:prSet presAssocID="{F41F49ED-BE36-4A63-9E37-1E1EC5082A60}" presName="hierRoot2" presStyleCnt="0">
        <dgm:presLayoutVars>
          <dgm:hierBranch val="r"/>
        </dgm:presLayoutVars>
      </dgm:prSet>
      <dgm:spPr/>
    </dgm:pt>
    <dgm:pt modelId="{1BFCB798-29C5-4ACA-BBCA-A0B2EFA59F52}" type="pres">
      <dgm:prSet presAssocID="{F41F49ED-BE36-4A63-9E37-1E1EC5082A60}" presName="rootComposite" presStyleCnt="0"/>
      <dgm:spPr/>
    </dgm:pt>
    <dgm:pt modelId="{963999D0-8A82-44A6-88A7-9037D5F5430E}" type="pres">
      <dgm:prSet presAssocID="{F41F49ED-BE36-4A63-9E37-1E1EC5082A60}" presName="rootText" presStyleLbl="node4" presStyleIdx="46" presStyleCnt="243">
        <dgm:presLayoutVars>
          <dgm:chPref val="3"/>
        </dgm:presLayoutVars>
      </dgm:prSet>
      <dgm:spPr/>
    </dgm:pt>
    <dgm:pt modelId="{87E2CC08-2D8B-4E56-A3AD-818B900835A8}" type="pres">
      <dgm:prSet presAssocID="{F41F49ED-BE36-4A63-9E37-1E1EC5082A60}" presName="rootConnector" presStyleLbl="node4" presStyleIdx="46" presStyleCnt="243"/>
      <dgm:spPr/>
    </dgm:pt>
    <dgm:pt modelId="{443FDBB6-5E7F-4796-AA58-DD29135B80DD}" type="pres">
      <dgm:prSet presAssocID="{F41F49ED-BE36-4A63-9E37-1E1EC5082A60}" presName="hierChild4" presStyleCnt="0"/>
      <dgm:spPr/>
    </dgm:pt>
    <dgm:pt modelId="{249F2EE8-A9B4-449E-91AC-FDD7CC004D48}" type="pres">
      <dgm:prSet presAssocID="{A77D5189-C96F-4644-8CFD-299E8F08B79C}" presName="Name50" presStyleLbl="parChTrans1D4" presStyleIdx="47" presStyleCnt="243"/>
      <dgm:spPr/>
    </dgm:pt>
    <dgm:pt modelId="{6A7D2108-59AB-4CE5-B31E-8F4A75193601}" type="pres">
      <dgm:prSet presAssocID="{BB86F087-5B45-4E71-B294-E4DBD9C04FFC}" presName="hierRoot2" presStyleCnt="0">
        <dgm:presLayoutVars>
          <dgm:hierBranch val="init"/>
        </dgm:presLayoutVars>
      </dgm:prSet>
      <dgm:spPr/>
    </dgm:pt>
    <dgm:pt modelId="{9EC0A0DC-0BEC-407D-B440-ED1A330A9A98}" type="pres">
      <dgm:prSet presAssocID="{BB86F087-5B45-4E71-B294-E4DBD9C04FFC}" presName="rootComposite" presStyleCnt="0"/>
      <dgm:spPr/>
    </dgm:pt>
    <dgm:pt modelId="{03ECD038-3D71-4585-A24D-73F871F9CFB8}" type="pres">
      <dgm:prSet presAssocID="{BB86F087-5B45-4E71-B294-E4DBD9C04FFC}" presName="rootText" presStyleLbl="node4" presStyleIdx="47" presStyleCnt="243">
        <dgm:presLayoutVars>
          <dgm:chPref val="3"/>
        </dgm:presLayoutVars>
      </dgm:prSet>
      <dgm:spPr/>
    </dgm:pt>
    <dgm:pt modelId="{8353F1E4-6B8B-4E35-B448-FB22DE4BBF4A}" type="pres">
      <dgm:prSet presAssocID="{BB86F087-5B45-4E71-B294-E4DBD9C04FFC}" presName="rootConnector" presStyleLbl="node4" presStyleIdx="47" presStyleCnt="243"/>
      <dgm:spPr/>
    </dgm:pt>
    <dgm:pt modelId="{EC832D04-7415-434D-82F6-8ED567777051}" type="pres">
      <dgm:prSet presAssocID="{BB86F087-5B45-4E71-B294-E4DBD9C04FFC}" presName="hierChild4" presStyleCnt="0"/>
      <dgm:spPr/>
    </dgm:pt>
    <dgm:pt modelId="{6CF3F79D-F98E-42CF-B1F7-A573974C79BC}" type="pres">
      <dgm:prSet presAssocID="{BB86F087-5B45-4E71-B294-E4DBD9C04FFC}" presName="hierChild5" presStyleCnt="0"/>
      <dgm:spPr/>
    </dgm:pt>
    <dgm:pt modelId="{03FBEE4D-F5E8-410D-A1EA-F5F1B38BC68C}" type="pres">
      <dgm:prSet presAssocID="{9ED5F192-F6E4-420D-A295-B5C7FEE62EFF}" presName="Name50" presStyleLbl="parChTrans1D4" presStyleIdx="48" presStyleCnt="243"/>
      <dgm:spPr/>
    </dgm:pt>
    <dgm:pt modelId="{2C554251-18D4-4CB4-80CA-30E84E17B67E}" type="pres">
      <dgm:prSet presAssocID="{A430E8EA-CBB1-49E1-A5FC-8BB12855D5A6}" presName="hierRoot2" presStyleCnt="0">
        <dgm:presLayoutVars>
          <dgm:hierBranch val="init"/>
        </dgm:presLayoutVars>
      </dgm:prSet>
      <dgm:spPr/>
    </dgm:pt>
    <dgm:pt modelId="{FD0A6541-6A5F-4351-9F81-5E655B1262D8}" type="pres">
      <dgm:prSet presAssocID="{A430E8EA-CBB1-49E1-A5FC-8BB12855D5A6}" presName="rootComposite" presStyleCnt="0"/>
      <dgm:spPr/>
    </dgm:pt>
    <dgm:pt modelId="{F2E7B534-942E-4E74-93EC-3280C2D23683}" type="pres">
      <dgm:prSet presAssocID="{A430E8EA-CBB1-49E1-A5FC-8BB12855D5A6}" presName="rootText" presStyleLbl="node4" presStyleIdx="48" presStyleCnt="243">
        <dgm:presLayoutVars>
          <dgm:chPref val="3"/>
        </dgm:presLayoutVars>
      </dgm:prSet>
      <dgm:spPr/>
    </dgm:pt>
    <dgm:pt modelId="{B0860EED-F74F-41E3-96F4-6B042F7BB197}" type="pres">
      <dgm:prSet presAssocID="{A430E8EA-CBB1-49E1-A5FC-8BB12855D5A6}" presName="rootConnector" presStyleLbl="node4" presStyleIdx="48" presStyleCnt="243"/>
      <dgm:spPr/>
    </dgm:pt>
    <dgm:pt modelId="{E72556A5-1856-4FC4-8843-4F227711DC3A}" type="pres">
      <dgm:prSet presAssocID="{A430E8EA-CBB1-49E1-A5FC-8BB12855D5A6}" presName="hierChild4" presStyleCnt="0"/>
      <dgm:spPr/>
    </dgm:pt>
    <dgm:pt modelId="{A64A6421-EB27-42F1-A50B-B85718A30256}" type="pres">
      <dgm:prSet presAssocID="{A430E8EA-CBB1-49E1-A5FC-8BB12855D5A6}" presName="hierChild5" presStyleCnt="0"/>
      <dgm:spPr/>
    </dgm:pt>
    <dgm:pt modelId="{0CB2DA36-E113-4A95-940C-6ACC2289B23A}" type="pres">
      <dgm:prSet presAssocID="{F9364649-08A2-4817-82CF-86DC8666942A}" presName="Name50" presStyleLbl="parChTrans1D4" presStyleIdx="49" presStyleCnt="243"/>
      <dgm:spPr/>
    </dgm:pt>
    <dgm:pt modelId="{375DB2D6-A857-4403-94BA-83DDD30F158B}" type="pres">
      <dgm:prSet presAssocID="{6B1FF03C-004A-412B-95A2-0A74A5548711}" presName="hierRoot2" presStyleCnt="0">
        <dgm:presLayoutVars>
          <dgm:hierBranch val="init"/>
        </dgm:presLayoutVars>
      </dgm:prSet>
      <dgm:spPr/>
    </dgm:pt>
    <dgm:pt modelId="{96E51040-9A8A-416A-A63B-628FC3788216}" type="pres">
      <dgm:prSet presAssocID="{6B1FF03C-004A-412B-95A2-0A74A5548711}" presName="rootComposite" presStyleCnt="0"/>
      <dgm:spPr/>
    </dgm:pt>
    <dgm:pt modelId="{14AF2319-7B60-4F13-A350-8D87A6C067D2}" type="pres">
      <dgm:prSet presAssocID="{6B1FF03C-004A-412B-95A2-0A74A5548711}" presName="rootText" presStyleLbl="node4" presStyleIdx="49" presStyleCnt="243">
        <dgm:presLayoutVars>
          <dgm:chPref val="3"/>
        </dgm:presLayoutVars>
      </dgm:prSet>
      <dgm:spPr/>
    </dgm:pt>
    <dgm:pt modelId="{BA238FCB-4DC0-41A4-8170-5C605240231E}" type="pres">
      <dgm:prSet presAssocID="{6B1FF03C-004A-412B-95A2-0A74A5548711}" presName="rootConnector" presStyleLbl="node4" presStyleIdx="49" presStyleCnt="243"/>
      <dgm:spPr/>
    </dgm:pt>
    <dgm:pt modelId="{EB20A062-E4CF-44BB-AFC7-0AD3FA0DF866}" type="pres">
      <dgm:prSet presAssocID="{6B1FF03C-004A-412B-95A2-0A74A5548711}" presName="hierChild4" presStyleCnt="0"/>
      <dgm:spPr/>
    </dgm:pt>
    <dgm:pt modelId="{4115F1EE-A061-485C-8F63-EDC61C13BB64}" type="pres">
      <dgm:prSet presAssocID="{6B1FF03C-004A-412B-95A2-0A74A5548711}" presName="hierChild5" presStyleCnt="0"/>
      <dgm:spPr/>
    </dgm:pt>
    <dgm:pt modelId="{9BEA9358-73D3-4A08-9F0D-AC86DE1DC78E}" type="pres">
      <dgm:prSet presAssocID="{05953099-D1EF-4694-827D-53469B92EE3B}" presName="Name50" presStyleLbl="parChTrans1D4" presStyleIdx="50" presStyleCnt="243"/>
      <dgm:spPr/>
    </dgm:pt>
    <dgm:pt modelId="{6436F291-1949-42D8-B299-36FFDAAF0485}" type="pres">
      <dgm:prSet presAssocID="{4B0BE08F-5910-4DFD-9C40-BCFC903B9E38}" presName="hierRoot2" presStyleCnt="0">
        <dgm:presLayoutVars>
          <dgm:hierBranch val="init"/>
        </dgm:presLayoutVars>
      </dgm:prSet>
      <dgm:spPr/>
    </dgm:pt>
    <dgm:pt modelId="{97134022-ECEB-402B-BB8B-27362F8836DE}" type="pres">
      <dgm:prSet presAssocID="{4B0BE08F-5910-4DFD-9C40-BCFC903B9E38}" presName="rootComposite" presStyleCnt="0"/>
      <dgm:spPr/>
    </dgm:pt>
    <dgm:pt modelId="{B0BC50D9-2FC5-488B-90DE-8CF1B4A04380}" type="pres">
      <dgm:prSet presAssocID="{4B0BE08F-5910-4DFD-9C40-BCFC903B9E38}" presName="rootText" presStyleLbl="node4" presStyleIdx="50" presStyleCnt="243">
        <dgm:presLayoutVars>
          <dgm:chPref val="3"/>
        </dgm:presLayoutVars>
      </dgm:prSet>
      <dgm:spPr/>
    </dgm:pt>
    <dgm:pt modelId="{90DE6293-D6EF-431C-9B6E-4C6F07384860}" type="pres">
      <dgm:prSet presAssocID="{4B0BE08F-5910-4DFD-9C40-BCFC903B9E38}" presName="rootConnector" presStyleLbl="node4" presStyleIdx="50" presStyleCnt="243"/>
      <dgm:spPr/>
    </dgm:pt>
    <dgm:pt modelId="{56CBC40A-D1A9-4983-B489-35B68BDD9F4D}" type="pres">
      <dgm:prSet presAssocID="{4B0BE08F-5910-4DFD-9C40-BCFC903B9E38}" presName="hierChild4" presStyleCnt="0"/>
      <dgm:spPr/>
    </dgm:pt>
    <dgm:pt modelId="{E109710F-5BC3-4C8E-987E-9F3F6C343860}" type="pres">
      <dgm:prSet presAssocID="{4B0BE08F-5910-4DFD-9C40-BCFC903B9E38}" presName="hierChild5" presStyleCnt="0"/>
      <dgm:spPr/>
    </dgm:pt>
    <dgm:pt modelId="{CE90256F-7FB1-4F21-AB55-D01E2BB6A683}" type="pres">
      <dgm:prSet presAssocID="{14C9F508-803D-4BAF-8F9C-B237D9437397}" presName="Name50" presStyleLbl="parChTrans1D4" presStyleIdx="51" presStyleCnt="243"/>
      <dgm:spPr/>
    </dgm:pt>
    <dgm:pt modelId="{C3F2D305-6167-4FC2-A4BB-063725E2E72C}" type="pres">
      <dgm:prSet presAssocID="{4D138308-F6EC-4F1F-B24A-FF2D870FE516}" presName="hierRoot2" presStyleCnt="0">
        <dgm:presLayoutVars>
          <dgm:hierBranch val="init"/>
        </dgm:presLayoutVars>
      </dgm:prSet>
      <dgm:spPr/>
    </dgm:pt>
    <dgm:pt modelId="{3D063133-EC8B-40E0-873A-1EA668D29EF8}" type="pres">
      <dgm:prSet presAssocID="{4D138308-F6EC-4F1F-B24A-FF2D870FE516}" presName="rootComposite" presStyleCnt="0"/>
      <dgm:spPr/>
    </dgm:pt>
    <dgm:pt modelId="{E4F653B3-A56D-440C-9F03-356AB52D119F}" type="pres">
      <dgm:prSet presAssocID="{4D138308-F6EC-4F1F-B24A-FF2D870FE516}" presName="rootText" presStyleLbl="node4" presStyleIdx="51" presStyleCnt="243">
        <dgm:presLayoutVars>
          <dgm:chPref val="3"/>
        </dgm:presLayoutVars>
      </dgm:prSet>
      <dgm:spPr/>
    </dgm:pt>
    <dgm:pt modelId="{44A54A3B-D8A2-4C22-94EF-CC0D8BB2CD68}" type="pres">
      <dgm:prSet presAssocID="{4D138308-F6EC-4F1F-B24A-FF2D870FE516}" presName="rootConnector" presStyleLbl="node4" presStyleIdx="51" presStyleCnt="243"/>
      <dgm:spPr/>
    </dgm:pt>
    <dgm:pt modelId="{0FE81F30-60B2-4981-AEBF-B0A4714BC678}" type="pres">
      <dgm:prSet presAssocID="{4D138308-F6EC-4F1F-B24A-FF2D870FE516}" presName="hierChild4" presStyleCnt="0"/>
      <dgm:spPr/>
    </dgm:pt>
    <dgm:pt modelId="{490BD94C-C88E-41EB-BB8E-5EF7BE6CE2F9}" type="pres">
      <dgm:prSet presAssocID="{3DB1C1A1-0CD0-458A-824D-1F445F7D7B8F}" presName="Name37" presStyleLbl="parChTrans1D4" presStyleIdx="52" presStyleCnt="243"/>
      <dgm:spPr/>
    </dgm:pt>
    <dgm:pt modelId="{97A7F7DB-BEA8-46E7-AAE7-39AD14057821}" type="pres">
      <dgm:prSet presAssocID="{40651F84-828E-4E5E-990F-07E1DB1D6715}" presName="hierRoot2" presStyleCnt="0">
        <dgm:presLayoutVars>
          <dgm:hierBranch val="init"/>
        </dgm:presLayoutVars>
      </dgm:prSet>
      <dgm:spPr/>
    </dgm:pt>
    <dgm:pt modelId="{0E8EB0AC-91CF-4F76-9DCE-7B1CD276DD71}" type="pres">
      <dgm:prSet presAssocID="{40651F84-828E-4E5E-990F-07E1DB1D6715}" presName="rootComposite" presStyleCnt="0"/>
      <dgm:spPr/>
    </dgm:pt>
    <dgm:pt modelId="{EB8C3B39-46FC-414B-87CB-D96CDBC30F3F}" type="pres">
      <dgm:prSet presAssocID="{40651F84-828E-4E5E-990F-07E1DB1D6715}" presName="rootText" presStyleLbl="node4" presStyleIdx="52" presStyleCnt="243">
        <dgm:presLayoutVars>
          <dgm:chPref val="3"/>
        </dgm:presLayoutVars>
      </dgm:prSet>
      <dgm:spPr/>
    </dgm:pt>
    <dgm:pt modelId="{ECE757BE-C1A6-4231-83DE-98403EA80E69}" type="pres">
      <dgm:prSet presAssocID="{40651F84-828E-4E5E-990F-07E1DB1D6715}" presName="rootConnector" presStyleLbl="node4" presStyleIdx="52" presStyleCnt="243"/>
      <dgm:spPr/>
    </dgm:pt>
    <dgm:pt modelId="{A62EFE20-5541-4A45-A221-2188A6E6E1A7}" type="pres">
      <dgm:prSet presAssocID="{40651F84-828E-4E5E-990F-07E1DB1D6715}" presName="hierChild4" presStyleCnt="0"/>
      <dgm:spPr/>
    </dgm:pt>
    <dgm:pt modelId="{413FF5A4-E0AF-4F70-AA45-428B3B8A5488}" type="pres">
      <dgm:prSet presAssocID="{40651F84-828E-4E5E-990F-07E1DB1D6715}" presName="hierChild5" presStyleCnt="0"/>
      <dgm:spPr/>
    </dgm:pt>
    <dgm:pt modelId="{280ECB2F-ACF0-41F1-9CCE-C485DF50640B}" type="pres">
      <dgm:prSet presAssocID="{1D330067-FD54-46D7-8C61-B96EA574B2A1}" presName="Name37" presStyleLbl="parChTrans1D4" presStyleIdx="53" presStyleCnt="243"/>
      <dgm:spPr/>
    </dgm:pt>
    <dgm:pt modelId="{8988A930-9CBB-4F7C-9840-7B0BEE25E5E9}" type="pres">
      <dgm:prSet presAssocID="{B2583F77-58CD-429C-829C-2E67A6CCFEE6}" presName="hierRoot2" presStyleCnt="0">
        <dgm:presLayoutVars>
          <dgm:hierBranch val="init"/>
        </dgm:presLayoutVars>
      </dgm:prSet>
      <dgm:spPr/>
    </dgm:pt>
    <dgm:pt modelId="{689D7C4E-DBAE-4A39-993F-2DA8D5B3FE97}" type="pres">
      <dgm:prSet presAssocID="{B2583F77-58CD-429C-829C-2E67A6CCFEE6}" presName="rootComposite" presStyleCnt="0"/>
      <dgm:spPr/>
    </dgm:pt>
    <dgm:pt modelId="{D630BBC2-CCC4-4A76-BC02-32B1CC269F97}" type="pres">
      <dgm:prSet presAssocID="{B2583F77-58CD-429C-829C-2E67A6CCFEE6}" presName="rootText" presStyleLbl="node4" presStyleIdx="53" presStyleCnt="243">
        <dgm:presLayoutVars>
          <dgm:chPref val="3"/>
        </dgm:presLayoutVars>
      </dgm:prSet>
      <dgm:spPr/>
    </dgm:pt>
    <dgm:pt modelId="{576A51D3-33EF-48ED-B81B-585A6ADED176}" type="pres">
      <dgm:prSet presAssocID="{B2583F77-58CD-429C-829C-2E67A6CCFEE6}" presName="rootConnector" presStyleLbl="node4" presStyleIdx="53" presStyleCnt="243"/>
      <dgm:spPr/>
    </dgm:pt>
    <dgm:pt modelId="{87F064B3-B252-4996-9839-DFE2E52FE49B}" type="pres">
      <dgm:prSet presAssocID="{B2583F77-58CD-429C-829C-2E67A6CCFEE6}" presName="hierChild4" presStyleCnt="0"/>
      <dgm:spPr/>
    </dgm:pt>
    <dgm:pt modelId="{7CED638B-2594-4263-97DE-33038F0D4D34}" type="pres">
      <dgm:prSet presAssocID="{B2583F77-58CD-429C-829C-2E67A6CCFEE6}" presName="hierChild5" presStyleCnt="0"/>
      <dgm:spPr/>
    </dgm:pt>
    <dgm:pt modelId="{7DD5090A-D463-406E-AA28-98500CF9DC62}" type="pres">
      <dgm:prSet presAssocID="{15360FA0-D6C2-4800-930F-2C5CEDF49A41}" presName="Name37" presStyleLbl="parChTrans1D4" presStyleIdx="54" presStyleCnt="243"/>
      <dgm:spPr/>
    </dgm:pt>
    <dgm:pt modelId="{D07C42E9-3154-4D6E-BCCE-5155156F2312}" type="pres">
      <dgm:prSet presAssocID="{94542E4A-D1E8-42C9-9FE4-ABD4D7205DBC}" presName="hierRoot2" presStyleCnt="0">
        <dgm:presLayoutVars>
          <dgm:hierBranch val="init"/>
        </dgm:presLayoutVars>
      </dgm:prSet>
      <dgm:spPr/>
    </dgm:pt>
    <dgm:pt modelId="{0E6B0496-E2BC-4D95-BD09-AD4D5814F8FA}" type="pres">
      <dgm:prSet presAssocID="{94542E4A-D1E8-42C9-9FE4-ABD4D7205DBC}" presName="rootComposite" presStyleCnt="0"/>
      <dgm:spPr/>
    </dgm:pt>
    <dgm:pt modelId="{2C83A144-91E0-44FF-9575-68A00228C791}" type="pres">
      <dgm:prSet presAssocID="{94542E4A-D1E8-42C9-9FE4-ABD4D7205DBC}" presName="rootText" presStyleLbl="node4" presStyleIdx="54" presStyleCnt="243">
        <dgm:presLayoutVars>
          <dgm:chPref val="3"/>
        </dgm:presLayoutVars>
      </dgm:prSet>
      <dgm:spPr/>
    </dgm:pt>
    <dgm:pt modelId="{99726566-FC78-442F-A30E-791E28585082}" type="pres">
      <dgm:prSet presAssocID="{94542E4A-D1E8-42C9-9FE4-ABD4D7205DBC}" presName="rootConnector" presStyleLbl="node4" presStyleIdx="54" presStyleCnt="243"/>
      <dgm:spPr/>
    </dgm:pt>
    <dgm:pt modelId="{21C92EFA-14C4-40D7-99AD-1B88609CDAB9}" type="pres">
      <dgm:prSet presAssocID="{94542E4A-D1E8-42C9-9FE4-ABD4D7205DBC}" presName="hierChild4" presStyleCnt="0"/>
      <dgm:spPr/>
    </dgm:pt>
    <dgm:pt modelId="{875DDAF9-4E1A-4ABD-BCFE-460CD9493EBD}" type="pres">
      <dgm:prSet presAssocID="{94542E4A-D1E8-42C9-9FE4-ABD4D7205DBC}" presName="hierChild5" presStyleCnt="0"/>
      <dgm:spPr/>
    </dgm:pt>
    <dgm:pt modelId="{22B0B690-40F4-443D-BF68-E911755BB61C}" type="pres">
      <dgm:prSet presAssocID="{D7642367-3B56-4504-9BE0-3B70F11B826F}" presName="Name37" presStyleLbl="parChTrans1D4" presStyleIdx="55" presStyleCnt="243"/>
      <dgm:spPr/>
    </dgm:pt>
    <dgm:pt modelId="{2287E931-C1AF-46C8-995E-7F23C99E8109}" type="pres">
      <dgm:prSet presAssocID="{647C2198-ACDA-4EF2-9E0A-77DA5B315C4B}" presName="hierRoot2" presStyleCnt="0">
        <dgm:presLayoutVars>
          <dgm:hierBranch val="init"/>
        </dgm:presLayoutVars>
      </dgm:prSet>
      <dgm:spPr/>
    </dgm:pt>
    <dgm:pt modelId="{E506066D-7C09-4E23-B268-3D89ED2DB97D}" type="pres">
      <dgm:prSet presAssocID="{647C2198-ACDA-4EF2-9E0A-77DA5B315C4B}" presName="rootComposite" presStyleCnt="0"/>
      <dgm:spPr/>
    </dgm:pt>
    <dgm:pt modelId="{08D2F5F4-829F-4FF6-86BA-6C0091B7D631}" type="pres">
      <dgm:prSet presAssocID="{647C2198-ACDA-4EF2-9E0A-77DA5B315C4B}" presName="rootText" presStyleLbl="node4" presStyleIdx="55" presStyleCnt="243">
        <dgm:presLayoutVars>
          <dgm:chPref val="3"/>
        </dgm:presLayoutVars>
      </dgm:prSet>
      <dgm:spPr/>
    </dgm:pt>
    <dgm:pt modelId="{FE9AC26B-EECC-470B-8D58-5920C5C5E006}" type="pres">
      <dgm:prSet presAssocID="{647C2198-ACDA-4EF2-9E0A-77DA5B315C4B}" presName="rootConnector" presStyleLbl="node4" presStyleIdx="55" presStyleCnt="243"/>
      <dgm:spPr/>
    </dgm:pt>
    <dgm:pt modelId="{A021D649-FC1A-460C-A83D-5E29022C7FC7}" type="pres">
      <dgm:prSet presAssocID="{647C2198-ACDA-4EF2-9E0A-77DA5B315C4B}" presName="hierChild4" presStyleCnt="0"/>
      <dgm:spPr/>
    </dgm:pt>
    <dgm:pt modelId="{8F321481-5C72-439E-91EE-93CC004D3459}" type="pres">
      <dgm:prSet presAssocID="{647C2198-ACDA-4EF2-9E0A-77DA5B315C4B}" presName="hierChild5" presStyleCnt="0"/>
      <dgm:spPr/>
    </dgm:pt>
    <dgm:pt modelId="{14C9350F-FCEB-41C3-A134-0A738DC1E8E2}" type="pres">
      <dgm:prSet presAssocID="{78DE5C7E-1B9F-473E-8582-625C544D5C0A}" presName="Name37" presStyleLbl="parChTrans1D4" presStyleIdx="56" presStyleCnt="243"/>
      <dgm:spPr/>
    </dgm:pt>
    <dgm:pt modelId="{F193AA73-B233-4A71-8D11-179F4E60F1F8}" type="pres">
      <dgm:prSet presAssocID="{54A3E45B-197D-4803-9D53-988457AAFE7D}" presName="hierRoot2" presStyleCnt="0">
        <dgm:presLayoutVars>
          <dgm:hierBranch val="init"/>
        </dgm:presLayoutVars>
      </dgm:prSet>
      <dgm:spPr/>
    </dgm:pt>
    <dgm:pt modelId="{BAC687E5-CCA1-4094-9EBA-847235ACBA48}" type="pres">
      <dgm:prSet presAssocID="{54A3E45B-197D-4803-9D53-988457AAFE7D}" presName="rootComposite" presStyleCnt="0"/>
      <dgm:spPr/>
    </dgm:pt>
    <dgm:pt modelId="{59C4773B-136B-4811-AD8C-968B2FA12770}" type="pres">
      <dgm:prSet presAssocID="{54A3E45B-197D-4803-9D53-988457AAFE7D}" presName="rootText" presStyleLbl="node4" presStyleIdx="56" presStyleCnt="243">
        <dgm:presLayoutVars>
          <dgm:chPref val="3"/>
        </dgm:presLayoutVars>
      </dgm:prSet>
      <dgm:spPr/>
    </dgm:pt>
    <dgm:pt modelId="{72C0029D-AC8B-4BE6-AE4D-3DF2A34F0815}" type="pres">
      <dgm:prSet presAssocID="{54A3E45B-197D-4803-9D53-988457AAFE7D}" presName="rootConnector" presStyleLbl="node4" presStyleIdx="56" presStyleCnt="243"/>
      <dgm:spPr/>
    </dgm:pt>
    <dgm:pt modelId="{5D376059-C911-4EB8-A33B-48D6175D4031}" type="pres">
      <dgm:prSet presAssocID="{54A3E45B-197D-4803-9D53-988457AAFE7D}" presName="hierChild4" presStyleCnt="0"/>
      <dgm:spPr/>
    </dgm:pt>
    <dgm:pt modelId="{84A911D5-F31A-488B-99A2-7446882E9596}" type="pres">
      <dgm:prSet presAssocID="{F82ADA2B-DC41-4CAD-8A99-41DD37F82055}" presName="Name37" presStyleLbl="parChTrans1D4" presStyleIdx="57" presStyleCnt="243"/>
      <dgm:spPr/>
    </dgm:pt>
    <dgm:pt modelId="{11DB4012-55C8-44ED-AD35-9CDB1717EEFF}" type="pres">
      <dgm:prSet presAssocID="{ABE779BC-863F-402D-B89B-6A9F49FFB149}" presName="hierRoot2" presStyleCnt="0">
        <dgm:presLayoutVars>
          <dgm:hierBranch val="init"/>
        </dgm:presLayoutVars>
      </dgm:prSet>
      <dgm:spPr/>
    </dgm:pt>
    <dgm:pt modelId="{69951717-8A13-4F46-AAAC-D39D54F06638}" type="pres">
      <dgm:prSet presAssocID="{ABE779BC-863F-402D-B89B-6A9F49FFB149}" presName="rootComposite" presStyleCnt="0"/>
      <dgm:spPr/>
    </dgm:pt>
    <dgm:pt modelId="{5068A80C-9ACB-402A-88D0-68588455724C}" type="pres">
      <dgm:prSet presAssocID="{ABE779BC-863F-402D-B89B-6A9F49FFB149}" presName="rootText" presStyleLbl="node4" presStyleIdx="57" presStyleCnt="243">
        <dgm:presLayoutVars>
          <dgm:chPref val="3"/>
        </dgm:presLayoutVars>
      </dgm:prSet>
      <dgm:spPr/>
    </dgm:pt>
    <dgm:pt modelId="{2222D64E-0796-4107-A311-4F050A399E6D}" type="pres">
      <dgm:prSet presAssocID="{ABE779BC-863F-402D-B89B-6A9F49FFB149}" presName="rootConnector" presStyleLbl="node4" presStyleIdx="57" presStyleCnt="243"/>
      <dgm:spPr/>
    </dgm:pt>
    <dgm:pt modelId="{6928A91F-D6F0-46EF-9535-A451B59A1E6C}" type="pres">
      <dgm:prSet presAssocID="{ABE779BC-863F-402D-B89B-6A9F49FFB149}" presName="hierChild4" presStyleCnt="0"/>
      <dgm:spPr/>
    </dgm:pt>
    <dgm:pt modelId="{48E655C5-5C9F-437C-97E6-E27D91FFFCBF}" type="pres">
      <dgm:prSet presAssocID="{ABE779BC-863F-402D-B89B-6A9F49FFB149}" presName="hierChild5" presStyleCnt="0"/>
      <dgm:spPr/>
    </dgm:pt>
    <dgm:pt modelId="{B227FAF4-0D04-4D80-8D81-44FD4A222158}" type="pres">
      <dgm:prSet presAssocID="{0113DE95-0A0E-42C4-B8AB-7646BCA87492}" presName="Name37" presStyleLbl="parChTrans1D4" presStyleIdx="58" presStyleCnt="243"/>
      <dgm:spPr/>
    </dgm:pt>
    <dgm:pt modelId="{86832F7D-4C02-4508-B057-B422D0DD59A9}" type="pres">
      <dgm:prSet presAssocID="{62DBDDDE-002A-47B0-9F6E-092BF65CE2F8}" presName="hierRoot2" presStyleCnt="0">
        <dgm:presLayoutVars>
          <dgm:hierBranch val="init"/>
        </dgm:presLayoutVars>
      </dgm:prSet>
      <dgm:spPr/>
    </dgm:pt>
    <dgm:pt modelId="{9661C861-B257-49E0-98CE-FDB36900CEC5}" type="pres">
      <dgm:prSet presAssocID="{62DBDDDE-002A-47B0-9F6E-092BF65CE2F8}" presName="rootComposite" presStyleCnt="0"/>
      <dgm:spPr/>
    </dgm:pt>
    <dgm:pt modelId="{0EA95D05-731C-456A-A18E-C4AE6B2F71AF}" type="pres">
      <dgm:prSet presAssocID="{62DBDDDE-002A-47B0-9F6E-092BF65CE2F8}" presName="rootText" presStyleLbl="node4" presStyleIdx="58" presStyleCnt="243">
        <dgm:presLayoutVars>
          <dgm:chPref val="3"/>
        </dgm:presLayoutVars>
      </dgm:prSet>
      <dgm:spPr/>
    </dgm:pt>
    <dgm:pt modelId="{B51D8D65-25F6-437E-BF22-77A8D843DF25}" type="pres">
      <dgm:prSet presAssocID="{62DBDDDE-002A-47B0-9F6E-092BF65CE2F8}" presName="rootConnector" presStyleLbl="node4" presStyleIdx="58" presStyleCnt="243"/>
      <dgm:spPr/>
    </dgm:pt>
    <dgm:pt modelId="{F76026F2-5C2F-406A-B587-826AFF45D711}" type="pres">
      <dgm:prSet presAssocID="{62DBDDDE-002A-47B0-9F6E-092BF65CE2F8}" presName="hierChild4" presStyleCnt="0"/>
      <dgm:spPr/>
    </dgm:pt>
    <dgm:pt modelId="{4FAA9DAA-D36E-4D81-8481-C1A2CDECEA22}" type="pres">
      <dgm:prSet presAssocID="{62DBDDDE-002A-47B0-9F6E-092BF65CE2F8}" presName="hierChild5" presStyleCnt="0"/>
      <dgm:spPr/>
    </dgm:pt>
    <dgm:pt modelId="{41F99E82-E021-4737-AB63-D092CAF7495E}" type="pres">
      <dgm:prSet presAssocID="{93EBC4F5-D73D-4D57-995D-28EDD796952E}" presName="Name37" presStyleLbl="parChTrans1D4" presStyleIdx="59" presStyleCnt="243"/>
      <dgm:spPr/>
    </dgm:pt>
    <dgm:pt modelId="{0908F2C8-E887-41A2-B668-4935FF7528FE}" type="pres">
      <dgm:prSet presAssocID="{67D035AA-9A29-45B5-BC2E-54B9DB86CFC7}" presName="hierRoot2" presStyleCnt="0">
        <dgm:presLayoutVars>
          <dgm:hierBranch val="init"/>
        </dgm:presLayoutVars>
      </dgm:prSet>
      <dgm:spPr/>
    </dgm:pt>
    <dgm:pt modelId="{AA230654-3520-4E53-9F37-EDA8DAC61519}" type="pres">
      <dgm:prSet presAssocID="{67D035AA-9A29-45B5-BC2E-54B9DB86CFC7}" presName="rootComposite" presStyleCnt="0"/>
      <dgm:spPr/>
    </dgm:pt>
    <dgm:pt modelId="{5D0A83D7-241C-4529-B137-C9E9CED70E3B}" type="pres">
      <dgm:prSet presAssocID="{67D035AA-9A29-45B5-BC2E-54B9DB86CFC7}" presName="rootText" presStyleLbl="node4" presStyleIdx="59" presStyleCnt="243">
        <dgm:presLayoutVars>
          <dgm:chPref val="3"/>
        </dgm:presLayoutVars>
      </dgm:prSet>
      <dgm:spPr/>
    </dgm:pt>
    <dgm:pt modelId="{566C257E-B478-41EB-BBA4-06241786E542}" type="pres">
      <dgm:prSet presAssocID="{67D035AA-9A29-45B5-BC2E-54B9DB86CFC7}" presName="rootConnector" presStyleLbl="node4" presStyleIdx="59" presStyleCnt="243"/>
      <dgm:spPr/>
    </dgm:pt>
    <dgm:pt modelId="{D9EC80F7-4FCA-43E0-BAE8-1FD10554FF75}" type="pres">
      <dgm:prSet presAssocID="{67D035AA-9A29-45B5-BC2E-54B9DB86CFC7}" presName="hierChild4" presStyleCnt="0"/>
      <dgm:spPr/>
    </dgm:pt>
    <dgm:pt modelId="{2C292EFD-9D74-40B4-BE6D-2801CDD74915}" type="pres">
      <dgm:prSet presAssocID="{67D035AA-9A29-45B5-BC2E-54B9DB86CFC7}" presName="hierChild5" presStyleCnt="0"/>
      <dgm:spPr/>
    </dgm:pt>
    <dgm:pt modelId="{A34A684F-59BB-4D72-92B5-0E965C43C511}" type="pres">
      <dgm:prSet presAssocID="{54A3E45B-197D-4803-9D53-988457AAFE7D}" presName="hierChild5" presStyleCnt="0"/>
      <dgm:spPr/>
    </dgm:pt>
    <dgm:pt modelId="{62D401A5-C6C5-46F3-BD23-5EF5F023BE9E}" type="pres">
      <dgm:prSet presAssocID="{5C59B6F4-2ED7-40D1-84F9-6EBEC8259C80}" presName="Name37" presStyleLbl="parChTrans1D4" presStyleIdx="60" presStyleCnt="243"/>
      <dgm:spPr/>
    </dgm:pt>
    <dgm:pt modelId="{13479B68-3FAC-453D-A187-4B0BBF99D42A}" type="pres">
      <dgm:prSet presAssocID="{DDF6C6EA-A17F-4E38-9FF4-72B93A4C0D55}" presName="hierRoot2" presStyleCnt="0">
        <dgm:presLayoutVars>
          <dgm:hierBranch val="init"/>
        </dgm:presLayoutVars>
      </dgm:prSet>
      <dgm:spPr/>
    </dgm:pt>
    <dgm:pt modelId="{7731FE09-4A1C-4A27-B6EF-723EF62799F5}" type="pres">
      <dgm:prSet presAssocID="{DDF6C6EA-A17F-4E38-9FF4-72B93A4C0D55}" presName="rootComposite" presStyleCnt="0"/>
      <dgm:spPr/>
    </dgm:pt>
    <dgm:pt modelId="{54FCEB1D-23E3-4D95-8A6F-292A80CE3454}" type="pres">
      <dgm:prSet presAssocID="{DDF6C6EA-A17F-4E38-9FF4-72B93A4C0D55}" presName="rootText" presStyleLbl="node4" presStyleIdx="60" presStyleCnt="243">
        <dgm:presLayoutVars>
          <dgm:chPref val="3"/>
        </dgm:presLayoutVars>
      </dgm:prSet>
      <dgm:spPr/>
    </dgm:pt>
    <dgm:pt modelId="{88032EC3-0EE7-47AF-A32D-21B9D836A3E4}" type="pres">
      <dgm:prSet presAssocID="{DDF6C6EA-A17F-4E38-9FF4-72B93A4C0D55}" presName="rootConnector" presStyleLbl="node4" presStyleIdx="60" presStyleCnt="243"/>
      <dgm:spPr/>
    </dgm:pt>
    <dgm:pt modelId="{0BB0904C-B0C3-458D-B9D2-CF82D52C350A}" type="pres">
      <dgm:prSet presAssocID="{DDF6C6EA-A17F-4E38-9FF4-72B93A4C0D55}" presName="hierChild4" presStyleCnt="0"/>
      <dgm:spPr/>
    </dgm:pt>
    <dgm:pt modelId="{A42D5B0D-4616-4379-9F89-8C593BF45A29}" type="pres">
      <dgm:prSet presAssocID="{1FFD6337-FD68-4EE7-AE48-BEE65FDB5F87}" presName="Name37" presStyleLbl="parChTrans1D4" presStyleIdx="61" presStyleCnt="243"/>
      <dgm:spPr/>
    </dgm:pt>
    <dgm:pt modelId="{0888050D-252D-4F2D-9345-3A0394493DC6}" type="pres">
      <dgm:prSet presAssocID="{CB046B06-6760-455D-B5B3-0932F6F70811}" presName="hierRoot2" presStyleCnt="0">
        <dgm:presLayoutVars>
          <dgm:hierBranch val="init"/>
        </dgm:presLayoutVars>
      </dgm:prSet>
      <dgm:spPr/>
    </dgm:pt>
    <dgm:pt modelId="{CFF818D2-EA2D-4F55-A7F5-022F68066A41}" type="pres">
      <dgm:prSet presAssocID="{CB046B06-6760-455D-B5B3-0932F6F70811}" presName="rootComposite" presStyleCnt="0"/>
      <dgm:spPr/>
    </dgm:pt>
    <dgm:pt modelId="{5461838E-4AAE-4F72-AE50-A34407FA06FC}" type="pres">
      <dgm:prSet presAssocID="{CB046B06-6760-455D-B5B3-0932F6F70811}" presName="rootText" presStyleLbl="node4" presStyleIdx="61" presStyleCnt="243">
        <dgm:presLayoutVars>
          <dgm:chPref val="3"/>
        </dgm:presLayoutVars>
      </dgm:prSet>
      <dgm:spPr/>
    </dgm:pt>
    <dgm:pt modelId="{BE46C11F-9DFF-41E8-A1E9-D83259D2553D}" type="pres">
      <dgm:prSet presAssocID="{CB046B06-6760-455D-B5B3-0932F6F70811}" presName="rootConnector" presStyleLbl="node4" presStyleIdx="61" presStyleCnt="243"/>
      <dgm:spPr/>
    </dgm:pt>
    <dgm:pt modelId="{76772B13-18D7-41EF-B741-0B3819D3DF47}" type="pres">
      <dgm:prSet presAssocID="{CB046B06-6760-455D-B5B3-0932F6F70811}" presName="hierChild4" presStyleCnt="0"/>
      <dgm:spPr/>
    </dgm:pt>
    <dgm:pt modelId="{806BB77E-ADD2-4C4D-B480-4396497A8EB7}" type="pres">
      <dgm:prSet presAssocID="{CB046B06-6760-455D-B5B3-0932F6F70811}" presName="hierChild5" presStyleCnt="0"/>
      <dgm:spPr/>
    </dgm:pt>
    <dgm:pt modelId="{750F749C-55CC-4D6D-ACC8-894C7EC91FF9}" type="pres">
      <dgm:prSet presAssocID="{DC58D234-E519-4CC7-8E14-19EC381646B6}" presName="Name37" presStyleLbl="parChTrans1D4" presStyleIdx="62" presStyleCnt="243"/>
      <dgm:spPr/>
    </dgm:pt>
    <dgm:pt modelId="{20744A69-9819-471F-812E-4287AEB9AD6D}" type="pres">
      <dgm:prSet presAssocID="{A01FD5DA-4F75-4485-B40E-BF3BB4A7C9FA}" presName="hierRoot2" presStyleCnt="0">
        <dgm:presLayoutVars>
          <dgm:hierBranch val="init"/>
        </dgm:presLayoutVars>
      </dgm:prSet>
      <dgm:spPr/>
    </dgm:pt>
    <dgm:pt modelId="{38EA886A-F85E-465C-993E-FE6FB4997700}" type="pres">
      <dgm:prSet presAssocID="{A01FD5DA-4F75-4485-B40E-BF3BB4A7C9FA}" presName="rootComposite" presStyleCnt="0"/>
      <dgm:spPr/>
    </dgm:pt>
    <dgm:pt modelId="{87FA8020-DE3B-4014-A44C-4FEC5266F220}" type="pres">
      <dgm:prSet presAssocID="{A01FD5DA-4F75-4485-B40E-BF3BB4A7C9FA}" presName="rootText" presStyleLbl="node4" presStyleIdx="62" presStyleCnt="243">
        <dgm:presLayoutVars>
          <dgm:chPref val="3"/>
        </dgm:presLayoutVars>
      </dgm:prSet>
      <dgm:spPr/>
    </dgm:pt>
    <dgm:pt modelId="{6152516E-AA55-49AF-A11D-AC49DBDF67F5}" type="pres">
      <dgm:prSet presAssocID="{A01FD5DA-4F75-4485-B40E-BF3BB4A7C9FA}" presName="rootConnector" presStyleLbl="node4" presStyleIdx="62" presStyleCnt="243"/>
      <dgm:spPr/>
    </dgm:pt>
    <dgm:pt modelId="{03A99FEC-9A47-4FB7-955C-F923FE166481}" type="pres">
      <dgm:prSet presAssocID="{A01FD5DA-4F75-4485-B40E-BF3BB4A7C9FA}" presName="hierChild4" presStyleCnt="0"/>
      <dgm:spPr/>
    </dgm:pt>
    <dgm:pt modelId="{2468E913-0664-4BD7-B2B7-EB0EF065A907}" type="pres">
      <dgm:prSet presAssocID="{A01FD5DA-4F75-4485-B40E-BF3BB4A7C9FA}" presName="hierChild5" presStyleCnt="0"/>
      <dgm:spPr/>
    </dgm:pt>
    <dgm:pt modelId="{0B5FE356-8F7F-430C-917A-0F6C6A40284F}" type="pres">
      <dgm:prSet presAssocID="{DDF6C6EA-A17F-4E38-9FF4-72B93A4C0D55}" presName="hierChild5" presStyleCnt="0"/>
      <dgm:spPr/>
    </dgm:pt>
    <dgm:pt modelId="{5CA5565C-5280-483F-8356-4CF5E420EFD3}" type="pres">
      <dgm:prSet presAssocID="{B2F16794-742C-452A-988E-E3C762692148}" presName="Name37" presStyleLbl="parChTrans1D4" presStyleIdx="63" presStyleCnt="243"/>
      <dgm:spPr/>
    </dgm:pt>
    <dgm:pt modelId="{62D18757-4F1B-4429-BFC1-D27360471FB1}" type="pres">
      <dgm:prSet presAssocID="{783D575E-D60D-46E5-9E00-175027F47FEC}" presName="hierRoot2" presStyleCnt="0">
        <dgm:presLayoutVars>
          <dgm:hierBranch val="init"/>
        </dgm:presLayoutVars>
      </dgm:prSet>
      <dgm:spPr/>
    </dgm:pt>
    <dgm:pt modelId="{6C19B7BC-3495-4799-B77B-5E1BA571FF0B}" type="pres">
      <dgm:prSet presAssocID="{783D575E-D60D-46E5-9E00-175027F47FEC}" presName="rootComposite" presStyleCnt="0"/>
      <dgm:spPr/>
    </dgm:pt>
    <dgm:pt modelId="{E9E86EF2-8FF2-40F8-A575-C8E722C5D611}" type="pres">
      <dgm:prSet presAssocID="{783D575E-D60D-46E5-9E00-175027F47FEC}" presName="rootText" presStyleLbl="node4" presStyleIdx="63" presStyleCnt="243">
        <dgm:presLayoutVars>
          <dgm:chPref val="3"/>
        </dgm:presLayoutVars>
      </dgm:prSet>
      <dgm:spPr/>
    </dgm:pt>
    <dgm:pt modelId="{1D5E974D-B0EA-4BB5-BF27-AEF529733DDC}" type="pres">
      <dgm:prSet presAssocID="{783D575E-D60D-46E5-9E00-175027F47FEC}" presName="rootConnector" presStyleLbl="node4" presStyleIdx="63" presStyleCnt="243"/>
      <dgm:spPr/>
    </dgm:pt>
    <dgm:pt modelId="{AE917B78-3857-4B3C-8136-B9FFA5089A9A}" type="pres">
      <dgm:prSet presAssocID="{783D575E-D60D-46E5-9E00-175027F47FEC}" presName="hierChild4" presStyleCnt="0"/>
      <dgm:spPr/>
    </dgm:pt>
    <dgm:pt modelId="{775E7F50-CA3B-4B94-9C84-D30C0EFA147D}" type="pres">
      <dgm:prSet presAssocID="{583B2D27-C9D7-4735-BF30-88E58FAE0151}" presName="Name37" presStyleLbl="parChTrans1D4" presStyleIdx="64" presStyleCnt="243"/>
      <dgm:spPr/>
    </dgm:pt>
    <dgm:pt modelId="{3EA7EF5C-C7EE-4DF9-AF26-98BBBC9FAB1D}" type="pres">
      <dgm:prSet presAssocID="{E195324A-4000-470B-80FB-2FFFFE8D9E6A}" presName="hierRoot2" presStyleCnt="0">
        <dgm:presLayoutVars>
          <dgm:hierBranch val="init"/>
        </dgm:presLayoutVars>
      </dgm:prSet>
      <dgm:spPr/>
    </dgm:pt>
    <dgm:pt modelId="{4EAFC577-4B92-4DEA-AD99-016E2FA1436A}" type="pres">
      <dgm:prSet presAssocID="{E195324A-4000-470B-80FB-2FFFFE8D9E6A}" presName="rootComposite" presStyleCnt="0"/>
      <dgm:spPr/>
    </dgm:pt>
    <dgm:pt modelId="{678D9895-FFDA-4276-AF1F-B8CB4AF89043}" type="pres">
      <dgm:prSet presAssocID="{E195324A-4000-470B-80FB-2FFFFE8D9E6A}" presName="rootText" presStyleLbl="node4" presStyleIdx="64" presStyleCnt="243">
        <dgm:presLayoutVars>
          <dgm:chPref val="3"/>
        </dgm:presLayoutVars>
      </dgm:prSet>
      <dgm:spPr/>
    </dgm:pt>
    <dgm:pt modelId="{B9C954F7-49FD-4C32-A944-C8FAA1E2F518}" type="pres">
      <dgm:prSet presAssocID="{E195324A-4000-470B-80FB-2FFFFE8D9E6A}" presName="rootConnector" presStyleLbl="node4" presStyleIdx="64" presStyleCnt="243"/>
      <dgm:spPr/>
    </dgm:pt>
    <dgm:pt modelId="{7364E634-0F17-4099-BD08-DBDA70939E9B}" type="pres">
      <dgm:prSet presAssocID="{E195324A-4000-470B-80FB-2FFFFE8D9E6A}" presName="hierChild4" presStyleCnt="0"/>
      <dgm:spPr/>
    </dgm:pt>
    <dgm:pt modelId="{4E93B32F-D20A-4C05-9625-D91A905630D1}" type="pres">
      <dgm:prSet presAssocID="{E195324A-4000-470B-80FB-2FFFFE8D9E6A}" presName="hierChild5" presStyleCnt="0"/>
      <dgm:spPr/>
    </dgm:pt>
    <dgm:pt modelId="{9C7E90BD-7613-4B3B-9837-11EE51C0FA75}" type="pres">
      <dgm:prSet presAssocID="{353E3CE9-40F6-447F-B9B5-DD5A888D8E6B}" presName="Name37" presStyleLbl="parChTrans1D4" presStyleIdx="65" presStyleCnt="243"/>
      <dgm:spPr/>
    </dgm:pt>
    <dgm:pt modelId="{EBEF8693-A5DF-43A8-9DF4-52614632E4C1}" type="pres">
      <dgm:prSet presAssocID="{CA118DFD-D54C-4689-B6AC-B82B01E04B1F}" presName="hierRoot2" presStyleCnt="0">
        <dgm:presLayoutVars>
          <dgm:hierBranch val="init"/>
        </dgm:presLayoutVars>
      </dgm:prSet>
      <dgm:spPr/>
    </dgm:pt>
    <dgm:pt modelId="{ABC35D0D-7603-4576-88C5-A0174C6FA1B6}" type="pres">
      <dgm:prSet presAssocID="{CA118DFD-D54C-4689-B6AC-B82B01E04B1F}" presName="rootComposite" presStyleCnt="0"/>
      <dgm:spPr/>
    </dgm:pt>
    <dgm:pt modelId="{1243D1D1-6CE8-4072-BAF5-D5616BE29114}" type="pres">
      <dgm:prSet presAssocID="{CA118DFD-D54C-4689-B6AC-B82B01E04B1F}" presName="rootText" presStyleLbl="node4" presStyleIdx="65" presStyleCnt="243">
        <dgm:presLayoutVars>
          <dgm:chPref val="3"/>
        </dgm:presLayoutVars>
      </dgm:prSet>
      <dgm:spPr/>
    </dgm:pt>
    <dgm:pt modelId="{3A008665-29E4-43EA-A168-045EB68552AC}" type="pres">
      <dgm:prSet presAssocID="{CA118DFD-D54C-4689-B6AC-B82B01E04B1F}" presName="rootConnector" presStyleLbl="node4" presStyleIdx="65" presStyleCnt="243"/>
      <dgm:spPr/>
    </dgm:pt>
    <dgm:pt modelId="{DF95210B-C047-4AC1-8600-B4346613061A}" type="pres">
      <dgm:prSet presAssocID="{CA118DFD-D54C-4689-B6AC-B82B01E04B1F}" presName="hierChild4" presStyleCnt="0"/>
      <dgm:spPr/>
    </dgm:pt>
    <dgm:pt modelId="{5A887631-C9AE-41F6-B3A0-A3995F3B8D18}" type="pres">
      <dgm:prSet presAssocID="{CA118DFD-D54C-4689-B6AC-B82B01E04B1F}" presName="hierChild5" presStyleCnt="0"/>
      <dgm:spPr/>
    </dgm:pt>
    <dgm:pt modelId="{FB11DE67-C356-4FCA-842C-EAA37FBBB604}" type="pres">
      <dgm:prSet presAssocID="{783D575E-D60D-46E5-9E00-175027F47FEC}" presName="hierChild5" presStyleCnt="0"/>
      <dgm:spPr/>
    </dgm:pt>
    <dgm:pt modelId="{4EB54188-3B2B-453E-8C4A-DE92730EB48E}" type="pres">
      <dgm:prSet presAssocID="{22EA02FD-51DA-4753-8A07-BC868D05D656}" presName="Name37" presStyleLbl="parChTrans1D4" presStyleIdx="66" presStyleCnt="243"/>
      <dgm:spPr/>
    </dgm:pt>
    <dgm:pt modelId="{8DD8C097-4D27-47C5-AFAA-22AB2E8F7382}" type="pres">
      <dgm:prSet presAssocID="{65D3F9C9-8ACE-4C36-856C-AD4ACE70282A}" presName="hierRoot2" presStyleCnt="0">
        <dgm:presLayoutVars>
          <dgm:hierBranch val="init"/>
        </dgm:presLayoutVars>
      </dgm:prSet>
      <dgm:spPr/>
    </dgm:pt>
    <dgm:pt modelId="{4131E635-7589-4D80-8F80-A8A0B5DF9757}" type="pres">
      <dgm:prSet presAssocID="{65D3F9C9-8ACE-4C36-856C-AD4ACE70282A}" presName="rootComposite" presStyleCnt="0"/>
      <dgm:spPr/>
    </dgm:pt>
    <dgm:pt modelId="{00414A84-BE3F-419D-86C3-0CBBCB77744F}" type="pres">
      <dgm:prSet presAssocID="{65D3F9C9-8ACE-4C36-856C-AD4ACE70282A}" presName="rootText" presStyleLbl="node4" presStyleIdx="66" presStyleCnt="243">
        <dgm:presLayoutVars>
          <dgm:chPref val="3"/>
        </dgm:presLayoutVars>
      </dgm:prSet>
      <dgm:spPr/>
    </dgm:pt>
    <dgm:pt modelId="{0E4B98E5-DD0E-424B-943C-426CCE8BD4D9}" type="pres">
      <dgm:prSet presAssocID="{65D3F9C9-8ACE-4C36-856C-AD4ACE70282A}" presName="rootConnector" presStyleLbl="node4" presStyleIdx="66" presStyleCnt="243"/>
      <dgm:spPr/>
    </dgm:pt>
    <dgm:pt modelId="{B0D4D67C-8B61-4F86-A1F2-C57052F69FE7}" type="pres">
      <dgm:prSet presAssocID="{65D3F9C9-8ACE-4C36-856C-AD4ACE70282A}" presName="hierChild4" presStyleCnt="0"/>
      <dgm:spPr/>
    </dgm:pt>
    <dgm:pt modelId="{9CB05F5B-76C9-4CE5-A9D3-0618181936B6}" type="pres">
      <dgm:prSet presAssocID="{65D3F9C9-8ACE-4C36-856C-AD4ACE70282A}" presName="hierChild5" presStyleCnt="0"/>
      <dgm:spPr/>
    </dgm:pt>
    <dgm:pt modelId="{C19435FF-988B-465B-85C1-27AEB3EABA5A}" type="pres">
      <dgm:prSet presAssocID="{3941D30F-7A48-47DE-A068-4F3543927452}" presName="Name37" presStyleLbl="parChTrans1D4" presStyleIdx="67" presStyleCnt="243"/>
      <dgm:spPr/>
    </dgm:pt>
    <dgm:pt modelId="{DA8E0214-9DC3-4345-85C9-7AED108765AD}" type="pres">
      <dgm:prSet presAssocID="{1335BBCF-8E8D-42C6-B619-071D35BDD3FC}" presName="hierRoot2" presStyleCnt="0">
        <dgm:presLayoutVars>
          <dgm:hierBranch val="init"/>
        </dgm:presLayoutVars>
      </dgm:prSet>
      <dgm:spPr/>
    </dgm:pt>
    <dgm:pt modelId="{405E8A65-204B-4676-A9BA-B853BBF8EFB2}" type="pres">
      <dgm:prSet presAssocID="{1335BBCF-8E8D-42C6-B619-071D35BDD3FC}" presName="rootComposite" presStyleCnt="0"/>
      <dgm:spPr/>
    </dgm:pt>
    <dgm:pt modelId="{2C1A7F41-62FD-4C3B-B8A5-AAEB4601BB61}" type="pres">
      <dgm:prSet presAssocID="{1335BBCF-8E8D-42C6-B619-071D35BDD3FC}" presName="rootText" presStyleLbl="node4" presStyleIdx="67" presStyleCnt="243">
        <dgm:presLayoutVars>
          <dgm:chPref val="3"/>
        </dgm:presLayoutVars>
      </dgm:prSet>
      <dgm:spPr/>
    </dgm:pt>
    <dgm:pt modelId="{24DB60C8-6439-40D5-9713-A6319E937FC5}" type="pres">
      <dgm:prSet presAssocID="{1335BBCF-8E8D-42C6-B619-071D35BDD3FC}" presName="rootConnector" presStyleLbl="node4" presStyleIdx="67" presStyleCnt="243"/>
      <dgm:spPr/>
    </dgm:pt>
    <dgm:pt modelId="{BCF540FC-36C7-4EDB-9214-1F66FD9D9684}" type="pres">
      <dgm:prSet presAssocID="{1335BBCF-8E8D-42C6-B619-071D35BDD3FC}" presName="hierChild4" presStyleCnt="0"/>
      <dgm:spPr/>
    </dgm:pt>
    <dgm:pt modelId="{8FC63FCD-A146-4255-91B4-B158CE68F7C8}" type="pres">
      <dgm:prSet presAssocID="{BD4E4A7D-0761-4D5C-91B2-36EA73AB663F}" presName="Name37" presStyleLbl="parChTrans1D4" presStyleIdx="68" presStyleCnt="243"/>
      <dgm:spPr/>
    </dgm:pt>
    <dgm:pt modelId="{51F1E7D6-5480-4E11-9788-DF3B1D73D632}" type="pres">
      <dgm:prSet presAssocID="{CD941BBE-ED6F-4484-80C4-9B7ED8F9D1D1}" presName="hierRoot2" presStyleCnt="0">
        <dgm:presLayoutVars>
          <dgm:hierBranch val="init"/>
        </dgm:presLayoutVars>
      </dgm:prSet>
      <dgm:spPr/>
    </dgm:pt>
    <dgm:pt modelId="{DBEE8274-0EB6-4E7C-A05E-3ADC6BC93C0B}" type="pres">
      <dgm:prSet presAssocID="{CD941BBE-ED6F-4484-80C4-9B7ED8F9D1D1}" presName="rootComposite" presStyleCnt="0"/>
      <dgm:spPr/>
    </dgm:pt>
    <dgm:pt modelId="{E7736C80-1CCB-4CBB-9403-8C1092E7241B}" type="pres">
      <dgm:prSet presAssocID="{CD941BBE-ED6F-4484-80C4-9B7ED8F9D1D1}" presName="rootText" presStyleLbl="node4" presStyleIdx="68" presStyleCnt="243">
        <dgm:presLayoutVars>
          <dgm:chPref val="3"/>
        </dgm:presLayoutVars>
      </dgm:prSet>
      <dgm:spPr/>
    </dgm:pt>
    <dgm:pt modelId="{9B27327E-5F44-463F-B37B-6B62F719F8DD}" type="pres">
      <dgm:prSet presAssocID="{CD941BBE-ED6F-4484-80C4-9B7ED8F9D1D1}" presName="rootConnector" presStyleLbl="node4" presStyleIdx="68" presStyleCnt="243"/>
      <dgm:spPr/>
    </dgm:pt>
    <dgm:pt modelId="{9369E3AA-DF3C-4BB4-BC48-040032FA1C19}" type="pres">
      <dgm:prSet presAssocID="{CD941BBE-ED6F-4484-80C4-9B7ED8F9D1D1}" presName="hierChild4" presStyleCnt="0"/>
      <dgm:spPr/>
    </dgm:pt>
    <dgm:pt modelId="{BDE3973B-C718-4ACF-AEEA-0E6CAD2548F2}" type="pres">
      <dgm:prSet presAssocID="{CD941BBE-ED6F-4484-80C4-9B7ED8F9D1D1}" presName="hierChild5" presStyleCnt="0"/>
      <dgm:spPr/>
    </dgm:pt>
    <dgm:pt modelId="{8F716452-68A5-4EBA-9E68-A00F368A2593}" type="pres">
      <dgm:prSet presAssocID="{0D1CBB38-7F92-41BA-9FCA-95CD49A8E1EC}" presName="Name37" presStyleLbl="parChTrans1D4" presStyleIdx="69" presStyleCnt="243"/>
      <dgm:spPr/>
    </dgm:pt>
    <dgm:pt modelId="{27DD8EBB-F2CB-4ECD-A69A-E0AA8618B12F}" type="pres">
      <dgm:prSet presAssocID="{2017E836-4C29-406F-BBC0-5D59708D1C19}" presName="hierRoot2" presStyleCnt="0">
        <dgm:presLayoutVars>
          <dgm:hierBranch val="init"/>
        </dgm:presLayoutVars>
      </dgm:prSet>
      <dgm:spPr/>
    </dgm:pt>
    <dgm:pt modelId="{634329F9-E233-4EF5-B19A-B710485539E7}" type="pres">
      <dgm:prSet presAssocID="{2017E836-4C29-406F-BBC0-5D59708D1C19}" presName="rootComposite" presStyleCnt="0"/>
      <dgm:spPr/>
    </dgm:pt>
    <dgm:pt modelId="{1CF66548-87FD-4ACD-899B-BA01808BB437}" type="pres">
      <dgm:prSet presAssocID="{2017E836-4C29-406F-BBC0-5D59708D1C19}" presName="rootText" presStyleLbl="node4" presStyleIdx="69" presStyleCnt="243">
        <dgm:presLayoutVars>
          <dgm:chPref val="3"/>
        </dgm:presLayoutVars>
      </dgm:prSet>
      <dgm:spPr/>
    </dgm:pt>
    <dgm:pt modelId="{1C655F7C-E196-48C0-94FD-81E58A939B9B}" type="pres">
      <dgm:prSet presAssocID="{2017E836-4C29-406F-BBC0-5D59708D1C19}" presName="rootConnector" presStyleLbl="node4" presStyleIdx="69" presStyleCnt="243"/>
      <dgm:spPr/>
    </dgm:pt>
    <dgm:pt modelId="{D176361D-A485-4A70-B7B2-00652B62C3C0}" type="pres">
      <dgm:prSet presAssocID="{2017E836-4C29-406F-BBC0-5D59708D1C19}" presName="hierChild4" presStyleCnt="0"/>
      <dgm:spPr/>
    </dgm:pt>
    <dgm:pt modelId="{1C8E6F50-1000-47DC-8F01-46152B62837C}" type="pres">
      <dgm:prSet presAssocID="{2017E836-4C29-406F-BBC0-5D59708D1C19}" presName="hierChild5" presStyleCnt="0"/>
      <dgm:spPr/>
    </dgm:pt>
    <dgm:pt modelId="{845A6BF7-567E-45C1-83E8-5CDEBFDB50DC}" type="pres">
      <dgm:prSet presAssocID="{C050A6A5-7AD5-4ED2-A84F-78A646BF2A7A}" presName="Name37" presStyleLbl="parChTrans1D4" presStyleIdx="70" presStyleCnt="243"/>
      <dgm:spPr/>
    </dgm:pt>
    <dgm:pt modelId="{B02C7C24-DD5A-460D-B386-6FD318E4220E}" type="pres">
      <dgm:prSet presAssocID="{97EB310D-25B9-4879-AB93-C462D26CD9B4}" presName="hierRoot2" presStyleCnt="0">
        <dgm:presLayoutVars>
          <dgm:hierBranch val="init"/>
        </dgm:presLayoutVars>
      </dgm:prSet>
      <dgm:spPr/>
    </dgm:pt>
    <dgm:pt modelId="{09987E14-6581-4BEF-8C12-C242E0E5546C}" type="pres">
      <dgm:prSet presAssocID="{97EB310D-25B9-4879-AB93-C462D26CD9B4}" presName="rootComposite" presStyleCnt="0"/>
      <dgm:spPr/>
    </dgm:pt>
    <dgm:pt modelId="{C2D54325-2494-4482-BD61-36C75228C61C}" type="pres">
      <dgm:prSet presAssocID="{97EB310D-25B9-4879-AB93-C462D26CD9B4}" presName="rootText" presStyleLbl="node4" presStyleIdx="70" presStyleCnt="243">
        <dgm:presLayoutVars>
          <dgm:chPref val="3"/>
        </dgm:presLayoutVars>
      </dgm:prSet>
      <dgm:spPr/>
    </dgm:pt>
    <dgm:pt modelId="{B5BEF0E8-B297-480F-BD3F-60C9A8748FE6}" type="pres">
      <dgm:prSet presAssocID="{97EB310D-25B9-4879-AB93-C462D26CD9B4}" presName="rootConnector" presStyleLbl="node4" presStyleIdx="70" presStyleCnt="243"/>
      <dgm:spPr/>
    </dgm:pt>
    <dgm:pt modelId="{0330A2BB-B79B-4356-BA4C-85A98E44AFCD}" type="pres">
      <dgm:prSet presAssocID="{97EB310D-25B9-4879-AB93-C462D26CD9B4}" presName="hierChild4" presStyleCnt="0"/>
      <dgm:spPr/>
    </dgm:pt>
    <dgm:pt modelId="{2A7FD4B3-10F1-4814-A6CA-D8EEF243FC51}" type="pres">
      <dgm:prSet presAssocID="{97EB310D-25B9-4879-AB93-C462D26CD9B4}" presName="hierChild5" presStyleCnt="0"/>
      <dgm:spPr/>
    </dgm:pt>
    <dgm:pt modelId="{B1A45956-E2B3-47B9-AB45-0E3D01DF6EDD}" type="pres">
      <dgm:prSet presAssocID="{438C64B7-74FF-466F-998E-55F0A1D92961}" presName="Name37" presStyleLbl="parChTrans1D4" presStyleIdx="71" presStyleCnt="243"/>
      <dgm:spPr/>
    </dgm:pt>
    <dgm:pt modelId="{5CA1873F-EBB3-4CE7-9C8A-9CA3171B05D0}" type="pres">
      <dgm:prSet presAssocID="{266B2208-CD93-4175-A5D1-E0B77C227719}" presName="hierRoot2" presStyleCnt="0">
        <dgm:presLayoutVars>
          <dgm:hierBranch val="init"/>
        </dgm:presLayoutVars>
      </dgm:prSet>
      <dgm:spPr/>
    </dgm:pt>
    <dgm:pt modelId="{5D916CBA-74D8-41BB-AFA2-E4D43A44FC3B}" type="pres">
      <dgm:prSet presAssocID="{266B2208-CD93-4175-A5D1-E0B77C227719}" presName="rootComposite" presStyleCnt="0"/>
      <dgm:spPr/>
    </dgm:pt>
    <dgm:pt modelId="{56DB4668-946F-4A5A-957C-5E151A790B6E}" type="pres">
      <dgm:prSet presAssocID="{266B2208-CD93-4175-A5D1-E0B77C227719}" presName="rootText" presStyleLbl="node4" presStyleIdx="71" presStyleCnt="243">
        <dgm:presLayoutVars>
          <dgm:chPref val="3"/>
        </dgm:presLayoutVars>
      </dgm:prSet>
      <dgm:spPr/>
    </dgm:pt>
    <dgm:pt modelId="{A160E3EA-D3F2-4F53-A652-419106C403C8}" type="pres">
      <dgm:prSet presAssocID="{266B2208-CD93-4175-A5D1-E0B77C227719}" presName="rootConnector" presStyleLbl="node4" presStyleIdx="71" presStyleCnt="243"/>
      <dgm:spPr/>
    </dgm:pt>
    <dgm:pt modelId="{8650F676-13A3-453E-9AD8-474F36E5D156}" type="pres">
      <dgm:prSet presAssocID="{266B2208-CD93-4175-A5D1-E0B77C227719}" presName="hierChild4" presStyleCnt="0"/>
      <dgm:spPr/>
    </dgm:pt>
    <dgm:pt modelId="{34260EB5-4B0B-476A-AE6B-C1FBA569C700}" type="pres">
      <dgm:prSet presAssocID="{266B2208-CD93-4175-A5D1-E0B77C227719}" presName="hierChild5" presStyleCnt="0"/>
      <dgm:spPr/>
    </dgm:pt>
    <dgm:pt modelId="{50570C70-5D6A-428E-B81A-9F5DB587CF4E}" type="pres">
      <dgm:prSet presAssocID="{231A9114-EDDC-49B1-9E36-4061AC701AA8}" presName="Name37" presStyleLbl="parChTrans1D4" presStyleIdx="72" presStyleCnt="243"/>
      <dgm:spPr/>
    </dgm:pt>
    <dgm:pt modelId="{13B44612-FF52-4BA3-8777-C9108B0C838B}" type="pres">
      <dgm:prSet presAssocID="{5ADA30E8-8214-492C-8520-D10371E61389}" presName="hierRoot2" presStyleCnt="0">
        <dgm:presLayoutVars>
          <dgm:hierBranch val="init"/>
        </dgm:presLayoutVars>
      </dgm:prSet>
      <dgm:spPr/>
    </dgm:pt>
    <dgm:pt modelId="{A59D335F-D116-416B-BE90-13A73637A6AF}" type="pres">
      <dgm:prSet presAssocID="{5ADA30E8-8214-492C-8520-D10371E61389}" presName="rootComposite" presStyleCnt="0"/>
      <dgm:spPr/>
    </dgm:pt>
    <dgm:pt modelId="{16C1F812-4891-4D2F-BED7-F1A084D6BFBA}" type="pres">
      <dgm:prSet presAssocID="{5ADA30E8-8214-492C-8520-D10371E61389}" presName="rootText" presStyleLbl="node4" presStyleIdx="72" presStyleCnt="243">
        <dgm:presLayoutVars>
          <dgm:chPref val="3"/>
        </dgm:presLayoutVars>
      </dgm:prSet>
      <dgm:spPr/>
    </dgm:pt>
    <dgm:pt modelId="{E719253F-CDAB-4E48-970E-1A0643CDB767}" type="pres">
      <dgm:prSet presAssocID="{5ADA30E8-8214-492C-8520-D10371E61389}" presName="rootConnector" presStyleLbl="node4" presStyleIdx="72" presStyleCnt="243"/>
      <dgm:spPr/>
    </dgm:pt>
    <dgm:pt modelId="{485F957A-FB58-4588-B16C-83B816D5C5A5}" type="pres">
      <dgm:prSet presAssocID="{5ADA30E8-8214-492C-8520-D10371E61389}" presName="hierChild4" presStyleCnt="0"/>
      <dgm:spPr/>
    </dgm:pt>
    <dgm:pt modelId="{FEE8B12C-2D81-4120-A104-C8CA18F75094}" type="pres">
      <dgm:prSet presAssocID="{5ADA30E8-8214-492C-8520-D10371E61389}" presName="hierChild5" presStyleCnt="0"/>
      <dgm:spPr/>
    </dgm:pt>
    <dgm:pt modelId="{F0E705CE-3B6B-4E1B-A235-F74A7358B414}" type="pres">
      <dgm:prSet presAssocID="{8134F0FC-4D76-4D4C-BE10-0DE4B24B98D6}" presName="Name37" presStyleLbl="parChTrans1D4" presStyleIdx="73" presStyleCnt="243"/>
      <dgm:spPr/>
    </dgm:pt>
    <dgm:pt modelId="{4CD2A775-5B0D-4541-8358-534D0B9AB688}" type="pres">
      <dgm:prSet presAssocID="{5B698CD0-A9F7-4761-99CC-5848B867E308}" presName="hierRoot2" presStyleCnt="0">
        <dgm:presLayoutVars>
          <dgm:hierBranch val="init"/>
        </dgm:presLayoutVars>
      </dgm:prSet>
      <dgm:spPr/>
    </dgm:pt>
    <dgm:pt modelId="{14662415-E902-4D26-8A70-D5B9DC25AC13}" type="pres">
      <dgm:prSet presAssocID="{5B698CD0-A9F7-4761-99CC-5848B867E308}" presName="rootComposite" presStyleCnt="0"/>
      <dgm:spPr/>
    </dgm:pt>
    <dgm:pt modelId="{58487AF8-4202-4BD0-B2AC-22885F83C43F}" type="pres">
      <dgm:prSet presAssocID="{5B698CD0-A9F7-4761-99CC-5848B867E308}" presName="rootText" presStyleLbl="node4" presStyleIdx="73" presStyleCnt="243">
        <dgm:presLayoutVars>
          <dgm:chPref val="3"/>
        </dgm:presLayoutVars>
      </dgm:prSet>
      <dgm:spPr/>
    </dgm:pt>
    <dgm:pt modelId="{0BDD33FD-D2CD-4AF4-8A5E-294D129597AD}" type="pres">
      <dgm:prSet presAssocID="{5B698CD0-A9F7-4761-99CC-5848B867E308}" presName="rootConnector" presStyleLbl="node4" presStyleIdx="73" presStyleCnt="243"/>
      <dgm:spPr/>
    </dgm:pt>
    <dgm:pt modelId="{BC308358-B2E3-4E48-8F49-AB6E1D6F708B}" type="pres">
      <dgm:prSet presAssocID="{5B698CD0-A9F7-4761-99CC-5848B867E308}" presName="hierChild4" presStyleCnt="0"/>
      <dgm:spPr/>
    </dgm:pt>
    <dgm:pt modelId="{A088C0B8-B87C-4ADC-84B3-672FAF1EDB02}" type="pres">
      <dgm:prSet presAssocID="{5B698CD0-A9F7-4761-99CC-5848B867E308}" presName="hierChild5" presStyleCnt="0"/>
      <dgm:spPr/>
    </dgm:pt>
    <dgm:pt modelId="{3E90A9AC-02A3-481E-B813-8AAB7255C8B5}" type="pres">
      <dgm:prSet presAssocID="{46E7F7F7-F7A1-400D-A653-C18CD0C954B7}" presName="Name37" presStyleLbl="parChTrans1D4" presStyleIdx="74" presStyleCnt="243"/>
      <dgm:spPr/>
    </dgm:pt>
    <dgm:pt modelId="{4C360212-8F6A-4810-8D0D-7A7DD2B1AF73}" type="pres">
      <dgm:prSet presAssocID="{5E2610D4-FA93-40B7-AF49-36310863B632}" presName="hierRoot2" presStyleCnt="0">
        <dgm:presLayoutVars>
          <dgm:hierBranch val="init"/>
        </dgm:presLayoutVars>
      </dgm:prSet>
      <dgm:spPr/>
    </dgm:pt>
    <dgm:pt modelId="{277C1EA9-E448-416E-8516-777DD53FE6A9}" type="pres">
      <dgm:prSet presAssocID="{5E2610D4-FA93-40B7-AF49-36310863B632}" presName="rootComposite" presStyleCnt="0"/>
      <dgm:spPr/>
    </dgm:pt>
    <dgm:pt modelId="{9105889D-BD14-43AA-A28D-9A7684D28A5A}" type="pres">
      <dgm:prSet presAssocID="{5E2610D4-FA93-40B7-AF49-36310863B632}" presName="rootText" presStyleLbl="node4" presStyleIdx="74" presStyleCnt="243">
        <dgm:presLayoutVars>
          <dgm:chPref val="3"/>
        </dgm:presLayoutVars>
      </dgm:prSet>
      <dgm:spPr/>
    </dgm:pt>
    <dgm:pt modelId="{A6A34C60-F8BF-4AF9-8E9E-41060EE03DB5}" type="pres">
      <dgm:prSet presAssocID="{5E2610D4-FA93-40B7-AF49-36310863B632}" presName="rootConnector" presStyleLbl="node4" presStyleIdx="74" presStyleCnt="243"/>
      <dgm:spPr/>
    </dgm:pt>
    <dgm:pt modelId="{FB7D752F-662A-45DF-AEC6-667F2B763BCE}" type="pres">
      <dgm:prSet presAssocID="{5E2610D4-FA93-40B7-AF49-36310863B632}" presName="hierChild4" presStyleCnt="0"/>
      <dgm:spPr/>
    </dgm:pt>
    <dgm:pt modelId="{5B66A326-8C52-4861-82D3-081CC3101367}" type="pres">
      <dgm:prSet presAssocID="{5E2610D4-FA93-40B7-AF49-36310863B632}" presName="hierChild5" presStyleCnt="0"/>
      <dgm:spPr/>
    </dgm:pt>
    <dgm:pt modelId="{7A177CFA-589C-4E69-9A24-ED53803BDAF1}" type="pres">
      <dgm:prSet presAssocID="{1497E387-74B4-41E0-AAE1-612EAB6E576C}" presName="Name37" presStyleLbl="parChTrans1D4" presStyleIdx="75" presStyleCnt="243"/>
      <dgm:spPr/>
    </dgm:pt>
    <dgm:pt modelId="{791F0F20-2FF2-488A-BDAA-29C0362CAA3B}" type="pres">
      <dgm:prSet presAssocID="{86C44C6F-3744-4FFE-9E87-8AA25F0F800B}" presName="hierRoot2" presStyleCnt="0">
        <dgm:presLayoutVars>
          <dgm:hierBranch val="init"/>
        </dgm:presLayoutVars>
      </dgm:prSet>
      <dgm:spPr/>
    </dgm:pt>
    <dgm:pt modelId="{5AADC76F-DA7A-4CBF-927D-FEFCA1A7CCAA}" type="pres">
      <dgm:prSet presAssocID="{86C44C6F-3744-4FFE-9E87-8AA25F0F800B}" presName="rootComposite" presStyleCnt="0"/>
      <dgm:spPr/>
    </dgm:pt>
    <dgm:pt modelId="{1F56D8DA-CEB2-44D4-9F74-29D6E216AAA3}" type="pres">
      <dgm:prSet presAssocID="{86C44C6F-3744-4FFE-9E87-8AA25F0F800B}" presName="rootText" presStyleLbl="node4" presStyleIdx="75" presStyleCnt="243">
        <dgm:presLayoutVars>
          <dgm:chPref val="3"/>
        </dgm:presLayoutVars>
      </dgm:prSet>
      <dgm:spPr/>
    </dgm:pt>
    <dgm:pt modelId="{BECBC4D7-9431-4059-8C5A-AB144D1CE114}" type="pres">
      <dgm:prSet presAssocID="{86C44C6F-3744-4FFE-9E87-8AA25F0F800B}" presName="rootConnector" presStyleLbl="node4" presStyleIdx="75" presStyleCnt="243"/>
      <dgm:spPr/>
    </dgm:pt>
    <dgm:pt modelId="{C30CBBDF-4517-48D8-8DC1-461DD321FF0E}" type="pres">
      <dgm:prSet presAssocID="{86C44C6F-3744-4FFE-9E87-8AA25F0F800B}" presName="hierChild4" presStyleCnt="0"/>
      <dgm:spPr/>
    </dgm:pt>
    <dgm:pt modelId="{F0C109B2-70B3-49CF-BCD0-0F4A0F4DE2C2}" type="pres">
      <dgm:prSet presAssocID="{86C44C6F-3744-4FFE-9E87-8AA25F0F800B}" presName="hierChild5" presStyleCnt="0"/>
      <dgm:spPr/>
    </dgm:pt>
    <dgm:pt modelId="{0DE28423-1B53-40B7-BE86-2516A836E2D5}" type="pres">
      <dgm:prSet presAssocID="{1335BBCF-8E8D-42C6-B619-071D35BDD3FC}" presName="hierChild5" presStyleCnt="0"/>
      <dgm:spPr/>
    </dgm:pt>
    <dgm:pt modelId="{ED01BC81-D5E6-40A9-B7E9-A942939466BC}" type="pres">
      <dgm:prSet presAssocID="{4D138308-F6EC-4F1F-B24A-FF2D870FE516}" presName="hierChild5" presStyleCnt="0"/>
      <dgm:spPr/>
    </dgm:pt>
    <dgm:pt modelId="{220D981A-8404-4547-A698-E2D25D7519AD}" type="pres">
      <dgm:prSet presAssocID="{F41F49ED-BE36-4A63-9E37-1E1EC5082A60}" presName="hierChild5" presStyleCnt="0"/>
      <dgm:spPr/>
    </dgm:pt>
    <dgm:pt modelId="{F7335264-8E9D-453A-95BD-8EC56063F5FF}" type="pres">
      <dgm:prSet presAssocID="{88EFE5EA-D955-4054-8F24-6A4F8979421C}" presName="Name37" presStyleLbl="parChTrans1D4" presStyleIdx="76" presStyleCnt="243"/>
      <dgm:spPr/>
    </dgm:pt>
    <dgm:pt modelId="{7C0695DC-4979-481D-81DB-6DBACFA5E1F1}" type="pres">
      <dgm:prSet presAssocID="{4D4E1A9F-02D8-41E5-9746-F410EC7C0753}" presName="hierRoot2" presStyleCnt="0">
        <dgm:presLayoutVars>
          <dgm:hierBranch val="init"/>
        </dgm:presLayoutVars>
      </dgm:prSet>
      <dgm:spPr/>
    </dgm:pt>
    <dgm:pt modelId="{BE07BB06-A5E7-4989-A022-29151342BFE4}" type="pres">
      <dgm:prSet presAssocID="{4D4E1A9F-02D8-41E5-9746-F410EC7C0753}" presName="rootComposite" presStyleCnt="0"/>
      <dgm:spPr/>
    </dgm:pt>
    <dgm:pt modelId="{468120F5-31FE-43D8-ABC5-6BFA855612D5}" type="pres">
      <dgm:prSet presAssocID="{4D4E1A9F-02D8-41E5-9746-F410EC7C0753}" presName="rootText" presStyleLbl="node4" presStyleIdx="76" presStyleCnt="243">
        <dgm:presLayoutVars>
          <dgm:chPref val="3"/>
        </dgm:presLayoutVars>
      </dgm:prSet>
      <dgm:spPr/>
    </dgm:pt>
    <dgm:pt modelId="{709837A5-5F5F-46C7-997C-4F778264948A}" type="pres">
      <dgm:prSet presAssocID="{4D4E1A9F-02D8-41E5-9746-F410EC7C0753}" presName="rootConnector" presStyleLbl="node4" presStyleIdx="76" presStyleCnt="243"/>
      <dgm:spPr/>
    </dgm:pt>
    <dgm:pt modelId="{C51CF4B9-2C54-46A8-8CF7-29CA6988B9F8}" type="pres">
      <dgm:prSet presAssocID="{4D4E1A9F-02D8-41E5-9746-F410EC7C0753}" presName="hierChild4" presStyleCnt="0"/>
      <dgm:spPr/>
    </dgm:pt>
    <dgm:pt modelId="{DED8093C-0752-4761-890B-2B8B115670CC}" type="pres">
      <dgm:prSet presAssocID="{4D4E1A9F-02D8-41E5-9746-F410EC7C0753}" presName="hierChild5" presStyleCnt="0"/>
      <dgm:spPr/>
    </dgm:pt>
    <dgm:pt modelId="{8D36765F-6468-4138-A7EB-DAE28F2AF4D5}" type="pres">
      <dgm:prSet presAssocID="{D8FFB51A-C1C4-42AC-8A2F-ED66F187AD19}" presName="Name37" presStyleLbl="parChTrans1D4" presStyleIdx="77" presStyleCnt="243"/>
      <dgm:spPr/>
    </dgm:pt>
    <dgm:pt modelId="{6BF4AA76-B10D-48F5-AB74-8EF34A6602D1}" type="pres">
      <dgm:prSet presAssocID="{4D599669-4AD4-4A06-AF34-9C8C105E9C7D}" presName="hierRoot2" presStyleCnt="0">
        <dgm:presLayoutVars>
          <dgm:hierBranch val="init"/>
        </dgm:presLayoutVars>
      </dgm:prSet>
      <dgm:spPr/>
    </dgm:pt>
    <dgm:pt modelId="{D976394B-01E9-4CAE-9384-D950BBE9567B}" type="pres">
      <dgm:prSet presAssocID="{4D599669-4AD4-4A06-AF34-9C8C105E9C7D}" presName="rootComposite" presStyleCnt="0"/>
      <dgm:spPr/>
    </dgm:pt>
    <dgm:pt modelId="{F54FFB28-BC49-4EC1-A9E7-45140768EC25}" type="pres">
      <dgm:prSet presAssocID="{4D599669-4AD4-4A06-AF34-9C8C105E9C7D}" presName="rootText" presStyleLbl="node4" presStyleIdx="77" presStyleCnt="243">
        <dgm:presLayoutVars>
          <dgm:chPref val="3"/>
        </dgm:presLayoutVars>
      </dgm:prSet>
      <dgm:spPr/>
    </dgm:pt>
    <dgm:pt modelId="{996B6B25-C646-4ABB-80C1-F08F174F79F8}" type="pres">
      <dgm:prSet presAssocID="{4D599669-4AD4-4A06-AF34-9C8C105E9C7D}" presName="rootConnector" presStyleLbl="node4" presStyleIdx="77" presStyleCnt="243"/>
      <dgm:spPr/>
    </dgm:pt>
    <dgm:pt modelId="{ECEBBA36-DB1C-4037-A8F3-E75649575D26}" type="pres">
      <dgm:prSet presAssocID="{4D599669-4AD4-4A06-AF34-9C8C105E9C7D}" presName="hierChild4" presStyleCnt="0"/>
      <dgm:spPr/>
    </dgm:pt>
    <dgm:pt modelId="{4BAFE57F-DE67-4D29-AF0D-702084558D94}" type="pres">
      <dgm:prSet presAssocID="{EA63679F-CE4F-456D-A474-D258EF160DC4}" presName="Name37" presStyleLbl="parChTrans1D4" presStyleIdx="78" presStyleCnt="243"/>
      <dgm:spPr/>
    </dgm:pt>
    <dgm:pt modelId="{E804F2E9-4FA8-4E95-8580-A3F9482B8CCF}" type="pres">
      <dgm:prSet presAssocID="{19850839-240C-410A-936D-7830E2F30E11}" presName="hierRoot2" presStyleCnt="0">
        <dgm:presLayoutVars>
          <dgm:hierBranch val="init"/>
        </dgm:presLayoutVars>
      </dgm:prSet>
      <dgm:spPr/>
    </dgm:pt>
    <dgm:pt modelId="{18FBC531-1850-4968-96F3-B7018D28CAE7}" type="pres">
      <dgm:prSet presAssocID="{19850839-240C-410A-936D-7830E2F30E11}" presName="rootComposite" presStyleCnt="0"/>
      <dgm:spPr/>
    </dgm:pt>
    <dgm:pt modelId="{AC107559-6EEC-467B-9CE0-CE65F7BD6562}" type="pres">
      <dgm:prSet presAssocID="{19850839-240C-410A-936D-7830E2F30E11}" presName="rootText" presStyleLbl="node4" presStyleIdx="78" presStyleCnt="243">
        <dgm:presLayoutVars>
          <dgm:chPref val="3"/>
        </dgm:presLayoutVars>
      </dgm:prSet>
      <dgm:spPr/>
    </dgm:pt>
    <dgm:pt modelId="{59AE07AE-9845-4E07-B4D8-F86B09D90D7A}" type="pres">
      <dgm:prSet presAssocID="{19850839-240C-410A-936D-7830E2F30E11}" presName="rootConnector" presStyleLbl="node4" presStyleIdx="78" presStyleCnt="243"/>
      <dgm:spPr/>
    </dgm:pt>
    <dgm:pt modelId="{F41E8553-EA62-4391-B341-BEECF4733A5A}" type="pres">
      <dgm:prSet presAssocID="{19850839-240C-410A-936D-7830E2F30E11}" presName="hierChild4" presStyleCnt="0"/>
      <dgm:spPr/>
    </dgm:pt>
    <dgm:pt modelId="{F90C0DC8-8CFB-4E3E-8A2A-F094C735E286}" type="pres">
      <dgm:prSet presAssocID="{19850839-240C-410A-936D-7830E2F30E11}" presName="hierChild5" presStyleCnt="0"/>
      <dgm:spPr/>
    </dgm:pt>
    <dgm:pt modelId="{B21DA6BD-31D6-41D0-B726-A736D5CFE812}" type="pres">
      <dgm:prSet presAssocID="{3507EBDC-C49E-4E2C-8419-BCF61C768C03}" presName="Name37" presStyleLbl="parChTrans1D4" presStyleIdx="79" presStyleCnt="243"/>
      <dgm:spPr/>
    </dgm:pt>
    <dgm:pt modelId="{6AA613FE-83FA-4F9D-AB58-E7315C99960F}" type="pres">
      <dgm:prSet presAssocID="{25BFED4C-FFDC-4FF8-98DF-2DC76BD9FE4E}" presName="hierRoot2" presStyleCnt="0">
        <dgm:presLayoutVars>
          <dgm:hierBranch val="init"/>
        </dgm:presLayoutVars>
      </dgm:prSet>
      <dgm:spPr/>
    </dgm:pt>
    <dgm:pt modelId="{09A19B07-7957-4D52-97BC-F856840B02B1}" type="pres">
      <dgm:prSet presAssocID="{25BFED4C-FFDC-4FF8-98DF-2DC76BD9FE4E}" presName="rootComposite" presStyleCnt="0"/>
      <dgm:spPr/>
    </dgm:pt>
    <dgm:pt modelId="{A301AD95-78BE-424A-B579-8B2078E5BE2A}" type="pres">
      <dgm:prSet presAssocID="{25BFED4C-FFDC-4FF8-98DF-2DC76BD9FE4E}" presName="rootText" presStyleLbl="node4" presStyleIdx="79" presStyleCnt="243">
        <dgm:presLayoutVars>
          <dgm:chPref val="3"/>
        </dgm:presLayoutVars>
      </dgm:prSet>
      <dgm:spPr/>
    </dgm:pt>
    <dgm:pt modelId="{38852089-2C04-4B62-8862-6AC394BCF286}" type="pres">
      <dgm:prSet presAssocID="{25BFED4C-FFDC-4FF8-98DF-2DC76BD9FE4E}" presName="rootConnector" presStyleLbl="node4" presStyleIdx="79" presStyleCnt="243"/>
      <dgm:spPr/>
    </dgm:pt>
    <dgm:pt modelId="{9B6A329F-BE5E-4663-86C7-BAC25A35F3B4}" type="pres">
      <dgm:prSet presAssocID="{25BFED4C-FFDC-4FF8-98DF-2DC76BD9FE4E}" presName="hierChild4" presStyleCnt="0"/>
      <dgm:spPr/>
    </dgm:pt>
    <dgm:pt modelId="{44B4562E-DA6D-4783-8DAD-2DA3623CF9B3}" type="pres">
      <dgm:prSet presAssocID="{25BFED4C-FFDC-4FF8-98DF-2DC76BD9FE4E}" presName="hierChild5" presStyleCnt="0"/>
      <dgm:spPr/>
    </dgm:pt>
    <dgm:pt modelId="{60657B33-D2D4-48BB-91CA-4F1CCF9D8BBA}" type="pres">
      <dgm:prSet presAssocID="{5565E615-4FA5-4C4C-B647-CD16C4654733}" presName="Name37" presStyleLbl="parChTrans1D4" presStyleIdx="80" presStyleCnt="243"/>
      <dgm:spPr/>
    </dgm:pt>
    <dgm:pt modelId="{2C46BA02-BAEF-4435-AF27-FD1D11341354}" type="pres">
      <dgm:prSet presAssocID="{2AFBB642-F300-4348-9BA8-7043A63D420A}" presName="hierRoot2" presStyleCnt="0">
        <dgm:presLayoutVars>
          <dgm:hierBranch val="init"/>
        </dgm:presLayoutVars>
      </dgm:prSet>
      <dgm:spPr/>
    </dgm:pt>
    <dgm:pt modelId="{7040AE0F-DA75-4328-B1B2-6BD8CDC565E5}" type="pres">
      <dgm:prSet presAssocID="{2AFBB642-F300-4348-9BA8-7043A63D420A}" presName="rootComposite" presStyleCnt="0"/>
      <dgm:spPr/>
    </dgm:pt>
    <dgm:pt modelId="{0E445BF5-F65E-46AE-B651-047A9656F004}" type="pres">
      <dgm:prSet presAssocID="{2AFBB642-F300-4348-9BA8-7043A63D420A}" presName="rootText" presStyleLbl="node4" presStyleIdx="80" presStyleCnt="243">
        <dgm:presLayoutVars>
          <dgm:chPref val="3"/>
        </dgm:presLayoutVars>
      </dgm:prSet>
      <dgm:spPr/>
    </dgm:pt>
    <dgm:pt modelId="{DB1BD455-AD6E-4CE5-960C-E1DC67838B90}" type="pres">
      <dgm:prSet presAssocID="{2AFBB642-F300-4348-9BA8-7043A63D420A}" presName="rootConnector" presStyleLbl="node4" presStyleIdx="80" presStyleCnt="243"/>
      <dgm:spPr/>
    </dgm:pt>
    <dgm:pt modelId="{C215B851-B863-4511-AF2B-3918CF297DD3}" type="pres">
      <dgm:prSet presAssocID="{2AFBB642-F300-4348-9BA8-7043A63D420A}" presName="hierChild4" presStyleCnt="0"/>
      <dgm:spPr/>
    </dgm:pt>
    <dgm:pt modelId="{1B6EBAF5-FCB9-4238-93C3-A88ACE8D8841}" type="pres">
      <dgm:prSet presAssocID="{2AFBB642-F300-4348-9BA8-7043A63D420A}" presName="hierChild5" presStyleCnt="0"/>
      <dgm:spPr/>
    </dgm:pt>
    <dgm:pt modelId="{D8AF792D-23F9-437C-B6AE-045C66C14246}" type="pres">
      <dgm:prSet presAssocID="{4D599669-4AD4-4A06-AF34-9C8C105E9C7D}" presName="hierChild5" presStyleCnt="0"/>
      <dgm:spPr/>
    </dgm:pt>
    <dgm:pt modelId="{B209C052-8310-4B4B-B4D7-0FA833289DFA}" type="pres">
      <dgm:prSet presAssocID="{43494D86-EA7A-4DCD-AB36-E02A143CE95D}" presName="hierChild5" presStyleCnt="0"/>
      <dgm:spPr/>
    </dgm:pt>
    <dgm:pt modelId="{74C16A13-60F3-4DFE-A8DA-4CC67644ED35}" type="pres">
      <dgm:prSet presAssocID="{461B4438-DE1C-4261-A12C-E1E4DE41AB0C}" presName="Name37" presStyleLbl="parChTrans1D3" presStyleIdx="1" presStyleCnt="19"/>
      <dgm:spPr/>
    </dgm:pt>
    <dgm:pt modelId="{275EB85C-0FDD-490F-9CDF-904F6363CBC1}" type="pres">
      <dgm:prSet presAssocID="{B8671627-4FBE-4B11-B2F5-01D35E7A09C7}" presName="hierRoot2" presStyleCnt="0">
        <dgm:presLayoutVars>
          <dgm:hierBranch val="init"/>
        </dgm:presLayoutVars>
      </dgm:prSet>
      <dgm:spPr/>
    </dgm:pt>
    <dgm:pt modelId="{1858EAEC-A664-4D38-BEE8-A8C24BEB43B0}" type="pres">
      <dgm:prSet presAssocID="{B8671627-4FBE-4B11-B2F5-01D35E7A09C7}" presName="rootComposite" presStyleCnt="0"/>
      <dgm:spPr/>
    </dgm:pt>
    <dgm:pt modelId="{DE31D261-FA92-43EF-B370-01BBD6523310}" type="pres">
      <dgm:prSet presAssocID="{B8671627-4FBE-4B11-B2F5-01D35E7A09C7}" presName="rootText" presStyleLbl="node3" presStyleIdx="1" presStyleCnt="19">
        <dgm:presLayoutVars>
          <dgm:chPref val="3"/>
        </dgm:presLayoutVars>
      </dgm:prSet>
      <dgm:spPr/>
    </dgm:pt>
    <dgm:pt modelId="{AD33FADC-CA18-4FB2-95A6-C6F37C2389A3}" type="pres">
      <dgm:prSet presAssocID="{B8671627-4FBE-4B11-B2F5-01D35E7A09C7}" presName="rootConnector" presStyleLbl="node3" presStyleIdx="1" presStyleCnt="19"/>
      <dgm:spPr/>
    </dgm:pt>
    <dgm:pt modelId="{EE32C2C0-E7D2-4D89-B9DF-4C3B0F901B85}" type="pres">
      <dgm:prSet presAssocID="{B8671627-4FBE-4B11-B2F5-01D35E7A09C7}" presName="hierChild4" presStyleCnt="0"/>
      <dgm:spPr/>
    </dgm:pt>
    <dgm:pt modelId="{2A52CE24-7002-4A98-8D09-0CCA16C9E098}" type="pres">
      <dgm:prSet presAssocID="{DAE4712C-240C-4594-8B62-F190DF32B439}" presName="Name37" presStyleLbl="parChTrans1D4" presStyleIdx="81" presStyleCnt="243"/>
      <dgm:spPr/>
    </dgm:pt>
    <dgm:pt modelId="{FC05FD65-9BE3-4498-9580-BF6426630970}" type="pres">
      <dgm:prSet presAssocID="{1E7C492F-62DC-462E-B45D-565684507B11}" presName="hierRoot2" presStyleCnt="0">
        <dgm:presLayoutVars>
          <dgm:hierBranch val="init"/>
        </dgm:presLayoutVars>
      </dgm:prSet>
      <dgm:spPr/>
    </dgm:pt>
    <dgm:pt modelId="{DA2117C5-3DDF-4C55-8EBF-15BB7E961BDF}" type="pres">
      <dgm:prSet presAssocID="{1E7C492F-62DC-462E-B45D-565684507B11}" presName="rootComposite" presStyleCnt="0"/>
      <dgm:spPr/>
    </dgm:pt>
    <dgm:pt modelId="{E7CF372C-F6B3-40CB-98CB-4650DDA7A3A3}" type="pres">
      <dgm:prSet presAssocID="{1E7C492F-62DC-462E-B45D-565684507B11}" presName="rootText" presStyleLbl="node4" presStyleIdx="81" presStyleCnt="243">
        <dgm:presLayoutVars>
          <dgm:chPref val="3"/>
        </dgm:presLayoutVars>
      </dgm:prSet>
      <dgm:spPr/>
    </dgm:pt>
    <dgm:pt modelId="{BC52740E-F4BD-404B-BEC2-BFE556CF2FB0}" type="pres">
      <dgm:prSet presAssocID="{1E7C492F-62DC-462E-B45D-565684507B11}" presName="rootConnector" presStyleLbl="node4" presStyleIdx="81" presStyleCnt="243"/>
      <dgm:spPr/>
    </dgm:pt>
    <dgm:pt modelId="{FEE5CB90-6999-4BE5-BE78-42014FE7A02F}" type="pres">
      <dgm:prSet presAssocID="{1E7C492F-62DC-462E-B45D-565684507B11}" presName="hierChild4" presStyleCnt="0"/>
      <dgm:spPr/>
    </dgm:pt>
    <dgm:pt modelId="{87A743DC-3632-447F-8287-390511410BA6}" type="pres">
      <dgm:prSet presAssocID="{1E7C492F-62DC-462E-B45D-565684507B11}" presName="hierChild5" presStyleCnt="0"/>
      <dgm:spPr/>
    </dgm:pt>
    <dgm:pt modelId="{46269013-AE84-4CD2-BA91-62C0195F9020}" type="pres">
      <dgm:prSet presAssocID="{E7BAD2DA-E1CA-43FD-BB3D-D56838651AEA}" presName="Name37" presStyleLbl="parChTrans1D4" presStyleIdx="82" presStyleCnt="243"/>
      <dgm:spPr/>
    </dgm:pt>
    <dgm:pt modelId="{866F88D1-3B08-413A-A9AC-530FA9192432}" type="pres">
      <dgm:prSet presAssocID="{79551598-49A1-43CC-A27E-9835D96707B4}" presName="hierRoot2" presStyleCnt="0">
        <dgm:presLayoutVars>
          <dgm:hierBranch val="init"/>
        </dgm:presLayoutVars>
      </dgm:prSet>
      <dgm:spPr/>
    </dgm:pt>
    <dgm:pt modelId="{F8F97ACB-E49C-4280-8A08-D37C4183EC01}" type="pres">
      <dgm:prSet presAssocID="{79551598-49A1-43CC-A27E-9835D96707B4}" presName="rootComposite" presStyleCnt="0"/>
      <dgm:spPr/>
    </dgm:pt>
    <dgm:pt modelId="{4364A7CA-294E-483D-B46E-1D4EE51A9232}" type="pres">
      <dgm:prSet presAssocID="{79551598-49A1-43CC-A27E-9835D96707B4}" presName="rootText" presStyleLbl="node4" presStyleIdx="82" presStyleCnt="243">
        <dgm:presLayoutVars>
          <dgm:chPref val="3"/>
        </dgm:presLayoutVars>
      </dgm:prSet>
      <dgm:spPr/>
    </dgm:pt>
    <dgm:pt modelId="{001CA8C9-78B1-494B-A548-0CFAF6B3D62F}" type="pres">
      <dgm:prSet presAssocID="{79551598-49A1-43CC-A27E-9835D96707B4}" presName="rootConnector" presStyleLbl="node4" presStyleIdx="82" presStyleCnt="243"/>
      <dgm:spPr/>
    </dgm:pt>
    <dgm:pt modelId="{9D118C24-B87D-4B97-B91E-BA90045CCF96}" type="pres">
      <dgm:prSet presAssocID="{79551598-49A1-43CC-A27E-9835D96707B4}" presName="hierChild4" presStyleCnt="0"/>
      <dgm:spPr/>
    </dgm:pt>
    <dgm:pt modelId="{AA5AF35E-8F24-4C39-A6E8-A581D06F9524}" type="pres">
      <dgm:prSet presAssocID="{79551598-49A1-43CC-A27E-9835D96707B4}" presName="hierChild5" presStyleCnt="0"/>
      <dgm:spPr/>
    </dgm:pt>
    <dgm:pt modelId="{CE8FABE6-9968-44DB-90DA-CB5268CCC5AC}" type="pres">
      <dgm:prSet presAssocID="{B8671627-4FBE-4B11-B2F5-01D35E7A09C7}" presName="hierChild5" presStyleCnt="0"/>
      <dgm:spPr/>
    </dgm:pt>
    <dgm:pt modelId="{EEDBDFD6-9161-43F7-8FBD-51E3ECFE3BC1}" type="pres">
      <dgm:prSet presAssocID="{272C46AF-08D6-43F9-BB5B-B14F851E60AF}" presName="Name37" presStyleLbl="parChTrans1D3" presStyleIdx="2" presStyleCnt="19"/>
      <dgm:spPr/>
    </dgm:pt>
    <dgm:pt modelId="{0E3870A5-19E5-4B9B-AE93-874137EF3EFD}" type="pres">
      <dgm:prSet presAssocID="{3EFB6F83-0F50-42CC-83FC-2ED148A81797}" presName="hierRoot2" presStyleCnt="0">
        <dgm:presLayoutVars>
          <dgm:hierBranch val="init"/>
        </dgm:presLayoutVars>
      </dgm:prSet>
      <dgm:spPr/>
    </dgm:pt>
    <dgm:pt modelId="{4B511B2E-0D5B-4F4A-957B-86CBB5EE8DD6}" type="pres">
      <dgm:prSet presAssocID="{3EFB6F83-0F50-42CC-83FC-2ED148A81797}" presName="rootComposite" presStyleCnt="0"/>
      <dgm:spPr/>
    </dgm:pt>
    <dgm:pt modelId="{674ECC1B-D15E-4E07-BBB4-B246350F35C8}" type="pres">
      <dgm:prSet presAssocID="{3EFB6F83-0F50-42CC-83FC-2ED148A81797}" presName="rootText" presStyleLbl="node3" presStyleIdx="2" presStyleCnt="19">
        <dgm:presLayoutVars>
          <dgm:chPref val="3"/>
        </dgm:presLayoutVars>
      </dgm:prSet>
      <dgm:spPr/>
    </dgm:pt>
    <dgm:pt modelId="{FB0DE37F-2AD4-4B34-8352-1C7961378394}" type="pres">
      <dgm:prSet presAssocID="{3EFB6F83-0F50-42CC-83FC-2ED148A81797}" presName="rootConnector" presStyleLbl="node3" presStyleIdx="2" presStyleCnt="19"/>
      <dgm:spPr/>
    </dgm:pt>
    <dgm:pt modelId="{ED09632E-378E-4830-9EEB-99E6E96F3AB0}" type="pres">
      <dgm:prSet presAssocID="{3EFB6F83-0F50-42CC-83FC-2ED148A81797}" presName="hierChild4" presStyleCnt="0"/>
      <dgm:spPr/>
    </dgm:pt>
    <dgm:pt modelId="{5FF59FC1-EB4B-4AC2-A2F3-238E90D2A6A2}" type="pres">
      <dgm:prSet presAssocID="{5470B045-64D7-4051-9BE3-18D85A7F860F}" presName="Name37" presStyleLbl="parChTrans1D4" presStyleIdx="83" presStyleCnt="243"/>
      <dgm:spPr/>
    </dgm:pt>
    <dgm:pt modelId="{BF84BD05-DB39-4FBC-AE49-82D65F97E467}" type="pres">
      <dgm:prSet presAssocID="{94F15C96-FF94-48C8-953C-B1B9398FFF34}" presName="hierRoot2" presStyleCnt="0">
        <dgm:presLayoutVars>
          <dgm:hierBranch val="init"/>
        </dgm:presLayoutVars>
      </dgm:prSet>
      <dgm:spPr/>
    </dgm:pt>
    <dgm:pt modelId="{A02F0F6E-0862-4A46-A491-D431B39A94D7}" type="pres">
      <dgm:prSet presAssocID="{94F15C96-FF94-48C8-953C-B1B9398FFF34}" presName="rootComposite" presStyleCnt="0"/>
      <dgm:spPr/>
    </dgm:pt>
    <dgm:pt modelId="{925437CC-A9C2-417E-89E8-25912A1B32A7}" type="pres">
      <dgm:prSet presAssocID="{94F15C96-FF94-48C8-953C-B1B9398FFF34}" presName="rootText" presStyleLbl="node4" presStyleIdx="83" presStyleCnt="243">
        <dgm:presLayoutVars>
          <dgm:chPref val="3"/>
        </dgm:presLayoutVars>
      </dgm:prSet>
      <dgm:spPr/>
    </dgm:pt>
    <dgm:pt modelId="{1FB72F62-C2E2-4484-82F4-0E6EF0379D9E}" type="pres">
      <dgm:prSet presAssocID="{94F15C96-FF94-48C8-953C-B1B9398FFF34}" presName="rootConnector" presStyleLbl="node4" presStyleIdx="83" presStyleCnt="243"/>
      <dgm:spPr/>
    </dgm:pt>
    <dgm:pt modelId="{1934589C-6A7A-4268-A6B6-59F32D18EDE4}" type="pres">
      <dgm:prSet presAssocID="{94F15C96-FF94-48C8-953C-B1B9398FFF34}" presName="hierChild4" presStyleCnt="0"/>
      <dgm:spPr/>
    </dgm:pt>
    <dgm:pt modelId="{83969CD3-E8A0-4A78-9C9D-486131B479F2}" type="pres">
      <dgm:prSet presAssocID="{94F15C96-FF94-48C8-953C-B1B9398FFF34}" presName="hierChild5" presStyleCnt="0"/>
      <dgm:spPr/>
    </dgm:pt>
    <dgm:pt modelId="{0AF2E93E-F9EA-479B-A31B-30BB7FD3179C}" type="pres">
      <dgm:prSet presAssocID="{1C20E06F-E0BA-4A9E-86A3-2F88046861BC}" presName="Name37" presStyleLbl="parChTrans1D4" presStyleIdx="84" presStyleCnt="243"/>
      <dgm:spPr/>
    </dgm:pt>
    <dgm:pt modelId="{A64A53C2-5545-4586-8805-FE6867ECC276}" type="pres">
      <dgm:prSet presAssocID="{109F7E6B-3DA8-47A9-B8CE-1BBF972B168A}" presName="hierRoot2" presStyleCnt="0">
        <dgm:presLayoutVars>
          <dgm:hierBranch val="init"/>
        </dgm:presLayoutVars>
      </dgm:prSet>
      <dgm:spPr/>
    </dgm:pt>
    <dgm:pt modelId="{96DF631B-1084-40FD-8011-E7B96BD71000}" type="pres">
      <dgm:prSet presAssocID="{109F7E6B-3DA8-47A9-B8CE-1BBF972B168A}" presName="rootComposite" presStyleCnt="0"/>
      <dgm:spPr/>
    </dgm:pt>
    <dgm:pt modelId="{49F06308-5CA5-4899-830D-93398B0FEE18}" type="pres">
      <dgm:prSet presAssocID="{109F7E6B-3DA8-47A9-B8CE-1BBF972B168A}" presName="rootText" presStyleLbl="node4" presStyleIdx="84" presStyleCnt="243">
        <dgm:presLayoutVars>
          <dgm:chPref val="3"/>
        </dgm:presLayoutVars>
      </dgm:prSet>
      <dgm:spPr/>
    </dgm:pt>
    <dgm:pt modelId="{1FA11767-B6DB-4956-A730-8AAA8D574915}" type="pres">
      <dgm:prSet presAssocID="{109F7E6B-3DA8-47A9-B8CE-1BBF972B168A}" presName="rootConnector" presStyleLbl="node4" presStyleIdx="84" presStyleCnt="243"/>
      <dgm:spPr/>
    </dgm:pt>
    <dgm:pt modelId="{86DE25AF-76C2-4E35-86D3-9D3D5938245A}" type="pres">
      <dgm:prSet presAssocID="{109F7E6B-3DA8-47A9-B8CE-1BBF972B168A}" presName="hierChild4" presStyleCnt="0"/>
      <dgm:spPr/>
    </dgm:pt>
    <dgm:pt modelId="{31EBFB12-6399-4D75-9933-70D1EBC2D150}" type="pres">
      <dgm:prSet presAssocID="{109F7E6B-3DA8-47A9-B8CE-1BBF972B168A}" presName="hierChild5" presStyleCnt="0"/>
      <dgm:spPr/>
    </dgm:pt>
    <dgm:pt modelId="{436403F1-A3F5-45B1-A75C-27BB44B7138A}" type="pres">
      <dgm:prSet presAssocID="{3EFB6F83-0F50-42CC-83FC-2ED148A81797}" presName="hierChild5" presStyleCnt="0"/>
      <dgm:spPr/>
    </dgm:pt>
    <dgm:pt modelId="{B12F3EFC-A19A-4CF5-A92D-B8FC20AC83BB}" type="pres">
      <dgm:prSet presAssocID="{C70932F0-1F03-42B4-81FF-F8E306150B04}" presName="Name37" presStyleLbl="parChTrans1D3" presStyleIdx="3" presStyleCnt="19"/>
      <dgm:spPr/>
    </dgm:pt>
    <dgm:pt modelId="{408AF6D0-5316-44C2-BBEB-F424D974D5B5}" type="pres">
      <dgm:prSet presAssocID="{FE848344-69B4-4AF0-A0BA-62F6E39471A7}" presName="hierRoot2" presStyleCnt="0">
        <dgm:presLayoutVars>
          <dgm:hierBranch val="init"/>
        </dgm:presLayoutVars>
      </dgm:prSet>
      <dgm:spPr/>
    </dgm:pt>
    <dgm:pt modelId="{D5501BDB-B6BA-4020-8FF3-AC3E0CFE675C}" type="pres">
      <dgm:prSet presAssocID="{FE848344-69B4-4AF0-A0BA-62F6E39471A7}" presName="rootComposite" presStyleCnt="0"/>
      <dgm:spPr/>
    </dgm:pt>
    <dgm:pt modelId="{94F1A0E4-3EE2-4593-B21A-C5FA70BBAF35}" type="pres">
      <dgm:prSet presAssocID="{FE848344-69B4-4AF0-A0BA-62F6E39471A7}" presName="rootText" presStyleLbl="node3" presStyleIdx="3" presStyleCnt="19">
        <dgm:presLayoutVars>
          <dgm:chPref val="3"/>
        </dgm:presLayoutVars>
      </dgm:prSet>
      <dgm:spPr/>
    </dgm:pt>
    <dgm:pt modelId="{3278968A-5FF8-4B6E-9D74-28D46F9EE3BD}" type="pres">
      <dgm:prSet presAssocID="{FE848344-69B4-4AF0-A0BA-62F6E39471A7}" presName="rootConnector" presStyleLbl="node3" presStyleIdx="3" presStyleCnt="19"/>
      <dgm:spPr/>
    </dgm:pt>
    <dgm:pt modelId="{3E2A5B4C-C0F0-4C2E-88F3-A00EBE661DE1}" type="pres">
      <dgm:prSet presAssocID="{FE848344-69B4-4AF0-A0BA-62F6E39471A7}" presName="hierChild4" presStyleCnt="0"/>
      <dgm:spPr/>
    </dgm:pt>
    <dgm:pt modelId="{A175646C-FAAF-491E-8EA6-5D2EBFDE6E2D}" type="pres">
      <dgm:prSet presAssocID="{E072609A-F19F-4C3A-9067-E8892D447FED}" presName="Name37" presStyleLbl="parChTrans1D4" presStyleIdx="85" presStyleCnt="243"/>
      <dgm:spPr/>
    </dgm:pt>
    <dgm:pt modelId="{17D87A05-B44F-459A-9A35-B5D3CB5EE9E4}" type="pres">
      <dgm:prSet presAssocID="{E705A229-5034-4E22-9973-8D998757AA21}" presName="hierRoot2" presStyleCnt="0">
        <dgm:presLayoutVars>
          <dgm:hierBranch val="init"/>
        </dgm:presLayoutVars>
      </dgm:prSet>
      <dgm:spPr/>
    </dgm:pt>
    <dgm:pt modelId="{4E42795C-1A26-45D0-B9EA-F1C135D2E3EE}" type="pres">
      <dgm:prSet presAssocID="{E705A229-5034-4E22-9973-8D998757AA21}" presName="rootComposite" presStyleCnt="0"/>
      <dgm:spPr/>
    </dgm:pt>
    <dgm:pt modelId="{40C48953-76C4-404D-838A-E957A48B551C}" type="pres">
      <dgm:prSet presAssocID="{E705A229-5034-4E22-9973-8D998757AA21}" presName="rootText" presStyleLbl="node4" presStyleIdx="85" presStyleCnt="243">
        <dgm:presLayoutVars>
          <dgm:chPref val="3"/>
        </dgm:presLayoutVars>
      </dgm:prSet>
      <dgm:spPr/>
    </dgm:pt>
    <dgm:pt modelId="{DF14B432-56A7-452C-985A-24EC2422AC04}" type="pres">
      <dgm:prSet presAssocID="{E705A229-5034-4E22-9973-8D998757AA21}" presName="rootConnector" presStyleLbl="node4" presStyleIdx="85" presStyleCnt="243"/>
      <dgm:spPr/>
    </dgm:pt>
    <dgm:pt modelId="{7FA38D20-1141-4003-95F4-2A1B6AC55E8A}" type="pres">
      <dgm:prSet presAssocID="{E705A229-5034-4E22-9973-8D998757AA21}" presName="hierChild4" presStyleCnt="0"/>
      <dgm:spPr/>
    </dgm:pt>
    <dgm:pt modelId="{2219D2EE-C6C5-4C94-BA0E-C5EA8E4728BF}" type="pres">
      <dgm:prSet presAssocID="{E705A229-5034-4E22-9973-8D998757AA21}" presName="hierChild5" presStyleCnt="0"/>
      <dgm:spPr/>
    </dgm:pt>
    <dgm:pt modelId="{55E84AEB-BAA4-4F75-80D6-D61BFEEA9C3C}" type="pres">
      <dgm:prSet presAssocID="{22ADACDB-61F0-4B28-A48C-2A83BF8BE40B}" presName="Name37" presStyleLbl="parChTrans1D4" presStyleIdx="86" presStyleCnt="243"/>
      <dgm:spPr/>
    </dgm:pt>
    <dgm:pt modelId="{0B166B49-2504-4E55-BA85-528284F5F39B}" type="pres">
      <dgm:prSet presAssocID="{BEFE57E8-75D1-4DE3-802C-66CDCBF2C4C6}" presName="hierRoot2" presStyleCnt="0">
        <dgm:presLayoutVars>
          <dgm:hierBranch val="init"/>
        </dgm:presLayoutVars>
      </dgm:prSet>
      <dgm:spPr/>
    </dgm:pt>
    <dgm:pt modelId="{D7C07DE6-8918-4633-B622-BB18F374BB22}" type="pres">
      <dgm:prSet presAssocID="{BEFE57E8-75D1-4DE3-802C-66CDCBF2C4C6}" presName="rootComposite" presStyleCnt="0"/>
      <dgm:spPr/>
    </dgm:pt>
    <dgm:pt modelId="{046F88B6-0A6F-44B2-8EEA-B852E4A1D76D}" type="pres">
      <dgm:prSet presAssocID="{BEFE57E8-75D1-4DE3-802C-66CDCBF2C4C6}" presName="rootText" presStyleLbl="node4" presStyleIdx="86" presStyleCnt="243" custScaleX="121000" custScaleY="121000">
        <dgm:presLayoutVars>
          <dgm:chPref val="3"/>
        </dgm:presLayoutVars>
      </dgm:prSet>
      <dgm:spPr>
        <a:xfrm>
          <a:off x="16040955" y="3594822"/>
          <a:ext cx="1249820" cy="624910"/>
        </a:xfrm>
        <a:prstGeom prst="rect">
          <a:avLst/>
        </a:prstGeom>
      </dgm:spPr>
    </dgm:pt>
    <dgm:pt modelId="{1295CE3D-25CF-4714-B9AB-0EAB0FBAF15A}" type="pres">
      <dgm:prSet presAssocID="{BEFE57E8-75D1-4DE3-802C-66CDCBF2C4C6}" presName="rootConnector" presStyleLbl="node4" presStyleIdx="86" presStyleCnt="243"/>
      <dgm:spPr/>
    </dgm:pt>
    <dgm:pt modelId="{0C97BE74-7353-45E5-8341-E4531A0B5858}" type="pres">
      <dgm:prSet presAssocID="{BEFE57E8-75D1-4DE3-802C-66CDCBF2C4C6}" presName="hierChild4" presStyleCnt="0"/>
      <dgm:spPr/>
    </dgm:pt>
    <dgm:pt modelId="{EF8344B6-23FB-40F0-98F0-D48BEE2D0AFC}" type="pres">
      <dgm:prSet presAssocID="{BEFE57E8-75D1-4DE3-802C-66CDCBF2C4C6}" presName="hierChild5" presStyleCnt="0"/>
      <dgm:spPr/>
    </dgm:pt>
    <dgm:pt modelId="{EC9DF153-1493-4AE1-ACD1-C13605479E23}" type="pres">
      <dgm:prSet presAssocID="{EA53066A-B3FF-4729-B512-2FB05783CDFD}" presName="Name37" presStyleLbl="parChTrans1D4" presStyleIdx="87" presStyleCnt="243"/>
      <dgm:spPr/>
    </dgm:pt>
    <dgm:pt modelId="{5C492AFD-3B75-48DC-A068-34CD07223868}" type="pres">
      <dgm:prSet presAssocID="{9E5D52D3-374F-4E43-9C4E-BF0B3D31EC7B}" presName="hierRoot2" presStyleCnt="0">
        <dgm:presLayoutVars>
          <dgm:hierBranch val="init"/>
        </dgm:presLayoutVars>
      </dgm:prSet>
      <dgm:spPr/>
    </dgm:pt>
    <dgm:pt modelId="{C15A038D-6B4D-4A2F-8E0D-829AAFA89F87}" type="pres">
      <dgm:prSet presAssocID="{9E5D52D3-374F-4E43-9C4E-BF0B3D31EC7B}" presName="rootComposite" presStyleCnt="0"/>
      <dgm:spPr/>
    </dgm:pt>
    <dgm:pt modelId="{9554BC3F-32CF-427D-95D5-FB340778AF6D}" type="pres">
      <dgm:prSet presAssocID="{9E5D52D3-374F-4E43-9C4E-BF0B3D31EC7B}" presName="rootText" presStyleLbl="node4" presStyleIdx="87" presStyleCnt="243" custScaleX="121000" custScaleY="121000">
        <dgm:presLayoutVars>
          <dgm:chPref val="3"/>
        </dgm:presLayoutVars>
      </dgm:prSet>
      <dgm:spPr>
        <a:xfrm>
          <a:off x="16040955" y="4458334"/>
          <a:ext cx="1249820" cy="624910"/>
        </a:xfrm>
        <a:prstGeom prst="rect">
          <a:avLst/>
        </a:prstGeom>
      </dgm:spPr>
    </dgm:pt>
    <dgm:pt modelId="{2E3D3E7D-BA20-47CA-A22C-07CC34B672CF}" type="pres">
      <dgm:prSet presAssocID="{9E5D52D3-374F-4E43-9C4E-BF0B3D31EC7B}" presName="rootConnector" presStyleLbl="node4" presStyleIdx="87" presStyleCnt="243"/>
      <dgm:spPr/>
    </dgm:pt>
    <dgm:pt modelId="{D66574D7-572B-4213-97B5-D4443291B307}" type="pres">
      <dgm:prSet presAssocID="{9E5D52D3-374F-4E43-9C4E-BF0B3D31EC7B}" presName="hierChild4" presStyleCnt="0"/>
      <dgm:spPr/>
    </dgm:pt>
    <dgm:pt modelId="{9745046B-7445-4C9D-994B-C78332C0D2B2}" type="pres">
      <dgm:prSet presAssocID="{9E5D52D3-374F-4E43-9C4E-BF0B3D31EC7B}" presName="hierChild5" presStyleCnt="0"/>
      <dgm:spPr/>
    </dgm:pt>
    <dgm:pt modelId="{3C3D1489-B4F8-4B36-A6C8-5E5683E15D10}" type="pres">
      <dgm:prSet presAssocID="{A830B224-1B71-43B7-BF60-8199ADEC889C}" presName="Name37" presStyleLbl="parChTrans1D4" presStyleIdx="88" presStyleCnt="243"/>
      <dgm:spPr/>
    </dgm:pt>
    <dgm:pt modelId="{4A44AAA3-5640-49F6-A094-1AA8FD111CD8}" type="pres">
      <dgm:prSet presAssocID="{AE6EB06C-12F8-4964-BB56-502B7A700042}" presName="hierRoot2" presStyleCnt="0">
        <dgm:presLayoutVars>
          <dgm:hierBranch val="init"/>
        </dgm:presLayoutVars>
      </dgm:prSet>
      <dgm:spPr/>
    </dgm:pt>
    <dgm:pt modelId="{99E0B972-0486-4BC9-964C-BCDEBCA396BE}" type="pres">
      <dgm:prSet presAssocID="{AE6EB06C-12F8-4964-BB56-502B7A700042}" presName="rootComposite" presStyleCnt="0"/>
      <dgm:spPr/>
    </dgm:pt>
    <dgm:pt modelId="{055BDCD4-D8D0-4265-9155-6C56B6771C11}" type="pres">
      <dgm:prSet presAssocID="{AE6EB06C-12F8-4964-BB56-502B7A700042}" presName="rootText" presStyleLbl="node4" presStyleIdx="88" presStyleCnt="243" custScaleX="110000" custScaleY="110000">
        <dgm:presLayoutVars>
          <dgm:chPref val="3"/>
        </dgm:presLayoutVars>
      </dgm:prSet>
      <dgm:spPr>
        <a:xfrm>
          <a:off x="16037236" y="5268693"/>
          <a:ext cx="1249530" cy="624765"/>
        </a:xfrm>
        <a:prstGeom prst="rect">
          <a:avLst/>
        </a:prstGeom>
      </dgm:spPr>
    </dgm:pt>
    <dgm:pt modelId="{9E315E13-B58A-477B-B190-9D3610A2B876}" type="pres">
      <dgm:prSet presAssocID="{AE6EB06C-12F8-4964-BB56-502B7A700042}" presName="rootConnector" presStyleLbl="node4" presStyleIdx="88" presStyleCnt="243"/>
      <dgm:spPr/>
    </dgm:pt>
    <dgm:pt modelId="{D62D8920-1143-4BCB-A25D-84C2C2A61A81}" type="pres">
      <dgm:prSet presAssocID="{AE6EB06C-12F8-4964-BB56-502B7A700042}" presName="hierChild4" presStyleCnt="0"/>
      <dgm:spPr/>
    </dgm:pt>
    <dgm:pt modelId="{1E0D9A10-AC1A-4D4D-9667-90514278CBBD}" type="pres">
      <dgm:prSet presAssocID="{AE6EB06C-12F8-4964-BB56-502B7A700042}" presName="hierChild5" presStyleCnt="0"/>
      <dgm:spPr/>
    </dgm:pt>
    <dgm:pt modelId="{D3E21512-AE49-47D3-96E7-6CF8D7FF1A44}" type="pres">
      <dgm:prSet presAssocID="{EE8DB93E-4178-4B98-B71F-4A966489DCE1}" presName="Name37" presStyleLbl="parChTrans1D4" presStyleIdx="89" presStyleCnt="243"/>
      <dgm:spPr/>
    </dgm:pt>
    <dgm:pt modelId="{726419F4-A1AF-4891-A391-F6F70EF73CC0}" type="pres">
      <dgm:prSet presAssocID="{31DC45D9-D8ED-4679-B491-7ED9DF4D548E}" presName="hierRoot2" presStyleCnt="0">
        <dgm:presLayoutVars>
          <dgm:hierBranch val="init"/>
        </dgm:presLayoutVars>
      </dgm:prSet>
      <dgm:spPr/>
    </dgm:pt>
    <dgm:pt modelId="{30FD1C8C-2223-4096-B3CE-9BC898D9CF15}" type="pres">
      <dgm:prSet presAssocID="{31DC45D9-D8ED-4679-B491-7ED9DF4D548E}" presName="rootComposite" presStyleCnt="0"/>
      <dgm:spPr/>
    </dgm:pt>
    <dgm:pt modelId="{6E12A845-F93A-4F18-8787-0C788456A0E0}" type="pres">
      <dgm:prSet presAssocID="{31DC45D9-D8ED-4679-B491-7ED9DF4D548E}" presName="rootText" presStyleLbl="node4" presStyleIdx="89" presStyleCnt="243" custScaleX="123794">
        <dgm:presLayoutVars>
          <dgm:chPref val="3"/>
        </dgm:presLayoutVars>
      </dgm:prSet>
      <dgm:spPr/>
    </dgm:pt>
    <dgm:pt modelId="{8EAEB51E-A166-4058-91B8-5AAB235A8ECA}" type="pres">
      <dgm:prSet presAssocID="{31DC45D9-D8ED-4679-B491-7ED9DF4D548E}" presName="rootConnector" presStyleLbl="node4" presStyleIdx="89" presStyleCnt="243"/>
      <dgm:spPr/>
    </dgm:pt>
    <dgm:pt modelId="{89C28627-E317-4630-ADFB-B1F2843AABC2}" type="pres">
      <dgm:prSet presAssocID="{31DC45D9-D8ED-4679-B491-7ED9DF4D548E}" presName="hierChild4" presStyleCnt="0"/>
      <dgm:spPr/>
    </dgm:pt>
    <dgm:pt modelId="{EB7D39FA-2252-4D96-846C-1472600448E8}" type="pres">
      <dgm:prSet presAssocID="{31DC45D9-D8ED-4679-B491-7ED9DF4D548E}" presName="hierChild5" presStyleCnt="0"/>
      <dgm:spPr/>
    </dgm:pt>
    <dgm:pt modelId="{1096F9E5-2E4B-4F1C-AA1C-7719D6353D71}" type="pres">
      <dgm:prSet presAssocID="{FE848344-69B4-4AF0-A0BA-62F6E39471A7}" presName="hierChild5" presStyleCnt="0"/>
      <dgm:spPr/>
    </dgm:pt>
    <dgm:pt modelId="{CBFBE1FE-DB55-4F14-A150-97B5624B9739}" type="pres">
      <dgm:prSet presAssocID="{624FCBA6-4037-4BFE-AEF8-B4CBBD83024F}" presName="hierChild5" presStyleCnt="0"/>
      <dgm:spPr/>
    </dgm:pt>
    <dgm:pt modelId="{6DB5A6F2-5851-4BB5-8965-8832E630D391}" type="pres">
      <dgm:prSet presAssocID="{95DD5D78-5172-41EB-92A6-C4EFFB382529}" presName="Name37" presStyleLbl="parChTrans1D2" presStyleIdx="1" presStyleCnt="3"/>
      <dgm:spPr/>
    </dgm:pt>
    <dgm:pt modelId="{5A034215-B5BD-4B86-991A-181874B52D3B}" type="pres">
      <dgm:prSet presAssocID="{668FD8E8-F813-44B7-ADB4-AF4C5A9F35DF}" presName="hierRoot2" presStyleCnt="0">
        <dgm:presLayoutVars>
          <dgm:hierBranch val="init"/>
        </dgm:presLayoutVars>
      </dgm:prSet>
      <dgm:spPr/>
    </dgm:pt>
    <dgm:pt modelId="{B950732B-1EF3-4785-89AE-9C777B574265}" type="pres">
      <dgm:prSet presAssocID="{668FD8E8-F813-44B7-ADB4-AF4C5A9F35DF}" presName="rootComposite" presStyleCnt="0"/>
      <dgm:spPr/>
    </dgm:pt>
    <dgm:pt modelId="{FD281182-B3BB-48D1-9281-A2F9DAB078B5}" type="pres">
      <dgm:prSet presAssocID="{668FD8E8-F813-44B7-ADB4-AF4C5A9F35DF}" presName="rootText" presStyleLbl="node2" presStyleIdx="1" presStyleCnt="3">
        <dgm:presLayoutVars>
          <dgm:chPref val="3"/>
        </dgm:presLayoutVars>
      </dgm:prSet>
      <dgm:spPr/>
    </dgm:pt>
    <dgm:pt modelId="{AA35FAD0-C577-4405-B208-F59D38274ED5}" type="pres">
      <dgm:prSet presAssocID="{668FD8E8-F813-44B7-ADB4-AF4C5A9F35DF}" presName="rootConnector" presStyleLbl="node2" presStyleIdx="1" presStyleCnt="3"/>
      <dgm:spPr/>
    </dgm:pt>
    <dgm:pt modelId="{99F53BDD-8B8B-4739-B78F-7A95739DCC3E}" type="pres">
      <dgm:prSet presAssocID="{668FD8E8-F813-44B7-ADB4-AF4C5A9F35DF}" presName="hierChild4" presStyleCnt="0"/>
      <dgm:spPr/>
    </dgm:pt>
    <dgm:pt modelId="{0D819E8B-2A70-4829-981F-116ADB47A9EB}" type="pres">
      <dgm:prSet presAssocID="{A0E2C5C2-CA84-4E08-AD8D-22A90C36ACCD}" presName="Name37" presStyleLbl="parChTrans1D3" presStyleIdx="4" presStyleCnt="19"/>
      <dgm:spPr/>
    </dgm:pt>
    <dgm:pt modelId="{4E0E0C95-E881-4BB8-B38C-3A3B934FA332}" type="pres">
      <dgm:prSet presAssocID="{CCEB27B7-C321-4041-835D-689BBBE813E0}" presName="hierRoot2" presStyleCnt="0">
        <dgm:presLayoutVars>
          <dgm:hierBranch/>
        </dgm:presLayoutVars>
      </dgm:prSet>
      <dgm:spPr/>
    </dgm:pt>
    <dgm:pt modelId="{BFE082E3-77BF-49AA-8C2F-CF30B451B596}" type="pres">
      <dgm:prSet presAssocID="{CCEB27B7-C321-4041-835D-689BBBE813E0}" presName="rootComposite" presStyleCnt="0"/>
      <dgm:spPr/>
    </dgm:pt>
    <dgm:pt modelId="{AE26D402-F7C2-429E-A766-FA3F3B04E164}" type="pres">
      <dgm:prSet presAssocID="{CCEB27B7-C321-4041-835D-689BBBE813E0}" presName="rootText" presStyleLbl="node3" presStyleIdx="4" presStyleCnt="19">
        <dgm:presLayoutVars>
          <dgm:chPref val="3"/>
        </dgm:presLayoutVars>
      </dgm:prSet>
      <dgm:spPr/>
    </dgm:pt>
    <dgm:pt modelId="{BF67E541-9960-4D57-A562-7C65922EF1C0}" type="pres">
      <dgm:prSet presAssocID="{CCEB27B7-C321-4041-835D-689BBBE813E0}" presName="rootConnector" presStyleLbl="node3" presStyleIdx="4" presStyleCnt="19"/>
      <dgm:spPr/>
    </dgm:pt>
    <dgm:pt modelId="{3396DAA1-0C78-4E73-A8DA-30235A7827E4}" type="pres">
      <dgm:prSet presAssocID="{CCEB27B7-C321-4041-835D-689BBBE813E0}" presName="hierChild4" presStyleCnt="0"/>
      <dgm:spPr/>
    </dgm:pt>
    <dgm:pt modelId="{AC909B98-FA89-4DAE-A87F-51D19ADA4B8E}" type="pres">
      <dgm:prSet presAssocID="{BBB283EE-D400-40C1-A13D-FE4E38ED419B}" presName="Name35" presStyleLbl="parChTrans1D4" presStyleIdx="90" presStyleCnt="243"/>
      <dgm:spPr/>
    </dgm:pt>
    <dgm:pt modelId="{332DFC28-CFA2-48C2-A017-F25C8F79A3A6}" type="pres">
      <dgm:prSet presAssocID="{4FD2859B-28FD-4397-A41C-A0D56C25F818}" presName="hierRoot2" presStyleCnt="0">
        <dgm:presLayoutVars>
          <dgm:hierBranch val="init"/>
        </dgm:presLayoutVars>
      </dgm:prSet>
      <dgm:spPr/>
    </dgm:pt>
    <dgm:pt modelId="{14158A7B-BEC2-4724-BBBE-BDDF9400BBDF}" type="pres">
      <dgm:prSet presAssocID="{4FD2859B-28FD-4397-A41C-A0D56C25F818}" presName="rootComposite" presStyleCnt="0"/>
      <dgm:spPr/>
    </dgm:pt>
    <dgm:pt modelId="{E2728EA9-BCA3-493D-845A-77E3B0CFBF6E}" type="pres">
      <dgm:prSet presAssocID="{4FD2859B-28FD-4397-A41C-A0D56C25F818}" presName="rootText" presStyleLbl="node4" presStyleIdx="90" presStyleCnt="243" custScaleX="100000" custScaleY="100000">
        <dgm:presLayoutVars>
          <dgm:chPref val="3"/>
        </dgm:presLayoutVars>
      </dgm:prSet>
      <dgm:spPr/>
    </dgm:pt>
    <dgm:pt modelId="{F9D4CBD4-F34F-476C-9336-235A50EBFFB8}" type="pres">
      <dgm:prSet presAssocID="{4FD2859B-28FD-4397-A41C-A0D56C25F818}" presName="rootConnector" presStyleLbl="node4" presStyleIdx="90" presStyleCnt="243"/>
      <dgm:spPr/>
    </dgm:pt>
    <dgm:pt modelId="{50F8F47B-85A3-4E13-B01D-49C82F4C4A0A}" type="pres">
      <dgm:prSet presAssocID="{4FD2859B-28FD-4397-A41C-A0D56C25F818}" presName="hierChild4" presStyleCnt="0"/>
      <dgm:spPr/>
    </dgm:pt>
    <dgm:pt modelId="{F2A19A03-40F4-4612-884F-F552FE04D5D4}" type="pres">
      <dgm:prSet presAssocID="{CD763F49-A447-4F40-8C07-34074393A471}" presName="Name37" presStyleLbl="parChTrans1D4" presStyleIdx="91" presStyleCnt="243"/>
      <dgm:spPr/>
    </dgm:pt>
    <dgm:pt modelId="{06AA938A-E70E-45CE-828A-A46ACD485C28}" type="pres">
      <dgm:prSet presAssocID="{F66EE8E3-FED5-4EE4-8436-4ED51E9BED17}" presName="hierRoot2" presStyleCnt="0">
        <dgm:presLayoutVars>
          <dgm:hierBranch val="init"/>
        </dgm:presLayoutVars>
      </dgm:prSet>
      <dgm:spPr/>
    </dgm:pt>
    <dgm:pt modelId="{4F07DD80-D7E5-44E1-AAA9-75DE968DF492}" type="pres">
      <dgm:prSet presAssocID="{F66EE8E3-FED5-4EE4-8436-4ED51E9BED17}" presName="rootComposite" presStyleCnt="0"/>
      <dgm:spPr/>
    </dgm:pt>
    <dgm:pt modelId="{18030DCA-1D30-4C78-9BD5-E0C6BC21538C}" type="pres">
      <dgm:prSet presAssocID="{F66EE8E3-FED5-4EE4-8436-4ED51E9BED17}" presName="rootText" presStyleLbl="node4" presStyleIdx="91" presStyleCnt="243">
        <dgm:presLayoutVars>
          <dgm:chPref val="3"/>
        </dgm:presLayoutVars>
      </dgm:prSet>
      <dgm:spPr/>
    </dgm:pt>
    <dgm:pt modelId="{CE46C59C-A597-44D4-B217-595BD0C9D0FA}" type="pres">
      <dgm:prSet presAssocID="{F66EE8E3-FED5-4EE4-8436-4ED51E9BED17}" presName="rootConnector" presStyleLbl="node4" presStyleIdx="91" presStyleCnt="243"/>
      <dgm:spPr/>
    </dgm:pt>
    <dgm:pt modelId="{F26FFDD1-F4DC-45AA-B77A-35BCEBC2657C}" type="pres">
      <dgm:prSet presAssocID="{F66EE8E3-FED5-4EE4-8436-4ED51E9BED17}" presName="hierChild4" presStyleCnt="0"/>
      <dgm:spPr/>
    </dgm:pt>
    <dgm:pt modelId="{AC5D1365-6F13-4DE3-9942-F6AEF641D188}" type="pres">
      <dgm:prSet presAssocID="{F66EE8E3-FED5-4EE4-8436-4ED51E9BED17}" presName="hierChild5" presStyleCnt="0"/>
      <dgm:spPr/>
    </dgm:pt>
    <dgm:pt modelId="{48989446-6B7C-4DE4-826A-E0D880298EAE}" type="pres">
      <dgm:prSet presAssocID="{DE9883FB-F4D5-4518-8204-ABE11F12E75D}" presName="Name37" presStyleLbl="parChTrans1D4" presStyleIdx="92" presStyleCnt="243"/>
      <dgm:spPr/>
    </dgm:pt>
    <dgm:pt modelId="{BCC69EF1-00FD-4EE4-8CAB-C91A1E8A394F}" type="pres">
      <dgm:prSet presAssocID="{BB046DF1-5379-44C8-A43A-2348411C2FE1}" presName="hierRoot2" presStyleCnt="0">
        <dgm:presLayoutVars>
          <dgm:hierBranch val="init"/>
        </dgm:presLayoutVars>
      </dgm:prSet>
      <dgm:spPr/>
    </dgm:pt>
    <dgm:pt modelId="{E09E5AC9-F35A-4CEB-95CF-2E0011652A25}" type="pres">
      <dgm:prSet presAssocID="{BB046DF1-5379-44C8-A43A-2348411C2FE1}" presName="rootComposite" presStyleCnt="0"/>
      <dgm:spPr/>
    </dgm:pt>
    <dgm:pt modelId="{068EA1E2-E0A6-49BE-9F4B-6F28F451E3C2}" type="pres">
      <dgm:prSet presAssocID="{BB046DF1-5379-44C8-A43A-2348411C2FE1}" presName="rootText" presStyleLbl="node4" presStyleIdx="92" presStyleCnt="243">
        <dgm:presLayoutVars>
          <dgm:chPref val="3"/>
        </dgm:presLayoutVars>
      </dgm:prSet>
      <dgm:spPr/>
    </dgm:pt>
    <dgm:pt modelId="{57148FAD-B2FD-4849-AC35-107CE33E630F}" type="pres">
      <dgm:prSet presAssocID="{BB046DF1-5379-44C8-A43A-2348411C2FE1}" presName="rootConnector" presStyleLbl="node4" presStyleIdx="92" presStyleCnt="243"/>
      <dgm:spPr/>
    </dgm:pt>
    <dgm:pt modelId="{64E1925A-DF0B-4382-B814-B06743871B1D}" type="pres">
      <dgm:prSet presAssocID="{BB046DF1-5379-44C8-A43A-2348411C2FE1}" presName="hierChild4" presStyleCnt="0"/>
      <dgm:spPr/>
    </dgm:pt>
    <dgm:pt modelId="{6EEBD570-626C-4681-AEB0-8553F62E0F91}" type="pres">
      <dgm:prSet presAssocID="{BB046DF1-5379-44C8-A43A-2348411C2FE1}" presName="hierChild5" presStyleCnt="0"/>
      <dgm:spPr/>
    </dgm:pt>
    <dgm:pt modelId="{321A4954-D51F-46E5-BE69-4D16A216DACB}" type="pres">
      <dgm:prSet presAssocID="{4FD2859B-28FD-4397-A41C-A0D56C25F818}" presName="hierChild5" presStyleCnt="0"/>
      <dgm:spPr/>
    </dgm:pt>
    <dgm:pt modelId="{52D99EDA-3B01-4889-B12D-5996B4A1F372}" type="pres">
      <dgm:prSet presAssocID="{821FDB64-7DAF-42E3-A83D-5C29EA5F02AC}" presName="Name35" presStyleLbl="parChTrans1D4" presStyleIdx="93" presStyleCnt="243"/>
      <dgm:spPr/>
    </dgm:pt>
    <dgm:pt modelId="{4F650F3D-6059-4740-B977-C3D1E8E0B9B7}" type="pres">
      <dgm:prSet presAssocID="{7C5D9E23-1DFF-4658-A7C0-5FADC95D2D8C}" presName="hierRoot2" presStyleCnt="0">
        <dgm:presLayoutVars>
          <dgm:hierBranch val="init"/>
        </dgm:presLayoutVars>
      </dgm:prSet>
      <dgm:spPr/>
    </dgm:pt>
    <dgm:pt modelId="{B62558F7-BE53-4F99-AB17-A1069F71256A}" type="pres">
      <dgm:prSet presAssocID="{7C5D9E23-1DFF-4658-A7C0-5FADC95D2D8C}" presName="rootComposite" presStyleCnt="0"/>
      <dgm:spPr/>
    </dgm:pt>
    <dgm:pt modelId="{D06D6200-3867-4B76-A1AD-6D4D1ABAADB1}" type="pres">
      <dgm:prSet presAssocID="{7C5D9E23-1DFF-4658-A7C0-5FADC95D2D8C}" presName="rootText" presStyleLbl="node4" presStyleIdx="93" presStyleCnt="243" custScaleX="100000" custScaleY="100000">
        <dgm:presLayoutVars>
          <dgm:chPref val="3"/>
        </dgm:presLayoutVars>
      </dgm:prSet>
      <dgm:spPr/>
    </dgm:pt>
    <dgm:pt modelId="{068DDF26-29B5-43E2-B5D9-C61A0211B963}" type="pres">
      <dgm:prSet presAssocID="{7C5D9E23-1DFF-4658-A7C0-5FADC95D2D8C}" presName="rootConnector" presStyleLbl="node4" presStyleIdx="93" presStyleCnt="243"/>
      <dgm:spPr/>
    </dgm:pt>
    <dgm:pt modelId="{87459F41-01F3-44FD-9B9C-3A08DE4EBCCF}" type="pres">
      <dgm:prSet presAssocID="{7C5D9E23-1DFF-4658-A7C0-5FADC95D2D8C}" presName="hierChild4" presStyleCnt="0"/>
      <dgm:spPr/>
    </dgm:pt>
    <dgm:pt modelId="{71E25AB2-52B6-471F-AE91-2BCEA80F7F92}" type="pres">
      <dgm:prSet presAssocID="{7C5D9E23-1DFF-4658-A7C0-5FADC95D2D8C}" presName="hierChild5" presStyleCnt="0"/>
      <dgm:spPr/>
    </dgm:pt>
    <dgm:pt modelId="{257167C0-CF78-453C-AE72-58CC72F31635}" type="pres">
      <dgm:prSet presAssocID="{CCEB27B7-C321-4041-835D-689BBBE813E0}" presName="hierChild5" presStyleCnt="0"/>
      <dgm:spPr/>
    </dgm:pt>
    <dgm:pt modelId="{143F8B4A-E81B-4644-AD6B-092FFEB72DC9}" type="pres">
      <dgm:prSet presAssocID="{CB4EA92A-DCE3-4722-B5A8-9FACE7B9B8B1}" presName="Name37" presStyleLbl="parChTrans1D3" presStyleIdx="5" presStyleCnt="19"/>
      <dgm:spPr/>
    </dgm:pt>
    <dgm:pt modelId="{ED8D39CC-7FC6-43E4-B29C-E528D0006090}" type="pres">
      <dgm:prSet presAssocID="{2E764A5A-3A14-45D4-A38B-5595B575B8E6}" presName="hierRoot2" presStyleCnt="0">
        <dgm:presLayoutVars>
          <dgm:hierBranch val="init"/>
        </dgm:presLayoutVars>
      </dgm:prSet>
      <dgm:spPr/>
    </dgm:pt>
    <dgm:pt modelId="{4C9B48C9-15F7-463E-8186-1CEAC090C12C}" type="pres">
      <dgm:prSet presAssocID="{2E764A5A-3A14-45D4-A38B-5595B575B8E6}" presName="rootComposite" presStyleCnt="0"/>
      <dgm:spPr/>
    </dgm:pt>
    <dgm:pt modelId="{7D16964D-88F4-4CEB-A14A-799F2DA059D0}" type="pres">
      <dgm:prSet presAssocID="{2E764A5A-3A14-45D4-A38B-5595B575B8E6}" presName="rootText" presStyleLbl="node3" presStyleIdx="5" presStyleCnt="19">
        <dgm:presLayoutVars>
          <dgm:chPref val="3"/>
        </dgm:presLayoutVars>
      </dgm:prSet>
      <dgm:spPr/>
    </dgm:pt>
    <dgm:pt modelId="{DBD82063-4008-4B2F-B803-11E288C52EC0}" type="pres">
      <dgm:prSet presAssocID="{2E764A5A-3A14-45D4-A38B-5595B575B8E6}" presName="rootConnector" presStyleLbl="node3" presStyleIdx="5" presStyleCnt="19"/>
      <dgm:spPr/>
    </dgm:pt>
    <dgm:pt modelId="{C136D761-BCF4-428C-8841-360B8BA8EF2D}" type="pres">
      <dgm:prSet presAssocID="{2E764A5A-3A14-45D4-A38B-5595B575B8E6}" presName="hierChild4" presStyleCnt="0"/>
      <dgm:spPr/>
    </dgm:pt>
    <dgm:pt modelId="{2B9EFDF3-432C-4E6B-9C62-BBBA700F291F}" type="pres">
      <dgm:prSet presAssocID="{48297509-E534-4AEB-8B37-CA0244981934}" presName="Name37" presStyleLbl="parChTrans1D4" presStyleIdx="94" presStyleCnt="243"/>
      <dgm:spPr/>
    </dgm:pt>
    <dgm:pt modelId="{E329381E-BCA0-4740-B2E8-BDCAF62B1358}" type="pres">
      <dgm:prSet presAssocID="{201EEA7F-7334-4A45-8ED4-7294998966B3}" presName="hierRoot2" presStyleCnt="0">
        <dgm:presLayoutVars>
          <dgm:hierBranch val="init"/>
        </dgm:presLayoutVars>
      </dgm:prSet>
      <dgm:spPr/>
    </dgm:pt>
    <dgm:pt modelId="{09D85B07-31C1-486A-A591-95F025FBB0F1}" type="pres">
      <dgm:prSet presAssocID="{201EEA7F-7334-4A45-8ED4-7294998966B3}" presName="rootComposite" presStyleCnt="0"/>
      <dgm:spPr/>
    </dgm:pt>
    <dgm:pt modelId="{EBC13BA5-55D4-4757-83C3-163149F20BA5}" type="pres">
      <dgm:prSet presAssocID="{201EEA7F-7334-4A45-8ED4-7294998966B3}" presName="rootText" presStyleLbl="node4" presStyleIdx="94" presStyleCnt="243" custScaleX="90909" custScaleY="90909">
        <dgm:presLayoutVars>
          <dgm:chPref val="3"/>
        </dgm:presLayoutVars>
      </dgm:prSet>
      <dgm:spPr/>
    </dgm:pt>
    <dgm:pt modelId="{73E1B0C1-A83E-476D-9B00-CB8AF9E1B183}" type="pres">
      <dgm:prSet presAssocID="{201EEA7F-7334-4A45-8ED4-7294998966B3}" presName="rootConnector" presStyleLbl="node4" presStyleIdx="94" presStyleCnt="243"/>
      <dgm:spPr/>
    </dgm:pt>
    <dgm:pt modelId="{A01DAEA5-7AB3-4DCC-9FE6-050355BAA9B2}" type="pres">
      <dgm:prSet presAssocID="{201EEA7F-7334-4A45-8ED4-7294998966B3}" presName="hierChild4" presStyleCnt="0"/>
      <dgm:spPr/>
    </dgm:pt>
    <dgm:pt modelId="{9DF3988B-5C9A-456D-8EA8-CBA55D0BFD75}" type="pres">
      <dgm:prSet presAssocID="{201EEA7F-7334-4A45-8ED4-7294998966B3}" presName="hierChild5" presStyleCnt="0"/>
      <dgm:spPr/>
    </dgm:pt>
    <dgm:pt modelId="{46E8D49D-A92C-4308-8E0E-73BB234CEAFC}" type="pres">
      <dgm:prSet presAssocID="{C5C28E5C-6D94-41CA-82AC-57783E17F7A5}" presName="Name37" presStyleLbl="parChTrans1D4" presStyleIdx="95" presStyleCnt="243"/>
      <dgm:spPr/>
    </dgm:pt>
    <dgm:pt modelId="{DF291A6A-BF00-47BA-B0C6-866B406C2399}" type="pres">
      <dgm:prSet presAssocID="{A8EA00EE-E19D-4089-B2C5-41B7066ABC2E}" presName="hierRoot2" presStyleCnt="0">
        <dgm:presLayoutVars>
          <dgm:hierBranch val="init"/>
        </dgm:presLayoutVars>
      </dgm:prSet>
      <dgm:spPr/>
    </dgm:pt>
    <dgm:pt modelId="{0227A0AD-C300-4923-9ED6-CFDBC0606D5C}" type="pres">
      <dgm:prSet presAssocID="{A8EA00EE-E19D-4089-B2C5-41B7066ABC2E}" presName="rootComposite" presStyleCnt="0"/>
      <dgm:spPr/>
    </dgm:pt>
    <dgm:pt modelId="{2E2F18DF-47D4-4D8C-A727-147EEA1C5220}" type="pres">
      <dgm:prSet presAssocID="{A8EA00EE-E19D-4089-B2C5-41B7066ABC2E}" presName="rootText" presStyleLbl="node4" presStyleIdx="95" presStyleCnt="243" custScaleX="90909" custScaleY="90909">
        <dgm:presLayoutVars>
          <dgm:chPref val="3"/>
        </dgm:presLayoutVars>
      </dgm:prSet>
      <dgm:spPr/>
    </dgm:pt>
    <dgm:pt modelId="{314C431C-9068-4D36-9F45-3FE346ED3B0C}" type="pres">
      <dgm:prSet presAssocID="{A8EA00EE-E19D-4089-B2C5-41B7066ABC2E}" presName="rootConnector" presStyleLbl="node4" presStyleIdx="95" presStyleCnt="243"/>
      <dgm:spPr/>
    </dgm:pt>
    <dgm:pt modelId="{3DD6D087-50C5-4F5C-A34B-75ADF5643F70}" type="pres">
      <dgm:prSet presAssocID="{A8EA00EE-E19D-4089-B2C5-41B7066ABC2E}" presName="hierChild4" presStyleCnt="0"/>
      <dgm:spPr/>
    </dgm:pt>
    <dgm:pt modelId="{C47F1786-59D5-4DB1-A987-D6BBFA431594}" type="pres">
      <dgm:prSet presAssocID="{A8EA00EE-E19D-4089-B2C5-41B7066ABC2E}" presName="hierChild5" presStyleCnt="0"/>
      <dgm:spPr/>
    </dgm:pt>
    <dgm:pt modelId="{5EE0E15C-2DFC-4C62-92B8-85DA37B70587}" type="pres">
      <dgm:prSet presAssocID="{DB5D59AE-306A-4C0E-AC81-2C84A144769B}" presName="Name37" presStyleLbl="parChTrans1D4" presStyleIdx="96" presStyleCnt="243"/>
      <dgm:spPr/>
    </dgm:pt>
    <dgm:pt modelId="{361311D6-29D0-49A4-B80B-4042F3CF70B3}" type="pres">
      <dgm:prSet presAssocID="{A24482FC-352B-4DCE-93B6-0721A84D3DAA}" presName="hierRoot2" presStyleCnt="0">
        <dgm:presLayoutVars>
          <dgm:hierBranch val="init"/>
        </dgm:presLayoutVars>
      </dgm:prSet>
      <dgm:spPr/>
    </dgm:pt>
    <dgm:pt modelId="{E1F86456-423D-409F-B016-12182FD8489A}" type="pres">
      <dgm:prSet presAssocID="{A24482FC-352B-4DCE-93B6-0721A84D3DAA}" presName="rootComposite" presStyleCnt="0"/>
      <dgm:spPr/>
    </dgm:pt>
    <dgm:pt modelId="{4889A419-7A00-4A58-AB1F-F2D2D66976E3}" type="pres">
      <dgm:prSet presAssocID="{A24482FC-352B-4DCE-93B6-0721A84D3DAA}" presName="rootText" presStyleLbl="node4" presStyleIdx="96" presStyleCnt="243" custScaleX="90909" custScaleY="90909">
        <dgm:presLayoutVars>
          <dgm:chPref val="3"/>
        </dgm:presLayoutVars>
      </dgm:prSet>
      <dgm:spPr/>
    </dgm:pt>
    <dgm:pt modelId="{EE80E488-3A29-4CAE-B3BD-7D7AAE7E6AD0}" type="pres">
      <dgm:prSet presAssocID="{A24482FC-352B-4DCE-93B6-0721A84D3DAA}" presName="rootConnector" presStyleLbl="node4" presStyleIdx="96" presStyleCnt="243"/>
      <dgm:spPr/>
    </dgm:pt>
    <dgm:pt modelId="{1DC2B24D-A361-4E8F-AB82-2BD8389CB99D}" type="pres">
      <dgm:prSet presAssocID="{A24482FC-352B-4DCE-93B6-0721A84D3DAA}" presName="hierChild4" presStyleCnt="0"/>
      <dgm:spPr/>
    </dgm:pt>
    <dgm:pt modelId="{D844E27F-55DC-49EA-8520-43C9F7E2B9AE}" type="pres">
      <dgm:prSet presAssocID="{A24482FC-352B-4DCE-93B6-0721A84D3DAA}" presName="hierChild5" presStyleCnt="0"/>
      <dgm:spPr/>
    </dgm:pt>
    <dgm:pt modelId="{2A58210B-1A0B-43E6-9B3A-87A8CFF9E67C}" type="pres">
      <dgm:prSet presAssocID="{D7F3EA7A-619D-4972-AD51-63650624138C}" presName="Name37" presStyleLbl="parChTrans1D4" presStyleIdx="97" presStyleCnt="243"/>
      <dgm:spPr/>
    </dgm:pt>
    <dgm:pt modelId="{D1A95942-B430-416A-BCD7-02E8CDE1274A}" type="pres">
      <dgm:prSet presAssocID="{5415383A-F5AF-4898-9C22-13AB48B2A05C}" presName="hierRoot2" presStyleCnt="0">
        <dgm:presLayoutVars>
          <dgm:hierBranch val="init"/>
        </dgm:presLayoutVars>
      </dgm:prSet>
      <dgm:spPr/>
    </dgm:pt>
    <dgm:pt modelId="{51ECA19C-5F76-4848-9F62-19DFCE6CF149}" type="pres">
      <dgm:prSet presAssocID="{5415383A-F5AF-4898-9C22-13AB48B2A05C}" presName="rootComposite" presStyleCnt="0"/>
      <dgm:spPr/>
    </dgm:pt>
    <dgm:pt modelId="{6F35C804-9019-49BB-8ACB-2A0A2EC48C60}" type="pres">
      <dgm:prSet presAssocID="{5415383A-F5AF-4898-9C22-13AB48B2A05C}" presName="rootText" presStyleLbl="node4" presStyleIdx="97" presStyleCnt="243" custScaleX="90909" custScaleY="90909">
        <dgm:presLayoutVars>
          <dgm:chPref val="3"/>
        </dgm:presLayoutVars>
      </dgm:prSet>
      <dgm:spPr/>
    </dgm:pt>
    <dgm:pt modelId="{A8CE11DA-2279-4EDA-87E5-B439F06644FF}" type="pres">
      <dgm:prSet presAssocID="{5415383A-F5AF-4898-9C22-13AB48B2A05C}" presName="rootConnector" presStyleLbl="node4" presStyleIdx="97" presStyleCnt="243"/>
      <dgm:spPr/>
    </dgm:pt>
    <dgm:pt modelId="{9A419B69-FE65-4228-A463-5F723E25CB02}" type="pres">
      <dgm:prSet presAssocID="{5415383A-F5AF-4898-9C22-13AB48B2A05C}" presName="hierChild4" presStyleCnt="0"/>
      <dgm:spPr/>
    </dgm:pt>
    <dgm:pt modelId="{785DA2C5-7E66-42D6-ABAE-734819F3BB0C}" type="pres">
      <dgm:prSet presAssocID="{5415383A-F5AF-4898-9C22-13AB48B2A05C}" presName="hierChild5" presStyleCnt="0"/>
      <dgm:spPr/>
    </dgm:pt>
    <dgm:pt modelId="{DA6A51FB-7650-477E-96A4-DB62B2D615ED}" type="pres">
      <dgm:prSet presAssocID="{8E03C179-FBF2-492B-BCB0-E0FC2460C488}" presName="Name37" presStyleLbl="parChTrans1D4" presStyleIdx="98" presStyleCnt="243"/>
      <dgm:spPr/>
    </dgm:pt>
    <dgm:pt modelId="{4951857D-F82F-4AE0-A09D-B9879B49EE82}" type="pres">
      <dgm:prSet presAssocID="{9A3785AA-A16F-4604-8EFE-394E76690213}" presName="hierRoot2" presStyleCnt="0">
        <dgm:presLayoutVars>
          <dgm:hierBranch val="init"/>
        </dgm:presLayoutVars>
      </dgm:prSet>
      <dgm:spPr/>
    </dgm:pt>
    <dgm:pt modelId="{678F727F-9E8E-4281-BF55-D2E485F5E5ED}" type="pres">
      <dgm:prSet presAssocID="{9A3785AA-A16F-4604-8EFE-394E76690213}" presName="rootComposite" presStyleCnt="0"/>
      <dgm:spPr/>
    </dgm:pt>
    <dgm:pt modelId="{052DF1F5-4967-46E8-9760-3D36E23CB8C6}" type="pres">
      <dgm:prSet presAssocID="{9A3785AA-A16F-4604-8EFE-394E76690213}" presName="rootText" presStyleLbl="node4" presStyleIdx="98" presStyleCnt="243" custScaleX="90909" custScaleY="90909">
        <dgm:presLayoutVars>
          <dgm:chPref val="3"/>
        </dgm:presLayoutVars>
      </dgm:prSet>
      <dgm:spPr/>
    </dgm:pt>
    <dgm:pt modelId="{54E4E90D-B073-4A6D-94A2-9A914CCE2280}" type="pres">
      <dgm:prSet presAssocID="{9A3785AA-A16F-4604-8EFE-394E76690213}" presName="rootConnector" presStyleLbl="node4" presStyleIdx="98" presStyleCnt="243"/>
      <dgm:spPr/>
    </dgm:pt>
    <dgm:pt modelId="{73C56B5E-11AB-401F-A332-995D9FB937E9}" type="pres">
      <dgm:prSet presAssocID="{9A3785AA-A16F-4604-8EFE-394E76690213}" presName="hierChild4" presStyleCnt="0"/>
      <dgm:spPr/>
    </dgm:pt>
    <dgm:pt modelId="{1C5A0177-259E-4161-B735-057B5BF3FC9D}" type="pres">
      <dgm:prSet presAssocID="{9A3785AA-A16F-4604-8EFE-394E76690213}" presName="hierChild5" presStyleCnt="0"/>
      <dgm:spPr/>
    </dgm:pt>
    <dgm:pt modelId="{AB245EDA-7249-49C8-B1E4-00D8331ABC2F}" type="pres">
      <dgm:prSet presAssocID="{2E764A5A-3A14-45D4-A38B-5595B575B8E6}" presName="hierChild5" presStyleCnt="0"/>
      <dgm:spPr/>
    </dgm:pt>
    <dgm:pt modelId="{F5BE9F57-26FB-423D-A8F9-61061A959B0A}" type="pres">
      <dgm:prSet presAssocID="{0D819E5E-225C-4777-BE2E-6C54DE1586E0}" presName="Name37" presStyleLbl="parChTrans1D3" presStyleIdx="6" presStyleCnt="19"/>
      <dgm:spPr/>
    </dgm:pt>
    <dgm:pt modelId="{BE7E7144-98FE-4010-BC12-30AE8315233E}" type="pres">
      <dgm:prSet presAssocID="{CB5DDAB7-D6BA-4F78-8AC1-41093DB49CBF}" presName="hierRoot2" presStyleCnt="0">
        <dgm:presLayoutVars>
          <dgm:hierBranch/>
        </dgm:presLayoutVars>
      </dgm:prSet>
      <dgm:spPr/>
    </dgm:pt>
    <dgm:pt modelId="{9EA04FFC-B82F-4F84-8D4D-BB14ED89B587}" type="pres">
      <dgm:prSet presAssocID="{CB5DDAB7-D6BA-4F78-8AC1-41093DB49CBF}" presName="rootComposite" presStyleCnt="0"/>
      <dgm:spPr/>
    </dgm:pt>
    <dgm:pt modelId="{9ED724B5-D96D-4094-AA85-754FA7B73CEC}" type="pres">
      <dgm:prSet presAssocID="{CB5DDAB7-D6BA-4F78-8AC1-41093DB49CBF}" presName="rootText" presStyleLbl="node3" presStyleIdx="6" presStyleCnt="19">
        <dgm:presLayoutVars>
          <dgm:chPref val="3"/>
        </dgm:presLayoutVars>
      </dgm:prSet>
      <dgm:spPr/>
    </dgm:pt>
    <dgm:pt modelId="{3BD9E421-415F-48E6-B664-8F79FE1D24DF}" type="pres">
      <dgm:prSet presAssocID="{CB5DDAB7-D6BA-4F78-8AC1-41093DB49CBF}" presName="rootConnector" presStyleLbl="node3" presStyleIdx="6" presStyleCnt="19"/>
      <dgm:spPr/>
    </dgm:pt>
    <dgm:pt modelId="{D0D6D302-794B-41E0-B6BE-F9AD740299DE}" type="pres">
      <dgm:prSet presAssocID="{CB5DDAB7-D6BA-4F78-8AC1-41093DB49CBF}" presName="hierChild4" presStyleCnt="0"/>
      <dgm:spPr/>
    </dgm:pt>
    <dgm:pt modelId="{4EBD3A01-64E1-4D22-9323-B88A2B62374C}" type="pres">
      <dgm:prSet presAssocID="{C2F263F5-D360-4402-9297-CD0481D96D06}" presName="Name35" presStyleLbl="parChTrans1D4" presStyleIdx="99" presStyleCnt="243"/>
      <dgm:spPr/>
    </dgm:pt>
    <dgm:pt modelId="{65AA0E30-F961-45C5-8E9A-9A6EDE093BB1}" type="pres">
      <dgm:prSet presAssocID="{658C7DFD-1446-4BEC-824F-0D1F604AD075}" presName="hierRoot2" presStyleCnt="0">
        <dgm:presLayoutVars>
          <dgm:hierBranch val="init"/>
        </dgm:presLayoutVars>
      </dgm:prSet>
      <dgm:spPr/>
    </dgm:pt>
    <dgm:pt modelId="{2160319D-50CB-4322-9250-23DBFA7330B1}" type="pres">
      <dgm:prSet presAssocID="{658C7DFD-1446-4BEC-824F-0D1F604AD075}" presName="rootComposite" presStyleCnt="0"/>
      <dgm:spPr/>
    </dgm:pt>
    <dgm:pt modelId="{4E5DD5EF-BC9B-48C9-93F8-3D8790BEB0A2}" type="pres">
      <dgm:prSet presAssocID="{658C7DFD-1446-4BEC-824F-0D1F604AD075}" presName="rootText" presStyleLbl="node4" presStyleIdx="99" presStyleCnt="243">
        <dgm:presLayoutVars>
          <dgm:chPref val="3"/>
        </dgm:presLayoutVars>
      </dgm:prSet>
      <dgm:spPr/>
    </dgm:pt>
    <dgm:pt modelId="{487C44A1-F384-4470-A418-15722855680E}" type="pres">
      <dgm:prSet presAssocID="{658C7DFD-1446-4BEC-824F-0D1F604AD075}" presName="rootConnector" presStyleLbl="node4" presStyleIdx="99" presStyleCnt="243"/>
      <dgm:spPr/>
    </dgm:pt>
    <dgm:pt modelId="{BA008FAA-3475-40E9-A63A-EA1DD9937A4F}" type="pres">
      <dgm:prSet presAssocID="{658C7DFD-1446-4BEC-824F-0D1F604AD075}" presName="hierChild4" presStyleCnt="0"/>
      <dgm:spPr/>
    </dgm:pt>
    <dgm:pt modelId="{DD885601-6882-48B9-866B-50BC220C628B}" type="pres">
      <dgm:prSet presAssocID="{658C7DFD-1446-4BEC-824F-0D1F604AD075}" presName="hierChild5" presStyleCnt="0"/>
      <dgm:spPr/>
    </dgm:pt>
    <dgm:pt modelId="{B7C384C0-99F6-48E0-9F98-62B1F0F5F751}" type="pres">
      <dgm:prSet presAssocID="{41379AF8-A3CE-4C64-8A4A-FAF727BD241C}" presName="Name35" presStyleLbl="parChTrans1D4" presStyleIdx="100" presStyleCnt="243"/>
      <dgm:spPr/>
    </dgm:pt>
    <dgm:pt modelId="{CD39C358-295C-45D0-9330-1E2BE7A5F745}" type="pres">
      <dgm:prSet presAssocID="{2B395088-F7D8-4B01-9FFC-6C8E86BE432F}" presName="hierRoot2" presStyleCnt="0">
        <dgm:presLayoutVars>
          <dgm:hierBranch val="init"/>
        </dgm:presLayoutVars>
      </dgm:prSet>
      <dgm:spPr/>
    </dgm:pt>
    <dgm:pt modelId="{5F42B3FF-03CE-48AB-B684-ED702F9DFAE8}" type="pres">
      <dgm:prSet presAssocID="{2B395088-F7D8-4B01-9FFC-6C8E86BE432F}" presName="rootComposite" presStyleCnt="0"/>
      <dgm:spPr/>
    </dgm:pt>
    <dgm:pt modelId="{E9B40E47-7D4D-47FD-9D3E-85C94CE28460}" type="pres">
      <dgm:prSet presAssocID="{2B395088-F7D8-4B01-9FFC-6C8E86BE432F}" presName="rootText" presStyleLbl="node4" presStyleIdx="100" presStyleCnt="243">
        <dgm:presLayoutVars>
          <dgm:chPref val="3"/>
        </dgm:presLayoutVars>
      </dgm:prSet>
      <dgm:spPr/>
    </dgm:pt>
    <dgm:pt modelId="{20A3A8E1-B4E6-4FCF-B45E-D607AE4FC6DC}" type="pres">
      <dgm:prSet presAssocID="{2B395088-F7D8-4B01-9FFC-6C8E86BE432F}" presName="rootConnector" presStyleLbl="node4" presStyleIdx="100" presStyleCnt="243"/>
      <dgm:spPr/>
    </dgm:pt>
    <dgm:pt modelId="{27E63081-5DA3-43C1-83FE-848F8B4D943B}" type="pres">
      <dgm:prSet presAssocID="{2B395088-F7D8-4B01-9FFC-6C8E86BE432F}" presName="hierChild4" presStyleCnt="0"/>
      <dgm:spPr/>
    </dgm:pt>
    <dgm:pt modelId="{E8B0EBF3-A20E-4153-9345-F4CA800D1FE6}" type="pres">
      <dgm:prSet presAssocID="{2B395088-F7D8-4B01-9FFC-6C8E86BE432F}" presName="hierChild5" presStyleCnt="0"/>
      <dgm:spPr/>
    </dgm:pt>
    <dgm:pt modelId="{9338DAEC-54DC-491E-B5AF-2AB0F7AD390F}" type="pres">
      <dgm:prSet presAssocID="{CB5DDAB7-D6BA-4F78-8AC1-41093DB49CBF}" presName="hierChild5" presStyleCnt="0"/>
      <dgm:spPr/>
    </dgm:pt>
    <dgm:pt modelId="{244712AC-B9CE-4618-B992-E664FF53EE7F}" type="pres">
      <dgm:prSet presAssocID="{4C54498C-B717-4B98-AADD-B3C2205606CE}" presName="Name37" presStyleLbl="parChTrans1D3" presStyleIdx="7" presStyleCnt="19"/>
      <dgm:spPr/>
    </dgm:pt>
    <dgm:pt modelId="{FAE35444-EE6F-4BF5-8E42-AA61A8783724}" type="pres">
      <dgm:prSet presAssocID="{3C5E6760-9973-4507-8410-F6115E73979F}" presName="hierRoot2" presStyleCnt="0">
        <dgm:presLayoutVars>
          <dgm:hierBranch/>
        </dgm:presLayoutVars>
      </dgm:prSet>
      <dgm:spPr/>
    </dgm:pt>
    <dgm:pt modelId="{FB573DA4-FFA9-41A2-B216-799E441CA6E2}" type="pres">
      <dgm:prSet presAssocID="{3C5E6760-9973-4507-8410-F6115E73979F}" presName="rootComposite" presStyleCnt="0"/>
      <dgm:spPr/>
    </dgm:pt>
    <dgm:pt modelId="{E7273EE2-C757-48BA-83F7-7C4A5BA264CA}" type="pres">
      <dgm:prSet presAssocID="{3C5E6760-9973-4507-8410-F6115E73979F}" presName="rootText" presStyleLbl="node3" presStyleIdx="7" presStyleCnt="19">
        <dgm:presLayoutVars>
          <dgm:chPref val="3"/>
        </dgm:presLayoutVars>
      </dgm:prSet>
      <dgm:spPr/>
    </dgm:pt>
    <dgm:pt modelId="{976D1E57-AC7A-4D1B-BC2B-996E898C581F}" type="pres">
      <dgm:prSet presAssocID="{3C5E6760-9973-4507-8410-F6115E73979F}" presName="rootConnector" presStyleLbl="node3" presStyleIdx="7" presStyleCnt="19"/>
      <dgm:spPr/>
    </dgm:pt>
    <dgm:pt modelId="{BE4A01C0-5813-4857-AA8F-4E26640ABD6F}" type="pres">
      <dgm:prSet presAssocID="{3C5E6760-9973-4507-8410-F6115E73979F}" presName="hierChild4" presStyleCnt="0"/>
      <dgm:spPr/>
    </dgm:pt>
    <dgm:pt modelId="{3A91997D-8C41-430F-8744-4B201D5A852E}" type="pres">
      <dgm:prSet presAssocID="{DE25DFA3-0F9D-4B9D-BEA4-2507AC1F9B04}" presName="Name35" presStyleLbl="parChTrans1D4" presStyleIdx="101" presStyleCnt="243"/>
      <dgm:spPr/>
    </dgm:pt>
    <dgm:pt modelId="{D22C2DC6-BC45-4FE4-86C4-E2B2AB529411}" type="pres">
      <dgm:prSet presAssocID="{1F8FFF8F-321C-46C2-A470-ED77C27BF283}" presName="hierRoot2" presStyleCnt="0">
        <dgm:presLayoutVars>
          <dgm:hierBranch val="init"/>
        </dgm:presLayoutVars>
      </dgm:prSet>
      <dgm:spPr/>
    </dgm:pt>
    <dgm:pt modelId="{52266598-3276-4D3C-93A4-1728B01E8052}" type="pres">
      <dgm:prSet presAssocID="{1F8FFF8F-321C-46C2-A470-ED77C27BF283}" presName="rootComposite" presStyleCnt="0"/>
      <dgm:spPr/>
    </dgm:pt>
    <dgm:pt modelId="{0047251F-1735-463D-A2D6-317777470FA8}" type="pres">
      <dgm:prSet presAssocID="{1F8FFF8F-321C-46C2-A470-ED77C27BF283}" presName="rootText" presStyleLbl="node4" presStyleIdx="101" presStyleCnt="243">
        <dgm:presLayoutVars>
          <dgm:chPref val="3"/>
        </dgm:presLayoutVars>
      </dgm:prSet>
      <dgm:spPr/>
    </dgm:pt>
    <dgm:pt modelId="{870E1411-B152-4697-BE76-BE5635AAE3DE}" type="pres">
      <dgm:prSet presAssocID="{1F8FFF8F-321C-46C2-A470-ED77C27BF283}" presName="rootConnector" presStyleLbl="node4" presStyleIdx="101" presStyleCnt="243"/>
      <dgm:spPr/>
    </dgm:pt>
    <dgm:pt modelId="{4DFF82BF-46ED-4348-BBE4-C12A6AE01BB8}" type="pres">
      <dgm:prSet presAssocID="{1F8FFF8F-321C-46C2-A470-ED77C27BF283}" presName="hierChild4" presStyleCnt="0"/>
      <dgm:spPr/>
    </dgm:pt>
    <dgm:pt modelId="{652F0D87-A1A8-4551-AA40-81F4E6D58E81}" type="pres">
      <dgm:prSet presAssocID="{E98D30B1-E59C-4A00-BACA-478E5A6AB413}" presName="Name37" presStyleLbl="parChTrans1D4" presStyleIdx="102" presStyleCnt="243"/>
      <dgm:spPr/>
    </dgm:pt>
    <dgm:pt modelId="{7E778BFC-9E53-4159-8021-14CA27B69C9A}" type="pres">
      <dgm:prSet presAssocID="{2CAF80FB-6C9D-4F54-91B0-E2C431C46A87}" presName="hierRoot2" presStyleCnt="0">
        <dgm:presLayoutVars>
          <dgm:hierBranch val="init"/>
        </dgm:presLayoutVars>
      </dgm:prSet>
      <dgm:spPr/>
    </dgm:pt>
    <dgm:pt modelId="{29F57A35-F042-4139-A69B-665E66C92536}" type="pres">
      <dgm:prSet presAssocID="{2CAF80FB-6C9D-4F54-91B0-E2C431C46A87}" presName="rootComposite" presStyleCnt="0"/>
      <dgm:spPr/>
    </dgm:pt>
    <dgm:pt modelId="{BD1AF7C0-FC62-43FF-91D7-5BF60856C71C}" type="pres">
      <dgm:prSet presAssocID="{2CAF80FB-6C9D-4F54-91B0-E2C431C46A87}" presName="rootText" presStyleLbl="node4" presStyleIdx="102" presStyleCnt="243">
        <dgm:presLayoutVars>
          <dgm:chPref val="3"/>
        </dgm:presLayoutVars>
      </dgm:prSet>
      <dgm:spPr/>
    </dgm:pt>
    <dgm:pt modelId="{666CED59-5E85-4C74-9AD8-375C185B1735}" type="pres">
      <dgm:prSet presAssocID="{2CAF80FB-6C9D-4F54-91B0-E2C431C46A87}" presName="rootConnector" presStyleLbl="node4" presStyleIdx="102" presStyleCnt="243"/>
      <dgm:spPr/>
    </dgm:pt>
    <dgm:pt modelId="{85D29429-1E62-4FBC-8CCE-225A4CD6FB3E}" type="pres">
      <dgm:prSet presAssocID="{2CAF80FB-6C9D-4F54-91B0-E2C431C46A87}" presName="hierChild4" presStyleCnt="0"/>
      <dgm:spPr/>
    </dgm:pt>
    <dgm:pt modelId="{B79C86AF-A130-4AC3-A985-AAF653299F22}" type="pres">
      <dgm:prSet presAssocID="{F3B1A565-4822-48DB-A534-938E8EFB42F5}" presName="Name37" presStyleLbl="parChTrans1D4" presStyleIdx="103" presStyleCnt="243"/>
      <dgm:spPr/>
    </dgm:pt>
    <dgm:pt modelId="{770281D2-C368-42AB-A748-0BC618D15B2F}" type="pres">
      <dgm:prSet presAssocID="{B352CEAB-52D3-4E64-8236-D79B73B32FA1}" presName="hierRoot2" presStyleCnt="0">
        <dgm:presLayoutVars>
          <dgm:hierBranch val="init"/>
        </dgm:presLayoutVars>
      </dgm:prSet>
      <dgm:spPr/>
    </dgm:pt>
    <dgm:pt modelId="{4FE9684F-F0A3-4049-959A-E3300F9416B3}" type="pres">
      <dgm:prSet presAssocID="{B352CEAB-52D3-4E64-8236-D79B73B32FA1}" presName="rootComposite" presStyleCnt="0"/>
      <dgm:spPr/>
    </dgm:pt>
    <dgm:pt modelId="{A103A6A9-302F-48F2-96A0-E461C7ACF6EF}" type="pres">
      <dgm:prSet presAssocID="{B352CEAB-52D3-4E64-8236-D79B73B32FA1}" presName="rootText" presStyleLbl="node4" presStyleIdx="103" presStyleCnt="243" custScaleX="105911" custScaleY="127031">
        <dgm:presLayoutVars>
          <dgm:chPref val="3"/>
        </dgm:presLayoutVars>
      </dgm:prSet>
      <dgm:spPr/>
    </dgm:pt>
    <dgm:pt modelId="{44CD740C-4805-4DE2-8219-A99BB9D9676E}" type="pres">
      <dgm:prSet presAssocID="{B352CEAB-52D3-4E64-8236-D79B73B32FA1}" presName="rootConnector" presStyleLbl="node4" presStyleIdx="103" presStyleCnt="243"/>
      <dgm:spPr/>
    </dgm:pt>
    <dgm:pt modelId="{0CA5AAF9-09B9-4E02-B4FC-F2A1016BC8F8}" type="pres">
      <dgm:prSet presAssocID="{B352CEAB-52D3-4E64-8236-D79B73B32FA1}" presName="hierChild4" presStyleCnt="0"/>
      <dgm:spPr/>
    </dgm:pt>
    <dgm:pt modelId="{0E697C56-5B9F-4868-8923-065E21E350BD}" type="pres">
      <dgm:prSet presAssocID="{B352CEAB-52D3-4E64-8236-D79B73B32FA1}" presName="hierChild5" presStyleCnt="0"/>
      <dgm:spPr/>
    </dgm:pt>
    <dgm:pt modelId="{2AD3CCA2-E966-4420-9314-FA383A9E8ACF}" type="pres">
      <dgm:prSet presAssocID="{25657745-DD72-4621-B425-3AFB1527C28D}" presName="Name37" presStyleLbl="parChTrans1D4" presStyleIdx="104" presStyleCnt="243"/>
      <dgm:spPr/>
    </dgm:pt>
    <dgm:pt modelId="{792417A5-E27C-47E9-B179-DC9CD4CB115D}" type="pres">
      <dgm:prSet presAssocID="{8130E6E9-6299-4680-A9A1-35CFC113836C}" presName="hierRoot2" presStyleCnt="0">
        <dgm:presLayoutVars>
          <dgm:hierBranch val="init"/>
        </dgm:presLayoutVars>
      </dgm:prSet>
      <dgm:spPr/>
    </dgm:pt>
    <dgm:pt modelId="{A9107F35-DE63-4B0B-8E25-6660343178F0}" type="pres">
      <dgm:prSet presAssocID="{8130E6E9-6299-4680-A9A1-35CFC113836C}" presName="rootComposite" presStyleCnt="0"/>
      <dgm:spPr/>
    </dgm:pt>
    <dgm:pt modelId="{CF9B6409-A2A4-4CAC-8899-76D522B0DF0C}" type="pres">
      <dgm:prSet presAssocID="{8130E6E9-6299-4680-A9A1-35CFC113836C}" presName="rootText" presStyleLbl="node4" presStyleIdx="104" presStyleCnt="243" custScaleX="105911" custScaleY="127031">
        <dgm:presLayoutVars>
          <dgm:chPref val="3"/>
        </dgm:presLayoutVars>
      </dgm:prSet>
      <dgm:spPr/>
    </dgm:pt>
    <dgm:pt modelId="{03000CAB-D3EC-4452-8814-1AE55F5EAD44}" type="pres">
      <dgm:prSet presAssocID="{8130E6E9-6299-4680-A9A1-35CFC113836C}" presName="rootConnector" presStyleLbl="node4" presStyleIdx="104" presStyleCnt="243"/>
      <dgm:spPr/>
    </dgm:pt>
    <dgm:pt modelId="{A1A0E774-BC0E-4E54-9442-46D0C9D7943B}" type="pres">
      <dgm:prSet presAssocID="{8130E6E9-6299-4680-A9A1-35CFC113836C}" presName="hierChild4" presStyleCnt="0"/>
      <dgm:spPr/>
    </dgm:pt>
    <dgm:pt modelId="{8194576F-0F64-4628-885F-ACA437821A38}" type="pres">
      <dgm:prSet presAssocID="{8130E6E9-6299-4680-A9A1-35CFC113836C}" presName="hierChild5" presStyleCnt="0"/>
      <dgm:spPr/>
    </dgm:pt>
    <dgm:pt modelId="{F4A4CE86-621A-4311-A790-F32FA3EE7A67}" type="pres">
      <dgm:prSet presAssocID="{102F5C12-FE34-4B9E-8E60-451C1F5798D9}" presName="Name37" presStyleLbl="parChTrans1D4" presStyleIdx="105" presStyleCnt="243"/>
      <dgm:spPr/>
    </dgm:pt>
    <dgm:pt modelId="{EEA84A5D-8176-4113-82C6-8C91E24B5C3C}" type="pres">
      <dgm:prSet presAssocID="{28454BE6-A4D9-42AC-91D4-EC8376D081CF}" presName="hierRoot2" presStyleCnt="0">
        <dgm:presLayoutVars>
          <dgm:hierBranch val="init"/>
        </dgm:presLayoutVars>
      </dgm:prSet>
      <dgm:spPr/>
    </dgm:pt>
    <dgm:pt modelId="{0C7119E9-EB57-4A5C-B9E8-73CE5F2E4580}" type="pres">
      <dgm:prSet presAssocID="{28454BE6-A4D9-42AC-91D4-EC8376D081CF}" presName="rootComposite" presStyleCnt="0"/>
      <dgm:spPr/>
    </dgm:pt>
    <dgm:pt modelId="{3C4BE630-0435-4FCE-94E6-23F02C389B9F}" type="pres">
      <dgm:prSet presAssocID="{28454BE6-A4D9-42AC-91D4-EC8376D081CF}" presName="rootText" presStyleLbl="node4" presStyleIdx="105" presStyleCnt="243" custScaleX="105911" custScaleY="127031">
        <dgm:presLayoutVars>
          <dgm:chPref val="3"/>
        </dgm:presLayoutVars>
      </dgm:prSet>
      <dgm:spPr/>
    </dgm:pt>
    <dgm:pt modelId="{FAFACEA6-E17B-44D7-A8CA-6152336C14FC}" type="pres">
      <dgm:prSet presAssocID="{28454BE6-A4D9-42AC-91D4-EC8376D081CF}" presName="rootConnector" presStyleLbl="node4" presStyleIdx="105" presStyleCnt="243"/>
      <dgm:spPr/>
    </dgm:pt>
    <dgm:pt modelId="{DE8A8B93-E8EB-461B-BA14-700A1A83AFD0}" type="pres">
      <dgm:prSet presAssocID="{28454BE6-A4D9-42AC-91D4-EC8376D081CF}" presName="hierChild4" presStyleCnt="0"/>
      <dgm:spPr/>
    </dgm:pt>
    <dgm:pt modelId="{C3945D49-5E50-4881-B823-32661DD5A31C}" type="pres">
      <dgm:prSet presAssocID="{28454BE6-A4D9-42AC-91D4-EC8376D081CF}" presName="hierChild5" presStyleCnt="0"/>
      <dgm:spPr/>
    </dgm:pt>
    <dgm:pt modelId="{281A1780-6045-493B-979B-E88988664E3D}" type="pres">
      <dgm:prSet presAssocID="{2CAF80FB-6C9D-4F54-91B0-E2C431C46A87}" presName="hierChild5" presStyleCnt="0"/>
      <dgm:spPr/>
    </dgm:pt>
    <dgm:pt modelId="{B137C28F-3925-499E-8AE3-6A2572853110}" type="pres">
      <dgm:prSet presAssocID="{F5B9F326-C225-40EA-8364-6F96CA08C903}" presName="Name37" presStyleLbl="parChTrans1D4" presStyleIdx="106" presStyleCnt="243"/>
      <dgm:spPr/>
    </dgm:pt>
    <dgm:pt modelId="{1593B37E-C7EC-4C99-B419-025AA77082B4}" type="pres">
      <dgm:prSet presAssocID="{F35C6DA3-2482-46AA-B232-A1931123E027}" presName="hierRoot2" presStyleCnt="0">
        <dgm:presLayoutVars>
          <dgm:hierBranch val="init"/>
        </dgm:presLayoutVars>
      </dgm:prSet>
      <dgm:spPr/>
    </dgm:pt>
    <dgm:pt modelId="{724BC005-66D3-43A5-B219-8E34407CCF6B}" type="pres">
      <dgm:prSet presAssocID="{F35C6DA3-2482-46AA-B232-A1931123E027}" presName="rootComposite" presStyleCnt="0"/>
      <dgm:spPr/>
    </dgm:pt>
    <dgm:pt modelId="{4025C9CC-6E57-439D-AD22-B4EA8D793355}" type="pres">
      <dgm:prSet presAssocID="{F35C6DA3-2482-46AA-B232-A1931123E027}" presName="rootText" presStyleLbl="node4" presStyleIdx="106" presStyleCnt="243">
        <dgm:presLayoutVars>
          <dgm:chPref val="3"/>
        </dgm:presLayoutVars>
      </dgm:prSet>
      <dgm:spPr/>
    </dgm:pt>
    <dgm:pt modelId="{ED429F4C-4C3E-48C0-827A-C72E5BC5C1D9}" type="pres">
      <dgm:prSet presAssocID="{F35C6DA3-2482-46AA-B232-A1931123E027}" presName="rootConnector" presStyleLbl="node4" presStyleIdx="106" presStyleCnt="243"/>
      <dgm:spPr/>
    </dgm:pt>
    <dgm:pt modelId="{47D94840-F5A4-4613-81E6-D395679598C5}" type="pres">
      <dgm:prSet presAssocID="{F35C6DA3-2482-46AA-B232-A1931123E027}" presName="hierChild4" presStyleCnt="0"/>
      <dgm:spPr/>
    </dgm:pt>
    <dgm:pt modelId="{DE451CFA-82CB-45A7-8C55-370FE64A5499}" type="pres">
      <dgm:prSet presAssocID="{926D49FF-50DB-4A0C-A60E-8DE65D795E04}" presName="Name37" presStyleLbl="parChTrans1D4" presStyleIdx="107" presStyleCnt="243"/>
      <dgm:spPr/>
    </dgm:pt>
    <dgm:pt modelId="{AADEE94D-F765-4B67-B07D-4AEEDF698312}" type="pres">
      <dgm:prSet presAssocID="{25F99B51-CB6C-4FB9-B111-3930904D8521}" presName="hierRoot2" presStyleCnt="0">
        <dgm:presLayoutVars>
          <dgm:hierBranch val="init"/>
        </dgm:presLayoutVars>
      </dgm:prSet>
      <dgm:spPr/>
    </dgm:pt>
    <dgm:pt modelId="{98EF3706-279E-44FD-8E8B-5E97C090819D}" type="pres">
      <dgm:prSet presAssocID="{25F99B51-CB6C-4FB9-B111-3930904D8521}" presName="rootComposite" presStyleCnt="0"/>
      <dgm:spPr/>
    </dgm:pt>
    <dgm:pt modelId="{ABF570EC-C4A3-42ED-A11F-F7C08C0F9AFD}" type="pres">
      <dgm:prSet presAssocID="{25F99B51-CB6C-4FB9-B111-3930904D8521}" presName="rootText" presStyleLbl="node4" presStyleIdx="107" presStyleCnt="243">
        <dgm:presLayoutVars>
          <dgm:chPref val="3"/>
        </dgm:presLayoutVars>
      </dgm:prSet>
      <dgm:spPr/>
    </dgm:pt>
    <dgm:pt modelId="{8E46E72E-681A-4DDE-8110-7E1D0EE824A2}" type="pres">
      <dgm:prSet presAssocID="{25F99B51-CB6C-4FB9-B111-3930904D8521}" presName="rootConnector" presStyleLbl="node4" presStyleIdx="107" presStyleCnt="243"/>
      <dgm:spPr/>
    </dgm:pt>
    <dgm:pt modelId="{1B9D486E-3736-4D16-BD16-CC3C2A1F7A50}" type="pres">
      <dgm:prSet presAssocID="{25F99B51-CB6C-4FB9-B111-3930904D8521}" presName="hierChild4" presStyleCnt="0"/>
      <dgm:spPr/>
    </dgm:pt>
    <dgm:pt modelId="{3B0D0851-71EF-45C7-BA02-3DAA1F0C4C03}" type="pres">
      <dgm:prSet presAssocID="{25F99B51-CB6C-4FB9-B111-3930904D8521}" presName="hierChild5" presStyleCnt="0"/>
      <dgm:spPr/>
    </dgm:pt>
    <dgm:pt modelId="{28C0337C-8335-42D0-A94A-60D936709D83}" type="pres">
      <dgm:prSet presAssocID="{FED3F3C6-39C4-4F26-8304-83CAE85EC212}" presName="Name37" presStyleLbl="parChTrans1D4" presStyleIdx="108" presStyleCnt="243"/>
      <dgm:spPr/>
    </dgm:pt>
    <dgm:pt modelId="{5066DF11-57D1-4B88-963C-C6080F08F718}" type="pres">
      <dgm:prSet presAssocID="{7C1B947C-8306-49C8-AB03-714BEBC3CF09}" presName="hierRoot2" presStyleCnt="0">
        <dgm:presLayoutVars>
          <dgm:hierBranch val="init"/>
        </dgm:presLayoutVars>
      </dgm:prSet>
      <dgm:spPr/>
    </dgm:pt>
    <dgm:pt modelId="{981F83DB-333E-4345-8B1A-47C0D6208F26}" type="pres">
      <dgm:prSet presAssocID="{7C1B947C-8306-49C8-AB03-714BEBC3CF09}" presName="rootComposite" presStyleCnt="0"/>
      <dgm:spPr/>
    </dgm:pt>
    <dgm:pt modelId="{902C422D-34A7-4CF2-9027-2E42354CDFBA}" type="pres">
      <dgm:prSet presAssocID="{7C1B947C-8306-49C8-AB03-714BEBC3CF09}" presName="rootText" presStyleLbl="node4" presStyleIdx="108" presStyleCnt="243">
        <dgm:presLayoutVars>
          <dgm:chPref val="3"/>
        </dgm:presLayoutVars>
      </dgm:prSet>
      <dgm:spPr/>
    </dgm:pt>
    <dgm:pt modelId="{0706D769-16FC-4A71-8097-D939F8FC7F96}" type="pres">
      <dgm:prSet presAssocID="{7C1B947C-8306-49C8-AB03-714BEBC3CF09}" presName="rootConnector" presStyleLbl="node4" presStyleIdx="108" presStyleCnt="243"/>
      <dgm:spPr/>
    </dgm:pt>
    <dgm:pt modelId="{46961EDE-1FF9-446D-9346-6A8E1C02154C}" type="pres">
      <dgm:prSet presAssocID="{7C1B947C-8306-49C8-AB03-714BEBC3CF09}" presName="hierChild4" presStyleCnt="0"/>
      <dgm:spPr/>
    </dgm:pt>
    <dgm:pt modelId="{80D02897-BC36-4E2D-9684-C1BBE0FD0448}" type="pres">
      <dgm:prSet presAssocID="{7C1B947C-8306-49C8-AB03-714BEBC3CF09}" presName="hierChild5" presStyleCnt="0"/>
      <dgm:spPr/>
    </dgm:pt>
    <dgm:pt modelId="{08CA5E7C-65C8-41AD-8A49-327067FC6496}" type="pres">
      <dgm:prSet presAssocID="{C6C1691E-DC10-4048-B727-3074521B94CD}" presName="Name37" presStyleLbl="parChTrans1D4" presStyleIdx="109" presStyleCnt="243"/>
      <dgm:spPr/>
    </dgm:pt>
    <dgm:pt modelId="{05DB353D-DDAE-46F3-9C8A-B31F89582AE4}" type="pres">
      <dgm:prSet presAssocID="{4BC45046-A6E0-48F7-BA5B-6545909F6576}" presName="hierRoot2" presStyleCnt="0">
        <dgm:presLayoutVars>
          <dgm:hierBranch val="init"/>
        </dgm:presLayoutVars>
      </dgm:prSet>
      <dgm:spPr/>
    </dgm:pt>
    <dgm:pt modelId="{EFC5F31A-E552-44B9-B87E-466CF88685DD}" type="pres">
      <dgm:prSet presAssocID="{4BC45046-A6E0-48F7-BA5B-6545909F6576}" presName="rootComposite" presStyleCnt="0"/>
      <dgm:spPr/>
    </dgm:pt>
    <dgm:pt modelId="{D871CE47-E695-494E-BC76-77D3DF26597F}" type="pres">
      <dgm:prSet presAssocID="{4BC45046-A6E0-48F7-BA5B-6545909F6576}" presName="rootText" presStyleLbl="node4" presStyleIdx="109" presStyleCnt="243">
        <dgm:presLayoutVars>
          <dgm:chPref val="3"/>
        </dgm:presLayoutVars>
      </dgm:prSet>
      <dgm:spPr/>
    </dgm:pt>
    <dgm:pt modelId="{DE7B78B2-4B30-45EF-BC49-A2F843E3B9AE}" type="pres">
      <dgm:prSet presAssocID="{4BC45046-A6E0-48F7-BA5B-6545909F6576}" presName="rootConnector" presStyleLbl="node4" presStyleIdx="109" presStyleCnt="243"/>
      <dgm:spPr/>
    </dgm:pt>
    <dgm:pt modelId="{B5BA8F2D-450A-4DD9-A238-B4466F6481C4}" type="pres">
      <dgm:prSet presAssocID="{4BC45046-A6E0-48F7-BA5B-6545909F6576}" presName="hierChild4" presStyleCnt="0"/>
      <dgm:spPr/>
    </dgm:pt>
    <dgm:pt modelId="{9B09DF3F-4DA8-4355-8735-8558C1542432}" type="pres">
      <dgm:prSet presAssocID="{4BC45046-A6E0-48F7-BA5B-6545909F6576}" presName="hierChild5" presStyleCnt="0"/>
      <dgm:spPr/>
    </dgm:pt>
    <dgm:pt modelId="{DF02744F-9C23-4422-9DE6-32C3AEA4547B}" type="pres">
      <dgm:prSet presAssocID="{0F1CC4F6-FEF5-470E-B271-F04095BE8E03}" presName="Name37" presStyleLbl="parChTrans1D4" presStyleIdx="110" presStyleCnt="243"/>
      <dgm:spPr/>
    </dgm:pt>
    <dgm:pt modelId="{9E8A881B-E747-4B45-8739-9215B922EFC5}" type="pres">
      <dgm:prSet presAssocID="{CF4DFCAF-2272-4F94-B7C0-D9FC9509311E}" presName="hierRoot2" presStyleCnt="0">
        <dgm:presLayoutVars>
          <dgm:hierBranch val="init"/>
        </dgm:presLayoutVars>
      </dgm:prSet>
      <dgm:spPr/>
    </dgm:pt>
    <dgm:pt modelId="{A11C4009-EBCB-40BF-B909-82BDBDDF5505}" type="pres">
      <dgm:prSet presAssocID="{CF4DFCAF-2272-4F94-B7C0-D9FC9509311E}" presName="rootComposite" presStyleCnt="0"/>
      <dgm:spPr/>
    </dgm:pt>
    <dgm:pt modelId="{EA3F6B06-69E6-4DC9-BF03-21D4664B6336}" type="pres">
      <dgm:prSet presAssocID="{CF4DFCAF-2272-4F94-B7C0-D9FC9509311E}" presName="rootText" presStyleLbl="node4" presStyleIdx="110" presStyleCnt="243">
        <dgm:presLayoutVars>
          <dgm:chPref val="3"/>
        </dgm:presLayoutVars>
      </dgm:prSet>
      <dgm:spPr>
        <a:xfrm>
          <a:off x="16741412" y="6344178"/>
          <a:ext cx="1095033" cy="547516"/>
        </a:xfrm>
        <a:prstGeom prst="rect">
          <a:avLst/>
        </a:prstGeom>
      </dgm:spPr>
    </dgm:pt>
    <dgm:pt modelId="{FC4A1060-B949-45EB-8EFA-2FD21B9BAB3A}" type="pres">
      <dgm:prSet presAssocID="{CF4DFCAF-2272-4F94-B7C0-D9FC9509311E}" presName="rootConnector" presStyleLbl="node4" presStyleIdx="110" presStyleCnt="243"/>
      <dgm:spPr/>
    </dgm:pt>
    <dgm:pt modelId="{E51071A1-0BF5-4058-93D5-E88D22E75F7C}" type="pres">
      <dgm:prSet presAssocID="{CF4DFCAF-2272-4F94-B7C0-D9FC9509311E}" presName="hierChild4" presStyleCnt="0"/>
      <dgm:spPr/>
    </dgm:pt>
    <dgm:pt modelId="{B3FF3810-D14F-4888-947D-39CDE41ECE84}" type="pres">
      <dgm:prSet presAssocID="{CF4DFCAF-2272-4F94-B7C0-D9FC9509311E}" presName="hierChild5" presStyleCnt="0"/>
      <dgm:spPr/>
    </dgm:pt>
    <dgm:pt modelId="{DC3D6DEB-F7D4-4878-AA15-FF5D3367712B}" type="pres">
      <dgm:prSet presAssocID="{8CA06B91-F6AC-4CC1-9BC5-BBC37F39EC65}" presName="Name37" presStyleLbl="parChTrans1D4" presStyleIdx="111" presStyleCnt="243"/>
      <dgm:spPr/>
    </dgm:pt>
    <dgm:pt modelId="{884DC7BA-8CAA-4E5D-91DA-846F19F18D19}" type="pres">
      <dgm:prSet presAssocID="{21571612-11CD-4494-8BFD-DB28C601996C}" presName="hierRoot2" presStyleCnt="0">
        <dgm:presLayoutVars>
          <dgm:hierBranch val="init"/>
        </dgm:presLayoutVars>
      </dgm:prSet>
      <dgm:spPr/>
    </dgm:pt>
    <dgm:pt modelId="{DEE76CE8-7F87-4E0B-8255-F51245F406E9}" type="pres">
      <dgm:prSet presAssocID="{21571612-11CD-4494-8BFD-DB28C601996C}" presName="rootComposite" presStyleCnt="0"/>
      <dgm:spPr/>
    </dgm:pt>
    <dgm:pt modelId="{2D92B018-C820-4F19-B0A6-C046ABFDA915}" type="pres">
      <dgm:prSet presAssocID="{21571612-11CD-4494-8BFD-DB28C601996C}" presName="rootText" presStyleLbl="node4" presStyleIdx="111" presStyleCnt="243">
        <dgm:presLayoutVars>
          <dgm:chPref val="3"/>
        </dgm:presLayoutVars>
      </dgm:prSet>
      <dgm:spPr/>
    </dgm:pt>
    <dgm:pt modelId="{35AE34D6-5E0F-41CF-9B23-6682F7A272F0}" type="pres">
      <dgm:prSet presAssocID="{21571612-11CD-4494-8BFD-DB28C601996C}" presName="rootConnector" presStyleLbl="node4" presStyleIdx="111" presStyleCnt="243"/>
      <dgm:spPr/>
    </dgm:pt>
    <dgm:pt modelId="{5721FD22-8969-4704-B9AC-B4AE4D232FDF}" type="pres">
      <dgm:prSet presAssocID="{21571612-11CD-4494-8BFD-DB28C601996C}" presName="hierChild4" presStyleCnt="0"/>
      <dgm:spPr/>
    </dgm:pt>
    <dgm:pt modelId="{FB186D7C-35E5-4917-A1E9-14B70061C6ED}" type="pres">
      <dgm:prSet presAssocID="{21571612-11CD-4494-8BFD-DB28C601996C}" presName="hierChild5" presStyleCnt="0"/>
      <dgm:spPr/>
    </dgm:pt>
    <dgm:pt modelId="{40253DAB-B82D-43BB-9344-F1451AE4DCBD}" type="pres">
      <dgm:prSet presAssocID="{406C992B-9AFE-4D41-AAF4-4174D7922E7E}" presName="Name37" presStyleLbl="parChTrans1D4" presStyleIdx="112" presStyleCnt="243"/>
      <dgm:spPr/>
    </dgm:pt>
    <dgm:pt modelId="{6D5F0DF4-C9E6-4FFD-A934-B18DB7DFED03}" type="pres">
      <dgm:prSet presAssocID="{CF0527BE-0793-413B-8777-BF8F71D1D5BD}" presName="hierRoot2" presStyleCnt="0">
        <dgm:presLayoutVars>
          <dgm:hierBranch val="init"/>
        </dgm:presLayoutVars>
      </dgm:prSet>
      <dgm:spPr/>
    </dgm:pt>
    <dgm:pt modelId="{2EA83937-BF15-4324-B53A-F8AE38E6CC78}" type="pres">
      <dgm:prSet presAssocID="{CF0527BE-0793-413B-8777-BF8F71D1D5BD}" presName="rootComposite" presStyleCnt="0"/>
      <dgm:spPr/>
    </dgm:pt>
    <dgm:pt modelId="{D8675DE7-6331-4CF7-A0A4-0068150F0BD7}" type="pres">
      <dgm:prSet presAssocID="{CF0527BE-0793-413B-8777-BF8F71D1D5BD}" presName="rootText" presStyleLbl="node4" presStyleIdx="112" presStyleCnt="243">
        <dgm:presLayoutVars>
          <dgm:chPref val="3"/>
        </dgm:presLayoutVars>
      </dgm:prSet>
      <dgm:spPr/>
    </dgm:pt>
    <dgm:pt modelId="{8B2D2E52-98B3-4572-B3CD-69DEAC507002}" type="pres">
      <dgm:prSet presAssocID="{CF0527BE-0793-413B-8777-BF8F71D1D5BD}" presName="rootConnector" presStyleLbl="node4" presStyleIdx="112" presStyleCnt="243"/>
      <dgm:spPr/>
    </dgm:pt>
    <dgm:pt modelId="{60AB8B32-22D4-43CC-90DC-E42D7998A975}" type="pres">
      <dgm:prSet presAssocID="{CF0527BE-0793-413B-8777-BF8F71D1D5BD}" presName="hierChild4" presStyleCnt="0"/>
      <dgm:spPr/>
    </dgm:pt>
    <dgm:pt modelId="{C4A8011E-A577-432D-B032-213E4D6F6BB3}" type="pres">
      <dgm:prSet presAssocID="{CF0527BE-0793-413B-8777-BF8F71D1D5BD}" presName="hierChild5" presStyleCnt="0"/>
      <dgm:spPr/>
    </dgm:pt>
    <dgm:pt modelId="{50CBF8EF-6B6B-44B2-A9BF-477E02B8F11B}" type="pres">
      <dgm:prSet presAssocID="{B1A55261-9E28-4100-B2A4-A33DF4773EDA}" presName="Name37" presStyleLbl="parChTrans1D4" presStyleIdx="113" presStyleCnt="243"/>
      <dgm:spPr/>
    </dgm:pt>
    <dgm:pt modelId="{BB11467F-346A-456B-A641-F017D16CAC9D}" type="pres">
      <dgm:prSet presAssocID="{18502FA2-63FD-490F-8568-59F2241113F1}" presName="hierRoot2" presStyleCnt="0">
        <dgm:presLayoutVars>
          <dgm:hierBranch val="init"/>
        </dgm:presLayoutVars>
      </dgm:prSet>
      <dgm:spPr/>
    </dgm:pt>
    <dgm:pt modelId="{FD9FD781-5CC5-4D17-AF0C-4C5872F5C8F2}" type="pres">
      <dgm:prSet presAssocID="{18502FA2-63FD-490F-8568-59F2241113F1}" presName="rootComposite" presStyleCnt="0"/>
      <dgm:spPr/>
    </dgm:pt>
    <dgm:pt modelId="{B1348718-0D09-475C-8C12-13BB71072914}" type="pres">
      <dgm:prSet presAssocID="{18502FA2-63FD-490F-8568-59F2241113F1}" presName="rootText" presStyleLbl="node4" presStyleIdx="113" presStyleCnt="243">
        <dgm:presLayoutVars>
          <dgm:chPref val="3"/>
        </dgm:presLayoutVars>
      </dgm:prSet>
      <dgm:spPr/>
    </dgm:pt>
    <dgm:pt modelId="{201CFC27-6A81-4B8A-8501-86CA1C70AC8E}" type="pres">
      <dgm:prSet presAssocID="{18502FA2-63FD-490F-8568-59F2241113F1}" presName="rootConnector" presStyleLbl="node4" presStyleIdx="113" presStyleCnt="243"/>
      <dgm:spPr/>
    </dgm:pt>
    <dgm:pt modelId="{ED962A4E-673D-4318-AF17-F6E127333728}" type="pres">
      <dgm:prSet presAssocID="{18502FA2-63FD-490F-8568-59F2241113F1}" presName="hierChild4" presStyleCnt="0"/>
      <dgm:spPr/>
    </dgm:pt>
    <dgm:pt modelId="{7DE0FDEB-3015-4741-B26E-59341313F571}" type="pres">
      <dgm:prSet presAssocID="{18502FA2-63FD-490F-8568-59F2241113F1}" presName="hierChild5" presStyleCnt="0"/>
      <dgm:spPr/>
    </dgm:pt>
    <dgm:pt modelId="{3E7318B5-8BBD-464C-B5A8-CA51DFE02E42}" type="pres">
      <dgm:prSet presAssocID="{D627746A-12F6-4E88-A79F-A03D22FC6867}" presName="Name37" presStyleLbl="parChTrans1D4" presStyleIdx="114" presStyleCnt="243"/>
      <dgm:spPr/>
    </dgm:pt>
    <dgm:pt modelId="{B1CF772D-037E-4C2A-83A7-2EF231D0AE42}" type="pres">
      <dgm:prSet presAssocID="{803222C5-9AC1-40E8-8786-669DF97B845E}" presName="hierRoot2" presStyleCnt="0">
        <dgm:presLayoutVars>
          <dgm:hierBranch val="init"/>
        </dgm:presLayoutVars>
      </dgm:prSet>
      <dgm:spPr/>
    </dgm:pt>
    <dgm:pt modelId="{4572E7CC-C132-4853-B0A2-DE74AD36C05C}" type="pres">
      <dgm:prSet presAssocID="{803222C5-9AC1-40E8-8786-669DF97B845E}" presName="rootComposite" presStyleCnt="0"/>
      <dgm:spPr/>
    </dgm:pt>
    <dgm:pt modelId="{DA8DE3DC-BC53-447E-A944-B99AFA74E160}" type="pres">
      <dgm:prSet presAssocID="{803222C5-9AC1-40E8-8786-669DF97B845E}" presName="rootText" presStyleLbl="node4" presStyleIdx="114" presStyleCnt="243">
        <dgm:presLayoutVars>
          <dgm:chPref val="3"/>
        </dgm:presLayoutVars>
      </dgm:prSet>
      <dgm:spPr/>
    </dgm:pt>
    <dgm:pt modelId="{B2AF684C-CBA0-4A75-A7E2-B5F25F82AF64}" type="pres">
      <dgm:prSet presAssocID="{803222C5-9AC1-40E8-8786-669DF97B845E}" presName="rootConnector" presStyleLbl="node4" presStyleIdx="114" presStyleCnt="243"/>
      <dgm:spPr/>
    </dgm:pt>
    <dgm:pt modelId="{94FD0FCD-5F26-46D6-8461-8761997C79DB}" type="pres">
      <dgm:prSet presAssocID="{803222C5-9AC1-40E8-8786-669DF97B845E}" presName="hierChild4" presStyleCnt="0"/>
      <dgm:spPr/>
    </dgm:pt>
    <dgm:pt modelId="{9D3F8346-6166-4A02-8864-D9D5043E7A46}" type="pres">
      <dgm:prSet presAssocID="{803222C5-9AC1-40E8-8786-669DF97B845E}" presName="hierChild5" presStyleCnt="0"/>
      <dgm:spPr/>
    </dgm:pt>
    <dgm:pt modelId="{DD56E4C5-8610-422F-B916-E1E524CFE171}" type="pres">
      <dgm:prSet presAssocID="{F35C6DA3-2482-46AA-B232-A1931123E027}" presName="hierChild5" presStyleCnt="0"/>
      <dgm:spPr/>
    </dgm:pt>
    <dgm:pt modelId="{A095553E-9E1B-4164-A147-D89CAC1A0120}" type="pres">
      <dgm:prSet presAssocID="{1F8FFF8F-321C-46C2-A470-ED77C27BF283}" presName="hierChild5" presStyleCnt="0"/>
      <dgm:spPr/>
    </dgm:pt>
    <dgm:pt modelId="{3CF35989-B5B4-46C7-9B8E-D44BFCB8D69D}" type="pres">
      <dgm:prSet presAssocID="{88F0909E-ACD4-40F1-928D-9BA7EE46E7F2}" presName="Name35" presStyleLbl="parChTrans1D4" presStyleIdx="115" presStyleCnt="243"/>
      <dgm:spPr/>
    </dgm:pt>
    <dgm:pt modelId="{2DDD4CDF-348C-4A34-AA84-F74561C4CCEA}" type="pres">
      <dgm:prSet presAssocID="{2130FFB1-0433-4133-A8C3-71D4D7BC6E6F}" presName="hierRoot2" presStyleCnt="0">
        <dgm:presLayoutVars>
          <dgm:hierBranch val="init"/>
        </dgm:presLayoutVars>
      </dgm:prSet>
      <dgm:spPr/>
    </dgm:pt>
    <dgm:pt modelId="{62E176AF-6116-4D68-AEED-60D884343A00}" type="pres">
      <dgm:prSet presAssocID="{2130FFB1-0433-4133-A8C3-71D4D7BC6E6F}" presName="rootComposite" presStyleCnt="0"/>
      <dgm:spPr/>
    </dgm:pt>
    <dgm:pt modelId="{239CF275-2FB5-4985-861E-C8683A834D82}" type="pres">
      <dgm:prSet presAssocID="{2130FFB1-0433-4133-A8C3-71D4D7BC6E6F}" presName="rootText" presStyleLbl="node4" presStyleIdx="115" presStyleCnt="243">
        <dgm:presLayoutVars>
          <dgm:chPref val="3"/>
        </dgm:presLayoutVars>
      </dgm:prSet>
      <dgm:spPr/>
    </dgm:pt>
    <dgm:pt modelId="{3DA7AD80-C0C8-4261-A853-FCE2ECC9F246}" type="pres">
      <dgm:prSet presAssocID="{2130FFB1-0433-4133-A8C3-71D4D7BC6E6F}" presName="rootConnector" presStyleLbl="node4" presStyleIdx="115" presStyleCnt="243"/>
      <dgm:spPr/>
    </dgm:pt>
    <dgm:pt modelId="{FE0B8398-50C5-4B3B-9D4E-8E1A158EB5CD}" type="pres">
      <dgm:prSet presAssocID="{2130FFB1-0433-4133-A8C3-71D4D7BC6E6F}" presName="hierChild4" presStyleCnt="0"/>
      <dgm:spPr/>
    </dgm:pt>
    <dgm:pt modelId="{0EAC88F3-BB71-4866-85EC-75AD633D8D4E}" type="pres">
      <dgm:prSet presAssocID="{E9D4BC7B-EF5F-4020-9C05-F9470FFB9007}" presName="Name37" presStyleLbl="parChTrans1D4" presStyleIdx="116" presStyleCnt="243"/>
      <dgm:spPr/>
    </dgm:pt>
    <dgm:pt modelId="{DC49A6EA-58EA-49D5-B55D-E444C3DDEC5B}" type="pres">
      <dgm:prSet presAssocID="{24F68BBA-935B-4F01-9FC7-B94418686443}" presName="hierRoot2" presStyleCnt="0">
        <dgm:presLayoutVars>
          <dgm:hierBranch val="init"/>
        </dgm:presLayoutVars>
      </dgm:prSet>
      <dgm:spPr/>
    </dgm:pt>
    <dgm:pt modelId="{D6831A5B-187E-4740-845F-A4AADD923D14}" type="pres">
      <dgm:prSet presAssocID="{24F68BBA-935B-4F01-9FC7-B94418686443}" presName="rootComposite" presStyleCnt="0"/>
      <dgm:spPr/>
    </dgm:pt>
    <dgm:pt modelId="{292477DA-CCA4-4B6C-8175-D94709715924}" type="pres">
      <dgm:prSet presAssocID="{24F68BBA-935B-4F01-9FC7-B94418686443}" presName="rootText" presStyleLbl="node4" presStyleIdx="116" presStyleCnt="243">
        <dgm:presLayoutVars>
          <dgm:chPref val="3"/>
        </dgm:presLayoutVars>
      </dgm:prSet>
      <dgm:spPr/>
    </dgm:pt>
    <dgm:pt modelId="{0243835A-138B-4160-894B-CB626CB8BFAD}" type="pres">
      <dgm:prSet presAssocID="{24F68BBA-935B-4F01-9FC7-B94418686443}" presName="rootConnector" presStyleLbl="node4" presStyleIdx="116" presStyleCnt="243"/>
      <dgm:spPr/>
    </dgm:pt>
    <dgm:pt modelId="{F3FDA66B-FC41-40A5-A7C6-2C537862607C}" type="pres">
      <dgm:prSet presAssocID="{24F68BBA-935B-4F01-9FC7-B94418686443}" presName="hierChild4" presStyleCnt="0"/>
      <dgm:spPr/>
    </dgm:pt>
    <dgm:pt modelId="{C1857B17-CDFD-41F9-BF8E-6AE491EE6D61}" type="pres">
      <dgm:prSet presAssocID="{17EFF492-98ED-4199-A16A-40CC300BFE5E}" presName="Name37" presStyleLbl="parChTrans1D4" presStyleIdx="117" presStyleCnt="243"/>
      <dgm:spPr/>
    </dgm:pt>
    <dgm:pt modelId="{98DA8A0E-31F4-4C94-81AD-5FDD8C282F95}" type="pres">
      <dgm:prSet presAssocID="{D7C7AC6F-61A5-44DB-A1AA-ED57DD6791E8}" presName="hierRoot2" presStyleCnt="0">
        <dgm:presLayoutVars>
          <dgm:hierBranch val="init"/>
        </dgm:presLayoutVars>
      </dgm:prSet>
      <dgm:spPr/>
    </dgm:pt>
    <dgm:pt modelId="{F350B6DB-93CA-479C-8205-B179B586097A}" type="pres">
      <dgm:prSet presAssocID="{D7C7AC6F-61A5-44DB-A1AA-ED57DD6791E8}" presName="rootComposite" presStyleCnt="0"/>
      <dgm:spPr/>
    </dgm:pt>
    <dgm:pt modelId="{B62265C3-5024-4DD0-9FCE-EDCCBE24F18F}" type="pres">
      <dgm:prSet presAssocID="{D7C7AC6F-61A5-44DB-A1AA-ED57DD6791E8}" presName="rootText" presStyleLbl="node4" presStyleIdx="117" presStyleCnt="243">
        <dgm:presLayoutVars>
          <dgm:chPref val="3"/>
        </dgm:presLayoutVars>
      </dgm:prSet>
      <dgm:spPr/>
    </dgm:pt>
    <dgm:pt modelId="{04AF6E02-D63D-43E5-B266-5436ACCD1F23}" type="pres">
      <dgm:prSet presAssocID="{D7C7AC6F-61A5-44DB-A1AA-ED57DD6791E8}" presName="rootConnector" presStyleLbl="node4" presStyleIdx="117" presStyleCnt="243"/>
      <dgm:spPr/>
    </dgm:pt>
    <dgm:pt modelId="{20AD1A67-E0B1-47D6-A906-6B129D602C06}" type="pres">
      <dgm:prSet presAssocID="{D7C7AC6F-61A5-44DB-A1AA-ED57DD6791E8}" presName="hierChild4" presStyleCnt="0"/>
      <dgm:spPr/>
    </dgm:pt>
    <dgm:pt modelId="{2F906D34-3496-4A98-818A-3B600F5B442F}" type="pres">
      <dgm:prSet presAssocID="{D7C7AC6F-61A5-44DB-A1AA-ED57DD6791E8}" presName="hierChild5" presStyleCnt="0"/>
      <dgm:spPr/>
    </dgm:pt>
    <dgm:pt modelId="{8CFE022E-6D71-4E6C-BE4E-5BBDDEB3302E}" type="pres">
      <dgm:prSet presAssocID="{E02B2C77-2C0D-4825-8691-3A81AD7E2D52}" presName="Name37" presStyleLbl="parChTrans1D4" presStyleIdx="118" presStyleCnt="243"/>
      <dgm:spPr/>
    </dgm:pt>
    <dgm:pt modelId="{36175C2A-218C-46A0-B874-9FDED49E46CF}" type="pres">
      <dgm:prSet presAssocID="{8F6DE852-327B-4577-9FE1-062E937150BD}" presName="hierRoot2" presStyleCnt="0">
        <dgm:presLayoutVars>
          <dgm:hierBranch val="init"/>
        </dgm:presLayoutVars>
      </dgm:prSet>
      <dgm:spPr/>
    </dgm:pt>
    <dgm:pt modelId="{9E155524-97B2-4956-B553-AFE7E3AC93B2}" type="pres">
      <dgm:prSet presAssocID="{8F6DE852-327B-4577-9FE1-062E937150BD}" presName="rootComposite" presStyleCnt="0"/>
      <dgm:spPr/>
    </dgm:pt>
    <dgm:pt modelId="{B226A9EF-DAF1-4EB3-BB25-91083842B4B9}" type="pres">
      <dgm:prSet presAssocID="{8F6DE852-327B-4577-9FE1-062E937150BD}" presName="rootText" presStyleLbl="node4" presStyleIdx="118" presStyleCnt="243">
        <dgm:presLayoutVars>
          <dgm:chPref val="3"/>
        </dgm:presLayoutVars>
      </dgm:prSet>
      <dgm:spPr/>
    </dgm:pt>
    <dgm:pt modelId="{F4A2331D-3A14-4099-91C8-6955D71ACE3D}" type="pres">
      <dgm:prSet presAssocID="{8F6DE852-327B-4577-9FE1-062E937150BD}" presName="rootConnector" presStyleLbl="node4" presStyleIdx="118" presStyleCnt="243"/>
      <dgm:spPr/>
    </dgm:pt>
    <dgm:pt modelId="{973F894D-60AE-406E-887B-7EBE630CA6AB}" type="pres">
      <dgm:prSet presAssocID="{8F6DE852-327B-4577-9FE1-062E937150BD}" presName="hierChild4" presStyleCnt="0"/>
      <dgm:spPr/>
    </dgm:pt>
    <dgm:pt modelId="{08984B38-6821-4DCB-8FFC-E993A2A73C36}" type="pres">
      <dgm:prSet presAssocID="{8F6DE852-327B-4577-9FE1-062E937150BD}" presName="hierChild5" presStyleCnt="0"/>
      <dgm:spPr/>
    </dgm:pt>
    <dgm:pt modelId="{2E77B34B-5C6A-4790-8057-C94302A72365}" type="pres">
      <dgm:prSet presAssocID="{6E408EB6-AC8E-4CC8-BEC8-06F4D8061ADF}" presName="Name37" presStyleLbl="parChTrans1D4" presStyleIdx="119" presStyleCnt="243"/>
      <dgm:spPr/>
    </dgm:pt>
    <dgm:pt modelId="{606DB4D5-07E9-48B7-A8D8-6F93231CDFA4}" type="pres">
      <dgm:prSet presAssocID="{7026F640-864F-44FD-BB4A-CD33E5F15DE0}" presName="hierRoot2" presStyleCnt="0">
        <dgm:presLayoutVars>
          <dgm:hierBranch val="init"/>
        </dgm:presLayoutVars>
      </dgm:prSet>
      <dgm:spPr/>
    </dgm:pt>
    <dgm:pt modelId="{757D59A9-DDF7-453A-8702-88FB0C22706A}" type="pres">
      <dgm:prSet presAssocID="{7026F640-864F-44FD-BB4A-CD33E5F15DE0}" presName="rootComposite" presStyleCnt="0"/>
      <dgm:spPr/>
    </dgm:pt>
    <dgm:pt modelId="{2165CE48-B7B5-4A77-9F19-7AFFF6CA42B9}" type="pres">
      <dgm:prSet presAssocID="{7026F640-864F-44FD-BB4A-CD33E5F15DE0}" presName="rootText" presStyleLbl="node4" presStyleIdx="119" presStyleCnt="243">
        <dgm:presLayoutVars>
          <dgm:chPref val="3"/>
        </dgm:presLayoutVars>
      </dgm:prSet>
      <dgm:spPr/>
    </dgm:pt>
    <dgm:pt modelId="{128F9981-0F1E-4256-B956-234A02B79CBC}" type="pres">
      <dgm:prSet presAssocID="{7026F640-864F-44FD-BB4A-CD33E5F15DE0}" presName="rootConnector" presStyleLbl="node4" presStyleIdx="119" presStyleCnt="243"/>
      <dgm:spPr/>
    </dgm:pt>
    <dgm:pt modelId="{9A85AF52-C1A6-4D2C-A8FA-8D929D77D48D}" type="pres">
      <dgm:prSet presAssocID="{7026F640-864F-44FD-BB4A-CD33E5F15DE0}" presName="hierChild4" presStyleCnt="0"/>
      <dgm:spPr/>
    </dgm:pt>
    <dgm:pt modelId="{27F98EF4-BB06-4DE5-851B-8B19A07F3513}" type="pres">
      <dgm:prSet presAssocID="{7026F640-864F-44FD-BB4A-CD33E5F15DE0}" presName="hierChild5" presStyleCnt="0"/>
      <dgm:spPr/>
    </dgm:pt>
    <dgm:pt modelId="{3EDDE387-1299-4EF2-AA7E-C87DC0B73357}" type="pres">
      <dgm:prSet presAssocID="{8D42A11F-59C9-44B2-BDAD-AF181B5668FD}" presName="Name37" presStyleLbl="parChTrans1D4" presStyleIdx="120" presStyleCnt="243"/>
      <dgm:spPr/>
    </dgm:pt>
    <dgm:pt modelId="{A3CDDD4C-88FE-45F6-929F-97317BFC42B7}" type="pres">
      <dgm:prSet presAssocID="{C291B836-B40E-4080-B454-37647321FD66}" presName="hierRoot2" presStyleCnt="0">
        <dgm:presLayoutVars>
          <dgm:hierBranch val="init"/>
        </dgm:presLayoutVars>
      </dgm:prSet>
      <dgm:spPr/>
    </dgm:pt>
    <dgm:pt modelId="{6AB444AB-682D-418A-999B-C00D677E167A}" type="pres">
      <dgm:prSet presAssocID="{C291B836-B40E-4080-B454-37647321FD66}" presName="rootComposite" presStyleCnt="0"/>
      <dgm:spPr/>
    </dgm:pt>
    <dgm:pt modelId="{8B2B3686-B885-49FE-8539-514E4BF890F9}" type="pres">
      <dgm:prSet presAssocID="{C291B836-B40E-4080-B454-37647321FD66}" presName="rootText" presStyleLbl="node4" presStyleIdx="120" presStyleCnt="243">
        <dgm:presLayoutVars>
          <dgm:chPref val="3"/>
        </dgm:presLayoutVars>
      </dgm:prSet>
      <dgm:spPr/>
    </dgm:pt>
    <dgm:pt modelId="{652EC34E-7E08-41E4-9CDF-1BCF839E3FC5}" type="pres">
      <dgm:prSet presAssocID="{C291B836-B40E-4080-B454-37647321FD66}" presName="rootConnector" presStyleLbl="node4" presStyleIdx="120" presStyleCnt="243"/>
      <dgm:spPr/>
    </dgm:pt>
    <dgm:pt modelId="{1E862047-F4ED-4470-BA20-8832FC139FFE}" type="pres">
      <dgm:prSet presAssocID="{C291B836-B40E-4080-B454-37647321FD66}" presName="hierChild4" presStyleCnt="0"/>
      <dgm:spPr/>
    </dgm:pt>
    <dgm:pt modelId="{82D840BD-D98A-44E9-B0B0-51E58D658886}" type="pres">
      <dgm:prSet presAssocID="{C291B836-B40E-4080-B454-37647321FD66}" presName="hierChild5" presStyleCnt="0"/>
      <dgm:spPr/>
    </dgm:pt>
    <dgm:pt modelId="{EE3101F9-C23D-4876-96E9-7980C36379A8}" type="pres">
      <dgm:prSet presAssocID="{F0EF17A1-AD37-4072-9CD8-307B96939FAA}" presName="Name37" presStyleLbl="parChTrans1D4" presStyleIdx="121" presStyleCnt="243"/>
      <dgm:spPr/>
    </dgm:pt>
    <dgm:pt modelId="{3B4B0294-877B-42CD-84EC-20CF32FB5FEC}" type="pres">
      <dgm:prSet presAssocID="{39A16437-0264-4D44-9B1F-CB364CD15762}" presName="hierRoot2" presStyleCnt="0">
        <dgm:presLayoutVars>
          <dgm:hierBranch val="init"/>
        </dgm:presLayoutVars>
      </dgm:prSet>
      <dgm:spPr/>
    </dgm:pt>
    <dgm:pt modelId="{2FD25801-CF22-4BC0-979C-F9470C6F7059}" type="pres">
      <dgm:prSet presAssocID="{39A16437-0264-4D44-9B1F-CB364CD15762}" presName="rootComposite" presStyleCnt="0"/>
      <dgm:spPr/>
    </dgm:pt>
    <dgm:pt modelId="{099B9FBB-6A7C-4106-872E-B66187370215}" type="pres">
      <dgm:prSet presAssocID="{39A16437-0264-4D44-9B1F-CB364CD15762}" presName="rootText" presStyleLbl="node4" presStyleIdx="121" presStyleCnt="243" custScaleY="109216">
        <dgm:presLayoutVars>
          <dgm:chPref val="3"/>
        </dgm:presLayoutVars>
      </dgm:prSet>
      <dgm:spPr/>
    </dgm:pt>
    <dgm:pt modelId="{9721D323-EBE0-4C7A-9DCD-8A332F537AC3}" type="pres">
      <dgm:prSet presAssocID="{39A16437-0264-4D44-9B1F-CB364CD15762}" presName="rootConnector" presStyleLbl="node4" presStyleIdx="121" presStyleCnt="243"/>
      <dgm:spPr/>
    </dgm:pt>
    <dgm:pt modelId="{90FBC334-EAB1-4310-9D09-0DBE281C265F}" type="pres">
      <dgm:prSet presAssocID="{39A16437-0264-4D44-9B1F-CB364CD15762}" presName="hierChild4" presStyleCnt="0"/>
      <dgm:spPr/>
    </dgm:pt>
    <dgm:pt modelId="{E895A576-78AD-4ADD-B700-F9DB2090A6FC}" type="pres">
      <dgm:prSet presAssocID="{39A16437-0264-4D44-9B1F-CB364CD15762}" presName="hierChild5" presStyleCnt="0"/>
      <dgm:spPr/>
    </dgm:pt>
    <dgm:pt modelId="{54AE8D5C-E4FB-4B5F-9754-4075015ACFB0}" type="pres">
      <dgm:prSet presAssocID="{24F68BBA-935B-4F01-9FC7-B94418686443}" presName="hierChild5" presStyleCnt="0"/>
      <dgm:spPr/>
    </dgm:pt>
    <dgm:pt modelId="{7E76C18F-7072-4E1E-8523-49809B4DEFF8}" type="pres">
      <dgm:prSet presAssocID="{41611002-A6D2-48D7-9ACC-02A7120F5D4B}" presName="Name37" presStyleLbl="parChTrans1D4" presStyleIdx="122" presStyleCnt="243"/>
      <dgm:spPr/>
    </dgm:pt>
    <dgm:pt modelId="{157CFA66-79CE-49C2-91DC-31679C3258DF}" type="pres">
      <dgm:prSet presAssocID="{F7F9F4CE-0839-430A-B431-438E607CE798}" presName="hierRoot2" presStyleCnt="0">
        <dgm:presLayoutVars>
          <dgm:hierBranch val="init"/>
        </dgm:presLayoutVars>
      </dgm:prSet>
      <dgm:spPr/>
    </dgm:pt>
    <dgm:pt modelId="{E275026D-0BB9-4D31-8AA1-656735E891D7}" type="pres">
      <dgm:prSet presAssocID="{F7F9F4CE-0839-430A-B431-438E607CE798}" presName="rootComposite" presStyleCnt="0"/>
      <dgm:spPr/>
    </dgm:pt>
    <dgm:pt modelId="{ABE27A08-F86F-4B35-84EB-89852B1AD93C}" type="pres">
      <dgm:prSet presAssocID="{F7F9F4CE-0839-430A-B431-438E607CE798}" presName="rootText" presStyleLbl="node4" presStyleIdx="122" presStyleCnt="243">
        <dgm:presLayoutVars>
          <dgm:chPref val="3"/>
        </dgm:presLayoutVars>
      </dgm:prSet>
      <dgm:spPr/>
    </dgm:pt>
    <dgm:pt modelId="{5DFBE74E-C545-4107-8E0D-116926D2E711}" type="pres">
      <dgm:prSet presAssocID="{F7F9F4CE-0839-430A-B431-438E607CE798}" presName="rootConnector" presStyleLbl="node4" presStyleIdx="122" presStyleCnt="243"/>
      <dgm:spPr/>
    </dgm:pt>
    <dgm:pt modelId="{8D37D63A-E7FE-4E37-A266-4CD422C9573E}" type="pres">
      <dgm:prSet presAssocID="{F7F9F4CE-0839-430A-B431-438E607CE798}" presName="hierChild4" presStyleCnt="0"/>
      <dgm:spPr/>
    </dgm:pt>
    <dgm:pt modelId="{B632800C-5C1C-4353-A9AD-F0AEE7B3516C}" type="pres">
      <dgm:prSet presAssocID="{C53E8780-DBB9-4B71-BED3-3D72990A1A93}" presName="Name37" presStyleLbl="parChTrans1D4" presStyleIdx="123" presStyleCnt="243"/>
      <dgm:spPr/>
    </dgm:pt>
    <dgm:pt modelId="{9C74E3D7-AC83-443E-BE99-707673A8B7CC}" type="pres">
      <dgm:prSet presAssocID="{E31F9984-EABE-42CF-A5C3-6BEE0475157C}" presName="hierRoot2" presStyleCnt="0">
        <dgm:presLayoutVars>
          <dgm:hierBranch val="init"/>
        </dgm:presLayoutVars>
      </dgm:prSet>
      <dgm:spPr/>
    </dgm:pt>
    <dgm:pt modelId="{5CD326D7-CD2F-47A5-8E8D-78E2EBB2C879}" type="pres">
      <dgm:prSet presAssocID="{E31F9984-EABE-42CF-A5C3-6BEE0475157C}" presName="rootComposite" presStyleCnt="0"/>
      <dgm:spPr/>
    </dgm:pt>
    <dgm:pt modelId="{6044BA6F-91C1-4AB5-965F-F3C26AC623E7}" type="pres">
      <dgm:prSet presAssocID="{E31F9984-EABE-42CF-A5C3-6BEE0475157C}" presName="rootText" presStyleLbl="node4" presStyleIdx="123" presStyleCnt="243">
        <dgm:presLayoutVars>
          <dgm:chPref val="3"/>
        </dgm:presLayoutVars>
      </dgm:prSet>
      <dgm:spPr/>
    </dgm:pt>
    <dgm:pt modelId="{111F139E-BEAF-417D-9A63-9A3F9BFCCF42}" type="pres">
      <dgm:prSet presAssocID="{E31F9984-EABE-42CF-A5C3-6BEE0475157C}" presName="rootConnector" presStyleLbl="node4" presStyleIdx="123" presStyleCnt="243"/>
      <dgm:spPr/>
    </dgm:pt>
    <dgm:pt modelId="{B86EE283-1859-4FD1-9ADF-08D99010E0CC}" type="pres">
      <dgm:prSet presAssocID="{E31F9984-EABE-42CF-A5C3-6BEE0475157C}" presName="hierChild4" presStyleCnt="0"/>
      <dgm:spPr/>
    </dgm:pt>
    <dgm:pt modelId="{75E3DA6F-7118-440F-BE90-129F998E4496}" type="pres">
      <dgm:prSet presAssocID="{E31F9984-EABE-42CF-A5C3-6BEE0475157C}" presName="hierChild5" presStyleCnt="0"/>
      <dgm:spPr/>
    </dgm:pt>
    <dgm:pt modelId="{1726DF87-F6BA-4F78-8780-0CE89AC53192}" type="pres">
      <dgm:prSet presAssocID="{FE292139-D1CB-419B-9093-AB70E97A3266}" presName="Name37" presStyleLbl="parChTrans1D4" presStyleIdx="124" presStyleCnt="243"/>
      <dgm:spPr/>
    </dgm:pt>
    <dgm:pt modelId="{0F08F20F-7C45-48A9-9E6D-E6A571611811}" type="pres">
      <dgm:prSet presAssocID="{86E61AC4-C846-4D1C-B65B-6555FD9EE258}" presName="hierRoot2" presStyleCnt="0">
        <dgm:presLayoutVars>
          <dgm:hierBranch val="init"/>
        </dgm:presLayoutVars>
      </dgm:prSet>
      <dgm:spPr/>
    </dgm:pt>
    <dgm:pt modelId="{42EB42E3-98EC-4374-BC8E-250244A51C60}" type="pres">
      <dgm:prSet presAssocID="{86E61AC4-C846-4D1C-B65B-6555FD9EE258}" presName="rootComposite" presStyleCnt="0"/>
      <dgm:spPr/>
    </dgm:pt>
    <dgm:pt modelId="{0FB05D83-540C-4C4C-88BE-AC9D496F89FE}" type="pres">
      <dgm:prSet presAssocID="{86E61AC4-C846-4D1C-B65B-6555FD9EE258}" presName="rootText" presStyleLbl="node4" presStyleIdx="124" presStyleCnt="243">
        <dgm:presLayoutVars>
          <dgm:chPref val="3"/>
        </dgm:presLayoutVars>
      </dgm:prSet>
      <dgm:spPr/>
    </dgm:pt>
    <dgm:pt modelId="{2DDB31CB-7530-4253-84D2-520735121203}" type="pres">
      <dgm:prSet presAssocID="{86E61AC4-C846-4D1C-B65B-6555FD9EE258}" presName="rootConnector" presStyleLbl="node4" presStyleIdx="124" presStyleCnt="243"/>
      <dgm:spPr/>
    </dgm:pt>
    <dgm:pt modelId="{1141E692-1949-46D8-992D-8EFFDC65D429}" type="pres">
      <dgm:prSet presAssocID="{86E61AC4-C846-4D1C-B65B-6555FD9EE258}" presName="hierChild4" presStyleCnt="0"/>
      <dgm:spPr/>
    </dgm:pt>
    <dgm:pt modelId="{9475E1DD-9FBC-4433-B80D-0684CC984366}" type="pres">
      <dgm:prSet presAssocID="{86E61AC4-C846-4D1C-B65B-6555FD9EE258}" presName="hierChild5" presStyleCnt="0"/>
      <dgm:spPr/>
    </dgm:pt>
    <dgm:pt modelId="{6150C6F1-BF88-4DAC-8D08-96C2F6315D38}" type="pres">
      <dgm:prSet presAssocID="{77B0C87F-4918-4159-A1CE-6259B31DA524}" presName="Name37" presStyleLbl="parChTrans1D4" presStyleIdx="125" presStyleCnt="243"/>
      <dgm:spPr/>
    </dgm:pt>
    <dgm:pt modelId="{A18334E9-AF6A-4702-A2DE-5280A181BD18}" type="pres">
      <dgm:prSet presAssocID="{FECC9238-9990-4194-A985-57830279189D}" presName="hierRoot2" presStyleCnt="0">
        <dgm:presLayoutVars>
          <dgm:hierBranch val="init"/>
        </dgm:presLayoutVars>
      </dgm:prSet>
      <dgm:spPr/>
    </dgm:pt>
    <dgm:pt modelId="{91232FA3-9E0F-43EE-9340-3F1F39E50F64}" type="pres">
      <dgm:prSet presAssocID="{FECC9238-9990-4194-A985-57830279189D}" presName="rootComposite" presStyleCnt="0"/>
      <dgm:spPr/>
    </dgm:pt>
    <dgm:pt modelId="{AFAFC85B-BDC5-492F-9072-4D948A449B73}" type="pres">
      <dgm:prSet presAssocID="{FECC9238-9990-4194-A985-57830279189D}" presName="rootText" presStyleLbl="node4" presStyleIdx="125" presStyleCnt="243" custScaleY="123423">
        <dgm:presLayoutVars>
          <dgm:chPref val="3"/>
        </dgm:presLayoutVars>
      </dgm:prSet>
      <dgm:spPr/>
    </dgm:pt>
    <dgm:pt modelId="{B63A80D4-0444-4339-B88B-C4C3B66E77E6}" type="pres">
      <dgm:prSet presAssocID="{FECC9238-9990-4194-A985-57830279189D}" presName="rootConnector" presStyleLbl="node4" presStyleIdx="125" presStyleCnt="243"/>
      <dgm:spPr/>
    </dgm:pt>
    <dgm:pt modelId="{1A32611B-4EA1-48DF-BAF0-88B18FE89AA5}" type="pres">
      <dgm:prSet presAssocID="{FECC9238-9990-4194-A985-57830279189D}" presName="hierChild4" presStyleCnt="0"/>
      <dgm:spPr/>
    </dgm:pt>
    <dgm:pt modelId="{5E1DDB46-BF5A-4632-A836-BA1BBCE6ECB1}" type="pres">
      <dgm:prSet presAssocID="{FECC9238-9990-4194-A985-57830279189D}" presName="hierChild5" presStyleCnt="0"/>
      <dgm:spPr/>
    </dgm:pt>
    <dgm:pt modelId="{0F7F7C04-F76A-4D92-AB41-A7D907647967}" type="pres">
      <dgm:prSet presAssocID="{382AC0B9-A995-4FF6-9F60-D5640F442699}" presName="Name37" presStyleLbl="parChTrans1D4" presStyleIdx="126" presStyleCnt="243"/>
      <dgm:spPr/>
    </dgm:pt>
    <dgm:pt modelId="{86A65CC7-9EF2-4849-8343-4688DE47ED16}" type="pres">
      <dgm:prSet presAssocID="{83A95EC7-DC92-4835-BEBF-750A6BB02C17}" presName="hierRoot2" presStyleCnt="0">
        <dgm:presLayoutVars>
          <dgm:hierBranch val="init"/>
        </dgm:presLayoutVars>
      </dgm:prSet>
      <dgm:spPr/>
    </dgm:pt>
    <dgm:pt modelId="{14350A51-0D95-49FC-B5E6-BB3B93C084BF}" type="pres">
      <dgm:prSet presAssocID="{83A95EC7-DC92-4835-BEBF-750A6BB02C17}" presName="rootComposite" presStyleCnt="0"/>
      <dgm:spPr/>
    </dgm:pt>
    <dgm:pt modelId="{008F17D4-EA0E-4EC6-9572-F2060D45BB61}" type="pres">
      <dgm:prSet presAssocID="{83A95EC7-DC92-4835-BEBF-750A6BB02C17}" presName="rootText" presStyleLbl="node4" presStyleIdx="126" presStyleCnt="243">
        <dgm:presLayoutVars>
          <dgm:chPref val="3"/>
        </dgm:presLayoutVars>
      </dgm:prSet>
      <dgm:spPr/>
    </dgm:pt>
    <dgm:pt modelId="{B8E02F5F-0E45-49A5-892A-AF25D2719C39}" type="pres">
      <dgm:prSet presAssocID="{83A95EC7-DC92-4835-BEBF-750A6BB02C17}" presName="rootConnector" presStyleLbl="node4" presStyleIdx="126" presStyleCnt="243"/>
      <dgm:spPr/>
    </dgm:pt>
    <dgm:pt modelId="{B7E6AB99-815A-44B2-B98F-18642130E971}" type="pres">
      <dgm:prSet presAssocID="{83A95EC7-DC92-4835-BEBF-750A6BB02C17}" presName="hierChild4" presStyleCnt="0"/>
      <dgm:spPr/>
    </dgm:pt>
    <dgm:pt modelId="{43B07056-23D9-4B4B-93EE-742D74643491}" type="pres">
      <dgm:prSet presAssocID="{83A95EC7-DC92-4835-BEBF-750A6BB02C17}" presName="hierChild5" presStyleCnt="0"/>
      <dgm:spPr/>
    </dgm:pt>
    <dgm:pt modelId="{C78B3221-4E67-436B-83E6-35F453BAEF33}" type="pres">
      <dgm:prSet presAssocID="{F7F9F4CE-0839-430A-B431-438E607CE798}" presName="hierChild5" presStyleCnt="0"/>
      <dgm:spPr/>
    </dgm:pt>
    <dgm:pt modelId="{1DC5210B-7739-4C14-887A-6C062BC163F4}" type="pres">
      <dgm:prSet presAssocID="{B28D2935-1624-45D5-86BD-D4EBFFBC4325}" presName="Name37" presStyleLbl="parChTrans1D4" presStyleIdx="127" presStyleCnt="243"/>
      <dgm:spPr/>
    </dgm:pt>
    <dgm:pt modelId="{D78D1326-78F3-4903-87C2-968712A27087}" type="pres">
      <dgm:prSet presAssocID="{B2F55F9F-403F-4EC6-A36F-D5F8ABEB3D8E}" presName="hierRoot2" presStyleCnt="0">
        <dgm:presLayoutVars>
          <dgm:hierBranch val="init"/>
        </dgm:presLayoutVars>
      </dgm:prSet>
      <dgm:spPr/>
    </dgm:pt>
    <dgm:pt modelId="{A1CDCF4D-9818-4E1C-891C-F7D185609CF8}" type="pres">
      <dgm:prSet presAssocID="{B2F55F9F-403F-4EC6-A36F-D5F8ABEB3D8E}" presName="rootComposite" presStyleCnt="0"/>
      <dgm:spPr/>
    </dgm:pt>
    <dgm:pt modelId="{324D4F47-5426-4CA0-95B5-4DFBDDCE62DF}" type="pres">
      <dgm:prSet presAssocID="{B2F55F9F-403F-4EC6-A36F-D5F8ABEB3D8E}" presName="rootText" presStyleLbl="node4" presStyleIdx="127" presStyleCnt="243">
        <dgm:presLayoutVars>
          <dgm:chPref val="3"/>
        </dgm:presLayoutVars>
      </dgm:prSet>
      <dgm:spPr/>
    </dgm:pt>
    <dgm:pt modelId="{B676192A-8459-48E0-8D2E-C4C46451564F}" type="pres">
      <dgm:prSet presAssocID="{B2F55F9F-403F-4EC6-A36F-D5F8ABEB3D8E}" presName="rootConnector" presStyleLbl="node4" presStyleIdx="127" presStyleCnt="243"/>
      <dgm:spPr/>
    </dgm:pt>
    <dgm:pt modelId="{24A3FDFC-8C29-4795-B9B8-4A867E62843E}" type="pres">
      <dgm:prSet presAssocID="{B2F55F9F-403F-4EC6-A36F-D5F8ABEB3D8E}" presName="hierChild4" presStyleCnt="0"/>
      <dgm:spPr/>
    </dgm:pt>
    <dgm:pt modelId="{1FBA4AC0-C490-45B8-847E-1C1801519230}" type="pres">
      <dgm:prSet presAssocID="{A16C7D7A-E18B-40EF-AA96-52629C1D62A0}" presName="Name37" presStyleLbl="parChTrans1D4" presStyleIdx="128" presStyleCnt="243"/>
      <dgm:spPr/>
    </dgm:pt>
    <dgm:pt modelId="{F5C5DF40-8369-485F-AF77-099A0A6E97C6}" type="pres">
      <dgm:prSet presAssocID="{8BB6122D-E6A2-4709-A14A-8420CE30194E}" presName="hierRoot2" presStyleCnt="0">
        <dgm:presLayoutVars>
          <dgm:hierBranch val="init"/>
        </dgm:presLayoutVars>
      </dgm:prSet>
      <dgm:spPr/>
    </dgm:pt>
    <dgm:pt modelId="{2537BC1D-9FF4-4DC9-B105-BE1DE66060DA}" type="pres">
      <dgm:prSet presAssocID="{8BB6122D-E6A2-4709-A14A-8420CE30194E}" presName="rootComposite" presStyleCnt="0"/>
      <dgm:spPr/>
    </dgm:pt>
    <dgm:pt modelId="{5894794E-4AB0-4FDE-93FD-C6DCE9587CBF}" type="pres">
      <dgm:prSet presAssocID="{8BB6122D-E6A2-4709-A14A-8420CE30194E}" presName="rootText" presStyleLbl="node4" presStyleIdx="128" presStyleCnt="243">
        <dgm:presLayoutVars>
          <dgm:chPref val="3"/>
        </dgm:presLayoutVars>
      </dgm:prSet>
      <dgm:spPr/>
    </dgm:pt>
    <dgm:pt modelId="{B33A0610-B7DA-46F0-ABCF-B32017F39E70}" type="pres">
      <dgm:prSet presAssocID="{8BB6122D-E6A2-4709-A14A-8420CE30194E}" presName="rootConnector" presStyleLbl="node4" presStyleIdx="128" presStyleCnt="243"/>
      <dgm:spPr/>
    </dgm:pt>
    <dgm:pt modelId="{1490FFFB-EC6C-4B43-94E9-E44BC06B7F70}" type="pres">
      <dgm:prSet presAssocID="{8BB6122D-E6A2-4709-A14A-8420CE30194E}" presName="hierChild4" presStyleCnt="0"/>
      <dgm:spPr/>
    </dgm:pt>
    <dgm:pt modelId="{52CD42CC-2E21-46D2-A037-A2792D08D065}" type="pres">
      <dgm:prSet presAssocID="{8BB6122D-E6A2-4709-A14A-8420CE30194E}" presName="hierChild5" presStyleCnt="0"/>
      <dgm:spPr/>
    </dgm:pt>
    <dgm:pt modelId="{94516875-431E-4ED8-8DE6-CE3D904B05DA}" type="pres">
      <dgm:prSet presAssocID="{797AB545-F139-4F2D-9047-9278BB941265}" presName="Name37" presStyleLbl="parChTrans1D4" presStyleIdx="129" presStyleCnt="243"/>
      <dgm:spPr/>
    </dgm:pt>
    <dgm:pt modelId="{072A7786-55A2-436D-9BBF-2C21FDE63B47}" type="pres">
      <dgm:prSet presAssocID="{5BD91ACA-C58E-4171-B542-F9AF479E8D0A}" presName="hierRoot2" presStyleCnt="0">
        <dgm:presLayoutVars>
          <dgm:hierBranch val="init"/>
        </dgm:presLayoutVars>
      </dgm:prSet>
      <dgm:spPr/>
    </dgm:pt>
    <dgm:pt modelId="{1C441DEA-6A88-4A4A-915F-CD06E71124CB}" type="pres">
      <dgm:prSet presAssocID="{5BD91ACA-C58E-4171-B542-F9AF479E8D0A}" presName="rootComposite" presStyleCnt="0"/>
      <dgm:spPr/>
    </dgm:pt>
    <dgm:pt modelId="{F56FEAC4-8046-41D1-97B6-694ABA121D08}" type="pres">
      <dgm:prSet presAssocID="{5BD91ACA-C58E-4171-B542-F9AF479E8D0A}" presName="rootText" presStyleLbl="node4" presStyleIdx="129" presStyleCnt="243">
        <dgm:presLayoutVars>
          <dgm:chPref val="3"/>
        </dgm:presLayoutVars>
      </dgm:prSet>
      <dgm:spPr/>
    </dgm:pt>
    <dgm:pt modelId="{15026780-4D39-4358-B37B-A38AA4C4D108}" type="pres">
      <dgm:prSet presAssocID="{5BD91ACA-C58E-4171-B542-F9AF479E8D0A}" presName="rootConnector" presStyleLbl="node4" presStyleIdx="129" presStyleCnt="243"/>
      <dgm:spPr/>
    </dgm:pt>
    <dgm:pt modelId="{404C187F-BE62-4A72-937A-DE7AB35D4BC2}" type="pres">
      <dgm:prSet presAssocID="{5BD91ACA-C58E-4171-B542-F9AF479E8D0A}" presName="hierChild4" presStyleCnt="0"/>
      <dgm:spPr/>
    </dgm:pt>
    <dgm:pt modelId="{C878F298-8282-42DC-8470-82712DC2E9C3}" type="pres">
      <dgm:prSet presAssocID="{5BD91ACA-C58E-4171-B542-F9AF479E8D0A}" presName="hierChild5" presStyleCnt="0"/>
      <dgm:spPr/>
    </dgm:pt>
    <dgm:pt modelId="{4820B8C3-7D09-47D4-AF2E-2649E12E4416}" type="pres">
      <dgm:prSet presAssocID="{48AD2F60-989F-4833-8C6B-22449A9EFE4B}" presName="Name37" presStyleLbl="parChTrans1D4" presStyleIdx="130" presStyleCnt="243"/>
      <dgm:spPr/>
    </dgm:pt>
    <dgm:pt modelId="{B0D884CA-88B2-4EC6-8D04-3BEC9196D3C3}" type="pres">
      <dgm:prSet presAssocID="{60C71A3B-0C4E-4CE6-B808-21A1DEACDEC5}" presName="hierRoot2" presStyleCnt="0">
        <dgm:presLayoutVars>
          <dgm:hierBranch val="init"/>
        </dgm:presLayoutVars>
      </dgm:prSet>
      <dgm:spPr/>
    </dgm:pt>
    <dgm:pt modelId="{D6ABB681-E7C7-414E-80C4-6EA2181CE033}" type="pres">
      <dgm:prSet presAssocID="{60C71A3B-0C4E-4CE6-B808-21A1DEACDEC5}" presName="rootComposite" presStyleCnt="0"/>
      <dgm:spPr/>
    </dgm:pt>
    <dgm:pt modelId="{BDA23108-4B0C-4CEE-B5EF-8B1D84DE041A}" type="pres">
      <dgm:prSet presAssocID="{60C71A3B-0C4E-4CE6-B808-21A1DEACDEC5}" presName="rootText" presStyleLbl="node4" presStyleIdx="130" presStyleCnt="243">
        <dgm:presLayoutVars>
          <dgm:chPref val="3"/>
        </dgm:presLayoutVars>
      </dgm:prSet>
      <dgm:spPr/>
    </dgm:pt>
    <dgm:pt modelId="{8B0DC40C-31B9-40F6-B9F9-6A83BEF983A3}" type="pres">
      <dgm:prSet presAssocID="{60C71A3B-0C4E-4CE6-B808-21A1DEACDEC5}" presName="rootConnector" presStyleLbl="node4" presStyleIdx="130" presStyleCnt="243"/>
      <dgm:spPr/>
    </dgm:pt>
    <dgm:pt modelId="{6B2728F9-6D70-4954-94B9-D6429514E88D}" type="pres">
      <dgm:prSet presAssocID="{60C71A3B-0C4E-4CE6-B808-21A1DEACDEC5}" presName="hierChild4" presStyleCnt="0"/>
      <dgm:spPr/>
    </dgm:pt>
    <dgm:pt modelId="{4EEE0F0D-B2CC-4518-9F7F-7609D0F5763C}" type="pres">
      <dgm:prSet presAssocID="{60C71A3B-0C4E-4CE6-B808-21A1DEACDEC5}" presName="hierChild5" presStyleCnt="0"/>
      <dgm:spPr/>
    </dgm:pt>
    <dgm:pt modelId="{B022C0BE-8208-4386-AD71-4E720DE26CA1}" type="pres">
      <dgm:prSet presAssocID="{B2F55F9F-403F-4EC6-A36F-D5F8ABEB3D8E}" presName="hierChild5" presStyleCnt="0"/>
      <dgm:spPr/>
    </dgm:pt>
    <dgm:pt modelId="{1B17A2F7-127A-4278-8E7A-B4516F26D966}" type="pres">
      <dgm:prSet presAssocID="{24D903A8-733C-4B62-A39A-F18D65C99C15}" presName="Name37" presStyleLbl="parChTrans1D4" presStyleIdx="131" presStyleCnt="243"/>
      <dgm:spPr/>
    </dgm:pt>
    <dgm:pt modelId="{3F31FD7D-84A6-4F99-861F-723BE31C8C63}" type="pres">
      <dgm:prSet presAssocID="{E69890C1-B5A8-4EE6-85A3-2D7756D9244E}" presName="hierRoot2" presStyleCnt="0">
        <dgm:presLayoutVars>
          <dgm:hierBranch val="init"/>
        </dgm:presLayoutVars>
      </dgm:prSet>
      <dgm:spPr/>
    </dgm:pt>
    <dgm:pt modelId="{61DC4604-162E-4F81-B323-25A5824008B9}" type="pres">
      <dgm:prSet presAssocID="{E69890C1-B5A8-4EE6-85A3-2D7756D9244E}" presName="rootComposite" presStyleCnt="0"/>
      <dgm:spPr/>
    </dgm:pt>
    <dgm:pt modelId="{1C2A4E46-F6B6-4E4A-8AED-8BD2CFE0BEA4}" type="pres">
      <dgm:prSet presAssocID="{E69890C1-B5A8-4EE6-85A3-2D7756D9244E}" presName="rootText" presStyleLbl="node4" presStyleIdx="131" presStyleCnt="243">
        <dgm:presLayoutVars>
          <dgm:chPref val="3"/>
        </dgm:presLayoutVars>
      </dgm:prSet>
      <dgm:spPr/>
    </dgm:pt>
    <dgm:pt modelId="{E2202B30-78EE-494A-BEA9-2DA22CD0FB4F}" type="pres">
      <dgm:prSet presAssocID="{E69890C1-B5A8-4EE6-85A3-2D7756D9244E}" presName="rootConnector" presStyleLbl="node4" presStyleIdx="131" presStyleCnt="243"/>
      <dgm:spPr/>
    </dgm:pt>
    <dgm:pt modelId="{773F3EF8-703B-496B-A0EC-57298B9038ED}" type="pres">
      <dgm:prSet presAssocID="{E69890C1-B5A8-4EE6-85A3-2D7756D9244E}" presName="hierChild4" presStyleCnt="0"/>
      <dgm:spPr/>
    </dgm:pt>
    <dgm:pt modelId="{AB98FD9B-BEB2-4BEA-B0F6-DEA7FB88E457}" type="pres">
      <dgm:prSet presAssocID="{E69890C1-B5A8-4EE6-85A3-2D7756D9244E}" presName="hierChild5" presStyleCnt="0"/>
      <dgm:spPr/>
    </dgm:pt>
    <dgm:pt modelId="{8CB64662-E287-47B9-B80A-0A1883CC321A}" type="pres">
      <dgm:prSet presAssocID="{2130FFB1-0433-4133-A8C3-71D4D7BC6E6F}" presName="hierChild5" presStyleCnt="0"/>
      <dgm:spPr/>
    </dgm:pt>
    <dgm:pt modelId="{B4A1B344-5F66-4246-9ADA-2323810C1A6A}" type="pres">
      <dgm:prSet presAssocID="{3C5E6760-9973-4507-8410-F6115E73979F}" presName="hierChild5" presStyleCnt="0"/>
      <dgm:spPr/>
    </dgm:pt>
    <dgm:pt modelId="{E0DB6AA2-7B31-4CDE-8517-4E3815232D82}" type="pres">
      <dgm:prSet presAssocID="{FCC5C2AC-03B5-438E-A94A-743C42691E38}" presName="Name37" presStyleLbl="parChTrans1D3" presStyleIdx="8" presStyleCnt="19"/>
      <dgm:spPr/>
    </dgm:pt>
    <dgm:pt modelId="{5ACF0373-ED4E-4B5B-B785-2E110A992BDB}" type="pres">
      <dgm:prSet presAssocID="{9AE70B7F-979B-49CE-BC85-C030BB8B70B4}" presName="hierRoot2" presStyleCnt="0">
        <dgm:presLayoutVars>
          <dgm:hierBranch val="init"/>
        </dgm:presLayoutVars>
      </dgm:prSet>
      <dgm:spPr/>
    </dgm:pt>
    <dgm:pt modelId="{6FECEF8E-DB0B-4A24-A140-445C89EBDA17}" type="pres">
      <dgm:prSet presAssocID="{9AE70B7F-979B-49CE-BC85-C030BB8B70B4}" presName="rootComposite" presStyleCnt="0"/>
      <dgm:spPr/>
    </dgm:pt>
    <dgm:pt modelId="{A4294F96-B7E0-4F0F-881A-7A0A677A68AB}" type="pres">
      <dgm:prSet presAssocID="{9AE70B7F-979B-49CE-BC85-C030BB8B70B4}" presName="rootText" presStyleLbl="node3" presStyleIdx="8" presStyleCnt="19">
        <dgm:presLayoutVars>
          <dgm:chPref val="3"/>
        </dgm:presLayoutVars>
      </dgm:prSet>
      <dgm:spPr/>
    </dgm:pt>
    <dgm:pt modelId="{3EB4CAA8-F985-48EE-8335-06428C5AD087}" type="pres">
      <dgm:prSet presAssocID="{9AE70B7F-979B-49CE-BC85-C030BB8B70B4}" presName="rootConnector" presStyleLbl="node3" presStyleIdx="8" presStyleCnt="19"/>
      <dgm:spPr/>
    </dgm:pt>
    <dgm:pt modelId="{7C583E2B-F5C4-4099-AFE1-C52EC9096980}" type="pres">
      <dgm:prSet presAssocID="{9AE70B7F-979B-49CE-BC85-C030BB8B70B4}" presName="hierChild4" presStyleCnt="0"/>
      <dgm:spPr/>
    </dgm:pt>
    <dgm:pt modelId="{2123FB7D-9B6E-4A25-8411-46EA7F257657}" type="pres">
      <dgm:prSet presAssocID="{5B6DD99F-43D7-4ACB-AE91-9A5CC271799C}" presName="Name37" presStyleLbl="parChTrans1D4" presStyleIdx="132" presStyleCnt="243"/>
      <dgm:spPr/>
    </dgm:pt>
    <dgm:pt modelId="{E36D8D29-7CCE-438A-A207-094023293784}" type="pres">
      <dgm:prSet presAssocID="{441DB316-1E00-4F26-880F-2049E6656922}" presName="hierRoot2" presStyleCnt="0">
        <dgm:presLayoutVars>
          <dgm:hierBranch val="init"/>
        </dgm:presLayoutVars>
      </dgm:prSet>
      <dgm:spPr/>
    </dgm:pt>
    <dgm:pt modelId="{3F8C6497-2296-4F53-A511-A14E329D8B18}" type="pres">
      <dgm:prSet presAssocID="{441DB316-1E00-4F26-880F-2049E6656922}" presName="rootComposite" presStyleCnt="0"/>
      <dgm:spPr/>
    </dgm:pt>
    <dgm:pt modelId="{AFF7F8E8-F9C7-44FD-B160-6B0BC3D2E458}" type="pres">
      <dgm:prSet presAssocID="{441DB316-1E00-4F26-880F-2049E6656922}" presName="rootText" presStyleLbl="node4" presStyleIdx="132" presStyleCnt="243">
        <dgm:presLayoutVars>
          <dgm:chPref val="3"/>
        </dgm:presLayoutVars>
      </dgm:prSet>
      <dgm:spPr/>
    </dgm:pt>
    <dgm:pt modelId="{F6E73B98-261C-48B9-8085-F3BC002A447D}" type="pres">
      <dgm:prSet presAssocID="{441DB316-1E00-4F26-880F-2049E6656922}" presName="rootConnector" presStyleLbl="node4" presStyleIdx="132" presStyleCnt="243"/>
      <dgm:spPr/>
    </dgm:pt>
    <dgm:pt modelId="{F1DEE285-CF44-4FD7-8FCF-8A27D2F301A4}" type="pres">
      <dgm:prSet presAssocID="{441DB316-1E00-4F26-880F-2049E6656922}" presName="hierChild4" presStyleCnt="0"/>
      <dgm:spPr/>
    </dgm:pt>
    <dgm:pt modelId="{5700F3D9-4965-4E49-808A-D55EC6EC1782}" type="pres">
      <dgm:prSet presAssocID="{441DB316-1E00-4F26-880F-2049E6656922}" presName="hierChild5" presStyleCnt="0"/>
      <dgm:spPr/>
    </dgm:pt>
    <dgm:pt modelId="{B9380F44-3446-438E-9891-C959D60CEC49}" type="pres">
      <dgm:prSet presAssocID="{E5864F28-3C1A-4FC2-A916-CD915C8A8469}" presName="Name37" presStyleLbl="parChTrans1D4" presStyleIdx="133" presStyleCnt="243"/>
      <dgm:spPr/>
    </dgm:pt>
    <dgm:pt modelId="{E53798C9-0EEF-47B7-8C9F-E569AC979D4D}" type="pres">
      <dgm:prSet presAssocID="{C6425DEA-6FA3-417E-B750-3540F6EE7CF3}" presName="hierRoot2" presStyleCnt="0">
        <dgm:presLayoutVars>
          <dgm:hierBranch val="init"/>
        </dgm:presLayoutVars>
      </dgm:prSet>
      <dgm:spPr/>
    </dgm:pt>
    <dgm:pt modelId="{CFC93494-45EC-430A-B214-810583906870}" type="pres">
      <dgm:prSet presAssocID="{C6425DEA-6FA3-417E-B750-3540F6EE7CF3}" presName="rootComposite" presStyleCnt="0"/>
      <dgm:spPr/>
    </dgm:pt>
    <dgm:pt modelId="{8155F833-BAEA-4CB2-B50B-985232B8519A}" type="pres">
      <dgm:prSet presAssocID="{C6425DEA-6FA3-417E-B750-3540F6EE7CF3}" presName="rootText" presStyleLbl="node4" presStyleIdx="133" presStyleCnt="243">
        <dgm:presLayoutVars>
          <dgm:chPref val="3"/>
        </dgm:presLayoutVars>
      </dgm:prSet>
      <dgm:spPr/>
    </dgm:pt>
    <dgm:pt modelId="{E8BEDF73-D90B-4B0A-AAF2-24BBD0C7C796}" type="pres">
      <dgm:prSet presAssocID="{C6425DEA-6FA3-417E-B750-3540F6EE7CF3}" presName="rootConnector" presStyleLbl="node4" presStyleIdx="133" presStyleCnt="243"/>
      <dgm:spPr/>
    </dgm:pt>
    <dgm:pt modelId="{0B1D0327-3D8E-4910-B903-A5714D827B25}" type="pres">
      <dgm:prSet presAssocID="{C6425DEA-6FA3-417E-B750-3540F6EE7CF3}" presName="hierChild4" presStyleCnt="0"/>
      <dgm:spPr/>
    </dgm:pt>
    <dgm:pt modelId="{A9682F4E-14D1-4F7F-8D4E-10339DF200FA}" type="pres">
      <dgm:prSet presAssocID="{C6425DEA-6FA3-417E-B750-3540F6EE7CF3}" presName="hierChild5" presStyleCnt="0"/>
      <dgm:spPr/>
    </dgm:pt>
    <dgm:pt modelId="{7E3EA80E-FA6E-46D8-A31C-B659F6DC7B21}" type="pres">
      <dgm:prSet presAssocID="{9AE70B7F-979B-49CE-BC85-C030BB8B70B4}" presName="hierChild5" presStyleCnt="0"/>
      <dgm:spPr/>
    </dgm:pt>
    <dgm:pt modelId="{406BE597-1936-43AC-9B56-6F3FFCECC744}" type="pres">
      <dgm:prSet presAssocID="{52D2A314-5AC5-4D94-ACC9-9F784C699FFB}" presName="Name37" presStyleLbl="parChTrans1D3" presStyleIdx="9" presStyleCnt="19"/>
      <dgm:spPr/>
    </dgm:pt>
    <dgm:pt modelId="{F287C2B8-E73E-4FF6-9D9E-8244CC537D13}" type="pres">
      <dgm:prSet presAssocID="{A6BC0BFA-F253-4133-BCCD-3080B1026916}" presName="hierRoot2" presStyleCnt="0">
        <dgm:presLayoutVars>
          <dgm:hierBranch/>
        </dgm:presLayoutVars>
      </dgm:prSet>
      <dgm:spPr/>
    </dgm:pt>
    <dgm:pt modelId="{0A6F354E-424D-4CDA-9047-2F784EEC9E7B}" type="pres">
      <dgm:prSet presAssocID="{A6BC0BFA-F253-4133-BCCD-3080B1026916}" presName="rootComposite" presStyleCnt="0"/>
      <dgm:spPr/>
    </dgm:pt>
    <dgm:pt modelId="{3C965F4F-C493-4C8A-8CFE-0AA3F09B555E}" type="pres">
      <dgm:prSet presAssocID="{A6BC0BFA-F253-4133-BCCD-3080B1026916}" presName="rootText" presStyleLbl="node3" presStyleIdx="9" presStyleCnt="19">
        <dgm:presLayoutVars>
          <dgm:chPref val="3"/>
        </dgm:presLayoutVars>
      </dgm:prSet>
      <dgm:spPr/>
    </dgm:pt>
    <dgm:pt modelId="{D15BC242-28EA-44EF-A882-2CE97616CA83}" type="pres">
      <dgm:prSet presAssocID="{A6BC0BFA-F253-4133-BCCD-3080B1026916}" presName="rootConnector" presStyleLbl="node3" presStyleIdx="9" presStyleCnt="19"/>
      <dgm:spPr/>
    </dgm:pt>
    <dgm:pt modelId="{0C24F2F3-E521-409B-AC58-ED8B2859CEC0}" type="pres">
      <dgm:prSet presAssocID="{A6BC0BFA-F253-4133-BCCD-3080B1026916}" presName="hierChild4" presStyleCnt="0"/>
      <dgm:spPr/>
    </dgm:pt>
    <dgm:pt modelId="{A7F27185-60BD-41B3-B97A-0F1C704B871C}" type="pres">
      <dgm:prSet presAssocID="{9490FF0A-5F37-4EE7-9989-14026F04DCE4}" presName="Name35" presStyleLbl="parChTrans1D4" presStyleIdx="134" presStyleCnt="243"/>
      <dgm:spPr/>
    </dgm:pt>
    <dgm:pt modelId="{FDF4D23A-7C63-4679-BCE8-CC2A62522B82}" type="pres">
      <dgm:prSet presAssocID="{37E376FE-5121-4167-9C56-B725FCFDC5E0}" presName="hierRoot2" presStyleCnt="0">
        <dgm:presLayoutVars>
          <dgm:hierBranch/>
        </dgm:presLayoutVars>
      </dgm:prSet>
      <dgm:spPr/>
    </dgm:pt>
    <dgm:pt modelId="{A183A2F1-259C-484E-805E-FD49EBC718AB}" type="pres">
      <dgm:prSet presAssocID="{37E376FE-5121-4167-9C56-B725FCFDC5E0}" presName="rootComposite" presStyleCnt="0"/>
      <dgm:spPr/>
    </dgm:pt>
    <dgm:pt modelId="{8AD47393-E850-47FD-ACBD-A5D235867EE1}" type="pres">
      <dgm:prSet presAssocID="{37E376FE-5121-4167-9C56-B725FCFDC5E0}" presName="rootText" presStyleLbl="node4" presStyleIdx="134" presStyleCnt="243">
        <dgm:presLayoutVars>
          <dgm:chPref val="3"/>
        </dgm:presLayoutVars>
      </dgm:prSet>
      <dgm:spPr/>
    </dgm:pt>
    <dgm:pt modelId="{43D84183-88E5-4B59-8B9F-9D256BEEA86D}" type="pres">
      <dgm:prSet presAssocID="{37E376FE-5121-4167-9C56-B725FCFDC5E0}" presName="rootConnector" presStyleLbl="node4" presStyleIdx="134" presStyleCnt="243"/>
      <dgm:spPr/>
    </dgm:pt>
    <dgm:pt modelId="{C7DB6E4A-FDA3-4353-BD51-C2CA2D37B90B}" type="pres">
      <dgm:prSet presAssocID="{37E376FE-5121-4167-9C56-B725FCFDC5E0}" presName="hierChild4" presStyleCnt="0"/>
      <dgm:spPr/>
    </dgm:pt>
    <dgm:pt modelId="{4379D76C-6EDD-4AB1-AD4E-3952A75CACE5}" type="pres">
      <dgm:prSet presAssocID="{E5A58C16-8798-45B6-8B44-C3D693F485DB}" presName="Name35" presStyleLbl="parChTrans1D4" presStyleIdx="135" presStyleCnt="243"/>
      <dgm:spPr/>
    </dgm:pt>
    <dgm:pt modelId="{E7054BD1-EB67-4205-A64D-8B915ED7A4A3}" type="pres">
      <dgm:prSet presAssocID="{8923AB61-7091-4FEB-BC6C-476E63849FCA}" presName="hierRoot2" presStyleCnt="0">
        <dgm:presLayoutVars>
          <dgm:hierBranch val="init"/>
        </dgm:presLayoutVars>
      </dgm:prSet>
      <dgm:spPr/>
    </dgm:pt>
    <dgm:pt modelId="{22586EB9-FB5B-4A9F-89A1-FD508117A4CE}" type="pres">
      <dgm:prSet presAssocID="{8923AB61-7091-4FEB-BC6C-476E63849FCA}" presName="rootComposite" presStyleCnt="0"/>
      <dgm:spPr/>
    </dgm:pt>
    <dgm:pt modelId="{F34F29B9-ADD9-471E-937C-A46776D339C5}" type="pres">
      <dgm:prSet presAssocID="{8923AB61-7091-4FEB-BC6C-476E63849FCA}" presName="rootText" presStyleLbl="node4" presStyleIdx="135" presStyleCnt="243">
        <dgm:presLayoutVars>
          <dgm:chPref val="3"/>
        </dgm:presLayoutVars>
      </dgm:prSet>
      <dgm:spPr/>
    </dgm:pt>
    <dgm:pt modelId="{1102451F-68C7-4483-8002-81AFF316E8F0}" type="pres">
      <dgm:prSet presAssocID="{8923AB61-7091-4FEB-BC6C-476E63849FCA}" presName="rootConnector" presStyleLbl="node4" presStyleIdx="135" presStyleCnt="243"/>
      <dgm:spPr/>
    </dgm:pt>
    <dgm:pt modelId="{0AC0A75E-ADF4-4A9F-BE7F-B944821F7E15}" type="pres">
      <dgm:prSet presAssocID="{8923AB61-7091-4FEB-BC6C-476E63849FCA}" presName="hierChild4" presStyleCnt="0"/>
      <dgm:spPr/>
    </dgm:pt>
    <dgm:pt modelId="{B7B5FC65-B937-4DC9-A876-57469E82BCF8}" type="pres">
      <dgm:prSet presAssocID="{2D141E73-B62B-43C6-94AE-60BD5450AF89}" presName="Name37" presStyleLbl="parChTrans1D4" presStyleIdx="136" presStyleCnt="243"/>
      <dgm:spPr/>
    </dgm:pt>
    <dgm:pt modelId="{D5DA4515-35AC-48DD-96A5-72502914D29D}" type="pres">
      <dgm:prSet presAssocID="{61B3E704-4E8F-4736-9793-47FFB53C6098}" presName="hierRoot2" presStyleCnt="0">
        <dgm:presLayoutVars>
          <dgm:hierBranch val="init"/>
        </dgm:presLayoutVars>
      </dgm:prSet>
      <dgm:spPr/>
    </dgm:pt>
    <dgm:pt modelId="{488FC9AD-31D9-4447-B19E-8F03B31C6758}" type="pres">
      <dgm:prSet presAssocID="{61B3E704-4E8F-4736-9793-47FFB53C6098}" presName="rootComposite" presStyleCnt="0"/>
      <dgm:spPr/>
    </dgm:pt>
    <dgm:pt modelId="{FAA6E948-D2FA-4FDA-BD8A-F42C0C9F761A}" type="pres">
      <dgm:prSet presAssocID="{61B3E704-4E8F-4736-9793-47FFB53C6098}" presName="rootText" presStyleLbl="node4" presStyleIdx="136" presStyleCnt="243">
        <dgm:presLayoutVars>
          <dgm:chPref val="3"/>
        </dgm:presLayoutVars>
      </dgm:prSet>
      <dgm:spPr/>
    </dgm:pt>
    <dgm:pt modelId="{1C76FD4A-7B02-4AD1-B4BB-471E4699472E}" type="pres">
      <dgm:prSet presAssocID="{61B3E704-4E8F-4736-9793-47FFB53C6098}" presName="rootConnector" presStyleLbl="node4" presStyleIdx="136" presStyleCnt="243"/>
      <dgm:spPr/>
    </dgm:pt>
    <dgm:pt modelId="{845EF1DD-DCC9-4686-9016-A7F183CE68ED}" type="pres">
      <dgm:prSet presAssocID="{61B3E704-4E8F-4736-9793-47FFB53C6098}" presName="hierChild4" presStyleCnt="0"/>
      <dgm:spPr/>
    </dgm:pt>
    <dgm:pt modelId="{950F6B69-4BB8-47BE-9160-9CDA27DFC1CF}" type="pres">
      <dgm:prSet presAssocID="{61B3E704-4E8F-4736-9793-47FFB53C6098}" presName="hierChild5" presStyleCnt="0"/>
      <dgm:spPr/>
    </dgm:pt>
    <dgm:pt modelId="{29A4CC6D-7A01-4CF3-9006-6480DC1449E9}" type="pres">
      <dgm:prSet presAssocID="{869F57AB-7F65-4C29-B417-18BE344A9E06}" presName="Name37" presStyleLbl="parChTrans1D4" presStyleIdx="137" presStyleCnt="243"/>
      <dgm:spPr/>
    </dgm:pt>
    <dgm:pt modelId="{0E4DE285-A8CC-46C9-BEB6-716F6CA215C1}" type="pres">
      <dgm:prSet presAssocID="{A88F999F-C04C-4F2C-82CC-B4B1967DB71B}" presName="hierRoot2" presStyleCnt="0">
        <dgm:presLayoutVars>
          <dgm:hierBranch val="init"/>
        </dgm:presLayoutVars>
      </dgm:prSet>
      <dgm:spPr/>
    </dgm:pt>
    <dgm:pt modelId="{2BBAD412-493C-418C-A4D0-D188AB52932C}" type="pres">
      <dgm:prSet presAssocID="{A88F999F-C04C-4F2C-82CC-B4B1967DB71B}" presName="rootComposite" presStyleCnt="0"/>
      <dgm:spPr/>
    </dgm:pt>
    <dgm:pt modelId="{87531960-CF51-486A-BD5B-506868557043}" type="pres">
      <dgm:prSet presAssocID="{A88F999F-C04C-4F2C-82CC-B4B1967DB71B}" presName="rootText" presStyleLbl="node4" presStyleIdx="137" presStyleCnt="243">
        <dgm:presLayoutVars>
          <dgm:chPref val="3"/>
        </dgm:presLayoutVars>
      </dgm:prSet>
      <dgm:spPr/>
    </dgm:pt>
    <dgm:pt modelId="{1ED82A05-8109-4AF0-80B9-4A395EA4955C}" type="pres">
      <dgm:prSet presAssocID="{A88F999F-C04C-4F2C-82CC-B4B1967DB71B}" presName="rootConnector" presStyleLbl="node4" presStyleIdx="137" presStyleCnt="243"/>
      <dgm:spPr/>
    </dgm:pt>
    <dgm:pt modelId="{B7F66AC1-A13B-43DE-938B-33376336A83C}" type="pres">
      <dgm:prSet presAssocID="{A88F999F-C04C-4F2C-82CC-B4B1967DB71B}" presName="hierChild4" presStyleCnt="0"/>
      <dgm:spPr/>
    </dgm:pt>
    <dgm:pt modelId="{4693FE98-21FD-4BC1-96D7-44462C1C8D7E}" type="pres">
      <dgm:prSet presAssocID="{A88F999F-C04C-4F2C-82CC-B4B1967DB71B}" presName="hierChild5" presStyleCnt="0"/>
      <dgm:spPr/>
    </dgm:pt>
    <dgm:pt modelId="{8D9145D2-D850-4B81-A8A9-2F422E3D4BE4}" type="pres">
      <dgm:prSet presAssocID="{E485F257-56AF-4ED1-8E5C-59185A20C2D8}" presName="Name37" presStyleLbl="parChTrans1D4" presStyleIdx="138" presStyleCnt="243"/>
      <dgm:spPr/>
    </dgm:pt>
    <dgm:pt modelId="{F1C16697-770B-47E9-8F9A-3C2FED433642}" type="pres">
      <dgm:prSet presAssocID="{44A7865B-321F-4B06-B06F-C3092D158DD7}" presName="hierRoot2" presStyleCnt="0">
        <dgm:presLayoutVars>
          <dgm:hierBranch val="init"/>
        </dgm:presLayoutVars>
      </dgm:prSet>
      <dgm:spPr/>
    </dgm:pt>
    <dgm:pt modelId="{83DF56D9-DE09-4EA4-9D97-E50D1BD9A159}" type="pres">
      <dgm:prSet presAssocID="{44A7865B-321F-4B06-B06F-C3092D158DD7}" presName="rootComposite" presStyleCnt="0"/>
      <dgm:spPr/>
    </dgm:pt>
    <dgm:pt modelId="{434E52D3-95F1-453A-8CD5-8D9E359E2940}" type="pres">
      <dgm:prSet presAssocID="{44A7865B-321F-4B06-B06F-C3092D158DD7}" presName="rootText" presStyleLbl="node4" presStyleIdx="138" presStyleCnt="243">
        <dgm:presLayoutVars>
          <dgm:chPref val="3"/>
        </dgm:presLayoutVars>
      </dgm:prSet>
      <dgm:spPr/>
    </dgm:pt>
    <dgm:pt modelId="{F6C23501-ABED-4D73-A0F1-4B189016B199}" type="pres">
      <dgm:prSet presAssocID="{44A7865B-321F-4B06-B06F-C3092D158DD7}" presName="rootConnector" presStyleLbl="node4" presStyleIdx="138" presStyleCnt="243"/>
      <dgm:spPr/>
    </dgm:pt>
    <dgm:pt modelId="{A0A688F1-9D5D-408B-AC51-3F5D725164BF}" type="pres">
      <dgm:prSet presAssocID="{44A7865B-321F-4B06-B06F-C3092D158DD7}" presName="hierChild4" presStyleCnt="0"/>
      <dgm:spPr/>
    </dgm:pt>
    <dgm:pt modelId="{036E7B35-560D-44EB-AE2F-2B47F3230773}" type="pres">
      <dgm:prSet presAssocID="{44A7865B-321F-4B06-B06F-C3092D158DD7}" presName="hierChild5" presStyleCnt="0"/>
      <dgm:spPr/>
    </dgm:pt>
    <dgm:pt modelId="{48F91D5C-016A-4AAF-BC9B-40A98C53A67B}" type="pres">
      <dgm:prSet presAssocID="{8923AB61-7091-4FEB-BC6C-476E63849FCA}" presName="hierChild5" presStyleCnt="0"/>
      <dgm:spPr/>
    </dgm:pt>
    <dgm:pt modelId="{10F236CE-50BD-4B63-A30A-D967F5E78644}" type="pres">
      <dgm:prSet presAssocID="{170872F0-748E-4360-8800-30064BCC9377}" presName="Name35" presStyleLbl="parChTrans1D4" presStyleIdx="139" presStyleCnt="243"/>
      <dgm:spPr/>
    </dgm:pt>
    <dgm:pt modelId="{54E58128-7D08-4621-813E-CFFB5A2CA97E}" type="pres">
      <dgm:prSet presAssocID="{6B75C790-037F-43B7-80EF-92C969F2F001}" presName="hierRoot2" presStyleCnt="0">
        <dgm:presLayoutVars>
          <dgm:hierBranch val="init"/>
        </dgm:presLayoutVars>
      </dgm:prSet>
      <dgm:spPr/>
    </dgm:pt>
    <dgm:pt modelId="{51867668-9783-4AB8-BDBD-42507980861D}" type="pres">
      <dgm:prSet presAssocID="{6B75C790-037F-43B7-80EF-92C969F2F001}" presName="rootComposite" presStyleCnt="0"/>
      <dgm:spPr/>
    </dgm:pt>
    <dgm:pt modelId="{FB744925-7B49-4769-B78E-7EE64CE512A4}" type="pres">
      <dgm:prSet presAssocID="{6B75C790-037F-43B7-80EF-92C969F2F001}" presName="rootText" presStyleLbl="node4" presStyleIdx="139" presStyleCnt="243">
        <dgm:presLayoutVars>
          <dgm:chPref val="3"/>
        </dgm:presLayoutVars>
      </dgm:prSet>
      <dgm:spPr/>
    </dgm:pt>
    <dgm:pt modelId="{11C88771-6FF6-4EC7-9AD9-03FB38FD331B}" type="pres">
      <dgm:prSet presAssocID="{6B75C790-037F-43B7-80EF-92C969F2F001}" presName="rootConnector" presStyleLbl="node4" presStyleIdx="139" presStyleCnt="243"/>
      <dgm:spPr/>
    </dgm:pt>
    <dgm:pt modelId="{35349DA7-F9BC-497B-A9CD-C34937335A52}" type="pres">
      <dgm:prSet presAssocID="{6B75C790-037F-43B7-80EF-92C969F2F001}" presName="hierChild4" presStyleCnt="0"/>
      <dgm:spPr/>
    </dgm:pt>
    <dgm:pt modelId="{6654A501-7476-4470-9A82-D74DFE8811ED}" type="pres">
      <dgm:prSet presAssocID="{50977109-3DCA-4C61-AB02-F57640852CE2}" presName="Name37" presStyleLbl="parChTrans1D4" presStyleIdx="140" presStyleCnt="243"/>
      <dgm:spPr/>
    </dgm:pt>
    <dgm:pt modelId="{484921CA-8451-4672-B65C-6AAF5B5F2CD2}" type="pres">
      <dgm:prSet presAssocID="{EB06DA8D-67CD-455C-A760-70BF410FEEAA}" presName="hierRoot2" presStyleCnt="0">
        <dgm:presLayoutVars>
          <dgm:hierBranch val="init"/>
        </dgm:presLayoutVars>
      </dgm:prSet>
      <dgm:spPr/>
    </dgm:pt>
    <dgm:pt modelId="{64686D52-74E6-4D2C-9319-2107EB7E1C06}" type="pres">
      <dgm:prSet presAssocID="{EB06DA8D-67CD-455C-A760-70BF410FEEAA}" presName="rootComposite" presStyleCnt="0"/>
      <dgm:spPr/>
    </dgm:pt>
    <dgm:pt modelId="{56783023-A3E6-44CC-A7FE-CC4B86C3BA97}" type="pres">
      <dgm:prSet presAssocID="{EB06DA8D-67CD-455C-A760-70BF410FEEAA}" presName="rootText" presStyleLbl="node4" presStyleIdx="140" presStyleCnt="243">
        <dgm:presLayoutVars>
          <dgm:chPref val="3"/>
        </dgm:presLayoutVars>
      </dgm:prSet>
      <dgm:spPr/>
    </dgm:pt>
    <dgm:pt modelId="{3F02AFFC-1033-4ABF-B4B1-CF9BF43EFAD8}" type="pres">
      <dgm:prSet presAssocID="{EB06DA8D-67CD-455C-A760-70BF410FEEAA}" presName="rootConnector" presStyleLbl="node4" presStyleIdx="140" presStyleCnt="243"/>
      <dgm:spPr/>
    </dgm:pt>
    <dgm:pt modelId="{62186D2A-19CF-4BAE-B7D0-7F8FB2C4EF46}" type="pres">
      <dgm:prSet presAssocID="{EB06DA8D-67CD-455C-A760-70BF410FEEAA}" presName="hierChild4" presStyleCnt="0"/>
      <dgm:spPr/>
    </dgm:pt>
    <dgm:pt modelId="{150FE7E3-3A9C-4649-86DE-706854A2B8C1}" type="pres">
      <dgm:prSet presAssocID="{EB06DA8D-67CD-455C-A760-70BF410FEEAA}" presName="hierChild5" presStyleCnt="0"/>
      <dgm:spPr/>
    </dgm:pt>
    <dgm:pt modelId="{EEA5219D-65C6-4FC5-8CA3-6F2A1094DCBE}" type="pres">
      <dgm:prSet presAssocID="{03C94E4B-6B95-4DAD-89ED-A1F48711F76C}" presName="Name37" presStyleLbl="parChTrans1D4" presStyleIdx="141" presStyleCnt="243"/>
      <dgm:spPr/>
    </dgm:pt>
    <dgm:pt modelId="{2B8D933C-1FB3-4248-86F6-20CBE46F8378}" type="pres">
      <dgm:prSet presAssocID="{1FAF1469-3194-4997-B895-D1F8B66E59FE}" presName="hierRoot2" presStyleCnt="0">
        <dgm:presLayoutVars>
          <dgm:hierBranch val="init"/>
        </dgm:presLayoutVars>
      </dgm:prSet>
      <dgm:spPr/>
    </dgm:pt>
    <dgm:pt modelId="{53B19F59-255C-4E55-8CC8-B381211D6598}" type="pres">
      <dgm:prSet presAssocID="{1FAF1469-3194-4997-B895-D1F8B66E59FE}" presName="rootComposite" presStyleCnt="0"/>
      <dgm:spPr/>
    </dgm:pt>
    <dgm:pt modelId="{21C66ED4-A6A5-4A28-B14D-A37ADF64BDFE}" type="pres">
      <dgm:prSet presAssocID="{1FAF1469-3194-4997-B895-D1F8B66E59FE}" presName="rootText" presStyleLbl="node4" presStyleIdx="141" presStyleCnt="243">
        <dgm:presLayoutVars>
          <dgm:chPref val="3"/>
        </dgm:presLayoutVars>
      </dgm:prSet>
      <dgm:spPr/>
    </dgm:pt>
    <dgm:pt modelId="{22F1365D-5A91-46E8-952B-01A59ED634C0}" type="pres">
      <dgm:prSet presAssocID="{1FAF1469-3194-4997-B895-D1F8B66E59FE}" presName="rootConnector" presStyleLbl="node4" presStyleIdx="141" presStyleCnt="243"/>
      <dgm:spPr/>
    </dgm:pt>
    <dgm:pt modelId="{E838DDA4-B4E6-4EAE-A5B1-CE17162392BD}" type="pres">
      <dgm:prSet presAssocID="{1FAF1469-3194-4997-B895-D1F8B66E59FE}" presName="hierChild4" presStyleCnt="0"/>
      <dgm:spPr/>
    </dgm:pt>
    <dgm:pt modelId="{EA02A390-0896-4994-9CAC-AEA8172DAEF1}" type="pres">
      <dgm:prSet presAssocID="{1FAF1469-3194-4997-B895-D1F8B66E59FE}" presName="hierChild5" presStyleCnt="0"/>
      <dgm:spPr/>
    </dgm:pt>
    <dgm:pt modelId="{8B4488C2-035F-4A6D-AB30-6333676B4C70}" type="pres">
      <dgm:prSet presAssocID="{76E10DBD-73F3-4551-8402-2FA5700A0BE1}" presName="Name37" presStyleLbl="parChTrans1D4" presStyleIdx="142" presStyleCnt="243"/>
      <dgm:spPr/>
    </dgm:pt>
    <dgm:pt modelId="{027FC277-29C2-474C-823A-69CE8D654763}" type="pres">
      <dgm:prSet presAssocID="{B3F50DDB-EF97-495B-B854-7D6C784A55DE}" presName="hierRoot2" presStyleCnt="0">
        <dgm:presLayoutVars>
          <dgm:hierBranch val="init"/>
        </dgm:presLayoutVars>
      </dgm:prSet>
      <dgm:spPr/>
    </dgm:pt>
    <dgm:pt modelId="{0FC32DCA-01DE-418E-8491-119CD156F45A}" type="pres">
      <dgm:prSet presAssocID="{B3F50DDB-EF97-495B-B854-7D6C784A55DE}" presName="rootComposite" presStyleCnt="0"/>
      <dgm:spPr/>
    </dgm:pt>
    <dgm:pt modelId="{81FC9632-9928-4373-A92A-C5D94C715680}" type="pres">
      <dgm:prSet presAssocID="{B3F50DDB-EF97-495B-B854-7D6C784A55DE}" presName="rootText" presStyleLbl="node4" presStyleIdx="142" presStyleCnt="243">
        <dgm:presLayoutVars>
          <dgm:chPref val="3"/>
        </dgm:presLayoutVars>
      </dgm:prSet>
      <dgm:spPr/>
    </dgm:pt>
    <dgm:pt modelId="{B4875046-AB3D-4C20-BBA5-9B63857EBE27}" type="pres">
      <dgm:prSet presAssocID="{B3F50DDB-EF97-495B-B854-7D6C784A55DE}" presName="rootConnector" presStyleLbl="node4" presStyleIdx="142" presStyleCnt="243"/>
      <dgm:spPr/>
    </dgm:pt>
    <dgm:pt modelId="{11FC61F6-95F4-4FD9-8A9E-897724B6390C}" type="pres">
      <dgm:prSet presAssocID="{B3F50DDB-EF97-495B-B854-7D6C784A55DE}" presName="hierChild4" presStyleCnt="0"/>
      <dgm:spPr/>
    </dgm:pt>
    <dgm:pt modelId="{37ECBBD0-3A2D-457A-821A-D04DC9E7AA16}" type="pres">
      <dgm:prSet presAssocID="{B3F50DDB-EF97-495B-B854-7D6C784A55DE}" presName="hierChild5" presStyleCnt="0"/>
      <dgm:spPr/>
    </dgm:pt>
    <dgm:pt modelId="{62322F44-995E-42C2-BDF8-92234550FE3F}" type="pres">
      <dgm:prSet presAssocID="{6B75C790-037F-43B7-80EF-92C969F2F001}" presName="hierChild5" presStyleCnt="0"/>
      <dgm:spPr/>
    </dgm:pt>
    <dgm:pt modelId="{007AB54C-E2F5-4E42-9E65-D2A686826C0F}" type="pres">
      <dgm:prSet presAssocID="{120129CF-CE72-4122-BEEC-F5F43579A0DA}" presName="Name35" presStyleLbl="parChTrans1D4" presStyleIdx="143" presStyleCnt="243"/>
      <dgm:spPr/>
    </dgm:pt>
    <dgm:pt modelId="{07B75821-CA82-48D2-966C-1F662FBE1328}" type="pres">
      <dgm:prSet presAssocID="{0F55FE95-8893-4B7D-BDCB-FDC155E3EACC}" presName="hierRoot2" presStyleCnt="0">
        <dgm:presLayoutVars>
          <dgm:hierBranch val="init"/>
        </dgm:presLayoutVars>
      </dgm:prSet>
      <dgm:spPr/>
    </dgm:pt>
    <dgm:pt modelId="{414A80C7-6EC1-4588-A9EF-349CA55576A6}" type="pres">
      <dgm:prSet presAssocID="{0F55FE95-8893-4B7D-BDCB-FDC155E3EACC}" presName="rootComposite" presStyleCnt="0"/>
      <dgm:spPr/>
    </dgm:pt>
    <dgm:pt modelId="{E2E2D302-F18D-41F9-8014-848A6392D4CF}" type="pres">
      <dgm:prSet presAssocID="{0F55FE95-8893-4B7D-BDCB-FDC155E3EACC}" presName="rootText" presStyleLbl="node4" presStyleIdx="143" presStyleCnt="243">
        <dgm:presLayoutVars>
          <dgm:chPref val="3"/>
        </dgm:presLayoutVars>
      </dgm:prSet>
      <dgm:spPr/>
    </dgm:pt>
    <dgm:pt modelId="{9D78CFB4-3EE0-4D2B-8986-CC5BAC4B9073}" type="pres">
      <dgm:prSet presAssocID="{0F55FE95-8893-4B7D-BDCB-FDC155E3EACC}" presName="rootConnector" presStyleLbl="node4" presStyleIdx="143" presStyleCnt="243"/>
      <dgm:spPr/>
    </dgm:pt>
    <dgm:pt modelId="{70AF2F19-52DB-4221-9B62-A929E8EFBF2E}" type="pres">
      <dgm:prSet presAssocID="{0F55FE95-8893-4B7D-BDCB-FDC155E3EACC}" presName="hierChild4" presStyleCnt="0"/>
      <dgm:spPr/>
    </dgm:pt>
    <dgm:pt modelId="{226899D6-6075-4F70-9813-10D66438F214}" type="pres">
      <dgm:prSet presAssocID="{1C9C5A9C-63F9-47D1-A390-77155C74172C}" presName="Name37" presStyleLbl="parChTrans1D4" presStyleIdx="144" presStyleCnt="243"/>
      <dgm:spPr/>
    </dgm:pt>
    <dgm:pt modelId="{A3537309-3778-4E57-8C45-1A6C02CCEECC}" type="pres">
      <dgm:prSet presAssocID="{4DE59608-B863-4692-A43A-020BD43640C4}" presName="hierRoot2" presStyleCnt="0">
        <dgm:presLayoutVars>
          <dgm:hierBranch val="init"/>
        </dgm:presLayoutVars>
      </dgm:prSet>
      <dgm:spPr/>
    </dgm:pt>
    <dgm:pt modelId="{3180C66D-CEEA-4564-B146-D8C9E6442F7E}" type="pres">
      <dgm:prSet presAssocID="{4DE59608-B863-4692-A43A-020BD43640C4}" presName="rootComposite" presStyleCnt="0"/>
      <dgm:spPr/>
    </dgm:pt>
    <dgm:pt modelId="{E6555810-0560-4CFA-A6C7-0AF06AF05077}" type="pres">
      <dgm:prSet presAssocID="{4DE59608-B863-4692-A43A-020BD43640C4}" presName="rootText" presStyleLbl="node4" presStyleIdx="144" presStyleCnt="243">
        <dgm:presLayoutVars>
          <dgm:chPref val="3"/>
        </dgm:presLayoutVars>
      </dgm:prSet>
      <dgm:spPr/>
    </dgm:pt>
    <dgm:pt modelId="{7F9D19E8-C660-45B9-B23F-11AB85143112}" type="pres">
      <dgm:prSet presAssocID="{4DE59608-B863-4692-A43A-020BD43640C4}" presName="rootConnector" presStyleLbl="node4" presStyleIdx="144" presStyleCnt="243"/>
      <dgm:spPr/>
    </dgm:pt>
    <dgm:pt modelId="{31D8BA24-96DD-47C0-89DC-C3129FDC8816}" type="pres">
      <dgm:prSet presAssocID="{4DE59608-B863-4692-A43A-020BD43640C4}" presName="hierChild4" presStyleCnt="0"/>
      <dgm:spPr/>
    </dgm:pt>
    <dgm:pt modelId="{95EFEAAA-F4A6-49F1-B913-EDC9DD8A656B}" type="pres">
      <dgm:prSet presAssocID="{4DE59608-B863-4692-A43A-020BD43640C4}" presName="hierChild5" presStyleCnt="0"/>
      <dgm:spPr/>
    </dgm:pt>
    <dgm:pt modelId="{BC254042-3D42-4DF9-9A78-AA1B6D3022D3}" type="pres">
      <dgm:prSet presAssocID="{A285DD4E-11DE-49E7-8728-216DC0E55CF3}" presName="Name37" presStyleLbl="parChTrans1D4" presStyleIdx="145" presStyleCnt="243"/>
      <dgm:spPr/>
    </dgm:pt>
    <dgm:pt modelId="{BCE1B9DF-C239-425D-A0CC-E1EC15C98CBC}" type="pres">
      <dgm:prSet presAssocID="{6A56D4F6-E20F-4550-BF17-7243096766BA}" presName="hierRoot2" presStyleCnt="0">
        <dgm:presLayoutVars>
          <dgm:hierBranch val="init"/>
        </dgm:presLayoutVars>
      </dgm:prSet>
      <dgm:spPr/>
    </dgm:pt>
    <dgm:pt modelId="{30D712C0-2DD7-4728-9ECB-E8B82FD4F22E}" type="pres">
      <dgm:prSet presAssocID="{6A56D4F6-E20F-4550-BF17-7243096766BA}" presName="rootComposite" presStyleCnt="0"/>
      <dgm:spPr/>
    </dgm:pt>
    <dgm:pt modelId="{90970F8F-5F00-4274-8053-DC65F91FE32F}" type="pres">
      <dgm:prSet presAssocID="{6A56D4F6-E20F-4550-BF17-7243096766BA}" presName="rootText" presStyleLbl="node4" presStyleIdx="145" presStyleCnt="243">
        <dgm:presLayoutVars>
          <dgm:chPref val="3"/>
        </dgm:presLayoutVars>
      </dgm:prSet>
      <dgm:spPr/>
    </dgm:pt>
    <dgm:pt modelId="{5A26E172-0CD3-4C20-9828-6B9874499157}" type="pres">
      <dgm:prSet presAssocID="{6A56D4F6-E20F-4550-BF17-7243096766BA}" presName="rootConnector" presStyleLbl="node4" presStyleIdx="145" presStyleCnt="243"/>
      <dgm:spPr/>
    </dgm:pt>
    <dgm:pt modelId="{E8C41E9C-F563-47E4-A038-0026B7E1B81C}" type="pres">
      <dgm:prSet presAssocID="{6A56D4F6-E20F-4550-BF17-7243096766BA}" presName="hierChild4" presStyleCnt="0"/>
      <dgm:spPr/>
    </dgm:pt>
    <dgm:pt modelId="{2B2D61EB-64B7-45DA-80CC-D6BB2E4A2CD8}" type="pres">
      <dgm:prSet presAssocID="{6A56D4F6-E20F-4550-BF17-7243096766BA}" presName="hierChild5" presStyleCnt="0"/>
      <dgm:spPr/>
    </dgm:pt>
    <dgm:pt modelId="{364701AC-3E92-42BB-A791-E3B354633491}" type="pres">
      <dgm:prSet presAssocID="{7D197ADC-F93E-436C-8EE0-8E75586D4D89}" presName="Name37" presStyleLbl="parChTrans1D4" presStyleIdx="146" presStyleCnt="243"/>
      <dgm:spPr/>
    </dgm:pt>
    <dgm:pt modelId="{F7D739B2-C82B-49B2-96A1-22B1F897AEE2}" type="pres">
      <dgm:prSet presAssocID="{BF5CB15B-20CE-4AB7-A918-CA6CEA343B3D}" presName="hierRoot2" presStyleCnt="0">
        <dgm:presLayoutVars>
          <dgm:hierBranch val="init"/>
        </dgm:presLayoutVars>
      </dgm:prSet>
      <dgm:spPr/>
    </dgm:pt>
    <dgm:pt modelId="{A292B612-E4DC-477C-AD76-2DADD7512587}" type="pres">
      <dgm:prSet presAssocID="{BF5CB15B-20CE-4AB7-A918-CA6CEA343B3D}" presName="rootComposite" presStyleCnt="0"/>
      <dgm:spPr/>
    </dgm:pt>
    <dgm:pt modelId="{27D88163-592D-4467-AD0C-295C15CF041D}" type="pres">
      <dgm:prSet presAssocID="{BF5CB15B-20CE-4AB7-A918-CA6CEA343B3D}" presName="rootText" presStyleLbl="node4" presStyleIdx="146" presStyleCnt="243">
        <dgm:presLayoutVars>
          <dgm:chPref val="3"/>
        </dgm:presLayoutVars>
      </dgm:prSet>
      <dgm:spPr/>
    </dgm:pt>
    <dgm:pt modelId="{222F485D-3EAC-43B6-9EE3-3A3259650192}" type="pres">
      <dgm:prSet presAssocID="{BF5CB15B-20CE-4AB7-A918-CA6CEA343B3D}" presName="rootConnector" presStyleLbl="node4" presStyleIdx="146" presStyleCnt="243"/>
      <dgm:spPr/>
    </dgm:pt>
    <dgm:pt modelId="{BF318253-13A8-439D-A02B-4C90270FEFD2}" type="pres">
      <dgm:prSet presAssocID="{BF5CB15B-20CE-4AB7-A918-CA6CEA343B3D}" presName="hierChild4" presStyleCnt="0"/>
      <dgm:spPr/>
    </dgm:pt>
    <dgm:pt modelId="{69FC684F-A53A-4F5D-B1D2-A3A7970D1CF1}" type="pres">
      <dgm:prSet presAssocID="{BF5CB15B-20CE-4AB7-A918-CA6CEA343B3D}" presName="hierChild5" presStyleCnt="0"/>
      <dgm:spPr/>
    </dgm:pt>
    <dgm:pt modelId="{57AD7502-AFE1-4810-9797-582D459E146F}" type="pres">
      <dgm:prSet presAssocID="{D77E7DB1-3ADB-45B0-AAEF-9D9CEB0DD92A}" presName="Name37" presStyleLbl="parChTrans1D4" presStyleIdx="147" presStyleCnt="243"/>
      <dgm:spPr/>
    </dgm:pt>
    <dgm:pt modelId="{701282C7-B117-4827-A200-BF66DAA665B4}" type="pres">
      <dgm:prSet presAssocID="{01A1075C-5A2D-4D14-9D04-3BBCFB83A3FB}" presName="hierRoot2" presStyleCnt="0">
        <dgm:presLayoutVars>
          <dgm:hierBranch val="init"/>
        </dgm:presLayoutVars>
      </dgm:prSet>
      <dgm:spPr/>
    </dgm:pt>
    <dgm:pt modelId="{6393D31D-32D6-4385-85D8-0982F924E249}" type="pres">
      <dgm:prSet presAssocID="{01A1075C-5A2D-4D14-9D04-3BBCFB83A3FB}" presName="rootComposite" presStyleCnt="0"/>
      <dgm:spPr/>
    </dgm:pt>
    <dgm:pt modelId="{1AD2CC55-F5A9-4D3F-A2A7-A473391D5853}" type="pres">
      <dgm:prSet presAssocID="{01A1075C-5A2D-4D14-9D04-3BBCFB83A3FB}" presName="rootText" presStyleLbl="node4" presStyleIdx="147" presStyleCnt="243">
        <dgm:presLayoutVars>
          <dgm:chPref val="3"/>
        </dgm:presLayoutVars>
      </dgm:prSet>
      <dgm:spPr/>
    </dgm:pt>
    <dgm:pt modelId="{86530056-E779-4F13-8351-A572442D8912}" type="pres">
      <dgm:prSet presAssocID="{01A1075C-5A2D-4D14-9D04-3BBCFB83A3FB}" presName="rootConnector" presStyleLbl="node4" presStyleIdx="147" presStyleCnt="243"/>
      <dgm:spPr/>
    </dgm:pt>
    <dgm:pt modelId="{E55E3572-D6E0-434D-9400-4E2597F3C9EC}" type="pres">
      <dgm:prSet presAssocID="{01A1075C-5A2D-4D14-9D04-3BBCFB83A3FB}" presName="hierChild4" presStyleCnt="0"/>
      <dgm:spPr/>
    </dgm:pt>
    <dgm:pt modelId="{C805A2BB-AA56-4224-B281-793574A5EF44}" type="pres">
      <dgm:prSet presAssocID="{01A1075C-5A2D-4D14-9D04-3BBCFB83A3FB}" presName="hierChild5" presStyleCnt="0"/>
      <dgm:spPr/>
    </dgm:pt>
    <dgm:pt modelId="{8D3B42F0-4E51-4719-97AC-095B75C80D56}" type="pres">
      <dgm:prSet presAssocID="{0CD0D40F-7D53-4E4D-A17E-BC6DAB8DD001}" presName="Name37" presStyleLbl="parChTrans1D4" presStyleIdx="148" presStyleCnt="243"/>
      <dgm:spPr/>
    </dgm:pt>
    <dgm:pt modelId="{C1BABB20-1009-4B66-A279-B1D2085EF1A6}" type="pres">
      <dgm:prSet presAssocID="{DBC60928-6F55-4D3D-8A18-00418604EA51}" presName="hierRoot2" presStyleCnt="0">
        <dgm:presLayoutVars>
          <dgm:hierBranch val="init"/>
        </dgm:presLayoutVars>
      </dgm:prSet>
      <dgm:spPr/>
    </dgm:pt>
    <dgm:pt modelId="{779994F2-0359-4808-86A2-AEA63CFB7F3E}" type="pres">
      <dgm:prSet presAssocID="{DBC60928-6F55-4D3D-8A18-00418604EA51}" presName="rootComposite" presStyleCnt="0"/>
      <dgm:spPr/>
    </dgm:pt>
    <dgm:pt modelId="{BD038A28-8922-485F-B631-C87A08CD3520}" type="pres">
      <dgm:prSet presAssocID="{DBC60928-6F55-4D3D-8A18-00418604EA51}" presName="rootText" presStyleLbl="node4" presStyleIdx="148" presStyleCnt="243" custScaleY="119592">
        <dgm:presLayoutVars>
          <dgm:chPref val="3"/>
        </dgm:presLayoutVars>
      </dgm:prSet>
      <dgm:spPr/>
    </dgm:pt>
    <dgm:pt modelId="{2EA74C75-4D75-4607-BD52-E7EADE92931D}" type="pres">
      <dgm:prSet presAssocID="{DBC60928-6F55-4D3D-8A18-00418604EA51}" presName="rootConnector" presStyleLbl="node4" presStyleIdx="148" presStyleCnt="243"/>
      <dgm:spPr/>
    </dgm:pt>
    <dgm:pt modelId="{A5CA290F-EC77-4DA3-B98E-095CF9CC5569}" type="pres">
      <dgm:prSet presAssocID="{DBC60928-6F55-4D3D-8A18-00418604EA51}" presName="hierChild4" presStyleCnt="0"/>
      <dgm:spPr/>
    </dgm:pt>
    <dgm:pt modelId="{B12003FA-A6BE-41D5-957D-1C3D9C6AE873}" type="pres">
      <dgm:prSet presAssocID="{DBC60928-6F55-4D3D-8A18-00418604EA51}" presName="hierChild5" presStyleCnt="0"/>
      <dgm:spPr/>
    </dgm:pt>
    <dgm:pt modelId="{639D9051-A887-45A3-86D8-A710CC8C25DC}" type="pres">
      <dgm:prSet presAssocID="{578A1195-DDDD-4095-B511-8A9209306ED6}" presName="Name37" presStyleLbl="parChTrans1D4" presStyleIdx="149" presStyleCnt="243"/>
      <dgm:spPr/>
    </dgm:pt>
    <dgm:pt modelId="{6C5C60E7-D8EE-49A4-9331-40667ACDC560}" type="pres">
      <dgm:prSet presAssocID="{1F00CD85-06AD-4311-9BB0-289B41D9FE14}" presName="hierRoot2" presStyleCnt="0">
        <dgm:presLayoutVars>
          <dgm:hierBranch val="init"/>
        </dgm:presLayoutVars>
      </dgm:prSet>
      <dgm:spPr/>
    </dgm:pt>
    <dgm:pt modelId="{93F6F8C4-44D3-4D38-8231-164D5A66A864}" type="pres">
      <dgm:prSet presAssocID="{1F00CD85-06AD-4311-9BB0-289B41D9FE14}" presName="rootComposite" presStyleCnt="0"/>
      <dgm:spPr/>
    </dgm:pt>
    <dgm:pt modelId="{930C44FD-23D7-4F58-B850-532295E27637}" type="pres">
      <dgm:prSet presAssocID="{1F00CD85-06AD-4311-9BB0-289B41D9FE14}" presName="rootText" presStyleLbl="node4" presStyleIdx="149" presStyleCnt="243">
        <dgm:presLayoutVars>
          <dgm:chPref val="3"/>
        </dgm:presLayoutVars>
      </dgm:prSet>
      <dgm:spPr/>
    </dgm:pt>
    <dgm:pt modelId="{B9248C04-54CC-42A3-B501-8D04141BED07}" type="pres">
      <dgm:prSet presAssocID="{1F00CD85-06AD-4311-9BB0-289B41D9FE14}" presName="rootConnector" presStyleLbl="node4" presStyleIdx="149" presStyleCnt="243"/>
      <dgm:spPr/>
    </dgm:pt>
    <dgm:pt modelId="{8CCB0D52-59AE-4C76-9BEA-B0BE7222AAC2}" type="pres">
      <dgm:prSet presAssocID="{1F00CD85-06AD-4311-9BB0-289B41D9FE14}" presName="hierChild4" presStyleCnt="0"/>
      <dgm:spPr/>
    </dgm:pt>
    <dgm:pt modelId="{64AB7164-501A-4911-A0BA-1333C6D4EF84}" type="pres">
      <dgm:prSet presAssocID="{1F00CD85-06AD-4311-9BB0-289B41D9FE14}" presName="hierChild5" presStyleCnt="0"/>
      <dgm:spPr/>
    </dgm:pt>
    <dgm:pt modelId="{74703DF2-4E13-4CE6-8C5B-6DB271C97F83}" type="pres">
      <dgm:prSet presAssocID="{2E13DEC0-8B25-4620-8220-0C46F408AA93}" presName="Name37" presStyleLbl="parChTrans1D4" presStyleIdx="150" presStyleCnt="243"/>
      <dgm:spPr/>
    </dgm:pt>
    <dgm:pt modelId="{2785D381-F80C-43EE-B443-F23C1457929B}" type="pres">
      <dgm:prSet presAssocID="{20723C5C-EB4F-4AA1-88A2-E6D367D78F3E}" presName="hierRoot2" presStyleCnt="0">
        <dgm:presLayoutVars>
          <dgm:hierBranch val="init"/>
        </dgm:presLayoutVars>
      </dgm:prSet>
      <dgm:spPr/>
    </dgm:pt>
    <dgm:pt modelId="{B3A23F41-6A28-4093-A40D-C8EEA7CDE775}" type="pres">
      <dgm:prSet presAssocID="{20723C5C-EB4F-4AA1-88A2-E6D367D78F3E}" presName="rootComposite" presStyleCnt="0"/>
      <dgm:spPr/>
    </dgm:pt>
    <dgm:pt modelId="{DD1D3071-4421-4334-8928-B89389C51334}" type="pres">
      <dgm:prSet presAssocID="{20723C5C-EB4F-4AA1-88A2-E6D367D78F3E}" presName="rootText" presStyleLbl="node4" presStyleIdx="150" presStyleCnt="243" custScaleY="122755">
        <dgm:presLayoutVars>
          <dgm:chPref val="3"/>
        </dgm:presLayoutVars>
      </dgm:prSet>
      <dgm:spPr/>
    </dgm:pt>
    <dgm:pt modelId="{5A69868B-558E-474B-9AA3-F5EEE09F345E}" type="pres">
      <dgm:prSet presAssocID="{20723C5C-EB4F-4AA1-88A2-E6D367D78F3E}" presName="rootConnector" presStyleLbl="node4" presStyleIdx="150" presStyleCnt="243"/>
      <dgm:spPr/>
    </dgm:pt>
    <dgm:pt modelId="{A7636252-B9F1-45DD-A180-20D5193404A8}" type="pres">
      <dgm:prSet presAssocID="{20723C5C-EB4F-4AA1-88A2-E6D367D78F3E}" presName="hierChild4" presStyleCnt="0"/>
      <dgm:spPr/>
    </dgm:pt>
    <dgm:pt modelId="{48D25980-305D-401E-A4BF-EFF56B4F9FF7}" type="pres">
      <dgm:prSet presAssocID="{20723C5C-EB4F-4AA1-88A2-E6D367D78F3E}" presName="hierChild5" presStyleCnt="0"/>
      <dgm:spPr/>
    </dgm:pt>
    <dgm:pt modelId="{A1BEF95D-905C-4F8C-8A15-3C3E2EA5DF53}" type="pres">
      <dgm:prSet presAssocID="{0F55FE95-8893-4B7D-BDCB-FDC155E3EACC}" presName="hierChild5" presStyleCnt="0"/>
      <dgm:spPr/>
    </dgm:pt>
    <dgm:pt modelId="{4AE80564-CEE3-4BF3-98A2-49AE41111D0E}" type="pres">
      <dgm:prSet presAssocID="{8C96EFB4-025F-47A3-9E04-909CB2059DD7}" presName="Name35" presStyleLbl="parChTrans1D4" presStyleIdx="151" presStyleCnt="243"/>
      <dgm:spPr/>
    </dgm:pt>
    <dgm:pt modelId="{50C1A853-E6B1-483B-852E-4646B442279E}" type="pres">
      <dgm:prSet presAssocID="{CE77CF4A-19B6-4CD5-A983-704F5EDE28D0}" presName="hierRoot2" presStyleCnt="0">
        <dgm:presLayoutVars>
          <dgm:hierBranch val="init"/>
        </dgm:presLayoutVars>
      </dgm:prSet>
      <dgm:spPr/>
    </dgm:pt>
    <dgm:pt modelId="{B75966DF-C4CC-40B3-81C3-2BA21E792BA3}" type="pres">
      <dgm:prSet presAssocID="{CE77CF4A-19B6-4CD5-A983-704F5EDE28D0}" presName="rootComposite" presStyleCnt="0"/>
      <dgm:spPr/>
    </dgm:pt>
    <dgm:pt modelId="{4009D03B-837A-46EF-A93B-D714548531E3}" type="pres">
      <dgm:prSet presAssocID="{CE77CF4A-19B6-4CD5-A983-704F5EDE28D0}" presName="rootText" presStyleLbl="node4" presStyleIdx="151" presStyleCnt="243">
        <dgm:presLayoutVars>
          <dgm:chPref val="3"/>
        </dgm:presLayoutVars>
      </dgm:prSet>
      <dgm:spPr/>
    </dgm:pt>
    <dgm:pt modelId="{30DCF91C-B93B-4CA7-BDBE-B7676D32D1C7}" type="pres">
      <dgm:prSet presAssocID="{CE77CF4A-19B6-4CD5-A983-704F5EDE28D0}" presName="rootConnector" presStyleLbl="node4" presStyleIdx="151" presStyleCnt="243"/>
      <dgm:spPr/>
    </dgm:pt>
    <dgm:pt modelId="{FAD062D2-AD3E-449B-8862-35CD5D2BF8BD}" type="pres">
      <dgm:prSet presAssocID="{CE77CF4A-19B6-4CD5-A983-704F5EDE28D0}" presName="hierChild4" presStyleCnt="0"/>
      <dgm:spPr/>
    </dgm:pt>
    <dgm:pt modelId="{A6B19E59-E521-44CB-9281-1C09EC9A7019}" type="pres">
      <dgm:prSet presAssocID="{138AAEB8-E9B9-4F6E-9F63-8D9C51266EC0}" presName="Name37" presStyleLbl="parChTrans1D4" presStyleIdx="152" presStyleCnt="243"/>
      <dgm:spPr/>
    </dgm:pt>
    <dgm:pt modelId="{888E2FE7-91C8-415F-BF61-2E313C46DD12}" type="pres">
      <dgm:prSet presAssocID="{4810ACD6-252C-478A-A613-29B71C31ABE2}" presName="hierRoot2" presStyleCnt="0">
        <dgm:presLayoutVars>
          <dgm:hierBranch val="init"/>
        </dgm:presLayoutVars>
      </dgm:prSet>
      <dgm:spPr/>
    </dgm:pt>
    <dgm:pt modelId="{D044E6DB-3430-433E-93C9-73D27AC071C3}" type="pres">
      <dgm:prSet presAssocID="{4810ACD6-252C-478A-A613-29B71C31ABE2}" presName="rootComposite" presStyleCnt="0"/>
      <dgm:spPr/>
    </dgm:pt>
    <dgm:pt modelId="{9FD72A61-FB68-48BE-8507-DE1B0F4CA34B}" type="pres">
      <dgm:prSet presAssocID="{4810ACD6-252C-478A-A613-29B71C31ABE2}" presName="rootText" presStyleLbl="node4" presStyleIdx="152" presStyleCnt="243">
        <dgm:presLayoutVars>
          <dgm:chPref val="3"/>
        </dgm:presLayoutVars>
      </dgm:prSet>
      <dgm:spPr/>
    </dgm:pt>
    <dgm:pt modelId="{6DC0CB74-1EBD-4CC3-A2D4-5E0772D51868}" type="pres">
      <dgm:prSet presAssocID="{4810ACD6-252C-478A-A613-29B71C31ABE2}" presName="rootConnector" presStyleLbl="node4" presStyleIdx="152" presStyleCnt="243"/>
      <dgm:spPr/>
    </dgm:pt>
    <dgm:pt modelId="{38CB3FD6-A1FC-4E4B-9195-B574AD9B0510}" type="pres">
      <dgm:prSet presAssocID="{4810ACD6-252C-478A-A613-29B71C31ABE2}" presName="hierChild4" presStyleCnt="0"/>
      <dgm:spPr/>
    </dgm:pt>
    <dgm:pt modelId="{CDD7B16F-A1A1-4A66-9B7F-39994899F313}" type="pres">
      <dgm:prSet presAssocID="{4810ACD6-252C-478A-A613-29B71C31ABE2}" presName="hierChild5" presStyleCnt="0"/>
      <dgm:spPr/>
    </dgm:pt>
    <dgm:pt modelId="{F9EDA04F-FC1B-4F5D-82BF-097D63568E28}" type="pres">
      <dgm:prSet presAssocID="{A0F0EA8E-B803-447C-B926-3AD3AD68F037}" presName="Name37" presStyleLbl="parChTrans1D4" presStyleIdx="153" presStyleCnt="243"/>
      <dgm:spPr/>
    </dgm:pt>
    <dgm:pt modelId="{6A1BA275-409F-4D9E-B07F-2719E0B47D08}" type="pres">
      <dgm:prSet presAssocID="{AA44B941-0A54-4D7A-9B2A-D755ED061030}" presName="hierRoot2" presStyleCnt="0">
        <dgm:presLayoutVars>
          <dgm:hierBranch val="init"/>
        </dgm:presLayoutVars>
      </dgm:prSet>
      <dgm:spPr/>
    </dgm:pt>
    <dgm:pt modelId="{4037B67F-5523-4E86-9137-FBAF231E928A}" type="pres">
      <dgm:prSet presAssocID="{AA44B941-0A54-4D7A-9B2A-D755ED061030}" presName="rootComposite" presStyleCnt="0"/>
      <dgm:spPr/>
    </dgm:pt>
    <dgm:pt modelId="{AA1626BE-9187-46CD-AE6B-D4E6FEAB176D}" type="pres">
      <dgm:prSet presAssocID="{AA44B941-0A54-4D7A-9B2A-D755ED061030}" presName="rootText" presStyleLbl="node4" presStyleIdx="153" presStyleCnt="243">
        <dgm:presLayoutVars>
          <dgm:chPref val="3"/>
        </dgm:presLayoutVars>
      </dgm:prSet>
      <dgm:spPr/>
    </dgm:pt>
    <dgm:pt modelId="{AD828840-4C16-40AA-B38F-1F5877465E76}" type="pres">
      <dgm:prSet presAssocID="{AA44B941-0A54-4D7A-9B2A-D755ED061030}" presName="rootConnector" presStyleLbl="node4" presStyleIdx="153" presStyleCnt="243"/>
      <dgm:spPr/>
    </dgm:pt>
    <dgm:pt modelId="{9C89D3F9-0874-4CBC-B4AB-8449E17BB536}" type="pres">
      <dgm:prSet presAssocID="{AA44B941-0A54-4D7A-9B2A-D755ED061030}" presName="hierChild4" presStyleCnt="0"/>
      <dgm:spPr/>
    </dgm:pt>
    <dgm:pt modelId="{E40EFB23-F093-4909-8A7F-2DC66197651E}" type="pres">
      <dgm:prSet presAssocID="{AA44B941-0A54-4D7A-9B2A-D755ED061030}" presName="hierChild5" presStyleCnt="0"/>
      <dgm:spPr/>
    </dgm:pt>
    <dgm:pt modelId="{577E24B8-3C49-496E-8FFC-18EDB0DE621D}" type="pres">
      <dgm:prSet presAssocID="{94F05D89-7EFB-4284-BE14-824E2C91859C}" presName="Name37" presStyleLbl="parChTrans1D4" presStyleIdx="154" presStyleCnt="243"/>
      <dgm:spPr/>
    </dgm:pt>
    <dgm:pt modelId="{88D0E821-31C7-41C4-9F18-326A545DA760}" type="pres">
      <dgm:prSet presAssocID="{7D092BB6-0004-49F0-A33B-2302CAB2CF02}" presName="hierRoot2" presStyleCnt="0">
        <dgm:presLayoutVars>
          <dgm:hierBranch val="init"/>
        </dgm:presLayoutVars>
      </dgm:prSet>
      <dgm:spPr/>
    </dgm:pt>
    <dgm:pt modelId="{F2161599-976A-44AA-AFA1-A31010EC2672}" type="pres">
      <dgm:prSet presAssocID="{7D092BB6-0004-49F0-A33B-2302CAB2CF02}" presName="rootComposite" presStyleCnt="0"/>
      <dgm:spPr/>
    </dgm:pt>
    <dgm:pt modelId="{CDC98CCF-A9C4-4191-852D-0BDA9247A9A2}" type="pres">
      <dgm:prSet presAssocID="{7D092BB6-0004-49F0-A33B-2302CAB2CF02}" presName="rootText" presStyleLbl="node4" presStyleIdx="154" presStyleCnt="243">
        <dgm:presLayoutVars>
          <dgm:chPref val="3"/>
        </dgm:presLayoutVars>
      </dgm:prSet>
      <dgm:spPr/>
    </dgm:pt>
    <dgm:pt modelId="{CF2AABB9-B996-4349-B082-B755BDBA86E7}" type="pres">
      <dgm:prSet presAssocID="{7D092BB6-0004-49F0-A33B-2302CAB2CF02}" presName="rootConnector" presStyleLbl="node4" presStyleIdx="154" presStyleCnt="243"/>
      <dgm:spPr/>
    </dgm:pt>
    <dgm:pt modelId="{B930389B-1A33-4E94-9CB8-9CC718831C89}" type="pres">
      <dgm:prSet presAssocID="{7D092BB6-0004-49F0-A33B-2302CAB2CF02}" presName="hierChild4" presStyleCnt="0"/>
      <dgm:spPr/>
    </dgm:pt>
    <dgm:pt modelId="{624D3F62-09D8-4116-97CC-C04CE447DEC0}" type="pres">
      <dgm:prSet presAssocID="{7D092BB6-0004-49F0-A33B-2302CAB2CF02}" presName="hierChild5" presStyleCnt="0"/>
      <dgm:spPr/>
    </dgm:pt>
    <dgm:pt modelId="{C572FDF5-A114-4372-9593-D7ECCCC300BF}" type="pres">
      <dgm:prSet presAssocID="{CE77CF4A-19B6-4CD5-A983-704F5EDE28D0}" presName="hierChild5" presStyleCnt="0"/>
      <dgm:spPr/>
    </dgm:pt>
    <dgm:pt modelId="{CEB4528F-5B11-4263-B5AA-EA9E6EF6319F}" type="pres">
      <dgm:prSet presAssocID="{74B51CE5-A409-4DF8-87C9-0BA5E63BD28D}" presName="Name35" presStyleLbl="parChTrans1D4" presStyleIdx="155" presStyleCnt="243"/>
      <dgm:spPr/>
    </dgm:pt>
    <dgm:pt modelId="{50309BF9-D8D8-43B6-B808-EAC85BCA3959}" type="pres">
      <dgm:prSet presAssocID="{BAA0A6F4-6832-4850-8E6B-C61E7C3A8F3A}" presName="hierRoot2" presStyleCnt="0">
        <dgm:presLayoutVars>
          <dgm:hierBranch val="init"/>
        </dgm:presLayoutVars>
      </dgm:prSet>
      <dgm:spPr/>
    </dgm:pt>
    <dgm:pt modelId="{ADAAD5D6-D7C4-4330-BAA8-9837793EB909}" type="pres">
      <dgm:prSet presAssocID="{BAA0A6F4-6832-4850-8E6B-C61E7C3A8F3A}" presName="rootComposite" presStyleCnt="0"/>
      <dgm:spPr/>
    </dgm:pt>
    <dgm:pt modelId="{104DA63A-501C-4707-B15F-8F4CAA415353}" type="pres">
      <dgm:prSet presAssocID="{BAA0A6F4-6832-4850-8E6B-C61E7C3A8F3A}" presName="rootText" presStyleLbl="node4" presStyleIdx="155" presStyleCnt="243">
        <dgm:presLayoutVars>
          <dgm:chPref val="3"/>
        </dgm:presLayoutVars>
      </dgm:prSet>
      <dgm:spPr/>
    </dgm:pt>
    <dgm:pt modelId="{56CFF035-930F-496A-9EA1-0D9C0B6AC888}" type="pres">
      <dgm:prSet presAssocID="{BAA0A6F4-6832-4850-8E6B-C61E7C3A8F3A}" presName="rootConnector" presStyleLbl="node4" presStyleIdx="155" presStyleCnt="243"/>
      <dgm:spPr/>
    </dgm:pt>
    <dgm:pt modelId="{7E4EE474-D905-4C0B-901D-7C784BDD405D}" type="pres">
      <dgm:prSet presAssocID="{BAA0A6F4-6832-4850-8E6B-C61E7C3A8F3A}" presName="hierChild4" presStyleCnt="0"/>
      <dgm:spPr/>
    </dgm:pt>
    <dgm:pt modelId="{3AF6DEF1-58B8-4093-911F-E55903418FE3}" type="pres">
      <dgm:prSet presAssocID="{A0A868BC-9C64-465D-9A8B-860C189FEF19}" presName="Name37" presStyleLbl="parChTrans1D4" presStyleIdx="156" presStyleCnt="243"/>
      <dgm:spPr/>
    </dgm:pt>
    <dgm:pt modelId="{9F5B6A45-495F-4FC1-8CBF-96CE23AA73E3}" type="pres">
      <dgm:prSet presAssocID="{9E0CF1C0-BE1B-46BA-8A22-8082AFB94BC8}" presName="hierRoot2" presStyleCnt="0">
        <dgm:presLayoutVars>
          <dgm:hierBranch val="init"/>
        </dgm:presLayoutVars>
      </dgm:prSet>
      <dgm:spPr/>
    </dgm:pt>
    <dgm:pt modelId="{72E72DFB-D204-401D-8D24-F99336781E9F}" type="pres">
      <dgm:prSet presAssocID="{9E0CF1C0-BE1B-46BA-8A22-8082AFB94BC8}" presName="rootComposite" presStyleCnt="0"/>
      <dgm:spPr/>
    </dgm:pt>
    <dgm:pt modelId="{3804521D-DEE9-4D07-92F9-44A6A7C9E53A}" type="pres">
      <dgm:prSet presAssocID="{9E0CF1C0-BE1B-46BA-8A22-8082AFB94BC8}" presName="rootText" presStyleLbl="node4" presStyleIdx="156" presStyleCnt="243">
        <dgm:presLayoutVars>
          <dgm:chPref val="3"/>
        </dgm:presLayoutVars>
      </dgm:prSet>
      <dgm:spPr/>
    </dgm:pt>
    <dgm:pt modelId="{D42C5DAA-986D-41FA-855D-92FE27D468FB}" type="pres">
      <dgm:prSet presAssocID="{9E0CF1C0-BE1B-46BA-8A22-8082AFB94BC8}" presName="rootConnector" presStyleLbl="node4" presStyleIdx="156" presStyleCnt="243"/>
      <dgm:spPr/>
    </dgm:pt>
    <dgm:pt modelId="{AB75A0C0-9C06-46A2-B17D-9235683F1DEB}" type="pres">
      <dgm:prSet presAssocID="{9E0CF1C0-BE1B-46BA-8A22-8082AFB94BC8}" presName="hierChild4" presStyleCnt="0"/>
      <dgm:spPr/>
    </dgm:pt>
    <dgm:pt modelId="{35208B96-3BFB-41CE-B333-C966FECF4541}" type="pres">
      <dgm:prSet presAssocID="{9E0CF1C0-BE1B-46BA-8A22-8082AFB94BC8}" presName="hierChild5" presStyleCnt="0"/>
      <dgm:spPr/>
    </dgm:pt>
    <dgm:pt modelId="{8D570137-0FC5-4577-9FE8-E33F34B5E7F8}" type="pres">
      <dgm:prSet presAssocID="{970EAE6C-8716-415E-B5D8-D3D811AF8CDD}" presName="Name37" presStyleLbl="parChTrans1D4" presStyleIdx="157" presStyleCnt="243"/>
      <dgm:spPr/>
    </dgm:pt>
    <dgm:pt modelId="{820AAF60-7073-4EAB-9883-7148B548E9F0}" type="pres">
      <dgm:prSet presAssocID="{C1BFF298-EFBC-4114-8E71-845F08577E5E}" presName="hierRoot2" presStyleCnt="0">
        <dgm:presLayoutVars>
          <dgm:hierBranch val="init"/>
        </dgm:presLayoutVars>
      </dgm:prSet>
      <dgm:spPr/>
    </dgm:pt>
    <dgm:pt modelId="{53C4FF94-7756-4251-9B52-004E88F685D5}" type="pres">
      <dgm:prSet presAssocID="{C1BFF298-EFBC-4114-8E71-845F08577E5E}" presName="rootComposite" presStyleCnt="0"/>
      <dgm:spPr/>
    </dgm:pt>
    <dgm:pt modelId="{7B9093F3-87E6-40ED-AB18-B5B05515D707}" type="pres">
      <dgm:prSet presAssocID="{C1BFF298-EFBC-4114-8E71-845F08577E5E}" presName="rootText" presStyleLbl="node4" presStyleIdx="157" presStyleCnt="243">
        <dgm:presLayoutVars>
          <dgm:chPref val="3"/>
        </dgm:presLayoutVars>
      </dgm:prSet>
      <dgm:spPr/>
    </dgm:pt>
    <dgm:pt modelId="{0C5CEAC7-8EB8-4C8C-BB6E-E702AE1B01F3}" type="pres">
      <dgm:prSet presAssocID="{C1BFF298-EFBC-4114-8E71-845F08577E5E}" presName="rootConnector" presStyleLbl="node4" presStyleIdx="157" presStyleCnt="243"/>
      <dgm:spPr/>
    </dgm:pt>
    <dgm:pt modelId="{342476A1-CABF-43DA-AD28-3EC10C727C03}" type="pres">
      <dgm:prSet presAssocID="{C1BFF298-EFBC-4114-8E71-845F08577E5E}" presName="hierChild4" presStyleCnt="0"/>
      <dgm:spPr/>
    </dgm:pt>
    <dgm:pt modelId="{6B79D6B8-3E5A-411A-9632-634059ECD756}" type="pres">
      <dgm:prSet presAssocID="{C1BFF298-EFBC-4114-8E71-845F08577E5E}" presName="hierChild5" presStyleCnt="0"/>
      <dgm:spPr/>
    </dgm:pt>
    <dgm:pt modelId="{2E0BADC6-4548-4E2D-A212-02FC92F2E657}" type="pres">
      <dgm:prSet presAssocID="{6E16D81C-4F87-4ACC-83DE-F25AA0F19FC2}" presName="Name37" presStyleLbl="parChTrans1D4" presStyleIdx="158" presStyleCnt="243"/>
      <dgm:spPr/>
    </dgm:pt>
    <dgm:pt modelId="{EA9E955E-D407-4288-B3AA-843E383403B0}" type="pres">
      <dgm:prSet presAssocID="{2BB71D9C-6E93-4176-AFB8-A931FD64791B}" presName="hierRoot2" presStyleCnt="0">
        <dgm:presLayoutVars>
          <dgm:hierBranch val="init"/>
        </dgm:presLayoutVars>
      </dgm:prSet>
      <dgm:spPr/>
    </dgm:pt>
    <dgm:pt modelId="{947355F6-9555-4382-A23F-DF2E7DEFCFDE}" type="pres">
      <dgm:prSet presAssocID="{2BB71D9C-6E93-4176-AFB8-A931FD64791B}" presName="rootComposite" presStyleCnt="0"/>
      <dgm:spPr/>
    </dgm:pt>
    <dgm:pt modelId="{7460B2FA-E554-4A46-806E-4CB157EE513B}" type="pres">
      <dgm:prSet presAssocID="{2BB71D9C-6E93-4176-AFB8-A931FD64791B}" presName="rootText" presStyleLbl="node4" presStyleIdx="158" presStyleCnt="243" custScaleY="116810">
        <dgm:presLayoutVars>
          <dgm:chPref val="3"/>
        </dgm:presLayoutVars>
      </dgm:prSet>
      <dgm:spPr/>
    </dgm:pt>
    <dgm:pt modelId="{BD90A9E9-08C6-47BD-9D44-D4890EE91228}" type="pres">
      <dgm:prSet presAssocID="{2BB71D9C-6E93-4176-AFB8-A931FD64791B}" presName="rootConnector" presStyleLbl="node4" presStyleIdx="158" presStyleCnt="243"/>
      <dgm:spPr/>
    </dgm:pt>
    <dgm:pt modelId="{EDFCB3BE-5599-404B-889E-18E41448F86B}" type="pres">
      <dgm:prSet presAssocID="{2BB71D9C-6E93-4176-AFB8-A931FD64791B}" presName="hierChild4" presStyleCnt="0"/>
      <dgm:spPr/>
    </dgm:pt>
    <dgm:pt modelId="{F407DA26-F3BC-44C3-8630-CD623DE156F3}" type="pres">
      <dgm:prSet presAssocID="{2BB71D9C-6E93-4176-AFB8-A931FD64791B}" presName="hierChild5" presStyleCnt="0"/>
      <dgm:spPr/>
    </dgm:pt>
    <dgm:pt modelId="{23253C9D-DEE7-422E-81D2-B7FB13573AD3}" type="pres">
      <dgm:prSet presAssocID="{BAA0A6F4-6832-4850-8E6B-C61E7C3A8F3A}" presName="hierChild5" presStyleCnt="0"/>
      <dgm:spPr/>
    </dgm:pt>
    <dgm:pt modelId="{BF18C3B8-4518-48A3-9306-2E197D1E33FF}" type="pres">
      <dgm:prSet presAssocID="{838F6695-2061-4E48-9A60-4469710F958A}" presName="Name35" presStyleLbl="parChTrans1D4" presStyleIdx="159" presStyleCnt="243"/>
      <dgm:spPr/>
    </dgm:pt>
    <dgm:pt modelId="{B646CD21-A6DB-49C6-BD9E-35129EBEE5E4}" type="pres">
      <dgm:prSet presAssocID="{631540FB-3808-4E2A-9553-428A5E948F14}" presName="hierRoot2" presStyleCnt="0">
        <dgm:presLayoutVars>
          <dgm:hierBranch val="init"/>
        </dgm:presLayoutVars>
      </dgm:prSet>
      <dgm:spPr/>
    </dgm:pt>
    <dgm:pt modelId="{58379B72-83D4-4C90-8073-D55C2FAA03B7}" type="pres">
      <dgm:prSet presAssocID="{631540FB-3808-4E2A-9553-428A5E948F14}" presName="rootComposite" presStyleCnt="0"/>
      <dgm:spPr/>
    </dgm:pt>
    <dgm:pt modelId="{0C7A7BBF-3F62-4ACD-A12C-8C082E47C98E}" type="pres">
      <dgm:prSet presAssocID="{631540FB-3808-4E2A-9553-428A5E948F14}" presName="rootText" presStyleLbl="node4" presStyleIdx="159" presStyleCnt="243">
        <dgm:presLayoutVars>
          <dgm:chPref val="3"/>
        </dgm:presLayoutVars>
      </dgm:prSet>
      <dgm:spPr/>
    </dgm:pt>
    <dgm:pt modelId="{9EBB0AC7-2380-47E6-93DB-EECBB8FB852B}" type="pres">
      <dgm:prSet presAssocID="{631540FB-3808-4E2A-9553-428A5E948F14}" presName="rootConnector" presStyleLbl="node4" presStyleIdx="159" presStyleCnt="243"/>
      <dgm:spPr/>
    </dgm:pt>
    <dgm:pt modelId="{07F5F05B-F5AC-4DF7-96D9-0F27A9D077BB}" type="pres">
      <dgm:prSet presAssocID="{631540FB-3808-4E2A-9553-428A5E948F14}" presName="hierChild4" presStyleCnt="0"/>
      <dgm:spPr/>
    </dgm:pt>
    <dgm:pt modelId="{179498E2-8E62-4116-8B0E-FC8161B2AE6D}" type="pres">
      <dgm:prSet presAssocID="{631540FB-3808-4E2A-9553-428A5E948F14}" presName="hierChild5" presStyleCnt="0"/>
      <dgm:spPr/>
    </dgm:pt>
    <dgm:pt modelId="{B13B6798-F9E1-42DC-8F73-CE6CC610D7FF}" type="pres">
      <dgm:prSet presAssocID="{F7443207-56E4-4844-8C7D-E8F90438A6CB}" presName="Name35" presStyleLbl="parChTrans1D4" presStyleIdx="160" presStyleCnt="243"/>
      <dgm:spPr/>
    </dgm:pt>
    <dgm:pt modelId="{8C2CA262-4AB3-44F3-B6CA-0D451405D644}" type="pres">
      <dgm:prSet presAssocID="{85588F87-C042-4DDE-8AA8-1C3019723053}" presName="hierRoot2" presStyleCnt="0">
        <dgm:presLayoutVars>
          <dgm:hierBranch val="init"/>
        </dgm:presLayoutVars>
      </dgm:prSet>
      <dgm:spPr/>
    </dgm:pt>
    <dgm:pt modelId="{C175E7C1-9994-475D-99B1-77F725B1D964}" type="pres">
      <dgm:prSet presAssocID="{85588F87-C042-4DDE-8AA8-1C3019723053}" presName="rootComposite" presStyleCnt="0"/>
      <dgm:spPr/>
    </dgm:pt>
    <dgm:pt modelId="{7BD3537E-12BC-4463-B76F-AB644948906C}" type="pres">
      <dgm:prSet presAssocID="{85588F87-C042-4DDE-8AA8-1C3019723053}" presName="rootText" presStyleLbl="node4" presStyleIdx="160" presStyleCnt="243">
        <dgm:presLayoutVars>
          <dgm:chPref val="3"/>
        </dgm:presLayoutVars>
      </dgm:prSet>
      <dgm:spPr/>
    </dgm:pt>
    <dgm:pt modelId="{21B23348-0996-4355-A150-C97A16B8F08A}" type="pres">
      <dgm:prSet presAssocID="{85588F87-C042-4DDE-8AA8-1C3019723053}" presName="rootConnector" presStyleLbl="node4" presStyleIdx="160" presStyleCnt="243"/>
      <dgm:spPr/>
    </dgm:pt>
    <dgm:pt modelId="{A06A2064-F547-4CC0-8418-5B82F293459A}" type="pres">
      <dgm:prSet presAssocID="{85588F87-C042-4DDE-8AA8-1C3019723053}" presName="hierChild4" presStyleCnt="0"/>
      <dgm:spPr/>
    </dgm:pt>
    <dgm:pt modelId="{43AB5691-558E-43D8-9159-8C00FEDC90A6}" type="pres">
      <dgm:prSet presAssocID="{85588F87-C042-4DDE-8AA8-1C3019723053}" presName="hierChild5" presStyleCnt="0"/>
      <dgm:spPr/>
    </dgm:pt>
    <dgm:pt modelId="{3066EB51-CF2C-41B1-B4C2-8770BC503845}" type="pres">
      <dgm:prSet presAssocID="{37E376FE-5121-4167-9C56-B725FCFDC5E0}" presName="hierChild5" presStyleCnt="0"/>
      <dgm:spPr/>
    </dgm:pt>
    <dgm:pt modelId="{62DF908E-1B67-474F-82AB-BB0BF2AB8D46}" type="pres">
      <dgm:prSet presAssocID="{B0961003-2EEB-4C55-B8F4-8E72564C7F0C}" presName="Name35" presStyleLbl="parChTrans1D4" presStyleIdx="161" presStyleCnt="243"/>
      <dgm:spPr/>
    </dgm:pt>
    <dgm:pt modelId="{98832BCA-BAE6-4483-81CA-4DC6B08A8E82}" type="pres">
      <dgm:prSet presAssocID="{981E1AF4-DA2D-4B6D-9C64-83259D75895C}" presName="hierRoot2" presStyleCnt="0">
        <dgm:presLayoutVars>
          <dgm:hierBranch/>
        </dgm:presLayoutVars>
      </dgm:prSet>
      <dgm:spPr/>
    </dgm:pt>
    <dgm:pt modelId="{F8EBF1E3-5619-40C9-B2F3-EAD44E7DA7BD}" type="pres">
      <dgm:prSet presAssocID="{981E1AF4-DA2D-4B6D-9C64-83259D75895C}" presName="rootComposite" presStyleCnt="0"/>
      <dgm:spPr/>
    </dgm:pt>
    <dgm:pt modelId="{336F8731-07A5-4580-9C55-19E0A8C6D2D2}" type="pres">
      <dgm:prSet presAssocID="{981E1AF4-DA2D-4B6D-9C64-83259D75895C}" presName="rootText" presStyleLbl="node4" presStyleIdx="161" presStyleCnt="243" custLinFactNeighborX="-771" custLinFactNeighborY="25">
        <dgm:presLayoutVars>
          <dgm:chPref val="3"/>
        </dgm:presLayoutVars>
      </dgm:prSet>
      <dgm:spPr/>
    </dgm:pt>
    <dgm:pt modelId="{1EBAF56F-167B-46F0-BD22-768616D2F80F}" type="pres">
      <dgm:prSet presAssocID="{981E1AF4-DA2D-4B6D-9C64-83259D75895C}" presName="rootConnector" presStyleLbl="node4" presStyleIdx="161" presStyleCnt="243"/>
      <dgm:spPr/>
    </dgm:pt>
    <dgm:pt modelId="{4BDACEF4-E742-4788-90DC-4C56A6ECEFC4}" type="pres">
      <dgm:prSet presAssocID="{981E1AF4-DA2D-4B6D-9C64-83259D75895C}" presName="hierChild4" presStyleCnt="0"/>
      <dgm:spPr/>
    </dgm:pt>
    <dgm:pt modelId="{B510B94B-3653-4D55-A5BD-A4E6E83ABABD}" type="pres">
      <dgm:prSet presAssocID="{1812A62B-E563-4F38-A8C3-ED56E8C9AE25}" presName="Name35" presStyleLbl="parChTrans1D4" presStyleIdx="162" presStyleCnt="243"/>
      <dgm:spPr/>
    </dgm:pt>
    <dgm:pt modelId="{8F979138-F445-4A74-B1C8-168DD539A8F1}" type="pres">
      <dgm:prSet presAssocID="{5591052D-DCF4-4653-8D30-D01F56F163F7}" presName="hierRoot2" presStyleCnt="0">
        <dgm:presLayoutVars>
          <dgm:hierBranch val="r"/>
        </dgm:presLayoutVars>
      </dgm:prSet>
      <dgm:spPr/>
    </dgm:pt>
    <dgm:pt modelId="{E5EB95B5-5187-4605-B2B0-C58843B0A22D}" type="pres">
      <dgm:prSet presAssocID="{5591052D-DCF4-4653-8D30-D01F56F163F7}" presName="rootComposite" presStyleCnt="0"/>
      <dgm:spPr/>
    </dgm:pt>
    <dgm:pt modelId="{2345063D-B7D9-413B-B5BD-457E85BA1AB4}" type="pres">
      <dgm:prSet presAssocID="{5591052D-DCF4-4653-8D30-D01F56F163F7}" presName="rootText" presStyleLbl="node4" presStyleIdx="162" presStyleCnt="243">
        <dgm:presLayoutVars>
          <dgm:chPref val="3"/>
        </dgm:presLayoutVars>
      </dgm:prSet>
      <dgm:spPr/>
    </dgm:pt>
    <dgm:pt modelId="{D5B1C872-83F9-4EFC-9BED-7F3648911521}" type="pres">
      <dgm:prSet presAssocID="{5591052D-DCF4-4653-8D30-D01F56F163F7}" presName="rootConnector" presStyleLbl="node4" presStyleIdx="162" presStyleCnt="243"/>
      <dgm:spPr/>
    </dgm:pt>
    <dgm:pt modelId="{C8F20E65-C191-46C7-AF5E-4C85F4AE2465}" type="pres">
      <dgm:prSet presAssocID="{5591052D-DCF4-4653-8D30-D01F56F163F7}" presName="hierChild4" presStyleCnt="0"/>
      <dgm:spPr/>
    </dgm:pt>
    <dgm:pt modelId="{72C7E78C-8758-49AC-AAB3-B688605FF9B9}" type="pres">
      <dgm:prSet presAssocID="{58959EFA-3782-435F-ACEE-9CADCD54E707}" presName="Name50" presStyleLbl="parChTrans1D4" presStyleIdx="163" presStyleCnt="243"/>
      <dgm:spPr/>
    </dgm:pt>
    <dgm:pt modelId="{305BEF3E-605A-4DC8-BFB1-B97E0010177D}" type="pres">
      <dgm:prSet presAssocID="{65BE6814-3F0C-4148-8403-2B704DD5B257}" presName="hierRoot2" presStyleCnt="0">
        <dgm:presLayoutVars>
          <dgm:hierBranch val="init"/>
        </dgm:presLayoutVars>
      </dgm:prSet>
      <dgm:spPr/>
    </dgm:pt>
    <dgm:pt modelId="{E15F4EF8-F6F1-4CFF-8C5C-D1B6314267BE}" type="pres">
      <dgm:prSet presAssocID="{65BE6814-3F0C-4148-8403-2B704DD5B257}" presName="rootComposite" presStyleCnt="0"/>
      <dgm:spPr/>
    </dgm:pt>
    <dgm:pt modelId="{E60CB9C9-A214-492F-A1CE-53114F1A3A22}" type="pres">
      <dgm:prSet presAssocID="{65BE6814-3F0C-4148-8403-2B704DD5B257}" presName="rootText" presStyleLbl="node4" presStyleIdx="163" presStyleCnt="243">
        <dgm:presLayoutVars>
          <dgm:chPref val="3"/>
        </dgm:presLayoutVars>
      </dgm:prSet>
      <dgm:spPr/>
    </dgm:pt>
    <dgm:pt modelId="{37BCCB50-F85C-4358-BF47-1EFAD47ECC35}" type="pres">
      <dgm:prSet presAssocID="{65BE6814-3F0C-4148-8403-2B704DD5B257}" presName="rootConnector" presStyleLbl="node4" presStyleIdx="163" presStyleCnt="243"/>
      <dgm:spPr/>
    </dgm:pt>
    <dgm:pt modelId="{128CCC2D-9D72-4BCA-A997-7FF8E63E60D6}" type="pres">
      <dgm:prSet presAssocID="{65BE6814-3F0C-4148-8403-2B704DD5B257}" presName="hierChild4" presStyleCnt="0"/>
      <dgm:spPr/>
    </dgm:pt>
    <dgm:pt modelId="{A85A19C3-DE02-4208-98CE-680AC305AB81}" type="pres">
      <dgm:prSet presAssocID="{65BE6814-3F0C-4148-8403-2B704DD5B257}" presName="hierChild5" presStyleCnt="0"/>
      <dgm:spPr/>
    </dgm:pt>
    <dgm:pt modelId="{A369B5EB-6003-4C63-9EAE-F1C59E5910C7}" type="pres">
      <dgm:prSet presAssocID="{9F2554FE-4E10-4780-8965-CE7110AF8925}" presName="Name50" presStyleLbl="parChTrans1D4" presStyleIdx="164" presStyleCnt="243"/>
      <dgm:spPr/>
    </dgm:pt>
    <dgm:pt modelId="{698F8690-E2B7-4612-AB8C-B79F7058475B}" type="pres">
      <dgm:prSet presAssocID="{8DA3CA87-733E-4583-9CCE-846A32DC1FAE}" presName="hierRoot2" presStyleCnt="0">
        <dgm:presLayoutVars>
          <dgm:hierBranch val="init"/>
        </dgm:presLayoutVars>
      </dgm:prSet>
      <dgm:spPr/>
    </dgm:pt>
    <dgm:pt modelId="{0FAE6F05-5623-4DF9-AAFB-01AE21D3DFDD}" type="pres">
      <dgm:prSet presAssocID="{8DA3CA87-733E-4583-9CCE-846A32DC1FAE}" presName="rootComposite" presStyleCnt="0"/>
      <dgm:spPr/>
    </dgm:pt>
    <dgm:pt modelId="{B35C6DCE-CAF8-47E9-948A-841654FBAC2C}" type="pres">
      <dgm:prSet presAssocID="{8DA3CA87-733E-4583-9CCE-846A32DC1FAE}" presName="rootText" presStyleLbl="node4" presStyleIdx="164" presStyleCnt="243">
        <dgm:presLayoutVars>
          <dgm:chPref val="3"/>
        </dgm:presLayoutVars>
      </dgm:prSet>
      <dgm:spPr/>
    </dgm:pt>
    <dgm:pt modelId="{2A6666C4-7E67-4446-928C-F2574E183C3B}" type="pres">
      <dgm:prSet presAssocID="{8DA3CA87-733E-4583-9CCE-846A32DC1FAE}" presName="rootConnector" presStyleLbl="node4" presStyleIdx="164" presStyleCnt="243"/>
      <dgm:spPr/>
    </dgm:pt>
    <dgm:pt modelId="{0D50AD8E-8765-4B8D-9605-DA9AC0BD347E}" type="pres">
      <dgm:prSet presAssocID="{8DA3CA87-733E-4583-9CCE-846A32DC1FAE}" presName="hierChild4" presStyleCnt="0"/>
      <dgm:spPr/>
    </dgm:pt>
    <dgm:pt modelId="{10C37824-3121-49BB-B52D-BEF68455E27F}" type="pres">
      <dgm:prSet presAssocID="{8DA3CA87-733E-4583-9CCE-846A32DC1FAE}" presName="hierChild5" presStyleCnt="0"/>
      <dgm:spPr/>
    </dgm:pt>
    <dgm:pt modelId="{400C2455-839D-4321-88EC-8558A31B6B05}" type="pres">
      <dgm:prSet presAssocID="{EEF4749F-DE1D-4627-88C7-9F746A6BD04B}" presName="Name50" presStyleLbl="parChTrans1D4" presStyleIdx="165" presStyleCnt="243"/>
      <dgm:spPr/>
    </dgm:pt>
    <dgm:pt modelId="{9188A3FB-EA98-4FFC-AAB8-C663C95CF767}" type="pres">
      <dgm:prSet presAssocID="{9F2E8308-01CC-44F7-B73C-03A5166D8871}" presName="hierRoot2" presStyleCnt="0">
        <dgm:presLayoutVars>
          <dgm:hierBranch val="init"/>
        </dgm:presLayoutVars>
      </dgm:prSet>
      <dgm:spPr/>
    </dgm:pt>
    <dgm:pt modelId="{3A46EDAB-7632-4461-9D73-201C83D729F8}" type="pres">
      <dgm:prSet presAssocID="{9F2E8308-01CC-44F7-B73C-03A5166D8871}" presName="rootComposite" presStyleCnt="0"/>
      <dgm:spPr/>
    </dgm:pt>
    <dgm:pt modelId="{FB193415-F47D-4AE8-A9EE-80D06D20D917}" type="pres">
      <dgm:prSet presAssocID="{9F2E8308-01CC-44F7-B73C-03A5166D8871}" presName="rootText" presStyleLbl="node4" presStyleIdx="165" presStyleCnt="243">
        <dgm:presLayoutVars>
          <dgm:chPref val="3"/>
        </dgm:presLayoutVars>
      </dgm:prSet>
      <dgm:spPr/>
    </dgm:pt>
    <dgm:pt modelId="{3A5B05EB-BE23-4201-95B0-5ABA90F5431D}" type="pres">
      <dgm:prSet presAssocID="{9F2E8308-01CC-44F7-B73C-03A5166D8871}" presName="rootConnector" presStyleLbl="node4" presStyleIdx="165" presStyleCnt="243"/>
      <dgm:spPr/>
    </dgm:pt>
    <dgm:pt modelId="{5565007F-691F-45ED-8ABA-EA646BDD1A8B}" type="pres">
      <dgm:prSet presAssocID="{9F2E8308-01CC-44F7-B73C-03A5166D8871}" presName="hierChild4" presStyleCnt="0"/>
      <dgm:spPr/>
    </dgm:pt>
    <dgm:pt modelId="{E66BDE45-AB77-463F-B032-9B2B6D489E2C}" type="pres">
      <dgm:prSet presAssocID="{9F2E8308-01CC-44F7-B73C-03A5166D8871}" presName="hierChild5" presStyleCnt="0"/>
      <dgm:spPr/>
    </dgm:pt>
    <dgm:pt modelId="{D3B6D984-99F4-44F4-8926-A4A18A5481A7}" type="pres">
      <dgm:prSet presAssocID="{C5C21CD9-55BF-4787-A7C5-B921C847270A}" presName="Name50" presStyleLbl="parChTrans1D4" presStyleIdx="166" presStyleCnt="243"/>
      <dgm:spPr/>
    </dgm:pt>
    <dgm:pt modelId="{6AA7FDDD-3EA7-44B5-9849-7FE6723C889A}" type="pres">
      <dgm:prSet presAssocID="{ADC3BCAA-3562-4802-B5F4-CCB93911D8A5}" presName="hierRoot2" presStyleCnt="0">
        <dgm:presLayoutVars>
          <dgm:hierBranch val="init"/>
        </dgm:presLayoutVars>
      </dgm:prSet>
      <dgm:spPr/>
    </dgm:pt>
    <dgm:pt modelId="{38BFEE2E-DDB0-426A-96BB-38BAB7C7EDEF}" type="pres">
      <dgm:prSet presAssocID="{ADC3BCAA-3562-4802-B5F4-CCB93911D8A5}" presName="rootComposite" presStyleCnt="0"/>
      <dgm:spPr/>
    </dgm:pt>
    <dgm:pt modelId="{0A6011F9-311C-45BF-9F94-1C2B488C3D30}" type="pres">
      <dgm:prSet presAssocID="{ADC3BCAA-3562-4802-B5F4-CCB93911D8A5}" presName="rootText" presStyleLbl="node4" presStyleIdx="166" presStyleCnt="243">
        <dgm:presLayoutVars>
          <dgm:chPref val="3"/>
        </dgm:presLayoutVars>
      </dgm:prSet>
      <dgm:spPr/>
    </dgm:pt>
    <dgm:pt modelId="{7C791DE4-27C0-47A2-A0AF-1CC4E23F4082}" type="pres">
      <dgm:prSet presAssocID="{ADC3BCAA-3562-4802-B5F4-CCB93911D8A5}" presName="rootConnector" presStyleLbl="node4" presStyleIdx="166" presStyleCnt="243"/>
      <dgm:spPr/>
    </dgm:pt>
    <dgm:pt modelId="{95F414B9-BABF-49EC-8EA9-DFBC98F1BDAB}" type="pres">
      <dgm:prSet presAssocID="{ADC3BCAA-3562-4802-B5F4-CCB93911D8A5}" presName="hierChild4" presStyleCnt="0"/>
      <dgm:spPr/>
    </dgm:pt>
    <dgm:pt modelId="{70A9AA12-B689-4BBC-9D36-A37E75098BF2}" type="pres">
      <dgm:prSet presAssocID="{ADC3BCAA-3562-4802-B5F4-CCB93911D8A5}" presName="hierChild5" presStyleCnt="0"/>
      <dgm:spPr/>
    </dgm:pt>
    <dgm:pt modelId="{24B61380-D945-4C4F-B694-2730079C8AEE}" type="pres">
      <dgm:prSet presAssocID="{C80E27A9-3396-48B6-B8C6-FA85991AB4F8}" presName="Name50" presStyleLbl="parChTrans1D4" presStyleIdx="167" presStyleCnt="243"/>
      <dgm:spPr/>
    </dgm:pt>
    <dgm:pt modelId="{6955A963-10B5-41D7-B430-C40477024163}" type="pres">
      <dgm:prSet presAssocID="{BCDD699D-25B2-4814-BDDF-0F3CFE0D2496}" presName="hierRoot2" presStyleCnt="0">
        <dgm:presLayoutVars>
          <dgm:hierBranch val="init"/>
        </dgm:presLayoutVars>
      </dgm:prSet>
      <dgm:spPr/>
    </dgm:pt>
    <dgm:pt modelId="{4640126D-2CE7-4701-B7DF-3CE763654D4A}" type="pres">
      <dgm:prSet presAssocID="{BCDD699D-25B2-4814-BDDF-0F3CFE0D2496}" presName="rootComposite" presStyleCnt="0"/>
      <dgm:spPr/>
    </dgm:pt>
    <dgm:pt modelId="{18A772E2-306E-4293-AE9F-E9D0B634F60E}" type="pres">
      <dgm:prSet presAssocID="{BCDD699D-25B2-4814-BDDF-0F3CFE0D2496}" presName="rootText" presStyleLbl="node4" presStyleIdx="167" presStyleCnt="243">
        <dgm:presLayoutVars>
          <dgm:chPref val="3"/>
        </dgm:presLayoutVars>
      </dgm:prSet>
      <dgm:spPr/>
    </dgm:pt>
    <dgm:pt modelId="{6CDB6BA7-8F8A-4A2A-A6E4-446940CD3B8F}" type="pres">
      <dgm:prSet presAssocID="{BCDD699D-25B2-4814-BDDF-0F3CFE0D2496}" presName="rootConnector" presStyleLbl="node4" presStyleIdx="167" presStyleCnt="243"/>
      <dgm:spPr/>
    </dgm:pt>
    <dgm:pt modelId="{E8A37FEC-E9A6-4CDD-970B-3BFE4DB17F25}" type="pres">
      <dgm:prSet presAssocID="{BCDD699D-25B2-4814-BDDF-0F3CFE0D2496}" presName="hierChild4" presStyleCnt="0"/>
      <dgm:spPr/>
    </dgm:pt>
    <dgm:pt modelId="{790678FD-C818-4BC5-AD61-11AF32DD2020}" type="pres">
      <dgm:prSet presAssocID="{BCDD699D-25B2-4814-BDDF-0F3CFE0D2496}" presName="hierChild5" presStyleCnt="0"/>
      <dgm:spPr/>
    </dgm:pt>
    <dgm:pt modelId="{8AB0224A-AA26-4818-B013-FB8CA015E5A7}" type="pres">
      <dgm:prSet presAssocID="{31F88A8F-76C0-4CBA-81EB-8098A536A7D9}" presName="Name50" presStyleLbl="parChTrans1D4" presStyleIdx="168" presStyleCnt="243"/>
      <dgm:spPr/>
    </dgm:pt>
    <dgm:pt modelId="{773DAD92-B851-4871-ACF7-6B12B2159740}" type="pres">
      <dgm:prSet presAssocID="{54F7D859-F39B-4AE6-8563-DAEB118DFA01}" presName="hierRoot2" presStyleCnt="0">
        <dgm:presLayoutVars>
          <dgm:hierBranch val="init"/>
        </dgm:presLayoutVars>
      </dgm:prSet>
      <dgm:spPr/>
    </dgm:pt>
    <dgm:pt modelId="{D9BB67E6-DD02-452A-A990-42BA12A9BC23}" type="pres">
      <dgm:prSet presAssocID="{54F7D859-F39B-4AE6-8563-DAEB118DFA01}" presName="rootComposite" presStyleCnt="0"/>
      <dgm:spPr/>
    </dgm:pt>
    <dgm:pt modelId="{FE5EA351-6513-470A-9732-F75F35A1F54C}" type="pres">
      <dgm:prSet presAssocID="{54F7D859-F39B-4AE6-8563-DAEB118DFA01}" presName="rootText" presStyleLbl="node4" presStyleIdx="168" presStyleCnt="243">
        <dgm:presLayoutVars>
          <dgm:chPref val="3"/>
        </dgm:presLayoutVars>
      </dgm:prSet>
      <dgm:spPr/>
    </dgm:pt>
    <dgm:pt modelId="{8502C1BF-2D5C-4CB2-B963-6C2F2FA06580}" type="pres">
      <dgm:prSet presAssocID="{54F7D859-F39B-4AE6-8563-DAEB118DFA01}" presName="rootConnector" presStyleLbl="node4" presStyleIdx="168" presStyleCnt="243"/>
      <dgm:spPr/>
    </dgm:pt>
    <dgm:pt modelId="{E04F0074-F24D-4D81-B930-3511A108F2EF}" type="pres">
      <dgm:prSet presAssocID="{54F7D859-F39B-4AE6-8563-DAEB118DFA01}" presName="hierChild4" presStyleCnt="0"/>
      <dgm:spPr/>
    </dgm:pt>
    <dgm:pt modelId="{8B182B00-1E96-4D71-BDED-2EF6E6BDB8B3}" type="pres">
      <dgm:prSet presAssocID="{54F7D859-F39B-4AE6-8563-DAEB118DFA01}" presName="hierChild5" presStyleCnt="0"/>
      <dgm:spPr/>
    </dgm:pt>
    <dgm:pt modelId="{6E69592A-9D08-438F-8C93-DDFAEB7CC395}" type="pres">
      <dgm:prSet presAssocID="{5591052D-DCF4-4653-8D30-D01F56F163F7}" presName="hierChild5" presStyleCnt="0"/>
      <dgm:spPr/>
    </dgm:pt>
    <dgm:pt modelId="{33B2D927-67C0-4BA5-8198-93D00D20FD92}" type="pres">
      <dgm:prSet presAssocID="{08912F9A-4DC5-4E8E-B151-76980A1E475D}" presName="Name35" presStyleLbl="parChTrans1D4" presStyleIdx="169" presStyleCnt="243"/>
      <dgm:spPr/>
    </dgm:pt>
    <dgm:pt modelId="{128A89D3-B7A9-4600-810B-25511C6E1564}" type="pres">
      <dgm:prSet presAssocID="{E52CA914-0613-42E6-9893-DC261B296E9A}" presName="hierRoot2" presStyleCnt="0">
        <dgm:presLayoutVars>
          <dgm:hierBranch val="r"/>
        </dgm:presLayoutVars>
      </dgm:prSet>
      <dgm:spPr/>
    </dgm:pt>
    <dgm:pt modelId="{9D5F9AE8-C6A4-4D15-8C97-B7F4E9EBEFCC}" type="pres">
      <dgm:prSet presAssocID="{E52CA914-0613-42E6-9893-DC261B296E9A}" presName="rootComposite" presStyleCnt="0"/>
      <dgm:spPr/>
    </dgm:pt>
    <dgm:pt modelId="{EE9AA351-FC0A-4B21-9A44-0DF7CF9D0AC2}" type="pres">
      <dgm:prSet presAssocID="{E52CA914-0613-42E6-9893-DC261B296E9A}" presName="rootText" presStyleLbl="node4" presStyleIdx="169" presStyleCnt="243">
        <dgm:presLayoutVars>
          <dgm:chPref val="3"/>
        </dgm:presLayoutVars>
      </dgm:prSet>
      <dgm:spPr/>
    </dgm:pt>
    <dgm:pt modelId="{DACDA06E-C2D2-4B43-A738-569CEBE4021E}" type="pres">
      <dgm:prSet presAssocID="{E52CA914-0613-42E6-9893-DC261B296E9A}" presName="rootConnector" presStyleLbl="node4" presStyleIdx="169" presStyleCnt="243"/>
      <dgm:spPr/>
    </dgm:pt>
    <dgm:pt modelId="{727D39F7-29B5-4A87-B926-27F7856F9133}" type="pres">
      <dgm:prSet presAssocID="{E52CA914-0613-42E6-9893-DC261B296E9A}" presName="hierChild4" presStyleCnt="0"/>
      <dgm:spPr/>
    </dgm:pt>
    <dgm:pt modelId="{EE0C6BE3-2216-49D5-BEDE-00CA90964832}" type="pres">
      <dgm:prSet presAssocID="{8663BC97-8A3F-49E9-9CAA-C6AF11F0CFB1}" presName="Name50" presStyleLbl="parChTrans1D4" presStyleIdx="170" presStyleCnt="243"/>
      <dgm:spPr/>
    </dgm:pt>
    <dgm:pt modelId="{9BE2B58D-EDBB-4559-A4D3-207F87D521FB}" type="pres">
      <dgm:prSet presAssocID="{667EE722-C090-4FBC-BF0D-C9B0688E0DE9}" presName="hierRoot2" presStyleCnt="0">
        <dgm:presLayoutVars>
          <dgm:hierBranch val="init"/>
        </dgm:presLayoutVars>
      </dgm:prSet>
      <dgm:spPr/>
    </dgm:pt>
    <dgm:pt modelId="{89DFB942-03CA-44BD-9C82-E88F1CB68026}" type="pres">
      <dgm:prSet presAssocID="{667EE722-C090-4FBC-BF0D-C9B0688E0DE9}" presName="rootComposite" presStyleCnt="0"/>
      <dgm:spPr/>
    </dgm:pt>
    <dgm:pt modelId="{E14B7D4E-DC3F-4D52-B9AB-A1B052695C17}" type="pres">
      <dgm:prSet presAssocID="{667EE722-C090-4FBC-BF0D-C9B0688E0DE9}" presName="rootText" presStyleLbl="node4" presStyleIdx="170" presStyleCnt="243">
        <dgm:presLayoutVars>
          <dgm:chPref val="3"/>
        </dgm:presLayoutVars>
      </dgm:prSet>
      <dgm:spPr/>
    </dgm:pt>
    <dgm:pt modelId="{44258B81-5E91-42AC-8F41-E1BAF27509E4}" type="pres">
      <dgm:prSet presAssocID="{667EE722-C090-4FBC-BF0D-C9B0688E0DE9}" presName="rootConnector" presStyleLbl="node4" presStyleIdx="170" presStyleCnt="243"/>
      <dgm:spPr/>
    </dgm:pt>
    <dgm:pt modelId="{227F872B-B8AD-4A2E-B154-EAB9895743BF}" type="pres">
      <dgm:prSet presAssocID="{667EE722-C090-4FBC-BF0D-C9B0688E0DE9}" presName="hierChild4" presStyleCnt="0"/>
      <dgm:spPr/>
    </dgm:pt>
    <dgm:pt modelId="{F67FEDEC-18D3-4268-9B5B-DB55A90E13B6}" type="pres">
      <dgm:prSet presAssocID="{667EE722-C090-4FBC-BF0D-C9B0688E0DE9}" presName="hierChild5" presStyleCnt="0"/>
      <dgm:spPr/>
    </dgm:pt>
    <dgm:pt modelId="{64DB1B4C-E575-4E28-80F0-CC5FD6BC6B68}" type="pres">
      <dgm:prSet presAssocID="{62DB5024-8BA8-46C6-8E61-755F393EB1C9}" presName="Name50" presStyleLbl="parChTrans1D4" presStyleIdx="171" presStyleCnt="243"/>
      <dgm:spPr/>
    </dgm:pt>
    <dgm:pt modelId="{DB0E5665-F54C-478B-9800-B167C7BD724C}" type="pres">
      <dgm:prSet presAssocID="{487F825D-2F90-4119-9944-E4AAFDB63954}" presName="hierRoot2" presStyleCnt="0">
        <dgm:presLayoutVars>
          <dgm:hierBranch val="init"/>
        </dgm:presLayoutVars>
      </dgm:prSet>
      <dgm:spPr/>
    </dgm:pt>
    <dgm:pt modelId="{C635ED50-CBEC-4742-8363-DED4FE8C3265}" type="pres">
      <dgm:prSet presAssocID="{487F825D-2F90-4119-9944-E4AAFDB63954}" presName="rootComposite" presStyleCnt="0"/>
      <dgm:spPr/>
    </dgm:pt>
    <dgm:pt modelId="{64191A2F-034F-4A34-A777-1B76C141376F}" type="pres">
      <dgm:prSet presAssocID="{487F825D-2F90-4119-9944-E4AAFDB63954}" presName="rootText" presStyleLbl="node4" presStyleIdx="171" presStyleCnt="243">
        <dgm:presLayoutVars>
          <dgm:chPref val="3"/>
        </dgm:presLayoutVars>
      </dgm:prSet>
      <dgm:spPr/>
    </dgm:pt>
    <dgm:pt modelId="{1C940A7A-6443-434D-91A8-CE8E4AC205FF}" type="pres">
      <dgm:prSet presAssocID="{487F825D-2F90-4119-9944-E4AAFDB63954}" presName="rootConnector" presStyleLbl="node4" presStyleIdx="171" presStyleCnt="243"/>
      <dgm:spPr/>
    </dgm:pt>
    <dgm:pt modelId="{590FF404-A1FC-4AF4-927B-7AD6AAFD8F4A}" type="pres">
      <dgm:prSet presAssocID="{487F825D-2F90-4119-9944-E4AAFDB63954}" presName="hierChild4" presStyleCnt="0"/>
      <dgm:spPr/>
    </dgm:pt>
    <dgm:pt modelId="{F164573C-6542-43D0-A9F7-1F81150C6CC5}" type="pres">
      <dgm:prSet presAssocID="{487F825D-2F90-4119-9944-E4AAFDB63954}" presName="hierChild5" presStyleCnt="0"/>
      <dgm:spPr/>
    </dgm:pt>
    <dgm:pt modelId="{6A37148A-4CE6-44A2-AD2A-A52FE3423123}" type="pres">
      <dgm:prSet presAssocID="{D67F30EC-648F-4953-A1B5-A7106A8B9C21}" presName="Name50" presStyleLbl="parChTrans1D4" presStyleIdx="172" presStyleCnt="243"/>
      <dgm:spPr/>
    </dgm:pt>
    <dgm:pt modelId="{EA52935E-33FE-497F-A8DD-002D58F37F10}" type="pres">
      <dgm:prSet presAssocID="{546F882E-02A2-4E82-983D-284DAEFE663D}" presName="hierRoot2" presStyleCnt="0">
        <dgm:presLayoutVars>
          <dgm:hierBranch val="init"/>
        </dgm:presLayoutVars>
      </dgm:prSet>
      <dgm:spPr/>
    </dgm:pt>
    <dgm:pt modelId="{FCFDCE90-CDBE-4B8D-8718-AEE46DB8CDA0}" type="pres">
      <dgm:prSet presAssocID="{546F882E-02A2-4E82-983D-284DAEFE663D}" presName="rootComposite" presStyleCnt="0"/>
      <dgm:spPr/>
    </dgm:pt>
    <dgm:pt modelId="{8ED356A5-15A8-4889-94FC-AFD2DBAE743D}" type="pres">
      <dgm:prSet presAssocID="{546F882E-02A2-4E82-983D-284DAEFE663D}" presName="rootText" presStyleLbl="node4" presStyleIdx="172" presStyleCnt="243">
        <dgm:presLayoutVars>
          <dgm:chPref val="3"/>
        </dgm:presLayoutVars>
      </dgm:prSet>
      <dgm:spPr/>
    </dgm:pt>
    <dgm:pt modelId="{FDA2C7B8-B5E4-4F1A-A699-658B4C6907D6}" type="pres">
      <dgm:prSet presAssocID="{546F882E-02A2-4E82-983D-284DAEFE663D}" presName="rootConnector" presStyleLbl="node4" presStyleIdx="172" presStyleCnt="243"/>
      <dgm:spPr/>
    </dgm:pt>
    <dgm:pt modelId="{698FDE9A-C9C5-407D-9C92-483876AB0E57}" type="pres">
      <dgm:prSet presAssocID="{546F882E-02A2-4E82-983D-284DAEFE663D}" presName="hierChild4" presStyleCnt="0"/>
      <dgm:spPr/>
    </dgm:pt>
    <dgm:pt modelId="{89C16156-C503-4E9B-9C7C-7B0BD099AEBE}" type="pres">
      <dgm:prSet presAssocID="{546F882E-02A2-4E82-983D-284DAEFE663D}" presName="hierChild5" presStyleCnt="0"/>
      <dgm:spPr/>
    </dgm:pt>
    <dgm:pt modelId="{FA6F6885-1143-4B43-A015-3E4CB1C4ABC7}" type="pres">
      <dgm:prSet presAssocID="{4AA10C4C-F20A-4062-9BC8-5E15112BBC86}" presName="Name50" presStyleLbl="parChTrans1D4" presStyleIdx="173" presStyleCnt="243"/>
      <dgm:spPr/>
    </dgm:pt>
    <dgm:pt modelId="{950BF56A-65EC-4214-B612-C3D4C715F357}" type="pres">
      <dgm:prSet presAssocID="{48C789E9-31B2-4DF5-877F-2BBCF314ECF3}" presName="hierRoot2" presStyleCnt="0">
        <dgm:presLayoutVars>
          <dgm:hierBranch val="init"/>
        </dgm:presLayoutVars>
      </dgm:prSet>
      <dgm:spPr/>
    </dgm:pt>
    <dgm:pt modelId="{7FA3917E-B5E9-4A46-BD06-5BA604570CDD}" type="pres">
      <dgm:prSet presAssocID="{48C789E9-31B2-4DF5-877F-2BBCF314ECF3}" presName="rootComposite" presStyleCnt="0"/>
      <dgm:spPr/>
    </dgm:pt>
    <dgm:pt modelId="{3077F8F5-5DBD-44DA-850B-081EA96C9BAC}" type="pres">
      <dgm:prSet presAssocID="{48C789E9-31B2-4DF5-877F-2BBCF314ECF3}" presName="rootText" presStyleLbl="node4" presStyleIdx="173" presStyleCnt="243">
        <dgm:presLayoutVars>
          <dgm:chPref val="3"/>
        </dgm:presLayoutVars>
      </dgm:prSet>
      <dgm:spPr/>
    </dgm:pt>
    <dgm:pt modelId="{54FA34A8-F4B3-482D-95B7-9842D86FF776}" type="pres">
      <dgm:prSet presAssocID="{48C789E9-31B2-4DF5-877F-2BBCF314ECF3}" presName="rootConnector" presStyleLbl="node4" presStyleIdx="173" presStyleCnt="243"/>
      <dgm:spPr/>
    </dgm:pt>
    <dgm:pt modelId="{F3076463-FECA-482A-9EF7-D455B7ED11DC}" type="pres">
      <dgm:prSet presAssocID="{48C789E9-31B2-4DF5-877F-2BBCF314ECF3}" presName="hierChild4" presStyleCnt="0"/>
      <dgm:spPr/>
    </dgm:pt>
    <dgm:pt modelId="{7328A56D-26C8-4E90-B22A-1C27DE3F1E6F}" type="pres">
      <dgm:prSet presAssocID="{48C789E9-31B2-4DF5-877F-2BBCF314ECF3}" presName="hierChild5" presStyleCnt="0"/>
      <dgm:spPr/>
    </dgm:pt>
    <dgm:pt modelId="{393EF511-1FDE-476B-AF81-C2F2BDBDA4E3}" type="pres">
      <dgm:prSet presAssocID="{939DC143-D0A5-47E0-A8C6-ABD27D48AA37}" presName="Name50" presStyleLbl="parChTrans1D4" presStyleIdx="174" presStyleCnt="243"/>
      <dgm:spPr/>
    </dgm:pt>
    <dgm:pt modelId="{A1520FE6-43F8-47E7-830B-F6DC4F02E20D}" type="pres">
      <dgm:prSet presAssocID="{0D37DE47-166C-4BB7-B770-F60C77BF7ECC}" presName="hierRoot2" presStyleCnt="0">
        <dgm:presLayoutVars>
          <dgm:hierBranch val="init"/>
        </dgm:presLayoutVars>
      </dgm:prSet>
      <dgm:spPr/>
    </dgm:pt>
    <dgm:pt modelId="{27611398-051B-4D90-96B2-9EC67427E117}" type="pres">
      <dgm:prSet presAssocID="{0D37DE47-166C-4BB7-B770-F60C77BF7ECC}" presName="rootComposite" presStyleCnt="0"/>
      <dgm:spPr/>
    </dgm:pt>
    <dgm:pt modelId="{B2BEAA03-2155-47CD-90D7-A532315C2EF3}" type="pres">
      <dgm:prSet presAssocID="{0D37DE47-166C-4BB7-B770-F60C77BF7ECC}" presName="rootText" presStyleLbl="node4" presStyleIdx="174" presStyleCnt="243" custScaleY="114143">
        <dgm:presLayoutVars>
          <dgm:chPref val="3"/>
        </dgm:presLayoutVars>
      </dgm:prSet>
      <dgm:spPr>
        <a:xfrm>
          <a:off x="44479384" y="8120885"/>
          <a:ext cx="1108347" cy="554173"/>
        </a:xfrm>
        <a:prstGeom prst="rect">
          <a:avLst/>
        </a:prstGeom>
      </dgm:spPr>
    </dgm:pt>
    <dgm:pt modelId="{8A0F7A4D-7428-4132-920C-DC1DAB3984FA}" type="pres">
      <dgm:prSet presAssocID="{0D37DE47-166C-4BB7-B770-F60C77BF7ECC}" presName="rootConnector" presStyleLbl="node4" presStyleIdx="174" presStyleCnt="243"/>
      <dgm:spPr/>
    </dgm:pt>
    <dgm:pt modelId="{77DC2A96-16D8-42A6-B285-23406F827731}" type="pres">
      <dgm:prSet presAssocID="{0D37DE47-166C-4BB7-B770-F60C77BF7ECC}" presName="hierChild4" presStyleCnt="0"/>
      <dgm:spPr/>
    </dgm:pt>
    <dgm:pt modelId="{EC2DE8F3-35AB-4375-B604-90CC2FAC4688}" type="pres">
      <dgm:prSet presAssocID="{0D37DE47-166C-4BB7-B770-F60C77BF7ECC}" presName="hierChild5" presStyleCnt="0"/>
      <dgm:spPr/>
    </dgm:pt>
    <dgm:pt modelId="{74A363D6-A67B-4462-AC44-C42ACE234954}" type="pres">
      <dgm:prSet presAssocID="{BA336FCC-ADB8-4A51-8423-33B47C94A9E4}" presName="Name50" presStyleLbl="parChTrans1D4" presStyleIdx="175" presStyleCnt="243"/>
      <dgm:spPr/>
    </dgm:pt>
    <dgm:pt modelId="{52B81957-C8E6-4219-A3D1-5E31CDB8E51A}" type="pres">
      <dgm:prSet presAssocID="{E74780CF-0CB3-4F83-8FA4-5E3EEB557BE4}" presName="hierRoot2" presStyleCnt="0">
        <dgm:presLayoutVars>
          <dgm:hierBranch val="init"/>
        </dgm:presLayoutVars>
      </dgm:prSet>
      <dgm:spPr/>
    </dgm:pt>
    <dgm:pt modelId="{1B79B166-E9A9-4408-90C0-3A4356DBC1B7}" type="pres">
      <dgm:prSet presAssocID="{E74780CF-0CB3-4F83-8FA4-5E3EEB557BE4}" presName="rootComposite" presStyleCnt="0"/>
      <dgm:spPr/>
    </dgm:pt>
    <dgm:pt modelId="{1EBC92C9-2C92-4686-A9FA-2C643F9D0B40}" type="pres">
      <dgm:prSet presAssocID="{E74780CF-0CB3-4F83-8FA4-5E3EEB557BE4}" presName="rootText" presStyleLbl="node4" presStyleIdx="175" presStyleCnt="243">
        <dgm:presLayoutVars>
          <dgm:chPref val="3"/>
        </dgm:presLayoutVars>
      </dgm:prSet>
      <dgm:spPr/>
    </dgm:pt>
    <dgm:pt modelId="{75E3CB8F-78F5-4C1E-8D28-CF77AC2749A1}" type="pres">
      <dgm:prSet presAssocID="{E74780CF-0CB3-4F83-8FA4-5E3EEB557BE4}" presName="rootConnector" presStyleLbl="node4" presStyleIdx="175" presStyleCnt="243"/>
      <dgm:spPr/>
    </dgm:pt>
    <dgm:pt modelId="{C8D3950D-0F79-4C02-AF5A-15B3DB541BCC}" type="pres">
      <dgm:prSet presAssocID="{E74780CF-0CB3-4F83-8FA4-5E3EEB557BE4}" presName="hierChild4" presStyleCnt="0"/>
      <dgm:spPr/>
    </dgm:pt>
    <dgm:pt modelId="{E493BF14-B525-4E78-819D-61E508C242AB}" type="pres">
      <dgm:prSet presAssocID="{E74780CF-0CB3-4F83-8FA4-5E3EEB557BE4}" presName="hierChild5" presStyleCnt="0"/>
      <dgm:spPr/>
    </dgm:pt>
    <dgm:pt modelId="{0A617985-0418-44C9-BB26-E7A16B30AF6E}" type="pres">
      <dgm:prSet presAssocID="{E52CA914-0613-42E6-9893-DC261B296E9A}" presName="hierChild5" presStyleCnt="0"/>
      <dgm:spPr/>
    </dgm:pt>
    <dgm:pt modelId="{60FCB561-FCF9-4AC7-BDB0-5B2A107D6685}" type="pres">
      <dgm:prSet presAssocID="{E0E9976E-46D0-4AB6-A038-6F36C6F49D6F}" presName="Name35" presStyleLbl="parChTrans1D4" presStyleIdx="176" presStyleCnt="243"/>
      <dgm:spPr/>
    </dgm:pt>
    <dgm:pt modelId="{8170C5A9-BAD7-47B5-A6F9-DB9086710D32}" type="pres">
      <dgm:prSet presAssocID="{738E6479-7208-4B42-88E4-24DE0D37F2A1}" presName="hierRoot2" presStyleCnt="0">
        <dgm:presLayoutVars>
          <dgm:hierBranch val="init"/>
        </dgm:presLayoutVars>
      </dgm:prSet>
      <dgm:spPr/>
    </dgm:pt>
    <dgm:pt modelId="{D5B0530E-BA92-434A-8DC4-1B13FEBADDF7}" type="pres">
      <dgm:prSet presAssocID="{738E6479-7208-4B42-88E4-24DE0D37F2A1}" presName="rootComposite" presStyleCnt="0"/>
      <dgm:spPr/>
    </dgm:pt>
    <dgm:pt modelId="{48FFB5AE-64AE-472C-8B51-AFDA75E6CD4C}" type="pres">
      <dgm:prSet presAssocID="{738E6479-7208-4B42-88E4-24DE0D37F2A1}" presName="rootText" presStyleLbl="node4" presStyleIdx="176" presStyleCnt="243">
        <dgm:presLayoutVars>
          <dgm:chPref val="3"/>
        </dgm:presLayoutVars>
      </dgm:prSet>
      <dgm:spPr/>
    </dgm:pt>
    <dgm:pt modelId="{890C66BA-A84E-4F86-BA82-A3D7E7B3F4F0}" type="pres">
      <dgm:prSet presAssocID="{738E6479-7208-4B42-88E4-24DE0D37F2A1}" presName="rootConnector" presStyleLbl="node4" presStyleIdx="176" presStyleCnt="243"/>
      <dgm:spPr/>
    </dgm:pt>
    <dgm:pt modelId="{E3DA2ECF-9EA6-45C1-86D9-5939935E726F}" type="pres">
      <dgm:prSet presAssocID="{738E6479-7208-4B42-88E4-24DE0D37F2A1}" presName="hierChild4" presStyleCnt="0"/>
      <dgm:spPr/>
    </dgm:pt>
    <dgm:pt modelId="{3CE2F917-83AD-4DD1-AEEB-633865BA96DB}" type="pres">
      <dgm:prSet presAssocID="{738E6479-7208-4B42-88E4-24DE0D37F2A1}" presName="hierChild5" presStyleCnt="0"/>
      <dgm:spPr/>
    </dgm:pt>
    <dgm:pt modelId="{F42ECA56-4F6A-4D59-9F3F-69FD75013F5D}" type="pres">
      <dgm:prSet presAssocID="{C70A9681-59ED-4F33-AB34-C00BF48F9C0D}" presName="Name35" presStyleLbl="parChTrans1D4" presStyleIdx="177" presStyleCnt="243"/>
      <dgm:spPr/>
    </dgm:pt>
    <dgm:pt modelId="{5CD6AE53-3AF8-4F1E-9036-62042FF2CCF1}" type="pres">
      <dgm:prSet presAssocID="{41C98DE4-9561-4D06-8FE1-560DBF9A6643}" presName="hierRoot2" presStyleCnt="0">
        <dgm:presLayoutVars>
          <dgm:hierBranch val="r"/>
        </dgm:presLayoutVars>
      </dgm:prSet>
      <dgm:spPr/>
    </dgm:pt>
    <dgm:pt modelId="{31AAB7A3-57C1-4AD6-B8C9-924ECBABC3C2}" type="pres">
      <dgm:prSet presAssocID="{41C98DE4-9561-4D06-8FE1-560DBF9A6643}" presName="rootComposite" presStyleCnt="0"/>
      <dgm:spPr/>
    </dgm:pt>
    <dgm:pt modelId="{94B7A8B4-826E-42F9-864B-3CC2A177AD96}" type="pres">
      <dgm:prSet presAssocID="{41C98DE4-9561-4D06-8FE1-560DBF9A6643}" presName="rootText" presStyleLbl="node4" presStyleIdx="177" presStyleCnt="243">
        <dgm:presLayoutVars>
          <dgm:chPref val="3"/>
        </dgm:presLayoutVars>
      </dgm:prSet>
      <dgm:spPr/>
    </dgm:pt>
    <dgm:pt modelId="{0E66FFBE-CC35-44B2-B4C1-3862FFE10276}" type="pres">
      <dgm:prSet presAssocID="{41C98DE4-9561-4D06-8FE1-560DBF9A6643}" presName="rootConnector" presStyleLbl="node4" presStyleIdx="177" presStyleCnt="243"/>
      <dgm:spPr/>
    </dgm:pt>
    <dgm:pt modelId="{464460ED-B83D-4C9E-9ACF-CC9BC4B9555E}" type="pres">
      <dgm:prSet presAssocID="{41C98DE4-9561-4D06-8FE1-560DBF9A6643}" presName="hierChild4" presStyleCnt="0"/>
      <dgm:spPr/>
    </dgm:pt>
    <dgm:pt modelId="{D88FB3BE-50B7-456F-A13A-C318A6D954F3}" type="pres">
      <dgm:prSet presAssocID="{0E9BCA7E-3A0B-4BD5-B8D1-E7C586DE6325}" presName="Name50" presStyleLbl="parChTrans1D4" presStyleIdx="178" presStyleCnt="243"/>
      <dgm:spPr/>
    </dgm:pt>
    <dgm:pt modelId="{5A0FE381-1392-48E2-AED0-193D095AF4EC}" type="pres">
      <dgm:prSet presAssocID="{AA13D9C3-DE12-4386-9218-55336D97163C}" presName="hierRoot2" presStyleCnt="0">
        <dgm:presLayoutVars>
          <dgm:hierBranch val="init"/>
        </dgm:presLayoutVars>
      </dgm:prSet>
      <dgm:spPr/>
    </dgm:pt>
    <dgm:pt modelId="{0CEE981F-9571-4C22-9B09-E9457426136B}" type="pres">
      <dgm:prSet presAssocID="{AA13D9C3-DE12-4386-9218-55336D97163C}" presName="rootComposite" presStyleCnt="0"/>
      <dgm:spPr/>
    </dgm:pt>
    <dgm:pt modelId="{4715A737-3C74-46B3-886C-1AE8E3032671}" type="pres">
      <dgm:prSet presAssocID="{AA13D9C3-DE12-4386-9218-55336D97163C}" presName="rootText" presStyleLbl="node4" presStyleIdx="178" presStyleCnt="243">
        <dgm:presLayoutVars>
          <dgm:chPref val="3"/>
        </dgm:presLayoutVars>
      </dgm:prSet>
      <dgm:spPr/>
    </dgm:pt>
    <dgm:pt modelId="{08FA71D0-57A8-476C-A61D-37D49F3C7D01}" type="pres">
      <dgm:prSet presAssocID="{AA13D9C3-DE12-4386-9218-55336D97163C}" presName="rootConnector" presStyleLbl="node4" presStyleIdx="178" presStyleCnt="243"/>
      <dgm:spPr/>
    </dgm:pt>
    <dgm:pt modelId="{B19D4E7B-AECD-48A4-925E-5EB09A74CB18}" type="pres">
      <dgm:prSet presAssocID="{AA13D9C3-DE12-4386-9218-55336D97163C}" presName="hierChild4" presStyleCnt="0"/>
      <dgm:spPr/>
    </dgm:pt>
    <dgm:pt modelId="{E50DD2E0-A734-4E20-B00B-231D2CD0660B}" type="pres">
      <dgm:prSet presAssocID="{AA13D9C3-DE12-4386-9218-55336D97163C}" presName="hierChild5" presStyleCnt="0"/>
      <dgm:spPr/>
    </dgm:pt>
    <dgm:pt modelId="{71989AB4-E40B-4F90-B853-D44E3F339174}" type="pres">
      <dgm:prSet presAssocID="{16D22254-C9B2-4B6E-84AE-A024BE9B3D3B}" presName="Name50" presStyleLbl="parChTrans1D4" presStyleIdx="179" presStyleCnt="243"/>
      <dgm:spPr/>
    </dgm:pt>
    <dgm:pt modelId="{A119F4CB-D8CA-4E39-9148-C15500EB3932}" type="pres">
      <dgm:prSet presAssocID="{298CC665-FF50-4B2C-9490-9ACF0AB8284C}" presName="hierRoot2" presStyleCnt="0">
        <dgm:presLayoutVars>
          <dgm:hierBranch val="init"/>
        </dgm:presLayoutVars>
      </dgm:prSet>
      <dgm:spPr/>
    </dgm:pt>
    <dgm:pt modelId="{77A250D7-CB4A-4589-BA73-95941A31BF37}" type="pres">
      <dgm:prSet presAssocID="{298CC665-FF50-4B2C-9490-9ACF0AB8284C}" presName="rootComposite" presStyleCnt="0"/>
      <dgm:spPr/>
    </dgm:pt>
    <dgm:pt modelId="{69626798-BB19-4416-9BC6-A5C34E47A045}" type="pres">
      <dgm:prSet presAssocID="{298CC665-FF50-4B2C-9490-9ACF0AB8284C}" presName="rootText" presStyleLbl="node4" presStyleIdx="179" presStyleCnt="243">
        <dgm:presLayoutVars>
          <dgm:chPref val="3"/>
        </dgm:presLayoutVars>
      </dgm:prSet>
      <dgm:spPr/>
    </dgm:pt>
    <dgm:pt modelId="{5C11AA41-9E63-471F-86D3-9E1622969A29}" type="pres">
      <dgm:prSet presAssocID="{298CC665-FF50-4B2C-9490-9ACF0AB8284C}" presName="rootConnector" presStyleLbl="node4" presStyleIdx="179" presStyleCnt="243"/>
      <dgm:spPr/>
    </dgm:pt>
    <dgm:pt modelId="{20CE5635-785D-4CF8-9BC6-F1498E66856B}" type="pres">
      <dgm:prSet presAssocID="{298CC665-FF50-4B2C-9490-9ACF0AB8284C}" presName="hierChild4" presStyleCnt="0"/>
      <dgm:spPr/>
    </dgm:pt>
    <dgm:pt modelId="{A8F31F89-8943-4197-B167-D9E3C9AB9E9B}" type="pres">
      <dgm:prSet presAssocID="{298CC665-FF50-4B2C-9490-9ACF0AB8284C}" presName="hierChild5" presStyleCnt="0"/>
      <dgm:spPr/>
    </dgm:pt>
    <dgm:pt modelId="{D0428DFF-105B-4C42-A02E-AF1DF0A6578E}" type="pres">
      <dgm:prSet presAssocID="{41C98DE4-9561-4D06-8FE1-560DBF9A6643}" presName="hierChild5" presStyleCnt="0"/>
      <dgm:spPr/>
    </dgm:pt>
    <dgm:pt modelId="{B5200E55-B801-4E75-8D56-76210197455D}" type="pres">
      <dgm:prSet presAssocID="{981E1AF4-DA2D-4B6D-9C64-83259D75895C}" presName="hierChild5" presStyleCnt="0"/>
      <dgm:spPr/>
    </dgm:pt>
    <dgm:pt modelId="{29DABDA6-1093-405E-8800-A4AC7D2972AC}" type="pres">
      <dgm:prSet presAssocID="{D1BDD1B0-EBCA-48CE-84B2-CC857AA087E4}" presName="Name35" presStyleLbl="parChTrans1D4" presStyleIdx="180" presStyleCnt="243"/>
      <dgm:spPr/>
    </dgm:pt>
    <dgm:pt modelId="{0E617F61-E267-4D99-B791-586CC4FAFE4F}" type="pres">
      <dgm:prSet presAssocID="{6D171802-7E8E-4762-835E-3F263473E8D8}" presName="hierRoot2" presStyleCnt="0">
        <dgm:presLayoutVars>
          <dgm:hierBranch/>
        </dgm:presLayoutVars>
      </dgm:prSet>
      <dgm:spPr/>
    </dgm:pt>
    <dgm:pt modelId="{F8290E5E-D54E-4669-8EF4-7805C7D2AE33}" type="pres">
      <dgm:prSet presAssocID="{6D171802-7E8E-4762-835E-3F263473E8D8}" presName="rootComposite" presStyleCnt="0"/>
      <dgm:spPr/>
    </dgm:pt>
    <dgm:pt modelId="{A196D8C2-92DA-4126-A26E-FAE0A42745C0}" type="pres">
      <dgm:prSet presAssocID="{6D171802-7E8E-4762-835E-3F263473E8D8}" presName="rootText" presStyleLbl="node4" presStyleIdx="180" presStyleCnt="243">
        <dgm:presLayoutVars>
          <dgm:chPref val="3"/>
        </dgm:presLayoutVars>
      </dgm:prSet>
      <dgm:spPr/>
    </dgm:pt>
    <dgm:pt modelId="{229DE621-3F8F-4A6B-97D4-A796655725CD}" type="pres">
      <dgm:prSet presAssocID="{6D171802-7E8E-4762-835E-3F263473E8D8}" presName="rootConnector" presStyleLbl="node4" presStyleIdx="180" presStyleCnt="243"/>
      <dgm:spPr/>
    </dgm:pt>
    <dgm:pt modelId="{F9C9CF4B-D04A-4662-A062-495504376AC7}" type="pres">
      <dgm:prSet presAssocID="{6D171802-7E8E-4762-835E-3F263473E8D8}" presName="hierChild4" presStyleCnt="0"/>
      <dgm:spPr/>
    </dgm:pt>
    <dgm:pt modelId="{AE20E9E4-FA1E-467D-A786-148B77CF507A}" type="pres">
      <dgm:prSet presAssocID="{54B96012-1960-4145-94A8-25FF374FE188}" presName="Name35" presStyleLbl="parChTrans1D4" presStyleIdx="181" presStyleCnt="243"/>
      <dgm:spPr/>
    </dgm:pt>
    <dgm:pt modelId="{4368C450-1C59-4407-895E-317FD0DE3263}" type="pres">
      <dgm:prSet presAssocID="{F91D3B42-1C1E-4A47-91FE-5E139228559A}" presName="hierRoot2" presStyleCnt="0">
        <dgm:presLayoutVars>
          <dgm:hierBranch val="init"/>
        </dgm:presLayoutVars>
      </dgm:prSet>
      <dgm:spPr/>
    </dgm:pt>
    <dgm:pt modelId="{CDAF7161-8932-417B-9DB8-1AE84BFF1764}" type="pres">
      <dgm:prSet presAssocID="{F91D3B42-1C1E-4A47-91FE-5E139228559A}" presName="rootComposite" presStyleCnt="0"/>
      <dgm:spPr/>
    </dgm:pt>
    <dgm:pt modelId="{4009ACA6-5BD1-4D26-B069-29608CE81DFD}" type="pres">
      <dgm:prSet presAssocID="{F91D3B42-1C1E-4A47-91FE-5E139228559A}" presName="rootText" presStyleLbl="node4" presStyleIdx="181" presStyleCnt="243" custScaleX="110000" custScaleY="110000">
        <dgm:presLayoutVars>
          <dgm:chPref val="3"/>
        </dgm:presLayoutVars>
      </dgm:prSet>
      <dgm:spPr/>
    </dgm:pt>
    <dgm:pt modelId="{88FA877C-1976-4556-B8EF-5C23C5B527C3}" type="pres">
      <dgm:prSet presAssocID="{F91D3B42-1C1E-4A47-91FE-5E139228559A}" presName="rootConnector" presStyleLbl="node4" presStyleIdx="181" presStyleCnt="243"/>
      <dgm:spPr/>
    </dgm:pt>
    <dgm:pt modelId="{27F3BF5E-B018-4067-AEEA-2185B94EE692}" type="pres">
      <dgm:prSet presAssocID="{F91D3B42-1C1E-4A47-91FE-5E139228559A}" presName="hierChild4" presStyleCnt="0"/>
      <dgm:spPr/>
    </dgm:pt>
    <dgm:pt modelId="{72DD17AE-8071-47F4-8C0B-C63D8C080E5F}" type="pres">
      <dgm:prSet presAssocID="{98C90B68-A1FA-4357-87BD-A300F6F47FF6}" presName="Name37" presStyleLbl="parChTrans1D4" presStyleIdx="182" presStyleCnt="243"/>
      <dgm:spPr/>
    </dgm:pt>
    <dgm:pt modelId="{8986EA0E-ABB4-4CFA-8A38-B58991BA4EC4}" type="pres">
      <dgm:prSet presAssocID="{4F940E2F-E19A-4388-A49B-EE303CBBD042}" presName="hierRoot2" presStyleCnt="0">
        <dgm:presLayoutVars>
          <dgm:hierBranch val="init"/>
        </dgm:presLayoutVars>
      </dgm:prSet>
      <dgm:spPr/>
    </dgm:pt>
    <dgm:pt modelId="{3625A925-91EA-4008-ABED-6FE464532AFD}" type="pres">
      <dgm:prSet presAssocID="{4F940E2F-E19A-4388-A49B-EE303CBBD042}" presName="rootComposite" presStyleCnt="0"/>
      <dgm:spPr/>
    </dgm:pt>
    <dgm:pt modelId="{C68ADD5B-0FCF-4C55-B709-F929BBC065A0}" type="pres">
      <dgm:prSet presAssocID="{4F940E2F-E19A-4388-A49B-EE303CBBD042}" presName="rootText" presStyleLbl="node4" presStyleIdx="182" presStyleCnt="243">
        <dgm:presLayoutVars>
          <dgm:chPref val="3"/>
        </dgm:presLayoutVars>
      </dgm:prSet>
      <dgm:spPr/>
    </dgm:pt>
    <dgm:pt modelId="{67791CB6-20F7-4D45-81FF-43EA9D41D714}" type="pres">
      <dgm:prSet presAssocID="{4F940E2F-E19A-4388-A49B-EE303CBBD042}" presName="rootConnector" presStyleLbl="node4" presStyleIdx="182" presStyleCnt="243"/>
      <dgm:spPr/>
    </dgm:pt>
    <dgm:pt modelId="{8133DA65-A2FA-4CB4-AF59-B7935E61CF60}" type="pres">
      <dgm:prSet presAssocID="{4F940E2F-E19A-4388-A49B-EE303CBBD042}" presName="hierChild4" presStyleCnt="0"/>
      <dgm:spPr/>
    </dgm:pt>
    <dgm:pt modelId="{4FE4368C-205B-4BEA-B364-E3229193F39E}" type="pres">
      <dgm:prSet presAssocID="{4F940E2F-E19A-4388-A49B-EE303CBBD042}" presName="hierChild5" presStyleCnt="0"/>
      <dgm:spPr/>
    </dgm:pt>
    <dgm:pt modelId="{23B5A794-381C-4FDE-B7B8-90153D7FD792}" type="pres">
      <dgm:prSet presAssocID="{50A64364-6B43-4704-B58C-405B5EE75147}" presName="Name37" presStyleLbl="parChTrans1D4" presStyleIdx="183" presStyleCnt="243"/>
      <dgm:spPr/>
    </dgm:pt>
    <dgm:pt modelId="{947DD293-3032-4796-88B5-CCBBAE3826EA}" type="pres">
      <dgm:prSet presAssocID="{01BDAF2E-E70D-4F79-9055-50B21BDDED8A}" presName="hierRoot2" presStyleCnt="0">
        <dgm:presLayoutVars>
          <dgm:hierBranch val="init"/>
        </dgm:presLayoutVars>
      </dgm:prSet>
      <dgm:spPr/>
    </dgm:pt>
    <dgm:pt modelId="{3C35B6F2-4E79-4B3F-9342-8716F5243737}" type="pres">
      <dgm:prSet presAssocID="{01BDAF2E-E70D-4F79-9055-50B21BDDED8A}" presName="rootComposite" presStyleCnt="0"/>
      <dgm:spPr/>
    </dgm:pt>
    <dgm:pt modelId="{65D49952-5328-487C-A782-CC31AC50DEE1}" type="pres">
      <dgm:prSet presAssocID="{01BDAF2E-E70D-4F79-9055-50B21BDDED8A}" presName="rootText" presStyleLbl="node4" presStyleIdx="183" presStyleCnt="243">
        <dgm:presLayoutVars>
          <dgm:chPref val="3"/>
        </dgm:presLayoutVars>
      </dgm:prSet>
      <dgm:spPr/>
    </dgm:pt>
    <dgm:pt modelId="{3638777E-8D2D-43C8-B62D-8670BF633E37}" type="pres">
      <dgm:prSet presAssocID="{01BDAF2E-E70D-4F79-9055-50B21BDDED8A}" presName="rootConnector" presStyleLbl="node4" presStyleIdx="183" presStyleCnt="243"/>
      <dgm:spPr/>
    </dgm:pt>
    <dgm:pt modelId="{6BA5490B-F733-4997-B91E-DE80A498549A}" type="pres">
      <dgm:prSet presAssocID="{01BDAF2E-E70D-4F79-9055-50B21BDDED8A}" presName="hierChild4" presStyleCnt="0"/>
      <dgm:spPr/>
    </dgm:pt>
    <dgm:pt modelId="{476AD9BD-CE86-47BC-8D91-7F6085F288E9}" type="pres">
      <dgm:prSet presAssocID="{01BDAF2E-E70D-4F79-9055-50B21BDDED8A}" presName="hierChild5" presStyleCnt="0"/>
      <dgm:spPr/>
    </dgm:pt>
    <dgm:pt modelId="{A2C2B24E-F545-45EF-A0D9-8D8EE406619D}" type="pres">
      <dgm:prSet presAssocID="{3FA1B321-DF3E-41FF-A634-1DFEF037B309}" presName="Name37" presStyleLbl="parChTrans1D4" presStyleIdx="184" presStyleCnt="243"/>
      <dgm:spPr/>
    </dgm:pt>
    <dgm:pt modelId="{2090DE56-ED01-49F5-A0E6-AB30E9807AB7}" type="pres">
      <dgm:prSet presAssocID="{A6EECEBB-98BA-4666-92A6-E5E6373C2CDD}" presName="hierRoot2" presStyleCnt="0">
        <dgm:presLayoutVars>
          <dgm:hierBranch val="init"/>
        </dgm:presLayoutVars>
      </dgm:prSet>
      <dgm:spPr/>
    </dgm:pt>
    <dgm:pt modelId="{A7EEC76F-9D4E-4B92-A3FB-2BD921B596B4}" type="pres">
      <dgm:prSet presAssocID="{A6EECEBB-98BA-4666-92A6-E5E6373C2CDD}" presName="rootComposite" presStyleCnt="0"/>
      <dgm:spPr/>
    </dgm:pt>
    <dgm:pt modelId="{E2C95335-6D4D-4231-909B-A5D702BE5A84}" type="pres">
      <dgm:prSet presAssocID="{A6EECEBB-98BA-4666-92A6-E5E6373C2CDD}" presName="rootText" presStyleLbl="node4" presStyleIdx="184" presStyleCnt="243">
        <dgm:presLayoutVars>
          <dgm:chPref val="3"/>
        </dgm:presLayoutVars>
      </dgm:prSet>
      <dgm:spPr/>
    </dgm:pt>
    <dgm:pt modelId="{7704F345-575B-44CC-B968-9B05E86905FF}" type="pres">
      <dgm:prSet presAssocID="{A6EECEBB-98BA-4666-92A6-E5E6373C2CDD}" presName="rootConnector" presStyleLbl="node4" presStyleIdx="184" presStyleCnt="243"/>
      <dgm:spPr/>
    </dgm:pt>
    <dgm:pt modelId="{272683F5-7238-4EC0-839F-A72777DA051B}" type="pres">
      <dgm:prSet presAssocID="{A6EECEBB-98BA-4666-92A6-E5E6373C2CDD}" presName="hierChild4" presStyleCnt="0"/>
      <dgm:spPr/>
    </dgm:pt>
    <dgm:pt modelId="{F86F1B4A-F041-493F-A78C-B0CD4CA39861}" type="pres">
      <dgm:prSet presAssocID="{A6EECEBB-98BA-4666-92A6-E5E6373C2CDD}" presName="hierChild5" presStyleCnt="0"/>
      <dgm:spPr/>
    </dgm:pt>
    <dgm:pt modelId="{823D9CA9-5C31-40D0-A4FD-A6C63340FC1C}" type="pres">
      <dgm:prSet presAssocID="{F0FC0A44-2E99-42D2-A1E3-031B70FD1F49}" presName="Name37" presStyleLbl="parChTrans1D4" presStyleIdx="185" presStyleCnt="243"/>
      <dgm:spPr/>
    </dgm:pt>
    <dgm:pt modelId="{30EB788C-D257-4127-8073-539F4C99D5B7}" type="pres">
      <dgm:prSet presAssocID="{044F81DB-AA8D-4DF9-A880-D3CA808C2F04}" presName="hierRoot2" presStyleCnt="0">
        <dgm:presLayoutVars>
          <dgm:hierBranch val="init"/>
        </dgm:presLayoutVars>
      </dgm:prSet>
      <dgm:spPr/>
    </dgm:pt>
    <dgm:pt modelId="{394129C6-0EC9-4505-8E21-C7A5EE2FDFB2}" type="pres">
      <dgm:prSet presAssocID="{044F81DB-AA8D-4DF9-A880-D3CA808C2F04}" presName="rootComposite" presStyleCnt="0"/>
      <dgm:spPr/>
    </dgm:pt>
    <dgm:pt modelId="{8B50836B-0D4A-4E13-9CF1-E56AC99DF090}" type="pres">
      <dgm:prSet presAssocID="{044F81DB-AA8D-4DF9-A880-D3CA808C2F04}" presName="rootText" presStyleLbl="node4" presStyleIdx="185" presStyleCnt="243">
        <dgm:presLayoutVars>
          <dgm:chPref val="3"/>
        </dgm:presLayoutVars>
      </dgm:prSet>
      <dgm:spPr/>
    </dgm:pt>
    <dgm:pt modelId="{224A7B86-E789-47A2-AFDA-17CCC2AE0705}" type="pres">
      <dgm:prSet presAssocID="{044F81DB-AA8D-4DF9-A880-D3CA808C2F04}" presName="rootConnector" presStyleLbl="node4" presStyleIdx="185" presStyleCnt="243"/>
      <dgm:spPr/>
    </dgm:pt>
    <dgm:pt modelId="{7ECB7143-66F6-4664-A7DE-327BD06584BE}" type="pres">
      <dgm:prSet presAssocID="{044F81DB-AA8D-4DF9-A880-D3CA808C2F04}" presName="hierChild4" presStyleCnt="0"/>
      <dgm:spPr/>
    </dgm:pt>
    <dgm:pt modelId="{8EB4AF89-091E-4A2B-9FEF-0FC0FF03220A}" type="pres">
      <dgm:prSet presAssocID="{044F81DB-AA8D-4DF9-A880-D3CA808C2F04}" presName="hierChild5" presStyleCnt="0"/>
      <dgm:spPr/>
    </dgm:pt>
    <dgm:pt modelId="{4A0D25B4-4665-4191-85A6-9263AF11E227}" type="pres">
      <dgm:prSet presAssocID="{FA45AAB5-A13D-4D8A-8207-AA32F4AC4118}" presName="Name37" presStyleLbl="parChTrans1D4" presStyleIdx="186" presStyleCnt="243"/>
      <dgm:spPr/>
    </dgm:pt>
    <dgm:pt modelId="{5E98C6B8-1238-4BB6-B269-F8CC0B8245B1}" type="pres">
      <dgm:prSet presAssocID="{AB81F61A-F07E-4A65-98C5-2C73B2ACB0E5}" presName="hierRoot2" presStyleCnt="0">
        <dgm:presLayoutVars>
          <dgm:hierBranch val="init"/>
        </dgm:presLayoutVars>
      </dgm:prSet>
      <dgm:spPr/>
    </dgm:pt>
    <dgm:pt modelId="{8B9571D7-BC05-4486-AF54-A6B76C805553}" type="pres">
      <dgm:prSet presAssocID="{AB81F61A-F07E-4A65-98C5-2C73B2ACB0E5}" presName="rootComposite" presStyleCnt="0"/>
      <dgm:spPr/>
    </dgm:pt>
    <dgm:pt modelId="{775932C0-756B-4376-86DE-61DF5F1CF407}" type="pres">
      <dgm:prSet presAssocID="{AB81F61A-F07E-4A65-98C5-2C73B2ACB0E5}" presName="rootText" presStyleLbl="node4" presStyleIdx="186" presStyleCnt="243" custScaleY="119546">
        <dgm:presLayoutVars>
          <dgm:chPref val="3"/>
        </dgm:presLayoutVars>
      </dgm:prSet>
      <dgm:spPr/>
    </dgm:pt>
    <dgm:pt modelId="{348787BA-880D-446E-98E3-CA2C21D7BB36}" type="pres">
      <dgm:prSet presAssocID="{AB81F61A-F07E-4A65-98C5-2C73B2ACB0E5}" presName="rootConnector" presStyleLbl="node4" presStyleIdx="186" presStyleCnt="243"/>
      <dgm:spPr/>
    </dgm:pt>
    <dgm:pt modelId="{604D46BF-C088-4A8E-91E6-DF9AF273166A}" type="pres">
      <dgm:prSet presAssocID="{AB81F61A-F07E-4A65-98C5-2C73B2ACB0E5}" presName="hierChild4" presStyleCnt="0"/>
      <dgm:spPr/>
    </dgm:pt>
    <dgm:pt modelId="{62138580-9941-436A-AE23-09B87CDCB3B1}" type="pres">
      <dgm:prSet presAssocID="{AB81F61A-F07E-4A65-98C5-2C73B2ACB0E5}" presName="hierChild5" presStyleCnt="0"/>
      <dgm:spPr/>
    </dgm:pt>
    <dgm:pt modelId="{378DFC1F-1600-48DE-95FE-D288C20715C5}" type="pres">
      <dgm:prSet presAssocID="{F91D3B42-1C1E-4A47-91FE-5E139228559A}" presName="hierChild5" presStyleCnt="0"/>
      <dgm:spPr/>
    </dgm:pt>
    <dgm:pt modelId="{035D3977-AB23-430E-8BB6-E22812B86924}" type="pres">
      <dgm:prSet presAssocID="{DD2C533B-6EEA-4928-806F-86489312320E}" presName="Name35" presStyleLbl="parChTrans1D4" presStyleIdx="187" presStyleCnt="243"/>
      <dgm:spPr/>
    </dgm:pt>
    <dgm:pt modelId="{03C2161C-CD68-481B-84FA-9CDC287A67CA}" type="pres">
      <dgm:prSet presAssocID="{16D42A3B-21AA-4A36-8232-FDBA1AF98D86}" presName="hierRoot2" presStyleCnt="0">
        <dgm:presLayoutVars>
          <dgm:hierBranch val="r"/>
        </dgm:presLayoutVars>
      </dgm:prSet>
      <dgm:spPr/>
    </dgm:pt>
    <dgm:pt modelId="{A121EBB3-0E61-4D21-A870-D08881F74351}" type="pres">
      <dgm:prSet presAssocID="{16D42A3B-21AA-4A36-8232-FDBA1AF98D86}" presName="rootComposite" presStyleCnt="0"/>
      <dgm:spPr/>
    </dgm:pt>
    <dgm:pt modelId="{E870913D-33A6-49E2-9B53-BBF71E0036BF}" type="pres">
      <dgm:prSet presAssocID="{16D42A3B-21AA-4A36-8232-FDBA1AF98D86}" presName="rootText" presStyleLbl="node4" presStyleIdx="187" presStyleCnt="243">
        <dgm:presLayoutVars>
          <dgm:chPref val="3"/>
        </dgm:presLayoutVars>
      </dgm:prSet>
      <dgm:spPr/>
    </dgm:pt>
    <dgm:pt modelId="{715D454E-F12A-48F0-8860-E6D3DF525708}" type="pres">
      <dgm:prSet presAssocID="{16D42A3B-21AA-4A36-8232-FDBA1AF98D86}" presName="rootConnector" presStyleLbl="node4" presStyleIdx="187" presStyleCnt="243"/>
      <dgm:spPr/>
    </dgm:pt>
    <dgm:pt modelId="{9530328B-6B0D-46C1-8436-E2FBA7C24AFB}" type="pres">
      <dgm:prSet presAssocID="{16D42A3B-21AA-4A36-8232-FDBA1AF98D86}" presName="hierChild4" presStyleCnt="0"/>
      <dgm:spPr/>
    </dgm:pt>
    <dgm:pt modelId="{F6D0FCB7-B84C-4DEB-AF20-03B5EAE2EEC7}" type="pres">
      <dgm:prSet presAssocID="{16D42A3B-21AA-4A36-8232-FDBA1AF98D86}" presName="hierChild5" presStyleCnt="0"/>
      <dgm:spPr/>
    </dgm:pt>
    <dgm:pt modelId="{E319AD59-CC20-48C4-B2F1-42A124F02962}" type="pres">
      <dgm:prSet presAssocID="{D19739F7-A3E7-4838-8959-7FDC72B7349F}" presName="Name35" presStyleLbl="parChTrans1D4" presStyleIdx="188" presStyleCnt="243"/>
      <dgm:spPr/>
    </dgm:pt>
    <dgm:pt modelId="{080621CE-856C-49A3-A176-F02B90383248}" type="pres">
      <dgm:prSet presAssocID="{FD10E54D-7B0B-4C4F-B8E2-939387CDB3B9}" presName="hierRoot2" presStyleCnt="0">
        <dgm:presLayoutVars>
          <dgm:hierBranch val="init"/>
        </dgm:presLayoutVars>
      </dgm:prSet>
      <dgm:spPr/>
    </dgm:pt>
    <dgm:pt modelId="{5F3C15BB-B2F3-4CE5-B7A0-13A39B99D4C4}" type="pres">
      <dgm:prSet presAssocID="{FD10E54D-7B0B-4C4F-B8E2-939387CDB3B9}" presName="rootComposite" presStyleCnt="0"/>
      <dgm:spPr/>
    </dgm:pt>
    <dgm:pt modelId="{792F4827-CBDD-439E-9E1B-54F4E5322A00}" type="pres">
      <dgm:prSet presAssocID="{FD10E54D-7B0B-4C4F-B8E2-939387CDB3B9}" presName="rootText" presStyleLbl="node4" presStyleIdx="188" presStyleCnt="243">
        <dgm:presLayoutVars>
          <dgm:chPref val="3"/>
        </dgm:presLayoutVars>
      </dgm:prSet>
      <dgm:spPr/>
    </dgm:pt>
    <dgm:pt modelId="{50C7F97A-AEC6-465D-9D5C-93C98B43908C}" type="pres">
      <dgm:prSet presAssocID="{FD10E54D-7B0B-4C4F-B8E2-939387CDB3B9}" presName="rootConnector" presStyleLbl="node4" presStyleIdx="188" presStyleCnt="243"/>
      <dgm:spPr/>
    </dgm:pt>
    <dgm:pt modelId="{4AC9C2B9-E01D-473B-99BE-E489CB59454E}" type="pres">
      <dgm:prSet presAssocID="{FD10E54D-7B0B-4C4F-B8E2-939387CDB3B9}" presName="hierChild4" presStyleCnt="0"/>
      <dgm:spPr/>
    </dgm:pt>
    <dgm:pt modelId="{52578676-33F1-41ED-A77E-E090647D4659}" type="pres">
      <dgm:prSet presAssocID="{9ABF48A2-88A4-4296-A0ED-96D4EE33E37B}" presName="Name37" presStyleLbl="parChTrans1D4" presStyleIdx="189" presStyleCnt="243"/>
      <dgm:spPr/>
    </dgm:pt>
    <dgm:pt modelId="{9EE861B5-C5B6-40A2-8368-6D001CC02737}" type="pres">
      <dgm:prSet presAssocID="{3DD9F085-3147-42C8-A165-CE24AFCD5EEC}" presName="hierRoot2" presStyleCnt="0">
        <dgm:presLayoutVars>
          <dgm:hierBranch val="init"/>
        </dgm:presLayoutVars>
      </dgm:prSet>
      <dgm:spPr/>
    </dgm:pt>
    <dgm:pt modelId="{6A61EF33-38C6-4B31-BC64-6D64C0242753}" type="pres">
      <dgm:prSet presAssocID="{3DD9F085-3147-42C8-A165-CE24AFCD5EEC}" presName="rootComposite" presStyleCnt="0"/>
      <dgm:spPr/>
    </dgm:pt>
    <dgm:pt modelId="{5CCC50B0-8B80-4582-A6B4-A3545A106EEC}" type="pres">
      <dgm:prSet presAssocID="{3DD9F085-3147-42C8-A165-CE24AFCD5EEC}" presName="rootText" presStyleLbl="node4" presStyleIdx="189" presStyleCnt="243">
        <dgm:presLayoutVars>
          <dgm:chPref val="3"/>
        </dgm:presLayoutVars>
      </dgm:prSet>
      <dgm:spPr/>
    </dgm:pt>
    <dgm:pt modelId="{61C7FC23-F0F4-43E6-AA10-83F41A6BB067}" type="pres">
      <dgm:prSet presAssocID="{3DD9F085-3147-42C8-A165-CE24AFCD5EEC}" presName="rootConnector" presStyleLbl="node4" presStyleIdx="189" presStyleCnt="243"/>
      <dgm:spPr/>
    </dgm:pt>
    <dgm:pt modelId="{704D7E67-A13D-40F9-9FF7-5A5081479692}" type="pres">
      <dgm:prSet presAssocID="{3DD9F085-3147-42C8-A165-CE24AFCD5EEC}" presName="hierChild4" presStyleCnt="0"/>
      <dgm:spPr/>
    </dgm:pt>
    <dgm:pt modelId="{85A7D202-6FB8-41FD-9B80-4B3509EF2DC7}" type="pres">
      <dgm:prSet presAssocID="{3DD9F085-3147-42C8-A165-CE24AFCD5EEC}" presName="hierChild5" presStyleCnt="0"/>
      <dgm:spPr/>
    </dgm:pt>
    <dgm:pt modelId="{C4EA52F7-F3A0-4E14-9844-C65F5C18BAC5}" type="pres">
      <dgm:prSet presAssocID="{866E4B91-1117-42EC-97E3-35255B8D6AF3}" presName="Name37" presStyleLbl="parChTrans1D4" presStyleIdx="190" presStyleCnt="243"/>
      <dgm:spPr/>
    </dgm:pt>
    <dgm:pt modelId="{9DB8B0E3-2F9C-4CCD-9D12-8EB4A6C8E7C0}" type="pres">
      <dgm:prSet presAssocID="{5B3109DE-A521-450A-91D5-9785EE5C6138}" presName="hierRoot2" presStyleCnt="0">
        <dgm:presLayoutVars>
          <dgm:hierBranch val="init"/>
        </dgm:presLayoutVars>
      </dgm:prSet>
      <dgm:spPr/>
    </dgm:pt>
    <dgm:pt modelId="{911ED342-179C-4F88-B202-F9AD480A6A29}" type="pres">
      <dgm:prSet presAssocID="{5B3109DE-A521-450A-91D5-9785EE5C6138}" presName="rootComposite" presStyleCnt="0"/>
      <dgm:spPr/>
    </dgm:pt>
    <dgm:pt modelId="{65D227DA-CBB2-41F1-B2EE-56E515AB50C2}" type="pres">
      <dgm:prSet presAssocID="{5B3109DE-A521-450A-91D5-9785EE5C6138}" presName="rootText" presStyleLbl="node4" presStyleIdx="190" presStyleCnt="243">
        <dgm:presLayoutVars>
          <dgm:chPref val="3"/>
        </dgm:presLayoutVars>
      </dgm:prSet>
      <dgm:spPr/>
    </dgm:pt>
    <dgm:pt modelId="{E10CEDCF-33F2-47FE-864E-8FED7FAC5B09}" type="pres">
      <dgm:prSet presAssocID="{5B3109DE-A521-450A-91D5-9785EE5C6138}" presName="rootConnector" presStyleLbl="node4" presStyleIdx="190" presStyleCnt="243"/>
      <dgm:spPr/>
    </dgm:pt>
    <dgm:pt modelId="{7720DA80-E58E-4FD8-B3AD-A426B2BB4854}" type="pres">
      <dgm:prSet presAssocID="{5B3109DE-A521-450A-91D5-9785EE5C6138}" presName="hierChild4" presStyleCnt="0"/>
      <dgm:spPr/>
    </dgm:pt>
    <dgm:pt modelId="{F772E93C-C638-4C95-9DCC-102BCF6BFBF3}" type="pres">
      <dgm:prSet presAssocID="{134F1239-921E-434D-ADCC-1D1C5B875250}" presName="Name37" presStyleLbl="parChTrans1D4" presStyleIdx="191" presStyleCnt="243"/>
      <dgm:spPr/>
    </dgm:pt>
    <dgm:pt modelId="{253AD6CA-CBAB-407B-A9A0-65A4E8CF7F8B}" type="pres">
      <dgm:prSet presAssocID="{A78428E5-C70B-4883-B1BC-7785632EED0F}" presName="hierRoot2" presStyleCnt="0">
        <dgm:presLayoutVars>
          <dgm:hierBranch val="init"/>
        </dgm:presLayoutVars>
      </dgm:prSet>
      <dgm:spPr/>
    </dgm:pt>
    <dgm:pt modelId="{7555DCDF-DAA4-4722-A39C-1B48CB47FA6D}" type="pres">
      <dgm:prSet presAssocID="{A78428E5-C70B-4883-B1BC-7785632EED0F}" presName="rootComposite" presStyleCnt="0"/>
      <dgm:spPr/>
    </dgm:pt>
    <dgm:pt modelId="{A474E2F2-4D66-420A-8313-5F10F474F7BE}" type="pres">
      <dgm:prSet presAssocID="{A78428E5-C70B-4883-B1BC-7785632EED0F}" presName="rootText" presStyleLbl="node4" presStyleIdx="191" presStyleCnt="243">
        <dgm:presLayoutVars>
          <dgm:chPref val="3"/>
        </dgm:presLayoutVars>
      </dgm:prSet>
      <dgm:spPr>
        <a:xfrm>
          <a:off x="49904695" y="7157092"/>
          <a:ext cx="1038509" cy="519254"/>
        </a:xfrm>
        <a:prstGeom prst="rect">
          <a:avLst/>
        </a:prstGeom>
      </dgm:spPr>
    </dgm:pt>
    <dgm:pt modelId="{90D802F5-C3F5-4C57-9C86-11322B88B40B}" type="pres">
      <dgm:prSet presAssocID="{A78428E5-C70B-4883-B1BC-7785632EED0F}" presName="rootConnector" presStyleLbl="node4" presStyleIdx="191" presStyleCnt="243"/>
      <dgm:spPr/>
    </dgm:pt>
    <dgm:pt modelId="{D58C88ED-22B7-4945-941B-1D6C65F09245}" type="pres">
      <dgm:prSet presAssocID="{A78428E5-C70B-4883-B1BC-7785632EED0F}" presName="hierChild4" presStyleCnt="0"/>
      <dgm:spPr/>
    </dgm:pt>
    <dgm:pt modelId="{E8E7AD6A-6DD9-45E7-986A-FE632997A38D}" type="pres">
      <dgm:prSet presAssocID="{A78428E5-C70B-4883-B1BC-7785632EED0F}" presName="hierChild5" presStyleCnt="0"/>
      <dgm:spPr/>
    </dgm:pt>
    <dgm:pt modelId="{FF45BF6A-6960-49F0-8041-5EBEF17637E2}" type="pres">
      <dgm:prSet presAssocID="{8BB21947-522E-497A-A4DE-24AF1805C893}" presName="Name37" presStyleLbl="parChTrans1D4" presStyleIdx="192" presStyleCnt="243"/>
      <dgm:spPr/>
    </dgm:pt>
    <dgm:pt modelId="{918C80C1-B099-40E1-8100-F5AAC969E6CE}" type="pres">
      <dgm:prSet presAssocID="{24DDC09B-12C1-4FE5-A7D4-27B08A5DB303}" presName="hierRoot2" presStyleCnt="0">
        <dgm:presLayoutVars>
          <dgm:hierBranch val="init"/>
        </dgm:presLayoutVars>
      </dgm:prSet>
      <dgm:spPr/>
    </dgm:pt>
    <dgm:pt modelId="{43202DF3-0E01-4810-8625-A7045FEA2488}" type="pres">
      <dgm:prSet presAssocID="{24DDC09B-12C1-4FE5-A7D4-27B08A5DB303}" presName="rootComposite" presStyleCnt="0"/>
      <dgm:spPr/>
    </dgm:pt>
    <dgm:pt modelId="{37C74948-BB6B-47CC-9E2C-56A358E7C14F}" type="pres">
      <dgm:prSet presAssocID="{24DDC09B-12C1-4FE5-A7D4-27B08A5DB303}" presName="rootText" presStyleLbl="node4" presStyleIdx="192" presStyleCnt="243">
        <dgm:presLayoutVars>
          <dgm:chPref val="3"/>
        </dgm:presLayoutVars>
      </dgm:prSet>
      <dgm:spPr/>
    </dgm:pt>
    <dgm:pt modelId="{BD0F78D0-C9D0-4CD0-8648-6CC7DD0B1707}" type="pres">
      <dgm:prSet presAssocID="{24DDC09B-12C1-4FE5-A7D4-27B08A5DB303}" presName="rootConnector" presStyleLbl="node4" presStyleIdx="192" presStyleCnt="243"/>
      <dgm:spPr/>
    </dgm:pt>
    <dgm:pt modelId="{18C2816D-E4F5-463D-8AC3-3CB348BFF506}" type="pres">
      <dgm:prSet presAssocID="{24DDC09B-12C1-4FE5-A7D4-27B08A5DB303}" presName="hierChild4" presStyleCnt="0"/>
      <dgm:spPr/>
    </dgm:pt>
    <dgm:pt modelId="{8AC535B3-963A-48B9-B6D7-5434FC8D226D}" type="pres">
      <dgm:prSet presAssocID="{24DDC09B-12C1-4FE5-A7D4-27B08A5DB303}" presName="hierChild5" presStyleCnt="0"/>
      <dgm:spPr/>
    </dgm:pt>
    <dgm:pt modelId="{051C473A-7148-4D93-A330-357F85911C17}" type="pres">
      <dgm:prSet presAssocID="{5B3109DE-A521-450A-91D5-9785EE5C6138}" presName="hierChild5" presStyleCnt="0"/>
      <dgm:spPr/>
    </dgm:pt>
    <dgm:pt modelId="{E8C2E6B8-E3AE-4617-A181-CB5ABCD60D5F}" type="pres">
      <dgm:prSet presAssocID="{670C0FB0-3E50-4F75-875A-6D5296FE311B}" presName="Name37" presStyleLbl="parChTrans1D4" presStyleIdx="193" presStyleCnt="243"/>
      <dgm:spPr/>
    </dgm:pt>
    <dgm:pt modelId="{D6C85BFD-F7E9-46F1-989A-0848105F3588}" type="pres">
      <dgm:prSet presAssocID="{D93F8FC5-B1EC-48A5-BE67-12F26D119071}" presName="hierRoot2" presStyleCnt="0">
        <dgm:presLayoutVars>
          <dgm:hierBranch val="init"/>
        </dgm:presLayoutVars>
      </dgm:prSet>
      <dgm:spPr/>
    </dgm:pt>
    <dgm:pt modelId="{92A17807-92B2-4269-B5DE-36BDAD9402B5}" type="pres">
      <dgm:prSet presAssocID="{D93F8FC5-B1EC-48A5-BE67-12F26D119071}" presName="rootComposite" presStyleCnt="0"/>
      <dgm:spPr/>
    </dgm:pt>
    <dgm:pt modelId="{AF75FCF7-9CB3-4912-B9A3-854F7725C66E}" type="pres">
      <dgm:prSet presAssocID="{D93F8FC5-B1EC-48A5-BE67-12F26D119071}" presName="rootText" presStyleLbl="node4" presStyleIdx="193" presStyleCnt="243">
        <dgm:presLayoutVars>
          <dgm:chPref val="3"/>
        </dgm:presLayoutVars>
      </dgm:prSet>
      <dgm:spPr/>
    </dgm:pt>
    <dgm:pt modelId="{E33F7355-51FB-476E-BF78-CC97F421155E}" type="pres">
      <dgm:prSet presAssocID="{D93F8FC5-B1EC-48A5-BE67-12F26D119071}" presName="rootConnector" presStyleLbl="node4" presStyleIdx="193" presStyleCnt="243"/>
      <dgm:spPr/>
    </dgm:pt>
    <dgm:pt modelId="{D7AA6B3C-F93C-41A8-9E33-77226B982259}" type="pres">
      <dgm:prSet presAssocID="{D93F8FC5-B1EC-48A5-BE67-12F26D119071}" presName="hierChild4" presStyleCnt="0"/>
      <dgm:spPr/>
    </dgm:pt>
    <dgm:pt modelId="{DAF42504-5F19-4351-86C6-0B0FD19CB048}" type="pres">
      <dgm:prSet presAssocID="{D93F8FC5-B1EC-48A5-BE67-12F26D119071}" presName="hierChild5" presStyleCnt="0"/>
      <dgm:spPr/>
    </dgm:pt>
    <dgm:pt modelId="{8B59BEBA-C59D-4E80-8D2D-3C5854F0BE81}" type="pres">
      <dgm:prSet presAssocID="{AEE8AE1A-3065-45B3-AC41-7B5E6EB23B99}" presName="Name37" presStyleLbl="parChTrans1D4" presStyleIdx="194" presStyleCnt="243"/>
      <dgm:spPr/>
    </dgm:pt>
    <dgm:pt modelId="{DDE8B884-8148-46DB-B462-9364B7380268}" type="pres">
      <dgm:prSet presAssocID="{C2908B37-3AA7-43C5-BD35-0AF5D7A6AFFD}" presName="hierRoot2" presStyleCnt="0">
        <dgm:presLayoutVars>
          <dgm:hierBranch val="init"/>
        </dgm:presLayoutVars>
      </dgm:prSet>
      <dgm:spPr/>
    </dgm:pt>
    <dgm:pt modelId="{2AFE68BD-C2E7-4627-8FAD-5A1B1CD2B88F}" type="pres">
      <dgm:prSet presAssocID="{C2908B37-3AA7-43C5-BD35-0AF5D7A6AFFD}" presName="rootComposite" presStyleCnt="0"/>
      <dgm:spPr/>
    </dgm:pt>
    <dgm:pt modelId="{5B79159B-A6B1-44EC-9EF8-A54DD8D67891}" type="pres">
      <dgm:prSet presAssocID="{C2908B37-3AA7-43C5-BD35-0AF5D7A6AFFD}" presName="rootText" presStyleLbl="node4" presStyleIdx="194" presStyleCnt="243">
        <dgm:presLayoutVars>
          <dgm:chPref val="3"/>
        </dgm:presLayoutVars>
      </dgm:prSet>
      <dgm:spPr/>
    </dgm:pt>
    <dgm:pt modelId="{6ACA21B5-6ECB-4078-9E74-0608199CBD63}" type="pres">
      <dgm:prSet presAssocID="{C2908B37-3AA7-43C5-BD35-0AF5D7A6AFFD}" presName="rootConnector" presStyleLbl="node4" presStyleIdx="194" presStyleCnt="243"/>
      <dgm:spPr/>
    </dgm:pt>
    <dgm:pt modelId="{7667AE9B-CC03-424A-8689-F397BC6195B3}" type="pres">
      <dgm:prSet presAssocID="{C2908B37-3AA7-43C5-BD35-0AF5D7A6AFFD}" presName="hierChild4" presStyleCnt="0"/>
      <dgm:spPr/>
    </dgm:pt>
    <dgm:pt modelId="{0794E12E-6396-436F-AF55-3DF9F9D97D35}" type="pres">
      <dgm:prSet presAssocID="{C2908B37-3AA7-43C5-BD35-0AF5D7A6AFFD}" presName="hierChild5" presStyleCnt="0"/>
      <dgm:spPr/>
    </dgm:pt>
    <dgm:pt modelId="{CEF13A86-9882-4D11-A4F9-310581167DAA}" type="pres">
      <dgm:prSet presAssocID="{FD10E54D-7B0B-4C4F-B8E2-939387CDB3B9}" presName="hierChild5" presStyleCnt="0"/>
      <dgm:spPr/>
    </dgm:pt>
    <dgm:pt modelId="{CC6EAF74-08D1-470B-9E3B-37A2ECEC79D7}" type="pres">
      <dgm:prSet presAssocID="{6D171802-7E8E-4762-835E-3F263473E8D8}" presName="hierChild5" presStyleCnt="0"/>
      <dgm:spPr/>
    </dgm:pt>
    <dgm:pt modelId="{075A7CD2-64C1-4C17-AC31-5E7A4264AAD7}" type="pres">
      <dgm:prSet presAssocID="{A24DC521-3C04-4016-974D-78BECC2CB266}" presName="Name35" presStyleLbl="parChTrans1D4" presStyleIdx="195" presStyleCnt="243"/>
      <dgm:spPr/>
    </dgm:pt>
    <dgm:pt modelId="{D703A028-C545-4082-B193-74FCEB7C94C6}" type="pres">
      <dgm:prSet presAssocID="{64C04E40-1E6F-43C9-9D67-7DC020E117FD}" presName="hierRoot2" presStyleCnt="0">
        <dgm:presLayoutVars>
          <dgm:hierBranch val="r"/>
        </dgm:presLayoutVars>
      </dgm:prSet>
      <dgm:spPr/>
    </dgm:pt>
    <dgm:pt modelId="{7B8810F6-6E00-4DAE-B24D-BC70114744A0}" type="pres">
      <dgm:prSet presAssocID="{64C04E40-1E6F-43C9-9D67-7DC020E117FD}" presName="rootComposite" presStyleCnt="0"/>
      <dgm:spPr/>
    </dgm:pt>
    <dgm:pt modelId="{7C7C7D1E-23BA-4F8F-AB7A-F410F12AA9FD}" type="pres">
      <dgm:prSet presAssocID="{64C04E40-1E6F-43C9-9D67-7DC020E117FD}" presName="rootText" presStyleLbl="node4" presStyleIdx="195" presStyleCnt="243">
        <dgm:presLayoutVars>
          <dgm:chPref val="3"/>
        </dgm:presLayoutVars>
      </dgm:prSet>
      <dgm:spPr/>
    </dgm:pt>
    <dgm:pt modelId="{0598667D-C34E-4A6D-AC46-33015902457E}" type="pres">
      <dgm:prSet presAssocID="{64C04E40-1E6F-43C9-9D67-7DC020E117FD}" presName="rootConnector" presStyleLbl="node4" presStyleIdx="195" presStyleCnt="243"/>
      <dgm:spPr/>
    </dgm:pt>
    <dgm:pt modelId="{9E3EFB72-6293-4E9A-BC8B-47C3E9E3B026}" type="pres">
      <dgm:prSet presAssocID="{64C04E40-1E6F-43C9-9D67-7DC020E117FD}" presName="hierChild4" presStyleCnt="0"/>
      <dgm:spPr/>
    </dgm:pt>
    <dgm:pt modelId="{DABBDCB9-693A-410D-B0B7-1CC6965C59E5}" type="pres">
      <dgm:prSet presAssocID="{56A57D1B-4852-4909-B6A0-549EF8E66A64}" presName="Name50" presStyleLbl="parChTrans1D4" presStyleIdx="196" presStyleCnt="243"/>
      <dgm:spPr/>
    </dgm:pt>
    <dgm:pt modelId="{E6CC5B7E-6993-49E1-B625-4D64CE8C87BD}" type="pres">
      <dgm:prSet presAssocID="{49EF50CC-F6C6-4511-9873-DDFEA99D5099}" presName="hierRoot2" presStyleCnt="0">
        <dgm:presLayoutVars>
          <dgm:hierBranch val="init"/>
        </dgm:presLayoutVars>
      </dgm:prSet>
      <dgm:spPr/>
    </dgm:pt>
    <dgm:pt modelId="{D6BC9D38-5E8E-459D-86EF-0DBB130CB5D1}" type="pres">
      <dgm:prSet presAssocID="{49EF50CC-F6C6-4511-9873-DDFEA99D5099}" presName="rootComposite" presStyleCnt="0"/>
      <dgm:spPr/>
    </dgm:pt>
    <dgm:pt modelId="{8D0E2691-EB04-4C52-A21B-E05280BACD94}" type="pres">
      <dgm:prSet presAssocID="{49EF50CC-F6C6-4511-9873-DDFEA99D5099}" presName="rootText" presStyleLbl="node4" presStyleIdx="196" presStyleCnt="243">
        <dgm:presLayoutVars>
          <dgm:chPref val="3"/>
        </dgm:presLayoutVars>
      </dgm:prSet>
      <dgm:spPr/>
    </dgm:pt>
    <dgm:pt modelId="{C5334FA8-DFBE-4144-B1CA-A1F70AD90914}" type="pres">
      <dgm:prSet presAssocID="{49EF50CC-F6C6-4511-9873-DDFEA99D5099}" presName="rootConnector" presStyleLbl="node4" presStyleIdx="196" presStyleCnt="243"/>
      <dgm:spPr/>
    </dgm:pt>
    <dgm:pt modelId="{DD1C2F90-AF48-4E0E-A8C4-0046317EF48D}" type="pres">
      <dgm:prSet presAssocID="{49EF50CC-F6C6-4511-9873-DDFEA99D5099}" presName="hierChild4" presStyleCnt="0"/>
      <dgm:spPr/>
    </dgm:pt>
    <dgm:pt modelId="{59C4E555-19E0-494B-B79F-658502DACA54}" type="pres">
      <dgm:prSet presAssocID="{49EF50CC-F6C6-4511-9873-DDFEA99D5099}" presName="hierChild5" presStyleCnt="0"/>
      <dgm:spPr/>
    </dgm:pt>
    <dgm:pt modelId="{C2F38661-A6B2-4DC9-AB6D-B511EF4C168D}" type="pres">
      <dgm:prSet presAssocID="{0301553D-8786-475F-83B1-EF4349ED89FC}" presName="Name50" presStyleLbl="parChTrans1D4" presStyleIdx="197" presStyleCnt="243"/>
      <dgm:spPr/>
    </dgm:pt>
    <dgm:pt modelId="{7B420A38-FD80-430A-8684-23EACE988CB9}" type="pres">
      <dgm:prSet presAssocID="{E636B005-FAAC-4710-8C3E-B22ABBD265C7}" presName="hierRoot2" presStyleCnt="0">
        <dgm:presLayoutVars>
          <dgm:hierBranch val="init"/>
        </dgm:presLayoutVars>
      </dgm:prSet>
      <dgm:spPr/>
    </dgm:pt>
    <dgm:pt modelId="{1C9E1E25-BEDF-469B-939A-938973D2E4E3}" type="pres">
      <dgm:prSet presAssocID="{E636B005-FAAC-4710-8C3E-B22ABBD265C7}" presName="rootComposite" presStyleCnt="0"/>
      <dgm:spPr/>
    </dgm:pt>
    <dgm:pt modelId="{30FC068F-8389-441D-914B-E0EECD00BB4F}" type="pres">
      <dgm:prSet presAssocID="{E636B005-FAAC-4710-8C3E-B22ABBD265C7}" presName="rootText" presStyleLbl="node4" presStyleIdx="197" presStyleCnt="243">
        <dgm:presLayoutVars>
          <dgm:chPref val="3"/>
        </dgm:presLayoutVars>
      </dgm:prSet>
      <dgm:spPr/>
    </dgm:pt>
    <dgm:pt modelId="{EA603AD3-1C4E-46B5-8FCA-28F4A2415515}" type="pres">
      <dgm:prSet presAssocID="{E636B005-FAAC-4710-8C3E-B22ABBD265C7}" presName="rootConnector" presStyleLbl="node4" presStyleIdx="197" presStyleCnt="243"/>
      <dgm:spPr/>
    </dgm:pt>
    <dgm:pt modelId="{66995DD7-91DC-484A-A021-4DB5D2DE316C}" type="pres">
      <dgm:prSet presAssocID="{E636B005-FAAC-4710-8C3E-B22ABBD265C7}" presName="hierChild4" presStyleCnt="0"/>
      <dgm:spPr/>
    </dgm:pt>
    <dgm:pt modelId="{EBDCFCB7-4ACE-4A61-B5E4-F86031D4679D}" type="pres">
      <dgm:prSet presAssocID="{E636B005-FAAC-4710-8C3E-B22ABBD265C7}" presName="hierChild5" presStyleCnt="0"/>
      <dgm:spPr/>
    </dgm:pt>
    <dgm:pt modelId="{1E9BEB41-50B5-4D96-9EFB-0F49EA49B5AC}" type="pres">
      <dgm:prSet presAssocID="{64C04E40-1E6F-43C9-9D67-7DC020E117FD}" presName="hierChild5" presStyleCnt="0"/>
      <dgm:spPr/>
    </dgm:pt>
    <dgm:pt modelId="{0CBFE6DB-E1E6-4BF9-88DF-27E121D7E6DF}" type="pres">
      <dgm:prSet presAssocID="{A6BC0BFA-F253-4133-BCCD-3080B1026916}" presName="hierChild5" presStyleCnt="0"/>
      <dgm:spPr/>
    </dgm:pt>
    <dgm:pt modelId="{F9C486B5-5A6E-4458-9FE1-FC25DEF5AB26}" type="pres">
      <dgm:prSet presAssocID="{661FFE08-7AA2-45A2-B810-4C07FE722FE7}" presName="Name37" presStyleLbl="parChTrans1D3" presStyleIdx="10" presStyleCnt="19"/>
      <dgm:spPr/>
    </dgm:pt>
    <dgm:pt modelId="{17BB0C40-7B3B-484E-A426-ED8A5250550B}" type="pres">
      <dgm:prSet presAssocID="{4530D1F9-D79B-4F21-A3D8-9A72766751AB}" presName="hierRoot2" presStyleCnt="0">
        <dgm:presLayoutVars>
          <dgm:hierBranch val="init"/>
        </dgm:presLayoutVars>
      </dgm:prSet>
      <dgm:spPr/>
    </dgm:pt>
    <dgm:pt modelId="{00C1CCA9-4531-44D0-A725-FF3993AB87B9}" type="pres">
      <dgm:prSet presAssocID="{4530D1F9-D79B-4F21-A3D8-9A72766751AB}" presName="rootComposite" presStyleCnt="0"/>
      <dgm:spPr/>
    </dgm:pt>
    <dgm:pt modelId="{017844EE-014A-4382-94DD-1FFC4466DE90}" type="pres">
      <dgm:prSet presAssocID="{4530D1F9-D79B-4F21-A3D8-9A72766751AB}" presName="rootText" presStyleLbl="node3" presStyleIdx="10" presStyleCnt="19">
        <dgm:presLayoutVars>
          <dgm:chPref val="3"/>
        </dgm:presLayoutVars>
      </dgm:prSet>
      <dgm:spPr/>
    </dgm:pt>
    <dgm:pt modelId="{03D682EE-9E02-4630-987B-54F06E6D816B}" type="pres">
      <dgm:prSet presAssocID="{4530D1F9-D79B-4F21-A3D8-9A72766751AB}" presName="rootConnector" presStyleLbl="node3" presStyleIdx="10" presStyleCnt="19"/>
      <dgm:spPr/>
    </dgm:pt>
    <dgm:pt modelId="{7D5DDDD9-F6E6-4A58-8F20-200A10BC8E92}" type="pres">
      <dgm:prSet presAssocID="{4530D1F9-D79B-4F21-A3D8-9A72766751AB}" presName="hierChild4" presStyleCnt="0"/>
      <dgm:spPr/>
    </dgm:pt>
    <dgm:pt modelId="{EA0027C9-0F51-47B1-B7AE-AB087BDF3D25}" type="pres">
      <dgm:prSet presAssocID="{DADDBE30-8B33-4103-B337-38369D94F0CE}" presName="Name37" presStyleLbl="parChTrans1D4" presStyleIdx="198" presStyleCnt="243"/>
      <dgm:spPr/>
    </dgm:pt>
    <dgm:pt modelId="{9782F2FE-D75D-4FEB-875E-6C32667F3487}" type="pres">
      <dgm:prSet presAssocID="{8FF3568A-CAA4-4B5F-A69D-D7BC18D34268}" presName="hierRoot2" presStyleCnt="0">
        <dgm:presLayoutVars>
          <dgm:hierBranch val="init"/>
        </dgm:presLayoutVars>
      </dgm:prSet>
      <dgm:spPr/>
    </dgm:pt>
    <dgm:pt modelId="{2BEC636B-E69D-4930-AE19-A66C8076769F}" type="pres">
      <dgm:prSet presAssocID="{8FF3568A-CAA4-4B5F-A69D-D7BC18D34268}" presName="rootComposite" presStyleCnt="0"/>
      <dgm:spPr/>
    </dgm:pt>
    <dgm:pt modelId="{6EC7C5DA-90D3-4977-A1FE-67D3C3099769}" type="pres">
      <dgm:prSet presAssocID="{8FF3568A-CAA4-4B5F-A69D-D7BC18D34268}" presName="rootText" presStyleLbl="node4" presStyleIdx="198" presStyleCnt="243" custScaleY="120501">
        <dgm:presLayoutVars>
          <dgm:chPref val="3"/>
        </dgm:presLayoutVars>
      </dgm:prSet>
      <dgm:spPr/>
    </dgm:pt>
    <dgm:pt modelId="{51A0FF83-B108-4943-BCE6-0B711FDF5822}" type="pres">
      <dgm:prSet presAssocID="{8FF3568A-CAA4-4B5F-A69D-D7BC18D34268}" presName="rootConnector" presStyleLbl="node4" presStyleIdx="198" presStyleCnt="243"/>
      <dgm:spPr/>
    </dgm:pt>
    <dgm:pt modelId="{FF30C0B1-A6B8-4E34-A770-F47F0011AAA4}" type="pres">
      <dgm:prSet presAssocID="{8FF3568A-CAA4-4B5F-A69D-D7BC18D34268}" presName="hierChild4" presStyleCnt="0"/>
      <dgm:spPr/>
    </dgm:pt>
    <dgm:pt modelId="{C85E8AD3-FF86-411F-B283-EDE8FC240662}" type="pres">
      <dgm:prSet presAssocID="{DBE5A299-CD7A-401E-A625-D95836E7A15E}" presName="Name37" presStyleLbl="parChTrans1D4" presStyleIdx="199" presStyleCnt="243"/>
      <dgm:spPr/>
    </dgm:pt>
    <dgm:pt modelId="{35F67902-5AA2-4368-BF7F-E6335416A1D7}" type="pres">
      <dgm:prSet presAssocID="{23E60360-6F46-4ADB-B68C-A3A2A0CADFA3}" presName="hierRoot2" presStyleCnt="0">
        <dgm:presLayoutVars>
          <dgm:hierBranch val="init"/>
        </dgm:presLayoutVars>
      </dgm:prSet>
      <dgm:spPr/>
    </dgm:pt>
    <dgm:pt modelId="{35C53499-E4E9-48DD-8F76-A2DE09415A69}" type="pres">
      <dgm:prSet presAssocID="{23E60360-6F46-4ADB-B68C-A3A2A0CADFA3}" presName="rootComposite" presStyleCnt="0"/>
      <dgm:spPr/>
    </dgm:pt>
    <dgm:pt modelId="{25F8C15A-BFC1-4EAE-B7C9-C355DFF1A0D9}" type="pres">
      <dgm:prSet presAssocID="{23E60360-6F46-4ADB-B68C-A3A2A0CADFA3}" presName="rootText" presStyleLbl="node4" presStyleIdx="199" presStyleCnt="243">
        <dgm:presLayoutVars>
          <dgm:chPref val="3"/>
        </dgm:presLayoutVars>
      </dgm:prSet>
      <dgm:spPr/>
    </dgm:pt>
    <dgm:pt modelId="{18109367-D032-49C6-A429-10463006083B}" type="pres">
      <dgm:prSet presAssocID="{23E60360-6F46-4ADB-B68C-A3A2A0CADFA3}" presName="rootConnector" presStyleLbl="node4" presStyleIdx="199" presStyleCnt="243"/>
      <dgm:spPr/>
    </dgm:pt>
    <dgm:pt modelId="{EF802AD9-49F3-42B0-A0C9-E559EE3B283B}" type="pres">
      <dgm:prSet presAssocID="{23E60360-6F46-4ADB-B68C-A3A2A0CADFA3}" presName="hierChild4" presStyleCnt="0"/>
      <dgm:spPr/>
    </dgm:pt>
    <dgm:pt modelId="{A2052236-6C60-47F9-9089-55BFAD2F33D1}" type="pres">
      <dgm:prSet presAssocID="{23E60360-6F46-4ADB-B68C-A3A2A0CADFA3}" presName="hierChild5" presStyleCnt="0"/>
      <dgm:spPr/>
    </dgm:pt>
    <dgm:pt modelId="{8DE55FD0-6333-4A23-A7E6-616002C228DD}" type="pres">
      <dgm:prSet presAssocID="{60423652-73DA-47DA-B70A-CB1D850CBF74}" presName="Name37" presStyleLbl="parChTrans1D4" presStyleIdx="200" presStyleCnt="243"/>
      <dgm:spPr/>
    </dgm:pt>
    <dgm:pt modelId="{200286E6-4694-445A-900B-C8E3E8F02CFD}" type="pres">
      <dgm:prSet presAssocID="{EA48A9D0-AF8A-4A23-B9F4-E6E200AFE35B}" presName="hierRoot2" presStyleCnt="0">
        <dgm:presLayoutVars>
          <dgm:hierBranch val="init"/>
        </dgm:presLayoutVars>
      </dgm:prSet>
      <dgm:spPr/>
    </dgm:pt>
    <dgm:pt modelId="{E9087756-BF24-4AB8-9074-4786C8049CE9}" type="pres">
      <dgm:prSet presAssocID="{EA48A9D0-AF8A-4A23-B9F4-E6E200AFE35B}" presName="rootComposite" presStyleCnt="0"/>
      <dgm:spPr/>
    </dgm:pt>
    <dgm:pt modelId="{839CEBC8-927A-48FF-BDA4-5DAD7898844C}" type="pres">
      <dgm:prSet presAssocID="{EA48A9D0-AF8A-4A23-B9F4-E6E200AFE35B}" presName="rootText" presStyleLbl="node4" presStyleIdx="200" presStyleCnt="243" custScaleY="120005">
        <dgm:presLayoutVars>
          <dgm:chPref val="3"/>
        </dgm:presLayoutVars>
      </dgm:prSet>
      <dgm:spPr/>
    </dgm:pt>
    <dgm:pt modelId="{BE9DCE39-75F9-4880-B7E2-B275EE87AE26}" type="pres">
      <dgm:prSet presAssocID="{EA48A9D0-AF8A-4A23-B9F4-E6E200AFE35B}" presName="rootConnector" presStyleLbl="node4" presStyleIdx="200" presStyleCnt="243"/>
      <dgm:spPr/>
    </dgm:pt>
    <dgm:pt modelId="{1E5D6643-366E-420C-8DA9-2B02346298AA}" type="pres">
      <dgm:prSet presAssocID="{EA48A9D0-AF8A-4A23-B9F4-E6E200AFE35B}" presName="hierChild4" presStyleCnt="0"/>
      <dgm:spPr/>
    </dgm:pt>
    <dgm:pt modelId="{3B38D4F3-140F-4BB4-B715-5CC3619657A9}" type="pres">
      <dgm:prSet presAssocID="{EA48A9D0-AF8A-4A23-B9F4-E6E200AFE35B}" presName="hierChild5" presStyleCnt="0"/>
      <dgm:spPr/>
    </dgm:pt>
    <dgm:pt modelId="{93C6B205-85D6-4EE2-A6CE-71F5668C4B76}" type="pres">
      <dgm:prSet presAssocID="{8FF3568A-CAA4-4B5F-A69D-D7BC18D34268}" presName="hierChild5" presStyleCnt="0"/>
      <dgm:spPr/>
    </dgm:pt>
    <dgm:pt modelId="{BCA01E72-60B8-4EBB-8601-00F8976FEB69}" type="pres">
      <dgm:prSet presAssocID="{4B61A3EB-7851-480D-97AE-AAA81D67AC7D}" presName="Name37" presStyleLbl="parChTrans1D4" presStyleIdx="201" presStyleCnt="243"/>
      <dgm:spPr/>
    </dgm:pt>
    <dgm:pt modelId="{967E49EF-28F9-4B8B-9516-BD0AB64D723D}" type="pres">
      <dgm:prSet presAssocID="{B5E062C0-51FF-475B-AB77-41B3C120B87C}" presName="hierRoot2" presStyleCnt="0">
        <dgm:presLayoutVars>
          <dgm:hierBranch val="init"/>
        </dgm:presLayoutVars>
      </dgm:prSet>
      <dgm:spPr/>
    </dgm:pt>
    <dgm:pt modelId="{3335FA2A-21C7-446B-BA19-39022AE84FFE}" type="pres">
      <dgm:prSet presAssocID="{B5E062C0-51FF-475B-AB77-41B3C120B87C}" presName="rootComposite" presStyleCnt="0"/>
      <dgm:spPr/>
    </dgm:pt>
    <dgm:pt modelId="{0427C18A-9B12-43D2-BF12-85471B29601D}" type="pres">
      <dgm:prSet presAssocID="{B5E062C0-51FF-475B-AB77-41B3C120B87C}" presName="rootText" presStyleLbl="node4" presStyleIdx="201" presStyleCnt="243" custScaleY="124910">
        <dgm:presLayoutVars>
          <dgm:chPref val="3"/>
        </dgm:presLayoutVars>
      </dgm:prSet>
      <dgm:spPr/>
    </dgm:pt>
    <dgm:pt modelId="{A06CA3C7-D894-49A3-BB90-C930C8BEC25C}" type="pres">
      <dgm:prSet presAssocID="{B5E062C0-51FF-475B-AB77-41B3C120B87C}" presName="rootConnector" presStyleLbl="node4" presStyleIdx="201" presStyleCnt="243"/>
      <dgm:spPr/>
    </dgm:pt>
    <dgm:pt modelId="{0A424931-E829-4B4F-BE88-18BC84AFD652}" type="pres">
      <dgm:prSet presAssocID="{B5E062C0-51FF-475B-AB77-41B3C120B87C}" presName="hierChild4" presStyleCnt="0"/>
      <dgm:spPr/>
    </dgm:pt>
    <dgm:pt modelId="{CAE3BC52-4F8F-4707-9276-2663F5C93648}" type="pres">
      <dgm:prSet presAssocID="{E7EBD5C7-DDD5-429F-B5F1-004D75C012A3}" presName="Name37" presStyleLbl="parChTrans1D4" presStyleIdx="202" presStyleCnt="243"/>
      <dgm:spPr/>
    </dgm:pt>
    <dgm:pt modelId="{89452373-2AE2-4790-971B-F909065455BF}" type="pres">
      <dgm:prSet presAssocID="{AA8C37E9-B6EE-48BA-BAA5-9C97E15160C0}" presName="hierRoot2" presStyleCnt="0">
        <dgm:presLayoutVars>
          <dgm:hierBranch val="init"/>
        </dgm:presLayoutVars>
      </dgm:prSet>
      <dgm:spPr/>
    </dgm:pt>
    <dgm:pt modelId="{F03555DB-65CE-4F2F-BF93-9B26B97496AF}" type="pres">
      <dgm:prSet presAssocID="{AA8C37E9-B6EE-48BA-BAA5-9C97E15160C0}" presName="rootComposite" presStyleCnt="0"/>
      <dgm:spPr/>
    </dgm:pt>
    <dgm:pt modelId="{010BA9F0-6A0F-40DC-ADCD-E979F028D9D6}" type="pres">
      <dgm:prSet presAssocID="{AA8C37E9-B6EE-48BA-BAA5-9C97E15160C0}" presName="rootText" presStyleLbl="node4" presStyleIdx="202" presStyleCnt="243" custScaleY="110000">
        <dgm:presLayoutVars>
          <dgm:chPref val="3"/>
        </dgm:presLayoutVars>
      </dgm:prSet>
      <dgm:spPr/>
    </dgm:pt>
    <dgm:pt modelId="{D1E44EBA-C94B-4DBB-89B2-184942F28110}" type="pres">
      <dgm:prSet presAssocID="{AA8C37E9-B6EE-48BA-BAA5-9C97E15160C0}" presName="rootConnector" presStyleLbl="node4" presStyleIdx="202" presStyleCnt="243"/>
      <dgm:spPr/>
    </dgm:pt>
    <dgm:pt modelId="{01A0519F-6E3D-44A2-905A-4A2EDADAE7FB}" type="pres">
      <dgm:prSet presAssocID="{AA8C37E9-B6EE-48BA-BAA5-9C97E15160C0}" presName="hierChild4" presStyleCnt="0"/>
      <dgm:spPr/>
    </dgm:pt>
    <dgm:pt modelId="{9A55BEAD-982A-45E8-8D3C-31650402583B}" type="pres">
      <dgm:prSet presAssocID="{AA8C37E9-B6EE-48BA-BAA5-9C97E15160C0}" presName="hierChild5" presStyleCnt="0"/>
      <dgm:spPr/>
    </dgm:pt>
    <dgm:pt modelId="{BAA2C80D-81D2-4B73-855B-60384CD56480}" type="pres">
      <dgm:prSet presAssocID="{4CB5114A-CEBB-491F-9758-BA618FF477F2}" presName="Name37" presStyleLbl="parChTrans1D4" presStyleIdx="203" presStyleCnt="243"/>
      <dgm:spPr/>
    </dgm:pt>
    <dgm:pt modelId="{47242590-B778-4375-9659-5F280688AA03}" type="pres">
      <dgm:prSet presAssocID="{C4FBCDDB-D0F7-4DF6-9939-2A53BEFE8555}" presName="hierRoot2" presStyleCnt="0">
        <dgm:presLayoutVars>
          <dgm:hierBranch val="init"/>
        </dgm:presLayoutVars>
      </dgm:prSet>
      <dgm:spPr/>
    </dgm:pt>
    <dgm:pt modelId="{7D56B93C-B084-42AE-B283-C6D94EEB6121}" type="pres">
      <dgm:prSet presAssocID="{C4FBCDDB-D0F7-4DF6-9939-2A53BEFE8555}" presName="rootComposite" presStyleCnt="0"/>
      <dgm:spPr/>
    </dgm:pt>
    <dgm:pt modelId="{58BC565A-7446-488A-9767-458E93248F70}" type="pres">
      <dgm:prSet presAssocID="{C4FBCDDB-D0F7-4DF6-9939-2A53BEFE8555}" presName="rootText" presStyleLbl="node4" presStyleIdx="203" presStyleCnt="243" custScaleY="110000">
        <dgm:presLayoutVars>
          <dgm:chPref val="3"/>
        </dgm:presLayoutVars>
      </dgm:prSet>
      <dgm:spPr/>
    </dgm:pt>
    <dgm:pt modelId="{E588EA53-143C-474F-9DD0-8E7AC2AC0688}" type="pres">
      <dgm:prSet presAssocID="{C4FBCDDB-D0F7-4DF6-9939-2A53BEFE8555}" presName="rootConnector" presStyleLbl="node4" presStyleIdx="203" presStyleCnt="243"/>
      <dgm:spPr/>
    </dgm:pt>
    <dgm:pt modelId="{B962F890-45E7-478B-BF37-25E5693E48F5}" type="pres">
      <dgm:prSet presAssocID="{C4FBCDDB-D0F7-4DF6-9939-2A53BEFE8555}" presName="hierChild4" presStyleCnt="0"/>
      <dgm:spPr/>
    </dgm:pt>
    <dgm:pt modelId="{31AB9728-EBFF-4809-8AAC-E1C26BFA7AED}" type="pres">
      <dgm:prSet presAssocID="{C4FBCDDB-D0F7-4DF6-9939-2A53BEFE8555}" presName="hierChild5" presStyleCnt="0"/>
      <dgm:spPr/>
    </dgm:pt>
    <dgm:pt modelId="{58A79307-9AD3-4841-BB2D-13701BCBDB8E}" type="pres">
      <dgm:prSet presAssocID="{23F75C7D-7FCC-492C-9D36-47C6A92A8E2F}" presName="Name37" presStyleLbl="parChTrans1D4" presStyleIdx="204" presStyleCnt="243"/>
      <dgm:spPr/>
    </dgm:pt>
    <dgm:pt modelId="{E9751F8E-02B5-4DF1-9062-62B8C6550079}" type="pres">
      <dgm:prSet presAssocID="{B0F35BDD-1A2D-4B0E-8B7B-7060D56B4FFD}" presName="hierRoot2" presStyleCnt="0">
        <dgm:presLayoutVars>
          <dgm:hierBranch val="init"/>
        </dgm:presLayoutVars>
      </dgm:prSet>
      <dgm:spPr/>
    </dgm:pt>
    <dgm:pt modelId="{92D81E7F-D876-4FBD-846C-CB5F06669DDB}" type="pres">
      <dgm:prSet presAssocID="{B0F35BDD-1A2D-4B0E-8B7B-7060D56B4FFD}" presName="rootComposite" presStyleCnt="0"/>
      <dgm:spPr/>
    </dgm:pt>
    <dgm:pt modelId="{02CE6448-8ECB-49F2-87DF-A4B88DC56735}" type="pres">
      <dgm:prSet presAssocID="{B0F35BDD-1A2D-4B0E-8B7B-7060D56B4FFD}" presName="rootText" presStyleLbl="node4" presStyleIdx="204" presStyleCnt="243" custScaleY="110000">
        <dgm:presLayoutVars>
          <dgm:chPref val="3"/>
        </dgm:presLayoutVars>
      </dgm:prSet>
      <dgm:spPr/>
    </dgm:pt>
    <dgm:pt modelId="{D9501789-37D2-49C7-A215-625162221229}" type="pres">
      <dgm:prSet presAssocID="{B0F35BDD-1A2D-4B0E-8B7B-7060D56B4FFD}" presName="rootConnector" presStyleLbl="node4" presStyleIdx="204" presStyleCnt="243"/>
      <dgm:spPr/>
    </dgm:pt>
    <dgm:pt modelId="{806B7D01-B57F-4363-BFF8-DF2A9611980C}" type="pres">
      <dgm:prSet presAssocID="{B0F35BDD-1A2D-4B0E-8B7B-7060D56B4FFD}" presName="hierChild4" presStyleCnt="0"/>
      <dgm:spPr/>
    </dgm:pt>
    <dgm:pt modelId="{B5FD2979-6934-4B75-BDC4-1CACDE157457}" type="pres">
      <dgm:prSet presAssocID="{B0F35BDD-1A2D-4B0E-8B7B-7060D56B4FFD}" presName="hierChild5" presStyleCnt="0"/>
      <dgm:spPr/>
    </dgm:pt>
    <dgm:pt modelId="{BFE459A3-51E3-41BB-917D-6B5B5E0D7FA1}" type="pres">
      <dgm:prSet presAssocID="{61C8F238-EEF4-4CF0-9D7F-3E09E606208E}" presName="Name37" presStyleLbl="parChTrans1D4" presStyleIdx="205" presStyleCnt="243"/>
      <dgm:spPr/>
    </dgm:pt>
    <dgm:pt modelId="{3E488B59-26CE-45B6-A3EC-A79FD4C31C83}" type="pres">
      <dgm:prSet presAssocID="{FB0F6AE7-73B3-4BCC-A860-E9D777904C06}" presName="hierRoot2" presStyleCnt="0">
        <dgm:presLayoutVars>
          <dgm:hierBranch val="init"/>
        </dgm:presLayoutVars>
      </dgm:prSet>
      <dgm:spPr/>
    </dgm:pt>
    <dgm:pt modelId="{B918BAB2-028D-4D51-B5E8-9B69A3336AE9}" type="pres">
      <dgm:prSet presAssocID="{FB0F6AE7-73B3-4BCC-A860-E9D777904C06}" presName="rootComposite" presStyleCnt="0"/>
      <dgm:spPr/>
    </dgm:pt>
    <dgm:pt modelId="{BDA72F02-4730-4C0C-B50B-3279ECA8C088}" type="pres">
      <dgm:prSet presAssocID="{FB0F6AE7-73B3-4BCC-A860-E9D777904C06}" presName="rootText" presStyleLbl="node4" presStyleIdx="205" presStyleCnt="243" custScaleY="121000">
        <dgm:presLayoutVars>
          <dgm:chPref val="3"/>
        </dgm:presLayoutVars>
      </dgm:prSet>
      <dgm:spPr/>
    </dgm:pt>
    <dgm:pt modelId="{0A3D026E-2186-4E11-A33A-D99CE0DF04A3}" type="pres">
      <dgm:prSet presAssocID="{FB0F6AE7-73B3-4BCC-A860-E9D777904C06}" presName="rootConnector" presStyleLbl="node4" presStyleIdx="205" presStyleCnt="243"/>
      <dgm:spPr/>
    </dgm:pt>
    <dgm:pt modelId="{968B6D6A-35B6-492F-874E-E440B5D688D8}" type="pres">
      <dgm:prSet presAssocID="{FB0F6AE7-73B3-4BCC-A860-E9D777904C06}" presName="hierChild4" presStyleCnt="0"/>
      <dgm:spPr/>
    </dgm:pt>
    <dgm:pt modelId="{1412DE66-6557-476D-880C-ACBA369627A0}" type="pres">
      <dgm:prSet presAssocID="{FB0F6AE7-73B3-4BCC-A860-E9D777904C06}" presName="hierChild5" presStyleCnt="0"/>
      <dgm:spPr/>
    </dgm:pt>
    <dgm:pt modelId="{328BBEF9-7B4E-422A-A9B7-F3E1234332DC}" type="pres">
      <dgm:prSet presAssocID="{B5E062C0-51FF-475B-AB77-41B3C120B87C}" presName="hierChild5" presStyleCnt="0"/>
      <dgm:spPr/>
    </dgm:pt>
    <dgm:pt modelId="{E39AE64B-A0A0-40CF-AB09-CF2E7B999D6D}" type="pres">
      <dgm:prSet presAssocID="{F6166141-EBCE-4D39-B2DD-547EF703D58C}" presName="Name37" presStyleLbl="parChTrans1D4" presStyleIdx="206" presStyleCnt="243"/>
      <dgm:spPr/>
    </dgm:pt>
    <dgm:pt modelId="{78078302-2BD7-497C-B946-6CBCBA3A7A79}" type="pres">
      <dgm:prSet presAssocID="{AEFC0FA9-2342-4015-A81F-EBCAB4D4A36F}" presName="hierRoot2" presStyleCnt="0">
        <dgm:presLayoutVars>
          <dgm:hierBranch val="init"/>
        </dgm:presLayoutVars>
      </dgm:prSet>
      <dgm:spPr/>
    </dgm:pt>
    <dgm:pt modelId="{A208DFF3-FEC9-4BBB-B4D7-20FDB2AE397F}" type="pres">
      <dgm:prSet presAssocID="{AEFC0FA9-2342-4015-A81F-EBCAB4D4A36F}" presName="rootComposite" presStyleCnt="0"/>
      <dgm:spPr/>
    </dgm:pt>
    <dgm:pt modelId="{ED0D2389-5A30-45B5-B4E4-07C77A87B256}" type="pres">
      <dgm:prSet presAssocID="{AEFC0FA9-2342-4015-A81F-EBCAB4D4A36F}" presName="rootText" presStyleLbl="node4" presStyleIdx="206" presStyleCnt="243" custScaleY="124910">
        <dgm:presLayoutVars>
          <dgm:chPref val="3"/>
        </dgm:presLayoutVars>
      </dgm:prSet>
      <dgm:spPr/>
    </dgm:pt>
    <dgm:pt modelId="{85837899-2EA5-42F6-986D-176C168F5C81}" type="pres">
      <dgm:prSet presAssocID="{AEFC0FA9-2342-4015-A81F-EBCAB4D4A36F}" presName="rootConnector" presStyleLbl="node4" presStyleIdx="206" presStyleCnt="243"/>
      <dgm:spPr/>
    </dgm:pt>
    <dgm:pt modelId="{513A8EBE-B0DE-47FC-9B51-D02EEF4970CD}" type="pres">
      <dgm:prSet presAssocID="{AEFC0FA9-2342-4015-A81F-EBCAB4D4A36F}" presName="hierChild4" presStyleCnt="0"/>
      <dgm:spPr/>
    </dgm:pt>
    <dgm:pt modelId="{AE5F5579-ABE5-4F7D-B6BF-CC1E5CDA7F97}" type="pres">
      <dgm:prSet presAssocID="{EA51EB90-AB65-4110-84B3-187C79A86DC5}" presName="Name37" presStyleLbl="parChTrans1D4" presStyleIdx="207" presStyleCnt="243"/>
      <dgm:spPr/>
    </dgm:pt>
    <dgm:pt modelId="{6C471502-471D-4A83-8CD6-3CA25FF6CA00}" type="pres">
      <dgm:prSet presAssocID="{C0BAA408-BB68-4C3A-B248-C402579E8C6F}" presName="hierRoot2" presStyleCnt="0">
        <dgm:presLayoutVars>
          <dgm:hierBranch val="init"/>
        </dgm:presLayoutVars>
      </dgm:prSet>
      <dgm:spPr/>
    </dgm:pt>
    <dgm:pt modelId="{7B915BD4-1C44-46D1-82D4-F681F0B83035}" type="pres">
      <dgm:prSet presAssocID="{C0BAA408-BB68-4C3A-B248-C402579E8C6F}" presName="rootComposite" presStyleCnt="0"/>
      <dgm:spPr/>
    </dgm:pt>
    <dgm:pt modelId="{6B2BE031-E65B-4552-96D5-51E76B2C20A8}" type="pres">
      <dgm:prSet presAssocID="{C0BAA408-BB68-4C3A-B248-C402579E8C6F}" presName="rootText" presStyleLbl="node4" presStyleIdx="207" presStyleCnt="243" custScaleY="121000">
        <dgm:presLayoutVars>
          <dgm:chPref val="3"/>
        </dgm:presLayoutVars>
      </dgm:prSet>
      <dgm:spPr/>
    </dgm:pt>
    <dgm:pt modelId="{C1CF5E07-11CB-454A-9A2E-61A8479242A5}" type="pres">
      <dgm:prSet presAssocID="{C0BAA408-BB68-4C3A-B248-C402579E8C6F}" presName="rootConnector" presStyleLbl="node4" presStyleIdx="207" presStyleCnt="243"/>
      <dgm:spPr/>
    </dgm:pt>
    <dgm:pt modelId="{4398CE30-FAA0-4A7F-ABD1-2C51F1328786}" type="pres">
      <dgm:prSet presAssocID="{C0BAA408-BB68-4C3A-B248-C402579E8C6F}" presName="hierChild4" presStyleCnt="0"/>
      <dgm:spPr/>
    </dgm:pt>
    <dgm:pt modelId="{52CBA521-54A7-4DA5-8E4B-F9FB381C494F}" type="pres">
      <dgm:prSet presAssocID="{C0BAA408-BB68-4C3A-B248-C402579E8C6F}" presName="hierChild5" presStyleCnt="0"/>
      <dgm:spPr/>
    </dgm:pt>
    <dgm:pt modelId="{150BCB8C-D4BB-4939-9846-51267CF004C5}" type="pres">
      <dgm:prSet presAssocID="{D3BB6DD2-32D4-4C61-9F1E-95198B66568D}" presName="Name37" presStyleLbl="parChTrans1D4" presStyleIdx="208" presStyleCnt="243"/>
      <dgm:spPr/>
    </dgm:pt>
    <dgm:pt modelId="{4926FFC8-0259-48E3-AD94-482ABD5292A1}" type="pres">
      <dgm:prSet presAssocID="{9251A46D-2BE0-4272-8860-C252FCA0E36F}" presName="hierRoot2" presStyleCnt="0">
        <dgm:presLayoutVars>
          <dgm:hierBranch val="init"/>
        </dgm:presLayoutVars>
      </dgm:prSet>
      <dgm:spPr/>
    </dgm:pt>
    <dgm:pt modelId="{E022C6FB-90FB-4B6E-9207-6CDDED40BFE6}" type="pres">
      <dgm:prSet presAssocID="{9251A46D-2BE0-4272-8860-C252FCA0E36F}" presName="rootComposite" presStyleCnt="0"/>
      <dgm:spPr/>
    </dgm:pt>
    <dgm:pt modelId="{E0C1EAC6-A466-462F-9DC7-E1C44E66A1E0}" type="pres">
      <dgm:prSet presAssocID="{9251A46D-2BE0-4272-8860-C252FCA0E36F}" presName="rootText" presStyleLbl="node4" presStyleIdx="208" presStyleCnt="243" custScaleY="121000">
        <dgm:presLayoutVars>
          <dgm:chPref val="3"/>
        </dgm:presLayoutVars>
      </dgm:prSet>
      <dgm:spPr/>
    </dgm:pt>
    <dgm:pt modelId="{4BF9BE59-0E43-4513-8635-AE95031E0FCE}" type="pres">
      <dgm:prSet presAssocID="{9251A46D-2BE0-4272-8860-C252FCA0E36F}" presName="rootConnector" presStyleLbl="node4" presStyleIdx="208" presStyleCnt="243"/>
      <dgm:spPr/>
    </dgm:pt>
    <dgm:pt modelId="{D6D68858-2258-4BA3-83EF-8FC93E3F1200}" type="pres">
      <dgm:prSet presAssocID="{9251A46D-2BE0-4272-8860-C252FCA0E36F}" presName="hierChild4" presStyleCnt="0"/>
      <dgm:spPr/>
    </dgm:pt>
    <dgm:pt modelId="{6B5F57A0-B3C6-4B73-BEEE-6AC0B57DBB48}" type="pres">
      <dgm:prSet presAssocID="{9251A46D-2BE0-4272-8860-C252FCA0E36F}" presName="hierChild5" presStyleCnt="0"/>
      <dgm:spPr/>
    </dgm:pt>
    <dgm:pt modelId="{B5B3FDB1-5072-43AC-B594-5884596CB368}" type="pres">
      <dgm:prSet presAssocID="{E3E2BEE7-4F1F-4AF7-BA2F-5153D813D02F}" presName="Name37" presStyleLbl="parChTrans1D4" presStyleIdx="209" presStyleCnt="243"/>
      <dgm:spPr/>
    </dgm:pt>
    <dgm:pt modelId="{9B4FF656-FD3A-41DE-B10C-4092A70599D6}" type="pres">
      <dgm:prSet presAssocID="{A1A6043F-1314-4D8F-807A-DCB8AA616AF7}" presName="hierRoot2" presStyleCnt="0">
        <dgm:presLayoutVars>
          <dgm:hierBranch val="init"/>
        </dgm:presLayoutVars>
      </dgm:prSet>
      <dgm:spPr/>
    </dgm:pt>
    <dgm:pt modelId="{4F5FF2E3-1FDA-4C2A-896A-A7887C351422}" type="pres">
      <dgm:prSet presAssocID="{A1A6043F-1314-4D8F-807A-DCB8AA616AF7}" presName="rootComposite" presStyleCnt="0"/>
      <dgm:spPr/>
    </dgm:pt>
    <dgm:pt modelId="{5BF93A2D-2F5E-43A0-B579-9B9680253C10}" type="pres">
      <dgm:prSet presAssocID="{A1A6043F-1314-4D8F-807A-DCB8AA616AF7}" presName="rootText" presStyleLbl="node4" presStyleIdx="209" presStyleCnt="243" custScaleY="121000">
        <dgm:presLayoutVars>
          <dgm:chPref val="3"/>
        </dgm:presLayoutVars>
      </dgm:prSet>
      <dgm:spPr/>
    </dgm:pt>
    <dgm:pt modelId="{8A9AC1A6-E3B9-4C62-82B9-CC6F82202D1E}" type="pres">
      <dgm:prSet presAssocID="{A1A6043F-1314-4D8F-807A-DCB8AA616AF7}" presName="rootConnector" presStyleLbl="node4" presStyleIdx="209" presStyleCnt="243"/>
      <dgm:spPr/>
    </dgm:pt>
    <dgm:pt modelId="{AB1923EA-7636-4059-832C-AAAA52B4EB98}" type="pres">
      <dgm:prSet presAssocID="{A1A6043F-1314-4D8F-807A-DCB8AA616AF7}" presName="hierChild4" presStyleCnt="0"/>
      <dgm:spPr/>
    </dgm:pt>
    <dgm:pt modelId="{AAAAA9A6-B9DF-4AA6-A90C-ECAA6988C204}" type="pres">
      <dgm:prSet presAssocID="{A1A6043F-1314-4D8F-807A-DCB8AA616AF7}" presName="hierChild5" presStyleCnt="0"/>
      <dgm:spPr/>
    </dgm:pt>
    <dgm:pt modelId="{26561B9C-A2AE-4E6A-BEAB-F2F46E25A233}" type="pres">
      <dgm:prSet presAssocID="{DCCEB2FB-4284-4377-9A06-66364A250946}" presName="Name37" presStyleLbl="parChTrans1D4" presStyleIdx="210" presStyleCnt="243"/>
      <dgm:spPr/>
    </dgm:pt>
    <dgm:pt modelId="{E628F4A8-CD9A-40C0-8944-3D7E87F95ABE}" type="pres">
      <dgm:prSet presAssocID="{92CF3D58-62D0-470A-A6BA-FFB2364E1D20}" presName="hierRoot2" presStyleCnt="0">
        <dgm:presLayoutVars>
          <dgm:hierBranch val="init"/>
        </dgm:presLayoutVars>
      </dgm:prSet>
      <dgm:spPr/>
    </dgm:pt>
    <dgm:pt modelId="{D06DF5B5-4047-4BF5-8BBD-2516112334A6}" type="pres">
      <dgm:prSet presAssocID="{92CF3D58-62D0-470A-A6BA-FFB2364E1D20}" presName="rootComposite" presStyleCnt="0"/>
      <dgm:spPr/>
    </dgm:pt>
    <dgm:pt modelId="{529D0FE1-C059-4ED6-95C3-AEDD2882EA6B}" type="pres">
      <dgm:prSet presAssocID="{92CF3D58-62D0-470A-A6BA-FFB2364E1D20}" presName="rootText" presStyleLbl="node4" presStyleIdx="210" presStyleCnt="243" custScaleY="110000">
        <dgm:presLayoutVars>
          <dgm:chPref val="3"/>
        </dgm:presLayoutVars>
      </dgm:prSet>
      <dgm:spPr/>
    </dgm:pt>
    <dgm:pt modelId="{56497B07-5CB1-48C3-A08B-F2D54B3D6B60}" type="pres">
      <dgm:prSet presAssocID="{92CF3D58-62D0-470A-A6BA-FFB2364E1D20}" presName="rootConnector" presStyleLbl="node4" presStyleIdx="210" presStyleCnt="243"/>
      <dgm:spPr/>
    </dgm:pt>
    <dgm:pt modelId="{F3E0BAA0-C91F-49A1-9B7B-B8EC791DDF27}" type="pres">
      <dgm:prSet presAssocID="{92CF3D58-62D0-470A-A6BA-FFB2364E1D20}" presName="hierChild4" presStyleCnt="0"/>
      <dgm:spPr/>
    </dgm:pt>
    <dgm:pt modelId="{9F850AAC-4E69-40A7-87E5-A7EA94A3512C}" type="pres">
      <dgm:prSet presAssocID="{92CF3D58-62D0-470A-A6BA-FFB2364E1D20}" presName="hierChild5" presStyleCnt="0"/>
      <dgm:spPr/>
    </dgm:pt>
    <dgm:pt modelId="{35EBA352-26AB-435E-8869-FCED05DD467B}" type="pres">
      <dgm:prSet presAssocID="{3F9E6036-C1F6-4DB3-976C-10461FC1392C}" presName="Name37" presStyleLbl="parChTrans1D4" presStyleIdx="211" presStyleCnt="243"/>
      <dgm:spPr/>
    </dgm:pt>
    <dgm:pt modelId="{EDB3DAF6-23AF-44D5-B0E1-85A792BB55CE}" type="pres">
      <dgm:prSet presAssocID="{BD3530F7-EA45-4827-8204-FABD43E02086}" presName="hierRoot2" presStyleCnt="0">
        <dgm:presLayoutVars>
          <dgm:hierBranch val="init"/>
        </dgm:presLayoutVars>
      </dgm:prSet>
      <dgm:spPr/>
    </dgm:pt>
    <dgm:pt modelId="{7451C278-D258-4015-BB9D-8035344E5227}" type="pres">
      <dgm:prSet presAssocID="{BD3530F7-EA45-4827-8204-FABD43E02086}" presName="rootComposite" presStyleCnt="0"/>
      <dgm:spPr/>
    </dgm:pt>
    <dgm:pt modelId="{F86F30BE-A908-4502-B7A8-F799D4E0E611}" type="pres">
      <dgm:prSet presAssocID="{BD3530F7-EA45-4827-8204-FABD43E02086}" presName="rootText" presStyleLbl="node4" presStyleIdx="211" presStyleCnt="243" custScaleY="110000">
        <dgm:presLayoutVars>
          <dgm:chPref val="3"/>
        </dgm:presLayoutVars>
      </dgm:prSet>
      <dgm:spPr/>
    </dgm:pt>
    <dgm:pt modelId="{59D828FE-65D3-439F-9D42-5A74B472445E}" type="pres">
      <dgm:prSet presAssocID="{BD3530F7-EA45-4827-8204-FABD43E02086}" presName="rootConnector" presStyleLbl="node4" presStyleIdx="211" presStyleCnt="243"/>
      <dgm:spPr/>
    </dgm:pt>
    <dgm:pt modelId="{A2AB15B8-4F51-421B-9BEE-1920BDB473F1}" type="pres">
      <dgm:prSet presAssocID="{BD3530F7-EA45-4827-8204-FABD43E02086}" presName="hierChild4" presStyleCnt="0"/>
      <dgm:spPr/>
    </dgm:pt>
    <dgm:pt modelId="{1248BCEB-488D-492E-B2DD-9B7CAB7D1EBC}" type="pres">
      <dgm:prSet presAssocID="{BD3530F7-EA45-4827-8204-FABD43E02086}" presName="hierChild5" presStyleCnt="0"/>
      <dgm:spPr/>
    </dgm:pt>
    <dgm:pt modelId="{2BE4797E-7647-4EC8-A4F9-09D0083E8476}" type="pres">
      <dgm:prSet presAssocID="{8D0E6E12-B5D4-48C2-AEF0-1DF8718C851C}" presName="Name37" presStyleLbl="parChTrans1D4" presStyleIdx="212" presStyleCnt="243"/>
      <dgm:spPr/>
    </dgm:pt>
    <dgm:pt modelId="{8FB383C2-FA03-439C-9C79-5AD7F67A3248}" type="pres">
      <dgm:prSet presAssocID="{BBB8D6B9-BE73-4813-841B-801ADCF5BA66}" presName="hierRoot2" presStyleCnt="0">
        <dgm:presLayoutVars>
          <dgm:hierBranch val="init"/>
        </dgm:presLayoutVars>
      </dgm:prSet>
      <dgm:spPr/>
    </dgm:pt>
    <dgm:pt modelId="{221F234B-5555-434D-801E-FE6A0602606D}" type="pres">
      <dgm:prSet presAssocID="{BBB8D6B9-BE73-4813-841B-801ADCF5BA66}" presName="rootComposite" presStyleCnt="0"/>
      <dgm:spPr/>
    </dgm:pt>
    <dgm:pt modelId="{0329BBE0-DA1D-416A-810D-62C8621B0360}" type="pres">
      <dgm:prSet presAssocID="{BBB8D6B9-BE73-4813-841B-801ADCF5BA66}" presName="rootText" presStyleLbl="node4" presStyleIdx="212" presStyleCnt="243" custScaleY="110000">
        <dgm:presLayoutVars>
          <dgm:chPref val="3"/>
        </dgm:presLayoutVars>
      </dgm:prSet>
      <dgm:spPr/>
    </dgm:pt>
    <dgm:pt modelId="{000468C3-A88B-477E-B450-4A1A38CD4753}" type="pres">
      <dgm:prSet presAssocID="{BBB8D6B9-BE73-4813-841B-801ADCF5BA66}" presName="rootConnector" presStyleLbl="node4" presStyleIdx="212" presStyleCnt="243"/>
      <dgm:spPr/>
    </dgm:pt>
    <dgm:pt modelId="{23259194-A63E-4D79-B9CE-2CA350A6BA0D}" type="pres">
      <dgm:prSet presAssocID="{BBB8D6B9-BE73-4813-841B-801ADCF5BA66}" presName="hierChild4" presStyleCnt="0"/>
      <dgm:spPr/>
    </dgm:pt>
    <dgm:pt modelId="{883244E4-3152-4B47-9060-510084458991}" type="pres">
      <dgm:prSet presAssocID="{BBB8D6B9-BE73-4813-841B-801ADCF5BA66}" presName="hierChild5" presStyleCnt="0"/>
      <dgm:spPr/>
    </dgm:pt>
    <dgm:pt modelId="{7C7214AC-AC94-49EA-BD45-65AD1A639557}" type="pres">
      <dgm:prSet presAssocID="{AC0CBECA-5188-40E4-8347-671284FF0F21}" presName="Name37" presStyleLbl="parChTrans1D4" presStyleIdx="213" presStyleCnt="243"/>
      <dgm:spPr/>
    </dgm:pt>
    <dgm:pt modelId="{E5E0A7EE-416B-46B6-ABFF-4A819C589DCE}" type="pres">
      <dgm:prSet presAssocID="{3966608D-C2F4-4B13-95D8-3B194261431C}" presName="hierRoot2" presStyleCnt="0">
        <dgm:presLayoutVars>
          <dgm:hierBranch val="init"/>
        </dgm:presLayoutVars>
      </dgm:prSet>
      <dgm:spPr/>
    </dgm:pt>
    <dgm:pt modelId="{8D41CB59-8BAE-4938-B478-2C0346ABEEEC}" type="pres">
      <dgm:prSet presAssocID="{3966608D-C2F4-4B13-95D8-3B194261431C}" presName="rootComposite" presStyleCnt="0"/>
      <dgm:spPr/>
    </dgm:pt>
    <dgm:pt modelId="{15F8D780-F01C-4791-A2CC-0982BBD099F2}" type="pres">
      <dgm:prSet presAssocID="{3966608D-C2F4-4B13-95D8-3B194261431C}" presName="rootText" presStyleLbl="node4" presStyleIdx="213" presStyleCnt="243" custScaleY="110000">
        <dgm:presLayoutVars>
          <dgm:chPref val="3"/>
        </dgm:presLayoutVars>
      </dgm:prSet>
      <dgm:spPr/>
    </dgm:pt>
    <dgm:pt modelId="{CE436347-9D56-4FB8-9DC6-91019138BAD7}" type="pres">
      <dgm:prSet presAssocID="{3966608D-C2F4-4B13-95D8-3B194261431C}" presName="rootConnector" presStyleLbl="node4" presStyleIdx="213" presStyleCnt="243"/>
      <dgm:spPr/>
    </dgm:pt>
    <dgm:pt modelId="{B1B0F154-6D51-4123-A9E9-528A3FCA2914}" type="pres">
      <dgm:prSet presAssocID="{3966608D-C2F4-4B13-95D8-3B194261431C}" presName="hierChild4" presStyleCnt="0"/>
      <dgm:spPr/>
    </dgm:pt>
    <dgm:pt modelId="{E0300A24-8C15-4239-B0D1-66E85EECB114}" type="pres">
      <dgm:prSet presAssocID="{3966608D-C2F4-4B13-95D8-3B194261431C}" presName="hierChild5" presStyleCnt="0"/>
      <dgm:spPr/>
    </dgm:pt>
    <dgm:pt modelId="{CACCFBF5-A606-4DB0-8C0D-D4FAD9623225}" type="pres">
      <dgm:prSet presAssocID="{AEFC0FA9-2342-4015-A81F-EBCAB4D4A36F}" presName="hierChild5" presStyleCnt="0"/>
      <dgm:spPr/>
    </dgm:pt>
    <dgm:pt modelId="{91B5EB6F-94B2-46FC-81BA-EA8DBBDE38F8}" type="pres">
      <dgm:prSet presAssocID="{4530D1F9-D79B-4F21-A3D8-9A72766751AB}" presName="hierChild5" presStyleCnt="0"/>
      <dgm:spPr/>
    </dgm:pt>
    <dgm:pt modelId="{428C93EF-74BA-4B1F-AAA1-3AF4D02FF508}" type="pres">
      <dgm:prSet presAssocID="{61CB8516-D842-46CE-AFF8-424F39A00E76}" presName="Name37" presStyleLbl="parChTrans1D3" presStyleIdx="11" presStyleCnt="19"/>
      <dgm:spPr/>
    </dgm:pt>
    <dgm:pt modelId="{1D06A798-22AA-4400-A261-56302C86D923}" type="pres">
      <dgm:prSet presAssocID="{4687629B-9EAF-487A-9973-C66924FFD9B6}" presName="hierRoot2" presStyleCnt="0">
        <dgm:presLayoutVars>
          <dgm:hierBranch val="init"/>
        </dgm:presLayoutVars>
      </dgm:prSet>
      <dgm:spPr/>
    </dgm:pt>
    <dgm:pt modelId="{33D1B8D1-B667-4338-ABD5-9B6AAFAE286A}" type="pres">
      <dgm:prSet presAssocID="{4687629B-9EAF-487A-9973-C66924FFD9B6}" presName="rootComposite" presStyleCnt="0"/>
      <dgm:spPr/>
    </dgm:pt>
    <dgm:pt modelId="{309F7D41-ED17-46D8-B2DD-74D6EDCB20D7}" type="pres">
      <dgm:prSet presAssocID="{4687629B-9EAF-487A-9973-C66924FFD9B6}" presName="rootText" presStyleLbl="node3" presStyleIdx="11" presStyleCnt="19">
        <dgm:presLayoutVars>
          <dgm:chPref val="3"/>
        </dgm:presLayoutVars>
      </dgm:prSet>
      <dgm:spPr/>
    </dgm:pt>
    <dgm:pt modelId="{4AD38B1D-51C2-4716-92DB-44A173E844A1}" type="pres">
      <dgm:prSet presAssocID="{4687629B-9EAF-487A-9973-C66924FFD9B6}" presName="rootConnector" presStyleLbl="node3" presStyleIdx="11" presStyleCnt="19"/>
      <dgm:spPr/>
    </dgm:pt>
    <dgm:pt modelId="{FCB66C0D-DA32-4FD3-BB16-2072559B7B53}" type="pres">
      <dgm:prSet presAssocID="{4687629B-9EAF-487A-9973-C66924FFD9B6}" presName="hierChild4" presStyleCnt="0"/>
      <dgm:spPr/>
    </dgm:pt>
    <dgm:pt modelId="{D71914FA-F999-485E-99C5-3713903AB765}" type="pres">
      <dgm:prSet presAssocID="{4687629B-9EAF-487A-9973-C66924FFD9B6}" presName="hierChild5" presStyleCnt="0"/>
      <dgm:spPr/>
    </dgm:pt>
    <dgm:pt modelId="{5091C223-C1D8-401A-B058-4E32FFA782E3}" type="pres">
      <dgm:prSet presAssocID="{CB22239A-2C33-4D8A-80F3-FA87867B19F5}" presName="Name37" presStyleLbl="parChTrans1D3" presStyleIdx="12" presStyleCnt="19"/>
      <dgm:spPr/>
    </dgm:pt>
    <dgm:pt modelId="{73E35FAA-023E-40BD-8BDB-F88E9433E24B}" type="pres">
      <dgm:prSet presAssocID="{53A6C4B4-CF08-4693-8722-23AD0DF8467A}" presName="hierRoot2" presStyleCnt="0">
        <dgm:presLayoutVars>
          <dgm:hierBranch val="init"/>
        </dgm:presLayoutVars>
      </dgm:prSet>
      <dgm:spPr/>
    </dgm:pt>
    <dgm:pt modelId="{59893FAC-4D9A-4591-9E6C-B2787CF140C5}" type="pres">
      <dgm:prSet presAssocID="{53A6C4B4-CF08-4693-8722-23AD0DF8467A}" presName="rootComposite" presStyleCnt="0"/>
      <dgm:spPr/>
    </dgm:pt>
    <dgm:pt modelId="{70877DF0-B5AF-4E8B-97BD-C4ED4C3B7894}" type="pres">
      <dgm:prSet presAssocID="{53A6C4B4-CF08-4693-8722-23AD0DF8467A}" presName="rootText" presStyleLbl="node3" presStyleIdx="12" presStyleCnt="19">
        <dgm:presLayoutVars>
          <dgm:chPref val="3"/>
        </dgm:presLayoutVars>
      </dgm:prSet>
      <dgm:spPr/>
    </dgm:pt>
    <dgm:pt modelId="{8CF43ECC-5239-4220-AAC6-7C6B330CB8E9}" type="pres">
      <dgm:prSet presAssocID="{53A6C4B4-CF08-4693-8722-23AD0DF8467A}" presName="rootConnector" presStyleLbl="node3" presStyleIdx="12" presStyleCnt="19"/>
      <dgm:spPr/>
    </dgm:pt>
    <dgm:pt modelId="{EBA6F6BC-B358-4FC4-B592-9CD1CCF89F87}" type="pres">
      <dgm:prSet presAssocID="{53A6C4B4-CF08-4693-8722-23AD0DF8467A}" presName="hierChild4" presStyleCnt="0"/>
      <dgm:spPr/>
    </dgm:pt>
    <dgm:pt modelId="{8E7D2D24-324C-4E8A-9193-A67B8CC49E8D}" type="pres">
      <dgm:prSet presAssocID="{D92568A8-A203-41A1-8DF6-F2F45F663CD6}" presName="Name37" presStyleLbl="parChTrans1D4" presStyleIdx="214" presStyleCnt="243"/>
      <dgm:spPr/>
    </dgm:pt>
    <dgm:pt modelId="{730F0349-C655-443C-989D-899732DC23A3}" type="pres">
      <dgm:prSet presAssocID="{527E59F1-1CBF-4CC6-997B-56BAC50F0B73}" presName="hierRoot2" presStyleCnt="0">
        <dgm:presLayoutVars>
          <dgm:hierBranch val="init"/>
        </dgm:presLayoutVars>
      </dgm:prSet>
      <dgm:spPr/>
    </dgm:pt>
    <dgm:pt modelId="{08CCC9D2-2AD4-4BC1-91AA-10060DA8F65E}" type="pres">
      <dgm:prSet presAssocID="{527E59F1-1CBF-4CC6-997B-56BAC50F0B73}" presName="rootComposite" presStyleCnt="0"/>
      <dgm:spPr/>
    </dgm:pt>
    <dgm:pt modelId="{98EA16AC-1971-40B1-BFB8-7AEA53569DD7}" type="pres">
      <dgm:prSet presAssocID="{527E59F1-1CBF-4CC6-997B-56BAC50F0B73}" presName="rootText" presStyleLbl="node4" presStyleIdx="214" presStyleCnt="243">
        <dgm:presLayoutVars>
          <dgm:chPref val="3"/>
        </dgm:presLayoutVars>
      </dgm:prSet>
      <dgm:spPr/>
    </dgm:pt>
    <dgm:pt modelId="{CEF34F85-2C36-4428-A9DC-9ED7865F684B}" type="pres">
      <dgm:prSet presAssocID="{527E59F1-1CBF-4CC6-997B-56BAC50F0B73}" presName="rootConnector" presStyleLbl="node4" presStyleIdx="214" presStyleCnt="243"/>
      <dgm:spPr/>
    </dgm:pt>
    <dgm:pt modelId="{3D9965C8-5B26-41D4-8A5E-CEAACDE76738}" type="pres">
      <dgm:prSet presAssocID="{527E59F1-1CBF-4CC6-997B-56BAC50F0B73}" presName="hierChild4" presStyleCnt="0"/>
      <dgm:spPr/>
    </dgm:pt>
    <dgm:pt modelId="{9E87DDF4-AF17-4D4C-9801-B59E5EDFCF31}" type="pres">
      <dgm:prSet presAssocID="{527E59F1-1CBF-4CC6-997B-56BAC50F0B73}" presName="hierChild5" presStyleCnt="0"/>
      <dgm:spPr/>
    </dgm:pt>
    <dgm:pt modelId="{2CB26ACF-7AC8-4311-881C-70265A591D7B}" type="pres">
      <dgm:prSet presAssocID="{ED7A5D29-67B8-41C3-A06A-5AC21B67484F}" presName="Name37" presStyleLbl="parChTrans1D4" presStyleIdx="215" presStyleCnt="243"/>
      <dgm:spPr/>
    </dgm:pt>
    <dgm:pt modelId="{FDDF823D-DA41-4C94-BF52-47162BB882C8}" type="pres">
      <dgm:prSet presAssocID="{1183DB6D-C15F-40C8-9366-A500F1FDED64}" presName="hierRoot2" presStyleCnt="0">
        <dgm:presLayoutVars>
          <dgm:hierBranch val="init"/>
        </dgm:presLayoutVars>
      </dgm:prSet>
      <dgm:spPr/>
    </dgm:pt>
    <dgm:pt modelId="{2E661C6C-93C7-4363-BED4-D7DE06C38498}" type="pres">
      <dgm:prSet presAssocID="{1183DB6D-C15F-40C8-9366-A500F1FDED64}" presName="rootComposite" presStyleCnt="0"/>
      <dgm:spPr/>
    </dgm:pt>
    <dgm:pt modelId="{81B8930D-AB8E-4114-ADFF-7614EB2255EA}" type="pres">
      <dgm:prSet presAssocID="{1183DB6D-C15F-40C8-9366-A500F1FDED64}" presName="rootText" presStyleLbl="node4" presStyleIdx="215" presStyleCnt="243">
        <dgm:presLayoutVars>
          <dgm:chPref val="3"/>
        </dgm:presLayoutVars>
      </dgm:prSet>
      <dgm:spPr/>
    </dgm:pt>
    <dgm:pt modelId="{6B94BC66-0A30-4844-8D2B-EA2D0983622A}" type="pres">
      <dgm:prSet presAssocID="{1183DB6D-C15F-40C8-9366-A500F1FDED64}" presName="rootConnector" presStyleLbl="node4" presStyleIdx="215" presStyleCnt="243"/>
      <dgm:spPr/>
    </dgm:pt>
    <dgm:pt modelId="{D7EDBB41-F5D9-432D-B1DD-28D280670F50}" type="pres">
      <dgm:prSet presAssocID="{1183DB6D-C15F-40C8-9366-A500F1FDED64}" presName="hierChild4" presStyleCnt="0"/>
      <dgm:spPr/>
    </dgm:pt>
    <dgm:pt modelId="{414F5F07-A478-4281-A259-CACCB9AC660C}" type="pres">
      <dgm:prSet presAssocID="{1183DB6D-C15F-40C8-9366-A500F1FDED64}" presName="hierChild5" presStyleCnt="0"/>
      <dgm:spPr/>
    </dgm:pt>
    <dgm:pt modelId="{EB28DB9E-DF78-41F0-99ED-101E16408083}" type="pres">
      <dgm:prSet presAssocID="{F1CF6E37-6CCF-4AF6-8762-EE7789056675}" presName="Name37" presStyleLbl="parChTrans1D4" presStyleIdx="216" presStyleCnt="243"/>
      <dgm:spPr/>
    </dgm:pt>
    <dgm:pt modelId="{717DB940-C53D-40CD-B983-4A8EB27E99D3}" type="pres">
      <dgm:prSet presAssocID="{5EB74292-714A-47E6-A388-60055E38E838}" presName="hierRoot2" presStyleCnt="0">
        <dgm:presLayoutVars>
          <dgm:hierBranch val="init"/>
        </dgm:presLayoutVars>
      </dgm:prSet>
      <dgm:spPr/>
    </dgm:pt>
    <dgm:pt modelId="{7A4FE0BE-FE36-414C-B77C-02B542C409A6}" type="pres">
      <dgm:prSet presAssocID="{5EB74292-714A-47E6-A388-60055E38E838}" presName="rootComposite" presStyleCnt="0"/>
      <dgm:spPr/>
    </dgm:pt>
    <dgm:pt modelId="{15F7B5F8-8193-4364-95D7-8537DF3D69F1}" type="pres">
      <dgm:prSet presAssocID="{5EB74292-714A-47E6-A388-60055E38E838}" presName="rootText" presStyleLbl="node4" presStyleIdx="216" presStyleCnt="243">
        <dgm:presLayoutVars>
          <dgm:chPref val="3"/>
        </dgm:presLayoutVars>
      </dgm:prSet>
      <dgm:spPr/>
    </dgm:pt>
    <dgm:pt modelId="{069038C5-4871-4977-B566-E3260C560422}" type="pres">
      <dgm:prSet presAssocID="{5EB74292-714A-47E6-A388-60055E38E838}" presName="rootConnector" presStyleLbl="node4" presStyleIdx="216" presStyleCnt="243"/>
      <dgm:spPr/>
    </dgm:pt>
    <dgm:pt modelId="{9F84C4CE-816C-46BA-AB09-E1396F56B437}" type="pres">
      <dgm:prSet presAssocID="{5EB74292-714A-47E6-A388-60055E38E838}" presName="hierChild4" presStyleCnt="0"/>
      <dgm:spPr/>
    </dgm:pt>
    <dgm:pt modelId="{FB8DDC00-9EE3-4DF9-BAE8-F126901E0432}" type="pres">
      <dgm:prSet presAssocID="{5EB74292-714A-47E6-A388-60055E38E838}" presName="hierChild5" presStyleCnt="0"/>
      <dgm:spPr/>
    </dgm:pt>
    <dgm:pt modelId="{2EC63808-B31A-42D7-BE2A-FFE1642AC0FD}" type="pres">
      <dgm:prSet presAssocID="{AF59D583-0434-43B9-A417-C599C987F990}" presName="Name37" presStyleLbl="parChTrans1D4" presStyleIdx="217" presStyleCnt="243"/>
      <dgm:spPr/>
    </dgm:pt>
    <dgm:pt modelId="{FE58E6DC-2FEF-43E7-B5B3-E3CA5294D78A}" type="pres">
      <dgm:prSet presAssocID="{21DA3B63-3617-4995-A74C-73F55889E998}" presName="hierRoot2" presStyleCnt="0">
        <dgm:presLayoutVars>
          <dgm:hierBranch val="init"/>
        </dgm:presLayoutVars>
      </dgm:prSet>
      <dgm:spPr/>
    </dgm:pt>
    <dgm:pt modelId="{48189396-E420-4276-A188-62AD4F641CF6}" type="pres">
      <dgm:prSet presAssocID="{21DA3B63-3617-4995-A74C-73F55889E998}" presName="rootComposite" presStyleCnt="0"/>
      <dgm:spPr/>
    </dgm:pt>
    <dgm:pt modelId="{F68157D7-AB1C-4138-A76F-52EF500BF81B}" type="pres">
      <dgm:prSet presAssocID="{21DA3B63-3617-4995-A74C-73F55889E998}" presName="rootText" presStyleLbl="node4" presStyleIdx="217" presStyleCnt="243">
        <dgm:presLayoutVars>
          <dgm:chPref val="3"/>
        </dgm:presLayoutVars>
      </dgm:prSet>
      <dgm:spPr/>
    </dgm:pt>
    <dgm:pt modelId="{7BB95882-83A3-42FB-9CF2-E76189647166}" type="pres">
      <dgm:prSet presAssocID="{21DA3B63-3617-4995-A74C-73F55889E998}" presName="rootConnector" presStyleLbl="node4" presStyleIdx="217" presStyleCnt="243"/>
      <dgm:spPr/>
    </dgm:pt>
    <dgm:pt modelId="{CE1A4470-008A-403C-89B3-BF4022E6150F}" type="pres">
      <dgm:prSet presAssocID="{21DA3B63-3617-4995-A74C-73F55889E998}" presName="hierChild4" presStyleCnt="0"/>
      <dgm:spPr/>
    </dgm:pt>
    <dgm:pt modelId="{EF0C9E38-8297-4058-813F-143A86038059}" type="pres">
      <dgm:prSet presAssocID="{21DA3B63-3617-4995-A74C-73F55889E998}" presName="hierChild5" presStyleCnt="0"/>
      <dgm:spPr/>
    </dgm:pt>
    <dgm:pt modelId="{52EB44A8-D86C-4A60-AA66-2446B7A2D5DB}" type="pres">
      <dgm:prSet presAssocID="{A897771D-E6B0-48A3-B27A-81D9F9AE3A3B}" presName="Name37" presStyleLbl="parChTrans1D4" presStyleIdx="218" presStyleCnt="243"/>
      <dgm:spPr/>
    </dgm:pt>
    <dgm:pt modelId="{0BFC5EE9-E584-454A-9AFC-15FB3FC99898}" type="pres">
      <dgm:prSet presAssocID="{1732A81C-095C-4447-B82A-737B748C4F75}" presName="hierRoot2" presStyleCnt="0">
        <dgm:presLayoutVars>
          <dgm:hierBranch val="init"/>
        </dgm:presLayoutVars>
      </dgm:prSet>
      <dgm:spPr/>
    </dgm:pt>
    <dgm:pt modelId="{E4B9E3DB-0AEF-4FA7-9B2B-E571CFFC65EE}" type="pres">
      <dgm:prSet presAssocID="{1732A81C-095C-4447-B82A-737B748C4F75}" presName="rootComposite" presStyleCnt="0"/>
      <dgm:spPr/>
    </dgm:pt>
    <dgm:pt modelId="{0D534F07-FEE3-4227-BF1E-E249EFB747D6}" type="pres">
      <dgm:prSet presAssocID="{1732A81C-095C-4447-B82A-737B748C4F75}" presName="rootText" presStyleLbl="node4" presStyleIdx="218" presStyleCnt="243">
        <dgm:presLayoutVars>
          <dgm:chPref val="3"/>
        </dgm:presLayoutVars>
      </dgm:prSet>
      <dgm:spPr/>
    </dgm:pt>
    <dgm:pt modelId="{DB7FF44A-818D-4CA8-8CEE-4EDDFE8CA8BE}" type="pres">
      <dgm:prSet presAssocID="{1732A81C-095C-4447-B82A-737B748C4F75}" presName="rootConnector" presStyleLbl="node4" presStyleIdx="218" presStyleCnt="243"/>
      <dgm:spPr/>
    </dgm:pt>
    <dgm:pt modelId="{E943378E-45BA-4CC8-9944-A74A47C4E343}" type="pres">
      <dgm:prSet presAssocID="{1732A81C-095C-4447-B82A-737B748C4F75}" presName="hierChild4" presStyleCnt="0"/>
      <dgm:spPr/>
    </dgm:pt>
    <dgm:pt modelId="{B405D745-AD80-497E-B134-398E9E274C86}" type="pres">
      <dgm:prSet presAssocID="{1732A81C-095C-4447-B82A-737B748C4F75}" presName="hierChild5" presStyleCnt="0"/>
      <dgm:spPr/>
    </dgm:pt>
    <dgm:pt modelId="{F4B862F0-B80F-404F-B353-D3BCB147A576}" type="pres">
      <dgm:prSet presAssocID="{53A6C4B4-CF08-4693-8722-23AD0DF8467A}" presName="hierChild5" presStyleCnt="0"/>
      <dgm:spPr/>
    </dgm:pt>
    <dgm:pt modelId="{ABF74217-F3A5-40F6-BB9E-BA8793FFE659}" type="pres">
      <dgm:prSet presAssocID="{668FD8E8-F813-44B7-ADB4-AF4C5A9F35DF}" presName="hierChild5" presStyleCnt="0"/>
      <dgm:spPr/>
    </dgm:pt>
    <dgm:pt modelId="{82614CBE-DD86-4E59-9682-DA91C48018A5}" type="pres">
      <dgm:prSet presAssocID="{7F6B50DA-6284-485F-85DE-99ABCE6CFEC4}" presName="Name37" presStyleLbl="parChTrans1D2" presStyleIdx="2" presStyleCnt="3"/>
      <dgm:spPr/>
    </dgm:pt>
    <dgm:pt modelId="{2F3370B9-B731-4113-B70B-19669E842EE4}" type="pres">
      <dgm:prSet presAssocID="{734C8B5F-9381-487F-9E6B-C9F554DA0E0F}" presName="hierRoot2" presStyleCnt="0">
        <dgm:presLayoutVars>
          <dgm:hierBranch val="init"/>
        </dgm:presLayoutVars>
      </dgm:prSet>
      <dgm:spPr/>
    </dgm:pt>
    <dgm:pt modelId="{AA2B386A-27B0-4AE0-A146-FE7AF8707F8A}" type="pres">
      <dgm:prSet presAssocID="{734C8B5F-9381-487F-9E6B-C9F554DA0E0F}" presName="rootComposite" presStyleCnt="0"/>
      <dgm:spPr/>
    </dgm:pt>
    <dgm:pt modelId="{57325640-87E6-4071-99A7-541A386B5987}" type="pres">
      <dgm:prSet presAssocID="{734C8B5F-9381-487F-9E6B-C9F554DA0E0F}" presName="rootText" presStyleLbl="node2" presStyleIdx="2" presStyleCnt="3">
        <dgm:presLayoutVars>
          <dgm:chPref val="3"/>
        </dgm:presLayoutVars>
      </dgm:prSet>
      <dgm:spPr/>
    </dgm:pt>
    <dgm:pt modelId="{0CA90DB8-D449-4E1D-B690-E0CBB31849B5}" type="pres">
      <dgm:prSet presAssocID="{734C8B5F-9381-487F-9E6B-C9F554DA0E0F}" presName="rootConnector" presStyleLbl="node2" presStyleIdx="2" presStyleCnt="3"/>
      <dgm:spPr/>
    </dgm:pt>
    <dgm:pt modelId="{FC4E63DC-A28D-4AD9-8994-2BC42FD9C9BC}" type="pres">
      <dgm:prSet presAssocID="{734C8B5F-9381-487F-9E6B-C9F554DA0E0F}" presName="hierChild4" presStyleCnt="0"/>
      <dgm:spPr/>
    </dgm:pt>
    <dgm:pt modelId="{C9EC269F-A518-4DB2-A3B6-57B2836FC95A}" type="pres">
      <dgm:prSet presAssocID="{29566C64-8FE0-4051-B99C-65E2217C8FC3}" presName="Name37" presStyleLbl="parChTrans1D3" presStyleIdx="13" presStyleCnt="19"/>
      <dgm:spPr/>
    </dgm:pt>
    <dgm:pt modelId="{66AC499C-5976-4EE7-B275-472747C9219D}" type="pres">
      <dgm:prSet presAssocID="{F052FEB2-876D-4DF4-AB4E-C704B0274BB4}" presName="hierRoot2" presStyleCnt="0">
        <dgm:presLayoutVars>
          <dgm:hierBranch val="init"/>
        </dgm:presLayoutVars>
      </dgm:prSet>
      <dgm:spPr/>
    </dgm:pt>
    <dgm:pt modelId="{BCC01F20-3430-46ED-A5F8-46CAA9848D42}" type="pres">
      <dgm:prSet presAssocID="{F052FEB2-876D-4DF4-AB4E-C704B0274BB4}" presName="rootComposite" presStyleCnt="0"/>
      <dgm:spPr/>
    </dgm:pt>
    <dgm:pt modelId="{965B537E-914E-493B-8220-0540899B7D90}" type="pres">
      <dgm:prSet presAssocID="{F052FEB2-876D-4DF4-AB4E-C704B0274BB4}" presName="rootText" presStyleLbl="node3" presStyleIdx="13" presStyleCnt="19">
        <dgm:presLayoutVars>
          <dgm:chPref val="3"/>
        </dgm:presLayoutVars>
      </dgm:prSet>
      <dgm:spPr/>
    </dgm:pt>
    <dgm:pt modelId="{344FDD19-7A32-46A8-8A94-79A754AFA896}" type="pres">
      <dgm:prSet presAssocID="{F052FEB2-876D-4DF4-AB4E-C704B0274BB4}" presName="rootConnector" presStyleLbl="node3" presStyleIdx="13" presStyleCnt="19"/>
      <dgm:spPr/>
    </dgm:pt>
    <dgm:pt modelId="{A0AD738A-3248-4F8C-9648-7106683536AA}" type="pres">
      <dgm:prSet presAssocID="{F052FEB2-876D-4DF4-AB4E-C704B0274BB4}" presName="hierChild4" presStyleCnt="0"/>
      <dgm:spPr/>
    </dgm:pt>
    <dgm:pt modelId="{89331313-CB57-4BAD-A372-DD7BC03AA098}" type="pres">
      <dgm:prSet presAssocID="{5FFD8D41-00CA-443E-A135-CD7A2C7FEE82}" presName="Name37" presStyleLbl="parChTrans1D4" presStyleIdx="219" presStyleCnt="243"/>
      <dgm:spPr/>
    </dgm:pt>
    <dgm:pt modelId="{A7AE3937-34A9-4620-BEDB-946AEB04037A}" type="pres">
      <dgm:prSet presAssocID="{7C8D31CE-B5AC-4B72-ABD2-D094763D1FED}" presName="hierRoot2" presStyleCnt="0">
        <dgm:presLayoutVars>
          <dgm:hierBranch val="init"/>
        </dgm:presLayoutVars>
      </dgm:prSet>
      <dgm:spPr/>
    </dgm:pt>
    <dgm:pt modelId="{8283A612-829C-49AD-8D60-61DE7E9B743D}" type="pres">
      <dgm:prSet presAssocID="{7C8D31CE-B5AC-4B72-ABD2-D094763D1FED}" presName="rootComposite" presStyleCnt="0"/>
      <dgm:spPr/>
    </dgm:pt>
    <dgm:pt modelId="{78371917-E69F-4D19-8A67-FFFBD44FE0FE}" type="pres">
      <dgm:prSet presAssocID="{7C8D31CE-B5AC-4B72-ABD2-D094763D1FED}" presName="rootText" presStyleLbl="node4" presStyleIdx="219" presStyleCnt="243">
        <dgm:presLayoutVars>
          <dgm:chPref val="3"/>
        </dgm:presLayoutVars>
      </dgm:prSet>
      <dgm:spPr/>
    </dgm:pt>
    <dgm:pt modelId="{3B2B443B-45E6-4249-8793-6A0674C012FF}" type="pres">
      <dgm:prSet presAssocID="{7C8D31CE-B5AC-4B72-ABD2-D094763D1FED}" presName="rootConnector" presStyleLbl="node4" presStyleIdx="219" presStyleCnt="243"/>
      <dgm:spPr/>
    </dgm:pt>
    <dgm:pt modelId="{CC68377A-0917-445F-9D25-D07E77935AFD}" type="pres">
      <dgm:prSet presAssocID="{7C8D31CE-B5AC-4B72-ABD2-D094763D1FED}" presName="hierChild4" presStyleCnt="0"/>
      <dgm:spPr/>
    </dgm:pt>
    <dgm:pt modelId="{56606B10-8F9B-4363-8FAC-C97FB726C31C}" type="pres">
      <dgm:prSet presAssocID="{7C8D31CE-B5AC-4B72-ABD2-D094763D1FED}" presName="hierChild5" presStyleCnt="0"/>
      <dgm:spPr/>
    </dgm:pt>
    <dgm:pt modelId="{25FC1520-B4A4-4A07-8F1B-5355869B328D}" type="pres">
      <dgm:prSet presAssocID="{A7C45C67-718E-424C-8067-3A8203AE7A2B}" presName="Name37" presStyleLbl="parChTrans1D4" presStyleIdx="220" presStyleCnt="243"/>
      <dgm:spPr/>
    </dgm:pt>
    <dgm:pt modelId="{DE157305-9B67-4003-9BFD-87F6EAB9A423}" type="pres">
      <dgm:prSet presAssocID="{6F2DABE7-9A70-4D84-9106-F429484E2300}" presName="hierRoot2" presStyleCnt="0">
        <dgm:presLayoutVars>
          <dgm:hierBranch val="init"/>
        </dgm:presLayoutVars>
      </dgm:prSet>
      <dgm:spPr/>
    </dgm:pt>
    <dgm:pt modelId="{253F33EC-0D89-4C73-95E4-5426275B19EF}" type="pres">
      <dgm:prSet presAssocID="{6F2DABE7-9A70-4D84-9106-F429484E2300}" presName="rootComposite" presStyleCnt="0"/>
      <dgm:spPr/>
    </dgm:pt>
    <dgm:pt modelId="{EB3DBC66-913F-42A4-AB15-A84C3767F987}" type="pres">
      <dgm:prSet presAssocID="{6F2DABE7-9A70-4D84-9106-F429484E2300}" presName="rootText" presStyleLbl="node4" presStyleIdx="220" presStyleCnt="243">
        <dgm:presLayoutVars>
          <dgm:chPref val="3"/>
        </dgm:presLayoutVars>
      </dgm:prSet>
      <dgm:spPr/>
    </dgm:pt>
    <dgm:pt modelId="{D7FBEE77-1620-4D1F-90A8-F8DD89D1A301}" type="pres">
      <dgm:prSet presAssocID="{6F2DABE7-9A70-4D84-9106-F429484E2300}" presName="rootConnector" presStyleLbl="node4" presStyleIdx="220" presStyleCnt="243"/>
      <dgm:spPr/>
    </dgm:pt>
    <dgm:pt modelId="{F6E7AA8E-76DB-42A0-A45B-124A0D61EDFF}" type="pres">
      <dgm:prSet presAssocID="{6F2DABE7-9A70-4D84-9106-F429484E2300}" presName="hierChild4" presStyleCnt="0"/>
      <dgm:spPr/>
    </dgm:pt>
    <dgm:pt modelId="{D5E863A2-D18A-4CDE-AE4D-5626817910BB}" type="pres">
      <dgm:prSet presAssocID="{6F2DABE7-9A70-4D84-9106-F429484E2300}" presName="hierChild5" presStyleCnt="0"/>
      <dgm:spPr/>
    </dgm:pt>
    <dgm:pt modelId="{F94128A8-C7F6-417C-B6AC-931A31D42698}" type="pres">
      <dgm:prSet presAssocID="{F052FEB2-876D-4DF4-AB4E-C704B0274BB4}" presName="hierChild5" presStyleCnt="0"/>
      <dgm:spPr/>
    </dgm:pt>
    <dgm:pt modelId="{4432E768-364B-4D59-9176-C145B266D4ED}" type="pres">
      <dgm:prSet presAssocID="{3844977A-B4C0-42EF-B4BD-68BBDFD4BC2F}" presName="Name37" presStyleLbl="parChTrans1D3" presStyleIdx="14" presStyleCnt="19"/>
      <dgm:spPr/>
    </dgm:pt>
    <dgm:pt modelId="{A588507A-A22C-4B5C-83BD-89ED7BD47AAB}" type="pres">
      <dgm:prSet presAssocID="{F1E11E84-55E5-4A33-9124-2EED04F86C74}" presName="hierRoot2" presStyleCnt="0">
        <dgm:presLayoutVars>
          <dgm:hierBranch val="init"/>
        </dgm:presLayoutVars>
      </dgm:prSet>
      <dgm:spPr/>
    </dgm:pt>
    <dgm:pt modelId="{AF5F4C5C-869F-4E57-A9D7-875AB237F1B5}" type="pres">
      <dgm:prSet presAssocID="{F1E11E84-55E5-4A33-9124-2EED04F86C74}" presName="rootComposite" presStyleCnt="0"/>
      <dgm:spPr/>
    </dgm:pt>
    <dgm:pt modelId="{DED4CC31-2F44-426E-8BD5-803C2C317C36}" type="pres">
      <dgm:prSet presAssocID="{F1E11E84-55E5-4A33-9124-2EED04F86C74}" presName="rootText" presStyleLbl="node3" presStyleIdx="14" presStyleCnt="19">
        <dgm:presLayoutVars>
          <dgm:chPref val="3"/>
        </dgm:presLayoutVars>
      </dgm:prSet>
      <dgm:spPr/>
    </dgm:pt>
    <dgm:pt modelId="{906ACB08-DFA5-46FA-B8AB-99418C69A785}" type="pres">
      <dgm:prSet presAssocID="{F1E11E84-55E5-4A33-9124-2EED04F86C74}" presName="rootConnector" presStyleLbl="node3" presStyleIdx="14" presStyleCnt="19"/>
      <dgm:spPr/>
    </dgm:pt>
    <dgm:pt modelId="{FF974647-CFA9-4D26-ABE9-009AC394DB49}" type="pres">
      <dgm:prSet presAssocID="{F1E11E84-55E5-4A33-9124-2EED04F86C74}" presName="hierChild4" presStyleCnt="0"/>
      <dgm:spPr/>
    </dgm:pt>
    <dgm:pt modelId="{B2C13966-589B-4BC9-BE9F-9DEE509E836E}" type="pres">
      <dgm:prSet presAssocID="{6E8190F6-1767-4B84-B6B0-F6FE02607253}" presName="Name37" presStyleLbl="parChTrans1D4" presStyleIdx="221" presStyleCnt="243"/>
      <dgm:spPr/>
    </dgm:pt>
    <dgm:pt modelId="{8406C6A4-9E1D-46F5-A096-EF89076C2629}" type="pres">
      <dgm:prSet presAssocID="{3F708C78-4B6B-4D04-ABED-7FF92A664A63}" presName="hierRoot2" presStyleCnt="0">
        <dgm:presLayoutVars>
          <dgm:hierBranch val="init"/>
        </dgm:presLayoutVars>
      </dgm:prSet>
      <dgm:spPr/>
    </dgm:pt>
    <dgm:pt modelId="{AA2CE4A2-CC44-4D52-BE43-23ADF3FF8F97}" type="pres">
      <dgm:prSet presAssocID="{3F708C78-4B6B-4D04-ABED-7FF92A664A63}" presName="rootComposite" presStyleCnt="0"/>
      <dgm:spPr/>
    </dgm:pt>
    <dgm:pt modelId="{CA27CE8D-7B51-47E8-9E66-DAE8C324D38F}" type="pres">
      <dgm:prSet presAssocID="{3F708C78-4B6B-4D04-ABED-7FF92A664A63}" presName="rootText" presStyleLbl="node4" presStyleIdx="221" presStyleCnt="243">
        <dgm:presLayoutVars>
          <dgm:chPref val="3"/>
        </dgm:presLayoutVars>
      </dgm:prSet>
      <dgm:spPr/>
    </dgm:pt>
    <dgm:pt modelId="{BC856E0F-F8EB-430F-BDB0-45FE065C0689}" type="pres">
      <dgm:prSet presAssocID="{3F708C78-4B6B-4D04-ABED-7FF92A664A63}" presName="rootConnector" presStyleLbl="node4" presStyleIdx="221" presStyleCnt="243"/>
      <dgm:spPr/>
    </dgm:pt>
    <dgm:pt modelId="{01DB9156-FD82-40C9-A1B1-A69E857445A9}" type="pres">
      <dgm:prSet presAssocID="{3F708C78-4B6B-4D04-ABED-7FF92A664A63}" presName="hierChild4" presStyleCnt="0"/>
      <dgm:spPr/>
    </dgm:pt>
    <dgm:pt modelId="{D0AD0187-B1A6-4EF5-B5F7-2F8178A6F635}" type="pres">
      <dgm:prSet presAssocID="{3F708C78-4B6B-4D04-ABED-7FF92A664A63}" presName="hierChild5" presStyleCnt="0"/>
      <dgm:spPr/>
    </dgm:pt>
    <dgm:pt modelId="{0ED56647-0FCA-4F3C-BE6C-CE7F5C51FC7E}" type="pres">
      <dgm:prSet presAssocID="{1F7B3F46-3DF0-45D9-B612-C01421161B3A}" presName="Name37" presStyleLbl="parChTrans1D4" presStyleIdx="222" presStyleCnt="243"/>
      <dgm:spPr/>
    </dgm:pt>
    <dgm:pt modelId="{A5E5A599-1D1B-44BA-935A-B8BCC5E9880A}" type="pres">
      <dgm:prSet presAssocID="{02AD0736-B907-44DA-B6A6-000A82885EE4}" presName="hierRoot2" presStyleCnt="0">
        <dgm:presLayoutVars>
          <dgm:hierBranch val="init"/>
        </dgm:presLayoutVars>
      </dgm:prSet>
      <dgm:spPr/>
    </dgm:pt>
    <dgm:pt modelId="{93E4B2EA-310F-4BAC-AD93-1321A4706048}" type="pres">
      <dgm:prSet presAssocID="{02AD0736-B907-44DA-B6A6-000A82885EE4}" presName="rootComposite" presStyleCnt="0"/>
      <dgm:spPr/>
    </dgm:pt>
    <dgm:pt modelId="{2B470A79-D21B-4FCE-A2CC-8737F006BF43}" type="pres">
      <dgm:prSet presAssocID="{02AD0736-B907-44DA-B6A6-000A82885EE4}" presName="rootText" presStyleLbl="node4" presStyleIdx="222" presStyleCnt="243">
        <dgm:presLayoutVars>
          <dgm:chPref val="3"/>
        </dgm:presLayoutVars>
      </dgm:prSet>
      <dgm:spPr/>
    </dgm:pt>
    <dgm:pt modelId="{28C03274-7493-4A6B-B569-560EE4A187A5}" type="pres">
      <dgm:prSet presAssocID="{02AD0736-B907-44DA-B6A6-000A82885EE4}" presName="rootConnector" presStyleLbl="node4" presStyleIdx="222" presStyleCnt="243"/>
      <dgm:spPr/>
    </dgm:pt>
    <dgm:pt modelId="{C1B73C5D-27BB-4A8D-A243-3D194BEBD7B5}" type="pres">
      <dgm:prSet presAssocID="{02AD0736-B907-44DA-B6A6-000A82885EE4}" presName="hierChild4" presStyleCnt="0"/>
      <dgm:spPr/>
    </dgm:pt>
    <dgm:pt modelId="{3FFCADF2-553D-4E22-9CA3-6F2E1EF5CF4D}" type="pres">
      <dgm:prSet presAssocID="{02AD0736-B907-44DA-B6A6-000A82885EE4}" presName="hierChild5" presStyleCnt="0"/>
      <dgm:spPr/>
    </dgm:pt>
    <dgm:pt modelId="{AEBC0D12-6B65-4BF2-9834-AB748AAAB8E1}" type="pres">
      <dgm:prSet presAssocID="{19861599-005C-4BE2-A6D8-421B9BB82FC4}" presName="Name37" presStyleLbl="parChTrans1D4" presStyleIdx="223" presStyleCnt="243"/>
      <dgm:spPr/>
    </dgm:pt>
    <dgm:pt modelId="{37C83E69-E53C-4049-925F-A2BF2F5A2BA1}" type="pres">
      <dgm:prSet presAssocID="{B1FF8223-4C4D-44C7-8D05-0DE5DD4452AD}" presName="hierRoot2" presStyleCnt="0">
        <dgm:presLayoutVars>
          <dgm:hierBranch val="init"/>
        </dgm:presLayoutVars>
      </dgm:prSet>
      <dgm:spPr/>
    </dgm:pt>
    <dgm:pt modelId="{3C6B12D4-AE1E-4F5D-8023-44F530C5FE8E}" type="pres">
      <dgm:prSet presAssocID="{B1FF8223-4C4D-44C7-8D05-0DE5DD4452AD}" presName="rootComposite" presStyleCnt="0"/>
      <dgm:spPr/>
    </dgm:pt>
    <dgm:pt modelId="{2655CD1F-8719-4186-A59A-7B74ECC56D1E}" type="pres">
      <dgm:prSet presAssocID="{B1FF8223-4C4D-44C7-8D05-0DE5DD4452AD}" presName="rootText" presStyleLbl="node4" presStyleIdx="223" presStyleCnt="243" custScaleY="113079">
        <dgm:presLayoutVars>
          <dgm:chPref val="3"/>
        </dgm:presLayoutVars>
      </dgm:prSet>
      <dgm:spPr/>
    </dgm:pt>
    <dgm:pt modelId="{F82BC320-7FC3-404D-9D82-011B0464CBD9}" type="pres">
      <dgm:prSet presAssocID="{B1FF8223-4C4D-44C7-8D05-0DE5DD4452AD}" presName="rootConnector" presStyleLbl="node4" presStyleIdx="223" presStyleCnt="243"/>
      <dgm:spPr/>
    </dgm:pt>
    <dgm:pt modelId="{86C909B4-72C7-4D77-B102-E7BD9F7C1489}" type="pres">
      <dgm:prSet presAssocID="{B1FF8223-4C4D-44C7-8D05-0DE5DD4452AD}" presName="hierChild4" presStyleCnt="0"/>
      <dgm:spPr/>
    </dgm:pt>
    <dgm:pt modelId="{4006AB2E-4E94-4617-AF7E-B7EC96E386EC}" type="pres">
      <dgm:prSet presAssocID="{B1FF8223-4C4D-44C7-8D05-0DE5DD4452AD}" presName="hierChild5" presStyleCnt="0"/>
      <dgm:spPr/>
    </dgm:pt>
    <dgm:pt modelId="{03736798-3369-4C19-B56C-25F169F3DD86}" type="pres">
      <dgm:prSet presAssocID="{F1E11E84-55E5-4A33-9124-2EED04F86C74}" presName="hierChild5" presStyleCnt="0"/>
      <dgm:spPr/>
    </dgm:pt>
    <dgm:pt modelId="{F19AE65A-CAB1-4D19-AE62-B3D7E92797E1}" type="pres">
      <dgm:prSet presAssocID="{3D003A27-E7ED-4268-9B7F-3C0C5998E185}" presName="Name37" presStyleLbl="parChTrans1D3" presStyleIdx="15" presStyleCnt="19"/>
      <dgm:spPr/>
    </dgm:pt>
    <dgm:pt modelId="{20C21F6D-4363-43DA-BA21-CD1A22FE4047}" type="pres">
      <dgm:prSet presAssocID="{4173C88A-ECDC-4040-B53F-BD5D7AAFFF62}" presName="hierRoot2" presStyleCnt="0">
        <dgm:presLayoutVars>
          <dgm:hierBranch val="init"/>
        </dgm:presLayoutVars>
      </dgm:prSet>
      <dgm:spPr/>
    </dgm:pt>
    <dgm:pt modelId="{EF2D81E2-4061-44A8-A1B4-04EF8EB9014E}" type="pres">
      <dgm:prSet presAssocID="{4173C88A-ECDC-4040-B53F-BD5D7AAFFF62}" presName="rootComposite" presStyleCnt="0"/>
      <dgm:spPr/>
    </dgm:pt>
    <dgm:pt modelId="{E27822A6-A491-4A6A-915C-758FEA99915D}" type="pres">
      <dgm:prSet presAssocID="{4173C88A-ECDC-4040-B53F-BD5D7AAFFF62}" presName="rootText" presStyleLbl="node3" presStyleIdx="15" presStyleCnt="19">
        <dgm:presLayoutVars>
          <dgm:chPref val="3"/>
        </dgm:presLayoutVars>
      </dgm:prSet>
      <dgm:spPr/>
    </dgm:pt>
    <dgm:pt modelId="{F327F8DC-5A3D-4A59-8E75-F16153047ADE}" type="pres">
      <dgm:prSet presAssocID="{4173C88A-ECDC-4040-B53F-BD5D7AAFFF62}" presName="rootConnector" presStyleLbl="node3" presStyleIdx="15" presStyleCnt="19"/>
      <dgm:spPr/>
    </dgm:pt>
    <dgm:pt modelId="{465A707B-A078-46FC-9491-41CE7AF06D6A}" type="pres">
      <dgm:prSet presAssocID="{4173C88A-ECDC-4040-B53F-BD5D7AAFFF62}" presName="hierChild4" presStyleCnt="0"/>
      <dgm:spPr/>
    </dgm:pt>
    <dgm:pt modelId="{31E6BBB7-A625-4ADE-8223-1A2E3AE27A2C}" type="pres">
      <dgm:prSet presAssocID="{F150F665-274A-4F03-BA2B-5FA387C61C74}" presName="Name37" presStyleLbl="parChTrans1D4" presStyleIdx="224" presStyleCnt="243"/>
      <dgm:spPr/>
    </dgm:pt>
    <dgm:pt modelId="{67CE1D96-3B78-4BCD-8284-15052408E243}" type="pres">
      <dgm:prSet presAssocID="{05601CD5-C6D9-4CD2-BCB2-12516C9D44F7}" presName="hierRoot2" presStyleCnt="0">
        <dgm:presLayoutVars>
          <dgm:hierBranch val="init"/>
        </dgm:presLayoutVars>
      </dgm:prSet>
      <dgm:spPr/>
    </dgm:pt>
    <dgm:pt modelId="{8E72219D-7797-47A8-B663-7B2E836CD254}" type="pres">
      <dgm:prSet presAssocID="{05601CD5-C6D9-4CD2-BCB2-12516C9D44F7}" presName="rootComposite" presStyleCnt="0"/>
      <dgm:spPr/>
    </dgm:pt>
    <dgm:pt modelId="{3CE90B64-99FD-4229-A588-ED3912A34282}" type="pres">
      <dgm:prSet presAssocID="{05601CD5-C6D9-4CD2-BCB2-12516C9D44F7}" presName="rootText" presStyleLbl="node4" presStyleIdx="224" presStyleCnt="243">
        <dgm:presLayoutVars>
          <dgm:chPref val="3"/>
        </dgm:presLayoutVars>
      </dgm:prSet>
      <dgm:spPr/>
    </dgm:pt>
    <dgm:pt modelId="{B325B9CB-F9ED-42D7-A3C7-62C0732CED04}" type="pres">
      <dgm:prSet presAssocID="{05601CD5-C6D9-4CD2-BCB2-12516C9D44F7}" presName="rootConnector" presStyleLbl="node4" presStyleIdx="224" presStyleCnt="243"/>
      <dgm:spPr/>
    </dgm:pt>
    <dgm:pt modelId="{DE7BD95E-4695-4016-9304-9D5814BC3FEE}" type="pres">
      <dgm:prSet presAssocID="{05601CD5-C6D9-4CD2-BCB2-12516C9D44F7}" presName="hierChild4" presStyleCnt="0"/>
      <dgm:spPr/>
    </dgm:pt>
    <dgm:pt modelId="{50684526-5A51-4A06-B1CE-7D8E02132B24}" type="pres">
      <dgm:prSet presAssocID="{05601CD5-C6D9-4CD2-BCB2-12516C9D44F7}" presName="hierChild5" presStyleCnt="0"/>
      <dgm:spPr/>
    </dgm:pt>
    <dgm:pt modelId="{3B9DFC1B-2768-43BA-A1BB-CDBB86B36548}" type="pres">
      <dgm:prSet presAssocID="{6DA5D88D-1E4A-428A-ACBA-9A2D0BEB046E}" presName="Name37" presStyleLbl="parChTrans1D4" presStyleIdx="225" presStyleCnt="243"/>
      <dgm:spPr/>
    </dgm:pt>
    <dgm:pt modelId="{ADF62D58-7912-4A93-8B5A-F3C197D347FA}" type="pres">
      <dgm:prSet presAssocID="{4C2606F4-851D-4AC6-8912-08CBFFB97BB2}" presName="hierRoot2" presStyleCnt="0">
        <dgm:presLayoutVars>
          <dgm:hierBranch val="init"/>
        </dgm:presLayoutVars>
      </dgm:prSet>
      <dgm:spPr/>
    </dgm:pt>
    <dgm:pt modelId="{4A1A1536-0586-46C2-AB9B-AE597EFC59E3}" type="pres">
      <dgm:prSet presAssocID="{4C2606F4-851D-4AC6-8912-08CBFFB97BB2}" presName="rootComposite" presStyleCnt="0"/>
      <dgm:spPr/>
    </dgm:pt>
    <dgm:pt modelId="{74744B42-BA0F-49DA-A595-C4BA7E965D56}" type="pres">
      <dgm:prSet presAssocID="{4C2606F4-851D-4AC6-8912-08CBFFB97BB2}" presName="rootText" presStyleLbl="node4" presStyleIdx="225" presStyleCnt="243" custScaleY="116098">
        <dgm:presLayoutVars>
          <dgm:chPref val="3"/>
        </dgm:presLayoutVars>
      </dgm:prSet>
      <dgm:spPr/>
    </dgm:pt>
    <dgm:pt modelId="{6C533372-C1F0-4A96-8874-95D7C3006644}" type="pres">
      <dgm:prSet presAssocID="{4C2606F4-851D-4AC6-8912-08CBFFB97BB2}" presName="rootConnector" presStyleLbl="node4" presStyleIdx="225" presStyleCnt="243"/>
      <dgm:spPr/>
    </dgm:pt>
    <dgm:pt modelId="{98047546-BDEE-4507-948A-9C7CD62E9D7B}" type="pres">
      <dgm:prSet presAssocID="{4C2606F4-851D-4AC6-8912-08CBFFB97BB2}" presName="hierChild4" presStyleCnt="0"/>
      <dgm:spPr/>
    </dgm:pt>
    <dgm:pt modelId="{6032DDED-E0BD-4582-80D2-25CDA291E80F}" type="pres">
      <dgm:prSet presAssocID="{4C2606F4-851D-4AC6-8912-08CBFFB97BB2}" presName="hierChild5" presStyleCnt="0"/>
      <dgm:spPr/>
    </dgm:pt>
    <dgm:pt modelId="{069D6676-90BD-4CA8-9CA0-4760245E9968}" type="pres">
      <dgm:prSet presAssocID="{4173C88A-ECDC-4040-B53F-BD5D7AAFFF62}" presName="hierChild5" presStyleCnt="0"/>
      <dgm:spPr/>
    </dgm:pt>
    <dgm:pt modelId="{463E29DE-03EF-42EF-A5D2-B1E07132D616}" type="pres">
      <dgm:prSet presAssocID="{C1D0219A-8019-4598-AB73-BCC57F4403BF}" presName="Name37" presStyleLbl="parChTrans1D3" presStyleIdx="16" presStyleCnt="19"/>
      <dgm:spPr/>
    </dgm:pt>
    <dgm:pt modelId="{1B8A2CC3-3846-4703-8E9A-3AFAA72C1138}" type="pres">
      <dgm:prSet presAssocID="{04D519F8-B01A-4986-A285-EE31BD737934}" presName="hierRoot2" presStyleCnt="0">
        <dgm:presLayoutVars>
          <dgm:hierBranch val="init"/>
        </dgm:presLayoutVars>
      </dgm:prSet>
      <dgm:spPr/>
    </dgm:pt>
    <dgm:pt modelId="{5852F94F-B1D5-4F07-B182-84FDE1961633}" type="pres">
      <dgm:prSet presAssocID="{04D519F8-B01A-4986-A285-EE31BD737934}" presName="rootComposite" presStyleCnt="0"/>
      <dgm:spPr/>
    </dgm:pt>
    <dgm:pt modelId="{E5F3CF3C-E9B5-4980-A4B8-D0AA1925D7E8}" type="pres">
      <dgm:prSet presAssocID="{04D519F8-B01A-4986-A285-EE31BD737934}" presName="rootText" presStyleLbl="node3" presStyleIdx="16" presStyleCnt="19">
        <dgm:presLayoutVars>
          <dgm:chPref val="3"/>
        </dgm:presLayoutVars>
      </dgm:prSet>
      <dgm:spPr/>
    </dgm:pt>
    <dgm:pt modelId="{206FF22A-5965-4595-A78A-E965AFAC9F88}" type="pres">
      <dgm:prSet presAssocID="{04D519F8-B01A-4986-A285-EE31BD737934}" presName="rootConnector" presStyleLbl="node3" presStyleIdx="16" presStyleCnt="19"/>
      <dgm:spPr/>
    </dgm:pt>
    <dgm:pt modelId="{8B73DED2-9072-48DB-B84E-6F1DD0498223}" type="pres">
      <dgm:prSet presAssocID="{04D519F8-B01A-4986-A285-EE31BD737934}" presName="hierChild4" presStyleCnt="0"/>
      <dgm:spPr/>
    </dgm:pt>
    <dgm:pt modelId="{7FA8CB77-414D-483B-9C44-40A0E078455F}" type="pres">
      <dgm:prSet presAssocID="{390CAD22-01D0-41F2-B458-7E947D62E541}" presName="Name37" presStyleLbl="parChTrans1D4" presStyleIdx="226" presStyleCnt="243"/>
      <dgm:spPr/>
    </dgm:pt>
    <dgm:pt modelId="{DC699CEB-1256-46A4-A251-5FAC06F6A61D}" type="pres">
      <dgm:prSet presAssocID="{5019FE34-9829-4EB2-96B3-F222C088A958}" presName="hierRoot2" presStyleCnt="0">
        <dgm:presLayoutVars>
          <dgm:hierBranch val="init"/>
        </dgm:presLayoutVars>
      </dgm:prSet>
      <dgm:spPr/>
    </dgm:pt>
    <dgm:pt modelId="{15C6F56A-651C-48D0-A29F-4CA211CC2E42}" type="pres">
      <dgm:prSet presAssocID="{5019FE34-9829-4EB2-96B3-F222C088A958}" presName="rootComposite" presStyleCnt="0"/>
      <dgm:spPr/>
    </dgm:pt>
    <dgm:pt modelId="{0346B74D-0711-4C32-A1B6-069D2900BD65}" type="pres">
      <dgm:prSet presAssocID="{5019FE34-9829-4EB2-96B3-F222C088A958}" presName="rootText" presStyleLbl="node4" presStyleIdx="226" presStyleCnt="243">
        <dgm:presLayoutVars>
          <dgm:chPref val="3"/>
        </dgm:presLayoutVars>
      </dgm:prSet>
      <dgm:spPr/>
    </dgm:pt>
    <dgm:pt modelId="{B7D7F2A3-DE41-44B2-858A-B6A049A7E021}" type="pres">
      <dgm:prSet presAssocID="{5019FE34-9829-4EB2-96B3-F222C088A958}" presName="rootConnector" presStyleLbl="node4" presStyleIdx="226" presStyleCnt="243"/>
      <dgm:spPr/>
    </dgm:pt>
    <dgm:pt modelId="{7B5FDC70-B6B7-4F0B-B0A4-A2B40444333D}" type="pres">
      <dgm:prSet presAssocID="{5019FE34-9829-4EB2-96B3-F222C088A958}" presName="hierChild4" presStyleCnt="0"/>
      <dgm:spPr/>
    </dgm:pt>
    <dgm:pt modelId="{07232CF8-F497-4C63-96AB-0DA6F1F6CDDA}" type="pres">
      <dgm:prSet presAssocID="{5019FE34-9829-4EB2-96B3-F222C088A958}" presName="hierChild5" presStyleCnt="0"/>
      <dgm:spPr/>
    </dgm:pt>
    <dgm:pt modelId="{68A2908C-AE33-45DB-AA17-C1FD9A8F7E2E}" type="pres">
      <dgm:prSet presAssocID="{51A38032-8C2B-43E0-95D8-C1AA139C8CFA}" presName="Name37" presStyleLbl="parChTrans1D4" presStyleIdx="227" presStyleCnt="243"/>
      <dgm:spPr/>
    </dgm:pt>
    <dgm:pt modelId="{212012CA-3921-4C3C-BF0A-AC00BEEDC219}" type="pres">
      <dgm:prSet presAssocID="{0DE592A2-E6EC-49F9-B7C8-E1FC79BAA314}" presName="hierRoot2" presStyleCnt="0">
        <dgm:presLayoutVars>
          <dgm:hierBranch val="init"/>
        </dgm:presLayoutVars>
      </dgm:prSet>
      <dgm:spPr/>
    </dgm:pt>
    <dgm:pt modelId="{3CB4BCEB-4BE7-431F-A05D-CFCBA7B7F4AE}" type="pres">
      <dgm:prSet presAssocID="{0DE592A2-E6EC-49F9-B7C8-E1FC79BAA314}" presName="rootComposite" presStyleCnt="0"/>
      <dgm:spPr/>
    </dgm:pt>
    <dgm:pt modelId="{7BEF5639-3385-4E9A-9AE9-F48AE1DC5BE8}" type="pres">
      <dgm:prSet presAssocID="{0DE592A2-E6EC-49F9-B7C8-E1FC79BAA314}" presName="rootText" presStyleLbl="node4" presStyleIdx="227" presStyleCnt="243">
        <dgm:presLayoutVars>
          <dgm:chPref val="3"/>
        </dgm:presLayoutVars>
      </dgm:prSet>
      <dgm:spPr/>
    </dgm:pt>
    <dgm:pt modelId="{AF50FAD6-77D9-4BCC-BDC3-7BD9F9A9A4E2}" type="pres">
      <dgm:prSet presAssocID="{0DE592A2-E6EC-49F9-B7C8-E1FC79BAA314}" presName="rootConnector" presStyleLbl="node4" presStyleIdx="227" presStyleCnt="243"/>
      <dgm:spPr/>
    </dgm:pt>
    <dgm:pt modelId="{70C74FC3-2F71-48BE-811D-3EE94C38D80F}" type="pres">
      <dgm:prSet presAssocID="{0DE592A2-E6EC-49F9-B7C8-E1FC79BAA314}" presName="hierChild4" presStyleCnt="0"/>
      <dgm:spPr/>
    </dgm:pt>
    <dgm:pt modelId="{B17916E5-E2BA-45B4-99AB-FD69FBC33D2D}" type="pres">
      <dgm:prSet presAssocID="{0DE592A2-E6EC-49F9-B7C8-E1FC79BAA314}" presName="hierChild5" presStyleCnt="0"/>
      <dgm:spPr/>
    </dgm:pt>
    <dgm:pt modelId="{64B3D144-8886-490D-B804-A241F0A4CDE2}" type="pres">
      <dgm:prSet presAssocID="{3793BC54-E8D0-4259-9651-48BFBB2FE130}" presName="Name37" presStyleLbl="parChTrans1D4" presStyleIdx="228" presStyleCnt="243"/>
      <dgm:spPr/>
    </dgm:pt>
    <dgm:pt modelId="{8A702546-F8A0-4DB3-8F2F-8CBC3E916BA3}" type="pres">
      <dgm:prSet presAssocID="{827C8138-2817-43FC-98EE-B56EB68BDB67}" presName="hierRoot2" presStyleCnt="0">
        <dgm:presLayoutVars>
          <dgm:hierBranch val="init"/>
        </dgm:presLayoutVars>
      </dgm:prSet>
      <dgm:spPr/>
    </dgm:pt>
    <dgm:pt modelId="{78228A24-1A0A-46C9-9A64-A6EDC0C82A15}" type="pres">
      <dgm:prSet presAssocID="{827C8138-2817-43FC-98EE-B56EB68BDB67}" presName="rootComposite" presStyleCnt="0"/>
      <dgm:spPr/>
    </dgm:pt>
    <dgm:pt modelId="{F58F3CF3-5C27-48B8-8DF8-BE09B7454D27}" type="pres">
      <dgm:prSet presAssocID="{827C8138-2817-43FC-98EE-B56EB68BDB67}" presName="rootText" presStyleLbl="node4" presStyleIdx="228" presStyleCnt="243">
        <dgm:presLayoutVars>
          <dgm:chPref val="3"/>
        </dgm:presLayoutVars>
      </dgm:prSet>
      <dgm:spPr/>
    </dgm:pt>
    <dgm:pt modelId="{C14DC394-FE74-4FE1-96FF-0029B0AD8B3D}" type="pres">
      <dgm:prSet presAssocID="{827C8138-2817-43FC-98EE-B56EB68BDB67}" presName="rootConnector" presStyleLbl="node4" presStyleIdx="228" presStyleCnt="243"/>
      <dgm:spPr/>
    </dgm:pt>
    <dgm:pt modelId="{2964D741-C994-42FE-B1CA-70C552BBF391}" type="pres">
      <dgm:prSet presAssocID="{827C8138-2817-43FC-98EE-B56EB68BDB67}" presName="hierChild4" presStyleCnt="0"/>
      <dgm:spPr/>
    </dgm:pt>
    <dgm:pt modelId="{13E60EEA-5654-4388-9F55-C37AAEDCF391}" type="pres">
      <dgm:prSet presAssocID="{827C8138-2817-43FC-98EE-B56EB68BDB67}" presName="hierChild5" presStyleCnt="0"/>
      <dgm:spPr/>
    </dgm:pt>
    <dgm:pt modelId="{3BE78C63-D7B3-490D-A69C-4495A39BD316}" type="pres">
      <dgm:prSet presAssocID="{511A8C96-C326-471D-8475-0C92809D4B35}" presName="Name37" presStyleLbl="parChTrans1D4" presStyleIdx="229" presStyleCnt="243"/>
      <dgm:spPr/>
    </dgm:pt>
    <dgm:pt modelId="{15E227EE-3DE6-4D00-A640-E7A4379AF04C}" type="pres">
      <dgm:prSet presAssocID="{9059873F-23AD-4520-865D-7D0086E7D41E}" presName="hierRoot2" presStyleCnt="0">
        <dgm:presLayoutVars>
          <dgm:hierBranch val="init"/>
        </dgm:presLayoutVars>
      </dgm:prSet>
      <dgm:spPr/>
    </dgm:pt>
    <dgm:pt modelId="{130F1C61-CEB3-4135-A35D-59D02FC32B55}" type="pres">
      <dgm:prSet presAssocID="{9059873F-23AD-4520-865D-7D0086E7D41E}" presName="rootComposite" presStyleCnt="0"/>
      <dgm:spPr/>
    </dgm:pt>
    <dgm:pt modelId="{24713480-EB01-4DF6-BF88-72157C8E9C25}" type="pres">
      <dgm:prSet presAssocID="{9059873F-23AD-4520-865D-7D0086E7D41E}" presName="rootText" presStyleLbl="node4" presStyleIdx="229" presStyleCnt="243">
        <dgm:presLayoutVars>
          <dgm:chPref val="3"/>
        </dgm:presLayoutVars>
      </dgm:prSet>
      <dgm:spPr/>
    </dgm:pt>
    <dgm:pt modelId="{3EB718A3-C8B9-4B05-AB64-ED481E4AAD57}" type="pres">
      <dgm:prSet presAssocID="{9059873F-23AD-4520-865D-7D0086E7D41E}" presName="rootConnector" presStyleLbl="node4" presStyleIdx="229" presStyleCnt="243"/>
      <dgm:spPr/>
    </dgm:pt>
    <dgm:pt modelId="{EEB3AFCD-8F16-4A45-9831-07AFA744064B}" type="pres">
      <dgm:prSet presAssocID="{9059873F-23AD-4520-865D-7D0086E7D41E}" presName="hierChild4" presStyleCnt="0"/>
      <dgm:spPr/>
    </dgm:pt>
    <dgm:pt modelId="{312BF0F0-A613-46C6-9BFC-9B8E1EC26D23}" type="pres">
      <dgm:prSet presAssocID="{9059873F-23AD-4520-865D-7D0086E7D41E}" presName="hierChild5" presStyleCnt="0"/>
      <dgm:spPr/>
    </dgm:pt>
    <dgm:pt modelId="{3992878E-B780-4758-A483-094774ECB49E}" type="pres">
      <dgm:prSet presAssocID="{A7B47410-4336-4308-85EE-478C329B4409}" presName="Name37" presStyleLbl="parChTrans1D4" presStyleIdx="230" presStyleCnt="243"/>
      <dgm:spPr/>
    </dgm:pt>
    <dgm:pt modelId="{C6ACFACB-AD16-47F5-B8D3-42A9A8453E84}" type="pres">
      <dgm:prSet presAssocID="{DF071821-8BA9-4868-B806-A40BE4759DA3}" presName="hierRoot2" presStyleCnt="0">
        <dgm:presLayoutVars>
          <dgm:hierBranch val="init"/>
        </dgm:presLayoutVars>
      </dgm:prSet>
      <dgm:spPr/>
    </dgm:pt>
    <dgm:pt modelId="{28FE0CC0-F3F6-400F-ADAE-86F903E19274}" type="pres">
      <dgm:prSet presAssocID="{DF071821-8BA9-4868-B806-A40BE4759DA3}" presName="rootComposite" presStyleCnt="0"/>
      <dgm:spPr/>
    </dgm:pt>
    <dgm:pt modelId="{58191E0C-1E48-4684-B0DA-DD5CAD81AC57}" type="pres">
      <dgm:prSet presAssocID="{DF071821-8BA9-4868-B806-A40BE4759DA3}" presName="rootText" presStyleLbl="node4" presStyleIdx="230" presStyleCnt="243">
        <dgm:presLayoutVars>
          <dgm:chPref val="3"/>
        </dgm:presLayoutVars>
      </dgm:prSet>
      <dgm:spPr/>
    </dgm:pt>
    <dgm:pt modelId="{419B3C29-E4CB-40EA-A900-C8A874C37BEE}" type="pres">
      <dgm:prSet presAssocID="{DF071821-8BA9-4868-B806-A40BE4759DA3}" presName="rootConnector" presStyleLbl="node4" presStyleIdx="230" presStyleCnt="243"/>
      <dgm:spPr/>
    </dgm:pt>
    <dgm:pt modelId="{58EB1A28-9914-4FCE-9089-B9E3DA442FC4}" type="pres">
      <dgm:prSet presAssocID="{DF071821-8BA9-4868-B806-A40BE4759DA3}" presName="hierChild4" presStyleCnt="0"/>
      <dgm:spPr/>
    </dgm:pt>
    <dgm:pt modelId="{60D54BAE-7117-4672-9E2A-268E15DB702F}" type="pres">
      <dgm:prSet presAssocID="{DF071821-8BA9-4868-B806-A40BE4759DA3}" presName="hierChild5" presStyleCnt="0"/>
      <dgm:spPr/>
    </dgm:pt>
    <dgm:pt modelId="{2A0248A9-041A-4C6E-8E89-F8CF07C1D5F4}" type="pres">
      <dgm:prSet presAssocID="{04D519F8-B01A-4986-A285-EE31BD737934}" presName="hierChild5" presStyleCnt="0"/>
      <dgm:spPr/>
    </dgm:pt>
    <dgm:pt modelId="{DEE440A7-E6F1-4F3C-B2B2-7DB7F1336163}" type="pres">
      <dgm:prSet presAssocID="{1CFF21BB-7382-4C48-B17E-8324F99020A1}" presName="Name37" presStyleLbl="parChTrans1D3" presStyleIdx="17" presStyleCnt="19"/>
      <dgm:spPr/>
    </dgm:pt>
    <dgm:pt modelId="{D6BC083B-4266-4831-B315-8479F534C422}" type="pres">
      <dgm:prSet presAssocID="{FD24B971-6079-4D0F-974A-96B22A245152}" presName="hierRoot2" presStyleCnt="0">
        <dgm:presLayoutVars>
          <dgm:hierBranch val="init"/>
        </dgm:presLayoutVars>
      </dgm:prSet>
      <dgm:spPr/>
    </dgm:pt>
    <dgm:pt modelId="{6D58B00B-D076-4E48-B145-5398221E479B}" type="pres">
      <dgm:prSet presAssocID="{FD24B971-6079-4D0F-974A-96B22A245152}" presName="rootComposite" presStyleCnt="0"/>
      <dgm:spPr/>
    </dgm:pt>
    <dgm:pt modelId="{22302856-D687-415C-8694-BD203E144085}" type="pres">
      <dgm:prSet presAssocID="{FD24B971-6079-4D0F-974A-96B22A245152}" presName="rootText" presStyleLbl="node3" presStyleIdx="17" presStyleCnt="19">
        <dgm:presLayoutVars>
          <dgm:chPref val="3"/>
        </dgm:presLayoutVars>
      </dgm:prSet>
      <dgm:spPr/>
    </dgm:pt>
    <dgm:pt modelId="{70E9111B-CFEA-430F-B169-DA5A7A37578E}" type="pres">
      <dgm:prSet presAssocID="{FD24B971-6079-4D0F-974A-96B22A245152}" presName="rootConnector" presStyleLbl="node3" presStyleIdx="17" presStyleCnt="19"/>
      <dgm:spPr/>
    </dgm:pt>
    <dgm:pt modelId="{7C6645DC-C4E6-48B6-8997-53988935E40B}" type="pres">
      <dgm:prSet presAssocID="{FD24B971-6079-4D0F-974A-96B22A245152}" presName="hierChild4" presStyleCnt="0"/>
      <dgm:spPr/>
    </dgm:pt>
    <dgm:pt modelId="{4124473A-4C44-4C48-B471-C873AA6FB3B9}" type="pres">
      <dgm:prSet presAssocID="{6953E66D-796A-40D3-9587-44737C2C9F0E}" presName="Name37" presStyleLbl="parChTrans1D4" presStyleIdx="231" presStyleCnt="243"/>
      <dgm:spPr/>
    </dgm:pt>
    <dgm:pt modelId="{6E22EE84-757F-4AFE-81A8-5F70238EE4B4}" type="pres">
      <dgm:prSet presAssocID="{AA3CFB6D-FF58-47FB-86D1-C68A63CCCCC6}" presName="hierRoot2" presStyleCnt="0">
        <dgm:presLayoutVars>
          <dgm:hierBranch val="init"/>
        </dgm:presLayoutVars>
      </dgm:prSet>
      <dgm:spPr/>
    </dgm:pt>
    <dgm:pt modelId="{63FD902D-138F-4975-9CB1-1CBDAF6F0D3C}" type="pres">
      <dgm:prSet presAssocID="{AA3CFB6D-FF58-47FB-86D1-C68A63CCCCC6}" presName="rootComposite" presStyleCnt="0"/>
      <dgm:spPr/>
    </dgm:pt>
    <dgm:pt modelId="{ECD40821-47D6-4284-94BE-64CB66FE0F7B}" type="pres">
      <dgm:prSet presAssocID="{AA3CFB6D-FF58-47FB-86D1-C68A63CCCCC6}" presName="rootText" presStyleLbl="node4" presStyleIdx="231" presStyleCnt="243">
        <dgm:presLayoutVars>
          <dgm:chPref val="3"/>
        </dgm:presLayoutVars>
      </dgm:prSet>
      <dgm:spPr/>
    </dgm:pt>
    <dgm:pt modelId="{92E47A50-2E59-4BC5-9488-CF4B439C9F36}" type="pres">
      <dgm:prSet presAssocID="{AA3CFB6D-FF58-47FB-86D1-C68A63CCCCC6}" presName="rootConnector" presStyleLbl="node4" presStyleIdx="231" presStyleCnt="243"/>
      <dgm:spPr/>
    </dgm:pt>
    <dgm:pt modelId="{3CBCC1B2-6EE5-4E7A-A5F3-37602F648FF4}" type="pres">
      <dgm:prSet presAssocID="{AA3CFB6D-FF58-47FB-86D1-C68A63CCCCC6}" presName="hierChild4" presStyleCnt="0"/>
      <dgm:spPr/>
    </dgm:pt>
    <dgm:pt modelId="{0B835C88-0FF2-4FC9-99A2-D5B4EAA74C3D}" type="pres">
      <dgm:prSet presAssocID="{AA3CFB6D-FF58-47FB-86D1-C68A63CCCCC6}" presName="hierChild5" presStyleCnt="0"/>
      <dgm:spPr/>
    </dgm:pt>
    <dgm:pt modelId="{22EA4BDD-C54D-4AA6-A4F2-F31D098BF093}" type="pres">
      <dgm:prSet presAssocID="{4603DBF8-D408-4392-88FE-7547A22C85A4}" presName="Name37" presStyleLbl="parChTrans1D4" presStyleIdx="232" presStyleCnt="243"/>
      <dgm:spPr/>
    </dgm:pt>
    <dgm:pt modelId="{32879AAE-63DB-45E3-806F-1AC908B0A940}" type="pres">
      <dgm:prSet presAssocID="{A3AA0C47-E6D0-47AD-9A3E-9F1E5F4F7559}" presName="hierRoot2" presStyleCnt="0">
        <dgm:presLayoutVars>
          <dgm:hierBranch val="init"/>
        </dgm:presLayoutVars>
      </dgm:prSet>
      <dgm:spPr/>
    </dgm:pt>
    <dgm:pt modelId="{97D34CD9-A049-420C-8142-CAFDB1B72E25}" type="pres">
      <dgm:prSet presAssocID="{A3AA0C47-E6D0-47AD-9A3E-9F1E5F4F7559}" presName="rootComposite" presStyleCnt="0"/>
      <dgm:spPr/>
    </dgm:pt>
    <dgm:pt modelId="{335CFEA8-5B08-4C90-B4B3-34E79C35E25E}" type="pres">
      <dgm:prSet presAssocID="{A3AA0C47-E6D0-47AD-9A3E-9F1E5F4F7559}" presName="rootText" presStyleLbl="node4" presStyleIdx="232" presStyleCnt="243">
        <dgm:presLayoutVars>
          <dgm:chPref val="3"/>
        </dgm:presLayoutVars>
      </dgm:prSet>
      <dgm:spPr/>
    </dgm:pt>
    <dgm:pt modelId="{4869892A-F778-4F4D-8471-35C408607497}" type="pres">
      <dgm:prSet presAssocID="{A3AA0C47-E6D0-47AD-9A3E-9F1E5F4F7559}" presName="rootConnector" presStyleLbl="node4" presStyleIdx="232" presStyleCnt="243"/>
      <dgm:spPr/>
    </dgm:pt>
    <dgm:pt modelId="{926B7956-303E-47B5-B6AC-3C2D227F6C72}" type="pres">
      <dgm:prSet presAssocID="{A3AA0C47-E6D0-47AD-9A3E-9F1E5F4F7559}" presName="hierChild4" presStyleCnt="0"/>
      <dgm:spPr/>
    </dgm:pt>
    <dgm:pt modelId="{313B9D8D-C6DD-48E6-9231-1726C97C829E}" type="pres">
      <dgm:prSet presAssocID="{A3AA0C47-E6D0-47AD-9A3E-9F1E5F4F7559}" presName="hierChild5" presStyleCnt="0"/>
      <dgm:spPr/>
    </dgm:pt>
    <dgm:pt modelId="{9D8FCBAC-C1E5-41DE-AEB2-A70ED40E7721}" type="pres">
      <dgm:prSet presAssocID="{8DE7A28B-E696-4E90-B677-F436B88D0904}" presName="Name37" presStyleLbl="parChTrans1D4" presStyleIdx="233" presStyleCnt="243"/>
      <dgm:spPr/>
    </dgm:pt>
    <dgm:pt modelId="{7AE1BCEC-3B7D-41DC-B29D-418BAD8A0B7F}" type="pres">
      <dgm:prSet presAssocID="{9E60DC48-126F-4245-8806-7202F6C0228B}" presName="hierRoot2" presStyleCnt="0">
        <dgm:presLayoutVars>
          <dgm:hierBranch val="init"/>
        </dgm:presLayoutVars>
      </dgm:prSet>
      <dgm:spPr/>
    </dgm:pt>
    <dgm:pt modelId="{4953D418-403E-466A-94F2-2FC77E79F3D0}" type="pres">
      <dgm:prSet presAssocID="{9E60DC48-126F-4245-8806-7202F6C0228B}" presName="rootComposite" presStyleCnt="0"/>
      <dgm:spPr/>
    </dgm:pt>
    <dgm:pt modelId="{92F0175B-B40F-4850-9105-0DADA18E1CA9}" type="pres">
      <dgm:prSet presAssocID="{9E60DC48-126F-4245-8806-7202F6C0228B}" presName="rootText" presStyleLbl="node4" presStyleIdx="233" presStyleCnt="243">
        <dgm:presLayoutVars>
          <dgm:chPref val="3"/>
        </dgm:presLayoutVars>
      </dgm:prSet>
      <dgm:spPr/>
    </dgm:pt>
    <dgm:pt modelId="{D990D39F-E70F-4D7F-8B9D-67E6A5AAAFF1}" type="pres">
      <dgm:prSet presAssocID="{9E60DC48-126F-4245-8806-7202F6C0228B}" presName="rootConnector" presStyleLbl="node4" presStyleIdx="233" presStyleCnt="243"/>
      <dgm:spPr/>
    </dgm:pt>
    <dgm:pt modelId="{1879EBEA-D073-44FD-9268-9CAA7009D165}" type="pres">
      <dgm:prSet presAssocID="{9E60DC48-126F-4245-8806-7202F6C0228B}" presName="hierChild4" presStyleCnt="0"/>
      <dgm:spPr/>
    </dgm:pt>
    <dgm:pt modelId="{3AB3EB5C-C196-4E82-96F7-6EA6DBA328FE}" type="pres">
      <dgm:prSet presAssocID="{9E60DC48-126F-4245-8806-7202F6C0228B}" presName="hierChild5" presStyleCnt="0"/>
      <dgm:spPr/>
    </dgm:pt>
    <dgm:pt modelId="{1725128A-5BDB-4C0E-9435-3563A65BDDB4}" type="pres">
      <dgm:prSet presAssocID="{FD24B971-6079-4D0F-974A-96B22A245152}" presName="hierChild5" presStyleCnt="0"/>
      <dgm:spPr/>
    </dgm:pt>
    <dgm:pt modelId="{BF2C8068-5568-4FF9-BBDF-FA5E1EB5C39A}" type="pres">
      <dgm:prSet presAssocID="{3BCE4EE7-6AEB-4019-BFDE-C7B45E04C453}" presName="Name37" presStyleLbl="parChTrans1D3" presStyleIdx="18" presStyleCnt="19"/>
      <dgm:spPr/>
    </dgm:pt>
    <dgm:pt modelId="{F14FAC25-71ED-4066-A50A-8408C8CD496D}" type="pres">
      <dgm:prSet presAssocID="{A4A29A10-673A-4945-BC28-1960217650D3}" presName="hierRoot2" presStyleCnt="0">
        <dgm:presLayoutVars>
          <dgm:hierBranch val="init"/>
        </dgm:presLayoutVars>
      </dgm:prSet>
      <dgm:spPr/>
    </dgm:pt>
    <dgm:pt modelId="{DA7F73F4-37BA-40A5-95C3-083136A189DC}" type="pres">
      <dgm:prSet presAssocID="{A4A29A10-673A-4945-BC28-1960217650D3}" presName="rootComposite" presStyleCnt="0"/>
      <dgm:spPr/>
    </dgm:pt>
    <dgm:pt modelId="{BCBF385E-16BD-4AAC-A54C-F6718B75FB2F}" type="pres">
      <dgm:prSet presAssocID="{A4A29A10-673A-4945-BC28-1960217650D3}" presName="rootText" presStyleLbl="node3" presStyleIdx="18" presStyleCnt="19">
        <dgm:presLayoutVars>
          <dgm:chPref val="3"/>
        </dgm:presLayoutVars>
      </dgm:prSet>
      <dgm:spPr/>
    </dgm:pt>
    <dgm:pt modelId="{E7A2A1BB-552D-4EFC-9B35-1729F0DD5F28}" type="pres">
      <dgm:prSet presAssocID="{A4A29A10-673A-4945-BC28-1960217650D3}" presName="rootConnector" presStyleLbl="node3" presStyleIdx="18" presStyleCnt="19"/>
      <dgm:spPr/>
    </dgm:pt>
    <dgm:pt modelId="{1FBEA4F5-BC14-48E0-84A1-0AC60D97E733}" type="pres">
      <dgm:prSet presAssocID="{A4A29A10-673A-4945-BC28-1960217650D3}" presName="hierChild4" presStyleCnt="0"/>
      <dgm:spPr/>
    </dgm:pt>
    <dgm:pt modelId="{07EFAF4D-C4E8-4445-861F-976AB4309935}" type="pres">
      <dgm:prSet presAssocID="{D74CEC8C-5D60-491F-98AD-522DB0543277}" presName="Name37" presStyleLbl="parChTrans1D4" presStyleIdx="234" presStyleCnt="243"/>
      <dgm:spPr/>
    </dgm:pt>
    <dgm:pt modelId="{5414AD65-5EA5-4298-985E-AE34EBED05EF}" type="pres">
      <dgm:prSet presAssocID="{EFEC8CCF-2CFD-4887-8A2D-5EDB6E21E0F8}" presName="hierRoot2" presStyleCnt="0">
        <dgm:presLayoutVars>
          <dgm:hierBranch val="init"/>
        </dgm:presLayoutVars>
      </dgm:prSet>
      <dgm:spPr/>
    </dgm:pt>
    <dgm:pt modelId="{0C020665-1FF6-4200-96A6-1EFF058D1C48}" type="pres">
      <dgm:prSet presAssocID="{EFEC8CCF-2CFD-4887-8A2D-5EDB6E21E0F8}" presName="rootComposite" presStyleCnt="0"/>
      <dgm:spPr/>
    </dgm:pt>
    <dgm:pt modelId="{ED4A4078-167E-4A16-A4A9-FA6F45C1A41F}" type="pres">
      <dgm:prSet presAssocID="{EFEC8CCF-2CFD-4887-8A2D-5EDB6E21E0F8}" presName="rootText" presStyleLbl="node4" presStyleIdx="234" presStyleCnt="243">
        <dgm:presLayoutVars>
          <dgm:chPref val="3"/>
        </dgm:presLayoutVars>
      </dgm:prSet>
      <dgm:spPr/>
    </dgm:pt>
    <dgm:pt modelId="{B6E45953-9F05-4184-9831-A3FE0CB9A97F}" type="pres">
      <dgm:prSet presAssocID="{EFEC8CCF-2CFD-4887-8A2D-5EDB6E21E0F8}" presName="rootConnector" presStyleLbl="node4" presStyleIdx="234" presStyleCnt="243"/>
      <dgm:spPr/>
    </dgm:pt>
    <dgm:pt modelId="{B2AFE39B-3DB9-43F1-8630-11D74AFF8B46}" type="pres">
      <dgm:prSet presAssocID="{EFEC8CCF-2CFD-4887-8A2D-5EDB6E21E0F8}" presName="hierChild4" presStyleCnt="0"/>
      <dgm:spPr/>
    </dgm:pt>
    <dgm:pt modelId="{C98705A5-FB11-4017-A147-2B7A004DB0B6}" type="pres">
      <dgm:prSet presAssocID="{6C7A5B7C-5FDE-487C-A75A-9086A0CE44FA}" presName="Name37" presStyleLbl="parChTrans1D4" presStyleIdx="235" presStyleCnt="243"/>
      <dgm:spPr/>
    </dgm:pt>
    <dgm:pt modelId="{BC907DDB-0AD2-46FC-9AEA-AC787FBF4440}" type="pres">
      <dgm:prSet presAssocID="{EBA15179-5EBF-4CDB-A793-B8E55FEB3F1C}" presName="hierRoot2" presStyleCnt="0">
        <dgm:presLayoutVars>
          <dgm:hierBranch val="init"/>
        </dgm:presLayoutVars>
      </dgm:prSet>
      <dgm:spPr/>
    </dgm:pt>
    <dgm:pt modelId="{471C6394-295F-4278-B9FE-06DE9DB6E467}" type="pres">
      <dgm:prSet presAssocID="{EBA15179-5EBF-4CDB-A793-B8E55FEB3F1C}" presName="rootComposite" presStyleCnt="0"/>
      <dgm:spPr/>
    </dgm:pt>
    <dgm:pt modelId="{E6B19E2C-CCEC-47AC-ACB1-CEF07DA4EEAA}" type="pres">
      <dgm:prSet presAssocID="{EBA15179-5EBF-4CDB-A793-B8E55FEB3F1C}" presName="rootText" presStyleLbl="node4" presStyleIdx="235" presStyleCnt="243">
        <dgm:presLayoutVars>
          <dgm:chPref val="3"/>
        </dgm:presLayoutVars>
      </dgm:prSet>
      <dgm:spPr/>
    </dgm:pt>
    <dgm:pt modelId="{0558A6DE-A21A-4537-9371-33743E038EB1}" type="pres">
      <dgm:prSet presAssocID="{EBA15179-5EBF-4CDB-A793-B8E55FEB3F1C}" presName="rootConnector" presStyleLbl="node4" presStyleIdx="235" presStyleCnt="243"/>
      <dgm:spPr/>
    </dgm:pt>
    <dgm:pt modelId="{A7347C7F-EBEE-4435-96BF-82890A696142}" type="pres">
      <dgm:prSet presAssocID="{EBA15179-5EBF-4CDB-A793-B8E55FEB3F1C}" presName="hierChild4" presStyleCnt="0"/>
      <dgm:spPr/>
    </dgm:pt>
    <dgm:pt modelId="{2DC75CFD-B347-495C-9350-D288DA51B4BE}" type="pres">
      <dgm:prSet presAssocID="{EBA15179-5EBF-4CDB-A793-B8E55FEB3F1C}" presName="hierChild5" presStyleCnt="0"/>
      <dgm:spPr/>
    </dgm:pt>
    <dgm:pt modelId="{FEDD6E93-0040-4A1E-84D7-E13F48880E7D}" type="pres">
      <dgm:prSet presAssocID="{FD6ACADE-3DE3-4450-BDC2-4A1CDA0BAB73}" presName="Name37" presStyleLbl="parChTrans1D4" presStyleIdx="236" presStyleCnt="243"/>
      <dgm:spPr/>
    </dgm:pt>
    <dgm:pt modelId="{B2D9566E-52E1-40C1-A83E-769DBA16BB6E}" type="pres">
      <dgm:prSet presAssocID="{278EEAB8-0CD5-40A4-BC9E-C17368CB323C}" presName="hierRoot2" presStyleCnt="0">
        <dgm:presLayoutVars>
          <dgm:hierBranch val="init"/>
        </dgm:presLayoutVars>
      </dgm:prSet>
      <dgm:spPr/>
    </dgm:pt>
    <dgm:pt modelId="{9F0B99FB-54A9-475D-8223-E7EBC045ADA5}" type="pres">
      <dgm:prSet presAssocID="{278EEAB8-0CD5-40A4-BC9E-C17368CB323C}" presName="rootComposite" presStyleCnt="0"/>
      <dgm:spPr/>
    </dgm:pt>
    <dgm:pt modelId="{AE55C48F-9CE5-427E-8DC3-EC1400B35EFB}" type="pres">
      <dgm:prSet presAssocID="{278EEAB8-0CD5-40A4-BC9E-C17368CB323C}" presName="rootText" presStyleLbl="node4" presStyleIdx="236" presStyleCnt="243">
        <dgm:presLayoutVars>
          <dgm:chPref val="3"/>
        </dgm:presLayoutVars>
      </dgm:prSet>
      <dgm:spPr/>
    </dgm:pt>
    <dgm:pt modelId="{0EF69A55-D160-498D-97DB-1ACBE7FD4185}" type="pres">
      <dgm:prSet presAssocID="{278EEAB8-0CD5-40A4-BC9E-C17368CB323C}" presName="rootConnector" presStyleLbl="node4" presStyleIdx="236" presStyleCnt="243"/>
      <dgm:spPr/>
    </dgm:pt>
    <dgm:pt modelId="{5626C8D0-0376-4BFA-8CB0-A377FDE58AC8}" type="pres">
      <dgm:prSet presAssocID="{278EEAB8-0CD5-40A4-BC9E-C17368CB323C}" presName="hierChild4" presStyleCnt="0"/>
      <dgm:spPr/>
    </dgm:pt>
    <dgm:pt modelId="{FD051EC5-D13B-4F5B-AFE1-76A6FE8D8E9E}" type="pres">
      <dgm:prSet presAssocID="{278EEAB8-0CD5-40A4-BC9E-C17368CB323C}" presName="hierChild5" presStyleCnt="0"/>
      <dgm:spPr/>
    </dgm:pt>
    <dgm:pt modelId="{6976E41F-C670-4A0C-B658-838435D99904}" type="pres">
      <dgm:prSet presAssocID="{BC1698E3-5DC0-474F-92AD-6099F395E83A}" presName="Name37" presStyleLbl="parChTrans1D4" presStyleIdx="237" presStyleCnt="243"/>
      <dgm:spPr/>
    </dgm:pt>
    <dgm:pt modelId="{E1ECBA06-EB84-4F91-AC76-E617EBD2F146}" type="pres">
      <dgm:prSet presAssocID="{6EA8C77C-EAF6-4BE6-AD96-7C80110BF0BC}" presName="hierRoot2" presStyleCnt="0">
        <dgm:presLayoutVars>
          <dgm:hierBranch val="init"/>
        </dgm:presLayoutVars>
      </dgm:prSet>
      <dgm:spPr/>
    </dgm:pt>
    <dgm:pt modelId="{3413566B-928F-4E10-9CD9-3DEC46FFF552}" type="pres">
      <dgm:prSet presAssocID="{6EA8C77C-EAF6-4BE6-AD96-7C80110BF0BC}" presName="rootComposite" presStyleCnt="0"/>
      <dgm:spPr/>
    </dgm:pt>
    <dgm:pt modelId="{DF368F48-B16C-49DC-A94A-74F71D4AB48D}" type="pres">
      <dgm:prSet presAssocID="{6EA8C77C-EAF6-4BE6-AD96-7C80110BF0BC}" presName="rootText" presStyleLbl="node4" presStyleIdx="237" presStyleCnt="243">
        <dgm:presLayoutVars>
          <dgm:chPref val="3"/>
        </dgm:presLayoutVars>
      </dgm:prSet>
      <dgm:spPr/>
    </dgm:pt>
    <dgm:pt modelId="{1B758743-6012-4E16-BBFB-E0AFF68458BA}" type="pres">
      <dgm:prSet presAssocID="{6EA8C77C-EAF6-4BE6-AD96-7C80110BF0BC}" presName="rootConnector" presStyleLbl="node4" presStyleIdx="237" presStyleCnt="243"/>
      <dgm:spPr/>
    </dgm:pt>
    <dgm:pt modelId="{C134AA8F-944E-4B25-9D98-7E0E7D58052C}" type="pres">
      <dgm:prSet presAssocID="{6EA8C77C-EAF6-4BE6-AD96-7C80110BF0BC}" presName="hierChild4" presStyleCnt="0"/>
      <dgm:spPr/>
    </dgm:pt>
    <dgm:pt modelId="{127A99F8-93F1-47AD-BF5E-41F14A68934C}" type="pres">
      <dgm:prSet presAssocID="{58FEE52A-7AF2-4518-B104-7436EAA933C6}" presName="Name37" presStyleLbl="parChTrans1D4" presStyleIdx="238" presStyleCnt="243"/>
      <dgm:spPr/>
    </dgm:pt>
    <dgm:pt modelId="{38030050-A64D-4362-9D08-017899BE5E78}" type="pres">
      <dgm:prSet presAssocID="{C185934A-43AC-4019-ADFF-87F5674C44DE}" presName="hierRoot2" presStyleCnt="0">
        <dgm:presLayoutVars>
          <dgm:hierBranch val="init"/>
        </dgm:presLayoutVars>
      </dgm:prSet>
      <dgm:spPr/>
    </dgm:pt>
    <dgm:pt modelId="{06A5DF53-95DC-4550-956B-499C8BF131D3}" type="pres">
      <dgm:prSet presAssocID="{C185934A-43AC-4019-ADFF-87F5674C44DE}" presName="rootComposite" presStyleCnt="0"/>
      <dgm:spPr/>
    </dgm:pt>
    <dgm:pt modelId="{54171430-8154-43DA-9016-4EEBD22ECFE3}" type="pres">
      <dgm:prSet presAssocID="{C185934A-43AC-4019-ADFF-87F5674C44DE}" presName="rootText" presStyleLbl="node4" presStyleIdx="238" presStyleCnt="243">
        <dgm:presLayoutVars>
          <dgm:chPref val="3"/>
        </dgm:presLayoutVars>
      </dgm:prSet>
      <dgm:spPr/>
    </dgm:pt>
    <dgm:pt modelId="{13470017-2EAD-4115-B05A-0EB5529D9E9E}" type="pres">
      <dgm:prSet presAssocID="{C185934A-43AC-4019-ADFF-87F5674C44DE}" presName="rootConnector" presStyleLbl="node4" presStyleIdx="238" presStyleCnt="243"/>
      <dgm:spPr/>
    </dgm:pt>
    <dgm:pt modelId="{FF4993BC-4C0A-4B7E-801C-91DA6317ADAC}" type="pres">
      <dgm:prSet presAssocID="{C185934A-43AC-4019-ADFF-87F5674C44DE}" presName="hierChild4" presStyleCnt="0"/>
      <dgm:spPr/>
    </dgm:pt>
    <dgm:pt modelId="{82CAF022-739C-48DA-BDD9-FB2399014B70}" type="pres">
      <dgm:prSet presAssocID="{C185934A-43AC-4019-ADFF-87F5674C44DE}" presName="hierChild5" presStyleCnt="0"/>
      <dgm:spPr/>
    </dgm:pt>
    <dgm:pt modelId="{9B56920C-B2F4-42E0-8726-65D467D50864}" type="pres">
      <dgm:prSet presAssocID="{566D328A-7046-49A4-A8F3-056A23838A3E}" presName="Name37" presStyleLbl="parChTrans1D4" presStyleIdx="239" presStyleCnt="243"/>
      <dgm:spPr/>
    </dgm:pt>
    <dgm:pt modelId="{E248B3A8-5AC1-4AC1-AFEB-EB3C88969B7F}" type="pres">
      <dgm:prSet presAssocID="{A49A2F49-29A2-4409-A8AA-7C842ECB3A93}" presName="hierRoot2" presStyleCnt="0">
        <dgm:presLayoutVars>
          <dgm:hierBranch val="init"/>
        </dgm:presLayoutVars>
      </dgm:prSet>
      <dgm:spPr/>
    </dgm:pt>
    <dgm:pt modelId="{C34AD1E1-9FF9-4984-8877-5E56E9F19663}" type="pres">
      <dgm:prSet presAssocID="{A49A2F49-29A2-4409-A8AA-7C842ECB3A93}" presName="rootComposite" presStyleCnt="0"/>
      <dgm:spPr/>
    </dgm:pt>
    <dgm:pt modelId="{638B5575-8510-45A8-B2D9-BF0F321A076F}" type="pres">
      <dgm:prSet presAssocID="{A49A2F49-29A2-4409-A8AA-7C842ECB3A93}" presName="rootText" presStyleLbl="node4" presStyleIdx="239" presStyleCnt="243">
        <dgm:presLayoutVars>
          <dgm:chPref val="3"/>
        </dgm:presLayoutVars>
      </dgm:prSet>
      <dgm:spPr/>
    </dgm:pt>
    <dgm:pt modelId="{179A39D3-51FF-4BD5-ADD8-05CF438D0C66}" type="pres">
      <dgm:prSet presAssocID="{A49A2F49-29A2-4409-A8AA-7C842ECB3A93}" presName="rootConnector" presStyleLbl="node4" presStyleIdx="239" presStyleCnt="243"/>
      <dgm:spPr/>
    </dgm:pt>
    <dgm:pt modelId="{5746EC2F-188F-4C6A-BC04-CAA0C6732F8D}" type="pres">
      <dgm:prSet presAssocID="{A49A2F49-29A2-4409-A8AA-7C842ECB3A93}" presName="hierChild4" presStyleCnt="0"/>
      <dgm:spPr/>
    </dgm:pt>
    <dgm:pt modelId="{536DC230-8C88-4627-8F96-731C0ABCEAA6}" type="pres">
      <dgm:prSet presAssocID="{A49A2F49-29A2-4409-A8AA-7C842ECB3A93}" presName="hierChild5" presStyleCnt="0"/>
      <dgm:spPr/>
    </dgm:pt>
    <dgm:pt modelId="{99C20357-F275-422B-871C-A73651821F2B}" type="pres">
      <dgm:prSet presAssocID="{C97C6C2C-8E95-4994-8CA3-58CD63D2A664}" presName="Name37" presStyleLbl="parChTrans1D4" presStyleIdx="240" presStyleCnt="243"/>
      <dgm:spPr/>
    </dgm:pt>
    <dgm:pt modelId="{7299291E-592A-4AB4-BB4A-EB7FA63FBFF1}" type="pres">
      <dgm:prSet presAssocID="{36D670E3-E08F-4258-9034-9537875A477B}" presName="hierRoot2" presStyleCnt="0">
        <dgm:presLayoutVars>
          <dgm:hierBranch val="init"/>
        </dgm:presLayoutVars>
      </dgm:prSet>
      <dgm:spPr/>
    </dgm:pt>
    <dgm:pt modelId="{8C1CB6AA-CE8B-491F-AD67-0B676FBF1AB7}" type="pres">
      <dgm:prSet presAssocID="{36D670E3-E08F-4258-9034-9537875A477B}" presName="rootComposite" presStyleCnt="0"/>
      <dgm:spPr/>
    </dgm:pt>
    <dgm:pt modelId="{19033C3E-B9FA-4863-9180-BB9800E00DBB}" type="pres">
      <dgm:prSet presAssocID="{36D670E3-E08F-4258-9034-9537875A477B}" presName="rootText" presStyleLbl="node4" presStyleIdx="240" presStyleCnt="243">
        <dgm:presLayoutVars>
          <dgm:chPref val="3"/>
        </dgm:presLayoutVars>
      </dgm:prSet>
      <dgm:spPr/>
    </dgm:pt>
    <dgm:pt modelId="{7A582892-A861-42A9-8213-94197DFE03ED}" type="pres">
      <dgm:prSet presAssocID="{36D670E3-E08F-4258-9034-9537875A477B}" presName="rootConnector" presStyleLbl="node4" presStyleIdx="240" presStyleCnt="243"/>
      <dgm:spPr/>
    </dgm:pt>
    <dgm:pt modelId="{56745C90-9B0C-4B36-95C0-B59E7F18CDBF}" type="pres">
      <dgm:prSet presAssocID="{36D670E3-E08F-4258-9034-9537875A477B}" presName="hierChild4" presStyleCnt="0"/>
      <dgm:spPr/>
    </dgm:pt>
    <dgm:pt modelId="{FE137884-7D85-45B8-AC9A-39339628E638}" type="pres">
      <dgm:prSet presAssocID="{36D670E3-E08F-4258-9034-9537875A477B}" presName="hierChild5" presStyleCnt="0"/>
      <dgm:spPr/>
    </dgm:pt>
    <dgm:pt modelId="{450DCFAD-83D4-4086-A947-9254D603B548}" type="pres">
      <dgm:prSet presAssocID="{6EA8C77C-EAF6-4BE6-AD96-7C80110BF0BC}" presName="hierChild5" presStyleCnt="0"/>
      <dgm:spPr/>
    </dgm:pt>
    <dgm:pt modelId="{C7006E92-4C8D-450E-9DCF-0909B3735809}" type="pres">
      <dgm:prSet presAssocID="{EFEC8CCF-2CFD-4887-8A2D-5EDB6E21E0F8}" presName="hierChild5" presStyleCnt="0"/>
      <dgm:spPr/>
    </dgm:pt>
    <dgm:pt modelId="{ADE6CFF6-12EC-4465-A78E-5DB7E0841EF7}" type="pres">
      <dgm:prSet presAssocID="{40D61342-2987-4A13-8D25-E4F08BD35033}" presName="Name37" presStyleLbl="parChTrans1D4" presStyleIdx="241" presStyleCnt="243"/>
      <dgm:spPr/>
    </dgm:pt>
    <dgm:pt modelId="{F2E7DC6B-69C2-49E3-AC7E-B8E56925E113}" type="pres">
      <dgm:prSet presAssocID="{0A8A6A6F-4C33-494A-B78A-EAE66C4DDB5E}" presName="hierRoot2" presStyleCnt="0">
        <dgm:presLayoutVars>
          <dgm:hierBranch val="init"/>
        </dgm:presLayoutVars>
      </dgm:prSet>
      <dgm:spPr/>
    </dgm:pt>
    <dgm:pt modelId="{5AE7EA5D-9B01-4A9A-A19F-E4F575E1F21F}" type="pres">
      <dgm:prSet presAssocID="{0A8A6A6F-4C33-494A-B78A-EAE66C4DDB5E}" presName="rootComposite" presStyleCnt="0"/>
      <dgm:spPr/>
    </dgm:pt>
    <dgm:pt modelId="{192F4858-3366-4590-A59A-565465D13786}" type="pres">
      <dgm:prSet presAssocID="{0A8A6A6F-4C33-494A-B78A-EAE66C4DDB5E}" presName="rootText" presStyleLbl="node4" presStyleIdx="241" presStyleCnt="243">
        <dgm:presLayoutVars>
          <dgm:chPref val="3"/>
        </dgm:presLayoutVars>
      </dgm:prSet>
      <dgm:spPr/>
    </dgm:pt>
    <dgm:pt modelId="{A15177E2-6338-4889-BC32-FDBD70C3B1F7}" type="pres">
      <dgm:prSet presAssocID="{0A8A6A6F-4C33-494A-B78A-EAE66C4DDB5E}" presName="rootConnector" presStyleLbl="node4" presStyleIdx="241" presStyleCnt="243"/>
      <dgm:spPr/>
    </dgm:pt>
    <dgm:pt modelId="{675FC036-E329-47FB-88B9-B2D5512AE8AA}" type="pres">
      <dgm:prSet presAssocID="{0A8A6A6F-4C33-494A-B78A-EAE66C4DDB5E}" presName="hierChild4" presStyleCnt="0"/>
      <dgm:spPr/>
    </dgm:pt>
    <dgm:pt modelId="{F9305A1E-78CB-48C7-985E-5A85C3FA883D}" type="pres">
      <dgm:prSet presAssocID="{0A8A6A6F-4C33-494A-B78A-EAE66C4DDB5E}" presName="hierChild5" presStyleCnt="0"/>
      <dgm:spPr/>
    </dgm:pt>
    <dgm:pt modelId="{667817CF-2F4E-402D-9BA1-8CACAABAA11A}" type="pres">
      <dgm:prSet presAssocID="{85D4254C-4CFC-443D-9D55-3E987463FB1C}" presName="Name37" presStyleLbl="parChTrans1D4" presStyleIdx="242" presStyleCnt="243"/>
      <dgm:spPr/>
    </dgm:pt>
    <dgm:pt modelId="{31223E5F-6785-4F40-A54C-FC14AD8F2BF0}" type="pres">
      <dgm:prSet presAssocID="{8D83A27F-420B-4927-BF91-3096E921DE84}" presName="hierRoot2" presStyleCnt="0">
        <dgm:presLayoutVars>
          <dgm:hierBranch val="init"/>
        </dgm:presLayoutVars>
      </dgm:prSet>
      <dgm:spPr/>
    </dgm:pt>
    <dgm:pt modelId="{2AD73DBD-3140-41F2-A256-8AFD3EC63FDE}" type="pres">
      <dgm:prSet presAssocID="{8D83A27F-420B-4927-BF91-3096E921DE84}" presName="rootComposite" presStyleCnt="0"/>
      <dgm:spPr/>
    </dgm:pt>
    <dgm:pt modelId="{421764DB-A460-4259-A9C6-DD3683E57819}" type="pres">
      <dgm:prSet presAssocID="{8D83A27F-420B-4927-BF91-3096E921DE84}" presName="rootText" presStyleLbl="node4" presStyleIdx="242" presStyleCnt="243">
        <dgm:presLayoutVars>
          <dgm:chPref val="3"/>
        </dgm:presLayoutVars>
      </dgm:prSet>
      <dgm:spPr/>
    </dgm:pt>
    <dgm:pt modelId="{C88A06B1-53BA-4A75-A92E-E938D96E071F}" type="pres">
      <dgm:prSet presAssocID="{8D83A27F-420B-4927-BF91-3096E921DE84}" presName="rootConnector" presStyleLbl="node4" presStyleIdx="242" presStyleCnt="243"/>
      <dgm:spPr/>
    </dgm:pt>
    <dgm:pt modelId="{DB43487B-22E9-4F22-98B5-C4E4D74D7A4D}" type="pres">
      <dgm:prSet presAssocID="{8D83A27F-420B-4927-BF91-3096E921DE84}" presName="hierChild4" presStyleCnt="0"/>
      <dgm:spPr/>
    </dgm:pt>
    <dgm:pt modelId="{958F4C94-53E5-4E25-B3D9-5A2CE9590D95}" type="pres">
      <dgm:prSet presAssocID="{8D83A27F-420B-4927-BF91-3096E921DE84}" presName="hierChild5" presStyleCnt="0"/>
      <dgm:spPr/>
    </dgm:pt>
    <dgm:pt modelId="{87675775-CD79-4CBD-8D6D-96C6AAB43D7C}" type="pres">
      <dgm:prSet presAssocID="{A4A29A10-673A-4945-BC28-1960217650D3}" presName="hierChild5" presStyleCnt="0"/>
      <dgm:spPr/>
    </dgm:pt>
    <dgm:pt modelId="{0837338C-6472-443A-9113-526C23AB5AC1}" type="pres">
      <dgm:prSet presAssocID="{734C8B5F-9381-487F-9E6B-C9F554DA0E0F}" presName="hierChild5" presStyleCnt="0"/>
      <dgm:spPr/>
    </dgm:pt>
    <dgm:pt modelId="{B60BDAC5-AF82-4007-957C-CF35C4519D03}" type="pres">
      <dgm:prSet presAssocID="{72F3D303-0065-410A-A999-86607290AFCA}" presName="hierChild3" presStyleCnt="0"/>
      <dgm:spPr/>
    </dgm:pt>
  </dgm:ptLst>
  <dgm:cxnLst>
    <dgm:cxn modelId="{DFB63800-CA10-44FA-BC2A-1349FEA419CB}" srcId="{F1E11E84-55E5-4A33-9124-2EED04F86C74}" destId="{B1FF8223-4C4D-44C7-8D05-0DE5DD4452AD}" srcOrd="2" destOrd="0" parTransId="{19861599-005C-4BE2-A6D8-421B9BB82FC4}" sibTransId="{5CD53720-B128-40F6-9EC4-A332A34BDAC9}"/>
    <dgm:cxn modelId="{B58FD600-BD11-4B7D-B020-DB836BC13BCF}" type="presOf" srcId="{F150F665-274A-4F03-BA2B-5FA387C61C74}" destId="{31E6BBB7-A625-4ADE-8223-1A2E3AE27A2C}" srcOrd="0" destOrd="0" presId="urn:microsoft.com/office/officeart/2005/8/layout/orgChart1"/>
    <dgm:cxn modelId="{85754C01-0B96-4080-9D90-279428950C58}" type="presOf" srcId="{9E5D52D3-374F-4E43-9C4E-BF0B3D31EC7B}" destId="{2E3D3E7D-BA20-47CA-A22C-07CC34B672CF}" srcOrd="1" destOrd="0" presId="urn:microsoft.com/office/officeart/2005/8/layout/orgChart1"/>
    <dgm:cxn modelId="{BFE87201-19AE-4C3A-BB6E-E72B0779EC35}" type="presOf" srcId="{5BD91ACA-C58E-4171-B542-F9AF479E8D0A}" destId="{F56FEAC4-8046-41D1-97B6-694ABA121D08}" srcOrd="0" destOrd="0" presId="urn:microsoft.com/office/officeart/2005/8/layout/orgChart1"/>
    <dgm:cxn modelId="{70DBBF01-6B47-4AC3-8B02-5AC4729187B7}" srcId="{0F55FE95-8893-4B7D-BDCB-FDC155E3EACC}" destId="{6A56D4F6-E20F-4550-BF17-7243096766BA}" srcOrd="1" destOrd="0" parTransId="{A285DD4E-11DE-49E7-8728-216DC0E55CF3}" sibTransId="{2C9DE469-487E-405E-A047-164C4CBD6F01}"/>
    <dgm:cxn modelId="{60F01C02-EB47-4606-8349-C8F266DAC617}" type="presOf" srcId="{71FDD072-FCEA-4B86-8AB5-EDEEFFA315C8}" destId="{708CC365-0421-4F99-9D43-39BB1B1FC00E}" srcOrd="1" destOrd="0" presId="urn:microsoft.com/office/officeart/2005/8/layout/orgChart1"/>
    <dgm:cxn modelId="{76334202-146D-455B-9C33-D475334FFE89}" srcId="{981E1AF4-DA2D-4B6D-9C64-83259D75895C}" destId="{E52CA914-0613-42E6-9893-DC261B296E9A}" srcOrd="1" destOrd="0" parTransId="{08912F9A-4DC5-4E8E-B151-76980A1E475D}" sibTransId="{7F2BC6A0-862C-43BE-B8DB-EA832751422A}"/>
    <dgm:cxn modelId="{00947302-E55A-4D33-AFE0-61F690FFAB29}" type="presOf" srcId="{BBB283EE-D400-40C1-A13D-FE4E38ED419B}" destId="{AC909B98-FA89-4DAE-A87F-51D19ADA4B8E}" srcOrd="0" destOrd="0" presId="urn:microsoft.com/office/officeart/2005/8/layout/orgChart1"/>
    <dgm:cxn modelId="{2FBAF702-EE6F-4CB1-9C5B-19424AD957ED}" type="presOf" srcId="{7C5D9E23-1DFF-4658-A7C0-5FADC95D2D8C}" destId="{D06D6200-3867-4B76-A1AD-6D4D1ABAADB1}" srcOrd="0" destOrd="0" presId="urn:microsoft.com/office/officeart/2005/8/layout/orgChart1"/>
    <dgm:cxn modelId="{18850303-8CE2-423F-ABAB-94892AD51331}" srcId="{FE848344-69B4-4AF0-A0BA-62F6E39471A7}" destId="{BEFE57E8-75D1-4DE3-802C-66CDCBF2C4C6}" srcOrd="1" destOrd="0" parTransId="{22ADACDB-61F0-4B28-A48C-2A83BF8BE40B}" sibTransId="{24D9B63E-88BA-4BBA-8900-E0E68A67F998}"/>
    <dgm:cxn modelId="{703C2B03-36C8-4A35-B6CE-264E33A1FF42}" type="presOf" srcId="{6F2DABE7-9A70-4D84-9106-F429484E2300}" destId="{EB3DBC66-913F-42A4-AB15-A84C3767F987}" srcOrd="0" destOrd="0" presId="urn:microsoft.com/office/officeart/2005/8/layout/orgChart1"/>
    <dgm:cxn modelId="{9C603503-2BBC-42DE-90B4-6F1DC251E2F5}" type="presOf" srcId="{AEE8AE1A-3065-45B3-AC41-7B5E6EB23B99}" destId="{8B59BEBA-C59D-4E80-8D2D-3C5854F0BE81}" srcOrd="0" destOrd="0" presId="urn:microsoft.com/office/officeart/2005/8/layout/orgChart1"/>
    <dgm:cxn modelId="{E7136503-7310-44AF-9776-754E493EFAE2}" type="presOf" srcId="{FA45AAB5-A13D-4D8A-8207-AA32F4AC4118}" destId="{4A0D25B4-4665-4191-85A6-9263AF11E227}" srcOrd="0" destOrd="0" presId="urn:microsoft.com/office/officeart/2005/8/layout/orgChart1"/>
    <dgm:cxn modelId="{2D89A603-5703-4B5D-8F12-0C859B792469}" srcId="{9AE70B7F-979B-49CE-BC85-C030BB8B70B4}" destId="{441DB316-1E00-4F26-880F-2049E6656922}" srcOrd="0" destOrd="0" parTransId="{5B6DD99F-43D7-4ACB-AE91-9A5CC271799C}" sibTransId="{EDBF2E08-A342-44AB-8430-C7538E94EA28}"/>
    <dgm:cxn modelId="{5804AB03-069D-41E7-9D1D-0E971C9B0568}" type="presOf" srcId="{2CAF80FB-6C9D-4F54-91B0-E2C431C46A87}" destId="{666CED59-5E85-4C74-9AD8-375C185B1735}" srcOrd="1" destOrd="0" presId="urn:microsoft.com/office/officeart/2005/8/layout/orgChart1"/>
    <dgm:cxn modelId="{C680ED03-A264-4A8E-A2B6-73C04BF4E24F}" type="presOf" srcId="{92CF3D58-62D0-470A-A6BA-FFB2364E1D20}" destId="{56497B07-5CB1-48C3-A08B-F2D54B3D6B60}" srcOrd="1" destOrd="0" presId="urn:microsoft.com/office/officeart/2005/8/layout/orgChart1"/>
    <dgm:cxn modelId="{985AF703-AD9F-4EE1-B8B3-D2004F64F745}" srcId="{C96A7505-6770-4770-A152-D1D662290F25}" destId="{09FB452B-3E8F-4AE9-AA52-5EC6BD88167E}" srcOrd="0" destOrd="0" parTransId="{83DE7630-43AC-41D3-9DDE-B7D7C969FBD7}" sibTransId="{888725A4-AFB3-4CB1-A0A1-2E17A8BF4824}"/>
    <dgm:cxn modelId="{92E92404-5FAF-4D5C-BA76-B96F6E2916D1}" type="presOf" srcId="{ABE779BC-863F-402D-B89B-6A9F49FFB149}" destId="{2222D64E-0796-4107-A311-4F050A399E6D}" srcOrd="1" destOrd="0" presId="urn:microsoft.com/office/officeart/2005/8/layout/orgChart1"/>
    <dgm:cxn modelId="{EAF66F04-C789-4BC0-A2EC-5EED7F6F3077}" type="presOf" srcId="{BB86F087-5B45-4E71-B294-E4DBD9C04FFC}" destId="{03ECD038-3D71-4585-A24D-73F871F9CFB8}" srcOrd="0" destOrd="0" presId="urn:microsoft.com/office/officeart/2005/8/layout/orgChart1"/>
    <dgm:cxn modelId="{3E787E04-A886-46DE-8ECD-E8A25D08A168}" srcId="{AEFC0FA9-2342-4015-A81F-EBCAB4D4A36F}" destId="{3966608D-C2F4-4B13-95D8-3B194261431C}" srcOrd="6" destOrd="0" parTransId="{AC0CBECA-5188-40E4-8347-671284FF0F21}" sibTransId="{31A34297-4D0C-4C79-8C94-E2E08AB45773}"/>
    <dgm:cxn modelId="{B3477F04-0A10-408F-A2BE-0DFB2BF229AD}" type="presOf" srcId="{A0E2C5C2-CA84-4E08-AD8D-22A90C36ACCD}" destId="{0D819E8B-2A70-4829-981F-116ADB47A9EB}" srcOrd="0" destOrd="0" presId="urn:microsoft.com/office/officeart/2005/8/layout/orgChart1"/>
    <dgm:cxn modelId="{7D29AE04-7782-45F3-B6DD-BF21A965ACA7}" type="presOf" srcId="{60C71A3B-0C4E-4CE6-B808-21A1DEACDEC5}" destId="{8B0DC40C-31B9-40F6-B9F9-6A83BEF983A3}" srcOrd="1" destOrd="0" presId="urn:microsoft.com/office/officeart/2005/8/layout/orgChart1"/>
    <dgm:cxn modelId="{0E5EBD04-DEBE-4953-BD84-A5AE4FFAAC36}" type="presOf" srcId="{DCCEB2FB-4284-4377-9A06-66364A250946}" destId="{26561B9C-A2AE-4E6A-BEAB-F2F46E25A233}" srcOrd="0" destOrd="0" presId="urn:microsoft.com/office/officeart/2005/8/layout/orgChart1"/>
    <dgm:cxn modelId="{86B5D604-DE2E-48C4-9798-209D39E9A2D3}" type="presOf" srcId="{61C8F238-EEF4-4CF0-9D7F-3E09E606208E}" destId="{BFE459A3-51E3-41BB-917D-6B5B5E0D7FA1}" srcOrd="0" destOrd="0" presId="urn:microsoft.com/office/officeart/2005/8/layout/orgChart1"/>
    <dgm:cxn modelId="{54011305-1797-4168-A12E-8E1B26C6487E}" type="presOf" srcId="{22ADACDB-61F0-4B28-A48C-2A83BF8BE40B}" destId="{55E84AEB-BAA4-4F75-80D6-D61BFEEA9C3C}" srcOrd="0" destOrd="0" presId="urn:microsoft.com/office/officeart/2005/8/layout/orgChart1"/>
    <dgm:cxn modelId="{3DB5C505-D1CC-4E33-B5CC-40054CFAF9D5}" type="presOf" srcId="{72F3D303-0065-410A-A999-86607290AFCA}" destId="{3CB802A4-490B-4366-A05B-49ECFBC378F7}" srcOrd="1" destOrd="0" presId="urn:microsoft.com/office/officeart/2005/8/layout/orgChart1"/>
    <dgm:cxn modelId="{C7DAF305-719A-43BC-A136-0027FA22F6A7}" type="presOf" srcId="{48C789E9-31B2-4DF5-877F-2BBCF314ECF3}" destId="{54FA34A8-F4B3-482D-95B7-9842D86FF776}" srcOrd="1" destOrd="0" presId="urn:microsoft.com/office/officeart/2005/8/layout/orgChart1"/>
    <dgm:cxn modelId="{70203406-38EA-495E-A012-FDBEE5A5F2F3}" type="presOf" srcId="{560B7FBE-8261-497E-95A6-A4352541D2CF}" destId="{316A1FAD-6C22-4FC2-B824-5B6B937897EC}" srcOrd="0" destOrd="0" presId="urn:microsoft.com/office/officeart/2005/8/layout/orgChart1"/>
    <dgm:cxn modelId="{B4564A06-1236-4BA1-A299-1851F4A35FDC}" type="presOf" srcId="{A01FD5DA-4F75-4485-B40E-BF3BB4A7C9FA}" destId="{87FA8020-DE3B-4014-A44C-4FEC5266F220}" srcOrd="0" destOrd="0" presId="urn:microsoft.com/office/officeart/2005/8/layout/orgChart1"/>
    <dgm:cxn modelId="{97A37206-32F4-496F-9A8A-C65F31B3D921}" type="presOf" srcId="{C5C28E5C-6D94-41CA-82AC-57783E17F7A5}" destId="{46E8D49D-A92C-4308-8E0E-73BB234CEAFC}" srcOrd="0" destOrd="0" presId="urn:microsoft.com/office/officeart/2005/8/layout/orgChart1"/>
    <dgm:cxn modelId="{F6E85306-3A31-4786-A801-A81647C31B38}" type="presOf" srcId="{25BFED4C-FFDC-4FF8-98DF-2DC76BD9FE4E}" destId="{38852089-2C04-4B62-8862-6AC394BCF286}" srcOrd="1" destOrd="0" presId="urn:microsoft.com/office/officeart/2005/8/layout/orgChart1"/>
    <dgm:cxn modelId="{68B47406-E3FA-4BDE-872F-C38D60BF8F93}" type="presOf" srcId="{2130FFB1-0433-4133-A8C3-71D4D7BC6E6F}" destId="{3DA7AD80-C0C8-4261-A853-FCE2ECC9F246}" srcOrd="1" destOrd="0" presId="urn:microsoft.com/office/officeart/2005/8/layout/orgChart1"/>
    <dgm:cxn modelId="{ADB0D406-A6FD-47BD-A8FD-548CF4DCD40F}" srcId="{5591052D-DCF4-4653-8D30-D01F56F163F7}" destId="{54F7D859-F39B-4AE6-8563-DAEB118DFA01}" srcOrd="5" destOrd="0" parTransId="{31F88A8F-76C0-4CBA-81EB-8098A536A7D9}" sibTransId="{7D86B283-43C4-4E16-A9CE-694CA7DC85A0}"/>
    <dgm:cxn modelId="{AB8D0E07-07A1-4F6A-85E9-512AFAA95782}" srcId="{5BE49A35-83BB-40E1-8540-26BCCF73D567}" destId="{2A627E95-80B8-471F-B8C1-0A185CA00521}" srcOrd="0" destOrd="0" parTransId="{0CAB4728-9217-4D5D-836F-6E3DFEA60D44}" sibTransId="{DAD32C0F-2FF3-4FF3-9A95-4AF454BE3455}"/>
    <dgm:cxn modelId="{D6658107-8122-44AC-990E-BA20C407CA23}" srcId="{2CAF80FB-6C9D-4F54-91B0-E2C431C46A87}" destId="{28454BE6-A4D9-42AC-91D4-EC8376D081CF}" srcOrd="2" destOrd="0" parTransId="{102F5C12-FE34-4B9E-8E60-451C1F5798D9}" sibTransId="{E127D64A-78D0-4161-BF16-7B6171288521}"/>
    <dgm:cxn modelId="{A9E28407-B169-42E5-B98F-01057003F5C0}" type="presOf" srcId="{8FC40973-C7B4-49AC-A525-0E4B043C5DA4}" destId="{F9382D2B-4C9B-48DF-AB51-21033BD2C0E0}" srcOrd="1" destOrd="0" presId="urn:microsoft.com/office/officeart/2005/8/layout/orgChart1"/>
    <dgm:cxn modelId="{C9A3C007-7064-460D-BB25-EF2AB46AF0F5}" type="presOf" srcId="{D3FE2CB9-4032-4184-B0E7-FFF636A4F3F3}" destId="{8793FFBD-ABE0-453D-A51F-014C7DFEA590}" srcOrd="0" destOrd="0" presId="urn:microsoft.com/office/officeart/2005/8/layout/orgChart1"/>
    <dgm:cxn modelId="{B789F507-132A-4B60-A6A8-329B7B76FE4F}" type="presOf" srcId="{FD10E54D-7B0B-4C4F-B8E2-939387CDB3B9}" destId="{50C7F97A-AEC6-465D-9D5C-93C98B43908C}" srcOrd="1" destOrd="0" presId="urn:microsoft.com/office/officeart/2005/8/layout/orgChart1"/>
    <dgm:cxn modelId="{924C0308-2205-494A-9C7B-53648EC91F59}" type="presOf" srcId="{BEC1A4FF-3071-4C25-B002-30A5532A28E6}" destId="{5AF2FCD2-EDFD-4F3B-9000-3157F0DFF34A}" srcOrd="0" destOrd="0" presId="urn:microsoft.com/office/officeart/2005/8/layout/orgChart1"/>
    <dgm:cxn modelId="{4B8D7E08-E5BD-4FE4-AE2D-5A2354FFD2B5}" type="presOf" srcId="{25657745-DD72-4621-B425-3AFB1527C28D}" destId="{2AD3CCA2-E966-4420-9314-FA383A9E8ACF}" srcOrd="0" destOrd="0" presId="urn:microsoft.com/office/officeart/2005/8/layout/orgChart1"/>
    <dgm:cxn modelId="{4A508608-A7DC-4616-A315-2A186410E009}" type="presOf" srcId="{647C2198-ACDA-4EF2-9E0A-77DA5B315C4B}" destId="{FE9AC26B-EECC-470B-8D58-5920C5C5E006}" srcOrd="1" destOrd="0" presId="urn:microsoft.com/office/officeart/2005/8/layout/orgChart1"/>
    <dgm:cxn modelId="{047CDA08-EDFA-4094-BFC7-00EB7B075C54}" type="presOf" srcId="{DE25DFA3-0F9D-4B9D-BEA4-2507AC1F9B04}" destId="{3A91997D-8C41-430F-8744-4B201D5A852E}" srcOrd="0" destOrd="0" presId="urn:microsoft.com/office/officeart/2005/8/layout/orgChart1"/>
    <dgm:cxn modelId="{0916C309-9463-4F99-8A00-E0013E05AF06}" type="presOf" srcId="{3C5E6760-9973-4507-8410-F6115E73979F}" destId="{E7273EE2-C757-48BA-83F7-7C4A5BA264CA}" srcOrd="0" destOrd="0" presId="urn:microsoft.com/office/officeart/2005/8/layout/orgChart1"/>
    <dgm:cxn modelId="{D40CFC09-85CB-4B3F-9CAC-6E6AD8C32DD4}" type="presOf" srcId="{E8A2E369-A01E-47FF-87B0-76ED80F67B60}" destId="{97F0C1CF-74CF-404A-B5F8-CE77F2E981AD}" srcOrd="0" destOrd="0" presId="urn:microsoft.com/office/officeart/2005/8/layout/orgChart1"/>
    <dgm:cxn modelId="{D38A3D0A-FA10-4C08-91E5-942132134E2E}" type="presOf" srcId="{B1FF8223-4C4D-44C7-8D05-0DE5DD4452AD}" destId="{F82BC320-7FC3-404D-9D82-011B0464CBD9}" srcOrd="1" destOrd="0" presId="urn:microsoft.com/office/officeart/2005/8/layout/orgChart1"/>
    <dgm:cxn modelId="{B977470A-411E-437F-AD0D-93E771656394}" srcId="{E52CA914-0613-42E6-9893-DC261B296E9A}" destId="{546F882E-02A2-4E82-983D-284DAEFE663D}" srcOrd="2" destOrd="0" parTransId="{D67F30EC-648F-4953-A1B5-A7106A8B9C21}" sibTransId="{AC9037AB-48ED-45E3-ADE0-4095DA83CA6E}"/>
    <dgm:cxn modelId="{5F65A80A-16B4-4B50-8612-1A587856E9E9}" type="presOf" srcId="{9059873F-23AD-4520-865D-7D0086E7D41E}" destId="{3EB718A3-C8B9-4B05-AB64-ED481E4AAD57}" srcOrd="1" destOrd="0" presId="urn:microsoft.com/office/officeart/2005/8/layout/orgChart1"/>
    <dgm:cxn modelId="{2EE7C50A-1D7F-4299-A6D0-BAF50B876F38}" type="presOf" srcId="{24DDC09B-12C1-4FE5-A7D4-27B08A5DB303}" destId="{37C74948-BB6B-47CC-9E2C-56A358E7C14F}" srcOrd="0" destOrd="0" presId="urn:microsoft.com/office/officeart/2005/8/layout/orgChart1"/>
    <dgm:cxn modelId="{873D330B-CCD6-46E8-9602-B3A4BDB8D6F7}" type="presOf" srcId="{41C98DE4-9561-4D06-8FE1-560DBF9A6643}" destId="{94B7A8B4-826E-42F9-864B-3CC2A177AD96}" srcOrd="0" destOrd="0" presId="urn:microsoft.com/office/officeart/2005/8/layout/orgChart1"/>
    <dgm:cxn modelId="{6F9DCB0B-FF0C-4809-99FB-34BC0287590D}" type="presOf" srcId="{661FFE08-7AA2-45A2-B810-4C07FE722FE7}" destId="{F9C486B5-5A6E-4458-9FE1-FC25DEF5AB26}" srcOrd="0" destOrd="0" presId="urn:microsoft.com/office/officeart/2005/8/layout/orgChart1"/>
    <dgm:cxn modelId="{4A7C210C-4279-4739-945B-28965EF2D10C}" type="presOf" srcId="{1F00CD85-06AD-4311-9BB0-289B41D9FE14}" destId="{B9248C04-54CC-42A3-B501-8D04141BED07}" srcOrd="1" destOrd="0" presId="urn:microsoft.com/office/officeart/2005/8/layout/orgChart1"/>
    <dgm:cxn modelId="{C213250C-9BE0-4CB3-A005-BD28C07CF249}" type="presOf" srcId="{40651F84-828E-4E5E-990F-07E1DB1D6715}" destId="{EB8C3B39-46FC-414B-87CB-D96CDBC30F3F}" srcOrd="0" destOrd="0" presId="urn:microsoft.com/office/officeart/2005/8/layout/orgChart1"/>
    <dgm:cxn modelId="{27A7AA0C-89B8-4D88-85FD-6D16B2CFFABB}" srcId="{2E764A5A-3A14-45D4-A38B-5595B575B8E6}" destId="{A24482FC-352B-4DCE-93B6-0721A84D3DAA}" srcOrd="2" destOrd="0" parTransId="{DB5D59AE-306A-4C0E-AC81-2C84A144769B}" sibTransId="{DE8DC365-5B39-4061-8A37-BA951E45EE4B}"/>
    <dgm:cxn modelId="{6EB3AC0C-7C43-434A-939D-64397DC33150}" type="presOf" srcId="{CD941BBE-ED6F-4484-80C4-9B7ED8F9D1D1}" destId="{9B27327E-5F44-463F-B37B-6B62F719F8DD}" srcOrd="1" destOrd="0" presId="urn:microsoft.com/office/officeart/2005/8/layout/orgChart1"/>
    <dgm:cxn modelId="{45AEE30C-A479-4A80-8E0C-3A76F702B74C}" type="presOf" srcId="{8BB21947-522E-497A-A4DE-24AF1805C893}" destId="{FF45BF6A-6960-49F0-8041-5EBEF17637E2}" srcOrd="0" destOrd="0" presId="urn:microsoft.com/office/officeart/2005/8/layout/orgChart1"/>
    <dgm:cxn modelId="{A5DB820D-888D-4A12-8E60-AEC964B5AE0C}" type="presOf" srcId="{65D3F9C9-8ACE-4C36-856C-AD4ACE70282A}" destId="{0E4B98E5-DD0E-424B-943C-426CCE8BD4D9}" srcOrd="1" destOrd="0" presId="urn:microsoft.com/office/officeart/2005/8/layout/orgChart1"/>
    <dgm:cxn modelId="{664ACC0D-5933-43FB-B9CA-87757D85ED72}" type="presOf" srcId="{88EFE5EA-D955-4054-8F24-6A4F8979421C}" destId="{F7335264-8E9D-453A-95BD-8EC56063F5FF}" srcOrd="0" destOrd="0" presId="urn:microsoft.com/office/officeart/2005/8/layout/orgChart1"/>
    <dgm:cxn modelId="{96C8120E-5CC5-41CE-A10F-A1EFD09A0139}" type="presOf" srcId="{21571612-11CD-4494-8BFD-DB28C601996C}" destId="{2D92B018-C820-4F19-B0A6-C046ABFDA915}" srcOrd="0" destOrd="0" presId="urn:microsoft.com/office/officeart/2005/8/layout/orgChart1"/>
    <dgm:cxn modelId="{1E8C5B0E-DFBA-474B-828D-509611339DF4}" srcId="{AEFC0FA9-2342-4015-A81F-EBCAB4D4A36F}" destId="{BD3530F7-EA45-4827-8204-FABD43E02086}" srcOrd="4" destOrd="0" parTransId="{3F9E6036-C1F6-4DB3-976C-10461FC1392C}" sibTransId="{D8FA73AD-4B24-4B67-8AB3-5EAF2E86445D}"/>
    <dgm:cxn modelId="{BEF9A80E-6BFC-4220-ABB9-0715A9D1D60C}" type="presOf" srcId="{E195324A-4000-470B-80FB-2FFFFE8D9E6A}" destId="{678D9895-FFDA-4276-AF1F-B8CB4AF89043}" srcOrd="0" destOrd="0" presId="urn:microsoft.com/office/officeart/2005/8/layout/orgChart1"/>
    <dgm:cxn modelId="{C475E70E-240D-4CA6-A9DA-C84775DB05DB}" srcId="{4530D1F9-D79B-4F21-A3D8-9A72766751AB}" destId="{B5E062C0-51FF-475B-AB77-41B3C120B87C}" srcOrd="1" destOrd="0" parTransId="{4B61A3EB-7851-480D-97AE-AAA81D67AC7D}" sibTransId="{29A875B1-F2D4-480E-868D-6A5A2E0021A6}"/>
    <dgm:cxn modelId="{9517EC0E-4B6E-4B6A-B6B3-1419A029B73A}" type="presOf" srcId="{430AEF66-2B6B-4E40-BD92-7A5B9BC44106}" destId="{D0B3085C-A02D-4C21-8C7E-64AFA8BF9295}" srcOrd="0" destOrd="0" presId="urn:microsoft.com/office/officeart/2005/8/layout/orgChart1"/>
    <dgm:cxn modelId="{03A08B0F-D560-4F30-9E11-B1639A81607E}" type="presOf" srcId="{AEFC0FA9-2342-4015-A81F-EBCAB4D4A36F}" destId="{ED0D2389-5A30-45B5-B4E4-07C77A87B256}" srcOrd="0" destOrd="0" presId="urn:microsoft.com/office/officeart/2005/8/layout/orgChart1"/>
    <dgm:cxn modelId="{C6B2B00F-A34B-4ADE-937C-02D6AB0C9F7D}" type="presOf" srcId="{461B4438-DE1C-4261-A12C-E1E4DE41AB0C}" destId="{74C16A13-60F3-4DFE-A8DA-4CC67644ED35}" srcOrd="0" destOrd="0" presId="urn:microsoft.com/office/officeart/2005/8/layout/orgChart1"/>
    <dgm:cxn modelId="{8888E60F-1D25-47AB-8424-A3E6AF397E90}" type="presOf" srcId="{EA359315-D0D6-4EF3-8C96-4FBFEB4146DB}" destId="{4827BB5C-7375-4BAB-A237-7D7CD8650C2D}" srcOrd="1" destOrd="0" presId="urn:microsoft.com/office/officeart/2005/8/layout/orgChart1"/>
    <dgm:cxn modelId="{942B1110-C1CE-41BB-8825-EDC52B934C9E}" type="presOf" srcId="{43494D86-EA7A-4DCD-AB36-E02A143CE95D}" destId="{992E0C3F-42F3-4CC1-A288-5064FE474712}" srcOrd="0" destOrd="0" presId="urn:microsoft.com/office/officeart/2005/8/layout/orgChart1"/>
    <dgm:cxn modelId="{30931A10-48C9-4507-8153-5C0D08B264F2}" type="presOf" srcId="{AA44B941-0A54-4D7A-9B2A-D755ED061030}" destId="{AA1626BE-9187-46CD-AE6B-D4E6FEAB176D}" srcOrd="0" destOrd="0" presId="urn:microsoft.com/office/officeart/2005/8/layout/orgChart1"/>
    <dgm:cxn modelId="{D9E46F10-D7C5-45ED-942F-EFDA634D3BC2}" srcId="{0F55FE95-8893-4B7D-BDCB-FDC155E3EACC}" destId="{4DE59608-B863-4692-A43A-020BD43640C4}" srcOrd="0" destOrd="0" parTransId="{1C9C5A9C-63F9-47D1-A390-77155C74172C}" sibTransId="{1E05E560-70C1-46B6-852B-7AFE33362885}"/>
    <dgm:cxn modelId="{8D11D310-AB4B-4FD3-A5A3-F70D1D862D16}" type="presOf" srcId="{B8671627-4FBE-4B11-B2F5-01D35E7A09C7}" destId="{DE31D261-FA92-43EF-B370-01BBD6523310}" srcOrd="0" destOrd="0" presId="urn:microsoft.com/office/officeart/2005/8/layout/orgChart1"/>
    <dgm:cxn modelId="{786D0711-EADA-4225-8526-60EEE013F19D}" type="presOf" srcId="{3966608D-C2F4-4B13-95D8-3B194261431C}" destId="{15F8D780-F01C-4791-A2CC-0982BBD099F2}" srcOrd="0" destOrd="0" presId="urn:microsoft.com/office/officeart/2005/8/layout/orgChart1"/>
    <dgm:cxn modelId="{B4838111-AF85-4EED-8944-EBA37831C078}" type="presOf" srcId="{EBA15179-5EBF-4CDB-A793-B8E55FEB3F1C}" destId="{0558A6DE-A21A-4537-9371-33743E038EB1}" srcOrd="1" destOrd="0" presId="urn:microsoft.com/office/officeart/2005/8/layout/orgChart1"/>
    <dgm:cxn modelId="{A4948211-9F8E-4A79-A6FD-B5FC91344C25}" type="presOf" srcId="{FD24B971-6079-4D0F-974A-96B22A245152}" destId="{70E9111B-CFEA-430F-B169-DA5A7A37578E}" srcOrd="1" destOrd="0" presId="urn:microsoft.com/office/officeart/2005/8/layout/orgChart1"/>
    <dgm:cxn modelId="{511D9B11-9AB5-4C9B-A245-B0254CC3BCDB}" type="presOf" srcId="{CE77CF4A-19B6-4CD5-A983-704F5EDE28D0}" destId="{4009D03B-837A-46EF-A93B-D714548531E3}" srcOrd="0" destOrd="0" presId="urn:microsoft.com/office/officeart/2005/8/layout/orgChart1"/>
    <dgm:cxn modelId="{4269B211-90A7-4FEE-8619-F00C81A89093}" srcId="{8FC40973-C7B4-49AC-A525-0E4B043C5DA4}" destId="{66B1705C-62F7-4DED-B705-F0863D5C3542}" srcOrd="0" destOrd="0" parTransId="{8B9D720B-F12E-4FC6-9502-C6B758E34180}" sibTransId="{2B5D0733-B3C4-4C24-84F3-EE129D1B0D19}"/>
    <dgm:cxn modelId="{45500912-5FEF-4931-AF6E-1301C822B703}" type="presOf" srcId="{F41F49ED-BE36-4A63-9E37-1E1EC5082A60}" destId="{87E2CC08-2D8B-4E56-A3AD-818B900835A8}" srcOrd="1" destOrd="0" presId="urn:microsoft.com/office/officeart/2005/8/layout/orgChart1"/>
    <dgm:cxn modelId="{1C226112-B7DA-4061-A850-5EBDBE4F9397}" srcId="{F4A1CC51-0434-4C0E-A870-44440E1A02D9}" destId="{0D22E87B-87AD-4527-894E-7FC0C92FA266}" srcOrd="0" destOrd="0" parTransId="{33D489BE-B749-490B-98FA-8D34847AD854}" sibTransId="{71B3F5CE-80F1-4796-82D8-B16354AC06B6}"/>
    <dgm:cxn modelId="{90475212-2F6B-495B-957B-1BFAAE11101C}" type="presOf" srcId="{83A95EC7-DC92-4835-BEBF-750A6BB02C17}" destId="{B8E02F5F-0E45-49A5-892A-AF25D2719C39}" srcOrd="1" destOrd="0" presId="urn:microsoft.com/office/officeart/2005/8/layout/orgChart1"/>
    <dgm:cxn modelId="{96AABA12-02D8-46AC-B874-185D503BB510}" srcId="{64C04E40-1E6F-43C9-9D67-7DC020E117FD}" destId="{49EF50CC-F6C6-4511-9873-DDFEA99D5099}" srcOrd="0" destOrd="0" parTransId="{56A57D1B-4852-4909-B6A0-549EF8E66A64}" sibTransId="{F5751EA3-A601-4437-90C2-3E181257AE71}"/>
    <dgm:cxn modelId="{DB01E912-8560-4464-B585-65147C3DA7E5}" srcId="{E52CA914-0613-42E6-9893-DC261B296E9A}" destId="{487F825D-2F90-4119-9944-E4AAFDB63954}" srcOrd="1" destOrd="0" parTransId="{62DB5024-8BA8-46C6-8E61-755F393EB1C9}" sibTransId="{0060FA07-A9AB-4F67-94A0-F74D8912C569}"/>
    <dgm:cxn modelId="{A2DA0513-2A25-4DB2-8A17-EFA40ECF8708}" type="presOf" srcId="{AA8C37E9-B6EE-48BA-BAA5-9C97E15160C0}" destId="{010BA9F0-6A0F-40DC-ADCD-E979F028D9D6}" srcOrd="0" destOrd="0" presId="urn:microsoft.com/office/officeart/2005/8/layout/orgChart1"/>
    <dgm:cxn modelId="{EEDE7A13-62C8-461F-9BBD-229782F7803E}" type="presOf" srcId="{58FEE52A-7AF2-4518-B104-7436EAA933C6}" destId="{127A99F8-93F1-47AD-BF5E-41F14A68934C}" srcOrd="0" destOrd="0" presId="urn:microsoft.com/office/officeart/2005/8/layout/orgChart1"/>
    <dgm:cxn modelId="{7EA3A113-1B44-490D-A5FA-7DCA1A375BFC}" type="presOf" srcId="{4F940E2F-E19A-4388-A49B-EE303CBBD042}" destId="{C68ADD5B-0FCF-4C55-B709-F929BBC065A0}" srcOrd="0" destOrd="0" presId="urn:microsoft.com/office/officeart/2005/8/layout/orgChart1"/>
    <dgm:cxn modelId="{2F51A213-0FF0-4DA5-AAB2-A1DD148DA68B}" type="presOf" srcId="{869F57AB-7F65-4C29-B417-18BE344A9E06}" destId="{29A4CC6D-7A01-4CF3-9006-6480DC1449E9}" srcOrd="0" destOrd="0" presId="urn:microsoft.com/office/officeart/2005/8/layout/orgChart1"/>
    <dgm:cxn modelId="{E248DB13-955A-44BD-A092-249E3CD6AFBA}" srcId="{5591052D-DCF4-4653-8D30-D01F56F163F7}" destId="{8DA3CA87-733E-4583-9CCE-846A32DC1FAE}" srcOrd="1" destOrd="0" parTransId="{9F2554FE-4E10-4780-8965-CE7110AF8925}" sibTransId="{AAA33C92-4D59-498A-825A-71F59CA7A72B}"/>
    <dgm:cxn modelId="{F50A7F14-16E9-475E-8B43-A3DF97F75881}" type="presOf" srcId="{5BD91ACA-C58E-4171-B542-F9AF479E8D0A}" destId="{15026780-4D39-4358-B37B-A38AA4C4D108}" srcOrd="1" destOrd="0" presId="urn:microsoft.com/office/officeart/2005/8/layout/orgChart1"/>
    <dgm:cxn modelId="{D6E69D14-C8BC-4C22-A396-5F1265534A03}" type="presOf" srcId="{BBB8D6B9-BE73-4813-841B-801ADCF5BA66}" destId="{000468C3-A88B-477E-B450-4A1A38CD4753}" srcOrd="1" destOrd="0" presId="urn:microsoft.com/office/officeart/2005/8/layout/orgChart1"/>
    <dgm:cxn modelId="{1BC2C114-8736-4D8B-8AFC-1BA741B02338}" type="presOf" srcId="{9E0CF1C0-BE1B-46BA-8A22-8082AFB94BC8}" destId="{3804521D-DEE9-4D07-92F9-44A6A7C9E53A}" srcOrd="0" destOrd="0" presId="urn:microsoft.com/office/officeart/2005/8/layout/orgChart1"/>
    <dgm:cxn modelId="{FC141D15-5C6D-41A3-9E3A-898FD50F1FD5}" srcId="{04D519F8-B01A-4986-A285-EE31BD737934}" destId="{9059873F-23AD-4520-865D-7D0086E7D41E}" srcOrd="3" destOrd="0" parTransId="{511A8C96-C326-471D-8475-0C92809D4B35}" sibTransId="{2F471752-3163-43BF-83ED-D742F738D5DF}"/>
    <dgm:cxn modelId="{408B4E15-A051-4C0D-B43F-C0FCEBD9AEB1}" srcId="{71FDD072-FCEA-4B86-8AB5-EDEEFFA315C8}" destId="{A1A4E016-7379-46FC-A054-3AA8C4226052}" srcOrd="0" destOrd="0" parTransId="{2E64C421-9FDB-4ABB-824D-A9009CCF07AF}" sibTransId="{FF37C95A-B596-46C1-AFBC-278D3355ADE5}"/>
    <dgm:cxn modelId="{01146616-C8B2-4AC2-917E-8FBF5191A3A8}" type="presOf" srcId="{CA8E9C58-B0D6-42DA-9DB3-53574B04DCCF}" destId="{C1DA4007-A360-43BA-AA7D-F65192007956}" srcOrd="0" destOrd="0" presId="urn:microsoft.com/office/officeart/2005/8/layout/orgChart1"/>
    <dgm:cxn modelId="{7D417216-D9B4-4178-93B9-D9AD9BDA97F6}" type="presOf" srcId="{C4FBCDDB-D0F7-4DF6-9939-2A53BEFE8555}" destId="{58BC565A-7446-488A-9767-458E93248F70}" srcOrd="0" destOrd="0" presId="urn:microsoft.com/office/officeart/2005/8/layout/orgChart1"/>
    <dgm:cxn modelId="{D7B87316-5972-42E8-8902-EA863C56D6BE}" type="presOf" srcId="{41CD94C2-59F0-44A3-BBC5-F29D686C70EF}" destId="{AFCF73DB-8751-4948-B8C7-84796E53C3FC}" srcOrd="1" destOrd="0" presId="urn:microsoft.com/office/officeart/2005/8/layout/orgChart1"/>
    <dgm:cxn modelId="{04658C16-C204-4C2F-B93A-1A7F66D77E6A}" type="presOf" srcId="{3DD9F085-3147-42C8-A165-CE24AFCD5EEC}" destId="{5CCC50B0-8B80-4582-A6B4-A3545A106EEC}" srcOrd="0" destOrd="0" presId="urn:microsoft.com/office/officeart/2005/8/layout/orgChart1"/>
    <dgm:cxn modelId="{20AC9716-9CDA-445B-88E7-47966AD2256A}" type="presOf" srcId="{658C7DFD-1446-4BEC-824F-0D1F604AD075}" destId="{4E5DD5EF-BC9B-48C9-93F8-3D8790BEB0A2}" srcOrd="0" destOrd="0" presId="urn:microsoft.com/office/officeart/2005/8/layout/orgChart1"/>
    <dgm:cxn modelId="{8756A216-0634-4D93-9531-39352778C215}" type="presOf" srcId="{3EFB6F83-0F50-42CC-83FC-2ED148A81797}" destId="{674ECC1B-D15E-4E07-BBB4-B246350F35C8}" srcOrd="0" destOrd="0" presId="urn:microsoft.com/office/officeart/2005/8/layout/orgChart1"/>
    <dgm:cxn modelId="{F0A0A216-D2EE-4A38-B4E4-AA2A39C9F824}" type="presOf" srcId="{4B0BE08F-5910-4DFD-9C40-BCFC903B9E38}" destId="{90DE6293-D6EF-431C-9B6E-4C6F07384860}" srcOrd="1" destOrd="0" presId="urn:microsoft.com/office/officeart/2005/8/layout/orgChart1"/>
    <dgm:cxn modelId="{427AB916-1255-44FA-9EF1-AFB19A1E1983}" type="presOf" srcId="{4DE59608-B863-4692-A43A-020BD43640C4}" destId="{7F9D19E8-C660-45B9-B23F-11AB85143112}" srcOrd="1" destOrd="0" presId="urn:microsoft.com/office/officeart/2005/8/layout/orgChart1"/>
    <dgm:cxn modelId="{C30DDC16-FF4D-4B26-8957-35716E9D840C}" type="presOf" srcId="{4B0BE08F-5910-4DFD-9C40-BCFC903B9E38}" destId="{B0BC50D9-2FC5-488B-90DE-8CF1B4A04380}" srcOrd="0" destOrd="0" presId="urn:microsoft.com/office/officeart/2005/8/layout/orgChart1"/>
    <dgm:cxn modelId="{03BA0417-466C-46D6-8D09-813DD54F9CBC}" srcId="{F052FEB2-876D-4DF4-AB4E-C704B0274BB4}" destId="{6F2DABE7-9A70-4D84-9106-F429484E2300}" srcOrd="1" destOrd="0" parTransId="{A7C45C67-718E-424C-8067-3A8203AE7A2B}" sibTransId="{9A8D4D82-ADFC-478C-8C58-FEF2CB46975E}"/>
    <dgm:cxn modelId="{E4CB6C17-F247-47B5-ADE0-E694FDC29B0A}" type="presOf" srcId="{B0961003-2EEB-4C55-B8F4-8E72564C7F0C}" destId="{62DF908E-1B67-474F-82AB-BB0BF2AB8D46}" srcOrd="0" destOrd="0" presId="urn:microsoft.com/office/officeart/2005/8/layout/orgChart1"/>
    <dgm:cxn modelId="{AA708217-30D6-48D9-8857-444AFC3DCE27}" type="presOf" srcId="{E52CA914-0613-42E6-9893-DC261B296E9A}" destId="{EE9AA351-FC0A-4B21-9A44-0DF7CF9D0AC2}" srcOrd="0" destOrd="0" presId="urn:microsoft.com/office/officeart/2005/8/layout/orgChart1"/>
    <dgm:cxn modelId="{10A1AD17-4C8B-4062-84A0-7A32747D67A6}" type="presOf" srcId="{21DA3B63-3617-4995-A74C-73F55889E998}" destId="{7BB95882-83A3-42FB-9CF2-E76189647166}" srcOrd="1" destOrd="0" presId="urn:microsoft.com/office/officeart/2005/8/layout/orgChart1"/>
    <dgm:cxn modelId="{FEA1BC17-62E6-469F-AD06-E9F7F1CE1D13}" type="presOf" srcId="{658C7DFD-1446-4BEC-824F-0D1F604AD075}" destId="{487C44A1-F384-4470-A418-15722855680E}" srcOrd="1" destOrd="0" presId="urn:microsoft.com/office/officeart/2005/8/layout/orgChart1"/>
    <dgm:cxn modelId="{3840CB17-1697-4A7F-A6BE-6F3A4E3B438D}" type="presOf" srcId="{94F15C96-FF94-48C8-953C-B1B9398FFF34}" destId="{925437CC-A9C2-417E-89E8-25912A1B32A7}" srcOrd="0" destOrd="0" presId="urn:microsoft.com/office/officeart/2005/8/layout/orgChart1"/>
    <dgm:cxn modelId="{9B150D18-5CDC-409B-91CA-59D441BFFE82}" srcId="{0F55FE95-8893-4B7D-BDCB-FDC155E3EACC}" destId="{20723C5C-EB4F-4AA1-88A2-E6D367D78F3E}" srcOrd="6" destOrd="0" parTransId="{2E13DEC0-8B25-4620-8220-0C46F408AA93}" sibTransId="{228715B9-EB32-4D56-8BF7-AE843B04A90D}"/>
    <dgm:cxn modelId="{CCE16618-0D35-486B-8D74-9060B0F42904}" type="presOf" srcId="{E5864F28-3C1A-4FC2-A916-CD915C8A8469}" destId="{B9380F44-3446-438E-9891-C959D60CEC49}" srcOrd="0" destOrd="0" presId="urn:microsoft.com/office/officeart/2005/8/layout/orgChart1"/>
    <dgm:cxn modelId="{EB2E4F18-476B-44D1-9C47-B398183A0783}" type="presOf" srcId="{8D42A11F-59C9-44B2-BDAD-AF181B5668FD}" destId="{3EDDE387-1299-4EF2-AA7E-C87DC0B73357}" srcOrd="0" destOrd="0" presId="urn:microsoft.com/office/officeart/2005/8/layout/orgChart1"/>
    <dgm:cxn modelId="{67495218-0C27-4E3F-A246-4B8CEE1EE175}" srcId="{981E1AF4-DA2D-4B6D-9C64-83259D75895C}" destId="{5591052D-DCF4-4653-8D30-D01F56F163F7}" srcOrd="0" destOrd="0" parTransId="{1812A62B-E563-4F38-A8C3-ED56E8C9AE25}" sibTransId="{76CEBAE3-B748-4A43-9FC8-A4C3D62A8F62}"/>
    <dgm:cxn modelId="{2B708118-0BB0-4A68-ACD9-C386BECDD47F}" type="presOf" srcId="{6D171802-7E8E-4762-835E-3F263473E8D8}" destId="{229DE621-3F8F-4A6B-97D4-A796655725CD}" srcOrd="1" destOrd="0" presId="urn:microsoft.com/office/officeart/2005/8/layout/orgChart1"/>
    <dgm:cxn modelId="{BD48D718-FD03-4FB1-8970-DD19D37233BA}" type="presOf" srcId="{3F708C78-4B6B-4D04-ABED-7FF92A664A63}" destId="{CA27CE8D-7B51-47E8-9E66-DAE8C324D38F}" srcOrd="0" destOrd="0" presId="urn:microsoft.com/office/officeart/2005/8/layout/orgChart1"/>
    <dgm:cxn modelId="{8F008319-177B-449B-9D2B-A43C84457ECE}" type="presOf" srcId="{EE8DB93E-4178-4B98-B71F-4A966489DCE1}" destId="{D3E21512-AE49-47D3-96E7-6CF8D7FF1A44}" srcOrd="0" destOrd="0" presId="urn:microsoft.com/office/officeart/2005/8/layout/orgChart1"/>
    <dgm:cxn modelId="{E416DB19-9158-4850-995D-D20B2134BC6F}" srcId="{FD10E54D-7B0B-4C4F-B8E2-939387CDB3B9}" destId="{C2908B37-3AA7-43C5-BD35-0AF5D7A6AFFD}" srcOrd="3" destOrd="0" parTransId="{AEE8AE1A-3065-45B3-AC41-7B5E6EB23B99}" sibTransId="{DF907158-CA43-4091-935F-E4D3A8A2230F}"/>
    <dgm:cxn modelId="{8348E619-F748-4327-B3A5-24E40A27AB13}" srcId="{1335BBCF-8E8D-42C6-B619-071D35BDD3FC}" destId="{CD941BBE-ED6F-4484-80C4-9B7ED8F9D1D1}" srcOrd="0" destOrd="0" parTransId="{BD4E4A7D-0761-4D5C-91B2-36EA73AB663F}" sibTransId="{0EBAB1FA-B436-4A3E-8952-D2B52C473186}"/>
    <dgm:cxn modelId="{8960931A-24F4-4416-845F-012A0C42303D}" type="presOf" srcId="{667EE722-C090-4FBC-BF0D-C9B0688E0DE9}" destId="{44258B81-5E91-42AC-8F41-E1BAF27509E4}" srcOrd="1" destOrd="0" presId="urn:microsoft.com/office/officeart/2005/8/layout/orgChart1"/>
    <dgm:cxn modelId="{5A0ADD1A-E425-4B1A-9A17-E05E654982F7}" type="presOf" srcId="{ABE779BC-863F-402D-B89B-6A9F49FFB149}" destId="{5068A80C-9ACB-402A-88D0-68588455724C}" srcOrd="0" destOrd="0" presId="urn:microsoft.com/office/officeart/2005/8/layout/orgChart1"/>
    <dgm:cxn modelId="{DACB171B-2BBF-4CE3-A8EC-A6B48EE4EDEC}" type="presOf" srcId="{22EA02FD-51DA-4753-8A07-BC868D05D656}" destId="{4EB54188-3B2B-453E-8C4A-DE92730EB48E}" srcOrd="0" destOrd="0" presId="urn:microsoft.com/office/officeart/2005/8/layout/orgChart1"/>
    <dgm:cxn modelId="{6C4AA41B-F7CE-4BB1-BEE8-EB3D13965C49}" srcId="{1335BBCF-8E8D-42C6-B619-071D35BDD3FC}" destId="{5B698CD0-A9F7-4761-99CC-5848B867E308}" srcOrd="5" destOrd="0" parTransId="{8134F0FC-4D76-4D4C-BE10-0DE4B24B98D6}" sibTransId="{D77CAD52-CBDE-45A5-9B10-87D16156A78D}"/>
    <dgm:cxn modelId="{819BAD1B-4511-46D4-AA67-2B6DD25F4D98}" type="presOf" srcId="{22438E18-2FD6-4CCA-B78D-3FC731294CBF}" destId="{622E5712-87DF-4A84-90A7-4D094C8084E7}" srcOrd="0" destOrd="0" presId="urn:microsoft.com/office/officeart/2005/8/layout/orgChart1"/>
    <dgm:cxn modelId="{A9D5BD1B-5C41-4AE2-BD97-62F7A50C562D}" type="presOf" srcId="{DF071821-8BA9-4868-B806-A40BE4759DA3}" destId="{58191E0C-1E48-4684-B0DA-DD5CAD81AC57}" srcOrd="0" destOrd="0" presId="urn:microsoft.com/office/officeart/2005/8/layout/orgChart1"/>
    <dgm:cxn modelId="{CB84001C-D326-4179-B32A-B393B2F94EE0}" type="presOf" srcId="{FED3F3C6-39C4-4F26-8304-83CAE85EC212}" destId="{28C0337C-8335-42D0-A94A-60D936709D83}" srcOrd="0" destOrd="0" presId="urn:microsoft.com/office/officeart/2005/8/layout/orgChart1"/>
    <dgm:cxn modelId="{AADE501C-74D7-44DE-9CC9-E998ADF64F8F}" srcId="{4D599669-4AD4-4A06-AF34-9C8C105E9C7D}" destId="{2AFBB642-F300-4348-9BA8-7043A63D420A}" srcOrd="2" destOrd="0" parTransId="{5565E615-4FA5-4C4C-B647-CD16C4654733}" sibTransId="{ACEB78D6-942F-4CFF-9FE2-7CD26F633982}"/>
    <dgm:cxn modelId="{C2BEBA1C-A6EE-4DA8-9405-66F109244832}" srcId="{B5E062C0-51FF-475B-AB77-41B3C120B87C}" destId="{AA8C37E9-B6EE-48BA-BAA5-9C97E15160C0}" srcOrd="0" destOrd="0" parTransId="{E7EBD5C7-DDD5-429F-B5F1-004D75C012A3}" sibTransId="{126E33AA-F082-4C96-9314-553FE33FBBB6}"/>
    <dgm:cxn modelId="{731ACD1C-3818-4956-8FF8-A8DDF1F1017C}" type="presOf" srcId="{6953E66D-796A-40D3-9587-44737C2C9F0E}" destId="{4124473A-4C44-4C48-B471-C873AA6FB3B9}" srcOrd="0" destOrd="0" presId="urn:microsoft.com/office/officeart/2005/8/layout/orgChart1"/>
    <dgm:cxn modelId="{1C5D191D-9E60-494A-A21C-524B01EF7C2F}" type="presOf" srcId="{C8B090C1-E889-4B07-A5F7-783E8A24C7E4}" destId="{F7E3C707-A814-4962-9EFE-EA8997055BBD}" srcOrd="1" destOrd="0" presId="urn:microsoft.com/office/officeart/2005/8/layout/orgChart1"/>
    <dgm:cxn modelId="{A12B4C1D-2E50-4347-A41F-1746D86EC027}" type="presOf" srcId="{6A56D4F6-E20F-4550-BF17-7243096766BA}" destId="{5A26E172-0CD3-4C20-9828-6B9874499157}" srcOrd="1" destOrd="0" presId="urn:microsoft.com/office/officeart/2005/8/layout/orgChart1"/>
    <dgm:cxn modelId="{DF7D571D-ED08-4B57-AA67-2D54CF4D83FB}" type="presOf" srcId="{2017E836-4C29-406F-BBC0-5D59708D1C19}" destId="{1C655F7C-E196-48C0-94FD-81E58A939B9B}" srcOrd="1" destOrd="0" presId="urn:microsoft.com/office/officeart/2005/8/layout/orgChart1"/>
    <dgm:cxn modelId="{B7C9FB1D-8EEA-4381-8CDB-0B623D8FF806}" type="presOf" srcId="{43494D86-EA7A-4DCD-AB36-E02A143CE95D}" destId="{3E3AE83F-90C3-4B0C-85E7-0840EC4BEF4C}" srcOrd="1" destOrd="0" presId="urn:microsoft.com/office/officeart/2005/8/layout/orgChart1"/>
    <dgm:cxn modelId="{AE74231E-F888-4979-8A49-0DA661EA432D}" type="presOf" srcId="{E705A229-5034-4E22-9973-8D998757AA21}" destId="{40C48953-76C4-404D-838A-E957A48B551C}" srcOrd="0" destOrd="0" presId="urn:microsoft.com/office/officeart/2005/8/layout/orgChart1"/>
    <dgm:cxn modelId="{938E341E-C168-4412-8E30-CD438441ED25}" type="presOf" srcId="{8130E6E9-6299-4680-A9A1-35CFC113836C}" destId="{CF9B6409-A2A4-4CAC-8899-76D522B0DF0C}" srcOrd="0" destOrd="0" presId="urn:microsoft.com/office/officeart/2005/8/layout/orgChart1"/>
    <dgm:cxn modelId="{042E681E-FEBF-402C-A17C-A107D14C1249}" type="presOf" srcId="{D7642367-3B56-4504-9BE0-3B70F11B826F}" destId="{22B0B690-40F4-443D-BF68-E911755BB61C}" srcOrd="0" destOrd="0" presId="urn:microsoft.com/office/officeart/2005/8/layout/orgChart1"/>
    <dgm:cxn modelId="{740A4A1E-7941-4D59-8593-B0FA7C5D3220}" type="presOf" srcId="{0A8A6A6F-4C33-494A-B78A-EAE66C4DDB5E}" destId="{A15177E2-6338-4889-BC32-FDBD70C3B1F7}" srcOrd="1" destOrd="0" presId="urn:microsoft.com/office/officeart/2005/8/layout/orgChart1"/>
    <dgm:cxn modelId="{2B30AB1E-19D0-4D62-B462-CCD5AA625217}" srcId="{8F0CA22B-B976-4897-94C1-A5DBABB2DA3B}" destId="{C538FF67-62E3-499F-9E05-3BD3C36D6FCC}" srcOrd="1" destOrd="0" parTransId="{F1DD2E4C-12A0-40E8-990A-98CA6B290FA8}" sibTransId="{F9DD2B0C-4EB5-4FC2-A894-BA55EA0C7A7B}"/>
    <dgm:cxn modelId="{DEF2AB1E-50E1-4F43-A939-0E32BA19E0EA}" type="presOf" srcId="{4DE59608-B863-4692-A43A-020BD43640C4}" destId="{E6555810-0560-4CFA-A6C7-0AF06AF05077}" srcOrd="0" destOrd="0" presId="urn:microsoft.com/office/officeart/2005/8/layout/orgChart1"/>
    <dgm:cxn modelId="{5E8D0B1F-F753-4F0D-BF06-4129365C44A4}" type="presOf" srcId="{7D092BB6-0004-49F0-A33B-2302CAB2CF02}" destId="{CF2AABB9-B996-4349-B082-B755BDBA86E7}" srcOrd="1" destOrd="0" presId="urn:microsoft.com/office/officeart/2005/8/layout/orgChart1"/>
    <dgm:cxn modelId="{AD7F191F-92F0-4C0B-8CB3-F1D6F5F092D0}" srcId="{624FCBA6-4037-4BFE-AEF8-B4CBBD83024F}" destId="{3EFB6F83-0F50-42CC-83FC-2ED148A81797}" srcOrd="2" destOrd="0" parTransId="{272C46AF-08D6-43F9-BB5B-B14F851E60AF}" sibTransId="{FEFD8DB5-11CF-41FE-80EC-4B6ACBE8B3E5}"/>
    <dgm:cxn modelId="{DE7C1920-F53F-4DE5-AABE-B10E903F6904}" type="presOf" srcId="{41379AF8-A3CE-4C64-8A4A-FAF727BD241C}" destId="{B7C384C0-99F6-48E0-9F98-62B1F0F5F751}" srcOrd="0" destOrd="0" presId="urn:microsoft.com/office/officeart/2005/8/layout/orgChart1"/>
    <dgm:cxn modelId="{0E2C3220-C947-4ECA-8B93-EFC8B6E90050}" type="presOf" srcId="{85588F87-C042-4DDE-8AA8-1C3019723053}" destId="{7BD3537E-12BC-4463-B76F-AB644948906C}" srcOrd="0" destOrd="0" presId="urn:microsoft.com/office/officeart/2005/8/layout/orgChart1"/>
    <dgm:cxn modelId="{B1BC6C20-CA6C-4FA4-8375-5FF03581884E}" type="presOf" srcId="{8923AB61-7091-4FEB-BC6C-476E63849FCA}" destId="{F34F29B9-ADD9-471E-937C-A46776D339C5}" srcOrd="0" destOrd="0" presId="urn:microsoft.com/office/officeart/2005/8/layout/orgChart1"/>
    <dgm:cxn modelId="{B4137220-8D53-4011-B8A9-1D2E774021E0}" type="presOf" srcId="{0D37DE47-166C-4BB7-B770-F60C77BF7ECC}" destId="{8A0F7A4D-7428-4132-920C-DC1DAB3984FA}" srcOrd="1" destOrd="0" presId="urn:microsoft.com/office/officeart/2005/8/layout/orgChart1"/>
    <dgm:cxn modelId="{7C168220-A74D-43E8-BE27-6FDCB0263AAB}" type="presOf" srcId="{EFEC8CCF-2CFD-4887-8A2D-5EDB6E21E0F8}" destId="{ED4A4078-167E-4A16-A4A9-FA6F45C1A41F}" srcOrd="0" destOrd="0" presId="urn:microsoft.com/office/officeart/2005/8/layout/orgChart1"/>
    <dgm:cxn modelId="{5A40E420-A244-4C2D-AF17-A0C438025983}" type="presOf" srcId="{41CD94C2-59F0-44A3-BBC5-F29D686C70EF}" destId="{302F38BF-0449-4D20-97CD-2195155388FE}" srcOrd="0" destOrd="0" presId="urn:microsoft.com/office/officeart/2005/8/layout/orgChart1"/>
    <dgm:cxn modelId="{3578C721-CFD4-462A-B407-FF8B43CDD363}" type="presOf" srcId="{3F3C32BD-6635-4CD9-B1F8-B8FB123B8054}" destId="{4B8DAE74-C1BE-4637-A8C4-CA3035967BAC}" srcOrd="0" destOrd="0" presId="urn:microsoft.com/office/officeart/2005/8/layout/orgChart1"/>
    <dgm:cxn modelId="{BD250A22-21EE-4049-999F-C55F7D797ABA}" type="presOf" srcId="{1E7C492F-62DC-462E-B45D-565684507B11}" destId="{E7CF372C-F6B3-40CB-98CB-4650DDA7A3A3}" srcOrd="0" destOrd="0" presId="urn:microsoft.com/office/officeart/2005/8/layout/orgChart1"/>
    <dgm:cxn modelId="{86B22322-FABE-4F88-A023-2DF72D123E61}" type="presOf" srcId="{4D138308-F6EC-4F1F-B24A-FF2D870FE516}" destId="{E4F653B3-A56D-440C-9F03-356AB52D119F}" srcOrd="0" destOrd="0" presId="urn:microsoft.com/office/officeart/2005/8/layout/orgChart1"/>
    <dgm:cxn modelId="{CBC4A422-E81B-497F-9DB2-9E82C3642ED5}" type="presOf" srcId="{3844977A-B4C0-42EF-B4BD-68BBDFD4BC2F}" destId="{4432E768-364B-4D59-9176-C145B266D4ED}" srcOrd="0" destOrd="0" presId="urn:microsoft.com/office/officeart/2005/8/layout/orgChart1"/>
    <dgm:cxn modelId="{4C3CAD22-9C9C-4E87-8693-030EB0732854}" srcId="{B8671627-4FBE-4B11-B2F5-01D35E7A09C7}" destId="{79551598-49A1-43CC-A27E-9835D96707B4}" srcOrd="1" destOrd="0" parTransId="{E7BAD2DA-E1CA-43FD-BB3D-D56838651AEA}" sibTransId="{5ADBC7B9-6382-4856-9AE2-EE0198BE0031}"/>
    <dgm:cxn modelId="{FD67BC22-8C03-4361-8D5E-1961D623BF94}" type="presOf" srcId="{0DE592A2-E6EC-49F9-B7C8-E1FC79BAA314}" destId="{7BEF5639-3385-4E9A-9AE9-F48AE1DC5BE8}" srcOrd="0" destOrd="0" presId="urn:microsoft.com/office/officeart/2005/8/layout/orgChart1"/>
    <dgm:cxn modelId="{73BBE422-A296-4938-8014-F7959DDC731D}" type="presOf" srcId="{79551598-49A1-43CC-A27E-9835D96707B4}" destId="{001CA8C9-78B1-494B-A548-0CFAF6B3D62F}" srcOrd="1" destOrd="0" presId="urn:microsoft.com/office/officeart/2005/8/layout/orgChart1"/>
    <dgm:cxn modelId="{440A1923-3516-4A56-B79D-E57A89F1BEB0}" srcId="{37E376FE-5121-4167-9C56-B725FCFDC5E0}" destId="{6B75C790-037F-43B7-80EF-92C969F2F001}" srcOrd="1" destOrd="0" parTransId="{170872F0-748E-4360-8800-30064BCC9377}" sibTransId="{EC389CBE-4192-4F50-8C53-E8AC9FF7DD45}"/>
    <dgm:cxn modelId="{770D5823-E8EA-4417-8074-999CBBD945FE}" type="presOf" srcId="{7C5D9E23-1DFF-4658-A7C0-5FADC95D2D8C}" destId="{068DDF26-29B5-43E2-B5D9-C61A0211B963}" srcOrd="1" destOrd="0" presId="urn:microsoft.com/office/officeart/2005/8/layout/orgChart1"/>
    <dgm:cxn modelId="{F1008423-1F2B-43B4-8A44-641EB4BC9211}" srcId="{6B75C790-037F-43B7-80EF-92C969F2F001}" destId="{EB06DA8D-67CD-455C-A760-70BF410FEEAA}" srcOrd="0" destOrd="0" parTransId="{50977109-3DCA-4C61-AB02-F57640852CE2}" sibTransId="{E6133DF6-765F-4513-AF7F-E4DC780A655F}"/>
    <dgm:cxn modelId="{F644DA23-7D6A-4958-853B-68CDD6995965}" type="presOf" srcId="{CB22239A-2C33-4D8A-80F3-FA87867B19F5}" destId="{5091C223-C1D8-401A-B058-4E32FFA782E3}" srcOrd="0" destOrd="0" presId="urn:microsoft.com/office/officeart/2005/8/layout/orgChart1"/>
    <dgm:cxn modelId="{D502FD23-37D0-479D-B39F-64E5ABB0C75D}" type="presOf" srcId="{E31F9984-EABE-42CF-A5C3-6BEE0475157C}" destId="{6044BA6F-91C1-4AB5-965F-F3C26AC623E7}" srcOrd="0" destOrd="0" presId="urn:microsoft.com/office/officeart/2005/8/layout/orgChart1"/>
    <dgm:cxn modelId="{660F3424-75FA-4388-8F1E-57D7935001F5}" type="presOf" srcId="{C6C1691E-DC10-4048-B727-3074521B94CD}" destId="{08CA5E7C-65C8-41AD-8A49-327067FC6496}" srcOrd="0" destOrd="0" presId="urn:microsoft.com/office/officeart/2005/8/layout/orgChart1"/>
    <dgm:cxn modelId="{71984B24-00A7-4833-8A05-9505F6C14A10}" type="presOf" srcId="{A77D5189-C96F-4644-8CFD-299E8F08B79C}" destId="{249F2EE8-A9B4-449E-91AC-FDD7CC004D48}" srcOrd="0" destOrd="0" presId="urn:microsoft.com/office/officeart/2005/8/layout/orgChart1"/>
    <dgm:cxn modelId="{F4408224-B4EF-4C39-AAA6-CF7CD3A217FF}" type="presOf" srcId="{546F882E-02A2-4E82-983D-284DAEFE663D}" destId="{FDA2C7B8-B5E4-4F1A-A699-658B4C6907D6}" srcOrd="1" destOrd="0" presId="urn:microsoft.com/office/officeart/2005/8/layout/orgChart1"/>
    <dgm:cxn modelId="{92968B24-858D-481E-9395-D4D282091EDE}" type="presOf" srcId="{BF5CB15B-20CE-4AB7-A918-CA6CEA343B3D}" destId="{222F485D-3EAC-43B6-9EE3-3A3259650192}" srcOrd="1" destOrd="0" presId="urn:microsoft.com/office/officeart/2005/8/layout/orgChart1"/>
    <dgm:cxn modelId="{E88CB324-F3F0-4D4C-88A8-37873F346127}" type="presOf" srcId="{BAA0A6F4-6832-4850-8E6B-C61E7C3A8F3A}" destId="{56CFF035-930F-496A-9EA1-0D9C0B6AC888}" srcOrd="1" destOrd="0" presId="urn:microsoft.com/office/officeart/2005/8/layout/orgChart1"/>
    <dgm:cxn modelId="{EE88FF24-8AF6-4ADF-98F4-51FD4A6CBA14}" type="presOf" srcId="{971DDB20-CC80-441E-AC21-6211670B41E1}" destId="{5CC4BB92-6ADF-4F0A-9BBA-0F7A5DC71FEC}" srcOrd="0" destOrd="0" presId="urn:microsoft.com/office/officeart/2005/8/layout/orgChart1"/>
    <dgm:cxn modelId="{9BD36B25-3BE1-4DA3-8BC0-50D380EF49C5}" type="presOf" srcId="{E9C9B03C-CE48-4E81-8181-9DE10C5B64B7}" destId="{FDDEB235-AA29-444B-9C11-F89E654B3C26}" srcOrd="1" destOrd="0" presId="urn:microsoft.com/office/officeart/2005/8/layout/orgChart1"/>
    <dgm:cxn modelId="{57288925-B7A4-486B-A0D0-82F19090FC84}" srcId="{FD10E54D-7B0B-4C4F-B8E2-939387CDB3B9}" destId="{3DD9F085-3147-42C8-A165-CE24AFCD5EEC}" srcOrd="0" destOrd="0" parTransId="{9ABF48A2-88A4-4296-A0ED-96D4EE33E37B}" sibTransId="{72F6BDB0-EDF0-42D4-A34C-73E49518237E}"/>
    <dgm:cxn modelId="{501FA425-8BA0-4B82-8FC5-721E71D8B114}" type="presOf" srcId="{6E319C87-5DA3-42B6-8F49-67B2CC49CED9}" destId="{AE9D82C9-2E95-4389-94D9-C2A60EA4CF33}" srcOrd="0" destOrd="0" presId="urn:microsoft.com/office/officeart/2005/8/layout/orgChart1"/>
    <dgm:cxn modelId="{33EFC825-0C57-4A5C-A943-E480C15D8C4F}" type="presOf" srcId="{B0F35BDD-1A2D-4B0E-8B7B-7060D56B4FFD}" destId="{D9501789-37D2-49C7-A215-625162221229}" srcOrd="1" destOrd="0" presId="urn:microsoft.com/office/officeart/2005/8/layout/orgChart1"/>
    <dgm:cxn modelId="{704DCF25-8459-4A86-B3F0-7EE229C41169}" type="presOf" srcId="{8E03C179-FBF2-492B-BCB0-E0FC2460C488}" destId="{DA6A51FB-7650-477E-96A4-DB62B2D615ED}" srcOrd="0" destOrd="0" presId="urn:microsoft.com/office/officeart/2005/8/layout/orgChart1"/>
    <dgm:cxn modelId="{5CFD0C26-A5A3-43E5-93A8-0A870A38054C}" srcId="{E52CA914-0613-42E6-9893-DC261B296E9A}" destId="{48C789E9-31B2-4DF5-877F-2BBCF314ECF3}" srcOrd="3" destOrd="0" parTransId="{4AA10C4C-F20A-4062-9BC8-5E15112BBC86}" sibTransId="{D13C6519-854D-4E53-8AF6-9DA606749121}"/>
    <dgm:cxn modelId="{C7AE4626-9B4F-4E66-A37D-F488B60F49F7}" type="presOf" srcId="{ADC3BCAA-3562-4802-B5F4-CCB93911D8A5}" destId="{0A6011F9-311C-45BF-9F94-1C2B488C3D30}" srcOrd="0" destOrd="0" presId="urn:microsoft.com/office/officeart/2005/8/layout/orgChart1"/>
    <dgm:cxn modelId="{290B4E26-AE2E-4DA6-AF45-3951F5029CCA}" type="presOf" srcId="{E636B005-FAAC-4710-8C3E-B22ABBD265C7}" destId="{EA603AD3-1C4E-46B5-8FCA-28F4A2415515}" srcOrd="1" destOrd="0" presId="urn:microsoft.com/office/officeart/2005/8/layout/orgChart1"/>
    <dgm:cxn modelId="{0D148226-3796-4B95-B0DF-507A9BEDD274}" type="presOf" srcId="{925481C1-8C62-4771-8584-6C589CE0BF1D}" destId="{5B6359D7-85BC-4AE5-BD27-A2DBF588A62E}" srcOrd="0" destOrd="0" presId="urn:microsoft.com/office/officeart/2005/8/layout/orgChart1"/>
    <dgm:cxn modelId="{9E65AA26-D164-4008-B14C-1BF30581C7E1}" type="presOf" srcId="{BCDD699D-25B2-4814-BDDF-0F3CFE0D2496}" destId="{18A772E2-306E-4293-AE9F-E9D0B634F60E}" srcOrd="0" destOrd="0" presId="urn:microsoft.com/office/officeart/2005/8/layout/orgChart1"/>
    <dgm:cxn modelId="{B1C7B126-6086-4998-8841-ABD25063889B}" type="presOf" srcId="{6E16D81C-4F87-4ACC-83DE-F25AA0F19FC2}" destId="{2E0BADC6-4548-4E2D-A212-02FC92F2E657}" srcOrd="0" destOrd="0" presId="urn:microsoft.com/office/officeart/2005/8/layout/orgChart1"/>
    <dgm:cxn modelId="{479BB926-5CDC-42AA-89DD-A51C93226EC0}" type="presOf" srcId="{48297509-E534-4AEB-8B37-CA0244981934}" destId="{2B9EFDF3-432C-4E6B-9C62-BBBA700F291F}" srcOrd="0" destOrd="0" presId="urn:microsoft.com/office/officeart/2005/8/layout/orgChart1"/>
    <dgm:cxn modelId="{FC61C526-60E3-4CB5-A89A-C60028AE264B}" srcId="{4D138308-F6EC-4F1F-B24A-FF2D870FE516}" destId="{783D575E-D60D-46E5-9E00-175027F47FEC}" srcOrd="6" destOrd="0" parTransId="{B2F16794-742C-452A-988E-E3C762692148}" sibTransId="{5FEFF1DD-66C0-428B-B1F9-C88192F76145}"/>
    <dgm:cxn modelId="{82F15D27-7CBE-4B6A-BC68-A1FEDE33FBFF}" type="presOf" srcId="{A8EA00EE-E19D-4089-B2C5-41B7066ABC2E}" destId="{2E2F18DF-47D4-4D8C-A727-147EEA1C5220}" srcOrd="0" destOrd="0" presId="urn:microsoft.com/office/officeart/2005/8/layout/orgChart1"/>
    <dgm:cxn modelId="{1E495227-31E0-4744-AEAF-D55808A16B38}" type="presOf" srcId="{FCC5C2AC-03B5-438E-A94A-743C42691E38}" destId="{E0DB6AA2-7B31-4CDE-8517-4E3815232D82}" srcOrd="0" destOrd="0" presId="urn:microsoft.com/office/officeart/2005/8/layout/orgChart1"/>
    <dgm:cxn modelId="{1C0A5327-9952-4C24-83FD-A01D1CBFA61B}" srcId="{F41F49ED-BE36-4A63-9E37-1E1EC5082A60}" destId="{BB86F087-5B45-4E71-B294-E4DBD9C04FFC}" srcOrd="0" destOrd="0" parTransId="{A77D5189-C96F-4644-8CFD-299E8F08B79C}" sibTransId="{C020802C-286E-474F-BA47-F97CD0EE512E}"/>
    <dgm:cxn modelId="{06318727-40E3-4AAE-A503-5A469B39070B}" srcId="{A80098DA-C80A-4B77-8F44-5A6EA76A1F2D}" destId="{C96A7505-6770-4770-A152-D1D662290F25}" srcOrd="1" destOrd="0" parTransId="{5CA0ACA5-F6F1-46FF-8D18-425965FC1080}" sibTransId="{7E4ECF5A-8047-4CB4-B4FA-6FBA4B0B1519}"/>
    <dgm:cxn modelId="{229DA827-A524-4EC3-ACB1-F5D7CE259A03}" type="presOf" srcId="{4FE96E8C-8EE4-4139-A8BC-01C2D32C4E45}" destId="{51FA0752-677B-46DF-8EB6-83ADAE65B8A5}" srcOrd="1" destOrd="0" presId="urn:microsoft.com/office/officeart/2005/8/layout/orgChart1"/>
    <dgm:cxn modelId="{109ABC27-8B24-4D0E-961E-12B5C253C187}" type="presOf" srcId="{E5574D11-1ACC-4F61-A8BE-2E2DD030F4F9}" destId="{FF2E973A-4707-40E2-B592-DB13EBB84CA7}" srcOrd="1" destOrd="0" presId="urn:microsoft.com/office/officeart/2005/8/layout/orgChart1"/>
    <dgm:cxn modelId="{7A57BF27-8E01-4D42-8AA2-81930774AE32}" type="presOf" srcId="{37E376FE-5121-4167-9C56-B725FCFDC5E0}" destId="{43D84183-88E5-4B59-8B9F-9D256BEEA86D}" srcOrd="1" destOrd="0" presId="urn:microsoft.com/office/officeart/2005/8/layout/orgChart1"/>
    <dgm:cxn modelId="{302CFF27-40C4-4633-BE9B-0A741FED141F}" type="presOf" srcId="{C97C6C2C-8E95-4994-8CA3-58CD63D2A664}" destId="{99C20357-F275-422B-871C-A73651821F2B}" srcOrd="0" destOrd="0" presId="urn:microsoft.com/office/officeart/2005/8/layout/orgChart1"/>
    <dgm:cxn modelId="{F9C50728-D722-46A6-B824-5B75C3FE83B8}" type="presOf" srcId="{4810ACD6-252C-478A-A613-29B71C31ABE2}" destId="{6DC0CB74-1EBD-4CC3-A2D4-5E0772D51868}" srcOrd="1" destOrd="0" presId="urn:microsoft.com/office/officeart/2005/8/layout/orgChart1"/>
    <dgm:cxn modelId="{E2713928-914F-4C10-BB94-2A8ADB40029A}" type="presOf" srcId="{F3B1A565-4822-48DB-A534-938E8EFB42F5}" destId="{B79C86AF-A130-4AC3-A985-AAF653299F22}" srcOrd="0" destOrd="0" presId="urn:microsoft.com/office/officeart/2005/8/layout/orgChart1"/>
    <dgm:cxn modelId="{F47C3C28-1255-404C-89A9-E6B8C49746AC}" type="presOf" srcId="{1C20E06F-E0BA-4A9E-86A3-2F88046861BC}" destId="{0AF2E93E-F9EA-479B-A31B-30BB7FD3179C}" srcOrd="0" destOrd="0" presId="urn:microsoft.com/office/officeart/2005/8/layout/orgChart1"/>
    <dgm:cxn modelId="{A2EC4428-48A2-471F-80B2-9F87028305DF}" type="presOf" srcId="{EA359315-D0D6-4EF3-8C96-4FBFEB4146DB}" destId="{0F4D8CFA-30F7-4B8C-A3DF-4CAD41AC1DB0}" srcOrd="0" destOrd="0" presId="urn:microsoft.com/office/officeart/2005/8/layout/orgChart1"/>
    <dgm:cxn modelId="{87B27528-305F-4334-8707-4B2344AA1AF5}" type="presOf" srcId="{5B3109DE-A521-450A-91D5-9785EE5C6138}" destId="{65D227DA-CBB2-41F1-B2EE-56E515AB50C2}" srcOrd="0" destOrd="0" presId="urn:microsoft.com/office/officeart/2005/8/layout/orgChart1"/>
    <dgm:cxn modelId="{84E27F29-78D8-4465-9ACF-ABA4F4B5BA77}" type="presOf" srcId="{A49A2F49-29A2-4409-A8AA-7C842ECB3A93}" destId="{179A39D3-51FF-4BD5-ADD8-05CF438D0C66}" srcOrd="1" destOrd="0" presId="urn:microsoft.com/office/officeart/2005/8/layout/orgChart1"/>
    <dgm:cxn modelId="{4DF6F729-E46A-48E5-AEC3-3F9FDB1A33FF}" type="presOf" srcId="{827C8138-2817-43FC-98EE-B56EB68BDB67}" destId="{C14DC394-FE74-4FE1-96FF-0029B0AD8B3D}" srcOrd="1" destOrd="0" presId="urn:microsoft.com/office/officeart/2005/8/layout/orgChart1"/>
    <dgm:cxn modelId="{AC0DF829-1481-41E2-9A85-6462C1222563}" srcId="{FD10E54D-7B0B-4C4F-B8E2-939387CDB3B9}" destId="{D93F8FC5-B1EC-48A5-BE67-12F26D119071}" srcOrd="2" destOrd="0" parTransId="{670C0FB0-3E50-4F75-875A-6D5296FE311B}" sibTransId="{179FB65E-3A24-4658-B16A-83C360139DA1}"/>
    <dgm:cxn modelId="{36323B2A-7FBB-4F74-8AE9-7877706E7B04}" type="presOf" srcId="{98D9D6CE-6322-49D6-861D-4DD638E56228}" destId="{ECA59E38-E784-475C-8EED-285AA5A4C5FA}" srcOrd="0" destOrd="0" presId="urn:microsoft.com/office/officeart/2005/8/layout/orgChart1"/>
    <dgm:cxn modelId="{4A9B662A-02E4-46AE-BBEC-584A84ED22BD}" type="presOf" srcId="{A1A6043F-1314-4D8F-807A-DCB8AA616AF7}" destId="{5BF93A2D-2F5E-43A0-B579-9B9680253C10}" srcOrd="0" destOrd="0" presId="urn:microsoft.com/office/officeart/2005/8/layout/orgChart1"/>
    <dgm:cxn modelId="{A37C6D2A-B7D2-4EA3-8BE9-C97B0BD602C0}" type="presOf" srcId="{667EE722-C090-4FBC-BF0D-C9B0688E0DE9}" destId="{E14B7D4E-DC3F-4D52-B9AB-A1B052695C17}" srcOrd="0" destOrd="0" presId="urn:microsoft.com/office/officeart/2005/8/layout/orgChart1"/>
    <dgm:cxn modelId="{7BF07A2A-9776-4E1A-9AB9-51854FCB5E27}" type="presOf" srcId="{E051CD3A-A55A-4CF9-8A65-3E209C0533A8}" destId="{CCB3DB7C-6F0D-464E-9395-193B4C0C524D}" srcOrd="0" destOrd="0" presId="urn:microsoft.com/office/officeart/2005/8/layout/orgChart1"/>
    <dgm:cxn modelId="{77928C2A-5787-4FFE-9ED6-00A9B7201E88}" type="presOf" srcId="{4D4E1A9F-02D8-41E5-9746-F410EC7C0753}" destId="{709837A5-5F5F-46C7-997C-4F778264948A}" srcOrd="1" destOrd="0" presId="urn:microsoft.com/office/officeart/2005/8/layout/orgChart1"/>
    <dgm:cxn modelId="{E76A9F2A-AA9C-489E-B5E1-D71568B60AC6}" type="presOf" srcId="{4603DBF8-D408-4392-88FE-7547A22C85A4}" destId="{22EA4BDD-C54D-4AA6-A4F2-F31D098BF093}" srcOrd="0" destOrd="0" presId="urn:microsoft.com/office/officeart/2005/8/layout/orgChart1"/>
    <dgm:cxn modelId="{4272A82A-EED6-475C-AFEC-C92E90812940}" type="presOf" srcId="{DBC60928-6F55-4D3D-8A18-00418604EA51}" destId="{2EA74C75-4D75-4607-BD52-E7EADE92931D}" srcOrd="1" destOrd="0" presId="urn:microsoft.com/office/officeart/2005/8/layout/orgChart1"/>
    <dgm:cxn modelId="{2574D22A-0ECD-406F-8E40-0E80C0FE83A3}" type="presOf" srcId="{3DD9F085-3147-42C8-A165-CE24AFCD5EEC}" destId="{61C7FC23-F0F4-43E6-AA10-83F41A6BB067}" srcOrd="1" destOrd="0" presId="urn:microsoft.com/office/officeart/2005/8/layout/orgChart1"/>
    <dgm:cxn modelId="{6A9DE02A-C29B-4611-AD6F-B69B09138985}" type="presOf" srcId="{F66EE8E3-FED5-4EE4-8436-4ED51E9BED17}" destId="{CE46C59C-A597-44D4-B217-595BD0C9D0FA}" srcOrd="1" destOrd="0" presId="urn:microsoft.com/office/officeart/2005/8/layout/orgChart1"/>
    <dgm:cxn modelId="{2773ED2A-FB3A-4186-B601-E8796A8ACE4E}" type="presOf" srcId="{3F9E6036-C1F6-4DB3-976C-10461FC1392C}" destId="{35EBA352-26AB-435E-8869-FCED05DD467B}" srcOrd="0" destOrd="0" presId="urn:microsoft.com/office/officeart/2005/8/layout/orgChart1"/>
    <dgm:cxn modelId="{08C0262B-724B-48B2-AA48-12F64CBD2156}" type="presOf" srcId="{9E8BFB46-E297-4315-941D-50527A6D7983}" destId="{D266B9AF-6D48-40E3-8EBD-AF588DFA91CC}" srcOrd="0" destOrd="0" presId="urn:microsoft.com/office/officeart/2005/8/layout/orgChart1"/>
    <dgm:cxn modelId="{27F4762B-5C18-41AA-9301-5A77BF646E9B}" type="presOf" srcId="{0F55FE95-8893-4B7D-BDCB-FDC155E3EACC}" destId="{9D78CFB4-3EE0-4D2B-8986-CC5BAC4B9073}" srcOrd="1" destOrd="0" presId="urn:microsoft.com/office/officeart/2005/8/layout/orgChart1"/>
    <dgm:cxn modelId="{1AED812B-AB02-45F9-8C19-67CC848BAC8D}" type="presOf" srcId="{FECC9238-9990-4194-A985-57830279189D}" destId="{B63A80D4-0444-4339-B88B-C4C3B66E77E6}" srcOrd="1" destOrd="0" presId="urn:microsoft.com/office/officeart/2005/8/layout/orgChart1"/>
    <dgm:cxn modelId="{4D9D402C-5048-4A69-8DCF-7911D73FB77F}" type="presOf" srcId="{C6425DEA-6FA3-417E-B750-3540F6EE7CF3}" destId="{E8BEDF73-D90B-4B0A-AAF2-24BBD0C7C796}" srcOrd="1" destOrd="0" presId="urn:microsoft.com/office/officeart/2005/8/layout/orgChart1"/>
    <dgm:cxn modelId="{28395D2C-19F5-4751-9A20-0D0B849700AC}" srcId="{FE848344-69B4-4AF0-A0BA-62F6E39471A7}" destId="{9E5D52D3-374F-4E43-9C4E-BF0B3D31EC7B}" srcOrd="2" destOrd="0" parTransId="{EA53066A-B3FF-4729-B512-2FB05783CDFD}" sibTransId="{2D28BB72-12D0-44C2-B7D0-2016ECFF6591}"/>
    <dgm:cxn modelId="{FA68472C-C1AD-49AD-B98C-846196F08E86}" type="presOf" srcId="{5B3109DE-A521-450A-91D5-9785EE5C6138}" destId="{E10CEDCF-33F2-47FE-864E-8FED7FAC5B09}" srcOrd="1" destOrd="0" presId="urn:microsoft.com/office/officeart/2005/8/layout/orgChart1"/>
    <dgm:cxn modelId="{397D102D-534E-43C5-8C68-0B1F996801C7}" srcId="{624FCBA6-4037-4BFE-AEF8-B4CBBD83024F}" destId="{43494D86-EA7A-4DCD-AB36-E02A143CE95D}" srcOrd="0" destOrd="0" parTransId="{971DDB20-CC80-441E-AC21-6211670B41E1}" sibTransId="{BC750FC7-4F04-4CF4-9D87-C58E89F45CF9}"/>
    <dgm:cxn modelId="{0FEFDC2D-8772-424B-BAA6-862B9B03CB30}" type="presOf" srcId="{8134F0FC-4D76-4D4C-BE10-0DE4B24B98D6}" destId="{F0E705CE-3B6B-4E1B-A235-F74A7358B414}" srcOrd="0" destOrd="0" presId="urn:microsoft.com/office/officeart/2005/8/layout/orgChart1"/>
    <dgm:cxn modelId="{8587E12D-6F90-44A5-BBCC-F30857CF4D66}" type="presOf" srcId="{16D42A3B-21AA-4A36-8232-FDBA1AF98D86}" destId="{715D454E-F12A-48F0-8860-E6D3DF525708}" srcOrd="1" destOrd="0" presId="urn:microsoft.com/office/officeart/2005/8/layout/orgChart1"/>
    <dgm:cxn modelId="{5AE6A02E-68CF-407A-B2E5-46CC43864213}" srcId="{F35C6DA3-2482-46AA-B232-A1931123E027}" destId="{18502FA2-63FD-490F-8568-59F2241113F1}" srcOrd="6" destOrd="0" parTransId="{B1A55261-9E28-4100-B2A4-A33DF4773EDA}" sibTransId="{2CC1F357-DE17-44F9-A50D-8C478C77657A}"/>
    <dgm:cxn modelId="{B5F2C62E-BBEC-4766-A733-7B25FBAD0324}" type="presOf" srcId="{DDF6C6EA-A17F-4E38-9FF4-72B93A4C0D55}" destId="{88032EC3-0EE7-47AF-A32D-21B9D836A3E4}" srcOrd="1" destOrd="0" presId="urn:microsoft.com/office/officeart/2005/8/layout/orgChart1"/>
    <dgm:cxn modelId="{B508C82E-238A-4149-8FBB-A9E46AE7DC69}" type="presOf" srcId="{97EB310D-25B9-4879-AB93-C462D26CD9B4}" destId="{B5BEF0E8-B297-480F-BD3F-60C9A8748FE6}" srcOrd="1" destOrd="0" presId="urn:microsoft.com/office/officeart/2005/8/layout/orgChart1"/>
    <dgm:cxn modelId="{E9E2F02E-B3A8-4108-BD26-A28EF70590AC}" srcId="{6B75C790-037F-43B7-80EF-92C969F2F001}" destId="{B3F50DDB-EF97-495B-B854-7D6C784A55DE}" srcOrd="2" destOrd="0" parTransId="{76E10DBD-73F3-4551-8402-2FA5700A0BE1}" sibTransId="{6C404F15-8055-4F48-A9B5-9983B41D6550}"/>
    <dgm:cxn modelId="{99D0A82F-57CC-483E-8302-E29FD638DA6B}" type="presOf" srcId="{9E5D52D3-374F-4E43-9C4E-BF0B3D31EC7B}" destId="{9554BC3F-32CF-427D-95D5-FB340778AF6D}" srcOrd="0" destOrd="0" presId="urn:microsoft.com/office/officeart/2005/8/layout/orgChart1"/>
    <dgm:cxn modelId="{1AED6E30-5DF2-4D13-BB6A-1F5B1F200721}" type="presOf" srcId="{0CD0D40F-7D53-4E4D-A17E-BC6DAB8DD001}" destId="{8D3B42F0-4E51-4719-97AC-095B75C80D56}" srcOrd="0" destOrd="0" presId="urn:microsoft.com/office/officeart/2005/8/layout/orgChart1"/>
    <dgm:cxn modelId="{5D148030-DC40-43F6-9511-2248C07C43A8}" type="presOf" srcId="{201EEA7F-7334-4A45-8ED4-7294998966B3}" destId="{EBC13BA5-55D4-4757-83C3-163149F20BA5}" srcOrd="0" destOrd="0" presId="urn:microsoft.com/office/officeart/2005/8/layout/orgChart1"/>
    <dgm:cxn modelId="{E29CA430-CCE1-47F4-B324-C0B91919D1BD}" srcId="{F35C6DA3-2482-46AA-B232-A1931123E027}" destId="{803222C5-9AC1-40E8-8786-669DF97B845E}" srcOrd="7" destOrd="0" parTransId="{D627746A-12F6-4E88-A79F-A03D22FC6867}" sibTransId="{53DB8AA2-FAA9-4DB6-B457-35404A3B5ABF}"/>
    <dgm:cxn modelId="{3B99DE30-9F2F-4717-8DC1-E354852E86BF}" type="presOf" srcId="{EB06DA8D-67CD-455C-A760-70BF410FEEAA}" destId="{56783023-A3E6-44CC-A7FE-CC4B86C3BA97}" srcOrd="0" destOrd="0" presId="urn:microsoft.com/office/officeart/2005/8/layout/orgChart1"/>
    <dgm:cxn modelId="{1F85EE30-5CCF-44E2-B3BD-F5A1164569C5}" srcId="{0F55FE95-8893-4B7D-BDCB-FDC155E3EACC}" destId="{DBC60928-6F55-4D3D-8A18-00418604EA51}" srcOrd="4" destOrd="0" parTransId="{0CD0D40F-7D53-4E4D-A17E-BC6DAB8DD001}" sibTransId="{B387B50B-F579-4B30-8BF1-5F7207B372BE}"/>
    <dgm:cxn modelId="{AF346A31-C00F-49C9-A4F0-19B275290F44}" type="presOf" srcId="{0A8A6A6F-4C33-494A-B78A-EAE66C4DDB5E}" destId="{192F4858-3366-4590-A59A-565465D13786}" srcOrd="0" destOrd="0" presId="urn:microsoft.com/office/officeart/2005/8/layout/orgChart1"/>
    <dgm:cxn modelId="{6F066C31-CA4E-468C-B6C5-42F6DE27592F}" type="presOf" srcId="{CB5DDAB7-D6BA-4F78-8AC1-41093DB49CBF}" destId="{9ED724B5-D96D-4094-AA85-754FA7B73CEC}" srcOrd="0" destOrd="0" presId="urn:microsoft.com/office/officeart/2005/8/layout/orgChart1"/>
    <dgm:cxn modelId="{4FF27731-B8E8-4E1E-9A45-2864158CFFE5}" type="presOf" srcId="{624FCBA6-4037-4BFE-AEF8-B4CBBD83024F}" destId="{E54A3918-1E03-4C4D-B367-E1EDCFDCB376}" srcOrd="0" destOrd="0" presId="urn:microsoft.com/office/officeart/2005/8/layout/orgChart1"/>
    <dgm:cxn modelId="{91A47A31-3F58-40F5-AC3D-51F1713E18EB}" type="presOf" srcId="{94542E4A-D1E8-42C9-9FE4-ABD4D7205DBC}" destId="{99726566-FC78-442F-A30E-791E28585082}" srcOrd="1" destOrd="0" presId="urn:microsoft.com/office/officeart/2005/8/layout/orgChart1"/>
    <dgm:cxn modelId="{57820232-AB36-49F2-9275-111CEB96124C}" type="presOf" srcId="{71FDD072-FCEA-4B86-8AB5-EDEEFFA315C8}" destId="{9675808E-098C-4E0E-B58D-5A8562424480}" srcOrd="0" destOrd="0" presId="urn:microsoft.com/office/officeart/2005/8/layout/orgChart1"/>
    <dgm:cxn modelId="{7C410A32-14FC-4600-9C59-15A00D6B20FB}" srcId="{43494D86-EA7A-4DCD-AB36-E02A143CE95D}" destId="{F41F49ED-BE36-4A63-9E37-1E1EC5082A60}" srcOrd="3" destOrd="0" parTransId="{2B0F7E03-D206-42B6-8474-2A3273D98ED3}" sibTransId="{D0A0031D-6C32-445D-9D12-3AEA017A7011}"/>
    <dgm:cxn modelId="{42851332-8CB8-4A48-A170-B69D167476C5}" type="presOf" srcId="{C96A7505-6770-4770-A152-D1D662290F25}" destId="{866E4FC1-3CF3-45B7-BE60-37F9C053A188}" srcOrd="0" destOrd="0" presId="urn:microsoft.com/office/officeart/2005/8/layout/orgChart1"/>
    <dgm:cxn modelId="{DFCD1532-A588-43E4-864C-A15E3F7A4189}" type="presOf" srcId="{0301553D-8786-475F-83B1-EF4349ED89FC}" destId="{C2F38661-A6B2-4DC9-AB6D-B511EF4C168D}" srcOrd="0" destOrd="0" presId="urn:microsoft.com/office/officeart/2005/8/layout/orgChart1"/>
    <dgm:cxn modelId="{11CB2232-935E-4124-83D4-3D5C688678E4}" type="presOf" srcId="{E7EBD5C7-DDD5-429F-B5F1-004D75C012A3}" destId="{CAE3BC52-4F8F-4707-9276-2663F5C93648}" srcOrd="0" destOrd="0" presId="urn:microsoft.com/office/officeart/2005/8/layout/orgChart1"/>
    <dgm:cxn modelId="{7D332732-5082-4688-A16F-A9E0F2170DF8}" type="presOf" srcId="{39A16437-0264-4D44-9B1F-CB364CD15762}" destId="{9721D323-EBE0-4C7A-9DCD-8A332F537AC3}" srcOrd="1" destOrd="0" presId="urn:microsoft.com/office/officeart/2005/8/layout/orgChart1"/>
    <dgm:cxn modelId="{EDF86332-27F4-4EF1-9046-FAF746FD1B4D}" srcId="{43494D86-EA7A-4DCD-AB36-E02A143CE95D}" destId="{4D599669-4AD4-4A06-AF34-9C8C105E9C7D}" srcOrd="5" destOrd="0" parTransId="{D8FFB51A-C1C4-42AC-8A2F-ED66F187AD19}" sibTransId="{210147B0-5D5D-4B32-8147-3D22475FFFFE}"/>
    <dgm:cxn modelId="{4D3FBB32-5BDF-4925-BB75-BB0F0533D4BF}" srcId="{37E376FE-5121-4167-9C56-B725FCFDC5E0}" destId="{8923AB61-7091-4FEB-BC6C-476E63849FCA}" srcOrd="0" destOrd="0" parTransId="{E5A58C16-8798-45B6-8B44-C3D693F485DB}" sibTransId="{01A709C3-9873-4D10-A73C-00AB39523C4D}"/>
    <dgm:cxn modelId="{0C778D33-5C23-4E93-85A7-86D1E680153E}" type="presOf" srcId="{5415383A-F5AF-4898-9C22-13AB48B2A05C}" destId="{A8CE11DA-2279-4EDA-87E5-B439F06644FF}" srcOrd="1" destOrd="0" presId="urn:microsoft.com/office/officeart/2005/8/layout/orgChart1"/>
    <dgm:cxn modelId="{9215EB33-292B-4F8D-8FF5-BA7AD1A2F28A}" type="presOf" srcId="{88F0909E-ACD4-40F1-928D-9BA7EE46E7F2}" destId="{3CF35989-B5B4-46C7-9B8E-D44BFCB8D69D}" srcOrd="0" destOrd="0" presId="urn:microsoft.com/office/officeart/2005/8/layout/orgChart1"/>
    <dgm:cxn modelId="{E1820134-A7FC-49C5-AD44-3D1AE3B7CEBD}" type="presOf" srcId="{3BCE4EE7-6AEB-4019-BFDE-C7B45E04C453}" destId="{BF2C8068-5568-4FF9-BBDF-FA5E1EB5C39A}" srcOrd="0" destOrd="0" presId="urn:microsoft.com/office/officeart/2005/8/layout/orgChart1"/>
    <dgm:cxn modelId="{8B222434-CA7D-4E8E-8CAC-D9BBF59889DA}" srcId="{71FDD072-FCEA-4B86-8AB5-EDEEFFA315C8}" destId="{EA359315-D0D6-4EF3-8C96-4FBFEB4146DB}" srcOrd="1" destOrd="0" parTransId="{979C3A29-B299-4E27-AA34-49DB2BB4921F}" sibTransId="{B4507869-70E7-4D71-B019-A0687996B974}"/>
    <dgm:cxn modelId="{EB0A4734-1D96-4DEC-845A-23624285BCE6}" type="presOf" srcId="{4B61A3EB-7851-480D-97AE-AAA81D67AC7D}" destId="{BCA01E72-60B8-4EBB-8601-00F8976FEB69}" srcOrd="0" destOrd="0" presId="urn:microsoft.com/office/officeart/2005/8/layout/orgChart1"/>
    <dgm:cxn modelId="{399A4934-6DFF-4440-8E53-EE9E1D97935B}" type="presOf" srcId="{37E376FE-5121-4167-9C56-B725FCFDC5E0}" destId="{8AD47393-E850-47FD-ACBD-A5D235867EE1}" srcOrd="0" destOrd="0" presId="urn:microsoft.com/office/officeart/2005/8/layout/orgChart1"/>
    <dgm:cxn modelId="{C75DA334-C1AE-4995-A421-E6E34BEA3F43}" type="presOf" srcId="{86E61AC4-C846-4D1C-B65B-6555FD9EE258}" destId="{2DDB31CB-7530-4253-84D2-520735121203}" srcOrd="1" destOrd="0" presId="urn:microsoft.com/office/officeart/2005/8/layout/orgChart1"/>
    <dgm:cxn modelId="{4D18AE34-B1BC-4714-B577-8F70DED16A02}" type="presOf" srcId="{48AD2F60-989F-4833-8C6B-22449A9EFE4B}" destId="{4820B8C3-7D09-47D4-AF2E-2649E12E4416}" srcOrd="0" destOrd="0" presId="urn:microsoft.com/office/officeart/2005/8/layout/orgChart1"/>
    <dgm:cxn modelId="{1F680935-4103-4DCB-A8CD-778D0BDFADAF}" type="presOf" srcId="{7C8D31CE-B5AC-4B72-ABD2-D094763D1FED}" destId="{78371917-E69F-4D19-8A67-FFFBD44FE0FE}" srcOrd="0" destOrd="0" presId="urn:microsoft.com/office/officeart/2005/8/layout/orgChart1"/>
    <dgm:cxn modelId="{AA822135-8B23-47D3-85A2-FC52BA280E07}" type="presOf" srcId="{4F940E2F-E19A-4388-A49B-EE303CBBD042}" destId="{67791CB6-20F7-4D45-81FF-43EA9D41D714}" srcOrd="1" destOrd="0" presId="urn:microsoft.com/office/officeart/2005/8/layout/orgChart1"/>
    <dgm:cxn modelId="{3E463135-0702-48BF-9F14-45AB7530356B}" type="presOf" srcId="{A80098DA-C80A-4B77-8F44-5A6EA76A1F2D}" destId="{D82E2718-A593-4075-B902-3E172DD1E678}" srcOrd="1" destOrd="0" presId="urn:microsoft.com/office/officeart/2005/8/layout/orgChart1"/>
    <dgm:cxn modelId="{A89A3935-FC90-469E-BEC8-299AF095ECB2}" srcId="{FE848344-69B4-4AF0-A0BA-62F6E39471A7}" destId="{AE6EB06C-12F8-4964-BB56-502B7A700042}" srcOrd="3" destOrd="0" parTransId="{A830B224-1B71-43B7-BF60-8199ADEC889C}" sibTransId="{41A66551-2123-4400-B017-87E22C99FCD6}"/>
    <dgm:cxn modelId="{04397435-1215-4A37-BAE3-EA0C879D2E01}" type="presOf" srcId="{ED7A5D29-67B8-41C3-A06A-5AC21B67484F}" destId="{2CB26ACF-7AC8-4311-881C-70265A591D7B}" srcOrd="0" destOrd="0" presId="urn:microsoft.com/office/officeart/2005/8/layout/orgChart1"/>
    <dgm:cxn modelId="{27AF9335-4A45-4052-9576-27E2B916E703}" type="presOf" srcId="{09FB452B-3E8F-4AE9-AA52-5EC6BD88167E}" destId="{0A46BDE0-F36C-4643-8FCD-7EC150C73437}" srcOrd="1" destOrd="0" presId="urn:microsoft.com/office/officeart/2005/8/layout/orgChart1"/>
    <dgm:cxn modelId="{6D6DB835-8517-42C5-A2F6-9FA58E79628E}" srcId="{EFEC8CCF-2CFD-4887-8A2D-5EDB6E21E0F8}" destId="{EBA15179-5EBF-4CDB-A793-B8E55FEB3F1C}" srcOrd="0" destOrd="0" parTransId="{6C7A5B7C-5FDE-487C-A75A-9086A0CE44FA}" sibTransId="{2D961233-B87A-4B15-8C03-19BBF311A544}"/>
    <dgm:cxn modelId="{6338F935-6934-42B3-BC94-762315B116C0}" type="presOf" srcId="{16D42A3B-21AA-4A36-8232-FDBA1AF98D86}" destId="{E870913D-33A6-49E2-9B53-BBF71E0036BF}" srcOrd="0" destOrd="0" presId="urn:microsoft.com/office/officeart/2005/8/layout/orgChart1"/>
    <dgm:cxn modelId="{0CE14936-6B92-40AD-B5ED-8800EE5C22CE}" type="presOf" srcId="{BB86F087-5B45-4E71-B294-E4DBD9C04FFC}" destId="{8353F1E4-6B8B-4E35-B448-FB22DE4BBF4A}" srcOrd="1" destOrd="0" presId="urn:microsoft.com/office/officeart/2005/8/layout/orgChart1"/>
    <dgm:cxn modelId="{6E954F36-1F1B-43ED-902A-DA5077C18C50}" type="presOf" srcId="{F052FEB2-876D-4DF4-AB4E-C704B0274BB4}" destId="{965B537E-914E-493B-8220-0540899B7D90}" srcOrd="0" destOrd="0" presId="urn:microsoft.com/office/officeart/2005/8/layout/orgChart1"/>
    <dgm:cxn modelId="{3A929936-8A36-4178-9468-5FAA3688A2AE}" type="presOf" srcId="{19850839-240C-410A-936D-7830E2F30E11}" destId="{AC107559-6EEC-467B-9CE0-CE65F7BD6562}" srcOrd="0" destOrd="0" presId="urn:microsoft.com/office/officeart/2005/8/layout/orgChart1"/>
    <dgm:cxn modelId="{3B9CC736-18A3-4FCB-9A84-BF8D28F01650}" type="presOf" srcId="{298CC665-FF50-4B2C-9490-9ACF0AB8284C}" destId="{5C11AA41-9E63-471F-86D3-9E1622969A29}" srcOrd="1" destOrd="0" presId="urn:microsoft.com/office/officeart/2005/8/layout/orgChart1"/>
    <dgm:cxn modelId="{77B9CC36-1689-432E-824D-9921A04122CA}" srcId="{1335BBCF-8E8D-42C6-B619-071D35BDD3FC}" destId="{5E2610D4-FA93-40B7-AF49-36310863B632}" srcOrd="6" destOrd="0" parTransId="{46E7F7F7-F7A1-400D-A653-C18CD0C954B7}" sibTransId="{616728DD-2F2E-4B5E-AAF8-7569876A8A5D}"/>
    <dgm:cxn modelId="{E7E55A37-A1B0-4C35-A0B0-B1FC0530E437}" type="presOf" srcId="{278EEAB8-0CD5-40A4-BC9E-C17368CB323C}" destId="{AE55C48F-9CE5-427E-8DC3-EC1400B35EFB}" srcOrd="0" destOrd="0" presId="urn:microsoft.com/office/officeart/2005/8/layout/orgChart1"/>
    <dgm:cxn modelId="{C5259837-B8E4-4749-876D-E33B122CF759}" type="presOf" srcId="{49EF50CC-F6C6-4511-9873-DDFEA99D5099}" destId="{C5334FA8-DFBE-4144-B1CA-A1F70AD90914}" srcOrd="1" destOrd="0" presId="urn:microsoft.com/office/officeart/2005/8/layout/orgChart1"/>
    <dgm:cxn modelId="{B5D6EB37-10CB-4F5B-9CA3-AB4FF8684241}" type="presOf" srcId="{5019FE34-9829-4EB2-96B3-F222C088A958}" destId="{B7D7F2A3-DE41-44B2-858A-B6A049A7E021}" srcOrd="1" destOrd="0" presId="urn:microsoft.com/office/officeart/2005/8/layout/orgChart1"/>
    <dgm:cxn modelId="{E3E85A38-A9A1-4FC9-9981-EB5FFEC0ECA2}" type="presOf" srcId="{2A627E95-80B8-471F-B8C1-0A185CA00521}" destId="{C74F5F62-AE16-41C5-B2C2-E5C0720672B6}" srcOrd="0" destOrd="0" presId="urn:microsoft.com/office/officeart/2005/8/layout/orgChart1"/>
    <dgm:cxn modelId="{AF7FCC38-15F6-43DE-95F7-0D83F68469F7}" type="presOf" srcId="{A9C6CD5C-3BFE-4F40-A0A2-6440C65A6574}" destId="{BB79C701-9FD4-4A43-B47B-A44C9C499028}" srcOrd="0" destOrd="0" presId="urn:microsoft.com/office/officeart/2005/8/layout/orgChart1"/>
    <dgm:cxn modelId="{E060D238-C24A-4793-A57A-5619CD8D06D6}" type="presOf" srcId="{925481C1-8C62-4771-8584-6C589CE0BF1D}" destId="{1C3F7A5B-1208-41C2-9382-C41ACE245FFC}" srcOrd="1" destOrd="0" presId="urn:microsoft.com/office/officeart/2005/8/layout/orgChart1"/>
    <dgm:cxn modelId="{18300A39-5F6F-4A56-A293-C8E46623F7D7}" type="presOf" srcId="{A88F999F-C04C-4F2C-82CC-B4B1967DB71B}" destId="{87531960-CF51-486A-BD5B-506868557043}" srcOrd="0" destOrd="0" presId="urn:microsoft.com/office/officeart/2005/8/layout/orgChart1"/>
    <dgm:cxn modelId="{C2507B39-D0F9-49A4-B831-162E4F57A7C9}" srcId="{8F0CA22B-B976-4897-94C1-A5DBABB2DA3B}" destId="{CA8E9C58-B0D6-42DA-9DB3-53574B04DCCF}" srcOrd="0" destOrd="0" parTransId="{87F70D47-D39B-41BA-97E4-C930D6BF1540}" sibTransId="{3EBFB321-622A-42E5-8410-4B0498A1BE3B}"/>
    <dgm:cxn modelId="{FFC7163A-8A01-4081-9F62-D8461371B0C3}" type="presOf" srcId="{803222C5-9AC1-40E8-8786-669DF97B845E}" destId="{DA8DE3DC-BC53-447E-A944-B99AFA74E160}" srcOrd="0" destOrd="0" presId="urn:microsoft.com/office/officeart/2005/8/layout/orgChart1"/>
    <dgm:cxn modelId="{549D6A3A-91AA-4110-8750-865F2B43658C}" type="presOf" srcId="{441DB316-1E00-4F26-880F-2049E6656922}" destId="{AFF7F8E8-F9C7-44FD-B160-6B0BC3D2E458}" srcOrd="0" destOrd="0" presId="urn:microsoft.com/office/officeart/2005/8/layout/orgChart1"/>
    <dgm:cxn modelId="{E564743A-BB4B-4586-836C-469E1739CDB7}" srcId="{04D519F8-B01A-4986-A285-EE31BD737934}" destId="{5019FE34-9829-4EB2-96B3-F222C088A958}" srcOrd="0" destOrd="0" parTransId="{390CAD22-01D0-41F2-B458-7E947D62E541}" sibTransId="{5D11314D-E523-4F3B-8E08-7C6DFF9B5211}"/>
    <dgm:cxn modelId="{C28DD43A-24EA-4A50-9BE3-68169529BEE1}" srcId="{1F8FFF8F-321C-46C2-A470-ED77C27BF283}" destId="{2CAF80FB-6C9D-4F54-91B0-E2C431C46A87}" srcOrd="0" destOrd="0" parTransId="{E98D30B1-E59C-4A00-BACA-478E5A6AB413}" sibTransId="{5D69D938-1B5D-49D2-9F94-F76512630B1F}"/>
    <dgm:cxn modelId="{E75CEF3A-EE7D-41C6-B75D-8AB765460276}" type="presOf" srcId="{6B75C790-037F-43B7-80EF-92C969F2F001}" destId="{11C88771-6FF6-4EC7-9AD9-03FB38FD331B}" srcOrd="1" destOrd="0" presId="urn:microsoft.com/office/officeart/2005/8/layout/orgChart1"/>
    <dgm:cxn modelId="{DE941C3B-2020-467A-8087-E3552C5B9A9A}" type="presOf" srcId="{BEFE57E8-75D1-4DE3-802C-66CDCBF2C4C6}" destId="{046F88B6-0A6F-44B2-8EEA-B852E4A1D76D}" srcOrd="0" destOrd="0" presId="urn:microsoft.com/office/officeart/2005/8/layout/orgChart1"/>
    <dgm:cxn modelId="{F475733B-C2B9-409D-A068-BF6B46E7153A}" srcId="{86269F2E-6E8F-4730-8224-E18D7B039898}" destId="{5F39BE30-4348-486D-8BCC-845ACD98CD91}" srcOrd="0" destOrd="0" parTransId="{48C62576-C347-45D3-A062-942FC9CB0A12}" sibTransId="{8FEEEE23-C929-4A7B-9027-04F21AADD24B}"/>
    <dgm:cxn modelId="{3B769A3B-8656-430E-A393-A674195516DB}" type="presOf" srcId="{B2F55F9F-403F-4EC6-A36F-D5F8ABEB3D8E}" destId="{324D4F47-5426-4CA0-95B5-4DFBDDCE62DF}" srcOrd="0" destOrd="0" presId="urn:microsoft.com/office/officeart/2005/8/layout/orgChart1"/>
    <dgm:cxn modelId="{0A8FBE3B-89F3-42FA-A866-924F1A0BA263}" type="presOf" srcId="{D7C7AC6F-61A5-44DB-A1AA-ED57DD6791E8}" destId="{04AF6E02-D63D-43E5-B266-5436ACCD1F23}" srcOrd="1" destOrd="0" presId="urn:microsoft.com/office/officeart/2005/8/layout/orgChart1"/>
    <dgm:cxn modelId="{D80CC73B-009A-4AED-93A1-BA5B79BFE774}" type="presOf" srcId="{4173C88A-ECDC-4040-B53F-BD5D7AAFFF62}" destId="{E27822A6-A491-4A6A-915C-758FEA99915D}" srcOrd="0" destOrd="0" presId="urn:microsoft.com/office/officeart/2005/8/layout/orgChart1"/>
    <dgm:cxn modelId="{958CD73B-9D30-41B7-B994-084E8C98DF35}" type="presOf" srcId="{44A7865B-321F-4B06-B06F-C3092D158DD7}" destId="{F6C23501-ABED-4D73-A0F1-4B189016B199}" srcOrd="1" destOrd="0" presId="urn:microsoft.com/office/officeart/2005/8/layout/orgChart1"/>
    <dgm:cxn modelId="{58D1FD3B-FAD1-4ED9-945B-010EE76A8373}" srcId="{668FD8E8-F813-44B7-ADB4-AF4C5A9F35DF}" destId="{4687629B-9EAF-487A-9973-C66924FFD9B6}" srcOrd="7" destOrd="0" parTransId="{61CB8516-D842-46CE-AFF8-424F39A00E76}" sibTransId="{B1A17D8C-0B27-4C99-9B9D-1D5F11D7CC83}"/>
    <dgm:cxn modelId="{6614D93C-1D07-41BC-B5BD-3B9CE2738586}" srcId="{F7F9F4CE-0839-430A-B431-438E607CE798}" destId="{86E61AC4-C846-4D1C-B65B-6555FD9EE258}" srcOrd="1" destOrd="0" parTransId="{FE292139-D1CB-419B-9093-AB70E97A3266}" sibTransId="{47AE5826-501D-4E53-A1C4-A0FEAE60A87D}"/>
    <dgm:cxn modelId="{FF59E93C-FF5F-43EA-BFEF-8D01B3EA9096}" type="presOf" srcId="{94F15C96-FF94-48C8-953C-B1B9398FFF34}" destId="{1FB72F62-C2E2-4484-82F4-0E6EF0379D9E}" srcOrd="1" destOrd="0" presId="urn:microsoft.com/office/officeart/2005/8/layout/orgChart1"/>
    <dgm:cxn modelId="{38EB133D-8E5D-483C-A251-B7C1C4CE911B}" srcId="{4D138308-F6EC-4F1F-B24A-FF2D870FE516}" destId="{94542E4A-D1E8-42C9-9FE4-ABD4D7205DBC}" srcOrd="2" destOrd="0" parTransId="{15360FA0-D6C2-4800-930F-2C5CEDF49A41}" sibTransId="{E4A56F67-F7DB-483F-B7FF-E9FA461139C2}"/>
    <dgm:cxn modelId="{EA42293D-955B-4AE8-B1D3-2F1046D72B12}" type="presOf" srcId="{F9F9650D-9E40-4A77-84BA-79F05439E5AD}" destId="{2A93E887-4E38-4811-A093-A12E88DBFAC3}" srcOrd="1" destOrd="0" presId="urn:microsoft.com/office/officeart/2005/8/layout/orgChart1"/>
    <dgm:cxn modelId="{C098403D-DE2A-4E94-A663-3F453D73C968}" type="presOf" srcId="{22438E18-2FD6-4CCA-B78D-3FC731294CBF}" destId="{4CA0C448-AF23-4D27-A9A5-32C89F667FD1}" srcOrd="1" destOrd="0" presId="urn:microsoft.com/office/officeart/2005/8/layout/orgChart1"/>
    <dgm:cxn modelId="{449C7D3D-80BC-4CF6-9781-46541F0B7F1E}" type="presOf" srcId="{DD2C533B-6EEA-4928-806F-86489312320E}" destId="{035D3977-AB23-430E-8BB6-E22812B86924}" srcOrd="0" destOrd="0" presId="urn:microsoft.com/office/officeart/2005/8/layout/orgChart1"/>
    <dgm:cxn modelId="{A1698B3D-6EF6-4552-AE20-A8BF4C0DDE4E}" type="presOf" srcId="{4D138308-F6EC-4F1F-B24A-FF2D870FE516}" destId="{44A54A3B-D8A2-4C22-94EF-CC0D8BB2CD68}" srcOrd="1" destOrd="0" presId="urn:microsoft.com/office/officeart/2005/8/layout/orgChart1"/>
    <dgm:cxn modelId="{8294B53D-48AF-4EE2-95E5-48059EE66D37}" type="presOf" srcId="{E31F9984-EABE-42CF-A5C3-6BEE0475157C}" destId="{111F139E-BEAF-417D-9A63-9A3F9BFCCF42}" srcOrd="1" destOrd="0" presId="urn:microsoft.com/office/officeart/2005/8/layout/orgChart1"/>
    <dgm:cxn modelId="{18E2D13D-D884-42A1-946D-D795B13C32A9}" type="presOf" srcId="{8DA3CA87-733E-4583-9CCE-846A32DC1FAE}" destId="{B35C6DCE-CAF8-47E9-948A-841654FBAC2C}" srcOrd="0" destOrd="0" presId="urn:microsoft.com/office/officeart/2005/8/layout/orgChart1"/>
    <dgm:cxn modelId="{BAB0D93D-22BD-4B3B-8914-D9C0D9C9EAAD}" type="presOf" srcId="{1183DB6D-C15F-40C8-9366-A500F1FDED64}" destId="{81B8930D-AB8E-4114-ADFF-7614EB2255EA}" srcOrd="0" destOrd="0" presId="urn:microsoft.com/office/officeart/2005/8/layout/orgChart1"/>
    <dgm:cxn modelId="{B3C7103E-13A7-47C5-BE68-2A96BA6C5BCA}" type="presOf" srcId="{A285DD4E-11DE-49E7-8728-216DC0E55CF3}" destId="{BC254042-3D42-4DF9-9A78-AA1B6D3022D3}" srcOrd="0" destOrd="0" presId="urn:microsoft.com/office/officeart/2005/8/layout/orgChart1"/>
    <dgm:cxn modelId="{D6F4183E-A73E-4657-819C-0023F02ADAE8}" type="presOf" srcId="{A88F999F-C04C-4F2C-82CC-B4B1967DB71B}" destId="{1ED82A05-8109-4AF0-80B9-4A395EA4955C}" srcOrd="1" destOrd="0" presId="urn:microsoft.com/office/officeart/2005/8/layout/orgChart1"/>
    <dgm:cxn modelId="{7A72CA3E-8CF6-4990-98B6-FF7F54AFC1A0}" type="presOf" srcId="{9A3785AA-A16F-4604-8EFE-394E76690213}" destId="{052DF1F5-4967-46E8-9760-3D36E23CB8C6}" srcOrd="0" destOrd="0" presId="urn:microsoft.com/office/officeart/2005/8/layout/orgChart1"/>
    <dgm:cxn modelId="{138CD23E-EB4F-4D42-AFFA-3E40E7E96F0D}" type="presOf" srcId="{926D49FF-50DB-4A0C-A60E-8DE65D795E04}" destId="{DE451CFA-82CB-45A7-8C55-370FE64A5499}" srcOrd="0" destOrd="0" presId="urn:microsoft.com/office/officeart/2005/8/layout/orgChart1"/>
    <dgm:cxn modelId="{F5DEFD3E-5B6A-442A-BE10-B66F20E160AE}" type="presOf" srcId="{8130E6E9-6299-4680-A9A1-35CFC113836C}" destId="{03000CAB-D3EC-4452-8814-1AE55F5EAD44}" srcOrd="1" destOrd="0" presId="urn:microsoft.com/office/officeart/2005/8/layout/orgChart1"/>
    <dgm:cxn modelId="{2061133F-F93D-48FA-AD3C-6B598AE8B685}" type="presOf" srcId="{F4A1CC51-0434-4C0E-A870-44440E1A02D9}" destId="{3984EFAF-44A0-4CD2-BE43-256C03491F78}" srcOrd="1" destOrd="0" presId="urn:microsoft.com/office/officeart/2005/8/layout/orgChart1"/>
    <dgm:cxn modelId="{AC5C2F3F-BB4A-45C8-BA3D-4A3418C608A4}" type="presOf" srcId="{2B395088-F7D8-4B01-9FFC-6C8E86BE432F}" destId="{20A3A8E1-B4E6-4FCF-B45E-D607AE4FC6DC}" srcOrd="1" destOrd="0" presId="urn:microsoft.com/office/officeart/2005/8/layout/orgChart1"/>
    <dgm:cxn modelId="{60C1B73F-C47C-43DC-A87F-3980C91E1106}" type="presOf" srcId="{01BDAF2E-E70D-4F79-9055-50B21BDDED8A}" destId="{3638777E-8D2D-43C8-B62D-8670BF633E37}" srcOrd="1" destOrd="0" presId="urn:microsoft.com/office/officeart/2005/8/layout/orgChart1"/>
    <dgm:cxn modelId="{705DF23F-9F23-42B9-A94B-B7C4F11DB7B2}" srcId="{04D519F8-B01A-4986-A285-EE31BD737934}" destId="{0DE592A2-E6EC-49F9-B7C8-E1FC79BAA314}" srcOrd="1" destOrd="0" parTransId="{51A38032-8C2B-43E0-95D8-C1AA139C8CFA}" sibTransId="{0C52F090-6F1B-4D5D-90FF-BA330F5D4A67}"/>
    <dgm:cxn modelId="{0FFC1D40-3061-414D-91F3-DDAF0DD27D43}" srcId="{A4A29A10-673A-4945-BC28-1960217650D3}" destId="{0A8A6A6F-4C33-494A-B78A-EAE66C4DDB5E}" srcOrd="1" destOrd="0" parTransId="{40D61342-2987-4A13-8D25-E4F08BD35033}" sibTransId="{3E8FCB1D-4D93-4879-88BB-2BAAB1C6E6E4}"/>
    <dgm:cxn modelId="{4DCF6640-C9FB-49F8-827D-A6042B9E302A}" srcId="{54A3E45B-197D-4803-9D53-988457AAFE7D}" destId="{ABE779BC-863F-402D-B89B-6A9F49FFB149}" srcOrd="0" destOrd="0" parTransId="{F82ADA2B-DC41-4CAD-8A99-41DD37F82055}" sibTransId="{E3CA9B0F-36F1-473F-8536-38683E84C6E0}"/>
    <dgm:cxn modelId="{E972B740-3783-47DA-B413-CBD54F4CE6F7}" type="presOf" srcId="{28454BE6-A4D9-42AC-91D4-EC8376D081CF}" destId="{FAFACEA6-E17B-44D7-A8CA-6152336C14FC}" srcOrd="1" destOrd="0" presId="urn:microsoft.com/office/officeart/2005/8/layout/orgChart1"/>
    <dgm:cxn modelId="{DD83EC40-0082-4C56-B0E8-E9B7BA203FFC}" srcId="{734C8B5F-9381-487F-9E6B-C9F554DA0E0F}" destId="{F1E11E84-55E5-4A33-9124-2EED04F86C74}" srcOrd="1" destOrd="0" parTransId="{3844977A-B4C0-42EF-B4BD-68BBDFD4BC2F}" sibTransId="{B99A7B98-0C7D-4991-8505-37415B032A9E}"/>
    <dgm:cxn modelId="{8F2CA45C-CA1B-4E64-B620-B16EDF71335A}" type="presOf" srcId="{5CA0ACA5-F6F1-46FF-8D18-425965FC1080}" destId="{0F336E24-1947-48B4-B4F4-9A3FBEAFDD5D}" srcOrd="0" destOrd="0" presId="urn:microsoft.com/office/officeart/2005/8/layout/orgChart1"/>
    <dgm:cxn modelId="{E403D85C-9FEB-4044-8EA2-5E357C329A3C}" type="presOf" srcId="{4FD2859B-28FD-4397-A41C-A0D56C25F818}" destId="{F9D4CBD4-F34F-476C-9336-235A50EBFFB8}" srcOrd="1" destOrd="0" presId="urn:microsoft.com/office/officeart/2005/8/layout/orgChart1"/>
    <dgm:cxn modelId="{C1FF2C5D-30B5-49A3-AF1F-733144465F10}" type="presOf" srcId="{F1DD2E4C-12A0-40E8-990A-98CA6B290FA8}" destId="{1DFB3316-E80C-471D-94F4-6ADC2A834BEF}" srcOrd="0" destOrd="0" presId="urn:microsoft.com/office/officeart/2005/8/layout/orgChart1"/>
    <dgm:cxn modelId="{5C2D645D-15F1-4451-A71A-61F7451D8884}" srcId="{37E376FE-5121-4167-9C56-B725FCFDC5E0}" destId="{CE77CF4A-19B6-4CD5-A983-704F5EDE28D0}" srcOrd="3" destOrd="0" parTransId="{8C96EFB4-025F-47A3-9E04-909CB2059DD7}" sibTransId="{5C34AD04-235B-41A1-9148-B6177138476F}"/>
    <dgm:cxn modelId="{52068C5D-1634-4E21-912A-B172B095CEC7}" type="presOf" srcId="{5B698CD0-A9F7-4761-99CC-5848B867E308}" destId="{0BDD33FD-D2CD-4AF4-8A5E-294D129597AD}" srcOrd="1" destOrd="0" presId="urn:microsoft.com/office/officeart/2005/8/layout/orgChart1"/>
    <dgm:cxn modelId="{2DFEB15D-2C74-411B-BDC6-4B12BCA5A21E}" type="presOf" srcId="{D93F8FC5-B1EC-48A5-BE67-12F26D119071}" destId="{E33F7355-51FB-476E-BF78-CC97F421155E}" srcOrd="1" destOrd="0" presId="urn:microsoft.com/office/officeart/2005/8/layout/orgChart1"/>
    <dgm:cxn modelId="{323CB45D-91EC-4879-B1CD-94246B6E7285}" type="presOf" srcId="{5591052D-DCF4-4653-8D30-D01F56F163F7}" destId="{D5B1C872-83F9-4EFC-9BED-7F3648911521}" srcOrd="1" destOrd="0" presId="urn:microsoft.com/office/officeart/2005/8/layout/orgChart1"/>
    <dgm:cxn modelId="{B55CED5D-C0E4-4A20-9004-D60A44FF7913}" srcId="{CE77CF4A-19B6-4CD5-A983-704F5EDE28D0}" destId="{4810ACD6-252C-478A-A613-29B71C31ABE2}" srcOrd="0" destOrd="0" parTransId="{138AAEB8-E9B9-4F6E-9F63-8D9C51266EC0}" sibTransId="{961D5806-624D-4DB7-8672-EBEEE73EC3C7}"/>
    <dgm:cxn modelId="{317B625E-A983-49F4-99E6-6DDC32E29288}" type="presOf" srcId="{FE848344-69B4-4AF0-A0BA-62F6E39471A7}" destId="{94F1A0E4-3EE2-4593-B21A-C5FA70BBAF35}" srcOrd="0" destOrd="0" presId="urn:microsoft.com/office/officeart/2005/8/layout/orgChart1"/>
    <dgm:cxn modelId="{3FEDDA5E-0A3E-4A4F-B003-974E3E7D2E92}" type="presOf" srcId="{C1D0219A-8019-4598-AB73-BCC57F4403BF}" destId="{463E29DE-03EF-42EF-A5D2-B1E07132D616}" srcOrd="0" destOrd="0" presId="urn:microsoft.com/office/officeart/2005/8/layout/orgChart1"/>
    <dgm:cxn modelId="{A413EB5E-398D-416B-9801-D09BC0D4A109}" type="presOf" srcId="{A78428E5-C70B-4883-B1BC-7785632EED0F}" destId="{A474E2F2-4D66-420A-8313-5F10F474F7BE}" srcOrd="0" destOrd="0" presId="urn:microsoft.com/office/officeart/2005/8/layout/orgChart1"/>
    <dgm:cxn modelId="{8A5A035F-66A7-4EAD-BC55-564C092C6687}" type="presOf" srcId="{24F68BBA-935B-4F01-9FC7-B94418686443}" destId="{292477DA-CCA4-4B6C-8175-D94709715924}" srcOrd="0" destOrd="0" presId="urn:microsoft.com/office/officeart/2005/8/layout/orgChart1"/>
    <dgm:cxn modelId="{D1A5075F-B685-4FD1-A158-C0AE35CA6B41}" type="presOf" srcId="{34FF5F5E-1B27-44DF-A7EC-AEE7E6D1FF27}" destId="{AB15EC0B-D3E1-4648-8E6D-D5699D581099}" srcOrd="1" destOrd="0" presId="urn:microsoft.com/office/officeart/2005/8/layout/orgChart1"/>
    <dgm:cxn modelId="{CE5F235F-61A7-4F1E-928B-6ECE75B948FD}" srcId="{B5E062C0-51FF-475B-AB77-41B3C120B87C}" destId="{C4FBCDDB-D0F7-4DF6-9939-2A53BEFE8555}" srcOrd="1" destOrd="0" parTransId="{4CB5114A-CEBB-491F-9758-BA618FF477F2}" sibTransId="{B63CEF5C-C22B-4DF2-B715-9C8873A38835}"/>
    <dgm:cxn modelId="{8DC65A5F-0E45-49C4-B4F9-7A1C780BC74D}" type="presOf" srcId="{578A1195-DDDD-4095-B511-8A9209306ED6}" destId="{639D9051-A887-45A3-86D8-A710CC8C25DC}" srcOrd="0" destOrd="0" presId="urn:microsoft.com/office/officeart/2005/8/layout/orgChart1"/>
    <dgm:cxn modelId="{AAEDCC5F-7B86-4076-BE9F-2E0CB534CFE7}" type="presOf" srcId="{A3AA0C47-E6D0-47AD-9A3E-9F1E5F4F7559}" destId="{4869892A-F778-4F4D-8471-35C408607497}" srcOrd="1" destOrd="0" presId="urn:microsoft.com/office/officeart/2005/8/layout/orgChart1"/>
    <dgm:cxn modelId="{E3EE5B60-13A2-4421-B3C6-AE21039984CA}" type="presOf" srcId="{BD4E4A7D-0761-4D5C-91B2-36EA73AB663F}" destId="{8FC63FCD-A146-4255-91B4-B158CE68F7C8}" srcOrd="0" destOrd="0" presId="urn:microsoft.com/office/officeart/2005/8/layout/orgChart1"/>
    <dgm:cxn modelId="{56BE5160-68E0-4D03-A248-06782451662A}" type="presOf" srcId="{CB046B06-6760-455D-B5B3-0932F6F70811}" destId="{5461838E-4AAE-4F72-AE50-A34407FA06FC}" srcOrd="0" destOrd="0" presId="urn:microsoft.com/office/officeart/2005/8/layout/orgChart1"/>
    <dgm:cxn modelId="{EA73C560-BF08-4805-979E-3392806EABE8}" type="presOf" srcId="{CF06B935-4100-4BE2-A656-9B7695371F75}" destId="{BFAFA008-E868-445B-9843-70E535E4B49E}" srcOrd="1" destOrd="0" presId="urn:microsoft.com/office/officeart/2005/8/layout/orgChart1"/>
    <dgm:cxn modelId="{AC0C1D41-B466-4E1D-A7D0-190437DA0038}" type="presOf" srcId="{B1FF8223-4C4D-44C7-8D05-0DE5DD4452AD}" destId="{2655CD1F-8719-4186-A59A-7B74ECC56D1E}" srcOrd="0" destOrd="0" presId="urn:microsoft.com/office/officeart/2005/8/layout/orgChart1"/>
    <dgm:cxn modelId="{CEAD4A61-ADAD-4CDE-9646-420BB040B465}" type="presOf" srcId="{5BE49A35-83BB-40E1-8540-26BCCF73D567}" destId="{DDB4569A-41CC-4EF0-B3DE-3EA4D284BA38}" srcOrd="1" destOrd="0" presId="urn:microsoft.com/office/officeart/2005/8/layout/orgChart1"/>
    <dgm:cxn modelId="{EF207F41-6B96-444D-A2D3-F619696F3294}" type="presOf" srcId="{74B51CE5-A409-4DF8-87C9-0BA5E63BD28D}" destId="{CEB4528F-5B11-4263-B5AA-EA9E6EF6319F}" srcOrd="0" destOrd="0" presId="urn:microsoft.com/office/officeart/2005/8/layout/orgChart1"/>
    <dgm:cxn modelId="{DDB78741-DCA5-4272-AD81-21DF313235DC}" srcId="{54A3E45B-197D-4803-9D53-988457AAFE7D}" destId="{67D035AA-9A29-45B5-BC2E-54B9DB86CFC7}" srcOrd="2" destOrd="0" parTransId="{93EBC4F5-D73D-4D57-995D-28EDD796952E}" sibTransId="{A07A03E9-B3F1-44C5-B754-BBF78694A939}"/>
    <dgm:cxn modelId="{120BF141-8722-41B9-AD0E-8D62F8E08F31}" type="presOf" srcId="{6D171802-7E8E-4762-835E-3F263473E8D8}" destId="{A196D8C2-92DA-4126-A26E-FAE0A42745C0}" srcOrd="0" destOrd="0" presId="urn:microsoft.com/office/officeart/2005/8/layout/orgChart1"/>
    <dgm:cxn modelId="{EFBBF241-0A6E-4487-B7F4-E027BA1FAB7B}" type="presOf" srcId="{2C4410AC-AC27-4BD9-B2A2-5000A73932DD}" destId="{6BDB5213-4632-40F0-939B-FF9F09CFC9EA}" srcOrd="1" destOrd="0" presId="urn:microsoft.com/office/officeart/2005/8/layout/orgChart1"/>
    <dgm:cxn modelId="{1C9F0262-C119-4558-B167-6B31126551DC}" type="presOf" srcId="{CA118DFD-D54C-4689-B6AC-B82B01E04B1F}" destId="{3A008665-29E4-43EA-A168-045EB68552AC}" srcOrd="1" destOrd="0" presId="urn:microsoft.com/office/officeart/2005/8/layout/orgChart1"/>
    <dgm:cxn modelId="{E1454042-7710-43BF-A15C-97C3E1C3D5D6}" type="presOf" srcId="{B352CEAB-52D3-4E64-8236-D79B73B32FA1}" destId="{44CD740C-4805-4DE2-8219-A99BB9D9676E}" srcOrd="1" destOrd="0" presId="urn:microsoft.com/office/officeart/2005/8/layout/orgChart1"/>
    <dgm:cxn modelId="{D5B86142-544D-4237-82CE-FFCAC2072048}" type="presOf" srcId="{C185934A-43AC-4019-ADFF-87F5674C44DE}" destId="{54171430-8154-43DA-9016-4EEBD22ECFE3}" srcOrd="0" destOrd="0" presId="urn:microsoft.com/office/officeart/2005/8/layout/orgChart1"/>
    <dgm:cxn modelId="{4C227342-82E6-4DC6-8B70-5F5553C33E90}" srcId="{6EA8C77C-EAF6-4BE6-AD96-7C80110BF0BC}" destId="{C185934A-43AC-4019-ADFF-87F5674C44DE}" srcOrd="0" destOrd="0" parTransId="{58FEE52A-7AF2-4518-B104-7436EAA933C6}" sibTransId="{CC5EE34B-6E6C-4309-88C1-FAFEF72DDBC8}"/>
    <dgm:cxn modelId="{FAF07442-BCF5-497B-93F9-B58720718AA9}" type="presOf" srcId="{C70932F0-1F03-42B4-81FF-F8E306150B04}" destId="{B12F3EFC-A19A-4CF5-A92D-B8FC20AC83BB}" srcOrd="0" destOrd="0" presId="urn:microsoft.com/office/officeart/2005/8/layout/orgChart1"/>
    <dgm:cxn modelId="{F3ACE562-2012-4F85-A763-5937FFC3CB09}" type="presOf" srcId="{08912F9A-4DC5-4E8E-B151-76980A1E475D}" destId="{33B2D927-67C0-4BA5-8198-93D00D20FD92}" srcOrd="0" destOrd="0" presId="urn:microsoft.com/office/officeart/2005/8/layout/orgChart1"/>
    <dgm:cxn modelId="{19633163-067E-42AB-BB84-7EFD3E9BD553}" type="presOf" srcId="{C1BFF298-EFBC-4114-8E71-845F08577E5E}" destId="{0C5CEAC7-8EB8-4C8C-BB6E-E702AE1B01F3}" srcOrd="1" destOrd="0" presId="urn:microsoft.com/office/officeart/2005/8/layout/orgChart1"/>
    <dgm:cxn modelId="{F2E3AF43-106F-46C1-8CB4-B4A34BCF99AF}" srcId="{8923AB61-7091-4FEB-BC6C-476E63849FCA}" destId="{A88F999F-C04C-4F2C-82CC-B4B1967DB71B}" srcOrd="1" destOrd="0" parTransId="{869F57AB-7F65-4C29-B417-18BE344A9E06}" sibTransId="{7A7A0F97-72CB-438F-9E3B-6E3B6D358135}"/>
    <dgm:cxn modelId="{E8FBB443-6E6D-4B7F-A7E9-81C991EF3BB5}" type="presOf" srcId="{109F7E6B-3DA8-47A9-B8CE-1BBF972B168A}" destId="{49F06308-5CA5-4899-830D-93398B0FEE18}" srcOrd="0" destOrd="0" presId="urn:microsoft.com/office/officeart/2005/8/layout/orgChart1"/>
    <dgm:cxn modelId="{D643B843-69E6-48A4-AE7E-7E777BDBDFFC}" srcId="{FD24B971-6079-4D0F-974A-96B22A245152}" destId="{A3AA0C47-E6D0-47AD-9A3E-9F1E5F4F7559}" srcOrd="1" destOrd="0" parTransId="{4603DBF8-D408-4392-88FE-7547A22C85A4}" sibTransId="{7A41AB29-3A72-469B-9C8A-1638EDCC75C3}"/>
    <dgm:cxn modelId="{31EAC243-CD9B-4ECD-A8E5-A0D2972582AB}" type="presOf" srcId="{E7BAD2DA-E1CA-43FD-BB3D-D56838651AEA}" destId="{46269013-AE84-4CD2-BA91-62C0195F9020}" srcOrd="0" destOrd="0" presId="urn:microsoft.com/office/officeart/2005/8/layout/orgChart1"/>
    <dgm:cxn modelId="{9B7DD863-887C-4DED-B3F2-1F164C16ACF9}" srcId="{F35C6DA3-2482-46AA-B232-A1931123E027}" destId="{7C1B947C-8306-49C8-AB03-714BEBC3CF09}" srcOrd="1" destOrd="0" parTransId="{FED3F3C6-39C4-4F26-8304-83CAE85EC212}" sibTransId="{F10AB30E-73E5-4A20-AE86-66DDF4DAA720}"/>
    <dgm:cxn modelId="{B27A0544-1BA8-425F-8418-C816A5AA01C5}" type="presOf" srcId="{CE77CF4A-19B6-4CD5-A983-704F5EDE28D0}" destId="{30DCF91C-B93B-4CA7-BDBE-B7676D32D1C7}" srcOrd="1" destOrd="0" presId="urn:microsoft.com/office/officeart/2005/8/layout/orgChart1"/>
    <dgm:cxn modelId="{61181964-BA5A-4EA3-B6A8-B5EDCC367860}" type="presOf" srcId="{B8671627-4FBE-4B11-B2F5-01D35E7A09C7}" destId="{AD33FADC-CA18-4FB2-95A6-C6F37C2389A3}" srcOrd="1" destOrd="0" presId="urn:microsoft.com/office/officeart/2005/8/layout/orgChart1"/>
    <dgm:cxn modelId="{95BB4644-B3D7-48D7-8A14-42CA44C05913}" srcId="{04D519F8-B01A-4986-A285-EE31BD737934}" destId="{827C8138-2817-43FC-98EE-B56EB68BDB67}" srcOrd="2" destOrd="0" parTransId="{3793BC54-E8D0-4259-9651-48BFBB2FE130}" sibTransId="{E89ED04D-814A-4562-9CB0-4C396576FF95}"/>
    <dgm:cxn modelId="{057D5164-BA6E-470A-B7C8-B63C24304BFB}" type="presOf" srcId="{B2F55F9F-403F-4EC6-A36F-D5F8ABEB3D8E}" destId="{B676192A-8459-48E0-8D2E-C4C46451564F}" srcOrd="1" destOrd="0" presId="urn:microsoft.com/office/officeart/2005/8/layout/orgChart1"/>
    <dgm:cxn modelId="{97EE5144-CAF6-448F-9EE4-07A329B93732}" srcId="{43494D86-EA7A-4DCD-AB36-E02A143CE95D}" destId="{4D4E1A9F-02D8-41E5-9746-F410EC7C0753}" srcOrd="4" destOrd="0" parTransId="{88EFE5EA-D955-4054-8F24-6A4F8979421C}" sibTransId="{59C1EB04-9182-4E6F-B3F4-E8C941F909FB}"/>
    <dgm:cxn modelId="{8CF38A44-DC81-409D-82A6-2987FA6B264C}" type="presOf" srcId="{56A57D1B-4852-4909-B6A0-549EF8E66A64}" destId="{DABBDCB9-693A-410D-B0B7-1CC6965C59E5}" srcOrd="0" destOrd="0" presId="urn:microsoft.com/office/officeart/2005/8/layout/orgChart1"/>
    <dgm:cxn modelId="{F32DAD44-3A0A-4139-B470-5BBB1AAD6348}" type="presOf" srcId="{58959EFA-3782-435F-ACEE-9CADCD54E707}" destId="{72C7E78C-8758-49AC-AAB3-B688605FF9B9}" srcOrd="0" destOrd="0" presId="urn:microsoft.com/office/officeart/2005/8/layout/orgChart1"/>
    <dgm:cxn modelId="{CF1DC864-5054-4E45-B613-76D0EA4EE37A}" type="presOf" srcId="{03C94E4B-6B95-4DAD-89ED-A1F48711F76C}" destId="{EEA5219D-65C6-4FC5-8CA3-6F2A1094DCBE}" srcOrd="0" destOrd="0" presId="urn:microsoft.com/office/officeart/2005/8/layout/orgChart1"/>
    <dgm:cxn modelId="{0F80E844-A9FF-4121-9F1B-DA30CE2E3C97}" type="presOf" srcId="{C538FF67-62E3-499F-9E05-3BD3C36D6FCC}" destId="{D92E0C15-FFDE-4D4D-B7E2-B07281D01A24}" srcOrd="1" destOrd="0" presId="urn:microsoft.com/office/officeart/2005/8/layout/orgChart1"/>
    <dgm:cxn modelId="{9E4BEC64-4420-4F0C-930D-137FD036A773}" srcId="{F91D3B42-1C1E-4A47-91FE-5E139228559A}" destId="{044F81DB-AA8D-4DF9-A880-D3CA808C2F04}" srcOrd="3" destOrd="0" parTransId="{F0FC0A44-2E99-42D2-A1E3-031B70FD1F49}" sibTransId="{359D0AC8-E3F9-4F02-BDA4-C7FFCDAB4BEC}"/>
    <dgm:cxn modelId="{E4E03765-346C-44D9-8175-A8B0D15373B3}" srcId="{F7F9F4CE-0839-430A-B431-438E607CE798}" destId="{83A95EC7-DC92-4835-BEBF-750A6BB02C17}" srcOrd="3" destOrd="0" parTransId="{382AC0B9-A995-4FF6-9F60-D5640F442699}" sibTransId="{67F34A48-5255-48E7-8A6D-F4A579F41F2C}"/>
    <dgm:cxn modelId="{E80D8165-805E-4E3E-BB75-24B87E50FF8A}" type="presOf" srcId="{A8EA00EE-E19D-4089-B2C5-41B7066ABC2E}" destId="{314C431C-9068-4D36-9F45-3FE346ED3B0C}" srcOrd="1" destOrd="0" presId="urn:microsoft.com/office/officeart/2005/8/layout/orgChart1"/>
    <dgm:cxn modelId="{AFED9C65-862B-47DE-85BD-54AAB47492C4}" type="presOf" srcId="{1E7C492F-62DC-462E-B45D-565684507B11}" destId="{BC52740E-F4BD-404B-BEC2-BFE556CF2FB0}" srcOrd="1" destOrd="0" presId="urn:microsoft.com/office/officeart/2005/8/layout/orgChart1"/>
    <dgm:cxn modelId="{4F9FEE65-3FC6-4BB7-B178-A9958078E6D8}" srcId="{734C8B5F-9381-487F-9E6B-C9F554DA0E0F}" destId="{A4A29A10-673A-4945-BC28-1960217650D3}" srcOrd="5" destOrd="0" parTransId="{3BCE4EE7-6AEB-4019-BFDE-C7B45E04C453}" sibTransId="{FDDB06A4-6960-4824-B042-95F9302D6307}"/>
    <dgm:cxn modelId="{1158F365-F87B-4E79-B84B-57A18AC5D595}" type="presOf" srcId="{4E40F7B9-DDDF-44B2-A287-3601D4FC8EF4}" destId="{098D44D5-CFD9-471F-A5A2-47475B0761BC}" srcOrd="0" destOrd="0" presId="urn:microsoft.com/office/officeart/2005/8/layout/orgChart1"/>
    <dgm:cxn modelId="{62F02D46-57F4-415E-B270-2ADEFB44415D}" type="presOf" srcId="{D8FFB51A-C1C4-42AC-8A2F-ED66F187AD19}" destId="{8D36765F-6468-4138-A7EB-DAE28F2AF4D5}" srcOrd="0" destOrd="0" presId="urn:microsoft.com/office/officeart/2005/8/layout/orgChart1"/>
    <dgm:cxn modelId="{201F2E46-0C0B-4473-ABDE-DB6645E05740}" srcId="{24F68BBA-935B-4F01-9FC7-B94418686443}" destId="{D7C7AC6F-61A5-44DB-A1AA-ED57DD6791E8}" srcOrd="0" destOrd="0" parTransId="{17EFF492-98ED-4199-A16A-40CC300BFE5E}" sibTransId="{29A4CDEB-EC42-404E-ACBC-93B4B95723AD}"/>
    <dgm:cxn modelId="{5A977446-73D2-41D2-81AF-1B0556622C8F}" srcId="{3C5E6760-9973-4507-8410-F6115E73979F}" destId="{1F8FFF8F-321C-46C2-A470-ED77C27BF283}" srcOrd="0" destOrd="0" parTransId="{DE25DFA3-0F9D-4B9D-BEA4-2507AC1F9B04}" sibTransId="{A800E62F-B8D8-4FE2-B17E-6FA5B9952746}"/>
    <dgm:cxn modelId="{4D418166-ED64-491F-9455-EBD8AEC22202}" srcId="{37E376FE-5121-4167-9C56-B725FCFDC5E0}" destId="{BAA0A6F4-6832-4850-8E6B-C61E7C3A8F3A}" srcOrd="4" destOrd="0" parTransId="{74B51CE5-A409-4DF8-87C9-0BA5E63BD28D}" sibTransId="{5ED668EE-5486-44AB-B44B-42D90ACD611E}"/>
    <dgm:cxn modelId="{4F138746-E561-43AB-B8DC-3094FBFD24A6}" type="presOf" srcId="{2AFBB642-F300-4348-9BA8-7043A63D420A}" destId="{DB1BD455-AD6E-4CE5-960C-E1DC67838B90}" srcOrd="1" destOrd="0" presId="urn:microsoft.com/office/officeart/2005/8/layout/orgChart1"/>
    <dgm:cxn modelId="{1DCC8D46-8F9F-4C61-9EDF-469F0A6E8B1D}" srcId="{0F55FE95-8893-4B7D-BDCB-FDC155E3EACC}" destId="{01A1075C-5A2D-4D14-9D04-3BBCFB83A3FB}" srcOrd="3" destOrd="0" parTransId="{D77E7DB1-3ADB-45B0-AAEF-9D9CEB0DD92A}" sibTransId="{E0DEFF88-EB7A-4ABA-9B85-A15AA8DA0A44}"/>
    <dgm:cxn modelId="{20418E46-9108-45F1-AFF1-43D1F27ACF09}" type="presOf" srcId="{95DD5D78-5172-41EB-92A6-C4EFFB382529}" destId="{6DB5A6F2-5851-4BB5-8965-8832E630D391}" srcOrd="0" destOrd="0" presId="urn:microsoft.com/office/officeart/2005/8/layout/orgChart1"/>
    <dgm:cxn modelId="{2C628E46-9484-43FA-BBDC-F5B3620FF177}" type="presOf" srcId="{98C90B68-A1FA-4357-87BD-A300F6F47FF6}" destId="{72DD17AE-8071-47F4-8C0B-C63D8C080E5F}" srcOrd="0" destOrd="0" presId="urn:microsoft.com/office/officeart/2005/8/layout/orgChart1"/>
    <dgm:cxn modelId="{74E5BE46-D7C0-4F46-9A98-5C9BE02E5FD6}" srcId="{B2F55F9F-403F-4EC6-A36F-D5F8ABEB3D8E}" destId="{5BD91ACA-C58E-4171-B542-F9AF479E8D0A}" srcOrd="1" destOrd="0" parTransId="{797AB545-F139-4F2D-9047-9278BB941265}" sibTransId="{7EC1CE27-8225-4AC7-874A-E7046298514E}"/>
    <dgm:cxn modelId="{45AFC866-0035-40D7-A722-5479E0EBC59B}" type="presOf" srcId="{1FFD6337-FD68-4EE7-AE48-BEE65FDB5F87}" destId="{A42D5B0D-4616-4379-9F89-8C593BF45A29}" srcOrd="0" destOrd="0" presId="urn:microsoft.com/office/officeart/2005/8/layout/orgChart1"/>
    <dgm:cxn modelId="{E851C946-8D31-4DDF-927D-EBF4A2C6700B}" type="presOf" srcId="{F1CF6E37-6CCF-4AF6-8762-EE7789056675}" destId="{EB28DB9E-DF78-41F0-99ED-101E16408083}" srcOrd="0" destOrd="0" presId="urn:microsoft.com/office/officeart/2005/8/layout/orgChart1"/>
    <dgm:cxn modelId="{2800CB46-3016-40F8-A75D-1FE7D29C7D3B}" srcId="{F35C6DA3-2482-46AA-B232-A1931123E027}" destId="{25F99B51-CB6C-4FB9-B111-3930904D8521}" srcOrd="0" destOrd="0" parTransId="{926D49FF-50DB-4A0C-A60E-8DE65D795E04}" sibTransId="{371D8854-5064-4FEA-8CEA-306A0F5AE437}"/>
    <dgm:cxn modelId="{527CD146-726E-4EE8-B857-00E1DC51BCCA}" type="presOf" srcId="{C5C21CD9-55BF-4787-A7C5-B921C847270A}" destId="{D3B6D984-99F4-44F4-8926-A4A18A5481A7}" srcOrd="0" destOrd="0" presId="urn:microsoft.com/office/officeart/2005/8/layout/orgChart1"/>
    <dgm:cxn modelId="{0FCED666-E053-4C72-8F01-43C44C37B50B}" srcId="{624FCBA6-4037-4BFE-AEF8-B4CBBD83024F}" destId="{B8671627-4FBE-4B11-B2F5-01D35E7A09C7}" srcOrd="1" destOrd="0" parTransId="{461B4438-DE1C-4261-A12C-E1E4DE41AB0C}" sibTransId="{27037085-1EBA-411E-B3DE-F40B5DD5CA82}"/>
    <dgm:cxn modelId="{3636D746-0F99-4BB2-9586-3BD8CE5380EE}" type="presOf" srcId="{E74780CF-0CB3-4F83-8FA4-5E3EEB557BE4}" destId="{1EBC92C9-2C92-4686-A9FA-2C643F9D0B40}" srcOrd="0" destOrd="0" presId="urn:microsoft.com/office/officeart/2005/8/layout/orgChart1"/>
    <dgm:cxn modelId="{D03A0F67-5E4D-4AFF-8D2A-A9133C7DD602}" type="presOf" srcId="{3EFB6F83-0F50-42CC-83FC-2ED148A81797}" destId="{FB0DE37F-2AD4-4B34-8352-1C7961378394}" srcOrd="1" destOrd="0" presId="urn:microsoft.com/office/officeart/2005/8/layout/orgChart1"/>
    <dgm:cxn modelId="{706D6947-C022-4BBD-BE63-8390CF9CF2EE}" type="presOf" srcId="{783D575E-D60D-46E5-9E00-175027F47FEC}" destId="{1D5E974D-B0EA-4BB5-BF27-AEF529733DDC}" srcOrd="1" destOrd="0" presId="urn:microsoft.com/office/officeart/2005/8/layout/orgChart1"/>
    <dgm:cxn modelId="{02737F67-D5B6-44BC-ABB1-0837C2AE37ED}" type="presOf" srcId="{4530D1F9-D79B-4F21-A3D8-9A72766751AB}" destId="{017844EE-014A-4382-94DD-1FFC4466DE90}" srcOrd="0" destOrd="0" presId="urn:microsoft.com/office/officeart/2005/8/layout/orgChart1"/>
    <dgm:cxn modelId="{E3B78847-8D35-4957-BE10-3D93C73E28ED}" type="presOf" srcId="{CF0527BE-0793-413B-8777-BF8F71D1D5BD}" destId="{D8675DE7-6331-4CF7-A0A4-0068150F0BD7}" srcOrd="0" destOrd="0" presId="urn:microsoft.com/office/officeart/2005/8/layout/orgChart1"/>
    <dgm:cxn modelId="{7777A067-9040-4CC2-AD50-DC12ABFB463D}" type="presOf" srcId="{EFCC3EF5-1ACE-4D51-ADE0-BB1E37F0CD2E}" destId="{7BF64B17-42C9-4478-B0B8-F5D7892BA038}" srcOrd="0" destOrd="0" presId="urn:microsoft.com/office/officeart/2005/8/layout/orgChart1"/>
    <dgm:cxn modelId="{411DD447-EC67-4F22-9638-7E1B195FCD0D}" type="presOf" srcId="{C291B836-B40E-4080-B454-37647321FD66}" destId="{652EC34E-7E08-41E4-9CDF-1BCF839E3FC5}" srcOrd="1" destOrd="0" presId="urn:microsoft.com/office/officeart/2005/8/layout/orgChart1"/>
    <dgm:cxn modelId="{06E0DB47-5705-4886-97B9-48A4F62A7AFA}" type="presOf" srcId="{8BB6122D-E6A2-4709-A14A-8420CE30194E}" destId="{5894794E-4AB0-4FDE-93FD-C6DCE9587CBF}" srcOrd="0" destOrd="0" presId="urn:microsoft.com/office/officeart/2005/8/layout/orgChart1"/>
    <dgm:cxn modelId="{BB0CDC47-4819-47A1-9811-8E069DF763AD}" type="presOf" srcId="{54A3E45B-197D-4803-9D53-988457AAFE7D}" destId="{72C0029D-AC8B-4BE6-AE4D-3DF2A34F0815}" srcOrd="1" destOrd="0" presId="urn:microsoft.com/office/officeart/2005/8/layout/orgChart1"/>
    <dgm:cxn modelId="{AB26F147-6B50-4E89-9F8A-1082640C2566}" srcId="{E8A2E369-A01E-47FF-87B0-76ED80F67B60}" destId="{E9C9B03C-CE48-4E81-8181-9DE10C5B64B7}" srcOrd="1" destOrd="0" parTransId="{826823C1-8B37-449D-B030-B0C21A0CD432}" sibTransId="{D93888E8-B926-405D-9FA6-A81D6FD67833}"/>
    <dgm:cxn modelId="{6A66FB67-8156-40DA-8B8B-746B0409D64A}" type="presOf" srcId="{66B1705C-62F7-4DED-B705-F0863D5C3542}" destId="{A4DD2796-1B77-4CC5-A1D4-C68ABA607BD3}" srcOrd="0" destOrd="0" presId="urn:microsoft.com/office/officeart/2005/8/layout/orgChart1"/>
    <dgm:cxn modelId="{397B7768-47BB-47D0-A98D-9275321626D0}" type="presOf" srcId="{86C44C6F-3744-4FFE-9E87-8AA25F0F800B}" destId="{BECBC4D7-9431-4059-8C5A-AB144D1CE114}" srcOrd="1" destOrd="0" presId="urn:microsoft.com/office/officeart/2005/8/layout/orgChart1"/>
    <dgm:cxn modelId="{48ECD368-76D9-4468-903B-B8E238A80CBD}" srcId="{B2F55F9F-403F-4EC6-A36F-D5F8ABEB3D8E}" destId="{8BB6122D-E6A2-4709-A14A-8420CE30194E}" srcOrd="0" destOrd="0" parTransId="{A16C7D7A-E18B-40EF-AA96-52629C1D62A0}" sibTransId="{562D67E4-FD85-4F69-9F9A-1E59E4DE253D}"/>
    <dgm:cxn modelId="{78CDEB48-0CE9-43B7-9C16-C8CA0A8C19E4}" type="presOf" srcId="{4D599669-4AD4-4A06-AF34-9C8C105E9C7D}" destId="{996B6B25-C646-4ABB-80C1-F08F174F79F8}" srcOrd="1" destOrd="0" presId="urn:microsoft.com/office/officeart/2005/8/layout/orgChart1"/>
    <dgm:cxn modelId="{D82DF248-2F71-447D-8AD1-2460ABB87122}" type="presOf" srcId="{A6EECEBB-98BA-4666-92A6-E5E6373C2CDD}" destId="{7704F345-575B-44CC-B968-9B05E86905FF}" srcOrd="1" destOrd="0" presId="urn:microsoft.com/office/officeart/2005/8/layout/orgChart1"/>
    <dgm:cxn modelId="{62800069-B874-417A-8F21-2713118F263A}" type="presOf" srcId="{24D903A8-733C-4B62-A39A-F18D65C99C15}" destId="{1B17A2F7-127A-4278-8E7A-B4516F26D966}" srcOrd="0" destOrd="0" presId="urn:microsoft.com/office/officeart/2005/8/layout/orgChart1"/>
    <dgm:cxn modelId="{4B220869-07F7-441F-86DA-7F83C3AD2A7D}" type="presOf" srcId="{BD3530F7-EA45-4827-8204-FABD43E02086}" destId="{59D828FE-65D3-439F-9D42-5A74B472445E}" srcOrd="1" destOrd="0" presId="urn:microsoft.com/office/officeart/2005/8/layout/orgChart1"/>
    <dgm:cxn modelId="{809A3749-9171-452D-9E78-F927E654AD97}" type="presOf" srcId="{E5A58C16-8798-45B6-8B44-C3D693F485DB}" destId="{4379D76C-6EDD-4AB1-AD4E-3952A75CACE5}" srcOrd="0" destOrd="0" presId="urn:microsoft.com/office/officeart/2005/8/layout/orgChart1"/>
    <dgm:cxn modelId="{E87C3F49-17DE-4806-8104-103207AC38B8}" srcId="{2E764A5A-3A14-45D4-A38B-5595B575B8E6}" destId="{A8EA00EE-E19D-4089-B2C5-41B7066ABC2E}" srcOrd="1" destOrd="0" parTransId="{C5C28E5C-6D94-41CA-82AC-57783E17F7A5}" sibTransId="{0039FAE3-9535-4E07-B2D7-62EE4735CA8C}"/>
    <dgm:cxn modelId="{1ABF4469-7EC4-45B7-AF33-585B11447CCF}" type="presOf" srcId="{DADDBE30-8B33-4103-B337-38369D94F0CE}" destId="{EA0027C9-0F51-47B1-B7AE-AB087BDF3D25}" srcOrd="0" destOrd="0" presId="urn:microsoft.com/office/officeart/2005/8/layout/orgChart1"/>
    <dgm:cxn modelId="{A8C84E49-2FB2-4091-8EE2-AD28AD1BE665}" srcId="{3C5E6760-9973-4507-8410-F6115E73979F}" destId="{2130FFB1-0433-4133-A8C3-71D4D7BC6E6F}" srcOrd="1" destOrd="0" parTransId="{88F0909E-ACD4-40F1-928D-9BA7EE46E7F2}" sibTransId="{7AABDA85-D669-404D-ACBD-CB9DC28FB235}"/>
    <dgm:cxn modelId="{EF5D6F49-1FA1-4691-B5CE-C9D7698371F8}" srcId="{F35C6DA3-2482-46AA-B232-A1931123E027}" destId="{CF4DFCAF-2272-4F94-B7C0-D9FC9509311E}" srcOrd="3" destOrd="0" parTransId="{0F1CC4F6-FEF5-470E-B271-F04095BE8E03}" sibTransId="{29172368-9DA0-4ED3-9DA0-6334C7182AA2}"/>
    <dgm:cxn modelId="{045A5169-1E6C-4964-B554-D0EF3762EEBF}" type="presOf" srcId="{B28D2935-1624-45D5-86BD-D4EBFFBC4325}" destId="{1DC5210B-7739-4C14-887A-6C062BC163F4}" srcOrd="0" destOrd="0" presId="urn:microsoft.com/office/officeart/2005/8/layout/orgChart1"/>
    <dgm:cxn modelId="{FF018C49-3625-450C-9CA8-BA43F29CA0E0}" srcId="{5B3109DE-A521-450A-91D5-9785EE5C6138}" destId="{A78428E5-C70B-4883-B1BC-7785632EED0F}" srcOrd="0" destOrd="0" parTransId="{134F1239-921E-434D-ADCC-1D1C5B875250}" sibTransId="{590CDC82-F9ED-4FC5-9C03-FEE08F6BEF1C}"/>
    <dgm:cxn modelId="{B302AF49-5C55-49F3-84A3-2AE644FB93F2}" type="presOf" srcId="{5EB74292-714A-47E6-A388-60055E38E838}" destId="{069038C5-4871-4977-B566-E3260C560422}" srcOrd="1" destOrd="0" presId="urn:microsoft.com/office/officeart/2005/8/layout/orgChart1"/>
    <dgm:cxn modelId="{C4DFAF69-F5DA-41BC-A508-D5E6DB4F098D}" type="presOf" srcId="{827C8138-2817-43FC-98EE-B56EB68BDB67}" destId="{F58F3CF3-5C27-48B8-8DF8-BE09B7454D27}" srcOrd="0" destOrd="0" presId="urn:microsoft.com/office/officeart/2005/8/layout/orgChart1"/>
    <dgm:cxn modelId="{35C1B049-C6BA-4AA0-A423-687C1C165C1D}" type="presOf" srcId="{C53E8780-DBB9-4B71-BED3-3D72990A1A93}" destId="{B632800C-5C1C-4353-A9AD-F0AEE7B3516C}" srcOrd="0" destOrd="0" presId="urn:microsoft.com/office/officeart/2005/8/layout/orgChart1"/>
    <dgm:cxn modelId="{1CB2066A-54B2-4535-B01E-4454A93CBB97}" srcId="{F35C6DA3-2482-46AA-B232-A1931123E027}" destId="{21571612-11CD-4494-8BFD-DB28C601996C}" srcOrd="4" destOrd="0" parTransId="{8CA06B91-F6AC-4CC1-9BC5-BBC37F39EC65}" sibTransId="{E60D4A2F-4664-47DF-9E66-4D31F99CED52}"/>
    <dgm:cxn modelId="{B0A7076A-9BA0-48DA-ACBA-D19D53D73854}" type="presOf" srcId="{04D519F8-B01A-4986-A285-EE31BD737934}" destId="{E5F3CF3C-E9B5-4980-A4B8-D0AA1925D7E8}" srcOrd="0" destOrd="0" presId="urn:microsoft.com/office/officeart/2005/8/layout/orgChart1"/>
    <dgm:cxn modelId="{E6CB626A-2A88-4A6C-8CBE-5B21B2507242}" type="presOf" srcId="{8F6DE852-327B-4577-9FE1-062E937150BD}" destId="{F4A2331D-3A14-4099-91C8-6955D71ACE3D}" srcOrd="1" destOrd="0" presId="urn:microsoft.com/office/officeart/2005/8/layout/orgChart1"/>
    <dgm:cxn modelId="{3DCA674A-F3F2-482C-9DFC-FEB588B1018C}" type="presOf" srcId="{981E1AF4-DA2D-4B6D-9C64-83259D75895C}" destId="{336F8731-07A5-4580-9C55-19E0A8C6D2D2}" srcOrd="0" destOrd="0" presId="urn:microsoft.com/office/officeart/2005/8/layout/orgChart1"/>
    <dgm:cxn modelId="{EF6B9E4A-9874-4F08-BA14-05AE497AD7BC}" type="presOf" srcId="{0D37DE47-166C-4BB7-B770-F60C77BF7ECC}" destId="{B2BEAA03-2155-47CD-90D7-A532315C2EF3}" srcOrd="0" destOrd="0" presId="urn:microsoft.com/office/officeart/2005/8/layout/orgChart1"/>
    <dgm:cxn modelId="{852AC94A-E3FC-41D8-BE28-3BD39769772A}" type="presOf" srcId="{A24482FC-352B-4DCE-93B6-0721A84D3DAA}" destId="{4889A419-7A00-4A58-AB1F-F2D2D66976E3}" srcOrd="0" destOrd="0" presId="urn:microsoft.com/office/officeart/2005/8/layout/orgChart1"/>
    <dgm:cxn modelId="{5742EA6A-A624-46AD-A1B2-EB2BD336DCE0}" srcId="{FD24B971-6079-4D0F-974A-96B22A245152}" destId="{9E60DC48-126F-4245-8806-7202F6C0228B}" srcOrd="2" destOrd="0" parTransId="{8DE7A28B-E696-4E90-B677-F436B88D0904}" sibTransId="{1ECD6F05-90DE-486D-A5A2-345E3F35A3CB}"/>
    <dgm:cxn modelId="{76C26A4B-DB79-46DC-8298-D431EA5F57AD}" srcId="{E52CA914-0613-42E6-9893-DC261B296E9A}" destId="{E74780CF-0CB3-4F83-8FA4-5E3EEB557BE4}" srcOrd="5" destOrd="0" parTransId="{BA336FCC-ADB8-4A51-8423-33B47C94A9E4}" sibTransId="{3B8ADFAA-5E15-46DB-A733-39ABE41411C7}"/>
    <dgm:cxn modelId="{06A47C4B-464C-473D-8771-34CD216551E1}" srcId="{668FD8E8-F813-44B7-ADB4-AF4C5A9F35DF}" destId="{3C5E6760-9973-4507-8410-F6115E73979F}" srcOrd="3" destOrd="0" parTransId="{4C54498C-B717-4B98-AADD-B3C2205606CE}" sibTransId="{6AE33032-DC84-4963-BC1A-CB49209059A4}"/>
    <dgm:cxn modelId="{34C0D06B-3F74-4680-A0CA-B85332C8A9C2}" type="presOf" srcId="{866E4B91-1117-42EC-97E3-35255B8D6AF3}" destId="{C4EA52F7-F3A0-4E14-9844-C65F5C18BAC5}" srcOrd="0" destOrd="0" presId="urn:microsoft.com/office/officeart/2005/8/layout/orgChart1"/>
    <dgm:cxn modelId="{8E4ED84B-04A1-480A-9F4A-BD28B5473843}" type="presOf" srcId="{E3E2BEE7-4F1F-4AF7-BA2F-5153D813D02F}" destId="{B5B3FDB1-5072-43AC-B594-5884596CB368}" srcOrd="0" destOrd="0" presId="urn:microsoft.com/office/officeart/2005/8/layout/orgChart1"/>
    <dgm:cxn modelId="{7E01DD4B-22D0-42DA-80C0-EDE34BBB95AC}" type="presOf" srcId="{D1BDD1B0-EBCA-48CE-84B2-CC857AA087E4}" destId="{29DABDA6-1093-405E-8800-A4AC7D2972AC}" srcOrd="0" destOrd="0" presId="urn:microsoft.com/office/officeart/2005/8/layout/orgChart1"/>
    <dgm:cxn modelId="{03DDDD4B-8E56-4C12-9B80-ACD9E0DDF283}" srcId="{F35C6DA3-2482-46AA-B232-A1931123E027}" destId="{CF0527BE-0793-413B-8777-BF8F71D1D5BD}" srcOrd="5" destOrd="0" parTransId="{406C992B-9AFE-4D41-AAF4-4174D7922E7E}" sibTransId="{A10814E1-639D-430B-B659-088814641808}"/>
    <dgm:cxn modelId="{F57E034C-DC5A-4D1E-92E5-AF62AE946722}" type="presOf" srcId="{2B395088-F7D8-4B01-9FFC-6C8E86BE432F}" destId="{E9B40E47-7D4D-47FD-9D3E-85C94CE28460}" srcOrd="0" destOrd="0" presId="urn:microsoft.com/office/officeart/2005/8/layout/orgChart1"/>
    <dgm:cxn modelId="{42DA086C-B974-4B49-A27C-E6B5F062922B}" type="presOf" srcId="{04D519F8-B01A-4986-A285-EE31BD737934}" destId="{206FF22A-5965-4595-A78A-E965AFAC9F88}" srcOrd="1" destOrd="0" presId="urn:microsoft.com/office/officeart/2005/8/layout/orgChart1"/>
    <dgm:cxn modelId="{E6D01B6C-8D04-4136-862D-A45C9F47F8A6}" type="presOf" srcId="{5415383A-F5AF-4898-9C22-13AB48B2A05C}" destId="{6F35C804-9019-49BB-8ACB-2A0A2EC48C60}" srcOrd="0" destOrd="0" presId="urn:microsoft.com/office/officeart/2005/8/layout/orgChart1"/>
    <dgm:cxn modelId="{AE393A6C-D1C1-497F-A84B-0D152E9EDCCF}" type="presOf" srcId="{0F1CC4F6-FEF5-470E-B271-F04095BE8E03}" destId="{DF02744F-9C23-4422-9DE6-32C3AEA4547B}" srcOrd="0" destOrd="0" presId="urn:microsoft.com/office/officeart/2005/8/layout/orgChart1"/>
    <dgm:cxn modelId="{7D3E6B4C-3BB8-484D-B6BD-0CE87A704D05}" type="presOf" srcId="{67D035AA-9A29-45B5-BC2E-54B9DB86CFC7}" destId="{5D0A83D7-241C-4529-B137-C9E9CED70E3B}" srcOrd="0" destOrd="0" presId="urn:microsoft.com/office/officeart/2005/8/layout/orgChart1"/>
    <dgm:cxn modelId="{AEBC4C4C-FB6F-4061-B1F9-B45292383D5F}" type="presOf" srcId="{62DBDDDE-002A-47B0-9F6E-092BF65CE2F8}" destId="{0EA95D05-731C-456A-A18E-C4AE6B2F71AF}" srcOrd="0" destOrd="0" presId="urn:microsoft.com/office/officeart/2005/8/layout/orgChart1"/>
    <dgm:cxn modelId="{DEE84F6C-CC68-498C-BDE9-B505FE347973}" type="presOf" srcId="{DBE5A299-CD7A-401E-A625-D95836E7A15E}" destId="{C85E8AD3-FF86-411F-B283-EDE8FC240662}" srcOrd="0" destOrd="0" presId="urn:microsoft.com/office/officeart/2005/8/layout/orgChart1"/>
    <dgm:cxn modelId="{8672794C-A2A3-4FA6-AE5D-3D0F81304C59}" srcId="{41C98DE4-9561-4D06-8FE1-560DBF9A6643}" destId="{AA13D9C3-DE12-4386-9218-55336D97163C}" srcOrd="0" destOrd="0" parTransId="{0E9BCA7E-3A0B-4BD5-B8D1-E7C586DE6325}" sibTransId="{A31FBC49-D773-4143-9956-850A5E851BD6}"/>
    <dgm:cxn modelId="{DF10974C-DF1C-4242-A281-EBA1619EAD54}" type="presOf" srcId="{FECC9238-9990-4194-A985-57830279189D}" destId="{AFAFC85B-BDC5-492F-9072-4D948A449B73}" srcOrd="0" destOrd="0" presId="urn:microsoft.com/office/officeart/2005/8/layout/orgChart1"/>
    <dgm:cxn modelId="{FEEEA14C-18C0-4768-99A3-F8BB83034E21}" srcId="{8923AB61-7091-4FEB-BC6C-476E63849FCA}" destId="{61B3E704-4E8F-4736-9793-47FFB53C6098}" srcOrd="0" destOrd="0" parTransId="{2D141E73-B62B-43C6-94AE-60BD5450AF89}" sibTransId="{04769E59-E89C-4000-9B17-E885C1EDDE1B}"/>
    <dgm:cxn modelId="{F44EB86C-4F89-407B-B2BC-EC2E5E4D92E4}" type="presOf" srcId="{FB0F6AE7-73B3-4BCC-A860-E9D777904C06}" destId="{0A3D026E-2186-4E11-A33A-D99CE0DF04A3}" srcOrd="1" destOrd="0" presId="urn:microsoft.com/office/officeart/2005/8/layout/orgChart1"/>
    <dgm:cxn modelId="{8277B86C-622E-4DB4-83C3-087DEE3F17AE}" srcId="{F41F49ED-BE36-4A63-9E37-1E1EC5082A60}" destId="{4D138308-F6EC-4F1F-B24A-FF2D870FE516}" srcOrd="4" destOrd="0" parTransId="{14C9F508-803D-4BAF-8F9C-B237D9437397}" sibTransId="{37C1BCE8-4C56-4DC9-8694-CE5125F5D5C1}"/>
    <dgm:cxn modelId="{176ECF6C-416B-4748-9B4E-E8F030C2DF50}" srcId="{24F68BBA-935B-4F01-9FC7-B94418686443}" destId="{C291B836-B40E-4080-B454-37647321FD66}" srcOrd="3" destOrd="0" parTransId="{8D42A11F-59C9-44B2-BDAD-AF181B5668FD}" sibTransId="{B82E4B3D-2F23-4FBE-B66C-E8CB41A73CBD}"/>
    <dgm:cxn modelId="{1E99E24C-F5BD-4C7D-9A27-0AF745E4A598}" type="presOf" srcId="{CCEB27B7-C321-4041-835D-689BBBE813E0}" destId="{BF67E541-9960-4D57-A562-7C65922EF1C0}" srcOrd="1" destOrd="0" presId="urn:microsoft.com/office/officeart/2005/8/layout/orgChart1"/>
    <dgm:cxn modelId="{B22D406D-DDA6-409D-9041-AB19B8625998}" type="presOf" srcId="{D9824643-22D6-4B69-9BE4-8D68EED2ED50}" destId="{0B6907AF-976E-4DDC-B8CE-F0045249655B}" srcOrd="0" destOrd="0" presId="urn:microsoft.com/office/officeart/2005/8/layout/orgChart1"/>
    <dgm:cxn modelId="{BE345D6D-9A98-4FAF-94F7-64FCBACB5B0B}" srcId="{4530D1F9-D79B-4F21-A3D8-9A72766751AB}" destId="{AEFC0FA9-2342-4015-A81F-EBCAB4D4A36F}" srcOrd="2" destOrd="0" parTransId="{F6166141-EBCE-4D39-B2DD-547EF703D58C}" sibTransId="{54B33EF6-52CC-4AB6-91B1-F84E8A3F5934}"/>
    <dgm:cxn modelId="{7733634D-ADC2-44CD-8F25-95F455525143}" type="presOf" srcId="{51A38032-8C2B-43E0-95D8-C1AA139C8CFA}" destId="{68A2908C-AE33-45DB-AA17-C1FD9A8F7E2E}" srcOrd="0" destOrd="0" presId="urn:microsoft.com/office/officeart/2005/8/layout/orgChart1"/>
    <dgm:cxn modelId="{7225824D-BAAE-4718-BFD1-009379F59267}" srcId="{E52CA914-0613-42E6-9893-DC261B296E9A}" destId="{0D37DE47-166C-4BB7-B770-F60C77BF7ECC}" srcOrd="4" destOrd="0" parTransId="{939DC143-D0A5-47E0-A8C6-ABD27D48AA37}" sibTransId="{9C8F1186-5160-4A21-A745-3206D578F53F}"/>
    <dgm:cxn modelId="{11C4A26D-F95E-4442-8C6F-CFD007148B87}" type="presOf" srcId="{8C96EFB4-025F-47A3-9E04-909CB2059DD7}" destId="{4AE80564-CEE3-4BF3-98A2-49AE41111D0E}" srcOrd="0" destOrd="0" presId="urn:microsoft.com/office/officeart/2005/8/layout/orgChart1"/>
    <dgm:cxn modelId="{DFEDC36D-6389-4187-A3A6-D5D09339FC6E}" type="presOf" srcId="{20723C5C-EB4F-4AA1-88A2-E6D367D78F3E}" destId="{DD1D3071-4421-4334-8928-B89389C51334}" srcOrd="0" destOrd="0" presId="urn:microsoft.com/office/officeart/2005/8/layout/orgChart1"/>
    <dgm:cxn modelId="{43C6FD4D-D161-4622-801B-D3D156681F69}" type="presOf" srcId="{72F3D303-0065-410A-A999-86607290AFCA}" destId="{3D6751DD-A043-4022-ACF2-1C96AF6C95F9}" srcOrd="0" destOrd="0" presId="urn:microsoft.com/office/officeart/2005/8/layout/orgChart1"/>
    <dgm:cxn modelId="{9D5E696E-45C2-47EA-BE6F-4752FF3400C4}" type="presOf" srcId="{738E6479-7208-4B42-88E4-24DE0D37F2A1}" destId="{48FFB5AE-64AE-472C-8B51-AFDA75E6CD4C}" srcOrd="0" destOrd="0" presId="urn:microsoft.com/office/officeart/2005/8/layout/orgChart1"/>
    <dgm:cxn modelId="{AC786A6E-DF6B-4CA1-9422-9F66680D9685}" type="presOf" srcId="{83A95EC7-DC92-4835-BEBF-750A6BB02C17}" destId="{008F17D4-EA0E-4EC6-9572-F2060D45BB61}" srcOrd="0" destOrd="0" presId="urn:microsoft.com/office/officeart/2005/8/layout/orgChart1"/>
    <dgm:cxn modelId="{4E307A6E-480E-49B8-80C0-8C1C05F6C3FD}" type="presOf" srcId="{8D83A27F-420B-4927-BF91-3096E921DE84}" destId="{C88A06B1-53BA-4A75-A92E-E938D96E071F}" srcOrd="1" destOrd="0" presId="urn:microsoft.com/office/officeart/2005/8/layout/orgChart1"/>
    <dgm:cxn modelId="{9B61896E-E278-4C96-A27C-8D1BB37B2A71}" type="presOf" srcId="{A78428E5-C70B-4883-B1BC-7785632EED0F}" destId="{90D802F5-C3F5-4C57-9C86-11322B88B40B}" srcOrd="1" destOrd="0" presId="urn:microsoft.com/office/officeart/2005/8/layout/orgChart1"/>
    <dgm:cxn modelId="{B4EB9A6E-105A-4DDC-9E13-53E3E4F762A8}" type="presOf" srcId="{40D61342-2987-4A13-8D25-E4F08BD35033}" destId="{ADE6CFF6-12EC-4465-A78E-5DB7E0841EF7}" srcOrd="0" destOrd="0" presId="urn:microsoft.com/office/officeart/2005/8/layout/orgChart1"/>
    <dgm:cxn modelId="{26AFD66E-1B5E-4C50-95FE-EF20F634ED6F}" type="presOf" srcId="{AB81F61A-F07E-4A65-98C5-2C73B2ACB0E5}" destId="{775932C0-756B-4376-86DE-61DF5F1CF407}" srcOrd="0" destOrd="0" presId="urn:microsoft.com/office/officeart/2005/8/layout/orgChart1"/>
    <dgm:cxn modelId="{291DE14E-2638-47A8-AE0D-12E30C909DA2}" type="presOf" srcId="{BB046DF1-5379-44C8-A43A-2348411C2FE1}" destId="{57148FAD-B2FD-4849-AC35-107CE33E630F}" srcOrd="1" destOrd="0" presId="urn:microsoft.com/office/officeart/2005/8/layout/orgChart1"/>
    <dgm:cxn modelId="{E972174F-EE9C-49BB-BA6A-9FEFC1822689}" type="presOf" srcId="{57B491C1-BF9D-426A-85A2-EC0CCD56D810}" destId="{88B1B710-91FD-4E35-8413-4D8F37346F5D}" srcOrd="0" destOrd="0" presId="urn:microsoft.com/office/officeart/2005/8/layout/orgChart1"/>
    <dgm:cxn modelId="{D051304F-1473-45E0-A417-6F41D0A4298B}" type="presOf" srcId="{29566C64-8FE0-4051-B99C-65E2217C8FC3}" destId="{C9EC269F-A518-4DB2-A3B6-57B2836FC95A}" srcOrd="0" destOrd="0" presId="urn:microsoft.com/office/officeart/2005/8/layout/orgChart1"/>
    <dgm:cxn modelId="{2729394F-881C-45C0-860D-F898EC466F7D}" type="presOf" srcId="{31F88A8F-76C0-4CBA-81EB-8098A536A7D9}" destId="{8AB0224A-AA26-4818-B013-FB8CA015E5A7}" srcOrd="0" destOrd="0" presId="urn:microsoft.com/office/officeart/2005/8/layout/orgChart1"/>
    <dgm:cxn modelId="{33717E6F-9065-4C09-8E9C-670AFDC2EEA8}" type="presOf" srcId="{50A64364-6B43-4704-B58C-405B5EE75147}" destId="{23B5A794-381C-4FDE-B7B8-90153D7FD792}" srcOrd="0" destOrd="0" presId="urn:microsoft.com/office/officeart/2005/8/layout/orgChart1"/>
    <dgm:cxn modelId="{CFF3C46F-5421-472D-91E3-09DBAFDC62AE}" type="presOf" srcId="{1F00CD85-06AD-4311-9BB0-289B41D9FE14}" destId="{930C44FD-23D7-4F58-B850-532295E27637}" srcOrd="0" destOrd="0" presId="urn:microsoft.com/office/officeart/2005/8/layout/orgChart1"/>
    <dgm:cxn modelId="{CBD4D06F-392F-4676-A814-8192C3C9294D}" type="presOf" srcId="{9E0CF1C0-BE1B-46BA-8A22-8082AFB94BC8}" destId="{D42C5DAA-986D-41FA-855D-92FE27D468FB}" srcOrd="1" destOrd="0" presId="urn:microsoft.com/office/officeart/2005/8/layout/orgChart1"/>
    <dgm:cxn modelId="{7E640170-C8E8-4074-9A08-A101B1C0F0A4}" srcId="{734C8B5F-9381-487F-9E6B-C9F554DA0E0F}" destId="{F052FEB2-876D-4DF4-AB4E-C704B0274BB4}" srcOrd="0" destOrd="0" parTransId="{29566C64-8FE0-4051-B99C-65E2217C8FC3}" sibTransId="{002B6D87-C4E4-4B44-8650-1E3A7D242CF4}"/>
    <dgm:cxn modelId="{627D6F50-53A6-4837-A6EE-DD0D88D9FEE2}" type="presOf" srcId="{3793BC54-E8D0-4259-9651-48BFBB2FE130}" destId="{64B3D144-8886-490D-B804-A241F0A4CDE2}" srcOrd="0" destOrd="0" presId="urn:microsoft.com/office/officeart/2005/8/layout/orgChart1"/>
    <dgm:cxn modelId="{4A6A5650-7950-46E6-BD19-249597F7C769}" type="presOf" srcId="{B2583F77-58CD-429C-829C-2E67A6CCFEE6}" destId="{D630BBC2-CCC4-4A76-BC02-32B1CC269F97}" srcOrd="0" destOrd="0" presId="urn:microsoft.com/office/officeart/2005/8/layout/orgChart1"/>
    <dgm:cxn modelId="{52C15670-2521-460E-8485-B9192577DD95}" type="presOf" srcId="{298CC665-FF50-4B2C-9490-9ACF0AB8284C}" destId="{69626798-BB19-4416-9BC6-A5C34E47A045}" srcOrd="0" destOrd="0" presId="urn:microsoft.com/office/officeart/2005/8/layout/orgChart1"/>
    <dgm:cxn modelId="{2A217850-0269-40FB-AB80-25B14CDCF605}" srcId="{C3D1F94A-2BD4-4BF2-B81F-211A85BE9963}" destId="{72F3D303-0065-410A-A999-86607290AFCA}" srcOrd="0" destOrd="0" parTransId="{52D158F7-095D-40F5-B300-7B3852EFA004}" sibTransId="{E0175852-6281-448B-834F-A80A1C0505AD}"/>
    <dgm:cxn modelId="{7D658B50-A394-42E6-98F5-C7E48EFA96E9}" type="presOf" srcId="{E74780CF-0CB3-4F83-8FA4-5E3EEB557BE4}" destId="{75E3CB8F-78F5-4C1E-8D28-CF77AC2749A1}" srcOrd="1" destOrd="0" presId="urn:microsoft.com/office/officeart/2005/8/layout/orgChart1"/>
    <dgm:cxn modelId="{0255B450-80FE-40C4-A186-9D972A05B6DB}" type="presOf" srcId="{1F9D464E-981B-451D-AC48-E5F984B8FAFE}" destId="{EED603B7-ACC2-4021-B121-8AF5A83DA528}" srcOrd="0" destOrd="0" presId="urn:microsoft.com/office/officeart/2005/8/layout/orgChart1"/>
    <dgm:cxn modelId="{0A634F51-1434-4394-A1D7-6777A0EEF6A8}" type="presOf" srcId="{5EB231EC-99CC-414B-8157-E10ACDC6FEF3}" destId="{22C77CCB-D0E2-45BB-B21D-20310FD437AF}" srcOrd="0" destOrd="0" presId="urn:microsoft.com/office/officeart/2005/8/layout/orgChart1"/>
    <dgm:cxn modelId="{94DE8B71-1B80-42C2-A08C-EBC98AE282A0}" type="presOf" srcId="{1732A81C-095C-4447-B82A-737B748C4F75}" destId="{DB7FF44A-818D-4CA8-8CEE-4EDDFE8CA8BE}" srcOrd="1" destOrd="0" presId="urn:microsoft.com/office/officeart/2005/8/layout/orgChart1"/>
    <dgm:cxn modelId="{387FAB71-9C7B-4030-9F95-A14C6F583F54}" type="presOf" srcId="{A1A6043F-1314-4D8F-807A-DCB8AA616AF7}" destId="{8A9AC1A6-E3B9-4C62-82B9-CC6F82202D1E}" srcOrd="1" destOrd="0" presId="urn:microsoft.com/office/officeart/2005/8/layout/orgChart1"/>
    <dgm:cxn modelId="{0CABAE71-F54C-40A5-A9EF-2926AC86F328}" type="presOf" srcId="{F7443207-56E4-4844-8C7D-E8F90438A6CB}" destId="{B13B6798-F9E1-42DC-8F73-CE6CC610D7FF}" srcOrd="0" destOrd="0" presId="urn:microsoft.com/office/officeart/2005/8/layout/orgChart1"/>
    <dgm:cxn modelId="{43C0D071-DD47-4B90-9D96-E50062C03B54}" type="presOf" srcId="{E072609A-F19F-4C3A-9067-E8892D447FED}" destId="{A175646C-FAAF-491E-8EA6-5D2EBFDE6E2D}" srcOrd="0" destOrd="0" presId="urn:microsoft.com/office/officeart/2005/8/layout/orgChart1"/>
    <dgm:cxn modelId="{B0C6E651-9C06-42C9-B3A9-71C9146805FF}" type="presOf" srcId="{54F7D859-F39B-4AE6-8563-DAEB118DFA01}" destId="{FE5EA351-6513-470A-9732-F75F35A1F54C}" srcOrd="0" destOrd="0" presId="urn:microsoft.com/office/officeart/2005/8/layout/orgChart1"/>
    <dgm:cxn modelId="{1A49EF51-73B5-4426-97D7-0E065972F0A6}" srcId="{261AC762-8441-4A03-97AC-AD71E122E56E}" destId="{925481C1-8C62-4771-8584-6C589CE0BF1D}" srcOrd="1" destOrd="0" parTransId="{46ABA199-A95B-4512-9F2C-1BED99117E6E}" sibTransId="{3E39063F-4613-453D-AF48-986255035A47}"/>
    <dgm:cxn modelId="{2C7C0472-1EC2-49CE-A397-540523F5A637}" type="presOf" srcId="{DAE4712C-240C-4594-8B62-F190DF32B439}" destId="{2A52CE24-7002-4A98-8D09-0CCA16C9E098}" srcOrd="0" destOrd="0" presId="urn:microsoft.com/office/officeart/2005/8/layout/orgChart1"/>
    <dgm:cxn modelId="{ABAA0A72-C0C6-49AC-B72A-96341455D8DA}" type="presOf" srcId="{18502FA2-63FD-490F-8568-59F2241113F1}" destId="{B1348718-0D09-475C-8C12-13BB71072914}" srcOrd="0" destOrd="0" presId="urn:microsoft.com/office/officeart/2005/8/layout/orgChart1"/>
    <dgm:cxn modelId="{7C815672-411F-4454-BD9D-E54905A7C3B6}" type="presOf" srcId="{54F7D859-F39B-4AE6-8563-DAEB118DFA01}" destId="{8502C1BF-2D5C-4CB2-B963-6C2F2FA06580}" srcOrd="1" destOrd="0" presId="urn:microsoft.com/office/officeart/2005/8/layout/orgChart1"/>
    <dgm:cxn modelId="{F2C5B872-CE93-447E-811C-33FEA498663A}" srcId="{37E376FE-5121-4167-9C56-B725FCFDC5E0}" destId="{631540FB-3808-4E2A-9553-428A5E948F14}" srcOrd="5" destOrd="0" parTransId="{838F6695-2061-4E48-9A60-4469710F958A}" sibTransId="{AD81F9C5-E091-4B77-8A53-1AFC9517DE7D}"/>
    <dgm:cxn modelId="{B76CE472-2150-411F-AF71-BB197CC992D9}" srcId="{BAA0A6F4-6832-4850-8E6B-C61E7C3A8F3A}" destId="{2BB71D9C-6E93-4176-AFB8-A931FD64791B}" srcOrd="2" destOrd="0" parTransId="{6E16D81C-4F87-4ACC-83DE-F25AA0F19FC2}" sibTransId="{4F285F69-CBB0-45E3-80F7-7E0EEB1AD0ED}"/>
    <dgm:cxn modelId="{525AF252-6D40-495F-9E1D-6236F88C6131}" type="presOf" srcId="{E8A2E369-A01E-47FF-87B0-76ED80F67B60}" destId="{619F5435-A16F-4FE7-B94F-ED66E3432ECB}" srcOrd="1" destOrd="0" presId="urn:microsoft.com/office/officeart/2005/8/layout/orgChart1"/>
    <dgm:cxn modelId="{550F1C73-7802-495C-A63A-C2BC4069E7EB}" srcId="{2130FFB1-0433-4133-A8C3-71D4D7BC6E6F}" destId="{E69890C1-B5A8-4EE6-85A3-2D7756D9244E}" srcOrd="3" destOrd="0" parTransId="{24D903A8-733C-4B62-A39A-F18D65C99C15}" sibTransId="{65A8BBB8-93FD-4F40-900C-717A69878C5B}"/>
    <dgm:cxn modelId="{23DA2973-2ABF-4928-8ABC-B80525E19093}" srcId="{4D599669-4AD4-4A06-AF34-9C8C105E9C7D}" destId="{19850839-240C-410A-936D-7830E2F30E11}" srcOrd="0" destOrd="0" parTransId="{EA63679F-CE4F-456D-A474-D258EF160DC4}" sibTransId="{8CC113EC-86FA-4F01-AE6E-1FBAD6D009DF}"/>
    <dgm:cxn modelId="{FBD45D73-D328-4BFF-9B7A-19E17F503B26}" type="presOf" srcId="{66B1705C-62F7-4DED-B705-F0863D5C3542}" destId="{EDB9F3ED-2D0B-4368-9DE7-08644850497A}" srcOrd="1" destOrd="0" presId="urn:microsoft.com/office/officeart/2005/8/layout/orgChart1"/>
    <dgm:cxn modelId="{528A5E53-A66B-45BA-8E81-460687E9682C}" type="presOf" srcId="{C0BAA408-BB68-4C3A-B248-C402579E8C6F}" destId="{C1CF5E07-11CB-454A-9A2E-61A8479242A5}" srcOrd="1" destOrd="0" presId="urn:microsoft.com/office/officeart/2005/8/layout/orgChart1"/>
    <dgm:cxn modelId="{7E7C7573-1ABF-4DB7-A077-0F66FF4E9072}" type="presOf" srcId="{5F39BE30-4348-486D-8BCC-845ACD98CD91}" destId="{1929155A-0BBF-47A9-A824-BAE16E2A3636}" srcOrd="0" destOrd="0" presId="urn:microsoft.com/office/officeart/2005/8/layout/orgChart1"/>
    <dgm:cxn modelId="{B80C5673-C99F-478B-A9D7-149C71BBD555}" type="presOf" srcId="{201EEA7F-7334-4A45-8ED4-7294998966B3}" destId="{73E1B0C1-A83E-476D-9B00-CB8AF9E1B183}" srcOrd="1" destOrd="0" presId="urn:microsoft.com/office/officeart/2005/8/layout/orgChart1"/>
    <dgm:cxn modelId="{D12CAC73-258B-44AF-921C-B0913046A789}" type="presOf" srcId="{266B2208-CD93-4175-A5D1-E0B77C227719}" destId="{56DB4668-946F-4A5A-957C-5E151A790B6E}" srcOrd="0" destOrd="0" presId="urn:microsoft.com/office/officeart/2005/8/layout/orgChart1"/>
    <dgm:cxn modelId="{90E8AC73-E835-49B3-A547-397947DB7CB9}" type="presOf" srcId="{48C789E9-31B2-4DF5-877F-2BBCF314ECF3}" destId="{3077F8F5-5DBD-44DA-850B-081EA96C9BAC}" srcOrd="0" destOrd="0" presId="urn:microsoft.com/office/officeart/2005/8/layout/orgChart1"/>
    <dgm:cxn modelId="{C12BB673-50F7-4ADE-886A-0F6279866A82}" type="presOf" srcId="{3FA1B321-DF3E-41FF-A634-1DFEF037B309}" destId="{A2C2B24E-F545-45EF-A0D9-8D8EE406619D}" srcOrd="0" destOrd="0" presId="urn:microsoft.com/office/officeart/2005/8/layout/orgChart1"/>
    <dgm:cxn modelId="{FC1D3A74-A4AF-4659-8997-1FE2AD174373}" type="presOf" srcId="{FE848344-69B4-4AF0-A0BA-62F6E39471A7}" destId="{3278968A-5FF8-4B6E-9D74-28D46F9EE3BD}" srcOrd="1" destOrd="0" presId="urn:microsoft.com/office/officeart/2005/8/layout/orgChart1"/>
    <dgm:cxn modelId="{40554574-710F-4343-9E73-A845C5091EAA}" type="presOf" srcId="{1A39669A-4A75-42F4-B0ED-F2835897083F}" destId="{C18318F2-3F77-4FF0-A253-762FB3211C6D}" srcOrd="0" destOrd="0" presId="urn:microsoft.com/office/officeart/2005/8/layout/orgChart1"/>
    <dgm:cxn modelId="{CE1DB554-1F3D-47DC-BF24-947B43AF16F8}" type="presOf" srcId="{AE6EB06C-12F8-4964-BB56-502B7A700042}" destId="{9E315E13-B58A-477B-B190-9D3610A2B876}" srcOrd="1" destOrd="0" presId="urn:microsoft.com/office/officeart/2005/8/layout/orgChart1"/>
    <dgm:cxn modelId="{2696C674-BCF9-40C1-B2DE-90167DC7ED9D}" type="presOf" srcId="{54B96012-1960-4145-94A8-25FF374FE188}" destId="{AE20E9E4-FA1E-467D-A786-148B77CF507A}" srcOrd="0" destOrd="0" presId="urn:microsoft.com/office/officeart/2005/8/layout/orgChart1"/>
    <dgm:cxn modelId="{3DFA0975-6C1E-49EE-8A35-B5E98865DD43}" srcId="{4173C88A-ECDC-4040-B53F-BD5D7AAFFF62}" destId="{05601CD5-C6D9-4CD2-BCB2-12516C9D44F7}" srcOrd="0" destOrd="0" parTransId="{F150F665-274A-4F03-BA2B-5FA387C61C74}" sibTransId="{C0F9D08C-EE61-4AA0-BB1D-DD67DBA8A737}"/>
    <dgm:cxn modelId="{0DAA1855-1E32-4AB0-B02E-F871820BA67B}" type="presOf" srcId="{9AE70B7F-979B-49CE-BC85-C030BB8B70B4}" destId="{A4294F96-B7E0-4F0F-881A-7A0A677A68AB}" srcOrd="0" destOrd="0" presId="urn:microsoft.com/office/officeart/2005/8/layout/orgChart1"/>
    <dgm:cxn modelId="{0C0C2675-CDD0-48C0-866B-939DF9238B7B}" type="presOf" srcId="{AE6EB06C-12F8-4964-BB56-502B7A700042}" destId="{055BDCD4-D8D0-4265-9155-6C56B6771C11}" srcOrd="0" destOrd="0" presId="urn:microsoft.com/office/officeart/2005/8/layout/orgChart1"/>
    <dgm:cxn modelId="{AE152C75-7754-4B12-B298-37ED5B5E3D14}" type="presOf" srcId="{64C04E40-1E6F-43C9-9D67-7DC020E117FD}" destId="{0598667D-C34E-4A6D-AC46-33015902457E}" srcOrd="1" destOrd="0" presId="urn:microsoft.com/office/officeart/2005/8/layout/orgChart1"/>
    <dgm:cxn modelId="{C7D06175-6F34-4266-A4EC-8313734BFFBF}" type="presOf" srcId="{1FAF1469-3194-4997-B895-D1F8B66E59FE}" destId="{22F1365D-5A91-46E8-952B-01A59ED634C0}" srcOrd="1" destOrd="0" presId="urn:microsoft.com/office/officeart/2005/8/layout/orgChart1"/>
    <dgm:cxn modelId="{70405375-D719-4F73-BCD4-163104F9B912}" type="presOf" srcId="{36D670E3-E08F-4258-9034-9537875A477B}" destId="{7A582892-A861-42A9-8213-94197DFE03ED}" srcOrd="1" destOrd="0" presId="urn:microsoft.com/office/officeart/2005/8/layout/orgChart1"/>
    <dgm:cxn modelId="{22F85475-AEA4-43FA-971C-FEE810F8624B}" srcId="{4D599669-4AD4-4A06-AF34-9C8C105E9C7D}" destId="{25BFED4C-FFDC-4FF8-98DF-2DC76BD9FE4E}" srcOrd="1" destOrd="0" parTransId="{3507EBDC-C49E-4E2C-8419-BCF61C768C03}" sibTransId="{2928BFD3-D50C-4C8E-A0FC-3054D314A942}"/>
    <dgm:cxn modelId="{81598155-8DB8-4687-9FE2-AB416F0FDBED}" type="presOf" srcId="{8B9D720B-F12E-4FC6-9502-C6B758E34180}" destId="{FE3F7803-43A4-439D-9A4F-14B0C0C377C5}" srcOrd="0" destOrd="0" presId="urn:microsoft.com/office/officeart/2005/8/layout/orgChart1"/>
    <dgm:cxn modelId="{941C8C55-01CB-4852-BF31-581287D9B939}" type="presOf" srcId="{836480B4-8447-4711-8B34-48F7C7F0F122}" destId="{35DF9D2C-2463-4D45-8AE1-7899904C9F2F}" srcOrd="0" destOrd="0" presId="urn:microsoft.com/office/officeart/2005/8/layout/orgChart1"/>
    <dgm:cxn modelId="{6FD98D75-BB52-44DF-88EC-C3BF71FEA98F}" type="presOf" srcId="{AEFC0FA9-2342-4015-A81F-EBCAB4D4A36F}" destId="{85837899-2EA5-42F6-986D-176C168F5C81}" srcOrd="1" destOrd="0" presId="urn:microsoft.com/office/officeart/2005/8/layout/orgChart1"/>
    <dgm:cxn modelId="{9317A575-4804-4DDB-8696-5646A31C1016}" srcId="{BAA0A6F4-6832-4850-8E6B-C61E7C3A8F3A}" destId="{9E0CF1C0-BE1B-46BA-8A22-8082AFB94BC8}" srcOrd="0" destOrd="0" parTransId="{A0A868BC-9C64-465D-9A8B-860C189FEF19}" sibTransId="{3B1B0CAD-C3B4-4350-B1DA-84FB8BA0CE4A}"/>
    <dgm:cxn modelId="{A1B0AA55-BBB7-4C3C-926B-CF88A53664E0}" type="presOf" srcId="{C2F263F5-D360-4402-9297-CD0481D96D06}" destId="{4EBD3A01-64E1-4D22-9323-B88A2B62374C}" srcOrd="0" destOrd="0" presId="urn:microsoft.com/office/officeart/2005/8/layout/orgChart1"/>
    <dgm:cxn modelId="{A0BEB775-30B5-439F-A7B1-B048DD9180AE}" type="presOf" srcId="{3C5E6760-9973-4507-8410-F6115E73979F}" destId="{976D1E57-AC7A-4D1B-BC2B-996E898C581F}" srcOrd="1" destOrd="0" presId="urn:microsoft.com/office/officeart/2005/8/layout/orgChart1"/>
    <dgm:cxn modelId="{5092B975-418C-44E3-82C4-0E856E991086}" type="presOf" srcId="{2873A3ED-D613-4A37-8EE8-00920EDE206B}" destId="{7BF62AFB-9317-4E54-90EB-3DDF770A3D86}" srcOrd="1" destOrd="0" presId="urn:microsoft.com/office/officeart/2005/8/layout/orgChart1"/>
    <dgm:cxn modelId="{209BC575-66EA-422D-8971-DCA00C51D456}" srcId="{1335BBCF-8E8D-42C6-B619-071D35BDD3FC}" destId="{5ADA30E8-8214-492C-8520-D10371E61389}" srcOrd="4" destOrd="0" parTransId="{231A9114-EDDC-49B1-9E36-4061AC701AA8}" sibTransId="{EF81FB0F-0220-4B82-8BC0-6EEE001F1D72}"/>
    <dgm:cxn modelId="{B4413276-C354-4CF9-85FA-A17ACD1AC83C}" srcId="{1335BBCF-8E8D-42C6-B619-071D35BDD3FC}" destId="{2017E836-4C29-406F-BBC0-5D59708D1C19}" srcOrd="1" destOrd="0" parTransId="{0D1CBB38-7F92-41BA-9FCA-95CD49A8E1EC}" sibTransId="{396B0871-3794-4FB6-B921-F8B3CDAE541A}"/>
    <dgm:cxn modelId="{EA864D76-299F-4807-AA63-988FD3CFE929}" type="presOf" srcId="{EFCC3EF5-1ACE-4D51-ADE0-BB1E37F0CD2E}" destId="{CABC921B-0853-4FA6-945F-4957D73B6FE4}" srcOrd="1" destOrd="0" presId="urn:microsoft.com/office/officeart/2005/8/layout/orgChart1"/>
    <dgm:cxn modelId="{35275076-57FA-4ACA-95BA-E63A19F2381E}" srcId="{981E1AF4-DA2D-4B6D-9C64-83259D75895C}" destId="{41C98DE4-9561-4D06-8FE1-560DBF9A6643}" srcOrd="3" destOrd="0" parTransId="{C70A9681-59ED-4F33-AB34-C00BF48F9C0D}" sibTransId="{51C295C8-8E4D-4250-B58A-2954E135C13F}"/>
    <dgm:cxn modelId="{37635856-ED19-43D2-B72A-DBC688152CA3}" type="presOf" srcId="{1183DB6D-C15F-40C8-9366-A500F1FDED64}" destId="{6B94BC66-0A30-4844-8D2B-EA2D0983622A}" srcOrd="1" destOrd="0" presId="urn:microsoft.com/office/officeart/2005/8/layout/orgChart1"/>
    <dgm:cxn modelId="{1767E056-A9F7-4B3E-AA9A-EA9258FFE6AD}" srcId="{5BE49A35-83BB-40E1-8540-26BCCF73D567}" destId="{CF06B935-4100-4BE2-A656-9B7695371F75}" srcOrd="1" destOrd="0" parTransId="{5EB231EC-99CC-414B-8157-E10ACDC6FEF3}" sibTransId="{F3FD4B8C-8963-4837-88ED-854C596FE3C8}"/>
    <dgm:cxn modelId="{27DD0157-C415-4D8E-95FF-CFF4687DA717}" type="presOf" srcId="{4C2606F4-851D-4AC6-8912-08CBFFB97BB2}" destId="{74744B42-BA0F-49DA-A595-C4BA7E965D56}" srcOrd="0" destOrd="0" presId="urn:microsoft.com/office/officeart/2005/8/layout/orgChart1"/>
    <dgm:cxn modelId="{40D64977-75D2-4F63-9CAD-3CF9DF6DC9D7}" srcId="{981E1AF4-DA2D-4B6D-9C64-83259D75895C}" destId="{738E6479-7208-4B42-88E4-24DE0D37F2A1}" srcOrd="2" destOrd="0" parTransId="{E0E9976E-46D0-4AB6-A038-6F36C6F49D6F}" sibTransId="{0D7F0321-6CA2-41B2-820A-6954662BC123}"/>
    <dgm:cxn modelId="{D9535757-5054-4886-8D42-11F7E73D8407}" type="presOf" srcId="{79551598-49A1-43CC-A27E-9835D96707B4}" destId="{4364A7CA-294E-483D-B46E-1D4EE51A9232}" srcOrd="0" destOrd="0" presId="urn:microsoft.com/office/officeart/2005/8/layout/orgChart1"/>
    <dgm:cxn modelId="{F0865A57-A2E6-465C-A8E3-48A803383DAA}" type="presOf" srcId="{A6EECEBB-98BA-4666-92A6-E5E6373C2CDD}" destId="{E2C95335-6D4D-4231-909B-A5D702BE5A84}" srcOrd="0" destOrd="0" presId="urn:microsoft.com/office/officeart/2005/8/layout/orgChart1"/>
    <dgm:cxn modelId="{BE759057-7840-4B03-BFC1-6EE52F010134}" type="presOf" srcId="{A1A4E016-7379-46FC-A054-3AA8C4226052}" destId="{151D60C7-A027-4E0E-8E1B-BD7CCCBB31BA}" srcOrd="0" destOrd="0" presId="urn:microsoft.com/office/officeart/2005/8/layout/orgChart1"/>
    <dgm:cxn modelId="{CB751078-8457-4BD2-A981-AC551260A78E}" srcId="{F4A1CC51-0434-4C0E-A870-44440E1A02D9}" destId="{C8631DC2-E378-4CB2-AB88-4675D872DC2A}" srcOrd="1" destOrd="0" parTransId="{E5112E47-A2AF-4F0E-9183-E60E0192E41E}" sibTransId="{3331DE28-6E75-4529-BEA9-4FABEC5B6AE5}"/>
    <dgm:cxn modelId="{8E875C58-120A-4AD8-8924-149EAAC1AA43}" type="presOf" srcId="{B5E062C0-51FF-475B-AB77-41B3C120B87C}" destId="{0427C18A-9B12-43D2-BF12-85471B29601D}" srcOrd="0" destOrd="0" presId="urn:microsoft.com/office/officeart/2005/8/layout/orgChart1"/>
    <dgm:cxn modelId="{E8214458-20B6-429D-93E7-51DCD0488D1B}" type="presOf" srcId="{05601CD5-C6D9-4CD2-BCB2-12516C9D44F7}" destId="{3CE90B64-99FD-4229-A588-ED3912A34282}" srcOrd="0" destOrd="0" presId="urn:microsoft.com/office/officeart/2005/8/layout/orgChart1"/>
    <dgm:cxn modelId="{21C64D58-1718-4D82-9655-57134C1962DD}" srcId="{2130FFB1-0433-4133-A8C3-71D4D7BC6E6F}" destId="{F7F9F4CE-0839-430A-B431-438E607CE798}" srcOrd="1" destOrd="0" parTransId="{41611002-A6D2-48D7-9ACC-02A7120F5D4B}" sibTransId="{0C29E16F-65F5-4249-AD72-1D0A7CFFD395}"/>
    <dgm:cxn modelId="{ACC55058-7959-483E-8E5C-A3ADB6F39349}" type="presOf" srcId="{9F2554FE-4E10-4780-8965-CE7110AF8925}" destId="{A369B5EB-6003-4C63-9EAE-F1C59E5910C7}" srcOrd="0" destOrd="0" presId="urn:microsoft.com/office/officeart/2005/8/layout/orgChart1"/>
    <dgm:cxn modelId="{4F1F7678-DA00-4AE5-857F-DDD0D688FD8D}" srcId="{24F68BBA-935B-4F01-9FC7-B94418686443}" destId="{7026F640-864F-44FD-BB4A-CD33E5F15DE0}" srcOrd="2" destOrd="0" parTransId="{6E408EB6-AC8E-4CC8-BEC8-06F4D8061ADF}" sibTransId="{6F172C9C-3290-4705-ACD9-FE06C515DF0C}"/>
    <dgm:cxn modelId="{CEB49E58-F66A-4D46-AC0F-094DB7029245}" type="presOf" srcId="{6E319C87-5DA3-42B6-8F49-67B2CC49CED9}" destId="{94609F5A-CBAE-46C5-A242-CE47C7346256}" srcOrd="1" destOrd="0" presId="urn:microsoft.com/office/officeart/2005/8/layout/orgChart1"/>
    <dgm:cxn modelId="{19B9B178-9436-4E9D-BE98-0A4E64E2E9C5}" type="presOf" srcId="{14C9F508-803D-4BAF-8F9C-B237D9437397}" destId="{CE90256F-7FB1-4F21-AB55-D01E2BB6A683}" srcOrd="0" destOrd="0" presId="urn:microsoft.com/office/officeart/2005/8/layout/orgChart1"/>
    <dgm:cxn modelId="{830BD178-763A-4C0E-A77D-11323C7BBC5D}" type="presOf" srcId="{4D4E1A9F-02D8-41E5-9746-F410EC7C0753}" destId="{468120F5-31FE-43D8-ABC5-6BFA855612D5}" srcOrd="0" destOrd="0" presId="urn:microsoft.com/office/officeart/2005/8/layout/orgChart1"/>
    <dgm:cxn modelId="{52850B79-8CE7-4E7D-B131-AB5E6264A6BB}" srcId="{FE848344-69B4-4AF0-A0BA-62F6E39471A7}" destId="{31DC45D9-D8ED-4679-B491-7ED9DF4D548E}" srcOrd="4" destOrd="0" parTransId="{EE8DB93E-4178-4B98-B71F-4A966489DCE1}" sibTransId="{0BFD8C8E-1075-47FF-94FD-1FE6F543059A}"/>
    <dgm:cxn modelId="{DD246459-9DDF-4791-9458-1A6E3C7BB337}" type="presOf" srcId="{624FCBA6-4037-4BFE-AEF8-B4CBBD83024F}" destId="{D402473B-E8FC-4932-B2A9-C769417B7AC1}" srcOrd="1" destOrd="0" presId="urn:microsoft.com/office/officeart/2005/8/layout/orgChart1"/>
    <dgm:cxn modelId="{E9336D59-4274-4DC8-97F3-3D007F103A85}" srcId="{4D138308-F6EC-4F1F-B24A-FF2D870FE516}" destId="{DDF6C6EA-A17F-4E38-9FF4-72B93A4C0D55}" srcOrd="5" destOrd="0" parTransId="{5C59B6F4-2ED7-40D1-84F9-6EBEC8259C80}" sibTransId="{BA37EA3F-EB8A-4E52-9F8B-33AFC4D18619}"/>
    <dgm:cxn modelId="{064E8679-B1C1-4609-911A-E414FB358C79}" type="presOf" srcId="{05953099-D1EF-4694-827D-53469B92EE3B}" destId="{9BEA9358-73D3-4A08-9F0D-AC86DE1DC78E}" srcOrd="0" destOrd="0" presId="urn:microsoft.com/office/officeart/2005/8/layout/orgChart1"/>
    <dgm:cxn modelId="{C19A8C59-A56B-4E5D-BFBB-78B3ECC24572}" type="presOf" srcId="{E69890C1-B5A8-4EE6-85A3-2D7756D9244E}" destId="{1C2A4E46-F6B6-4E4A-8AED-8BD2CFE0BEA4}" srcOrd="0" destOrd="0" presId="urn:microsoft.com/office/officeart/2005/8/layout/orgChart1"/>
    <dgm:cxn modelId="{1467BA79-E40C-4E31-A711-0DF72F42ABA0}" srcId="{F7F9F4CE-0839-430A-B431-438E607CE798}" destId="{FECC9238-9990-4194-A985-57830279189D}" srcOrd="2" destOrd="0" parTransId="{77B0C87F-4918-4159-A1CE-6259B31DA524}" sibTransId="{752D85BE-FE2F-4266-81B4-0DBE7218263D}"/>
    <dgm:cxn modelId="{585D0F5A-0225-4C7E-B8ED-F6D8122D84C1}" type="presOf" srcId="{C96A7505-6770-4770-A152-D1D662290F25}" destId="{DB0D28C5-6F16-4EF9-AAA2-E84856127121}" srcOrd="1" destOrd="0" presId="urn:microsoft.com/office/officeart/2005/8/layout/orgChart1"/>
    <dgm:cxn modelId="{6A5E1F7A-3E80-4BB6-A8B5-E23540497F8C}" srcId="{F41F49ED-BE36-4A63-9E37-1E1EC5082A60}" destId="{4B0BE08F-5910-4DFD-9C40-BCFC903B9E38}" srcOrd="3" destOrd="0" parTransId="{05953099-D1EF-4694-827D-53469B92EE3B}" sibTransId="{8DFA3336-A010-43AD-94B5-C9612A590A09}"/>
    <dgm:cxn modelId="{C8BE347A-0BD3-4B1B-8FC7-C795F12291C0}" srcId="{43494D86-EA7A-4DCD-AB36-E02A143CE95D}" destId="{A80098DA-C80A-4B77-8F44-5A6EA76A1F2D}" srcOrd="1" destOrd="0" parTransId="{001C17F2-085A-4D2E-B5D3-E2D8533B3286}" sibTransId="{4D564C08-E444-4823-925B-5033A3A823B4}"/>
    <dgm:cxn modelId="{8782375A-7D7C-4A72-9980-02648FA0D848}" type="presOf" srcId="{6DA5D88D-1E4A-428A-ACBA-9A2D0BEB046E}" destId="{3B9DFC1B-2768-43BA-A1BB-CDBB86B36548}" srcOrd="0" destOrd="0" presId="urn:microsoft.com/office/officeart/2005/8/layout/orgChart1"/>
    <dgm:cxn modelId="{3504385A-604D-4049-AA46-1EF31920FF42}" srcId="{04D519F8-B01A-4986-A285-EE31BD737934}" destId="{DF071821-8BA9-4868-B806-A40BE4759DA3}" srcOrd="4" destOrd="0" parTransId="{A7B47410-4336-4308-85EE-478C329B4409}" sibTransId="{30E868D5-8ACB-434C-B055-A13DE4610C87}"/>
    <dgm:cxn modelId="{BF93415A-98E1-4952-A959-FF2E25C01956}" type="presOf" srcId="{10B896D3-0393-4FDC-8D4D-D7B7F0D986E2}" destId="{4F1D01BD-62B1-4C97-B85F-C12EF4F92E28}" srcOrd="0" destOrd="0" presId="urn:microsoft.com/office/officeart/2005/8/layout/orgChart1"/>
    <dgm:cxn modelId="{AF89567A-2364-4DDA-AD69-843A60B25B82}" type="presOf" srcId="{2D141E73-B62B-43C6-94AE-60BD5450AF89}" destId="{B7B5FC65-B937-4DC9-A876-57469E82BCF8}" srcOrd="0" destOrd="0" presId="urn:microsoft.com/office/officeart/2005/8/layout/orgChart1"/>
    <dgm:cxn modelId="{9751877A-63C2-4739-8DEC-6E221CE94374}" srcId="{734C8B5F-9381-487F-9E6B-C9F554DA0E0F}" destId="{04D519F8-B01A-4986-A285-EE31BD737934}" srcOrd="3" destOrd="0" parTransId="{C1D0219A-8019-4598-AB73-BCC57F4403BF}" sibTransId="{F08403C6-7EAC-455C-B20D-B1AE86D1DED2}"/>
    <dgm:cxn modelId="{EC159F7A-5A56-4889-9E9A-C63315741E58}" type="presOf" srcId="{1CFF21BB-7382-4C48-B17E-8324F99020A1}" destId="{DEE440A7-E6F1-4F3C-B2B2-7DB7F1336163}" srcOrd="0" destOrd="0" presId="urn:microsoft.com/office/officeart/2005/8/layout/orgChart1"/>
    <dgm:cxn modelId="{B8A39B7B-CE8C-453B-A781-8E2F14AD2100}" srcId="{668FD8E8-F813-44B7-ADB4-AF4C5A9F35DF}" destId="{A6BC0BFA-F253-4133-BCCD-3080B1026916}" srcOrd="5" destOrd="0" parTransId="{52D2A314-5AC5-4D94-ACC9-9F784C699FFB}" sibTransId="{B26A73C5-DA54-4879-8C91-AA4919DEE844}"/>
    <dgm:cxn modelId="{981EB57B-30B7-4AE1-88F0-D137F39E5AE9}" type="presOf" srcId="{803222C5-9AC1-40E8-8786-669DF97B845E}" destId="{B2AF684C-CBA0-4A75-A7E2-B5F25F82AF64}" srcOrd="1" destOrd="0" presId="urn:microsoft.com/office/officeart/2005/8/layout/orgChart1"/>
    <dgm:cxn modelId="{FC69CD7B-686C-4A44-BF4D-A46B516C6F32}" type="presOf" srcId="{01BDAF2E-E70D-4F79-9055-50B21BDDED8A}" destId="{65D49952-5328-487C-A782-CC31AC50DEE1}" srcOrd="0" destOrd="0" presId="urn:microsoft.com/office/officeart/2005/8/layout/orgChart1"/>
    <dgm:cxn modelId="{A40FD77B-8978-436C-92A0-D0CAECE54AEA}" type="presOf" srcId="{3D003A27-E7ED-4268-9B7F-3C0C5998E185}" destId="{F19AE65A-CAB1-4D19-AE62-B3D7E92797E1}" srcOrd="0" destOrd="0" presId="urn:microsoft.com/office/officeart/2005/8/layout/orgChart1"/>
    <dgm:cxn modelId="{CD9AF77B-8FDD-4FD6-A709-35CAF68B6BC3}" srcId="{2CAF80FB-6C9D-4F54-91B0-E2C431C46A87}" destId="{8130E6E9-6299-4680-A9A1-35CFC113836C}" srcOrd="1" destOrd="0" parTransId="{25657745-DD72-4621-B425-3AFB1527C28D}" sibTransId="{6BC943A8-A271-4B1F-BC3A-03C78E082100}"/>
    <dgm:cxn modelId="{39FC187C-BB98-48DD-8815-86B4FE98F091}" type="presOf" srcId="{D92568A8-A203-41A1-8DF6-F2F45F663CD6}" destId="{8E7D2D24-324C-4E8A-9193-A67B8CC49E8D}" srcOrd="0" destOrd="0" presId="urn:microsoft.com/office/officeart/2005/8/layout/orgChart1"/>
    <dgm:cxn modelId="{6276327C-5211-437C-9DB4-EE0ECED5CB93}" type="presOf" srcId="{A430E8EA-CBB1-49E1-A5FC-8BB12855D5A6}" destId="{B0860EED-F74F-41E3-96F4-6B042F7BB197}" srcOrd="1" destOrd="0" presId="urn:microsoft.com/office/officeart/2005/8/layout/orgChart1"/>
    <dgm:cxn modelId="{15AA1F7D-FD02-406B-AE97-F9F8CBA48601}" type="presOf" srcId="{65D3F9C9-8ACE-4C36-856C-AD4ACE70282A}" destId="{00414A84-BE3F-419D-86C3-0CBBCB77744F}" srcOrd="0" destOrd="0" presId="urn:microsoft.com/office/officeart/2005/8/layout/orgChart1"/>
    <dgm:cxn modelId="{C04E3B7D-5941-40F6-B144-F48103881DCE}" type="presOf" srcId="{A4A29A10-673A-4945-BC28-1960217650D3}" destId="{E7A2A1BB-552D-4EFC-9B35-1729F0DD5F28}" srcOrd="1" destOrd="0" presId="urn:microsoft.com/office/officeart/2005/8/layout/orgChart1"/>
    <dgm:cxn modelId="{18AC9A7D-7E1E-4BCC-9B6A-59868BF2F450}" srcId="{FD10E54D-7B0B-4C4F-B8E2-939387CDB3B9}" destId="{5B3109DE-A521-450A-91D5-9785EE5C6138}" srcOrd="1" destOrd="0" parTransId="{866E4B91-1117-42EC-97E3-35255B8D6AF3}" sibTransId="{EFB629B6-D012-41FF-AD23-1CA793A2F3D7}"/>
    <dgm:cxn modelId="{09E7A87D-1ACD-488A-8204-FADB191EDD62}" type="presOf" srcId="{9251A46D-2BE0-4272-8860-C252FCA0E36F}" destId="{4BF9BE59-0E43-4513-8635-AE95031E0FCE}" srcOrd="1" destOrd="0" presId="urn:microsoft.com/office/officeart/2005/8/layout/orgChart1"/>
    <dgm:cxn modelId="{DD11B37D-58C7-4781-906E-A5BA0E653DF1}" type="presOf" srcId="{261AC762-8441-4A03-97AC-AD71E122E56E}" destId="{EE20F720-F98C-43E8-A1D6-56D586AC6531}" srcOrd="0" destOrd="0" presId="urn:microsoft.com/office/officeart/2005/8/layout/orgChart1"/>
    <dgm:cxn modelId="{57D4D17D-E5B7-498B-B762-6144A8BAD38C}" srcId="{0F55FE95-8893-4B7D-BDCB-FDC155E3EACC}" destId="{1F00CD85-06AD-4311-9BB0-289B41D9FE14}" srcOrd="5" destOrd="0" parTransId="{578A1195-DDDD-4095-B511-8A9209306ED6}" sibTransId="{95CB33A5-D8F9-47F9-AD15-3653358530D9}"/>
    <dgm:cxn modelId="{76DBF87D-633B-438E-B875-26F9807F9D54}" type="presOf" srcId="{FE292139-D1CB-419B-9093-AB70E97A3266}" destId="{1726DF87-F6BA-4F78-8780-0CE89AC53192}" srcOrd="0" destOrd="0" presId="urn:microsoft.com/office/officeart/2005/8/layout/orgChart1"/>
    <dgm:cxn modelId="{0F61607E-A7A5-42FB-BAFA-EEF6C3D455A3}" srcId="{54A3E45B-197D-4803-9D53-988457AAFE7D}" destId="{62DBDDDE-002A-47B0-9F6E-092BF65CE2F8}" srcOrd="1" destOrd="0" parTransId="{0113DE95-0A0E-42C4-B8AB-7646BCA87492}" sibTransId="{D18293CA-0A9F-48E8-93D3-0DF572B90B28}"/>
    <dgm:cxn modelId="{22B76B7E-4858-42DF-95BA-979A4A3B325E}" type="presOf" srcId="{F0FC0A44-2E99-42D2-A1E3-031B70FD1F49}" destId="{823D9CA9-5C31-40D0-A4FD-A6C63340FC1C}" srcOrd="0" destOrd="0" presId="urn:microsoft.com/office/officeart/2005/8/layout/orgChart1"/>
    <dgm:cxn modelId="{5D43977E-5D4D-41D0-9AEC-DEB00A6251F6}" type="presOf" srcId="{A430E8EA-CBB1-49E1-A5FC-8BB12855D5A6}" destId="{F2E7B534-942E-4E74-93EC-3280C2D23683}" srcOrd="0" destOrd="0" presId="urn:microsoft.com/office/officeart/2005/8/layout/orgChart1"/>
    <dgm:cxn modelId="{9310C77E-89D2-46E0-B652-22FE82AB3570}" srcId="{3EFB6F83-0F50-42CC-83FC-2ED148A81797}" destId="{94F15C96-FF94-48C8-953C-B1B9398FFF34}" srcOrd="0" destOrd="0" parTransId="{5470B045-64D7-4051-9BE3-18D85A7F860F}" sibTransId="{69589D04-F077-418F-9E48-D232BFC430CC}"/>
    <dgm:cxn modelId="{CB34C87E-BC68-46D4-A608-F3CAA8E94E16}" type="presOf" srcId="{631540FB-3808-4E2A-9553-428A5E948F14}" destId="{0C7A7BBF-3F62-4ACD-A12C-8C082E47C98E}" srcOrd="0" destOrd="0" presId="urn:microsoft.com/office/officeart/2005/8/layout/orgChart1"/>
    <dgm:cxn modelId="{FBA2E27E-18F6-4A2C-8C53-06E3B6345BF7}" type="presOf" srcId="{8D0E6E12-B5D4-48C2-AEF0-1DF8718C851C}" destId="{2BE4797E-7647-4EC8-A4F9-09D0083E8476}" srcOrd="0" destOrd="0" presId="urn:microsoft.com/office/officeart/2005/8/layout/orgChart1"/>
    <dgm:cxn modelId="{5FCB2F7F-25C5-4266-8E83-401B61A42BD3}" type="presOf" srcId="{4BC45046-A6E0-48F7-BA5B-6545909F6576}" destId="{D871CE47-E695-494E-BC76-77D3DF26597F}" srcOrd="0" destOrd="0" presId="urn:microsoft.com/office/officeart/2005/8/layout/orgChart1"/>
    <dgm:cxn modelId="{0F029A7F-95C1-4982-A8B9-4126FFF921BC}" type="presOf" srcId="{65BE6814-3F0C-4148-8403-2B704DD5B257}" destId="{E60CB9C9-A214-492F-A1CE-53114F1A3A22}" srcOrd="0" destOrd="0" presId="urn:microsoft.com/office/officeart/2005/8/layout/orgChart1"/>
    <dgm:cxn modelId="{E243B97F-821A-4755-87CF-F0EB179B5F5C}" srcId="{668FD8E8-F813-44B7-ADB4-AF4C5A9F35DF}" destId="{4530D1F9-D79B-4F21-A3D8-9A72766751AB}" srcOrd="6" destOrd="0" parTransId="{661FFE08-7AA2-45A2-B810-4C07FE722FE7}" sibTransId="{5C76BF81-FE31-43E6-A125-166B01182174}"/>
    <dgm:cxn modelId="{9EC5BA7F-E357-45E1-8C17-25A0C062DCA9}" type="presOf" srcId="{5FFD8D41-00CA-443E-A135-CD7A2C7FEE82}" destId="{89331313-CB57-4BAD-A372-DD7BC03AA098}" srcOrd="0" destOrd="0" presId="urn:microsoft.com/office/officeart/2005/8/layout/orgChart1"/>
    <dgm:cxn modelId="{7A814180-20D3-414E-BE00-839F5597DFC6}" type="presOf" srcId="{61B3E704-4E8F-4736-9793-47FFB53C6098}" destId="{1C76FD4A-7B02-4AD1-B4BB-471E4699472E}" srcOrd="1" destOrd="0" presId="urn:microsoft.com/office/officeart/2005/8/layout/orgChart1"/>
    <dgm:cxn modelId="{0CF24780-7752-49DD-A111-CF31D555EE70}" srcId="{668FD8E8-F813-44B7-ADB4-AF4C5A9F35DF}" destId="{53A6C4B4-CF08-4693-8722-23AD0DF8467A}" srcOrd="8" destOrd="0" parTransId="{CB22239A-2C33-4D8A-80F3-FA87867B19F5}" sibTransId="{A9AF7FD8-F06D-4704-844E-8D85D3C59155}"/>
    <dgm:cxn modelId="{C7CF8180-43F8-449A-BE47-3DB04DC41AEA}" type="presOf" srcId="{F91D3B42-1C1E-4A47-91FE-5E139228559A}" destId="{4009ACA6-5BD1-4D26-B069-29608CE81DFD}" srcOrd="0" destOrd="0" presId="urn:microsoft.com/office/officeart/2005/8/layout/orgChart1"/>
    <dgm:cxn modelId="{E1D8BF80-78FF-4C75-8AD2-5C27AB08EB3C}" srcId="{2E764A5A-3A14-45D4-A38B-5595B575B8E6}" destId="{5415383A-F5AF-4898-9C22-13AB48B2A05C}" srcOrd="3" destOrd="0" parTransId="{D7F3EA7A-619D-4972-AD51-63650624138C}" sibTransId="{111C6043-E79F-4031-BBD7-23E49C65385B}"/>
    <dgm:cxn modelId="{30ACCD80-3DE0-40EA-B242-72C6BF171BD6}" type="presOf" srcId="{0D1CBB38-7F92-41BA-9FCA-95CD49A8E1EC}" destId="{8F716452-68A5-4EBA-9E68-A00F368A2593}" srcOrd="0" destOrd="0" presId="urn:microsoft.com/office/officeart/2005/8/layout/orgChart1"/>
    <dgm:cxn modelId="{A2A24181-54F7-4A24-90C8-C1FB5CDF71F2}" type="presOf" srcId="{583B2D27-C9D7-4735-BF30-88E58FAE0151}" destId="{775E7F50-CA3B-4B94-9C84-D30C0EFA147D}" srcOrd="0" destOrd="0" presId="urn:microsoft.com/office/officeart/2005/8/layout/orgChart1"/>
    <dgm:cxn modelId="{54F5C981-BC05-4717-80AF-7558D218336E}" srcId="{53A6C4B4-CF08-4693-8722-23AD0DF8467A}" destId="{5EB74292-714A-47E6-A388-60055E38E838}" srcOrd="2" destOrd="0" parTransId="{F1CF6E37-6CCF-4AF6-8762-EE7789056675}" sibTransId="{0DAD655F-C6FE-4AC8-A62B-C7BFE82E9C32}"/>
    <dgm:cxn modelId="{BF95D781-5981-4C8E-B887-4C24F262FD23}" type="presOf" srcId="{F7F9F4CE-0839-430A-B431-438E607CE798}" destId="{ABE27A08-F86F-4B35-84EB-89852B1AD93C}" srcOrd="0" destOrd="0" presId="urn:microsoft.com/office/officeart/2005/8/layout/orgChart1"/>
    <dgm:cxn modelId="{10E7E881-323F-4353-B061-5DC7EC30C107}" type="presOf" srcId="{CB5DDAB7-D6BA-4F78-8AC1-41093DB49CBF}" destId="{3BD9E421-415F-48E6-B664-8F79FE1D24DF}" srcOrd="1" destOrd="0" presId="urn:microsoft.com/office/officeart/2005/8/layout/orgChart1"/>
    <dgm:cxn modelId="{70E10382-F2EE-4ED4-91FC-A238D06EB02C}" type="presOf" srcId="{15944826-1840-444B-931C-6EACD2B83551}" destId="{CDA52C2D-48E8-4BE1-8549-897717976730}" srcOrd="0" destOrd="0" presId="urn:microsoft.com/office/officeart/2005/8/layout/orgChart1"/>
    <dgm:cxn modelId="{9A7C2382-2585-4F0D-8683-4D98DA867BE9}" type="presOf" srcId="{34FF5F5E-1B27-44DF-A7EC-AEE7E6D1FF27}" destId="{3C2A7602-E2BA-4D42-9EA8-0BC8C24DBD9F}" srcOrd="0" destOrd="0" presId="urn:microsoft.com/office/officeart/2005/8/layout/orgChart1"/>
    <dgm:cxn modelId="{721D3E82-FB46-4469-87A4-91B236A219C9}" srcId="{24F68BBA-935B-4F01-9FC7-B94418686443}" destId="{8F6DE852-327B-4577-9FE1-062E937150BD}" srcOrd="1" destOrd="0" parTransId="{E02B2C77-2C0D-4825-8691-3A81AD7E2D52}" sibTransId="{62F6B9F8-DC58-42BF-BBEB-A761080463E3}"/>
    <dgm:cxn modelId="{4C149F82-BDA0-43DA-8121-AB5D2B38ED3F}" type="presOf" srcId="{5ADA30E8-8214-492C-8520-D10371E61389}" destId="{E719253F-CDAB-4E48-970E-1A0643CDB767}" srcOrd="1" destOrd="0" presId="urn:microsoft.com/office/officeart/2005/8/layout/orgChart1"/>
    <dgm:cxn modelId="{13B2AE82-8BB2-48CC-8F7F-3C74A96B48B7}" type="presOf" srcId="{BFA7FA89-9744-4851-B655-6F798EA4D5BB}" destId="{1E5F8131-6FEC-423E-8CEA-1EDAE83B5572}" srcOrd="0" destOrd="0" presId="urn:microsoft.com/office/officeart/2005/8/layout/orgChart1"/>
    <dgm:cxn modelId="{CC83CA82-B2CF-47FF-8586-F970AC4DCF35}" srcId="{41C98DE4-9561-4D06-8FE1-560DBF9A6643}" destId="{298CC665-FF50-4B2C-9490-9ACF0AB8284C}" srcOrd="1" destOrd="0" parTransId="{16D22254-C9B2-4B6E-84AE-A024BE9B3D3B}" sibTransId="{F1C2B8C5-5738-4565-AFB9-108713BA3EB8}"/>
    <dgm:cxn modelId="{9611CC82-930E-4DAE-9E96-97B2B7D03996}" type="presOf" srcId="{0978688B-9487-4599-BFA2-E6CAEF31F3AD}" destId="{804665FC-0945-42CD-95A4-23DBD0DC3279}" srcOrd="0" destOrd="0" presId="urn:microsoft.com/office/officeart/2005/8/layout/orgChart1"/>
    <dgm:cxn modelId="{56663483-A6C7-4C8D-BBA0-8CE97EDC86A7}" type="presOf" srcId="{566D328A-7046-49A4-A8F3-056A23838A3E}" destId="{9B56920C-B2F4-42E0-8726-65D467D50864}" srcOrd="0" destOrd="0" presId="urn:microsoft.com/office/officeart/2005/8/layout/orgChart1"/>
    <dgm:cxn modelId="{68238A83-2D04-482F-8785-D4F53D17D88A}" srcId="{A6232338-D847-40DB-807A-FC2CF08A22C7}" destId="{A9C6CD5C-3BFE-4F40-A0A2-6440C65A6574}" srcOrd="2" destOrd="0" parTransId="{430AEF66-2B6B-4E40-BD92-7A5B9BC44106}" sibTransId="{1EE07391-BFE2-491A-8D45-481E576B9384}"/>
    <dgm:cxn modelId="{0497EC83-5824-420D-A37A-6199A1F7783D}" type="presOf" srcId="{01A1075C-5A2D-4D14-9D04-3BBCFB83A3FB}" destId="{86530056-E779-4F13-8351-A572442D8912}" srcOrd="1" destOrd="0" presId="urn:microsoft.com/office/officeart/2005/8/layout/orgChart1"/>
    <dgm:cxn modelId="{022E9684-D9A9-47DE-BE70-687C6DEE33B4}" srcId="{8FC40973-C7B4-49AC-A525-0E4B043C5DA4}" destId="{71FDD072-FCEA-4B86-8AB5-EDEEFFA315C8}" srcOrd="1" destOrd="0" parTransId="{7852CCA7-3094-4A6E-9912-46A8B6C969BE}" sibTransId="{EC292A31-D013-454F-9C3B-DA9CEBB054C4}"/>
    <dgm:cxn modelId="{F0980D85-4E31-46E5-A6E8-D6AB3411D1B8}" type="presOf" srcId="{5BE49A35-83BB-40E1-8540-26BCCF73D567}" destId="{E76DB6DD-5738-4DA5-9270-E0A1C20DCEF1}" srcOrd="0" destOrd="0" presId="urn:microsoft.com/office/officeart/2005/8/layout/orgChart1"/>
    <dgm:cxn modelId="{5B5C8185-7170-4EDA-BD28-FB63E4C51169}" type="presOf" srcId="{8FF3568A-CAA4-4B5F-A69D-D7BC18D34268}" destId="{51A0FF83-B108-4943-BCE6-0B711FDF5822}" srcOrd="1" destOrd="0" presId="urn:microsoft.com/office/officeart/2005/8/layout/orgChart1"/>
    <dgm:cxn modelId="{894E6386-9123-4ED6-81BC-C79AF6BA8E7B}" type="presOf" srcId="{CF0527BE-0793-413B-8777-BF8F71D1D5BD}" destId="{8B2D2E52-98B3-4572-B3CD-69DEAC507002}" srcOrd="1" destOrd="0" presId="urn:microsoft.com/office/officeart/2005/8/layout/orgChart1"/>
    <dgm:cxn modelId="{A111E486-5A26-467C-8713-65D039AC6752}" type="presOf" srcId="{5019FE34-9829-4EB2-96B3-F222C088A958}" destId="{0346B74D-0711-4C32-A1B6-069D2900BD65}" srcOrd="0" destOrd="0" presId="urn:microsoft.com/office/officeart/2005/8/layout/orgChart1"/>
    <dgm:cxn modelId="{7C670E87-3FDC-47CE-AE7A-F54CA5767FB7}" type="presOf" srcId="{24DDC09B-12C1-4FE5-A7D4-27B08A5DB303}" destId="{BD0F78D0-C9D0-4CD0-8648-6CC7DD0B1707}" srcOrd="1" destOrd="0" presId="urn:microsoft.com/office/officeart/2005/8/layout/orgChart1"/>
    <dgm:cxn modelId="{A8AE1B87-C359-4EB9-BDF6-9AE32A303FC0}" type="presOf" srcId="{94542E4A-D1E8-42C9-9FE4-ABD4D7205DBC}" destId="{2C83A144-91E0-44FF-9575-68A00228C791}" srcOrd="0" destOrd="0" presId="urn:microsoft.com/office/officeart/2005/8/layout/orgChart1"/>
    <dgm:cxn modelId="{0F633C87-DD53-4018-A45B-57A90735AA89}" type="presOf" srcId="{E02B2C77-2C0D-4825-8691-3A81AD7E2D52}" destId="{8CFE022E-6D71-4E6C-BE4E-5BBDDEB3302E}" srcOrd="0" destOrd="0" presId="urn:microsoft.com/office/officeart/2005/8/layout/orgChart1"/>
    <dgm:cxn modelId="{7E15B287-B646-4D8E-9B96-EEBFF93CD55F}" srcId="{43494D86-EA7A-4DCD-AB36-E02A143CE95D}" destId="{86269F2E-6E8F-4730-8224-E18D7B039898}" srcOrd="2" destOrd="0" parTransId="{D149A505-572D-4CDC-8D81-A814FB0F53E6}" sibTransId="{4F372BC3-7332-4679-BBDE-35A89A3972F2}"/>
    <dgm:cxn modelId="{B744D587-CBB3-423B-9D5E-39A65A083D46}" type="presOf" srcId="{62DB5024-8BA8-46C6-8E61-755F393EB1C9}" destId="{64DB1B4C-E575-4E28-80F0-CC5FD6BC6B68}" srcOrd="0" destOrd="0" presId="urn:microsoft.com/office/officeart/2005/8/layout/orgChart1"/>
    <dgm:cxn modelId="{30A8D887-6EBE-4BC2-907C-B4F86BB0EFCA}" type="presOf" srcId="{B1A55261-9E28-4100-B2A4-A33DF4773EDA}" destId="{50CBF8EF-6B6B-44B2-A9BF-477E02B8F11B}" srcOrd="0" destOrd="0" presId="urn:microsoft.com/office/officeart/2005/8/layout/orgChart1"/>
    <dgm:cxn modelId="{CD8BF087-D8B2-4616-BFD9-902C3CFB2989}" type="presOf" srcId="{441DB316-1E00-4F26-880F-2049E6656922}" destId="{F6E73B98-261C-48B9-8085-F3BC002A447D}" srcOrd="1" destOrd="0" presId="urn:microsoft.com/office/officeart/2005/8/layout/orgChart1"/>
    <dgm:cxn modelId="{D41A5D88-0816-4C90-A6BD-EC00BFF9D024}" type="presOf" srcId="{939DC143-D0A5-47E0-A8C6-ABD27D48AA37}" destId="{393EF511-1FDE-476B-AF81-C2F2BDBDA4E3}" srcOrd="0" destOrd="0" presId="urn:microsoft.com/office/officeart/2005/8/layout/orgChart1"/>
    <dgm:cxn modelId="{BE574288-0E00-4576-9A2A-00A1BEB90182}" type="presOf" srcId="{4AE9D112-E6F0-4A1C-9F8C-EDF4A44E1661}" destId="{6E7C9CC7-CC65-4F06-8FF8-030F3350E547}" srcOrd="0" destOrd="0" presId="urn:microsoft.com/office/officeart/2005/8/layout/orgChart1"/>
    <dgm:cxn modelId="{64A64688-BA09-4883-BEBD-D73393A7367F}" type="presOf" srcId="{7852CCA7-3094-4A6E-9912-46A8B6C969BE}" destId="{FF1B590C-B050-43A0-8E6F-C029377877ED}" srcOrd="0" destOrd="0" presId="urn:microsoft.com/office/officeart/2005/8/layout/orgChart1"/>
    <dgm:cxn modelId="{FA486988-D736-4B14-ACEF-0A77A24E2F2F}" srcId="{F91D3B42-1C1E-4A47-91FE-5E139228559A}" destId="{01BDAF2E-E70D-4F79-9055-50B21BDDED8A}" srcOrd="1" destOrd="0" parTransId="{50A64364-6B43-4704-B58C-405B5EE75147}" sibTransId="{C237D64A-D20C-43DA-AEA9-F8374EF1D23D}"/>
    <dgm:cxn modelId="{AEAA7288-C69A-4492-A671-351EAEA56DA6}" type="presOf" srcId="{83DE7630-43AC-41D3-9DDE-B7D7C969FBD7}" destId="{B29EC56D-E536-4CEA-BB72-E567469C02DE}" srcOrd="0" destOrd="0" presId="urn:microsoft.com/office/officeart/2005/8/layout/orgChart1"/>
    <dgm:cxn modelId="{43BE7B88-FB0C-47AE-8A4B-625ADBBC52E0}" type="presOf" srcId="{8BB6122D-E6A2-4709-A14A-8420CE30194E}" destId="{B33A0610-B7DA-46F0-ABCF-B32017F39E70}" srcOrd="1" destOrd="0" presId="urn:microsoft.com/office/officeart/2005/8/layout/orgChart1"/>
    <dgm:cxn modelId="{426D8F88-AC0A-4023-AE68-BC16C961CF8A}" type="presOf" srcId="{8F0CA22B-B976-4897-94C1-A5DBABB2DA3B}" destId="{8D65E529-C257-441F-8E57-F57050914B50}" srcOrd="1" destOrd="0" presId="urn:microsoft.com/office/officeart/2005/8/layout/orgChart1"/>
    <dgm:cxn modelId="{D164F588-B195-41FB-B81E-F4A1F0424D7C}" srcId="{4173C88A-ECDC-4040-B53F-BD5D7AAFFF62}" destId="{4C2606F4-851D-4AC6-8912-08CBFFB97BB2}" srcOrd="1" destOrd="0" parTransId="{6DA5D88D-1E4A-428A-ACBA-9A2D0BEB046E}" sibTransId="{7034472B-761D-4D2A-B55B-8B95F11FC27C}"/>
    <dgm:cxn modelId="{07811789-2D8E-4B28-8514-01F92CCA96C7}" type="presOf" srcId="{A4A29A10-673A-4945-BC28-1960217650D3}" destId="{BCBF385E-16BD-4AAC-A54C-F6718B75FB2F}" srcOrd="0" destOrd="0" presId="urn:microsoft.com/office/officeart/2005/8/layout/orgChart1"/>
    <dgm:cxn modelId="{549B6189-DD76-4712-BE14-32F75D2BE8AC}" srcId="{5B3109DE-A521-450A-91D5-9785EE5C6138}" destId="{24DDC09B-12C1-4FE5-A7D4-27B08A5DB303}" srcOrd="1" destOrd="0" parTransId="{8BB21947-522E-497A-A4DE-24AF1805C893}" sibTransId="{E1A4E1DA-E48B-49EC-AD4E-830E9B629B95}"/>
    <dgm:cxn modelId="{3964BF89-AA9E-45EE-9044-297B4F7E85D9}" type="presOf" srcId="{25F99B51-CB6C-4FB9-B111-3930904D8521}" destId="{ABF570EC-C4A3-42ED-A11F-F7C08C0F9AFD}" srcOrd="0" destOrd="0" presId="urn:microsoft.com/office/officeart/2005/8/layout/orgChart1"/>
    <dgm:cxn modelId="{0737CD89-79D8-4760-83FE-B5C81DAEF8F6}" srcId="{A6232338-D847-40DB-807A-FC2CF08A22C7}" destId="{2873A3ED-D613-4A37-8EE8-00920EDE206B}" srcOrd="3" destOrd="0" parTransId="{560B7FBE-8261-497E-95A6-A4352541D2CF}" sibTransId="{98A84A57-1AAF-4873-9BD3-D59A80304BB9}"/>
    <dgm:cxn modelId="{1BA7E089-0C7C-4329-B4C9-B109308C229B}" type="presOf" srcId="{A897771D-E6B0-48A3-B27A-81D9F9AE3A3B}" destId="{52EB44A8-D86C-4A60-AA66-2446B7A2D5DB}" srcOrd="0" destOrd="0" presId="urn:microsoft.com/office/officeart/2005/8/layout/orgChart1"/>
    <dgm:cxn modelId="{D020038A-8762-474C-82C6-EFF961263E02}" type="presOf" srcId="{6E8190F6-1767-4B84-B6B0-F6FE02607253}" destId="{B2C13966-589B-4BC9-BE9F-9DEE509E836E}" srcOrd="0" destOrd="0" presId="urn:microsoft.com/office/officeart/2005/8/layout/orgChart1"/>
    <dgm:cxn modelId="{B007048A-8676-479F-B85A-5E40A0D2ED49}" type="presOf" srcId="{438C64B7-74FF-466F-998E-55F0A1D92961}" destId="{B1A45956-E2B3-47B9-AB45-0E3D01DF6EDD}" srcOrd="0" destOrd="0" presId="urn:microsoft.com/office/officeart/2005/8/layout/orgChart1"/>
    <dgm:cxn modelId="{902F138A-8210-42CB-B90C-E7E99E64F22A}" type="presOf" srcId="{9059873F-23AD-4520-865D-7D0086E7D41E}" destId="{24713480-EB01-4DF6-BF88-72157C8E9C25}" srcOrd="0" destOrd="0" presId="urn:microsoft.com/office/officeart/2005/8/layout/orgChart1"/>
    <dgm:cxn modelId="{78B7348A-798F-4127-AD10-39C437D3AF10}" type="presOf" srcId="{62DBDDDE-002A-47B0-9F6E-092BF65CE2F8}" destId="{B51D8D65-25F6-437E-BF22-77A8D843DF25}" srcOrd="1" destOrd="0" presId="urn:microsoft.com/office/officeart/2005/8/layout/orgChart1"/>
    <dgm:cxn modelId="{D26B8A8A-3908-4593-86A6-0572FD7D5DAB}" srcId="{624FCBA6-4037-4BFE-AEF8-B4CBBD83024F}" destId="{FE848344-69B4-4AF0-A0BA-62F6E39471A7}" srcOrd="3" destOrd="0" parTransId="{C70932F0-1F03-42B4-81FF-F8E306150B04}" sibTransId="{DFFF63C6-7B13-4114-8717-246C68F1D203}"/>
    <dgm:cxn modelId="{936FFA8A-C221-4102-A39D-80B5B7BA722B}" type="presOf" srcId="{4810ACD6-252C-478A-A613-29B71C31ABE2}" destId="{9FD72A61-FB68-48BE-8507-DE1B0F4CA34B}" srcOrd="0" destOrd="0" presId="urn:microsoft.com/office/officeart/2005/8/layout/orgChart1"/>
    <dgm:cxn modelId="{56BC258B-3785-4FE1-A82D-2709BC4F9064}" type="presOf" srcId="{734C8B5F-9381-487F-9E6B-C9F554DA0E0F}" destId="{0CA90DB8-D449-4E1D-B690-E0CBB31849B5}" srcOrd="1" destOrd="0" presId="urn:microsoft.com/office/officeart/2005/8/layout/orgChart1"/>
    <dgm:cxn modelId="{287C708B-F9FC-466A-BFC7-9E45469D5E15}" type="presOf" srcId="{A0F0EA8E-B803-447C-B926-3AD3AD68F037}" destId="{F9EDA04F-FC1B-4F5D-82BF-097D63568E28}" srcOrd="0" destOrd="0" presId="urn:microsoft.com/office/officeart/2005/8/layout/orgChart1"/>
    <dgm:cxn modelId="{DDF08F8B-4DD4-4F83-AAF0-16D1A508B5A1}" type="presOf" srcId="{17EFF492-98ED-4199-A16A-40CC300BFE5E}" destId="{C1857B17-CDFD-41F9-BF8E-6AE491EE6D61}" srcOrd="0" destOrd="0" presId="urn:microsoft.com/office/officeart/2005/8/layout/orgChart1"/>
    <dgm:cxn modelId="{BDFFAE8B-9C2B-4C2F-99C2-12A468B32023}" type="presOf" srcId="{F66EE8E3-FED5-4EE4-8436-4ED51E9BED17}" destId="{18030DCA-1D30-4C78-9BD5-E0C6BC21538C}" srcOrd="0" destOrd="0" presId="urn:microsoft.com/office/officeart/2005/8/layout/orgChart1"/>
    <dgm:cxn modelId="{6FF4D88B-DDE4-418B-9AD6-44593EA63E3F}" type="presOf" srcId="{CCEB27B7-C321-4041-835D-689BBBE813E0}" destId="{AE26D402-F7C2-429E-A766-FA3F3B04E164}" srcOrd="0" destOrd="0" presId="urn:microsoft.com/office/officeart/2005/8/layout/orgChart1"/>
    <dgm:cxn modelId="{BE0C178C-BEA9-48F7-BA1B-2710CF558CB6}" srcId="{CB5DDAB7-D6BA-4F78-8AC1-41093DB49CBF}" destId="{2B395088-F7D8-4B01-9FFC-6C8E86BE432F}" srcOrd="1" destOrd="0" parTransId="{41379AF8-A3CE-4C64-8A4A-FAF727BD241C}" sibTransId="{B25B7269-1704-4669-8658-26ED01D9B9A2}"/>
    <dgm:cxn modelId="{D604258C-AFF8-4ABC-AD8B-1D623D49A29E}" type="presOf" srcId="{64C04E40-1E6F-43C9-9D67-7DC020E117FD}" destId="{7C7C7D1E-23BA-4F8F-AB7A-F410F12AA9FD}" srcOrd="0" destOrd="0" presId="urn:microsoft.com/office/officeart/2005/8/layout/orgChart1"/>
    <dgm:cxn modelId="{4A012D8C-5CFF-4610-B892-423AF2849BBE}" type="presOf" srcId="{8D83A27F-420B-4927-BF91-3096E921DE84}" destId="{421764DB-A460-4259-A9C6-DD3683E57819}" srcOrd="0" destOrd="0" presId="urn:microsoft.com/office/officeart/2005/8/layout/orgChart1"/>
    <dgm:cxn modelId="{1BA0308C-5EB9-4A2D-AC61-21E0412CDC39}" type="presOf" srcId="{21DA3B63-3617-4995-A74C-73F55889E998}" destId="{F68157D7-AB1C-4138-A76F-52EF500BF81B}" srcOrd="0" destOrd="0" presId="urn:microsoft.com/office/officeart/2005/8/layout/orgChart1"/>
    <dgm:cxn modelId="{23FC458C-0D54-47A6-AB78-36F65185FE59}" srcId="{4D138308-F6EC-4F1F-B24A-FF2D870FE516}" destId="{1335BBCF-8E8D-42C6-B619-071D35BDD3FC}" srcOrd="8" destOrd="0" parTransId="{3941D30F-7A48-47DE-A068-4F3543927452}" sibTransId="{4B79EF6A-8EF5-4ED4-AA39-20E496D392AC}"/>
    <dgm:cxn modelId="{4169668C-1892-4AA9-A791-88FCDC524B96}" type="presOf" srcId="{BEFE57E8-75D1-4DE3-802C-66CDCBF2C4C6}" destId="{1295CE3D-25CF-4714-B9AB-0EAB0FBAF15A}" srcOrd="1" destOrd="0" presId="urn:microsoft.com/office/officeart/2005/8/layout/orgChart1"/>
    <dgm:cxn modelId="{58F09F8C-E5B3-4E3D-899F-662E1FD973EE}" type="presOf" srcId="{5470B045-64D7-4051-9BE3-18D85A7F860F}" destId="{5FF59FC1-EB4B-4AC2-A2F3-238E90D2A6A2}" srcOrd="0" destOrd="0" presId="urn:microsoft.com/office/officeart/2005/8/layout/orgChart1"/>
    <dgm:cxn modelId="{EE4BDE8C-F930-4A91-898B-002636981A21}" type="presOf" srcId="{D7C7AC6F-61A5-44DB-A1AA-ED57DD6791E8}" destId="{B62265C3-5024-4DD0-9FCE-EDCCBE24F18F}" srcOrd="0" destOrd="0" presId="urn:microsoft.com/office/officeart/2005/8/layout/orgChart1"/>
    <dgm:cxn modelId="{16BEF28C-B82B-4A8E-AA0C-6B86DF846203}" type="presOf" srcId="{39A16437-0264-4D44-9B1F-CB364CD15762}" destId="{099B9FBB-6A7C-4106-872E-B66187370215}" srcOrd="0" destOrd="0" presId="urn:microsoft.com/office/officeart/2005/8/layout/orgChart1"/>
    <dgm:cxn modelId="{42F2FD8C-3057-4E4D-88DB-1B468A8E5C3E}" type="presOf" srcId="{F5B9F326-C225-40EA-8364-6F96CA08C903}" destId="{B137C28F-3925-499E-8AE3-6A2572853110}" srcOrd="0" destOrd="0" presId="urn:microsoft.com/office/officeart/2005/8/layout/orgChart1"/>
    <dgm:cxn modelId="{05FE008D-75C2-408D-9C1C-4E1D06961B5A}" type="presOf" srcId="{18502FA2-63FD-490F-8568-59F2241113F1}" destId="{201CFC27-6A81-4B8A-8501-86CA1C70AC8E}" srcOrd="1" destOrd="0" presId="urn:microsoft.com/office/officeart/2005/8/layout/orgChart1"/>
    <dgm:cxn modelId="{2C916E8D-E9CE-4F9C-8A6A-5BCC17F3B3B5}" type="presOf" srcId="{F1E11E84-55E5-4A33-9124-2EED04F86C74}" destId="{906ACB08-DFA5-46FA-B8AB-99418C69A785}" srcOrd="1" destOrd="0" presId="urn:microsoft.com/office/officeart/2005/8/layout/orgChart1"/>
    <dgm:cxn modelId="{D01AD88D-5EED-4406-ADA7-0A71F55480F6}" srcId="{5591052D-DCF4-4653-8D30-D01F56F163F7}" destId="{BCDD699D-25B2-4814-BDDF-0F3CFE0D2496}" srcOrd="4" destOrd="0" parTransId="{C80E27A9-3396-48B6-B8C6-FA85991AB4F8}" sibTransId="{4EE088D3-1DF7-42FE-8738-EF5380A7449C}"/>
    <dgm:cxn modelId="{9D49E98D-4A4D-4D6A-9B6B-45CFC6A57DCE}" type="presOf" srcId="{6B1FF03C-004A-412B-95A2-0A74A5548711}" destId="{14AF2319-7B60-4F13-A350-8D87A6C067D2}" srcOrd="0" destOrd="0" presId="urn:microsoft.com/office/officeart/2005/8/layout/orgChart1"/>
    <dgm:cxn modelId="{B867048E-3BB3-491C-AE28-F09A502E6A00}" type="presOf" srcId="{E69890C1-B5A8-4EE6-85A3-2D7756D9244E}" destId="{E2202B30-78EE-494A-BEA9-2DA22CD0FB4F}" srcOrd="1" destOrd="0" presId="urn:microsoft.com/office/officeart/2005/8/layout/orgChart1"/>
    <dgm:cxn modelId="{C86B0A8E-FA6C-4412-90CE-69A0E7F19A14}" type="presOf" srcId="{25BFED4C-FFDC-4FF8-98DF-2DC76BD9FE4E}" destId="{A301AD95-78BE-424A-B579-8B2078E5BE2A}" srcOrd="0" destOrd="0" presId="urn:microsoft.com/office/officeart/2005/8/layout/orgChart1"/>
    <dgm:cxn modelId="{A3FC308E-A25C-4106-841F-C5DC8796C0D6}" type="presOf" srcId="{54A3E45B-197D-4803-9D53-988457AAFE7D}" destId="{59C4773B-136B-4811-AD8C-968B2FA12770}" srcOrd="0" destOrd="0" presId="urn:microsoft.com/office/officeart/2005/8/layout/orgChart1"/>
    <dgm:cxn modelId="{A7D48C8E-6B38-4F06-B127-4C18F23C5BFF}" srcId="{6EA8C77C-EAF6-4BE6-AD96-7C80110BF0BC}" destId="{36D670E3-E08F-4258-9034-9537875A477B}" srcOrd="2" destOrd="0" parTransId="{C97C6C2C-8E95-4994-8CA3-58CD63D2A664}" sibTransId="{CABFEFF7-3063-4153-9878-9AE517DC80A8}"/>
    <dgm:cxn modelId="{F617AD8E-5174-41B1-955D-87A6F217D998}" type="presOf" srcId="{797AB545-F139-4F2D-9047-9278BB941265}" destId="{94516875-431E-4ED8-8DE6-CE3D904B05DA}" srcOrd="0" destOrd="0" presId="urn:microsoft.com/office/officeart/2005/8/layout/orgChart1"/>
    <dgm:cxn modelId="{E5B2598F-87B2-4741-8EEC-973DC9D43865}" srcId="{A6232338-D847-40DB-807A-FC2CF08A22C7}" destId="{4FE96E8C-8EE4-4139-A8BC-01C2D32C4E45}" srcOrd="5" destOrd="0" parTransId="{5847D14F-9A9B-43DB-B6D4-DB254AAB8E52}" sibTransId="{96026234-85D1-4A19-8509-D2FFD8369E83}"/>
    <dgm:cxn modelId="{DE17928F-CD9E-4CA8-A5F9-DAE44D090361}" type="presOf" srcId="{AA44B941-0A54-4D7A-9B2A-D755ED061030}" destId="{AD828840-4C16-40AA-B38F-1F5877465E76}" srcOrd="1" destOrd="0" presId="urn:microsoft.com/office/officeart/2005/8/layout/orgChart1"/>
    <dgm:cxn modelId="{A3ABC88F-4DD0-497C-8D2C-24288B3DFD1A}" type="presOf" srcId="{C185934A-43AC-4019-ADFF-87F5674C44DE}" destId="{13470017-2EAD-4115-B05A-0EB5529D9E9E}" srcOrd="1" destOrd="0" presId="urn:microsoft.com/office/officeart/2005/8/layout/orgChart1"/>
    <dgm:cxn modelId="{64DC2A90-E03D-47DE-89CE-416D51F252A8}" type="presOf" srcId="{A6BC0BFA-F253-4133-BCCD-3080B1026916}" destId="{D15BC242-28EA-44EF-A882-2CE97616CA83}" srcOrd="1" destOrd="0" presId="urn:microsoft.com/office/officeart/2005/8/layout/orgChart1"/>
    <dgm:cxn modelId="{15C23F90-3E1B-40FB-9CE2-1A32DECE5F0D}" type="presOf" srcId="{5E2610D4-FA93-40B7-AF49-36310863B632}" destId="{9105889D-BD14-43AA-A28D-9A7684D28A5A}" srcOrd="0" destOrd="0" presId="urn:microsoft.com/office/officeart/2005/8/layout/orgChart1"/>
    <dgm:cxn modelId="{9BF88690-9E54-4DE5-8B03-D9B17111BE28}" srcId="{EFEC8CCF-2CFD-4887-8A2D-5EDB6E21E0F8}" destId="{6EA8C77C-EAF6-4BE6-AD96-7C80110BF0BC}" srcOrd="2" destOrd="0" parTransId="{BC1698E3-5DC0-474F-92AD-6099F395E83A}" sibTransId="{BB6DBD3F-D2DF-427B-8D40-BEDF875D199A}"/>
    <dgm:cxn modelId="{F101DF91-B59A-4194-8AD1-DB7256E62565}" type="presOf" srcId="{5C6E158C-CCC5-477F-A592-4269EA95EB1B}" destId="{E92409AB-09FA-4832-A99E-D0AF01A18CB2}" srcOrd="1" destOrd="0" presId="urn:microsoft.com/office/officeart/2005/8/layout/orgChart1"/>
    <dgm:cxn modelId="{3E6A2992-A8B5-4C1F-A3C6-2EBABB5FB70B}" type="presOf" srcId="{EA51EB90-AB65-4110-84B3-187C79A86DC5}" destId="{AE5F5579-ABE5-4F7D-B6BF-CC1E5CDA7F97}" srcOrd="0" destOrd="0" presId="urn:microsoft.com/office/officeart/2005/8/layout/orgChart1"/>
    <dgm:cxn modelId="{2C6A8892-CA18-4CE6-BE7E-4EB33F301FE3}" type="presOf" srcId="{DBC60928-6F55-4D3D-8A18-00418604EA51}" destId="{BD038A28-8922-485F-B631-C87A08CD3520}" srcOrd="0" destOrd="0" presId="urn:microsoft.com/office/officeart/2005/8/layout/orgChart1"/>
    <dgm:cxn modelId="{667DA992-AF42-45E7-BD55-C3056542BFB6}" type="presOf" srcId="{87F70D47-D39B-41BA-97E4-C930D6BF1540}" destId="{B95C4E54-A506-4F12-9BB8-CFB24DB8D6EF}" srcOrd="0" destOrd="0" presId="urn:microsoft.com/office/officeart/2005/8/layout/orgChart1"/>
    <dgm:cxn modelId="{220B2293-22E0-4230-95D0-BCC71BD81EE8}" type="presOf" srcId="{2BB71D9C-6E93-4176-AFB8-A931FD64791B}" destId="{7460B2FA-E554-4A46-806E-4CB157EE513B}" srcOrd="0" destOrd="0" presId="urn:microsoft.com/office/officeart/2005/8/layout/orgChart1"/>
    <dgm:cxn modelId="{D8D82793-3190-44AE-8F91-762FEBE2347C}" srcId="{F4A1CC51-0434-4C0E-A870-44440E1A02D9}" destId="{E5574D11-1ACC-4F61-A8BE-2E2DD030F4F9}" srcOrd="2" destOrd="0" parTransId="{036157CB-C6E0-45A6-9025-BC4C243A80B7}" sibTransId="{98BB61EC-C0E5-40E4-A569-3522DA23D2A1}"/>
    <dgm:cxn modelId="{5FBBDD93-DC8D-4187-88B9-559096C5E478}" type="presOf" srcId="{85D4254C-4CFC-443D-9D55-3E987463FB1C}" destId="{667817CF-2F4E-402D-9BA1-8CACAABAA11A}" srcOrd="0" destOrd="0" presId="urn:microsoft.com/office/officeart/2005/8/layout/orgChart1"/>
    <dgm:cxn modelId="{48370A94-A72F-45D4-9BE5-3156EE978342}" type="presOf" srcId="{05601CD5-C6D9-4CD2-BCB2-12516C9D44F7}" destId="{B325B9CB-F9ED-42D7-A3C7-62C0732CED04}" srcOrd="1" destOrd="0" presId="urn:microsoft.com/office/officeart/2005/8/layout/orgChart1"/>
    <dgm:cxn modelId="{A17E6194-CDAB-489E-BC86-8D886976393C}" type="presOf" srcId="{DF071821-8BA9-4868-B806-A40BE4759DA3}" destId="{419B3C29-E4CB-40EA-A900-C8A874C37BEE}" srcOrd="1" destOrd="0" presId="urn:microsoft.com/office/officeart/2005/8/layout/orgChart1"/>
    <dgm:cxn modelId="{A17E8194-3B4E-42F3-BA0A-4BD197F99630}" type="presOf" srcId="{2E64C421-9FDB-4ABB-824D-A9009CCF07AF}" destId="{88EA436B-D0B8-4714-ADFF-95643252547A}" srcOrd="0" destOrd="0" presId="urn:microsoft.com/office/officeart/2005/8/layout/orgChart1"/>
    <dgm:cxn modelId="{CA7BB494-DF3A-4205-846A-3F3B70D4E9FA}" type="presOf" srcId="{53A6C4B4-CF08-4693-8722-23AD0DF8467A}" destId="{8CF43ECC-5239-4220-AAC6-7C6B330CB8E9}" srcOrd="1" destOrd="0" presId="urn:microsoft.com/office/officeart/2005/8/layout/orgChart1"/>
    <dgm:cxn modelId="{95600E95-CBCA-49B5-A43A-C6397C097EB5}" type="presOf" srcId="{C2908B37-3AA7-43C5-BD35-0AF5D7A6AFFD}" destId="{5B79159B-A6B1-44EC-9EF8-A54DD8D67891}" srcOrd="0" destOrd="0" presId="urn:microsoft.com/office/officeart/2005/8/layout/orgChart1"/>
    <dgm:cxn modelId="{36C21895-F876-4AAF-ADD1-3D59BEA7AAD6}" srcId="{43494D86-EA7A-4DCD-AB36-E02A143CE95D}" destId="{8FC40973-C7B4-49AC-A525-0E4B043C5DA4}" srcOrd="0" destOrd="0" parTransId="{2C0D0A2F-2AC1-4A5F-A81F-37875786785D}" sibTransId="{52F24308-9120-4D96-BE6A-C48C729D6748}"/>
    <dgm:cxn modelId="{FD7B7F95-29BB-4AA3-B7D1-4073D01562D1}" srcId="{668FD8E8-F813-44B7-ADB4-AF4C5A9F35DF}" destId="{CB5DDAB7-D6BA-4F78-8AC1-41093DB49CBF}" srcOrd="2" destOrd="0" parTransId="{0D819E5E-225C-4777-BE2E-6C54DE1586E0}" sibTransId="{62B6D0B3-7DD1-49BB-A410-893713021F5E}"/>
    <dgm:cxn modelId="{C8EC8795-2DE5-4FA7-8244-EDFF0D129D68}" srcId="{37E376FE-5121-4167-9C56-B725FCFDC5E0}" destId="{0F55FE95-8893-4B7D-BDCB-FDC155E3EACC}" srcOrd="2" destOrd="0" parTransId="{120129CF-CE72-4122-BEEC-F5F43579A0DA}" sibTransId="{81837173-3B6C-4978-BD73-178AE6F96035}"/>
    <dgm:cxn modelId="{89D4AA95-A231-43F9-AC3C-77954084D3FC}" srcId="{A6BC0BFA-F253-4133-BCCD-3080B1026916}" destId="{37E376FE-5121-4167-9C56-B725FCFDC5E0}" srcOrd="0" destOrd="0" parTransId="{9490FF0A-5F37-4EE7-9989-14026F04DCE4}" sibTransId="{B851228B-AFFB-470F-BEFF-EE20319FD5D7}"/>
    <dgm:cxn modelId="{EC9DD395-2977-40B3-AE5B-55244768A9DA}" type="presOf" srcId="{B2F16794-742C-452A-988E-E3C762692148}" destId="{5CA5565C-5280-483F-8356-4CF5E420EFD3}" srcOrd="0" destOrd="0" presId="urn:microsoft.com/office/officeart/2005/8/layout/orgChart1"/>
    <dgm:cxn modelId="{A72F2B96-2EEE-4C1C-B460-B4B78FF15681}" type="presOf" srcId="{DBFBE633-1848-4458-87F4-B5C52D4BB0FC}" destId="{9B687C2B-398B-42B8-A887-497A286F24AC}" srcOrd="0" destOrd="0" presId="urn:microsoft.com/office/officeart/2005/8/layout/orgChart1"/>
    <dgm:cxn modelId="{2B145F96-0BD2-406C-A6B7-65B5935B9CAE}" type="presOf" srcId="{668FD8E8-F813-44B7-ADB4-AF4C5A9F35DF}" destId="{AA35FAD0-C577-4405-B208-F59D38274ED5}" srcOrd="1" destOrd="0" presId="urn:microsoft.com/office/officeart/2005/8/layout/orgChart1"/>
    <dgm:cxn modelId="{C36A6996-1B95-4D64-BC3B-7DB7C31161BF}" type="presOf" srcId="{1497E387-74B4-41E0-AAE1-612EAB6E576C}" destId="{7A177CFA-589C-4E69-9A24-ED53803BDAF1}" srcOrd="0" destOrd="0" presId="urn:microsoft.com/office/officeart/2005/8/layout/orgChart1"/>
    <dgm:cxn modelId="{08124497-0266-4214-A000-54616C24DB46}" srcId="{5591052D-DCF4-4653-8D30-D01F56F163F7}" destId="{ADC3BCAA-3562-4802-B5F4-CCB93911D8A5}" srcOrd="3" destOrd="0" parTransId="{C5C21CD9-55BF-4787-A7C5-B921C847270A}" sibTransId="{6FB31769-07FF-46E2-A7D9-496674837182}"/>
    <dgm:cxn modelId="{A64BD897-4056-4ED8-ADB4-91052DA7D0CF}" srcId="{8FF3568A-CAA4-4B5F-A69D-D7BC18D34268}" destId="{EA48A9D0-AF8A-4A23-B9F4-E6E200AFE35B}" srcOrd="1" destOrd="0" parTransId="{60423652-73DA-47DA-B70A-CB1D850CBF74}" sibTransId="{AD5BE9F3-516A-4B38-B970-3187D90D755D}"/>
    <dgm:cxn modelId="{197BDA97-DB80-4C6A-BE1D-21C604A24233}" type="presOf" srcId="{E9D4BC7B-EF5F-4020-9C05-F9470FFB9007}" destId="{0EAC88F3-BB71-4866-85EC-75AD633D8D4E}" srcOrd="0" destOrd="0" presId="urn:microsoft.com/office/officeart/2005/8/layout/orgChart1"/>
    <dgm:cxn modelId="{6E6FF397-41F6-4C4D-8B9D-0D2B73C9F913}" type="presOf" srcId="{2E764A5A-3A14-45D4-A38B-5595B575B8E6}" destId="{7D16964D-88F4-4CEB-A14A-799F2DA059D0}" srcOrd="0" destOrd="0" presId="urn:microsoft.com/office/officeart/2005/8/layout/orgChart1"/>
    <dgm:cxn modelId="{A908F497-3EE6-4FCE-8A45-FDFC9ACC31CB}" type="presOf" srcId="{BBB8D6B9-BE73-4813-841B-801ADCF5BA66}" destId="{0329BBE0-DA1D-416A-810D-62C8621B0360}" srcOrd="0" destOrd="0" presId="urn:microsoft.com/office/officeart/2005/8/layout/orgChart1"/>
    <dgm:cxn modelId="{1A795198-99F4-4F61-84AD-A61B19C21259}" srcId="{4FD2859B-28FD-4397-A41C-A0D56C25F818}" destId="{F66EE8E3-FED5-4EE4-8436-4ED51E9BED17}" srcOrd="0" destOrd="0" parTransId="{CD763F49-A447-4F40-8C07-34074393A471}" sibTransId="{F757BA77-3FEE-45F3-AE6E-DCD90E5D8538}"/>
    <dgm:cxn modelId="{C0BC7698-0AE5-4007-9A1C-2D0CF5BCB88C}" type="presOf" srcId="{FD6ACADE-3DE3-4450-BDC2-4A1CDA0BAB73}" destId="{FEDD6E93-0040-4A1E-84D7-E13F48880E7D}" srcOrd="0" destOrd="0" presId="urn:microsoft.com/office/officeart/2005/8/layout/orgChart1"/>
    <dgm:cxn modelId="{8177BE98-1A5F-4F73-8CA9-EAD1695908E6}" type="presOf" srcId="{F41F49ED-BE36-4A63-9E37-1E1EC5082A60}" destId="{963999D0-8A82-44A6-88A7-9037D5F5430E}" srcOrd="0" destOrd="0" presId="urn:microsoft.com/office/officeart/2005/8/layout/orgChart1"/>
    <dgm:cxn modelId="{DA0CC598-ECC1-4BA1-9B57-98651CDD79B5}" type="presOf" srcId="{CA118DFD-D54C-4689-B6AC-B82B01E04B1F}" destId="{1243D1D1-6CE8-4072-BAF5-D5616BE29114}" srcOrd="0" destOrd="0" presId="urn:microsoft.com/office/officeart/2005/8/layout/orgChart1"/>
    <dgm:cxn modelId="{73A56999-9DDF-43BF-9FBF-A9B56DB40BBA}" type="presOf" srcId="{8DE7A28B-E696-4E90-B677-F436B88D0904}" destId="{9D8FCBAC-C1E5-41DE-AEB2-A70ED40E7721}" srcOrd="0" destOrd="0" presId="urn:microsoft.com/office/officeart/2005/8/layout/orgChart1"/>
    <dgm:cxn modelId="{88F7C699-E4F2-45D1-A725-1F006320E18F}" type="presOf" srcId="{1732A81C-095C-4447-B82A-737B748C4F75}" destId="{0D534F07-FEE3-4227-BF1E-E249EFB747D6}" srcOrd="0" destOrd="0" presId="urn:microsoft.com/office/officeart/2005/8/layout/orgChart1"/>
    <dgm:cxn modelId="{7150389A-E8A5-4DF7-BE58-F6C6FD56CF34}" type="presOf" srcId="{2F7A45B6-6E1A-4CAC-B83D-A1D28C755CE3}" destId="{7726CE78-B518-4A61-AD7B-DB3E0A61F47A}" srcOrd="0" destOrd="0" presId="urn:microsoft.com/office/officeart/2005/8/layout/orgChart1"/>
    <dgm:cxn modelId="{FA9AB09A-F6FE-42B4-A38F-03E7AE02E745}" type="presOf" srcId="{C6425DEA-6FA3-417E-B750-3540F6EE7CF3}" destId="{8155F833-BAEA-4CB2-B50B-985232B8519A}" srcOrd="0" destOrd="0" presId="urn:microsoft.com/office/officeart/2005/8/layout/orgChart1"/>
    <dgm:cxn modelId="{2B93E79A-586E-4D13-B7F5-617084FB7BAD}" type="presOf" srcId="{170872F0-748E-4360-8800-30064BCC9377}" destId="{10F236CE-50BD-4B63-A30A-D967F5E78644}" srcOrd="0" destOrd="0" presId="urn:microsoft.com/office/officeart/2005/8/layout/orgChart1"/>
    <dgm:cxn modelId="{D55DFA9A-618C-44D1-AF83-960224CC4FC6}" type="presOf" srcId="{390CAD22-01D0-41F2-B458-7E947D62E541}" destId="{7FA8CB77-414D-483B-9C44-40A0E078455F}" srcOrd="0" destOrd="0" presId="urn:microsoft.com/office/officeart/2005/8/layout/orgChart1"/>
    <dgm:cxn modelId="{5BB0A79B-98BB-40BD-9AA3-34C820267A58}" type="presOf" srcId="{5591052D-DCF4-4653-8D30-D01F56F163F7}" destId="{2345063D-B7D9-413B-B5BD-457E85BA1AB4}" srcOrd="0" destOrd="0" presId="urn:microsoft.com/office/officeart/2005/8/layout/orgChart1"/>
    <dgm:cxn modelId="{8F43CF9B-4942-4EC6-8CFE-22C35EE0B6D9}" type="presOf" srcId="{5EB74292-714A-47E6-A388-60055E38E838}" destId="{15F7B5F8-8193-4364-95D7-8537DF3D69F1}" srcOrd="0" destOrd="0" presId="urn:microsoft.com/office/officeart/2005/8/layout/orgChart1"/>
    <dgm:cxn modelId="{D1FFD49B-3D3A-4772-B8FD-128863EA5F12}" type="presOf" srcId="{E52CA914-0613-42E6-9893-DC261B296E9A}" destId="{DACDA06E-C2D2-4B43-A738-569CEBE4021E}" srcOrd="1" destOrd="0" presId="urn:microsoft.com/office/officeart/2005/8/layout/orgChart1"/>
    <dgm:cxn modelId="{7D4FE39B-8014-46F6-88B3-CEC866DD6EEF}" type="presOf" srcId="{1C9C5A9C-63F9-47D1-A390-77155C74172C}" destId="{226899D6-6075-4F70-9813-10D66438F214}" srcOrd="0" destOrd="0" presId="urn:microsoft.com/office/officeart/2005/8/layout/orgChart1"/>
    <dgm:cxn modelId="{7CD6C09C-9582-4AEC-B17C-6A9214C40EF6}" type="presOf" srcId="{120129CF-CE72-4122-BEEC-F5F43579A0DA}" destId="{007AB54C-E2F5-4E42-9E65-D2A686826C0F}" srcOrd="0" destOrd="0" presId="urn:microsoft.com/office/officeart/2005/8/layout/orgChart1"/>
    <dgm:cxn modelId="{26EBA39D-B217-4EE6-AF2A-35B14A259FF0}" srcId="{A6232338-D847-40DB-807A-FC2CF08A22C7}" destId="{E8A2E369-A01E-47FF-87B0-76ED80F67B60}" srcOrd="6" destOrd="0" parTransId="{98D9D6CE-6322-49D6-861D-4DD638E56228}" sibTransId="{2C27D16C-4FF9-4C09-BCA4-690A0B68A29B}"/>
    <dgm:cxn modelId="{90ABF69D-1DD3-42A1-AB0E-727D9CA66B0D}" type="presOf" srcId="{AF59D583-0434-43B9-A417-C599C987F990}" destId="{2EC63808-B31A-42D7-BE2A-FFE1642AC0FD}" srcOrd="0" destOrd="0" presId="urn:microsoft.com/office/officeart/2005/8/layout/orgChart1"/>
    <dgm:cxn modelId="{8FD2349E-1BF5-4B7C-86C1-9F2BBB80DDB7}" type="presOf" srcId="{2130FFB1-0433-4133-A8C3-71D4D7BC6E6F}" destId="{239CF275-2FB5-4985-861E-C8683A834D82}" srcOrd="0" destOrd="0" presId="urn:microsoft.com/office/officeart/2005/8/layout/orgChart1"/>
    <dgm:cxn modelId="{262F999E-0324-4851-A45A-CF960F0AF8E0}" srcId="{CB5DDAB7-D6BA-4F78-8AC1-41093DB49CBF}" destId="{658C7DFD-1446-4BEC-824F-0D1F604AD075}" srcOrd="0" destOrd="0" parTransId="{C2F263F5-D360-4402-9297-CD0481D96D06}" sibTransId="{B0EAEB01-74DD-4CE6-8559-AE43CEAC074E}"/>
    <dgm:cxn modelId="{D351A69E-853B-4A70-88C4-38068CAD0FA8}" type="presOf" srcId="{9084847E-30A5-4EF1-AF92-BC6FB7F4E1C7}" destId="{740781A4-1045-4587-8403-BFCE6A13CC68}" srcOrd="0" destOrd="0" presId="urn:microsoft.com/office/officeart/2005/8/layout/orgChart1"/>
    <dgm:cxn modelId="{6F16D49E-1502-456D-A1BF-11FCF9427EF0}" srcId="{C96A7505-6770-4770-A152-D1D662290F25}" destId="{9E8BFB46-E297-4315-941D-50527A6D7983}" srcOrd="3" destOrd="0" parTransId="{34CC0B34-224B-4B27-8E61-32E70E74ED72}" sibTransId="{D04C43B4-E22F-49AE-8757-6C81328D2DA2}"/>
    <dgm:cxn modelId="{72CE689F-A3BF-402F-B1E8-73E4ABCDF44A}" type="presOf" srcId="{7E7D2EB0-7DFF-4DC1-9964-89E1139E3B9B}" destId="{BF58865D-C2EA-4D5E-86C9-8869486E9D3E}" srcOrd="0" destOrd="0" presId="urn:microsoft.com/office/officeart/2005/8/layout/orgChart1"/>
    <dgm:cxn modelId="{B1A34B9F-8927-4C5F-9083-9CC28FA7693C}" type="presOf" srcId="{86E61AC4-C846-4D1C-B65B-6555FD9EE258}" destId="{0FB05D83-540C-4C4C-88BE-AC9D496F89FE}" srcOrd="0" destOrd="0" presId="urn:microsoft.com/office/officeart/2005/8/layout/orgChart1"/>
    <dgm:cxn modelId="{F3EA809F-B192-49C6-8B91-A6308F7E2A56}" type="presOf" srcId="{670C0FB0-3E50-4F75-875A-6D5296FE311B}" destId="{E8C2E6B8-E3AE-4617-A181-CB5ABCD60D5F}" srcOrd="0" destOrd="0" presId="urn:microsoft.com/office/officeart/2005/8/layout/orgChart1"/>
    <dgm:cxn modelId="{E552919F-4727-4828-B184-0A216E77800E}" type="presOf" srcId="{F0EF17A1-AD37-4072-9CD8-307B96939FAA}" destId="{EE3101F9-C23D-4876-96E9-7980C36379A8}" srcOrd="0" destOrd="0" presId="urn:microsoft.com/office/officeart/2005/8/layout/orgChart1"/>
    <dgm:cxn modelId="{0F0B959F-942E-4CEB-BD8D-84ACC4DBF1FA}" type="presOf" srcId="{49EF50CC-F6C6-4511-9873-DDFEA99D5099}" destId="{8D0E2691-EB04-4C52-A21B-E05280BACD94}" srcOrd="0" destOrd="0" presId="urn:microsoft.com/office/officeart/2005/8/layout/orgChart1"/>
    <dgm:cxn modelId="{EF73EFA0-E853-42DE-A951-7E40A1702C3A}" type="presOf" srcId="{A6BC0BFA-F253-4133-BCCD-3080B1026916}" destId="{3C965F4F-C493-4C8A-8CFE-0AA3F09B555E}" srcOrd="0" destOrd="0" presId="urn:microsoft.com/office/officeart/2005/8/layout/orgChart1"/>
    <dgm:cxn modelId="{44BBD9A1-12CF-43E5-845F-31DA633E6DAC}" srcId="{CCEB27B7-C321-4041-835D-689BBBE813E0}" destId="{7C5D9E23-1DFF-4658-A7C0-5FADC95D2D8C}" srcOrd="1" destOrd="0" parTransId="{821FDB64-7DAF-42E3-A83D-5C29EA5F02AC}" sibTransId="{112E7B82-7276-4314-8E32-3A55272C06A1}"/>
    <dgm:cxn modelId="{91DF12A2-1754-48D4-873E-3312C7C8E39A}" type="presOf" srcId="{8F0CA22B-B976-4897-94C1-A5DBABB2DA3B}" destId="{3C4190D3-F4FC-4810-8940-5F073A1EE88B}" srcOrd="0" destOrd="0" presId="urn:microsoft.com/office/officeart/2005/8/layout/orgChart1"/>
    <dgm:cxn modelId="{865B20A2-3600-4CDE-87E4-6A6A1CD38892}" type="presOf" srcId="{4173C88A-ECDC-4040-B53F-BD5D7AAFFF62}" destId="{F327F8DC-5A3D-4A59-8E75-F16153047ADE}" srcOrd="1" destOrd="0" presId="urn:microsoft.com/office/officeart/2005/8/layout/orgChart1"/>
    <dgm:cxn modelId="{D85731A2-B034-466C-8533-4B8B29EBD6AC}" type="presOf" srcId="{3941D30F-7A48-47DE-A068-4F3543927452}" destId="{C19435FF-988B-465B-85C1-27AEB3EABA5A}" srcOrd="0" destOrd="0" presId="urn:microsoft.com/office/officeart/2005/8/layout/orgChart1"/>
    <dgm:cxn modelId="{263D4AA2-0ECF-4C93-B30A-89C3D4A79160}" srcId="{EFEC8CCF-2CFD-4887-8A2D-5EDB6E21E0F8}" destId="{278EEAB8-0CD5-40A4-BC9E-C17368CB323C}" srcOrd="1" destOrd="0" parTransId="{FD6ACADE-3DE3-4450-BDC2-4A1CDA0BAB73}" sibTransId="{D22B83E7-7C33-4D8F-8BE4-30D09FE6FC47}"/>
    <dgm:cxn modelId="{3CF454A2-C618-4A61-8B1E-C258BFF900BD}" type="presOf" srcId="{EA53066A-B3FF-4729-B512-2FB05783CDFD}" destId="{EC9DF153-1493-4AE1-ACD1-C13605479E23}" srcOrd="0" destOrd="0" presId="urn:microsoft.com/office/officeart/2005/8/layout/orgChart1"/>
    <dgm:cxn modelId="{C216B0A2-D857-4A95-8130-FD32F1B620B1}" srcId="{2CAF80FB-6C9D-4F54-91B0-E2C431C46A87}" destId="{B352CEAB-52D3-4E64-8236-D79B73B32FA1}" srcOrd="0" destOrd="0" parTransId="{F3B1A565-4822-48DB-A534-938E8EFB42F5}" sibTransId="{698CDDFF-46BF-4DAF-B08F-824FE5F3F4B9}"/>
    <dgm:cxn modelId="{8556B6A2-D8A8-41D1-BE0D-472C69874C18}" srcId="{66B1705C-62F7-4DED-B705-F0863D5C3542}" destId="{C8B090C1-E889-4B07-A5F7-783E8A24C7E4}" srcOrd="1" destOrd="0" parTransId="{967E9CED-3657-4F07-9E98-4D79FEFF4AA4}" sibTransId="{F7958B5D-1254-4F44-B9C5-6E5C0E58D02E}"/>
    <dgm:cxn modelId="{2B5458A3-7264-4C6D-8E22-CD58495BEEDC}" type="presOf" srcId="{AA8C37E9-B6EE-48BA-BAA5-9C97E15160C0}" destId="{D1E44EBA-C94B-4DBB-89B2-184942F28110}" srcOrd="1" destOrd="0" presId="urn:microsoft.com/office/officeart/2005/8/layout/orgChart1"/>
    <dgm:cxn modelId="{A5AB7BA3-51EC-421D-8D99-0EA243081AC2}" type="presOf" srcId="{CA8E9C58-B0D6-42DA-9DB3-53574B04DCCF}" destId="{E0D84F01-EB59-4B6D-9D94-3162864D0631}" srcOrd="1" destOrd="0" presId="urn:microsoft.com/office/officeart/2005/8/layout/orgChart1"/>
    <dgm:cxn modelId="{87F5C3A3-2A04-4A17-A7D0-0DD79B684209}" srcId="{2E764A5A-3A14-45D4-A38B-5595B575B8E6}" destId="{9A3785AA-A16F-4604-8EFE-394E76690213}" srcOrd="4" destOrd="0" parTransId="{8E03C179-FBF2-492B-BCB0-E0FC2460C488}" sibTransId="{59697406-BEA6-4D16-9C3B-6C68A7CF8351}"/>
    <dgm:cxn modelId="{393525A4-D986-487A-ACC1-D3AEFD0A3D36}" type="presOf" srcId="{2AD98657-974F-47A9-AC62-73BF0131A9C9}" destId="{1139C7C6-CAF1-4E5E-916B-8D97018EB019}" srcOrd="0" destOrd="0" presId="urn:microsoft.com/office/officeart/2005/8/layout/orgChart1"/>
    <dgm:cxn modelId="{41ED26A4-0AD2-4586-AF04-F3716218407B}" type="presOf" srcId="{EB06DA8D-67CD-455C-A760-70BF410FEEAA}" destId="{3F02AFFC-1033-4ABF-B4B1-CF9BF43EFAD8}" srcOrd="1" destOrd="0" presId="urn:microsoft.com/office/officeart/2005/8/layout/orgChart1"/>
    <dgm:cxn modelId="{717627A4-5B5F-46EB-99B0-F904D89CFB31}" type="presOf" srcId="{15360FA0-D6C2-4800-930F-2C5CEDF49A41}" destId="{7DD5090A-D463-406E-AA28-98500CF9DC62}" srcOrd="0" destOrd="0" presId="urn:microsoft.com/office/officeart/2005/8/layout/orgChart1"/>
    <dgm:cxn modelId="{753349A4-FD44-464F-A172-EE4B0378F3BF}" type="presOf" srcId="{52D2A314-5AC5-4D94-ACC9-9F784C699FFB}" destId="{406BE597-1936-43AC-9B56-6F3FFCECC744}" srcOrd="0" destOrd="0" presId="urn:microsoft.com/office/officeart/2005/8/layout/orgChart1"/>
    <dgm:cxn modelId="{47F8D7A4-DD9F-4083-B789-0E1078B91CB8}" srcId="{0F55FE95-8893-4B7D-BDCB-FDC155E3EACC}" destId="{BF5CB15B-20CE-4AB7-A918-CA6CEA343B3D}" srcOrd="2" destOrd="0" parTransId="{7D197ADC-F93E-436C-8EE0-8E75586D4D89}" sibTransId="{EEF97E77-354F-48A7-B2F8-3D1F8C0FF934}"/>
    <dgm:cxn modelId="{0B75E0A4-FE74-4511-97E2-FC36A5E74315}" srcId="{AEFC0FA9-2342-4015-A81F-EBCAB4D4A36F}" destId="{BBB8D6B9-BE73-4813-841B-801ADCF5BA66}" srcOrd="5" destOrd="0" parTransId="{8D0E6E12-B5D4-48C2-AEF0-1DF8718C851C}" sibTransId="{0213CE18-9825-48D0-8EAF-522D0BDD1FE7}"/>
    <dgm:cxn modelId="{B6850DA5-86F8-4B92-9E4D-9E1ECBA2B22D}" srcId="{DBFBE633-1848-4458-87F4-B5C52D4BB0FC}" destId="{BFA7FA89-9744-4851-B655-6F798EA4D5BB}" srcOrd="2" destOrd="0" parTransId="{4E40F7B9-DDDF-44B2-A287-3601D4FC8EF4}" sibTransId="{FB32A69F-641D-4410-B02B-5D4AA862E28D}"/>
    <dgm:cxn modelId="{300A3FA5-4D35-43BC-9750-9642C36C6724}" type="presOf" srcId="{F91D3B42-1C1E-4A47-91FE-5E139228559A}" destId="{88FA877C-1976-4556-B8EF-5C23C5B527C3}" srcOrd="1" destOrd="0" presId="urn:microsoft.com/office/officeart/2005/8/layout/orgChart1"/>
    <dgm:cxn modelId="{859E98A5-949E-4919-A3F2-6379762C9673}" type="presOf" srcId="{24F68BBA-935B-4F01-9FC7-B94418686443}" destId="{0243835A-138B-4160-894B-CB626CB8BFAD}" srcOrd="1" destOrd="0" presId="urn:microsoft.com/office/officeart/2005/8/layout/orgChart1"/>
    <dgm:cxn modelId="{7E4EB2A5-25AE-4D1B-8A45-11303F6EED80}" type="presOf" srcId="{41C98DE4-9561-4D06-8FE1-560DBF9A6643}" destId="{0E66FFBE-CC35-44B2-B4C1-3862FFE10276}" srcOrd="1" destOrd="0" presId="urn:microsoft.com/office/officeart/2005/8/layout/orgChart1"/>
    <dgm:cxn modelId="{42D3C0A5-1601-4FAB-B600-24379B281EA4}" type="presOf" srcId="{7D197ADC-F93E-436C-8EE0-8E75586D4D89}" destId="{364701AC-3E92-42BB-A791-E3B354633491}" srcOrd="0" destOrd="0" presId="urn:microsoft.com/office/officeart/2005/8/layout/orgChart1"/>
    <dgm:cxn modelId="{4129C6A5-5AB6-43B7-8198-E2E1DBDF5B62}" type="presOf" srcId="{981E1AF4-DA2D-4B6D-9C64-83259D75895C}" destId="{1EBAF56F-167B-46F0-BD22-768616D2F80F}" srcOrd="1" destOrd="0" presId="urn:microsoft.com/office/officeart/2005/8/layout/orgChart1"/>
    <dgm:cxn modelId="{D362F1A5-5648-430F-AAA7-37C82EDD7BAE}" type="presOf" srcId="{CD763F49-A447-4F40-8C07-34074393A471}" destId="{F2A19A03-40F4-4612-884F-F552FE04D5D4}" srcOrd="0" destOrd="0" presId="urn:microsoft.com/office/officeart/2005/8/layout/orgChart1"/>
    <dgm:cxn modelId="{7EE8F1A5-F5E9-4F6D-8924-1C106FA900C4}" srcId="{1335BBCF-8E8D-42C6-B619-071D35BDD3FC}" destId="{97EB310D-25B9-4879-AB93-C462D26CD9B4}" srcOrd="2" destOrd="0" parTransId="{C050A6A5-7AD5-4ED2-A84F-78A646BF2A7A}" sibTransId="{A6F8C454-7D66-4DFE-A979-04BB5D21D808}"/>
    <dgm:cxn modelId="{5A0B1FA6-C9D2-40E8-986C-28FC66E5FC38}" type="presOf" srcId="{C3D1F94A-2BD4-4BF2-B81F-211A85BE9963}" destId="{0BBC6875-58A3-4042-9EC6-78847F6D95E8}" srcOrd="0" destOrd="0" presId="urn:microsoft.com/office/officeart/2005/8/layout/orgChart1"/>
    <dgm:cxn modelId="{D38B99A6-1AB9-4555-AC48-C117001C01EB}" type="presOf" srcId="{0D819E5E-225C-4777-BE2E-6C54DE1586E0}" destId="{F5BE9F57-26FB-423D-A8F9-61061A959B0A}" srcOrd="0" destOrd="0" presId="urn:microsoft.com/office/officeart/2005/8/layout/orgChart1"/>
    <dgm:cxn modelId="{C55C39A7-B83C-420C-8EEB-66D0A20FAF16}" srcId="{FE848344-69B4-4AF0-A0BA-62F6E39471A7}" destId="{E705A229-5034-4E22-9973-8D998757AA21}" srcOrd="0" destOrd="0" parTransId="{E072609A-F19F-4C3A-9067-E8892D447FED}" sibTransId="{0AFDCE1B-A64C-4774-B505-24B3F5FAAE0F}"/>
    <dgm:cxn modelId="{A5878FA7-7594-4FBC-BD56-E937F27D4D50}" type="presOf" srcId="{734C8B5F-9381-487F-9E6B-C9F554DA0E0F}" destId="{57325640-87E6-4071-99A7-541A386B5987}" srcOrd="0" destOrd="0" presId="urn:microsoft.com/office/officeart/2005/8/layout/orgChart1"/>
    <dgm:cxn modelId="{800962A8-23EA-48EB-8DB2-9484E0B1BB6A}" type="presOf" srcId="{8DA3CA87-733E-4583-9CCE-846A32DC1FAE}" destId="{2A6666C4-7E67-4446-928C-F2574E183C3B}" srcOrd="1" destOrd="0" presId="urn:microsoft.com/office/officeart/2005/8/layout/orgChart1"/>
    <dgm:cxn modelId="{373D6CA8-7E74-4FF9-808D-F45E645E5EFD}" type="presOf" srcId="{7026F640-864F-44FD-BB4A-CD33E5F15DE0}" destId="{128F9981-0F1E-4256-B956-234A02B79CBC}" srcOrd="1" destOrd="0" presId="urn:microsoft.com/office/officeart/2005/8/layout/orgChart1"/>
    <dgm:cxn modelId="{090F73A8-2FB8-4F23-A06B-5C58E8DAEA76}" type="presOf" srcId="{0CAB4728-9217-4D5D-836F-6E3DFEA60D44}" destId="{0B2D7D50-D235-41A1-B7EB-BDCAE1A93195}" srcOrd="0" destOrd="0" presId="urn:microsoft.com/office/officeart/2005/8/layout/orgChart1"/>
    <dgm:cxn modelId="{EB869CA8-779A-42D9-A320-436D7A54AD02}" srcId="{64C04E40-1E6F-43C9-9D67-7DC020E117FD}" destId="{E636B005-FAAC-4710-8C3E-B22ABBD265C7}" srcOrd="1" destOrd="0" parTransId="{0301553D-8786-475F-83B1-EF4349ED89FC}" sibTransId="{0D582455-3A33-4817-8210-19B8D13F8119}"/>
    <dgm:cxn modelId="{8C1D05A9-EFB5-4A8E-8733-368883B80698}" type="presOf" srcId="{1F7B3F46-3DF0-45D9-B612-C01421161B3A}" destId="{0ED56647-0FCA-4F3C-BE6C-CE7F5C51FC7E}" srcOrd="0" destOrd="0" presId="urn:microsoft.com/office/officeart/2005/8/layout/orgChart1"/>
    <dgm:cxn modelId="{860E10A9-0B0A-460F-B2A5-B93BBED7CABF}" type="presOf" srcId="{FD24B971-6079-4D0F-974A-96B22A245152}" destId="{22302856-D687-415C-8694-BD203E144085}" srcOrd="0" destOrd="0" presId="urn:microsoft.com/office/officeart/2005/8/layout/orgChart1"/>
    <dgm:cxn modelId="{675E1BA9-1411-4659-935E-AE649C7C7273}" type="presOf" srcId="{B3F50DDB-EF97-495B-B854-7D6C784A55DE}" destId="{81FC9632-9928-4373-A92A-C5D94C715680}" srcOrd="0" destOrd="0" presId="urn:microsoft.com/office/officeart/2005/8/layout/orgChart1"/>
    <dgm:cxn modelId="{F4D573A9-65AE-4A56-A3E1-DB9C4A7FE0E5}" type="presOf" srcId="{783D575E-D60D-46E5-9E00-175027F47FEC}" destId="{E9E86EF2-8FF2-40F8-A575-C8E722C5D611}" srcOrd="0" destOrd="0" presId="urn:microsoft.com/office/officeart/2005/8/layout/orgChart1"/>
    <dgm:cxn modelId="{F2F8D1A9-47A9-40EA-98DA-3B7523ACB0DA}" type="presOf" srcId="{EA63679F-CE4F-456D-A474-D258EF160DC4}" destId="{4BAFE57F-DE67-4D29-AF0D-702084558D94}" srcOrd="0" destOrd="0" presId="urn:microsoft.com/office/officeart/2005/8/layout/orgChart1"/>
    <dgm:cxn modelId="{B7751DAA-444A-4FAF-9529-B875DC329692}" type="presOf" srcId="{E636B005-FAAC-4710-8C3E-B22ABBD265C7}" destId="{30FC068F-8389-441D-914B-E0EECD00BB4F}" srcOrd="0" destOrd="0" presId="urn:microsoft.com/office/officeart/2005/8/layout/orgChart1"/>
    <dgm:cxn modelId="{A29A44AA-B6C4-418C-9128-6F494BE1F44C}" type="presOf" srcId="{09FB452B-3E8F-4AE9-AA52-5EC6BD88167E}" destId="{EF00520E-C4AB-436E-A7B2-609885E8348D}" srcOrd="0" destOrd="0" presId="urn:microsoft.com/office/officeart/2005/8/layout/orgChart1"/>
    <dgm:cxn modelId="{313288AA-25C6-4F9F-9CD7-ACD3EC0AD412}" srcId="{AEFC0FA9-2342-4015-A81F-EBCAB4D4A36F}" destId="{C0BAA408-BB68-4C3A-B248-C402579E8C6F}" srcOrd="0" destOrd="0" parTransId="{EA51EB90-AB65-4110-84B3-187C79A86DC5}" sibTransId="{98095030-4F46-44C9-B728-64592CC9F2FD}"/>
    <dgm:cxn modelId="{BDB8BBAA-3456-4F74-9C92-3BCBDEAA432F}" type="presOf" srcId="{A6232338-D847-40DB-807A-FC2CF08A22C7}" destId="{9471BD94-FFD5-4DB7-92CE-A527E184F8FD}" srcOrd="0" destOrd="0" presId="urn:microsoft.com/office/officeart/2005/8/layout/orgChart1"/>
    <dgm:cxn modelId="{53C1C3AA-F502-47F2-AEE4-880A7B87A162}" type="presOf" srcId="{E705A229-5034-4E22-9973-8D998757AA21}" destId="{DF14B432-56A7-452C-985A-24EC2422AC04}" srcOrd="1" destOrd="0" presId="urn:microsoft.com/office/officeart/2005/8/layout/orgChart1"/>
    <dgm:cxn modelId="{DF7609AB-9632-465C-B1FE-4208E679EF00}" srcId="{53A6C4B4-CF08-4693-8722-23AD0DF8467A}" destId="{21DA3B63-3617-4995-A74C-73F55889E998}" srcOrd="3" destOrd="0" parTransId="{AF59D583-0434-43B9-A417-C599C987F990}" sibTransId="{6752B7DC-BFB2-4003-9104-9BE9DED8472A}"/>
    <dgm:cxn modelId="{16AADFAB-6924-45A4-BBF0-EDA4C7A9F4FF}" srcId="{C96A7505-6770-4770-A152-D1D662290F25}" destId="{22438E18-2FD6-4CCA-B78D-3FC731294CBF}" srcOrd="2" destOrd="0" parTransId="{D9824643-22D6-4B69-9BE4-8D68EED2ED50}" sibTransId="{CA40370F-F16B-48FF-940A-70FCB8930739}"/>
    <dgm:cxn modelId="{7B22E7AB-7126-4761-AEAB-4F925D197606}" type="presOf" srcId="{5B698CD0-A9F7-4761-99CC-5848B867E308}" destId="{58487AF8-4202-4BD0-B2AC-22885F83C43F}" srcOrd="0" destOrd="0" presId="urn:microsoft.com/office/officeart/2005/8/layout/orgChart1"/>
    <dgm:cxn modelId="{4A6762AC-27F7-4BC5-9496-612E546CFC86}" type="presOf" srcId="{9084847E-30A5-4EF1-AF92-BC6FB7F4E1C7}" destId="{D03B3E8D-FA1D-4C0E-902C-E98A4E78EA2D}" srcOrd="1" destOrd="0" presId="urn:microsoft.com/office/officeart/2005/8/layout/orgChart1"/>
    <dgm:cxn modelId="{8064B2AC-2EF4-464C-8788-FFA6E1A9DB32}" srcId="{A6BC0BFA-F253-4133-BCCD-3080B1026916}" destId="{64C04E40-1E6F-43C9-9D67-7DC020E117FD}" srcOrd="3" destOrd="0" parTransId="{A24DC521-3C04-4016-974D-78BECC2CB266}" sibTransId="{C4E83123-9118-4A2C-A4E2-4AB714C78581}"/>
    <dgm:cxn modelId="{6125D3AC-B605-428C-A9D1-D5D5224FF37B}" type="presOf" srcId="{7C8D31CE-B5AC-4B72-ABD2-D094763D1FED}" destId="{3B2B443B-45E6-4249-8793-6A0674C012FF}" srcOrd="1" destOrd="0" presId="urn:microsoft.com/office/officeart/2005/8/layout/orgChart1"/>
    <dgm:cxn modelId="{5C43A7AD-AB11-4890-8677-C5CA7178A180}" srcId="{1335BBCF-8E8D-42C6-B619-071D35BDD3FC}" destId="{86C44C6F-3744-4FFE-9E87-8AA25F0F800B}" srcOrd="7" destOrd="0" parTransId="{1497E387-74B4-41E0-AAE1-612EAB6E576C}" sibTransId="{D1428D14-F01B-4E10-8E15-C4241B50716F}"/>
    <dgm:cxn modelId="{73E0C9AD-036D-4E20-BBED-B94DE14A5E28}" type="presOf" srcId="{8923AB61-7091-4FEB-BC6C-476E63849FCA}" destId="{1102451F-68C7-4483-8002-81AFF316E8F0}" srcOrd="1" destOrd="0" presId="urn:microsoft.com/office/officeart/2005/8/layout/orgChart1"/>
    <dgm:cxn modelId="{5D24DBAD-6E4A-4BFC-AF52-7ABA7A047239}" srcId="{734C8B5F-9381-487F-9E6B-C9F554DA0E0F}" destId="{FD24B971-6079-4D0F-974A-96B22A245152}" srcOrd="4" destOrd="0" parTransId="{1CFF21BB-7382-4C48-B17E-8324F99020A1}" sibTransId="{667FDABC-2B5F-40DA-BFD3-C9E43457BFCB}"/>
    <dgm:cxn modelId="{44AFFBAD-EE3F-490B-8FA9-92415A22D7EE}" type="presOf" srcId="{C4FBCDDB-D0F7-4DF6-9939-2A53BEFE8555}" destId="{E588EA53-143C-474F-9DD0-8E7AC2AC0688}" srcOrd="1" destOrd="0" presId="urn:microsoft.com/office/officeart/2005/8/layout/orgChart1"/>
    <dgm:cxn modelId="{8BDCB4AE-5928-4752-A5D4-6AFB24656D8C}" srcId="{2130FFB1-0433-4133-A8C3-71D4D7BC6E6F}" destId="{24F68BBA-935B-4F01-9FC7-B94418686443}" srcOrd="0" destOrd="0" parTransId="{E9D4BC7B-EF5F-4020-9C05-F9470FFB9007}" sibTransId="{57FE652C-2475-403C-B86A-B5886D11CC50}"/>
    <dgm:cxn modelId="{6C15B8AE-EA5C-4538-A03F-B928D0DD2F3A}" type="presOf" srcId="{60423652-73DA-47DA-B70A-CB1D850CBF74}" destId="{8DE55FD0-6333-4A23-A7E6-616002C228DD}" srcOrd="0" destOrd="0" presId="urn:microsoft.com/office/officeart/2005/8/layout/orgChart1"/>
    <dgm:cxn modelId="{0CEAB9AE-416B-448F-A9B1-0BE742FE67D9}" srcId="{53A6C4B4-CF08-4693-8722-23AD0DF8467A}" destId="{1732A81C-095C-4447-B82A-737B748C4F75}" srcOrd="4" destOrd="0" parTransId="{A897771D-E6B0-48A3-B27A-81D9F9AE3A3B}" sibTransId="{CB7C92A7-3A1E-4C56-A67D-3A6A56BD2DA0}"/>
    <dgm:cxn modelId="{3F1ABDAE-3241-4642-A91B-0E41EEE5DFC5}" srcId="{B5E062C0-51FF-475B-AB77-41B3C120B87C}" destId="{B0F35BDD-1A2D-4B0E-8B7B-7060D56B4FFD}" srcOrd="2" destOrd="0" parTransId="{23F75C7D-7FCC-492C-9D36-47C6A92A8E2F}" sibTransId="{96F19EE3-894D-48BF-889C-270BF11184FC}"/>
    <dgm:cxn modelId="{AC240EAF-1D80-4850-8541-C2252E55A2EB}" srcId="{DDF6C6EA-A17F-4E38-9FF4-72B93A4C0D55}" destId="{CB046B06-6760-455D-B5B3-0932F6F70811}" srcOrd="0" destOrd="0" parTransId="{1FFD6337-FD68-4EE7-AE48-BEE65FDB5F87}" sibTransId="{9B5D2919-1755-4E35-B007-75C9BB9D132F}"/>
    <dgm:cxn modelId="{430D25AF-2544-4ECE-94CD-FF65BAA24EC3}" srcId="{72F3D303-0065-410A-A999-86607290AFCA}" destId="{624FCBA6-4037-4BFE-AEF8-B4CBBD83024F}" srcOrd="0" destOrd="0" parTransId="{EC6372AC-8DF6-400C-8481-5DD1DC9538BE}" sibTransId="{B66B9E58-7399-4F51-8BF3-F6BAC51F7939}"/>
    <dgm:cxn modelId="{9F9997AF-132B-403C-BE10-ACE499F209E2}" type="presOf" srcId="{134F1239-921E-434D-ADCC-1D1C5B875250}" destId="{F772E93C-C638-4C95-9DCC-102BCF6BFBF3}" srcOrd="0" destOrd="0" presId="urn:microsoft.com/office/officeart/2005/8/layout/orgChart1"/>
    <dgm:cxn modelId="{8E71ACAF-28DE-45DD-8984-66080E876CF2}" type="presOf" srcId="{D627746A-12F6-4E88-A79F-A03D22FC6867}" destId="{3E7318B5-8BBD-464C-B5A8-CA51DFE02E42}" srcOrd="0" destOrd="0" presId="urn:microsoft.com/office/officeart/2005/8/layout/orgChart1"/>
    <dgm:cxn modelId="{BBC8F4AF-36B9-4F46-92A9-B60D91C5D00B}" type="presOf" srcId="{044F81DB-AA8D-4DF9-A880-D3CA808C2F04}" destId="{224A7B86-E789-47A2-AFDA-17CCC2AE0705}" srcOrd="1" destOrd="0" presId="urn:microsoft.com/office/officeart/2005/8/layout/orgChart1"/>
    <dgm:cxn modelId="{44506BB0-7EF0-4DC0-849B-B1BF500C19A6}" type="presOf" srcId="{33D489BE-B749-490B-98FA-8D34847AD854}" destId="{4B4B6ADA-3736-4CCC-A7F5-3630BA0EE1B7}" srcOrd="0" destOrd="0" presId="urn:microsoft.com/office/officeart/2005/8/layout/orgChart1"/>
    <dgm:cxn modelId="{51A1C8B0-6BAE-4A2E-A7B6-DDAF523FB4FA}" type="presOf" srcId="{1A39669A-4A75-42F4-B0ED-F2835897083F}" destId="{E5C6C019-C73C-4A00-BF17-B4E2B9CFF3A7}" srcOrd="1" destOrd="0" presId="urn:microsoft.com/office/officeart/2005/8/layout/orgChart1"/>
    <dgm:cxn modelId="{F0C817B1-3397-480C-9F7A-58059FA33766}" type="presOf" srcId="{F35C6DA3-2482-46AA-B232-A1931123E027}" destId="{ED429F4C-4C3E-48C0-827A-C72E5BC5C1D9}" srcOrd="1" destOrd="0" presId="urn:microsoft.com/office/officeart/2005/8/layout/orgChart1"/>
    <dgm:cxn modelId="{9FF165B1-871F-4709-9E85-7A93E82CC549}" type="presOf" srcId="{1812A62B-E563-4F38-A8C3-ED56E8C9AE25}" destId="{B510B94B-3653-4D55-A5BD-A4E6E83ABABD}" srcOrd="0" destOrd="0" presId="urn:microsoft.com/office/officeart/2005/8/layout/orgChart1"/>
    <dgm:cxn modelId="{E57F81B1-98FE-4927-8494-734B7D692B2A}" type="presOf" srcId="{738E6479-7208-4B42-88E4-24DE0D37F2A1}" destId="{890C66BA-A84E-4F86-BA82-A3D7E7B3F4F0}" srcOrd="1" destOrd="0" presId="urn:microsoft.com/office/officeart/2005/8/layout/orgChart1"/>
    <dgm:cxn modelId="{BCA89CB1-A32E-4F20-9C8C-ACF6D853EA95}" type="presOf" srcId="{5E2610D4-FA93-40B7-AF49-36310863B632}" destId="{A6A34C60-F8BF-4AF9-8E9E-41060EE03DB5}" srcOrd="1" destOrd="0" presId="urn:microsoft.com/office/officeart/2005/8/layout/orgChart1"/>
    <dgm:cxn modelId="{EB39A2B1-9BE5-4B34-84CF-75A9FD88AD63}" type="presOf" srcId="{0F55FE95-8893-4B7D-BDCB-FDC155E3EACC}" destId="{E2E2D302-F18D-41F9-8014-848A6392D4CF}" srcOrd="0" destOrd="0" presId="urn:microsoft.com/office/officeart/2005/8/layout/orgChart1"/>
    <dgm:cxn modelId="{B191FFB1-4D95-4904-AEFB-8800A9BD68BE}" type="presOf" srcId="{A49A2F49-29A2-4409-A8AA-7C842ECB3A93}" destId="{638B5575-8510-45A8-B2D9-BF0F321A076F}" srcOrd="0" destOrd="0" presId="urn:microsoft.com/office/officeart/2005/8/layout/orgChart1"/>
    <dgm:cxn modelId="{F90B3FB2-E089-4CBC-A13E-910C6DBF51AF}" type="presOf" srcId="{EA48A9D0-AF8A-4A23-B9F4-E6E200AFE35B}" destId="{BE9DCE39-75F9-4880-B7E2-B275EE87AE26}" srcOrd="1" destOrd="0" presId="urn:microsoft.com/office/officeart/2005/8/layout/orgChart1"/>
    <dgm:cxn modelId="{529070B2-8D57-4479-B943-2E98A0B854FA}" type="presOf" srcId="{2CAF80FB-6C9D-4F54-91B0-E2C431C46A87}" destId="{BD1AF7C0-FC62-43FF-91D7-5BF60856C71C}" srcOrd="0" destOrd="0" presId="urn:microsoft.com/office/officeart/2005/8/layout/orgChart1"/>
    <dgm:cxn modelId="{BC7053B2-C4F9-44AA-B4E1-66F11F62EA45}" type="presOf" srcId="{F4A1CC51-0434-4C0E-A870-44440E1A02D9}" destId="{5304541A-2CFF-48F7-BF1C-5AAD70B1C524}" srcOrd="0" destOrd="0" presId="urn:microsoft.com/office/officeart/2005/8/layout/orgChart1"/>
    <dgm:cxn modelId="{F8FA80B2-F090-4F49-BFC0-AD966B413778}" type="presOf" srcId="{0DE592A2-E6EC-49F9-B7C8-E1FC79BAA314}" destId="{AF50FAD6-77D9-4BCC-BDC3-7BD9F9A9A4E2}" srcOrd="1" destOrd="0" presId="urn:microsoft.com/office/officeart/2005/8/layout/orgChart1"/>
    <dgm:cxn modelId="{C1B091B2-F916-409D-837B-F4CE11B183CB}" type="presOf" srcId="{AA3CFB6D-FF58-47FB-86D1-C68A63CCCCC6}" destId="{ECD40821-47D6-4284-94BE-64CB66FE0F7B}" srcOrd="0" destOrd="0" presId="urn:microsoft.com/office/officeart/2005/8/layout/orgChart1"/>
    <dgm:cxn modelId="{2DE291B2-C0CF-4084-92A8-2A69E6CECD87}" srcId="{2E764A5A-3A14-45D4-A38B-5595B575B8E6}" destId="{201EEA7F-7334-4A45-8ED4-7294998966B3}" srcOrd="0" destOrd="0" parTransId="{48297509-E534-4AEB-8B37-CA0244981934}" sibTransId="{E6860D1E-CE74-4174-B5A1-9A962BFFD67C}"/>
    <dgm:cxn modelId="{57F3CCB2-05DE-4EE2-A3B2-16C1E051CB89}" srcId="{6D171802-7E8E-4762-835E-3F263473E8D8}" destId="{F91D3B42-1C1E-4A47-91FE-5E139228559A}" srcOrd="0" destOrd="0" parTransId="{54B96012-1960-4145-94A8-25FF374FE188}" sibTransId="{AE23F6E8-B9DF-4073-A843-288C47DD2418}"/>
    <dgm:cxn modelId="{2523D9B2-43F2-4A26-B75B-5EECD12C2CBC}" type="presOf" srcId="{C050A6A5-7AD5-4ED2-A84F-78A646BF2A7A}" destId="{845A6BF7-567E-45C1-83E8-5CDEBFDB50DC}" srcOrd="0" destOrd="0" presId="urn:microsoft.com/office/officeart/2005/8/layout/orgChart1"/>
    <dgm:cxn modelId="{9A68EFB2-225E-4333-9567-4387B02C7C4C}" type="presOf" srcId="{EFEC8CCF-2CFD-4887-8A2D-5EDB6E21E0F8}" destId="{B6E45953-9F05-4184-9831-A3FE0CB9A97F}" srcOrd="1" destOrd="0" presId="urn:microsoft.com/office/officeart/2005/8/layout/orgChart1"/>
    <dgm:cxn modelId="{C3971DB3-80C8-4C0E-BE1E-926D18678179}" type="presOf" srcId="{41611002-A6D2-48D7-9ACC-02A7120F5D4B}" destId="{7E76C18F-7072-4E1E-8523-49809B4DEFF8}" srcOrd="0" destOrd="0" presId="urn:microsoft.com/office/officeart/2005/8/layout/orgChart1"/>
    <dgm:cxn modelId="{04643CB3-01EF-453D-9291-3911F70D9BED}" type="presOf" srcId="{7026F640-864F-44FD-BB4A-CD33E5F15DE0}" destId="{2165CE48-B7B5-4A77-9F19-7AFFF6CA42B9}" srcOrd="0" destOrd="0" presId="urn:microsoft.com/office/officeart/2005/8/layout/orgChart1"/>
    <dgm:cxn modelId="{98BE6AB3-8443-4514-A068-93410D6D13C8}" type="presOf" srcId="{01A1075C-5A2D-4D14-9D04-3BBCFB83A3FB}" destId="{1AD2CC55-F5A9-4D3F-A2A7-A473391D5853}" srcOrd="0" destOrd="0" presId="urn:microsoft.com/office/officeart/2005/8/layout/orgChart1"/>
    <dgm:cxn modelId="{14BA12B4-CEC1-4D19-B4E3-D4D3D7AB07F6}" type="presOf" srcId="{E0E9976E-46D0-4AB6-A038-6F36C6F49D6F}" destId="{60FCB561-FCF9-4AC7-BDB0-5B2A107D6685}" srcOrd="0" destOrd="0" presId="urn:microsoft.com/office/officeart/2005/8/layout/orgChart1"/>
    <dgm:cxn modelId="{EB9E22B4-5B7E-4750-AACF-38B3BB684F0D}" type="presOf" srcId="{19850839-240C-410A-936D-7830E2F30E11}" destId="{59AE07AE-9845-4E07-B4D8-F86B09D90D7A}" srcOrd="1" destOrd="0" presId="urn:microsoft.com/office/officeart/2005/8/layout/orgChart1"/>
    <dgm:cxn modelId="{340E2DB4-954C-4055-826D-48CF03125076}" type="presOf" srcId="{353E3CE9-40F6-447F-B9B5-DD5A888D8E6B}" destId="{9C7E90BD-7613-4B3B-9837-11EE51C0FA75}" srcOrd="0" destOrd="0" presId="urn:microsoft.com/office/officeart/2005/8/layout/orgChart1"/>
    <dgm:cxn modelId="{3151BFB4-2C72-4587-936E-FCD067E36879}" type="presOf" srcId="{8F6DE852-327B-4577-9FE1-062E937150BD}" destId="{B226A9EF-DAF1-4EB3-BB25-91083842B4B9}" srcOrd="0" destOrd="0" presId="urn:microsoft.com/office/officeart/2005/8/layout/orgChart1"/>
    <dgm:cxn modelId="{8357CBB4-8D60-4328-A18A-16928C614AB8}" type="presOf" srcId="{53A6C4B4-CF08-4693-8722-23AD0DF8467A}" destId="{70877DF0-B5AF-4E8B-97BD-C4ED4C3B7894}" srcOrd="0" destOrd="0" presId="urn:microsoft.com/office/officeart/2005/8/layout/orgChart1"/>
    <dgm:cxn modelId="{24A401B5-8F6C-4F36-869E-55B9CEF45E17}" type="presOf" srcId="{ACAA7FF2-7C37-4371-A863-825F5BE56C60}" destId="{8BAE17A5-94DC-492D-90D3-BC9FC14A6EEC}" srcOrd="0" destOrd="0" presId="urn:microsoft.com/office/officeart/2005/8/layout/orgChart1"/>
    <dgm:cxn modelId="{40EC77B6-9B91-4C9A-88C6-6D7B282806C4}" srcId="{3EFB6F83-0F50-42CC-83FC-2ED148A81797}" destId="{109F7E6B-3DA8-47A9-B8CE-1BBF972B168A}" srcOrd="1" destOrd="0" parTransId="{1C20E06F-E0BA-4A9E-86A3-2F88046861BC}" sibTransId="{473070A1-FB7E-44C7-8FFA-04B6FBFC498B}"/>
    <dgm:cxn modelId="{93E4D5B6-EDE6-4C78-9C1E-B7CC93D0C2C9}" type="presOf" srcId="{AC0CBECA-5188-40E4-8347-671284FF0F21}" destId="{7C7214AC-AC94-49EA-BD45-65AD1A639557}" srcOrd="0" destOrd="0" presId="urn:microsoft.com/office/officeart/2005/8/layout/orgChart1"/>
    <dgm:cxn modelId="{DA3510B7-87EC-41E7-A57C-978F086D0DFF}" type="presOf" srcId="{AA13D9C3-DE12-4386-9218-55336D97163C}" destId="{4715A737-3C74-46B3-886C-1AE8E3032671}" srcOrd="0" destOrd="0" presId="urn:microsoft.com/office/officeart/2005/8/layout/orgChart1"/>
    <dgm:cxn modelId="{BAAF22B7-D8E8-44F2-BC4F-95CAD49D3176}" type="presOf" srcId="{31DC45D9-D8ED-4679-B491-7ED9DF4D548E}" destId="{8EAEB51E-A166-4058-91B8-5AAB235A8ECA}" srcOrd="1" destOrd="0" presId="urn:microsoft.com/office/officeart/2005/8/layout/orgChart1"/>
    <dgm:cxn modelId="{557D26B7-D6A2-4092-9B16-9DB5CB859BDB}" type="presOf" srcId="{BFA7FA89-9744-4851-B655-6F798EA4D5BB}" destId="{9D9CF3E3-DB84-4F5F-B52E-76ED833E03A7}" srcOrd="1" destOrd="0" presId="urn:microsoft.com/office/officeart/2005/8/layout/orgChart1"/>
    <dgm:cxn modelId="{501D52B7-783D-4CDA-968C-5FF12378CABF}" type="presOf" srcId="{D93F8FC5-B1EC-48A5-BE67-12F26D119071}" destId="{AF75FCF7-9CB3-4912-B9A3-854F7725C66E}" srcOrd="0" destOrd="0" presId="urn:microsoft.com/office/officeart/2005/8/layout/orgChart1"/>
    <dgm:cxn modelId="{CF3C67B8-0844-4118-8B89-8A1C6541B8A1}" srcId="{FD24B971-6079-4D0F-974A-96B22A245152}" destId="{AA3CFB6D-FF58-47FB-86D1-C68A63CCCCC6}" srcOrd="0" destOrd="0" parTransId="{6953E66D-796A-40D3-9587-44737C2C9F0E}" sibTransId="{A6239832-D620-4E58-BFEF-8529FAAAC226}"/>
    <dgm:cxn modelId="{61956AB9-F7A6-4B8A-830B-079D6D603FE5}" type="presOf" srcId="{4BC45046-A6E0-48F7-BA5B-6545909F6576}" destId="{DE7B78B2-4B30-45EF-BC49-A2F843E3B9AE}" srcOrd="1" destOrd="0" presId="urn:microsoft.com/office/officeart/2005/8/layout/orgChart1"/>
    <dgm:cxn modelId="{04CCBBB9-4A52-4C0C-BB4C-D9A9E163F03D}" type="presOf" srcId="{C0BAA408-BB68-4C3A-B248-C402579E8C6F}" destId="{6B2BE031-E65B-4552-96D5-51E76B2C20A8}" srcOrd="0" destOrd="0" presId="urn:microsoft.com/office/officeart/2005/8/layout/orgChart1"/>
    <dgm:cxn modelId="{4090DDB9-B6FA-4094-842B-BB90F4296266}" type="presOf" srcId="{2BB71D9C-6E93-4176-AFB8-A931FD64791B}" destId="{BD90A9E9-08C6-47BD-9D44-D4890EE91228}" srcOrd="1" destOrd="0" presId="urn:microsoft.com/office/officeart/2005/8/layout/orgChart1"/>
    <dgm:cxn modelId="{C0ACE5B9-D302-40BC-A4FC-43FBA40F46C7}" type="presOf" srcId="{61B3E704-4E8F-4736-9793-47FFB53C6098}" destId="{FAA6E948-D2FA-4FDA-BD8A-F42C0C9F761A}" srcOrd="0" destOrd="0" presId="urn:microsoft.com/office/officeart/2005/8/layout/orgChart1"/>
    <dgm:cxn modelId="{4D6A08BA-414F-4C49-9C7D-A9D329306CED}" srcId="{F91D3B42-1C1E-4A47-91FE-5E139228559A}" destId="{AB81F61A-F07E-4A65-98C5-2C73B2ACB0E5}" srcOrd="4" destOrd="0" parTransId="{FA45AAB5-A13D-4D8A-8207-AA32F4AC4118}" sibTransId="{291556CA-2D62-4712-B1F6-9DE74A35598A}"/>
    <dgm:cxn modelId="{7C2946BA-AC20-421D-B5D9-842CEC8333B3}" type="presOf" srcId="{60C71A3B-0C4E-4CE6-B808-21A1DEACDEC5}" destId="{BDA23108-4B0C-4CEE-B5EF-8B1D84DE041A}" srcOrd="0" destOrd="0" presId="urn:microsoft.com/office/officeart/2005/8/layout/orgChart1"/>
    <dgm:cxn modelId="{E5C46FBA-4CD3-4942-9920-E6FE2736B660}" type="presOf" srcId="{86269F2E-6E8F-4730-8224-E18D7B039898}" destId="{B5ADB9EC-6355-4105-96AE-5B792D7945D4}" srcOrd="0" destOrd="0" presId="urn:microsoft.com/office/officeart/2005/8/layout/orgChart1"/>
    <dgm:cxn modelId="{3292D7BA-6CD5-4DD0-9E79-39AF43DDB409}" type="presOf" srcId="{4FE96E8C-8EE4-4139-A8BC-01C2D32C4E45}" destId="{FD383DCB-9A27-4AB2-8120-3DE8383FFB47}" srcOrd="0" destOrd="0" presId="urn:microsoft.com/office/officeart/2005/8/layout/orgChart1"/>
    <dgm:cxn modelId="{6FEE11BB-C798-4A72-BCF9-6E24FD8E0971}" srcId="{37E376FE-5121-4167-9C56-B725FCFDC5E0}" destId="{85588F87-C042-4DDE-8AA8-1C3019723053}" srcOrd="6" destOrd="0" parTransId="{F7443207-56E4-4844-8C7D-E8F90438A6CB}" sibTransId="{1288DB01-33A6-48D4-9B88-2977C3FDFAE6}"/>
    <dgm:cxn modelId="{531214BB-48E6-4521-8DEF-535C4E2F8A1C}" type="presOf" srcId="{D67F30EC-648F-4953-A1B5-A7106A8B9C21}" destId="{6A37148A-4CE6-44A2-AD2A-A52FE3423123}" srcOrd="0" destOrd="0" presId="urn:microsoft.com/office/officeart/2005/8/layout/orgChart1"/>
    <dgm:cxn modelId="{4A5531BB-0A58-440C-827E-F6767859FFC5}" srcId="{24F68BBA-935B-4F01-9FC7-B94418686443}" destId="{39A16437-0264-4D44-9B1F-CB364CD15762}" srcOrd="4" destOrd="0" parTransId="{F0EF17A1-AD37-4072-9CD8-307B96939FAA}" sibTransId="{2B1EB88C-AC08-4EF8-ADD0-858365A39344}"/>
    <dgm:cxn modelId="{6FC248BB-2B41-43FB-BDE4-785774427DA2}" type="presOf" srcId="{9ABF48A2-88A4-4296-A0ED-96D4EE33E37B}" destId="{52578676-33F1-41ED-A77E-E090647D4659}" srcOrd="0" destOrd="0" presId="urn:microsoft.com/office/officeart/2005/8/layout/orgChart1"/>
    <dgm:cxn modelId="{FD1F7DBB-2B5B-40DF-9EB8-D3112F6B2066}" type="presOf" srcId="{5C6E158C-CCC5-477F-A592-4269EA95EB1B}" destId="{0BC4D6D7-71C7-41AC-B006-D9C19C7261AD}" srcOrd="0" destOrd="0" presId="urn:microsoft.com/office/officeart/2005/8/layout/orgChart1"/>
    <dgm:cxn modelId="{F6F587BB-FD11-4D00-A55E-3B0F89AEFE1E}" type="presOf" srcId="{E485F257-56AF-4ED1-8E5C-59185A20C2D8}" destId="{8D9145D2-D850-4B81-A8A9-2F422E3D4BE4}" srcOrd="0" destOrd="0" presId="urn:microsoft.com/office/officeart/2005/8/layout/orgChart1"/>
    <dgm:cxn modelId="{1DFBE9BB-8468-43CF-83D9-3AE622716947}" type="presOf" srcId="{DE9883FB-F4D5-4518-8204-ABE11F12E75D}" destId="{48989446-6B7C-4DE4-826A-E0D880298EAE}" srcOrd="0" destOrd="0" presId="urn:microsoft.com/office/officeart/2005/8/layout/orgChart1"/>
    <dgm:cxn modelId="{8C8907BC-98E3-4CED-9C41-7A1BA0AEBD4C}" type="presOf" srcId="{2AD98657-974F-47A9-AC62-73BF0131A9C9}" destId="{7C934789-C1E6-4EA4-A0D9-1334848962B7}" srcOrd="1" destOrd="0" presId="urn:microsoft.com/office/officeart/2005/8/layout/orgChart1"/>
    <dgm:cxn modelId="{501B0BBC-B40C-4920-B65C-D56A5A9D0E4F}" type="presOf" srcId="{86C44C6F-3744-4FFE-9E87-8AA25F0F800B}" destId="{1F56D8DA-CEB2-44D4-9F74-29D6E216AAA3}" srcOrd="0" destOrd="0" presId="urn:microsoft.com/office/officeart/2005/8/layout/orgChart1"/>
    <dgm:cxn modelId="{9F42FCBC-4600-425C-A14F-F061476E5597}" type="presOf" srcId="{9E8BFB46-E297-4315-941D-50527A6D7983}" destId="{52F63D95-5C84-4728-918F-955187F5A66E}" srcOrd="1" destOrd="0" presId="urn:microsoft.com/office/officeart/2005/8/layout/orgChart1"/>
    <dgm:cxn modelId="{274205BD-1966-4C55-A8BA-1955CF1A6730}" type="presOf" srcId="{5F39BE30-4348-486D-8BCC-845ACD98CD91}" destId="{1FE2B47A-DAC1-4B31-848B-A65512DE18F3}" srcOrd="1" destOrd="0" presId="urn:microsoft.com/office/officeart/2005/8/layout/orgChart1"/>
    <dgm:cxn modelId="{3CEF42BD-6E19-4C33-98B2-9BB61FFD2FB0}" type="presOf" srcId="{2E13DEC0-8B25-4620-8220-0C46F408AA93}" destId="{74703DF2-4E13-4CE6-8C5B-6DB271C97F83}" srcOrd="0" destOrd="0" presId="urn:microsoft.com/office/officeart/2005/8/layout/orgChart1"/>
    <dgm:cxn modelId="{7B4252BD-1C29-4825-AE62-98BA7D8DAA0A}" type="presOf" srcId="{5B6DD99F-43D7-4ACB-AE91-9A5CC271799C}" destId="{2123FB7D-9B6E-4A25-8411-46EA7F257657}" srcOrd="0" destOrd="0" presId="urn:microsoft.com/office/officeart/2005/8/layout/orgChart1"/>
    <dgm:cxn modelId="{7D9B72BD-9D91-49CC-914E-41666417FD17}" srcId="{DBFBE633-1848-4458-87F4-B5C52D4BB0FC}" destId="{5C6E158C-CCC5-477F-A592-4269EA95EB1B}" srcOrd="0" destOrd="0" parTransId="{57B491C1-BF9D-426A-85A2-EC0CCD56D810}" sibTransId="{2BB27951-F01A-4757-9D0F-D89BDCC414F9}"/>
    <dgm:cxn modelId="{EA28C0BD-0F13-4E24-BF52-C3750EA64422}" type="presOf" srcId="{E5112E47-A2AF-4F0E-9183-E60E0192E41E}" destId="{14D289AC-5E39-419B-A1F5-26964B159C43}" srcOrd="0" destOrd="0" presId="urn:microsoft.com/office/officeart/2005/8/layout/orgChart1"/>
    <dgm:cxn modelId="{D47EF3BD-F3DD-4221-AA0D-BB6DE2C09884}" srcId="{8FF3568A-CAA4-4B5F-A69D-D7BC18D34268}" destId="{23E60360-6F46-4ADB-B68C-A3A2A0CADFA3}" srcOrd="0" destOrd="0" parTransId="{DBE5A299-CD7A-401E-A625-D95836E7A15E}" sibTransId="{D5A4376E-C11B-40D9-8E13-CBF153B9C6B1}"/>
    <dgm:cxn modelId="{3A5846BE-9FDF-422F-ABDA-7952E866F2A5}" type="presOf" srcId="{D19739F7-A3E7-4838-8959-7FDC72B7349F}" destId="{E319AD59-CC20-48C4-B2F1-42A124F02962}" srcOrd="0" destOrd="0" presId="urn:microsoft.com/office/officeart/2005/8/layout/orgChart1"/>
    <dgm:cxn modelId="{C54C7BBE-E812-4577-AADD-E42B141C5E8B}" srcId="{DDF6C6EA-A17F-4E38-9FF4-72B93A4C0D55}" destId="{A01FD5DA-4F75-4485-B40E-BF3BB4A7C9FA}" srcOrd="1" destOrd="0" parTransId="{DC58D234-E519-4CC7-8E14-19EC381646B6}" sibTransId="{5544762A-BD16-4746-A630-75D327BA3235}"/>
    <dgm:cxn modelId="{190286BE-AB82-4355-BFB4-AE678FAC7914}" type="presOf" srcId="{967E9CED-3657-4F07-9E98-4D79FEFF4AA4}" destId="{8BF52E3B-B16F-42CC-AFFC-5EAFE45F8123}" srcOrd="0" destOrd="0" presId="urn:microsoft.com/office/officeart/2005/8/layout/orgChart1"/>
    <dgm:cxn modelId="{07C995BE-DEAB-451E-BE79-B83A4DA546D9}" srcId="{A6232338-D847-40DB-807A-FC2CF08A22C7}" destId="{DBFBE633-1848-4458-87F4-B5C52D4BB0FC}" srcOrd="0" destOrd="0" parTransId="{4A328B28-371E-47C7-A546-8ED9FA207ECB}" sibTransId="{5D0A172E-FF12-404E-B3AA-B03E38A52469}"/>
    <dgm:cxn modelId="{667DC7BE-6174-4F76-930A-E2DE042262C5}" type="presOf" srcId="{044F81DB-AA8D-4DF9-A880-D3CA808C2F04}" destId="{8B50836B-0D4A-4E13-9CF1-E56AC99DF090}" srcOrd="0" destOrd="0" presId="urn:microsoft.com/office/officeart/2005/8/layout/orgChart1"/>
    <dgm:cxn modelId="{07EA2EBF-8403-4CAF-BC08-70966B33A455}" type="presOf" srcId="{C538FF67-62E3-499F-9E05-3BD3C36D6FCC}" destId="{1FAEC8B9-1620-40CD-AF0A-81014B81F591}" srcOrd="0" destOrd="0" presId="urn:microsoft.com/office/officeart/2005/8/layout/orgChart1"/>
    <dgm:cxn modelId="{F97530BF-6F50-41BA-B856-F6131DC2745C}" type="presOf" srcId="{6F2DABE7-9A70-4D84-9106-F429484E2300}" destId="{D7FBEE77-1620-4D1F-90A8-F8DD89D1A301}" srcOrd="1" destOrd="0" presId="urn:microsoft.com/office/officeart/2005/8/layout/orgChart1"/>
    <dgm:cxn modelId="{34DEA5C0-C2E9-441B-A54E-8FD1125807E3}" srcId="{9AE70B7F-979B-49CE-BC85-C030BB8B70B4}" destId="{C6425DEA-6FA3-417E-B750-3540F6EE7CF3}" srcOrd="1" destOrd="0" parTransId="{E5864F28-3C1A-4FC2-A916-CD915C8A8469}" sibTransId="{A23BA2C8-C107-44FB-980F-0897402F5A07}"/>
    <dgm:cxn modelId="{B7D9A8C0-1F6F-44FE-806E-8F0C52125161}" srcId="{6EA8C77C-EAF6-4BE6-AD96-7C80110BF0BC}" destId="{A49A2F49-29A2-4409-A8AA-7C842ECB3A93}" srcOrd="1" destOrd="0" parTransId="{566D328A-7046-49A4-A8F3-056A23838A3E}" sibTransId="{C253E6FC-AF23-4196-B590-4C43EEB7349F}"/>
    <dgm:cxn modelId="{E13F67C1-5001-496F-88AC-6A110DB1F963}" srcId="{668FD8E8-F813-44B7-ADB4-AF4C5A9F35DF}" destId="{2E764A5A-3A14-45D4-A38B-5595B575B8E6}" srcOrd="1" destOrd="0" parTransId="{CB4EA92A-DCE3-4722-B5A8-9FACE7B9B8B1}" sibTransId="{A4B02A23-F501-45E6-8CA2-A621EE78576F}"/>
    <dgm:cxn modelId="{41B370C1-3996-48A8-95B3-6F9CD1895365}" srcId="{AEFC0FA9-2342-4015-A81F-EBCAB4D4A36F}" destId="{9251A46D-2BE0-4272-8860-C252FCA0E36F}" srcOrd="1" destOrd="0" parTransId="{D3BB6DD2-32D4-4C61-9F1E-95198B66568D}" sibTransId="{1A6BFCE9-E811-4316-B136-76450D3C52C6}"/>
    <dgm:cxn modelId="{C8DE88C1-F1AB-4F8E-87F7-E56406A1130C}" srcId="{BAA0A6F4-6832-4850-8E6B-C61E7C3A8F3A}" destId="{C1BFF298-EFBC-4114-8E71-845F08577E5E}" srcOrd="1" destOrd="0" parTransId="{970EAE6C-8716-415E-B5D8-D3D811AF8CDD}" sibTransId="{A1E50CB7-FA2F-4311-928F-D6D4E1BDCC79}"/>
    <dgm:cxn modelId="{EDD5B9C1-78B2-44FF-B7CD-6B9DA5288F79}" type="presOf" srcId="{6E408EB6-AC8E-4CC8-BEC8-06F4D8061ADF}" destId="{2E77B34B-5C6A-4790-8057-C94302A72365}" srcOrd="0" destOrd="0" presId="urn:microsoft.com/office/officeart/2005/8/layout/orgChart1"/>
    <dgm:cxn modelId="{BEF9BCC1-6E61-4867-8A79-4345CCBAD2C3}" type="presOf" srcId="{9E60DC48-126F-4245-8806-7202F6C0228B}" destId="{D990D39F-E70F-4D7F-8B9D-67E6A5AAAFF1}" srcOrd="1" destOrd="0" presId="urn:microsoft.com/office/officeart/2005/8/layout/orgChart1"/>
    <dgm:cxn modelId="{940131C2-055F-4B96-9392-2BA18DEA880A}" srcId="{668FD8E8-F813-44B7-ADB4-AF4C5A9F35DF}" destId="{9AE70B7F-979B-49CE-BC85-C030BB8B70B4}" srcOrd="4" destOrd="0" parTransId="{FCC5C2AC-03B5-438E-A94A-743C42691E38}" sibTransId="{268A6D64-B107-4E91-B4C7-93B0F9CD56CA}"/>
    <dgm:cxn modelId="{8C146CC2-F4B7-4188-A641-55E32259EF1A}" srcId="{CE77CF4A-19B6-4CD5-A983-704F5EDE28D0}" destId="{AA44B941-0A54-4D7A-9B2A-D755ED061030}" srcOrd="1" destOrd="0" parTransId="{A0F0EA8E-B803-447C-B926-3AD3AD68F037}" sibTransId="{87881D9A-972A-4874-9777-8411E6092D2D}"/>
    <dgm:cxn modelId="{BBE5AAC2-1ABD-47BD-BD98-166FF08FC616}" type="presOf" srcId="{970EAE6C-8716-415E-B5D8-D3D811AF8CDD}" destId="{8D570137-0FC5-4577-9FE8-E33F34B5E7F8}" srcOrd="0" destOrd="0" presId="urn:microsoft.com/office/officeart/2005/8/layout/orgChart1"/>
    <dgm:cxn modelId="{10DEBDC3-73A0-4AEE-8C8C-EA94630BC2C6}" type="presOf" srcId="{02AD0736-B907-44DA-B6A6-000A82885EE4}" destId="{28C03274-7493-4A6B-B569-560EE4A187A5}" srcOrd="1" destOrd="0" presId="urn:microsoft.com/office/officeart/2005/8/layout/orgChart1"/>
    <dgm:cxn modelId="{72C7D1C3-9FE3-4908-A686-3CCAB8B3BC6C}" type="presOf" srcId="{4AA10C4C-F20A-4062-9BC8-5E15112BBC86}" destId="{FA6F6885-1143-4B43-A015-3E4CB1C4ABC7}" srcOrd="0" destOrd="0" presId="urn:microsoft.com/office/officeart/2005/8/layout/orgChart1"/>
    <dgm:cxn modelId="{8465A7C4-0295-465A-811C-4CC5E8334C3D}" type="presOf" srcId="{B2583F77-58CD-429C-829C-2E67A6CCFEE6}" destId="{576A51D3-33EF-48ED-B81B-585A6ADED176}" srcOrd="1" destOrd="0" presId="urn:microsoft.com/office/officeart/2005/8/layout/orgChart1"/>
    <dgm:cxn modelId="{90C6C6C4-6FB1-4585-86EF-8AC96E8B10A0}" srcId="{783D575E-D60D-46E5-9E00-175027F47FEC}" destId="{CA118DFD-D54C-4689-B6AC-B82B01E04B1F}" srcOrd="1" destOrd="0" parTransId="{353E3CE9-40F6-447F-B9B5-DD5A888D8E6B}" sibTransId="{9752AE4C-BC0F-460E-930F-21259A6C0CA3}"/>
    <dgm:cxn modelId="{350465C5-F401-4A28-97E8-98C3DD7C67C6}" type="presOf" srcId="{036157CB-C6E0-45A6-9025-BC4C243A80B7}" destId="{229DAE5A-10A2-412C-BFD7-2CF17ECBFCA0}" srcOrd="0" destOrd="0" presId="urn:microsoft.com/office/officeart/2005/8/layout/orgChart1"/>
    <dgm:cxn modelId="{864452C5-1204-4264-98EE-4FD6E9BB52C6}" type="presOf" srcId="{261AC762-8441-4A03-97AC-AD71E122E56E}" destId="{CCB5D44E-69E8-4869-8F22-7B1266FDA2D8}" srcOrd="1" destOrd="0" presId="urn:microsoft.com/office/officeart/2005/8/layout/orgChart1"/>
    <dgm:cxn modelId="{866E0EC6-D9BD-4615-BDC4-76DA9F869BC8}" type="presOf" srcId="{CF4DFCAF-2272-4F94-B7C0-D9FC9509311E}" destId="{FC4A1060-B949-45EB-8EFA-2FD21B9BAB3A}" srcOrd="1" destOrd="0" presId="urn:microsoft.com/office/officeart/2005/8/layout/orgChart1"/>
    <dgm:cxn modelId="{2FF5D0C6-DFA8-40C0-9EA8-E45763186336}" srcId="{CE77CF4A-19B6-4CD5-A983-704F5EDE28D0}" destId="{7D092BB6-0004-49F0-A33B-2302CAB2CF02}" srcOrd="2" destOrd="0" parTransId="{94F05D89-7EFB-4284-BE14-824E2C91859C}" sibTransId="{87F605AF-C5BE-4197-B795-C66BE9EF236E}"/>
    <dgm:cxn modelId="{0399E3C6-1F1C-4D45-8C26-C396B514DC5E}" type="presOf" srcId="{C1BFF298-EFBC-4114-8E71-845F08577E5E}" destId="{7B9093F3-87E6-40ED-AB18-B5B05515D707}" srcOrd="0" destOrd="0" presId="urn:microsoft.com/office/officeart/2005/8/layout/orgChart1"/>
    <dgm:cxn modelId="{3AA115C7-7B3C-4FF9-8A41-F3967DB55EF8}" type="presOf" srcId="{9ED5F192-F6E4-420D-A295-B5C7FEE62EFF}" destId="{03FBEE4D-F5E8-410D-A1EA-F5F1B38BC68C}" srcOrd="0" destOrd="0" presId="urn:microsoft.com/office/officeart/2005/8/layout/orgChart1"/>
    <dgm:cxn modelId="{22C00CC8-B579-4A3C-9909-ED613F44BFA6}" type="presOf" srcId="{5847D14F-9A9B-43DB-B6D4-DB254AAB8E52}" destId="{BBA05ED8-3067-47DA-B234-5324D51AA647}" srcOrd="0" destOrd="0" presId="urn:microsoft.com/office/officeart/2005/8/layout/orgChart1"/>
    <dgm:cxn modelId="{854E0DC8-F9BE-41C0-B00A-1014E160D152}" type="presOf" srcId="{23E60360-6F46-4ADB-B68C-A3A2A0CADFA3}" destId="{25F8C15A-BFC1-4EAE-B7C9-C355DFF1A0D9}" srcOrd="0" destOrd="0" presId="urn:microsoft.com/office/officeart/2005/8/layout/orgChart1"/>
    <dgm:cxn modelId="{61E03FC8-44CC-4F6D-BFA7-DB899D38C009}" type="presOf" srcId="{2A627E95-80B8-471F-B8C1-0A185CA00521}" destId="{4A20DBA5-9DC3-48EF-ACE3-9DC8E63C0436}" srcOrd="1" destOrd="0" presId="urn:microsoft.com/office/officeart/2005/8/layout/orgChart1"/>
    <dgm:cxn modelId="{9AF941C8-87EC-465E-9F98-D8C880BCE6CE}" type="presOf" srcId="{6A56D4F6-E20F-4550-BF17-7243096766BA}" destId="{90970F8F-5F00-4274-8053-DC65F91FE32F}" srcOrd="0" destOrd="0" presId="urn:microsoft.com/office/officeart/2005/8/layout/orgChart1"/>
    <dgm:cxn modelId="{6FCD97C8-72C5-443A-91CE-5F48AF7C7E46}" type="presOf" srcId="{636D016F-A4F3-4C8A-B4AB-3E183C888165}" destId="{092DDAB3-180F-4746-9179-C397492A3593}" srcOrd="0" destOrd="0" presId="urn:microsoft.com/office/officeart/2005/8/layout/orgChart1"/>
    <dgm:cxn modelId="{22C8C3C8-5284-4E21-8708-DB32CFAB83B0}" type="presOf" srcId="{F052FEB2-876D-4DF4-AB4E-C704B0274BB4}" destId="{344FDD19-7A32-46A8-8A94-79A754AFA896}" srcOrd="1" destOrd="0" presId="urn:microsoft.com/office/officeart/2005/8/layout/orgChart1"/>
    <dgm:cxn modelId="{7093E1C8-7B46-4465-B5C2-EB1BF1DE161A}" type="presOf" srcId="{1FAF1469-3194-4997-B895-D1F8B66E59FE}" destId="{21C66ED4-A6A5-4A28-B14D-A37ADF64BDFE}" srcOrd="0" destOrd="0" presId="urn:microsoft.com/office/officeart/2005/8/layout/orgChart1"/>
    <dgm:cxn modelId="{2E1059C9-6307-4590-BBD0-60447B6FD283}" type="presOf" srcId="{D149A505-572D-4CDC-8D81-A814FB0F53E6}" destId="{F412D91D-E6DF-4CEA-8701-B073A8FD2290}" srcOrd="0" destOrd="0" presId="urn:microsoft.com/office/officeart/2005/8/layout/orgChart1"/>
    <dgm:cxn modelId="{05C287C9-633D-4762-AE6B-9965210C081B}" type="presOf" srcId="{3F708C78-4B6B-4D04-ABED-7FF92A664A63}" destId="{BC856E0F-F8EB-430F-BDB0-45FE065C0689}" srcOrd="1" destOrd="0" presId="urn:microsoft.com/office/officeart/2005/8/layout/orgChart1"/>
    <dgm:cxn modelId="{182BA6C9-9CEF-4313-89CB-CE4442AA701D}" type="presOf" srcId="{6EA8C77C-EAF6-4BE6-AD96-7C80110BF0BC}" destId="{DF368F48-B16C-49DC-A94A-74F71D4AB48D}" srcOrd="0" destOrd="0" presId="urn:microsoft.com/office/officeart/2005/8/layout/orgChart1"/>
    <dgm:cxn modelId="{626EA7C9-42CE-475A-8F8E-0A556A7383C5}" type="presOf" srcId="{C2B82F46-1FD0-4897-8F95-9366B049019F}" destId="{1D4103EC-1284-44AD-8D27-EA5C000F20AF}" srcOrd="1" destOrd="0" presId="urn:microsoft.com/office/officeart/2005/8/layout/orgChart1"/>
    <dgm:cxn modelId="{3243F5C9-AC8C-4929-8608-6CFC1D8A7406}" srcId="{72F3D303-0065-410A-A999-86607290AFCA}" destId="{668FD8E8-F813-44B7-ADB4-AF4C5A9F35DF}" srcOrd="1" destOrd="0" parTransId="{95DD5D78-5172-41EB-92A6-C4EFFB382529}" sibTransId="{84F85C8B-E9BA-4546-B0AF-70E0D7C941A6}"/>
    <dgm:cxn modelId="{B41350CA-67DF-44A9-9968-A82217A0F4E5}" type="presOf" srcId="{61CB8516-D842-46CE-AFF8-424F39A00E76}" destId="{428C93EF-74BA-4B1F-AAA1-3AF4D02FF508}" srcOrd="0" destOrd="0" presId="urn:microsoft.com/office/officeart/2005/8/layout/orgChart1"/>
    <dgm:cxn modelId="{6F7634CB-F08D-4769-9293-C0718320DBC0}" type="presOf" srcId="{9AE70B7F-979B-49CE-BC85-C030BB8B70B4}" destId="{3EB4CAA8-F985-48EE-8335-06428C5AD087}" srcOrd="1" destOrd="0" presId="urn:microsoft.com/office/officeart/2005/8/layout/orgChart1"/>
    <dgm:cxn modelId="{BD7E54CB-F2E0-4CD8-985D-B99B937004B0}" type="presOf" srcId="{2017E836-4C29-406F-BBC0-5D59708D1C19}" destId="{1CF66548-87FD-4ACD-899B-BA01808BB437}" srcOrd="0" destOrd="0" presId="urn:microsoft.com/office/officeart/2005/8/layout/orgChart1"/>
    <dgm:cxn modelId="{08B677CB-8738-4465-AA4F-9E0B37EC4F71}" type="presOf" srcId="{3DB1C1A1-0CD0-458A-824D-1F445F7D7B8F}" destId="{490BD94C-C88E-41EB-BB8E-5EF7BE6CE2F9}" srcOrd="0" destOrd="0" presId="urn:microsoft.com/office/officeart/2005/8/layout/orgChart1"/>
    <dgm:cxn modelId="{CEBFA4CB-0965-490C-B950-BE615495D383}" type="presOf" srcId="{D7F3EA7A-619D-4972-AD51-63650624138C}" destId="{2A58210B-1A0B-43E6-9B3A-87A8CFF9E67C}" srcOrd="0" destOrd="0" presId="urn:microsoft.com/office/officeart/2005/8/layout/orgChart1"/>
    <dgm:cxn modelId="{56E2BBCB-B6E4-4E74-866B-E2C869CEED87}" type="presOf" srcId="{5ADA30E8-8214-492C-8520-D10371E61389}" destId="{16C1F812-4891-4D2F-BED7-F1A084D6BFBA}" srcOrd="0" destOrd="0" presId="urn:microsoft.com/office/officeart/2005/8/layout/orgChart1"/>
    <dgm:cxn modelId="{3C58BDCB-42A9-4E7A-81D3-D528476DD83D}" srcId="{53A6C4B4-CF08-4693-8722-23AD0DF8467A}" destId="{1183DB6D-C15F-40C8-9366-A500F1FDED64}" srcOrd="1" destOrd="0" parTransId="{ED7A5D29-67B8-41C3-A06A-5AC21B67484F}" sibTransId="{54F0EFD7-11BF-47D8-ACA3-2F626081F7D0}"/>
    <dgm:cxn modelId="{00C89ECC-2865-43F3-90E8-194ACB418D5E}" type="presOf" srcId="{4687629B-9EAF-487A-9973-C66924FFD9B6}" destId="{4AD38B1D-51C2-4716-92DB-44A173E844A1}" srcOrd="1" destOrd="0" presId="urn:microsoft.com/office/officeart/2005/8/layout/orgChart1"/>
    <dgm:cxn modelId="{89D4B4CC-E48F-44FA-98EF-47C8AC82280E}" type="presOf" srcId="{EEF4749F-DE1D-4627-88C7-9F746A6BD04B}" destId="{400C2455-839D-4321-88EC-8558A31B6B05}" srcOrd="0" destOrd="0" presId="urn:microsoft.com/office/officeart/2005/8/layout/orgChart1"/>
    <dgm:cxn modelId="{3F6CC0CC-9C64-47B6-A579-6D6537729333}" srcId="{DBFBE633-1848-4458-87F4-B5C52D4BB0FC}" destId="{EFCC3EF5-1ACE-4D51-ADE0-BB1E37F0CD2E}" srcOrd="1" destOrd="0" parTransId="{D3FE2CB9-4032-4184-B0E7-FFF636A4F3F3}" sibTransId="{D0321DA6-6532-4ED4-9609-D44A49612670}"/>
    <dgm:cxn modelId="{06241FCD-4272-495C-AE54-920066896872}" type="presOf" srcId="{838F6695-2061-4E48-9A60-4469710F958A}" destId="{BF18C3B8-4518-48A3-9306-2E197D1E33FF}" srcOrd="0" destOrd="0" presId="urn:microsoft.com/office/officeart/2005/8/layout/orgChart1"/>
    <dgm:cxn modelId="{D2714ECD-796D-451E-8336-C23900CD7E0A}" type="presOf" srcId="{231A9114-EDDC-49B1-9E36-4061AC701AA8}" destId="{50570C70-5D6A-428E-B81A-9F5DB587CF4E}" srcOrd="0" destOrd="0" presId="urn:microsoft.com/office/officeart/2005/8/layout/orgChart1"/>
    <dgm:cxn modelId="{9FB356CD-085C-47DD-8D68-4956964F7989}" type="presOf" srcId="{19861599-005C-4BE2-A6D8-421B9BB82FC4}" destId="{AEBC0D12-6B65-4BF2-9834-AB748AAAB8E1}" srcOrd="0" destOrd="0" presId="urn:microsoft.com/office/officeart/2005/8/layout/orgChart1"/>
    <dgm:cxn modelId="{FDDA7ECD-5739-401B-BD21-375D5308801F}" type="presOf" srcId="{85588F87-C042-4DDE-8AA8-1C3019723053}" destId="{21B23348-0996-4355-A150-C97A16B8F08A}" srcOrd="1" destOrd="0" presId="urn:microsoft.com/office/officeart/2005/8/layout/orgChart1"/>
    <dgm:cxn modelId="{2C1588CD-8838-43C2-9CF8-97B977ED4D9F}" type="presOf" srcId="{FB0F6AE7-73B3-4BCC-A860-E9D777904C06}" destId="{BDA72F02-4730-4C0C-B50B-3279ECA8C088}" srcOrd="0" destOrd="0" presId="urn:microsoft.com/office/officeart/2005/8/layout/orgChart1"/>
    <dgm:cxn modelId="{D65495CD-C947-4CE2-A87C-0AD33923C05E}" type="presOf" srcId="{CB4EA92A-DCE3-4722-B5A8-9FACE7B9B8B1}" destId="{143F8B4A-E81B-4644-AD6B-092FFEB72DC9}" srcOrd="0" destOrd="0" presId="urn:microsoft.com/office/officeart/2005/8/layout/orgChart1"/>
    <dgm:cxn modelId="{B739A2CD-C8F3-4036-B4B5-DD470A180FAC}" type="presOf" srcId="{ADC3BCAA-3562-4802-B5F4-CCB93911D8A5}" destId="{7C791DE4-27C0-47A2-A0AF-1CC4E23F4082}" srcOrd="1" destOrd="0" presId="urn:microsoft.com/office/officeart/2005/8/layout/orgChart1"/>
    <dgm:cxn modelId="{8FBB18CE-9C57-4492-8C26-D221DABC272E}" type="presOf" srcId="{3507EBDC-C49E-4E2C-8419-BCF61C768C03}" destId="{B21DA6BD-31D6-41D0-B726-A736D5CFE812}" srcOrd="0" destOrd="0" presId="urn:microsoft.com/office/officeart/2005/8/layout/orgChart1"/>
    <dgm:cxn modelId="{A6FD4BCE-18A6-4078-A03C-0416D5453CFB}" srcId="{6D171802-7E8E-4762-835E-3F263473E8D8}" destId="{FD10E54D-7B0B-4C4F-B8E2-939387CDB3B9}" srcOrd="2" destOrd="0" parTransId="{D19739F7-A3E7-4838-8959-7FDC72B7349F}" sibTransId="{A3C8FF11-128B-4EA9-BE78-D5A1D0A5445F}"/>
    <dgm:cxn modelId="{EB877ACE-8012-4593-A22B-DAC68CD2B373}" srcId="{F1E11E84-55E5-4A33-9124-2EED04F86C74}" destId="{02AD0736-B907-44DA-B6A6-000A82885EE4}" srcOrd="1" destOrd="0" parTransId="{1F7B3F46-3DF0-45D9-B612-C01421161B3A}" sibTransId="{A875836E-8858-4FA7-9857-CCBE514923CB}"/>
    <dgm:cxn modelId="{1B34BACE-3755-4F80-8C83-C253E791967D}" type="presOf" srcId="{E9C9B03C-CE48-4E81-8181-9DE10C5B64B7}" destId="{22658707-FC77-4702-B7D3-0A2F67FC2D6D}" srcOrd="0" destOrd="0" presId="urn:microsoft.com/office/officeart/2005/8/layout/orgChart1"/>
    <dgm:cxn modelId="{EC5AFECE-7768-4BCA-958C-E5BAB53F05BE}" type="presOf" srcId="{109F7E6B-3DA8-47A9-B8CE-1BBF972B168A}" destId="{1FA11767-B6DB-4956-A730-8AAA8D574915}" srcOrd="1" destOrd="0" presId="urn:microsoft.com/office/officeart/2005/8/layout/orgChart1"/>
    <dgm:cxn modelId="{061F21CF-C526-4E3B-9678-8542204DFC3E}" srcId="{B5E062C0-51FF-475B-AB77-41B3C120B87C}" destId="{FB0F6AE7-73B3-4BCC-A860-E9D777904C06}" srcOrd="3" destOrd="0" parTransId="{61C8F238-EEF4-4CF0-9D7F-3E09E606208E}" sibTransId="{573F1135-640A-4B39-A217-AD84DB6948DF}"/>
    <dgm:cxn modelId="{5FC84CCF-65BD-4989-B777-3142D5AC5957}" type="presOf" srcId="{266B2208-CD93-4175-A5D1-E0B77C227719}" destId="{A160E3EA-D3F2-4F53-A652-419106C403C8}" srcOrd="1" destOrd="0" presId="urn:microsoft.com/office/officeart/2005/8/layout/orgChart1"/>
    <dgm:cxn modelId="{D90B72CF-39EB-4A99-8F37-4E081E8F19CA}" type="presOf" srcId="{826823C1-8B37-449D-B030-B0C21A0CD432}" destId="{1AC1EDA9-E2F0-441C-BD45-AF4DA73867DF}" srcOrd="0" destOrd="0" presId="urn:microsoft.com/office/officeart/2005/8/layout/orgChart1"/>
    <dgm:cxn modelId="{119655CF-D08B-4349-927C-7A264F2B8873}" type="presOf" srcId="{4687629B-9EAF-487A-9973-C66924FFD9B6}" destId="{309F7D41-ED17-46D8-B2DD-74D6EDCB20D7}" srcOrd="0" destOrd="0" presId="urn:microsoft.com/office/officeart/2005/8/layout/orgChart1"/>
    <dgm:cxn modelId="{BE8F07D0-B020-461A-B995-B9AE3CEE711D}" type="presOf" srcId="{9251A46D-2BE0-4272-8860-C252FCA0E36F}" destId="{E0C1EAC6-A466-462F-9DC7-E1C44E66A1E0}" srcOrd="0" destOrd="0" presId="urn:microsoft.com/office/officeart/2005/8/layout/orgChart1"/>
    <dgm:cxn modelId="{AF4870D0-7B20-4B8E-B0BF-F5E328978900}" type="presOf" srcId="{2E764A5A-3A14-45D4-A38B-5595B575B8E6}" destId="{DBD82063-4008-4B2F-B803-11E288C52EC0}" srcOrd="1" destOrd="0" presId="urn:microsoft.com/office/officeart/2005/8/layout/orgChart1"/>
    <dgm:cxn modelId="{8D5792D1-725D-400A-9353-143EB70BCC8B}" srcId="{86269F2E-6E8F-4730-8224-E18D7B039898}" destId="{261AC762-8441-4A03-97AC-AD71E122E56E}" srcOrd="1" destOrd="0" parTransId="{836480B4-8447-4711-8B34-48F7C7F0F122}" sibTransId="{216F970C-E438-42D9-907A-0F08ECE1AD51}"/>
    <dgm:cxn modelId="{B8632BD2-12E9-46B4-8A20-BB617AEF4B64}" type="presOf" srcId="{4530D1F9-D79B-4F21-A3D8-9A72766751AB}" destId="{03D682EE-9E02-4630-987B-54F06E6D816B}" srcOrd="1" destOrd="0" presId="urn:microsoft.com/office/officeart/2005/8/layout/orgChart1"/>
    <dgm:cxn modelId="{09949CD2-8E86-40B0-8D40-B0F541E94F32}" type="presOf" srcId="{A16C7D7A-E18B-40EF-AA96-52629C1D62A0}" destId="{1FBA4AC0-C490-45B8-847E-1C1801519230}" srcOrd="0" destOrd="0" presId="urn:microsoft.com/office/officeart/2005/8/layout/orgChart1"/>
    <dgm:cxn modelId="{A078C3D2-9CB3-45C4-88DC-510FA61E4B41}" type="presOf" srcId="{B352CEAB-52D3-4E64-8236-D79B73B32FA1}" destId="{A103A6A9-302F-48F2-96A0-E461C7ACF6EF}" srcOrd="0" destOrd="0" presId="urn:microsoft.com/office/officeart/2005/8/layout/orgChart1"/>
    <dgm:cxn modelId="{AD7AC5D2-4FC0-4CCE-AFD4-9629B48BDDB0}" type="presOf" srcId="{6EA8C77C-EAF6-4BE6-AD96-7C80110BF0BC}" destId="{1B758743-6012-4E16-BBFB-E0AFF68458BA}" srcOrd="1" destOrd="0" presId="urn:microsoft.com/office/officeart/2005/8/layout/orgChart1"/>
    <dgm:cxn modelId="{0B1DE0D2-9169-4E9C-B378-7AABE16BE6A0}" srcId="{A4A29A10-673A-4945-BC28-1960217650D3}" destId="{EFEC8CCF-2CFD-4887-8A2D-5EDB6E21E0F8}" srcOrd="0" destOrd="0" parTransId="{D74CEC8C-5D60-491F-98AD-522DB0543277}" sibTransId="{0509A6AF-39F6-4743-A509-323A69727AB9}"/>
    <dgm:cxn modelId="{687EF2D2-AA59-4513-82BA-2E886AF50F0C}" type="presOf" srcId="{A830B224-1B71-43B7-BF60-8199ADEC889C}" destId="{3C3D1489-B4F8-4B36-A6C8-5E5683E15D10}" srcOrd="0" destOrd="0" presId="urn:microsoft.com/office/officeart/2005/8/layout/orgChart1"/>
    <dgm:cxn modelId="{6153B6D3-1BD8-4200-96CA-913B406FEF93}" srcId="{66B1705C-62F7-4DED-B705-F0863D5C3542}" destId="{34FF5F5E-1B27-44DF-A7EC-AEE7E6D1FF27}" srcOrd="0" destOrd="0" parTransId="{E051CD3A-A55A-4CF9-8A65-3E209C0533A8}" sibTransId="{3D86F58D-E87A-40F1-80E9-6E17BBC56196}"/>
    <dgm:cxn modelId="{5E8DB8D3-8989-4CEA-A952-F77B1B1AA9F5}" type="presOf" srcId="{CD941BBE-ED6F-4484-80C4-9B7ED8F9D1D1}" destId="{E7736C80-1CCB-4CBB-9403-8C1092E7241B}" srcOrd="0" destOrd="0" presId="urn:microsoft.com/office/officeart/2005/8/layout/orgChart1"/>
    <dgm:cxn modelId="{D97DD2D3-B4E5-4E74-88B3-411A3309F64C}" srcId="{1335BBCF-8E8D-42C6-B619-071D35BDD3FC}" destId="{266B2208-CD93-4175-A5D1-E0B77C227719}" srcOrd="3" destOrd="0" parTransId="{438C64B7-74FF-466F-998E-55F0A1D92961}" sibTransId="{E08DCC07-044A-46FC-8668-60A91E0E14E2}"/>
    <dgm:cxn modelId="{73458FD4-3CF4-4347-8072-1C102E6F698F}" srcId="{E8A2E369-A01E-47FF-87B0-76ED80F67B60}" destId="{41CD94C2-59F0-44A3-BBC5-F29D686C70EF}" srcOrd="0" destOrd="0" parTransId="{0978688B-9487-4599-BFA2-E6CAEF31F3AD}" sibTransId="{45E329D6-9389-4179-B628-B09A7A0C0633}"/>
    <dgm:cxn modelId="{A63193D4-1AB9-4B9D-BDDE-AC6F188710DA}" type="presOf" srcId="{138AAEB8-E9B9-4F6E-9F63-8D9C51266EC0}" destId="{A6B19E59-E521-44CB-9281-1C09EC9A7019}" srcOrd="0" destOrd="0" presId="urn:microsoft.com/office/officeart/2005/8/layout/orgChart1"/>
    <dgm:cxn modelId="{3BB69CD4-1AEB-4B44-BC82-299415E3FB16}" type="presOf" srcId="{511A8C96-C326-471D-8475-0C92809D4B35}" destId="{3BE78C63-D7B3-490D-A69C-4495A39BD316}" srcOrd="0" destOrd="0" presId="urn:microsoft.com/office/officeart/2005/8/layout/orgChart1"/>
    <dgm:cxn modelId="{DCC2FBD4-BF6E-4738-9D1A-8DFC1F208B61}" srcId="{F91D3B42-1C1E-4A47-91FE-5E139228559A}" destId="{4F940E2F-E19A-4388-A49B-EE303CBBD042}" srcOrd="0" destOrd="0" parTransId="{98C90B68-A1FA-4357-87BD-A300F6F47FF6}" sibTransId="{4B80747B-1C2C-41FA-BFF8-AA6438BB89C9}"/>
    <dgm:cxn modelId="{ED9E22D5-7958-4687-A14B-D0EB0E44A096}" type="presOf" srcId="{546F882E-02A2-4E82-983D-284DAEFE663D}" destId="{8ED356A5-15A8-4889-94FC-AFD2DBAE743D}" srcOrd="0" destOrd="0" presId="urn:microsoft.com/office/officeart/2005/8/layout/orgChart1"/>
    <dgm:cxn modelId="{64D55ED5-0E7B-42FA-9DD6-2835745194DD}" srcId="{A6232338-D847-40DB-807A-FC2CF08A22C7}" destId="{F4A1CC51-0434-4C0E-A870-44440E1A02D9}" srcOrd="7" destOrd="0" parTransId="{2F7A45B6-6E1A-4CAC-B83D-A1D28C755CE3}" sibTransId="{196B665E-B92F-4707-B917-CF719CF7EB27}"/>
    <dgm:cxn modelId="{EEB157D5-3604-4E72-9467-CE5804336C1F}" type="presOf" srcId="{46E7F7F7-F7A1-400D-A653-C18CD0C954B7}" destId="{3E90A9AC-02A3-481E-B813-8AAB7255C8B5}" srcOrd="0" destOrd="0" presId="urn:microsoft.com/office/officeart/2005/8/layout/orgChart1"/>
    <dgm:cxn modelId="{3E0D95D5-166D-4793-A105-9E5E9071AC3E}" type="presOf" srcId="{D77E7DB1-3ADB-45B0-AAEF-9D9CEB0DD92A}" destId="{57AD7502-AFE1-4810-9797-582D459E146F}" srcOrd="0" destOrd="0" presId="urn:microsoft.com/office/officeart/2005/8/layout/orgChart1"/>
    <dgm:cxn modelId="{3EA498D5-E31D-49C0-AADF-CF4B77B7D964}" type="presOf" srcId="{FD10E54D-7B0B-4C4F-B8E2-939387CDB3B9}" destId="{792F4827-CBDD-439E-9E1B-54F4E5322A00}" srcOrd="0" destOrd="0" presId="urn:microsoft.com/office/officeart/2005/8/layout/orgChart1"/>
    <dgm:cxn modelId="{43F7FED5-3AE2-42E5-B0D0-E2A7091B9F6F}" type="presOf" srcId="{2C4410AC-AC27-4BD9-B2A2-5000A73932DD}" destId="{0EB06CC0-FAE4-4906-B97A-C00D76C708C5}" srcOrd="0" destOrd="0" presId="urn:microsoft.com/office/officeart/2005/8/layout/orgChart1"/>
    <dgm:cxn modelId="{5A176ED6-3302-4ADA-8D38-C557468B6365}" type="presOf" srcId="{B0D37A53-C3D9-4BE1-A570-D6BF31C3EA5F}" destId="{71FB8098-11C4-4403-95C7-A08709462B84}" srcOrd="0" destOrd="0" presId="urn:microsoft.com/office/officeart/2005/8/layout/orgChart1"/>
    <dgm:cxn modelId="{C51557D6-BE1C-4FF5-B147-CCE755B629B8}" type="presOf" srcId="{76E10DBD-73F3-4551-8402-2FA5700A0BE1}" destId="{8B4488C2-035F-4A6D-AB30-6333676B4C70}" srcOrd="0" destOrd="0" presId="urn:microsoft.com/office/officeart/2005/8/layout/orgChart1"/>
    <dgm:cxn modelId="{B8275AD6-2661-4B05-B7EA-FA11D946D2F9}" type="presOf" srcId="{F1E11E84-55E5-4A33-9124-2EED04F86C74}" destId="{DED4CC31-2F44-426E-8BD5-803C2C317C36}" srcOrd="0" destOrd="0" presId="urn:microsoft.com/office/officeart/2005/8/layout/orgChart1"/>
    <dgm:cxn modelId="{9820CCD6-73C8-42EE-B105-C3329DA0A59F}" type="presOf" srcId="{9F2E8308-01CC-44F7-B73C-03A5166D8871}" destId="{3A5B05EB-BE23-4201-95B0-5ABA90F5431D}" srcOrd="1" destOrd="0" presId="urn:microsoft.com/office/officeart/2005/8/layout/orgChart1"/>
    <dgm:cxn modelId="{D82445D7-C4F1-40C5-B07B-79FC24ECBFD3}" type="presOf" srcId="{631540FB-3808-4E2A-9553-428A5E948F14}" destId="{9EBB0AC7-2380-47E6-93DB-EECBB8FB852B}" srcOrd="1" destOrd="0" presId="urn:microsoft.com/office/officeart/2005/8/layout/orgChart1"/>
    <dgm:cxn modelId="{D93C6CD7-2B47-4EF1-BD86-7F1B397D7840}" type="presOf" srcId="{1F8FFF8F-321C-46C2-A470-ED77C27BF283}" destId="{870E1411-B152-4697-BE76-BE5635AAE3DE}" srcOrd="1" destOrd="0" presId="urn:microsoft.com/office/officeart/2005/8/layout/orgChart1"/>
    <dgm:cxn modelId="{E20CA3D7-20F3-44B1-9C5D-5211B9661798}" srcId="{6D171802-7E8E-4762-835E-3F263473E8D8}" destId="{16D42A3B-21AA-4A36-8232-FDBA1AF98D86}" srcOrd="1" destOrd="0" parTransId="{DD2C533B-6EEA-4928-806F-86489312320E}" sibTransId="{DE12E2A2-A567-452B-A9DC-D945DC943EE5}"/>
    <dgm:cxn modelId="{A85647D8-E7FA-472A-9E98-129F6FCD898F}" type="presOf" srcId="{CF4DFCAF-2272-4F94-B7C0-D9FC9509311E}" destId="{EA3F6B06-69E6-4DC9-BF03-21D4664B6336}" srcOrd="0" destOrd="0" presId="urn:microsoft.com/office/officeart/2005/8/layout/orgChart1"/>
    <dgm:cxn modelId="{ADDCE8D8-82B9-4DC5-8B06-EBA065294E93}" srcId="{B8671627-4FBE-4B11-B2F5-01D35E7A09C7}" destId="{1E7C492F-62DC-462E-B45D-565684507B11}" srcOrd="0" destOrd="0" parTransId="{DAE4712C-240C-4594-8B62-F190DF32B439}" sibTransId="{955325DD-1162-478E-8AFE-272C28A3C2DD}"/>
    <dgm:cxn modelId="{C67AF7D8-47F4-440F-A8B0-ABCDCB12F584}" type="presOf" srcId="{A01FD5DA-4F75-4485-B40E-BF3BB4A7C9FA}" destId="{6152516E-AA55-49AF-A11D-AC49DBDF67F5}" srcOrd="1" destOrd="0" presId="urn:microsoft.com/office/officeart/2005/8/layout/orgChart1"/>
    <dgm:cxn modelId="{A1E9F9D8-E109-4ACA-ABCB-208F5B2DBE48}" type="presOf" srcId="{102F5C12-FE34-4B9E-8E60-451C1F5798D9}" destId="{F4A4CE86-621A-4311-A790-F32FA3EE7A67}" srcOrd="0" destOrd="0" presId="urn:microsoft.com/office/officeart/2005/8/layout/orgChart1"/>
    <dgm:cxn modelId="{440933D9-F3A4-45FD-866F-5AE51DD4EB6F}" type="presOf" srcId="{23F75C7D-7FCC-492C-9D36-47C6A92A8E2F}" destId="{58A79307-9AD3-4841-BB2D-13701BCBDB8E}" srcOrd="0" destOrd="0" presId="urn:microsoft.com/office/officeart/2005/8/layout/orgChart1"/>
    <dgm:cxn modelId="{0E578CD9-07DD-4AD8-83BE-BFA9A3EEF016}" srcId="{8FC40973-C7B4-49AC-A525-0E4B043C5DA4}" destId="{A6232338-D847-40DB-807A-FC2CF08A22C7}" srcOrd="2" destOrd="0" parTransId="{7E7D2EB0-7DFF-4DC1-9964-89E1139E3B9B}" sibTransId="{F7198476-ACB6-4FE2-A433-811841D00742}"/>
    <dgm:cxn modelId="{2D71C8D9-FE67-460A-BA51-C4EF399CD928}" type="presOf" srcId="{979C3A29-B299-4E27-AA34-49DB2BB4921F}" destId="{0AC3E728-96E8-441C-979B-C522F79F7EE4}" srcOrd="0" destOrd="0" presId="urn:microsoft.com/office/officeart/2005/8/layout/orgChart1"/>
    <dgm:cxn modelId="{1B7DC9D9-2472-459F-91BE-1F5D26DF8FF1}" srcId="{4D138308-F6EC-4F1F-B24A-FF2D870FE516}" destId="{B2583F77-58CD-429C-829C-2E67A6CCFEE6}" srcOrd="1" destOrd="0" parTransId="{1D330067-FD54-46D7-8C61-B96EA574B2A1}" sibTransId="{710FC1BB-1ABC-49D5-9084-A1320825DC81}"/>
    <dgm:cxn modelId="{E2782ADA-03BD-4A7A-8430-96264F4D6E41}" srcId="{8923AB61-7091-4FEB-BC6C-476E63849FCA}" destId="{44A7865B-321F-4B06-B06F-C3092D158DD7}" srcOrd="2" destOrd="0" parTransId="{E485F257-56AF-4ED1-8E5C-59185A20C2D8}" sibTransId="{0CEB8031-224A-4079-ABFD-FA2B534C83E7}"/>
    <dgm:cxn modelId="{DA768CDA-7D01-48A2-BAD5-2806579E1DFE}" type="presOf" srcId="{DC58D234-E519-4CC7-8E14-19EC381646B6}" destId="{750F749C-55CC-4D6D-ACC8-894C7EC91FF9}" srcOrd="0" destOrd="0" presId="urn:microsoft.com/office/officeart/2005/8/layout/orgChart1"/>
    <dgm:cxn modelId="{F73EADDA-57EA-4CA4-9B1D-A7515779D3D8}" type="presOf" srcId="{6C7A5B7C-5FDE-487C-A75A-9086A0CE44FA}" destId="{C98705A5-FB11-4017-A147-2B7A004DB0B6}" srcOrd="0" destOrd="0" presId="urn:microsoft.com/office/officeart/2005/8/layout/orgChart1"/>
    <dgm:cxn modelId="{FF14CDDA-FF79-47CE-9DA8-7F8769BE9F24}" type="presOf" srcId="{94F05D89-7EFB-4284-BE14-824E2C91859C}" destId="{577E24B8-3C49-496E-8FFC-18EDB0DE621D}" srcOrd="0" destOrd="0" presId="urn:microsoft.com/office/officeart/2005/8/layout/orgChart1"/>
    <dgm:cxn modelId="{EB75F1DA-15A8-45BF-8E35-4B78744295D1}" type="presOf" srcId="{487F825D-2F90-4119-9944-E4AAFDB63954}" destId="{1C940A7A-6443-434D-91A8-CE8E4AC205FF}" srcOrd="1" destOrd="0" presId="urn:microsoft.com/office/officeart/2005/8/layout/orgChart1"/>
    <dgm:cxn modelId="{8C7604DB-494E-4F88-AEB5-AB2584E8391F}" type="presOf" srcId="{0D22E87B-87AD-4527-894E-7FC0C92FA266}" destId="{4D3BF624-DD55-4D07-923D-638A4A195268}" srcOrd="1" destOrd="0" presId="urn:microsoft.com/office/officeart/2005/8/layout/orgChart1"/>
    <dgm:cxn modelId="{ED558ADB-1AD9-43D3-B5A2-1162665748A4}" type="presOf" srcId="{E5574D11-1ACC-4F61-A8BE-2E2DD030F4F9}" destId="{6793C568-2D01-41FE-A5FC-93FF121A5BB9}" srcOrd="0" destOrd="0" presId="urn:microsoft.com/office/officeart/2005/8/layout/orgChart1"/>
    <dgm:cxn modelId="{D26EB4DB-44F9-4575-A734-632D3D45872F}" type="presOf" srcId="{44A7865B-321F-4B06-B06F-C3092D158DD7}" destId="{434E52D3-95F1-453A-8CD5-8D9E359E2940}" srcOrd="0" destOrd="0" presId="urn:microsoft.com/office/officeart/2005/8/layout/orgChart1"/>
    <dgm:cxn modelId="{731EE5DB-F410-4479-8E56-A5D25F88BB69}" type="presOf" srcId="{50977109-3DCA-4C61-AB02-F57640852CE2}" destId="{6654A501-7476-4470-9A82-D74DFE8811ED}" srcOrd="0" destOrd="0" presId="urn:microsoft.com/office/officeart/2005/8/layout/orgChart1"/>
    <dgm:cxn modelId="{D9C900DC-EC34-47CA-9AEA-39193BFDDE14}" type="presOf" srcId="{C8631DC2-E378-4CB2-AB88-4675D872DC2A}" destId="{4AA1B075-4F36-482F-BDE4-B4123BFDFA4A}" srcOrd="0" destOrd="0" presId="urn:microsoft.com/office/officeart/2005/8/layout/orgChart1"/>
    <dgm:cxn modelId="{375A97DC-3F1E-4033-A9A3-2952A8D3583A}" type="presOf" srcId="{DBFBE633-1848-4458-87F4-B5C52D4BB0FC}" destId="{D2907235-BA5F-416C-BBB1-DBCC73DBC977}" srcOrd="1" destOrd="0" presId="urn:microsoft.com/office/officeart/2005/8/layout/orgChart1"/>
    <dgm:cxn modelId="{0F91A9DC-072E-4525-AE7D-661840FAF2B3}" type="presOf" srcId="{4D599669-4AD4-4A06-AF34-9C8C105E9C7D}" destId="{F54FFB28-BC49-4EC1-A9E7-45140768EC25}" srcOrd="0" destOrd="0" presId="urn:microsoft.com/office/officeart/2005/8/layout/orgChart1"/>
    <dgm:cxn modelId="{A778B2DD-DACD-48B9-8B1D-DC1E8C76C9C2}" type="presOf" srcId="{4CB5114A-CEBB-491F-9758-BA618FF477F2}" destId="{BAA2C80D-81D2-4B73-855B-60384CD56480}" srcOrd="0" destOrd="0" presId="urn:microsoft.com/office/officeart/2005/8/layout/orgChart1"/>
    <dgm:cxn modelId="{8C4AC9DD-91FE-41BF-BEE9-0AD977AE65E8}" type="presOf" srcId="{7D092BB6-0004-49F0-A33B-2302CAB2CF02}" destId="{CDC98CCF-A9C4-4191-852D-0BDA9247A9A2}" srcOrd="0" destOrd="0" presId="urn:microsoft.com/office/officeart/2005/8/layout/orgChart1"/>
    <dgm:cxn modelId="{5511D8DD-D3C8-4370-A6D5-979A25D15E44}" srcId="{6B75C790-037F-43B7-80EF-92C969F2F001}" destId="{1FAF1469-3194-4997-B895-D1F8B66E59FE}" srcOrd="1" destOrd="0" parTransId="{03C94E4B-6B95-4DAD-89ED-A1F48711F76C}" sibTransId="{9EE3E8F3-2EF7-441F-AB6F-67806DDD8562}"/>
    <dgm:cxn modelId="{2C0408DE-8746-4BDF-8790-AD99AA450C1F}" srcId="{668FD8E8-F813-44B7-ADB4-AF4C5A9F35DF}" destId="{CCEB27B7-C321-4041-835D-689BBBE813E0}" srcOrd="0" destOrd="0" parTransId="{A0E2C5C2-CA84-4E08-AD8D-22A90C36ACCD}" sibTransId="{96C4A577-90ED-4ED3-A6EB-ADFF6D3628F9}"/>
    <dgm:cxn modelId="{E98C0ADE-E196-42FC-98A7-BAD3BA8AE3E6}" type="presOf" srcId="{A0A868BC-9C64-465D-9A8B-860C189FEF19}" destId="{3AF6DEF1-58B8-4093-911F-E55903418FE3}" srcOrd="0" destOrd="0" presId="urn:microsoft.com/office/officeart/2005/8/layout/orgChart1"/>
    <dgm:cxn modelId="{1F6B1DDE-31F8-45F1-B9D2-E57FBA67994F}" type="presOf" srcId="{9F2E8308-01CC-44F7-B73C-03A5166D8871}" destId="{FB193415-F47D-4AE8-A9EE-80D06D20D917}" srcOrd="0" destOrd="0" presId="urn:microsoft.com/office/officeart/2005/8/layout/orgChart1"/>
    <dgm:cxn modelId="{52C36BDE-E36A-4B49-BE8F-EDF77A4F080F}" type="presOf" srcId="{36D670E3-E08F-4258-9034-9537875A477B}" destId="{19033C3E-B9FA-4863-9180-BB9800E00DBB}" srcOrd="0" destOrd="0" presId="urn:microsoft.com/office/officeart/2005/8/layout/orgChart1"/>
    <dgm:cxn modelId="{7F2884DE-E607-49EF-9F70-E422D9E3844D}" type="presOf" srcId="{D74CEC8C-5D60-491F-98AD-522DB0543277}" destId="{07EFAF4D-C4E8-4445-861F-976AB4309935}" srcOrd="0" destOrd="0" presId="urn:microsoft.com/office/officeart/2005/8/layout/orgChart1"/>
    <dgm:cxn modelId="{5C4794DE-E21E-4EBC-8A84-C553CB53273D}" type="presOf" srcId="{BCDD699D-25B2-4814-BDDF-0F3CFE0D2496}" destId="{6CDB6BA7-8F8A-4A2A-A6E4-446940CD3B8F}" srcOrd="1" destOrd="0" presId="urn:microsoft.com/office/officeart/2005/8/layout/orgChart1"/>
    <dgm:cxn modelId="{A9E99EDE-7D84-41E9-9181-B6049007212C}" type="presOf" srcId="{2C0D0A2F-2AC1-4A5F-A81F-37875786785D}" destId="{3348A3A5-3437-4F52-A19B-25571B2433A7}" srcOrd="0" destOrd="0" presId="urn:microsoft.com/office/officeart/2005/8/layout/orgChart1"/>
    <dgm:cxn modelId="{6996E8DE-8815-4B4A-9477-F47F26E52317}" srcId="{261AC762-8441-4A03-97AC-AD71E122E56E}" destId="{9084847E-30A5-4EF1-AF92-BC6FB7F4E1C7}" srcOrd="0" destOrd="0" parTransId="{10B896D3-0393-4FDC-8D4D-D7B7F0D986E2}" sibTransId="{D5AA821C-AF99-494D-BBF2-05C5B2F5BB9B}"/>
    <dgm:cxn modelId="{C8E0F7DE-271F-4B3F-A6DD-DC6B701122AC}" type="presOf" srcId="{CB046B06-6760-455D-B5B3-0932F6F70811}" destId="{BE46C11F-9DFF-41E8-A1E9-D83259D2553D}" srcOrd="1" destOrd="0" presId="urn:microsoft.com/office/officeart/2005/8/layout/orgChart1"/>
    <dgm:cxn modelId="{60403FDF-977F-40B1-A26F-AF9839385690}" type="presOf" srcId="{9A3785AA-A16F-4604-8EFE-394E76690213}" destId="{54E4E90D-B073-4A6D-94A2-9A914CCE2280}" srcOrd="1" destOrd="0" presId="urn:microsoft.com/office/officeart/2005/8/layout/orgChart1"/>
    <dgm:cxn modelId="{858C61DF-BD66-4AE0-B082-C12592369EE0}" type="presOf" srcId="{2B0F7E03-D206-42B6-8474-2A3273D98ED3}" destId="{C63014B2-715B-4F2E-8C95-9F9E64178254}" srcOrd="0" destOrd="0" presId="urn:microsoft.com/office/officeart/2005/8/layout/orgChart1"/>
    <dgm:cxn modelId="{822499DF-1965-4348-A386-874B9522C328}" srcId="{86269F2E-6E8F-4730-8224-E18D7B039898}" destId="{5BE49A35-83BB-40E1-8540-26BCCF73D567}" srcOrd="2" destOrd="0" parTransId="{B0D37A53-C3D9-4BE1-A570-D6BF31C3EA5F}" sibTransId="{1FD55936-D3CD-49E4-ACE4-D73160D5E4DC}"/>
    <dgm:cxn modelId="{4F5F99DF-5CDE-438B-BA82-ACCB6B243FF7}" type="presOf" srcId="{20723C5C-EB4F-4AA1-88A2-E6D367D78F3E}" destId="{5A69868B-558E-474B-9AA3-F5EEE09F345E}" srcOrd="1" destOrd="0" presId="urn:microsoft.com/office/officeart/2005/8/layout/orgChart1"/>
    <dgm:cxn modelId="{FD3BE9DF-D9BC-4670-B9D1-B6F3582A820F}" srcId="{5591052D-DCF4-4653-8D30-D01F56F163F7}" destId="{9F2E8308-01CC-44F7-B73C-03A5166D8871}" srcOrd="2" destOrd="0" parTransId="{EEF4749F-DE1D-4627-88C7-9F746A6BD04B}" sibTransId="{CA418A1E-F4C7-4CE4-AF40-371FC9E66E2D}"/>
    <dgm:cxn modelId="{C3656DE0-EF64-493B-8E43-BD1470412E35}" type="presOf" srcId="{A7C45C67-718E-424C-8067-3A8203AE7A2B}" destId="{25FC1520-B4A4-4A07-8F1B-5355869B328D}" srcOrd="0" destOrd="0" presId="urn:microsoft.com/office/officeart/2005/8/layout/orgChart1"/>
    <dgm:cxn modelId="{531153E0-3C21-4D22-9B29-DABDF85F123C}" srcId="{F41F49ED-BE36-4A63-9E37-1E1EC5082A60}" destId="{A430E8EA-CBB1-49E1-A5FC-8BB12855D5A6}" srcOrd="1" destOrd="0" parTransId="{9ED5F192-F6E4-420D-A295-B5C7FEE62EFF}" sibTransId="{E9690F42-B7C9-4283-BB27-71FBE9B77BA3}"/>
    <dgm:cxn modelId="{9FAA9BE0-4FA2-4231-A315-AFD288C1A05D}" type="presOf" srcId="{86269F2E-6E8F-4730-8224-E18D7B039898}" destId="{136BC803-CD36-4181-A6C1-4402FB7CF5C3}" srcOrd="1" destOrd="0" presId="urn:microsoft.com/office/officeart/2005/8/layout/orgChart1"/>
    <dgm:cxn modelId="{4247D3E0-95A1-4A27-8FC6-0DBE447687E4}" type="presOf" srcId="{2AFBB642-F300-4348-9BA8-7043A63D420A}" destId="{0E445BF5-F65E-46AE-B651-047A9656F004}" srcOrd="0" destOrd="0" presId="urn:microsoft.com/office/officeart/2005/8/layout/orgChart1"/>
    <dgm:cxn modelId="{8AE3DDE0-1777-4A20-9E61-86187F68639C}" type="presOf" srcId="{F6166141-EBCE-4D39-B2DD-547EF703D58C}" destId="{E39AE64B-A0A0-40CF-AB09-CF2E7B999D6D}" srcOrd="0" destOrd="0" presId="urn:microsoft.com/office/officeart/2005/8/layout/orgChart1"/>
    <dgm:cxn modelId="{045F14E1-27AC-4951-9A49-9D93A875C8FA}" type="presOf" srcId="{DDF6C6EA-A17F-4E38-9FF4-72B93A4C0D55}" destId="{54FCEB1D-23E3-4D95-8A6F-292A80CE3454}" srcOrd="0" destOrd="0" presId="urn:microsoft.com/office/officeart/2005/8/layout/orgChart1"/>
    <dgm:cxn modelId="{23AD27E1-C10D-4646-8374-7615594B522B}" type="presOf" srcId="{BC1698E3-5DC0-474F-92AD-6099F395E83A}" destId="{6976E41F-C670-4A0C-B658-838435D99904}" srcOrd="0" destOrd="0" presId="urn:microsoft.com/office/officeart/2005/8/layout/orgChart1"/>
    <dgm:cxn modelId="{01FC35E1-6B1F-4FA3-A64D-DD3A4E7F235F}" type="presOf" srcId="{A24482FC-352B-4DCE-93B6-0721A84D3DAA}" destId="{EE80E488-3A29-4CAE-B3BD-7D7AAE7E6AD0}" srcOrd="1" destOrd="0" presId="urn:microsoft.com/office/officeart/2005/8/layout/orgChart1"/>
    <dgm:cxn modelId="{9E3736E1-B9FA-4D3C-887F-0C228EDF4AD2}" srcId="{A80098DA-C80A-4B77-8F44-5A6EA76A1F2D}" destId="{8F0CA22B-B976-4897-94C1-A5DBABB2DA3B}" srcOrd="0" destOrd="0" parTransId="{F13E853B-7FF9-478E-A44A-137B56EB1EF0}" sibTransId="{D935542E-3A75-489B-8934-FC42F8A13454}"/>
    <dgm:cxn modelId="{5CB142E1-B3CD-41E9-90B6-FC23AB4004F2}" type="presOf" srcId="{0D22E87B-87AD-4527-894E-7FC0C92FA266}" destId="{796820A9-3C8B-478E-BAC4-1C14F7600B14}" srcOrd="0" destOrd="0" presId="urn:microsoft.com/office/officeart/2005/8/layout/orgChart1"/>
    <dgm:cxn modelId="{A27EA4E1-3B9F-4393-9CD9-4986B8DC3993}" srcId="{4D138308-F6EC-4F1F-B24A-FF2D870FE516}" destId="{65D3F9C9-8ACE-4C36-856C-AD4ACE70282A}" srcOrd="7" destOrd="0" parTransId="{22EA02FD-51DA-4753-8A07-BC868D05D656}" sibTransId="{5B060E3C-4DA1-47DB-A278-3A8C89980842}"/>
    <dgm:cxn modelId="{B3A271E2-0C96-40CE-8662-9615313549CA}" type="presOf" srcId="{0E9BCA7E-3A0B-4BD5-B8D1-E7C586DE6325}" destId="{D88FB3BE-50B7-456F-A13A-C318A6D954F3}" srcOrd="0" destOrd="0" presId="urn:microsoft.com/office/officeart/2005/8/layout/orgChart1"/>
    <dgm:cxn modelId="{B27377E2-205B-4021-8817-FC0F63B5188A}" type="presOf" srcId="{A80098DA-C80A-4B77-8F44-5A6EA76A1F2D}" destId="{716787AA-5CB6-4C05-A687-B9340853CC52}" srcOrd="0" destOrd="0" presId="urn:microsoft.com/office/officeart/2005/8/layout/orgChart1"/>
    <dgm:cxn modelId="{A77058E2-A13B-4A2E-B2BB-514D66B1CFD2}" type="presOf" srcId="{3966608D-C2F4-4B13-95D8-3B194261431C}" destId="{CE436347-9D56-4FB8-9DC6-91019138BAD7}" srcOrd="1" destOrd="0" presId="urn:microsoft.com/office/officeart/2005/8/layout/orgChart1"/>
    <dgm:cxn modelId="{9A0A7CE2-DF7C-4BB3-BF3E-731566F4065C}" type="presOf" srcId="{8FC40973-C7B4-49AC-A525-0E4B043C5DA4}" destId="{D5FA9279-95CF-4D83-BA68-D5AE8F5A2A60}" srcOrd="0" destOrd="0" presId="urn:microsoft.com/office/officeart/2005/8/layout/orgChart1"/>
    <dgm:cxn modelId="{E18DC1E2-7116-4631-B6A5-9F1B05184320}" srcId="{F1E11E84-55E5-4A33-9124-2EED04F86C74}" destId="{3F708C78-4B6B-4D04-ABED-7FF92A664A63}" srcOrd="0" destOrd="0" parTransId="{6E8190F6-1767-4B84-B6B0-F6FE02607253}" sibTransId="{211CFFA2-FFCC-4093-896A-E7DE38123415}"/>
    <dgm:cxn modelId="{84CEDEE2-51AE-4304-86A1-C403D4C2487B}" type="presOf" srcId="{2873A3ED-D613-4A37-8EE8-00920EDE206B}" destId="{7E19969C-0FD0-466A-9CFB-A5A8144250B0}" srcOrd="0" destOrd="0" presId="urn:microsoft.com/office/officeart/2005/8/layout/orgChart1"/>
    <dgm:cxn modelId="{D84A10E3-1A76-4DB7-A78C-6699346DADAC}" srcId="{A6BC0BFA-F253-4133-BCCD-3080B1026916}" destId="{6D171802-7E8E-4762-835E-3F263473E8D8}" srcOrd="2" destOrd="0" parTransId="{D1BDD1B0-EBCA-48CE-84B2-CC857AA087E4}" sibTransId="{0C4CCD29-400B-4F09-A149-232DE587200F}"/>
    <dgm:cxn modelId="{2DE12DE3-0EFD-4A4C-841A-AB36BC9F33FF}" type="presOf" srcId="{7C1B947C-8306-49C8-AB03-714BEBC3CF09}" destId="{0706D769-16FC-4A71-8097-D939F8FC7F96}" srcOrd="1" destOrd="0" presId="urn:microsoft.com/office/officeart/2005/8/layout/orgChart1"/>
    <dgm:cxn modelId="{CCC7A3E3-CD7D-4CBE-8A70-F17770355D4C}" type="presOf" srcId="{647C2198-ACDA-4EF2-9E0A-77DA5B315C4B}" destId="{08D2F5F4-829F-4FF6-86BA-6C0091B7D631}" srcOrd="0" destOrd="0" presId="urn:microsoft.com/office/officeart/2005/8/layout/orgChart1"/>
    <dgm:cxn modelId="{FECDE2E3-3C73-4D79-AA3D-92DEABB8385E}" srcId="{F7F9F4CE-0839-430A-B431-438E607CE798}" destId="{E31F9984-EABE-42CF-A5C3-6BEE0475157C}" srcOrd="0" destOrd="0" parTransId="{C53E8780-DBB9-4B71-BED3-3D72990A1A93}" sibTransId="{76EA6F69-78C1-4A4C-93E1-DBD04102901F}"/>
    <dgm:cxn modelId="{6210FEE3-30DF-4621-89C9-13E63221A705}" type="presOf" srcId="{4A328B28-371E-47C7-A546-8ED9FA207ECB}" destId="{B6249A1C-ABC3-483B-8DE2-CAE366E10BE2}" srcOrd="0" destOrd="0" presId="urn:microsoft.com/office/officeart/2005/8/layout/orgChart1"/>
    <dgm:cxn modelId="{73F806E4-8B6E-42AC-98EC-3C0E77922FB1}" type="presOf" srcId="{1F9D464E-981B-451D-AC48-E5F984B8FAFE}" destId="{D61A406A-86EB-4D44-8B51-F7E9D4BDE603}" srcOrd="1" destOrd="0" presId="urn:microsoft.com/office/officeart/2005/8/layout/orgChart1"/>
    <dgm:cxn modelId="{F3EF3FE4-A5A3-4E61-898A-9958AA3C4C12}" type="presOf" srcId="{BB046DF1-5379-44C8-A43A-2348411C2FE1}" destId="{068EA1E2-E0A6-49BE-9F4B-6F28F451E3C2}" srcOrd="0" destOrd="0" presId="urn:microsoft.com/office/officeart/2005/8/layout/orgChart1"/>
    <dgm:cxn modelId="{B88686E4-1912-48BF-87B5-22463153574D}" type="presOf" srcId="{92CF3D58-62D0-470A-A6BA-FFB2364E1D20}" destId="{529D0FE1-C059-4ED6-95C3-AEDD2882EA6B}" srcOrd="0" destOrd="0" presId="urn:microsoft.com/office/officeart/2005/8/layout/orgChart1"/>
    <dgm:cxn modelId="{53D3E2E4-34FA-40FF-A0CB-BEF1A3CA57C0}" type="presOf" srcId="{636D016F-A4F3-4C8A-B4AB-3E183C888165}" destId="{06BE4815-1DFA-4038-9DCD-FE66D69B08A1}" srcOrd="1" destOrd="0" presId="urn:microsoft.com/office/officeart/2005/8/layout/orgChart1"/>
    <dgm:cxn modelId="{AC1F3FE5-A6A3-4722-8CAB-23A8604C56BB}" type="presOf" srcId="{5C59B6F4-2ED7-40D1-84F9-6EBEC8259C80}" destId="{62D401A5-C6C5-46F3-BD23-5EF5F023BE9E}" srcOrd="0" destOrd="0" presId="urn:microsoft.com/office/officeart/2005/8/layout/orgChart1"/>
    <dgm:cxn modelId="{E3DE53E5-FA01-48F7-AAB4-9779ED78618E}" type="presOf" srcId="{4C54498C-B717-4B98-AADD-B3C2205606CE}" destId="{244712AC-B9CE-4618-B992-E664FF53EE7F}" srcOrd="0" destOrd="0" presId="urn:microsoft.com/office/officeart/2005/8/layout/orgChart1"/>
    <dgm:cxn modelId="{7DFA77E5-4A88-4B0C-B41E-0B98B1CA907F}" srcId="{F052FEB2-876D-4DF4-AB4E-C704B0274BB4}" destId="{7C8D31CE-B5AC-4B72-ABD2-D094763D1FED}" srcOrd="0" destOrd="0" parTransId="{5FFD8D41-00CA-443E-A135-CD7A2C7FEE82}" sibTransId="{0846184F-B64D-4A44-BD2D-B28470F8C0F5}"/>
    <dgm:cxn modelId="{F7A28AE5-F0C9-4875-8A04-0D3E103BE71B}" type="presOf" srcId="{A7B47410-4336-4308-85EE-478C329B4409}" destId="{3992878E-B780-4758-A483-094774ECB49E}" srcOrd="0" destOrd="0" presId="urn:microsoft.com/office/officeart/2005/8/layout/orgChart1"/>
    <dgm:cxn modelId="{8202A5E5-3D7F-4341-8D3E-4350ACAFAB36}" srcId="{A4A29A10-673A-4945-BC28-1960217650D3}" destId="{8D83A27F-420B-4927-BF91-3096E921DE84}" srcOrd="2" destOrd="0" parTransId="{85D4254C-4CFC-443D-9D55-3E987463FB1C}" sibTransId="{930A6384-2A3B-4D78-8544-CEBB3E93E69A}"/>
    <dgm:cxn modelId="{D262C9E6-7C9A-4C05-8FAD-2B2EAC923987}" type="presOf" srcId="{BD3530F7-EA45-4827-8204-FABD43E02086}" destId="{F86F30BE-A908-4502-B7A8-F799D4E0E611}" srcOrd="0" destOrd="0" presId="urn:microsoft.com/office/officeart/2005/8/layout/orgChart1"/>
    <dgm:cxn modelId="{525A6EE7-E0C6-4765-96A6-8C55E605BB64}" srcId="{4D138308-F6EC-4F1F-B24A-FF2D870FE516}" destId="{40651F84-828E-4E5E-990F-07E1DB1D6715}" srcOrd="0" destOrd="0" parTransId="{3DB1C1A1-0CD0-458A-824D-1F445F7D7B8F}" sibTransId="{19C11AE6-DA39-425D-857F-D010F25B7E7C}"/>
    <dgm:cxn modelId="{C06C71E7-883C-417A-ABF9-BCEAD44CB594}" type="presOf" srcId="{21571612-11CD-4494-8BFD-DB28C601996C}" destId="{35AE34D6-5E0F-41CF-9B23-6682F7A272F0}" srcOrd="1" destOrd="0" presId="urn:microsoft.com/office/officeart/2005/8/layout/orgChart1"/>
    <dgm:cxn modelId="{B85554E7-86C6-474F-A1E6-8D8623D9F76F}" srcId="{4530D1F9-D79B-4F21-A3D8-9A72766751AB}" destId="{8FF3568A-CAA4-4B5F-A69D-D7BC18D34268}" srcOrd="0" destOrd="0" parTransId="{DADDBE30-8B33-4103-B337-38369D94F0CE}" sibTransId="{3827829F-C586-4481-B43A-0919AC9D8BAF}"/>
    <dgm:cxn modelId="{A75793E7-8900-43B5-A60D-D2E56493036E}" type="presOf" srcId="{6B1FF03C-004A-412B-95A2-0A74A5548711}" destId="{BA238FCB-4DC0-41A4-8170-5C605240231E}" srcOrd="1" destOrd="0" presId="urn:microsoft.com/office/officeart/2005/8/layout/orgChart1"/>
    <dgm:cxn modelId="{71F6FEE7-E839-44FE-BD02-A17AC8EE2311}" type="presOf" srcId="{F9364649-08A2-4817-82CF-86DC8666942A}" destId="{0CB2DA36-E113-4A95-940C-6ACC2289B23A}" srcOrd="0" destOrd="0" presId="urn:microsoft.com/office/officeart/2005/8/layout/orgChart1"/>
    <dgm:cxn modelId="{F7AA67E8-A13F-4B76-B080-39A4A020946F}" type="presOf" srcId="{34CC0B34-224B-4B27-8E61-32E70E74ED72}" destId="{6D3CA8F7-E042-444D-AC9A-1B20BF13316C}" srcOrd="0" destOrd="0" presId="urn:microsoft.com/office/officeart/2005/8/layout/orgChart1"/>
    <dgm:cxn modelId="{479B77E8-BADE-46F6-9BA0-42C19CA29C83}" srcId="{C8B090C1-E889-4B07-A5F7-783E8A24C7E4}" destId="{6E319C87-5DA3-42B6-8F49-67B2CC49CED9}" srcOrd="1" destOrd="0" parTransId="{30700F40-02C9-4AA1-8303-5A94A67A145B}" sibTransId="{A135A15F-6661-4F39-BB99-3B874E78D581}"/>
    <dgm:cxn modelId="{6341A5E8-56E6-4027-9E21-C9B173D6E246}" type="presOf" srcId="{8CA06B91-F6AC-4CC1-9BC5-BBC37F39EC65}" destId="{DC3D6DEB-F7D4-4878-AA15-FF5D3367712B}" srcOrd="0" destOrd="0" presId="urn:microsoft.com/office/officeart/2005/8/layout/orgChart1"/>
    <dgm:cxn modelId="{54FD4AE9-4CCC-4C7E-AD79-1A97901F8E82}" type="presOf" srcId="{527E59F1-1CBF-4CC6-997B-56BAC50F0B73}" destId="{CEF34F85-2C36-4428-A9DC-9ED7865F684B}" srcOrd="1" destOrd="0" presId="urn:microsoft.com/office/officeart/2005/8/layout/orgChart1"/>
    <dgm:cxn modelId="{E9E8A3E9-3418-4E7F-8338-1D1D6A03829E}" srcId="{F41F49ED-BE36-4A63-9E37-1E1EC5082A60}" destId="{6B1FF03C-004A-412B-95A2-0A74A5548711}" srcOrd="2" destOrd="0" parTransId="{F9364649-08A2-4817-82CF-86DC8666942A}" sibTransId="{E4A23C3C-82B2-4FAE-8235-D19FF5D6C765}"/>
    <dgm:cxn modelId="{A705A4E9-485D-48C2-8E34-E69CF8EB0B8A}" type="presOf" srcId="{1335BBCF-8E8D-42C6-B619-071D35BDD3FC}" destId="{2C1A7F41-62FD-4C3B-B8A5-AAEB4601BB61}" srcOrd="0" destOrd="0" presId="urn:microsoft.com/office/officeart/2005/8/layout/orgChart1"/>
    <dgm:cxn modelId="{C59623EA-1EBA-4876-9C1A-796BC48D073E}" type="presOf" srcId="{F35C6DA3-2482-46AA-B232-A1931123E027}" destId="{4025C9CC-6E57-439D-AD22-B4EA8D793355}" srcOrd="0" destOrd="0" presId="urn:microsoft.com/office/officeart/2005/8/layout/orgChart1"/>
    <dgm:cxn modelId="{C91047EA-D9B5-4A5A-B052-DA61F0F8B915}" type="presOf" srcId="{C8631DC2-E378-4CB2-AB88-4675D872DC2A}" destId="{0272A16F-A3F8-4418-8588-83344AE238EF}" srcOrd="1" destOrd="0" presId="urn:microsoft.com/office/officeart/2005/8/layout/orgChart1"/>
    <dgm:cxn modelId="{656E90EA-16C1-4652-BDA0-1EA33E9DA19E}" type="presOf" srcId="{C2908B37-3AA7-43C5-BD35-0AF5D7A6AFFD}" destId="{6ACA21B5-6ECB-4078-9E74-0608199CBD63}" srcOrd="1" destOrd="0" presId="urn:microsoft.com/office/officeart/2005/8/layout/orgChart1"/>
    <dgm:cxn modelId="{000721EB-E122-4F43-880F-CB5543FDA0BE}" type="presOf" srcId="{406C992B-9AFE-4D41-AAF4-4174D7922E7E}" destId="{40253DAB-B82D-43BB-9344-F1451AE4DCBD}" srcOrd="0" destOrd="0" presId="urn:microsoft.com/office/officeart/2005/8/layout/orgChart1"/>
    <dgm:cxn modelId="{0E2A5AEB-5BF8-44F2-8C04-0B04BDE73AE0}" type="presOf" srcId="{4FD2859B-28FD-4397-A41C-A0D56C25F818}" destId="{E2728EA9-BCA3-493D-845A-77E3B0CFBF6E}" srcOrd="0" destOrd="0" presId="urn:microsoft.com/office/officeart/2005/8/layout/orgChart1"/>
    <dgm:cxn modelId="{D7C4C5EB-2B0B-4103-A84F-BD2355603B8A}" type="presOf" srcId="{9490FF0A-5F37-4EE7-9989-14026F04DCE4}" destId="{A7F27185-60BD-41B3-B97A-0F1C704B871C}" srcOrd="0" destOrd="0" presId="urn:microsoft.com/office/officeart/2005/8/layout/orgChart1"/>
    <dgm:cxn modelId="{CD82F4EB-AD6B-4158-B043-B5086E306457}" type="presOf" srcId="{77B0C87F-4918-4159-A1CE-6259B31DA524}" destId="{6150C6F1-BF88-4DAC-8D08-96C2F6315D38}" srcOrd="0" destOrd="0" presId="urn:microsoft.com/office/officeart/2005/8/layout/orgChart1"/>
    <dgm:cxn modelId="{22F80EEC-8562-4C7C-848F-08C0B86F1582}" srcId="{4D138308-F6EC-4F1F-B24A-FF2D870FE516}" destId="{647C2198-ACDA-4EF2-9E0A-77DA5B315C4B}" srcOrd="3" destOrd="0" parTransId="{D7642367-3B56-4504-9BE0-3B70F11B826F}" sibTransId="{538F7E6F-9636-4295-A199-55100F7D2AF8}"/>
    <dgm:cxn modelId="{A5BE4AEC-9D7E-4EFE-8FF6-49F80E115395}" type="presOf" srcId="{0113DE95-0A0E-42C4-B8AB-7646BCA87492}" destId="{B227FAF4-0D04-4D80-8D81-44FD4A222158}" srcOrd="0" destOrd="0" presId="urn:microsoft.com/office/officeart/2005/8/layout/orgChart1"/>
    <dgm:cxn modelId="{382E4BEC-D1B8-4570-87D9-967F304F9028}" type="presOf" srcId="{487F825D-2F90-4119-9944-E4AAFDB63954}" destId="{64191A2F-034F-4A34-A777-1B76C141376F}" srcOrd="0" destOrd="0" presId="urn:microsoft.com/office/officeart/2005/8/layout/orgChart1"/>
    <dgm:cxn modelId="{24556FEC-16F6-45DA-ABFA-BBA22E0BF0D0}" srcId="{783D575E-D60D-46E5-9E00-175027F47FEC}" destId="{E195324A-4000-470B-80FB-2FFFFE8D9E6A}" srcOrd="0" destOrd="0" parTransId="{583B2D27-C9D7-4735-BF30-88E58FAE0151}" sibTransId="{9A50A5E0-9285-466B-90A0-DDD8D87D016D}"/>
    <dgm:cxn modelId="{BB0A77EC-4183-4A82-930C-A517D6BC2B3D}" type="presOf" srcId="{23E60360-6F46-4ADB-B68C-A3A2A0CADFA3}" destId="{18109367-D032-49C6-A429-10463006083B}" srcOrd="1" destOrd="0" presId="urn:microsoft.com/office/officeart/2005/8/layout/orgChart1"/>
    <dgm:cxn modelId="{5A807DEC-A2F1-4071-8FCE-9DC27CEB9CA6}" srcId="{A6232338-D847-40DB-807A-FC2CF08A22C7}" destId="{1A39669A-4A75-42F4-B0ED-F2835897083F}" srcOrd="1" destOrd="0" parTransId="{BEC1A4FF-3071-4C25-B002-30A5532A28E6}" sibTransId="{EEB5C6B2-E270-4E12-9283-1637C10F5136}"/>
    <dgm:cxn modelId="{1F0689EC-7F91-40D2-A82F-018E27FD1DE1}" type="presOf" srcId="{C70A9681-59ED-4F33-AB34-C00BF48F9C0D}" destId="{F42ECA56-4F6A-4D59-9F3F-69FD75013F5D}" srcOrd="0" destOrd="0" presId="urn:microsoft.com/office/officeart/2005/8/layout/orgChart1"/>
    <dgm:cxn modelId="{64A291EC-D924-4BD2-ACF4-03B361083D84}" type="presOf" srcId="{278EEAB8-0CD5-40A4-BC9E-C17368CB323C}" destId="{0EF69A55-D160-498D-97DB-1ACBE7FD4185}" srcOrd="1" destOrd="0" presId="urn:microsoft.com/office/officeart/2005/8/layout/orgChart1"/>
    <dgm:cxn modelId="{4DA3A3EC-0426-4FE0-9A58-6C78F1A5B5FB}" type="presOf" srcId="{78DE5C7E-1B9F-473E-8582-625C544D5C0A}" destId="{14C9350F-FCEB-41C3-A134-0A738DC1E8E2}" srcOrd="0" destOrd="0" presId="urn:microsoft.com/office/officeart/2005/8/layout/orgChart1"/>
    <dgm:cxn modelId="{34C5B4EC-4767-4F4D-92AB-73FF717E0CE1}" type="presOf" srcId="{6B75C790-037F-43B7-80EF-92C969F2F001}" destId="{FB744925-7B49-4769-B78E-7EE64CE512A4}" srcOrd="0" destOrd="0" presId="urn:microsoft.com/office/officeart/2005/8/layout/orgChart1"/>
    <dgm:cxn modelId="{1CD7C0EC-FD08-49F5-BE6D-16D61774CF68}" type="presOf" srcId="{16D22254-C9B2-4B6E-84AE-A024BE9B3D3B}" destId="{71989AB4-E40B-4F90-B853-D44E3F339174}" srcOrd="0" destOrd="0" presId="urn:microsoft.com/office/officeart/2005/8/layout/orgChart1"/>
    <dgm:cxn modelId="{71ED09ED-8A0E-4BFC-B1BA-F31C79A00FC8}" srcId="{DBFBE633-1848-4458-87F4-B5C52D4BB0FC}" destId="{2C4410AC-AC27-4BD9-B2A2-5000A73932DD}" srcOrd="3" destOrd="0" parTransId="{4AE9D112-E6F0-4A1C-9F8C-EDF4A44E1661}" sibTransId="{51CD786D-94C2-4BF1-B87B-934627719BFC}"/>
    <dgm:cxn modelId="{271915ED-D985-46E6-AA97-080124A0FF98}" srcId="{F35C6DA3-2482-46AA-B232-A1931123E027}" destId="{4BC45046-A6E0-48F7-BA5B-6545909F6576}" srcOrd="2" destOrd="0" parTransId="{C6C1691E-DC10-4048-B727-3074521B94CD}" sibTransId="{9DA0116A-12EE-4005-8E42-4E18FBD33D22}"/>
    <dgm:cxn modelId="{43B672ED-F343-403D-81C9-5946B814219C}" srcId="{5BE49A35-83BB-40E1-8540-26BCCF73D567}" destId="{F9F9650D-9E40-4A77-84BA-79F05439E5AD}" srcOrd="2" destOrd="0" parTransId="{7B4BB738-2D09-4661-B3AE-81BC8F151623}" sibTransId="{F84115D7-882E-487A-BD68-04F61C08DEE1}"/>
    <dgm:cxn modelId="{97DBD3ED-8C74-4D86-A172-994ADC8439FC}" type="presOf" srcId="{F13E853B-7FF9-478E-A44A-137B56EB1EF0}" destId="{0CCF6D34-7478-462D-A3CB-98B162ADBDF8}" srcOrd="0" destOrd="0" presId="urn:microsoft.com/office/officeart/2005/8/layout/orgChart1"/>
    <dgm:cxn modelId="{B8D316EE-4A88-472F-950A-041390E8173D}" type="presOf" srcId="{02AD0736-B907-44DA-B6A6-000A82885EE4}" destId="{2B470A79-D21B-4FCE-A2CC-8737F006BF43}" srcOrd="0" destOrd="0" presId="urn:microsoft.com/office/officeart/2005/8/layout/orgChart1"/>
    <dgm:cxn modelId="{20FD48EE-A529-4BEE-B493-503B55F51586}" type="presOf" srcId="{EC6372AC-8DF6-400C-8481-5DD1DC9538BE}" destId="{BC04FFC6-9EA5-4641-AE1D-5CFA55FE4B05}" srcOrd="0" destOrd="0" presId="urn:microsoft.com/office/officeart/2005/8/layout/orgChart1"/>
    <dgm:cxn modelId="{85CDBBEE-37E8-428F-A1DA-B7251D2D1B3B}" type="presOf" srcId="{5565E615-4FA5-4C4C-B647-CD16C4654733}" destId="{60657B33-D2D4-48BB-91CA-4F1CCF9D8BBA}" srcOrd="0" destOrd="0" presId="urn:microsoft.com/office/officeart/2005/8/layout/orgChart1"/>
    <dgm:cxn modelId="{908F35EF-4070-4666-9DE8-0995B260DFEF}" type="presOf" srcId="{48C62576-C347-45D3-A062-942FC9CB0A12}" destId="{851CBB15-86BD-4759-8FB1-6041E3ECBDC3}" srcOrd="0" destOrd="0" presId="urn:microsoft.com/office/officeart/2005/8/layout/orgChart1"/>
    <dgm:cxn modelId="{96D9AEEF-7E20-471F-AA9C-89B27CB84203}" type="presOf" srcId="{A6232338-D847-40DB-807A-FC2CF08A22C7}" destId="{F089FC72-08E5-4019-B0E5-EA9380C7D2CC}" srcOrd="1" destOrd="0" presId="urn:microsoft.com/office/officeart/2005/8/layout/orgChart1"/>
    <dgm:cxn modelId="{8CA7EEEF-4150-4837-9B37-C6D176CBD77D}" type="presOf" srcId="{8663BC97-8A3F-49E9-9CAA-C6AF11F0CFB1}" destId="{EE0C6BE3-2216-49D5-BEDE-00CA90964832}" srcOrd="0" destOrd="0" presId="urn:microsoft.com/office/officeart/2005/8/layout/orgChart1"/>
    <dgm:cxn modelId="{BEED7AF0-0366-4002-9FFC-7BF13A7FF1F1}" type="presOf" srcId="{28454BE6-A4D9-42AC-91D4-EC8376D081CF}" destId="{3C4BE630-0435-4FCE-94E6-23F02C389B9F}" srcOrd="0" destOrd="0" presId="urn:microsoft.com/office/officeart/2005/8/layout/orgChart1"/>
    <dgm:cxn modelId="{80639CF0-4F72-4A7F-9243-DFE05849557B}" srcId="{CCEB27B7-C321-4041-835D-689BBBE813E0}" destId="{4FD2859B-28FD-4397-A41C-A0D56C25F818}" srcOrd="0" destOrd="0" parTransId="{BBB283EE-D400-40C1-A13D-FE4E38ED419B}" sibTransId="{4FC4D8ED-7C02-4169-BA33-D5F4D9C5D9C9}"/>
    <dgm:cxn modelId="{BEDDA8F0-AECF-45A0-A494-57675C923944}" srcId="{4D138308-F6EC-4F1F-B24A-FF2D870FE516}" destId="{54A3E45B-197D-4803-9D53-988457AAFE7D}" srcOrd="4" destOrd="0" parTransId="{78DE5C7E-1B9F-473E-8582-625C544D5C0A}" sibTransId="{E52999DE-70C0-4E35-A53D-DD2B397A88B2}"/>
    <dgm:cxn modelId="{975504F1-194A-42E7-9AF6-5232756F7135}" type="presOf" srcId="{7C1B947C-8306-49C8-AB03-714BEBC3CF09}" destId="{902C422D-34A7-4CF2-9027-2E42354CDFBA}" srcOrd="0" destOrd="0" presId="urn:microsoft.com/office/officeart/2005/8/layout/orgChart1"/>
    <dgm:cxn modelId="{960018F1-D0E8-4E1D-A525-BD55AFB8B5CB}" type="presOf" srcId="{67D035AA-9A29-45B5-BC2E-54B9DB86CFC7}" destId="{566C257E-B478-41EB-BBA4-06241786E542}" srcOrd="1" destOrd="0" presId="urn:microsoft.com/office/officeart/2005/8/layout/orgChart1"/>
    <dgm:cxn modelId="{C6A920F1-E4C6-465E-994C-2B5C0BA14A1D}" srcId="{AEFC0FA9-2342-4015-A81F-EBCAB4D4A36F}" destId="{A1A6043F-1314-4D8F-807A-DCB8AA616AF7}" srcOrd="2" destOrd="0" parTransId="{E3E2BEE7-4F1F-4AF7-BA2F-5153D813D02F}" sibTransId="{0D0E0DB3-D08C-4827-A549-B2AC93E62F30}"/>
    <dgm:cxn modelId="{A1D35DF1-8A55-4AD0-8603-5630350F9B59}" srcId="{53A6C4B4-CF08-4693-8722-23AD0DF8467A}" destId="{527E59F1-1CBF-4CC6-997B-56BAC50F0B73}" srcOrd="0" destOrd="0" parTransId="{D92568A8-A203-41A1-8DF6-F2F45F663CD6}" sibTransId="{EE5E9F3B-9FF6-4827-8372-382D88B72E22}"/>
    <dgm:cxn modelId="{4C0B10F2-E2E4-4548-9114-78CA708582D6}" type="presOf" srcId="{E195324A-4000-470B-80FB-2FFFFE8D9E6A}" destId="{B9C954F7-49FD-4C32-A944-C8FAA1E2F518}" srcOrd="1" destOrd="0" presId="urn:microsoft.com/office/officeart/2005/8/layout/orgChart1"/>
    <dgm:cxn modelId="{D1AB24F2-E761-4BFF-91D0-8104E1A3915D}" type="presOf" srcId="{001C17F2-085A-4D2E-B5D3-E2D8533B3286}" destId="{41C85DF5-9E13-4F62-A8BB-465DFFB235FD}" srcOrd="0" destOrd="0" presId="urn:microsoft.com/office/officeart/2005/8/layout/orgChart1"/>
    <dgm:cxn modelId="{C41B66F2-4F85-42F3-9BE2-82740657F1D2}" type="presOf" srcId="{AA3CFB6D-FF58-47FB-86D1-C68A63CCCCC6}" destId="{92E47A50-2E59-4BC5-9488-CF4B439C9F36}" srcOrd="1" destOrd="0" presId="urn:microsoft.com/office/officeart/2005/8/layout/orgChart1"/>
    <dgm:cxn modelId="{099571F2-0F8F-4EEA-B21E-652FB5DA2114}" type="presOf" srcId="{387B037D-10B1-4922-8590-8D4303DE7323}" destId="{7BA87D69-0C68-4EAF-BFBA-5B0F0922A1EC}" srcOrd="0" destOrd="0" presId="urn:microsoft.com/office/officeart/2005/8/layout/orgChart1"/>
    <dgm:cxn modelId="{87069EF2-5D64-420C-B67B-D8DAC746B302}" type="presOf" srcId="{527E59F1-1CBF-4CC6-997B-56BAC50F0B73}" destId="{98EA16AC-1971-40B1-BFB8-7AEA53569DD7}" srcOrd="0" destOrd="0" presId="urn:microsoft.com/office/officeart/2005/8/layout/orgChart1"/>
    <dgm:cxn modelId="{B1F2DBF2-431A-4C45-BA95-BAAD59C3BFA7}" type="presOf" srcId="{D3BB6DD2-32D4-4C61-9F1E-95198B66568D}" destId="{150BCB8C-D4BB-4939-9846-51267CF004C5}" srcOrd="0" destOrd="0" presId="urn:microsoft.com/office/officeart/2005/8/layout/orgChart1"/>
    <dgm:cxn modelId="{33845BF3-F928-42EF-A160-E09A6553E34E}" type="presOf" srcId="{C291B836-B40E-4080-B454-37647321FD66}" destId="{8B2B3686-B885-49FE-8539-514E4BF890F9}" srcOrd="0" destOrd="0" presId="urn:microsoft.com/office/officeart/2005/8/layout/orgChart1"/>
    <dgm:cxn modelId="{426A69F3-41F1-4C65-B49F-52272D80043F}" type="presOf" srcId="{A24DC521-3C04-4016-974D-78BECC2CB266}" destId="{075A7CD2-64C1-4C17-AC31-5E7A4264AAD7}" srcOrd="0" destOrd="0" presId="urn:microsoft.com/office/officeart/2005/8/layout/orgChart1"/>
    <dgm:cxn modelId="{D068BDF3-7852-4D74-82CD-F03B862C6D88}" srcId="{E8A2E369-A01E-47FF-87B0-76ED80F67B60}" destId="{C2B82F46-1FD0-4897-8F95-9366B049019F}" srcOrd="2" destOrd="0" parTransId="{ACAA7FF2-7C37-4371-A863-825F5BE56C60}" sibTransId="{52C0366D-76EF-4007-9EB1-87F92E159F56}"/>
    <dgm:cxn modelId="{AD2F24F4-F50B-44AD-A429-21F30BC08F46}" type="presOf" srcId="{BAA0A6F4-6832-4850-8E6B-C61E7C3A8F3A}" destId="{104DA63A-501C-4707-B15F-8F4CAA415353}" srcOrd="0" destOrd="0" presId="urn:microsoft.com/office/officeart/2005/8/layout/orgChart1"/>
    <dgm:cxn modelId="{3B202EF4-B8B7-455A-84F3-372C87A1E34E}" type="presOf" srcId="{F7F9F4CE-0839-430A-B431-438E607CE798}" destId="{5DFBE74E-C545-4107-8E0D-116926D2E711}" srcOrd="1" destOrd="0" presId="urn:microsoft.com/office/officeart/2005/8/layout/orgChart1"/>
    <dgm:cxn modelId="{46BC55F4-649D-4C5D-A5D6-73D9D2BAA986}" type="presOf" srcId="{93EBC4F5-D73D-4D57-995D-28EDD796952E}" destId="{41F99E82-E021-4737-AB63-D092CAF7495E}" srcOrd="0" destOrd="0" presId="urn:microsoft.com/office/officeart/2005/8/layout/orgChart1"/>
    <dgm:cxn modelId="{48E0B5F4-6377-4295-B610-A0EDE97FDE01}" srcId="{5591052D-DCF4-4653-8D30-D01F56F163F7}" destId="{65BE6814-3F0C-4148-8403-2B704DD5B257}" srcOrd="0" destOrd="0" parTransId="{58959EFA-3782-435F-ACEE-9CADCD54E707}" sibTransId="{FB52AC5C-3D00-49D2-BE47-8C2FC9F761D8}"/>
    <dgm:cxn modelId="{7D2654F5-B4AA-42FF-A11C-F85C30A9BE5B}" type="presOf" srcId="{668FD8E8-F813-44B7-ADB4-AF4C5A9F35DF}" destId="{FD281182-B3BB-48D1-9281-A2F9DAB078B5}" srcOrd="0" destOrd="0" presId="urn:microsoft.com/office/officeart/2005/8/layout/orgChart1"/>
    <dgm:cxn modelId="{0D668DF5-E4F2-4E88-B53B-B20A39475175}" srcId="{B2F55F9F-403F-4EC6-A36F-D5F8ABEB3D8E}" destId="{60C71A3B-0C4E-4CE6-B808-21A1DEACDEC5}" srcOrd="2" destOrd="0" parTransId="{48AD2F60-989F-4833-8C6B-22449A9EFE4B}" sibTransId="{6EAC4A03-4C90-4687-883E-662EF7443E3D}"/>
    <dgm:cxn modelId="{4E02A6F5-7F86-4108-9330-70BB45769483}" type="presOf" srcId="{1335BBCF-8E8D-42C6-B619-071D35BDD3FC}" destId="{24DB60C8-6439-40D5-9713-A6319E937FC5}" srcOrd="1" destOrd="0" presId="urn:microsoft.com/office/officeart/2005/8/layout/orgChart1"/>
    <dgm:cxn modelId="{F9B2EFF5-BC2C-468D-B385-E66C817B6045}" type="presOf" srcId="{AB81F61A-F07E-4A65-98C5-2C73B2ACB0E5}" destId="{348787BA-880D-446E-98E3-CA2C21D7BB36}" srcOrd="1" destOrd="0" presId="urn:microsoft.com/office/officeart/2005/8/layout/orgChart1"/>
    <dgm:cxn modelId="{3E8564F6-5A60-4703-924B-E7A58CABC091}" type="presOf" srcId="{F82ADA2B-DC41-4CAD-8A99-41DD37F82055}" destId="{84A911D5-F31A-488B-99A2-7446882E9596}" srcOrd="0" destOrd="0" presId="urn:microsoft.com/office/officeart/2005/8/layout/orgChart1"/>
    <dgm:cxn modelId="{2CD390F6-130E-4A4E-8D16-96846531AF31}" type="presOf" srcId="{A3AA0C47-E6D0-47AD-9A3E-9F1E5F4F7559}" destId="{335CFEA8-5B08-4C90-B4B3-34E79C35E25E}" srcOrd="0" destOrd="0" presId="urn:microsoft.com/office/officeart/2005/8/layout/orgChart1"/>
    <dgm:cxn modelId="{0F0BA1F6-C02C-49AC-8B35-6095A1F1BE2B}" type="presOf" srcId="{821FDB64-7DAF-42E3-A83D-5C29EA5F02AC}" destId="{52D99EDA-3B01-4889-B12D-5996B4A1F372}" srcOrd="0" destOrd="0" presId="urn:microsoft.com/office/officeart/2005/8/layout/orgChart1"/>
    <dgm:cxn modelId="{89DFA8F6-94E3-4DF2-96F7-C32DFF3725CA}" type="presOf" srcId="{40651F84-828E-4E5E-990F-07E1DB1D6715}" destId="{ECE757BE-C1A6-4231-83DE-98403EA80E69}" srcOrd="1" destOrd="0" presId="urn:microsoft.com/office/officeart/2005/8/layout/orgChart1"/>
    <dgm:cxn modelId="{EE64E4F6-8EA0-4982-9172-CF000B2424C6}" type="presOf" srcId="{7B4BB738-2D09-4661-B3AE-81BC8F151623}" destId="{9EDC0B39-3792-4A4B-9EF0-87136FA58764}" srcOrd="0" destOrd="0" presId="urn:microsoft.com/office/officeart/2005/8/layout/orgChart1"/>
    <dgm:cxn modelId="{B93B0AF7-6505-408C-926F-FFEBEE79064A}" type="presOf" srcId="{4C2606F4-851D-4AC6-8912-08CBFFB97BB2}" destId="{6C533372-C1F0-4A96-8874-95D7C3006644}" srcOrd="1" destOrd="0" presId="urn:microsoft.com/office/officeart/2005/8/layout/orgChart1"/>
    <dgm:cxn modelId="{182948F7-BE34-4D82-8F32-00356FF23493}" type="presOf" srcId="{B5E062C0-51FF-475B-AB77-41B3C120B87C}" destId="{A06CA3C7-D894-49A3-BB90-C930C8BEC25C}" srcOrd="1" destOrd="0" presId="urn:microsoft.com/office/officeart/2005/8/layout/orgChart1"/>
    <dgm:cxn modelId="{EF23D5F7-69BE-4CA8-945B-34FC1E9C0B25}" srcId="{A6232338-D847-40DB-807A-FC2CF08A22C7}" destId="{2AD98657-974F-47A9-AC62-73BF0131A9C9}" srcOrd="4" destOrd="0" parTransId="{387B037D-10B1-4922-8590-8D4303DE7323}" sibTransId="{BA07E5BA-92C1-49EB-84D3-29EB0DCEDAE6}"/>
    <dgm:cxn modelId="{D9D753F8-09D2-4431-8744-A089F39FE422}" srcId="{1F8FFF8F-321C-46C2-A470-ED77C27BF283}" destId="{F35C6DA3-2482-46AA-B232-A1931123E027}" srcOrd="1" destOrd="0" parTransId="{F5B9F326-C225-40EA-8364-6F96CA08C903}" sibTransId="{41D3F6B9-E4EE-45D3-AE58-E5A59465DB0A}"/>
    <dgm:cxn modelId="{CAF178F8-0BAA-4639-B306-4CA234FAB8E6}" type="presOf" srcId="{E98D30B1-E59C-4A00-BACA-478E5A6AB413}" destId="{652F0D87-A1A8-4551-AA40-81F4E6D58E81}" srcOrd="0" destOrd="0" presId="urn:microsoft.com/office/officeart/2005/8/layout/orgChart1"/>
    <dgm:cxn modelId="{0F0D8DF8-E7B5-4090-A137-0467174D2ADC}" type="presOf" srcId="{CF06B935-4100-4BE2-A656-9B7695371F75}" destId="{6C7531BB-14B7-4720-8827-772B6BF4762C}" srcOrd="0" destOrd="0" presId="urn:microsoft.com/office/officeart/2005/8/layout/orgChart1"/>
    <dgm:cxn modelId="{7975AEF8-8804-4C64-B7F0-27869959CBB2}" type="presOf" srcId="{65BE6814-3F0C-4148-8403-2B704DD5B257}" destId="{37BCCB50-F85C-4358-BF47-1EFAD47ECC35}" srcOrd="1" destOrd="0" presId="urn:microsoft.com/office/officeart/2005/8/layout/orgChart1"/>
    <dgm:cxn modelId="{82F8BAF8-07B0-4E1B-8029-27AC3FC07FAF}" srcId="{C8B090C1-E889-4B07-A5F7-783E8A24C7E4}" destId="{636D016F-A4F3-4C8A-B4AB-3E183C888165}" srcOrd="0" destOrd="0" parTransId="{15944826-1840-444B-931C-6EACD2B83551}" sibTransId="{5CB5EB3D-55C4-4061-9465-E734474A3EB2}"/>
    <dgm:cxn modelId="{6884D2F8-E867-4CD2-B459-B625ABF58220}" type="presOf" srcId="{97EB310D-25B9-4879-AB93-C462D26CD9B4}" destId="{C2D54325-2494-4482-BD61-36C75228C61C}" srcOrd="0" destOrd="0" presId="urn:microsoft.com/office/officeart/2005/8/layout/orgChart1"/>
    <dgm:cxn modelId="{7B31DCF8-1245-4633-85B9-2B7A1360C360}" type="presOf" srcId="{B0F35BDD-1A2D-4B0E-8B7B-7060D56B4FFD}" destId="{02CE6448-8ECB-49F2-87DF-A4B88DC56735}" srcOrd="0" destOrd="0" presId="urn:microsoft.com/office/officeart/2005/8/layout/orgChart1"/>
    <dgm:cxn modelId="{CC252AF9-C98D-40F8-ABE5-536134B4F361}" type="presOf" srcId="{EA48A9D0-AF8A-4A23-B9F4-E6E200AFE35B}" destId="{839CEBC8-927A-48FF-BDA4-5DAD7898844C}" srcOrd="0" destOrd="0" presId="urn:microsoft.com/office/officeart/2005/8/layout/orgChart1"/>
    <dgm:cxn modelId="{42102EF9-4C4B-4E73-8BF0-FC344602BFF6}" type="presOf" srcId="{46ABA199-A95B-4512-9F2C-1BED99117E6E}" destId="{EB58EB4C-843D-425F-B515-93F2E10A1D04}" srcOrd="0" destOrd="0" presId="urn:microsoft.com/office/officeart/2005/8/layout/orgChart1"/>
    <dgm:cxn modelId="{6EEC75F9-F7E1-4AD8-8400-5D2FB50229E9}" srcId="{A6BC0BFA-F253-4133-BCCD-3080B1026916}" destId="{981E1AF4-DA2D-4B6D-9C64-83259D75895C}" srcOrd="1" destOrd="0" parTransId="{B0961003-2EEB-4C55-B8F4-8E72564C7F0C}" sibTransId="{A715ADF6-2BC9-4DD3-AD21-E1D28ED3C0D0}"/>
    <dgm:cxn modelId="{DA9BB9F9-C4E6-48C3-AD5D-25EAA068F20C}" type="presOf" srcId="{EBA15179-5EBF-4CDB-A793-B8E55FEB3F1C}" destId="{E6B19E2C-CCEC-47AC-ACB1-CEF07DA4EEAA}" srcOrd="0" destOrd="0" presId="urn:microsoft.com/office/officeart/2005/8/layout/orgChart1"/>
    <dgm:cxn modelId="{4CBCC0F9-BBEA-4004-B1DE-8360B8A8CB46}" type="presOf" srcId="{C80E27A9-3396-48B6-B8C6-FA85991AB4F8}" destId="{24B61380-D945-4C4F-B694-2730079C8AEE}" srcOrd="0" destOrd="0" presId="urn:microsoft.com/office/officeart/2005/8/layout/orgChart1"/>
    <dgm:cxn modelId="{5A1DC9F9-6287-4B75-9FAF-0D1A1321E278}" type="presOf" srcId="{C2B82F46-1FD0-4897-8F95-9366B049019F}" destId="{D9D539C2-11F3-4715-A2AF-8B810BA17F64}" srcOrd="0" destOrd="0" presId="urn:microsoft.com/office/officeart/2005/8/layout/orgChart1"/>
    <dgm:cxn modelId="{62C523FA-C093-45E9-B5CC-8E17BF724C08}" type="presOf" srcId="{F9F9650D-9E40-4A77-84BA-79F05439E5AD}" destId="{BF4FDDE6-6C81-4C1D-B009-A98C55D59C4B}" srcOrd="0" destOrd="0" presId="urn:microsoft.com/office/officeart/2005/8/layout/orgChart1"/>
    <dgm:cxn modelId="{CB7F38FA-A5D8-46D2-B61C-04575B8F0D31}" srcId="{734C8B5F-9381-487F-9E6B-C9F554DA0E0F}" destId="{4173C88A-ECDC-4040-B53F-BD5D7AAFFF62}" srcOrd="2" destOrd="0" parTransId="{3D003A27-E7ED-4268-9B7F-3C0C5998E185}" sibTransId="{BAB60555-909B-4A00-803E-0FE3AE7742AF}"/>
    <dgm:cxn modelId="{5EDC6AFA-5953-4FA0-98B4-0E1914E97784}" type="presOf" srcId="{DB5D59AE-306A-4C0E-AC81-2C84A144769B}" destId="{5EE0E15C-2DFC-4C62-92B8-85DA37B70587}" srcOrd="0" destOrd="0" presId="urn:microsoft.com/office/officeart/2005/8/layout/orgChart1"/>
    <dgm:cxn modelId="{0F1819FB-24EF-47E9-80DD-6A509EDB7564}" type="presOf" srcId="{25F99B51-CB6C-4FB9-B111-3930904D8521}" destId="{8E46E72E-681A-4DDE-8110-7E1D0EE824A2}" srcOrd="1" destOrd="0" presId="urn:microsoft.com/office/officeart/2005/8/layout/orgChart1"/>
    <dgm:cxn modelId="{B41A42FB-DA9D-4CA1-B25B-64B4C9321871}" srcId="{72F3D303-0065-410A-A999-86607290AFCA}" destId="{734C8B5F-9381-487F-9E6B-C9F554DA0E0F}" srcOrd="2" destOrd="0" parTransId="{7F6B50DA-6284-485F-85DE-99ABCE6CFEC4}" sibTransId="{21F6C1EF-03D4-434C-B7A5-E025AC472045}"/>
    <dgm:cxn modelId="{22E494FB-B9D0-428B-8BAB-3F56B8142FC4}" srcId="{E52CA914-0613-42E6-9893-DC261B296E9A}" destId="{667EE722-C090-4FBC-BF0D-C9B0688E0DE9}" srcOrd="0" destOrd="0" parTransId="{8663BC97-8A3F-49E9-9CAA-C6AF11F0CFB1}" sibTransId="{647DA5A7-7AD9-4471-9E61-CDAC3B6E66C5}"/>
    <dgm:cxn modelId="{9B4961FC-2556-4519-AF59-BABB7A5BD6AF}" type="presOf" srcId="{C8B090C1-E889-4B07-A5F7-783E8A24C7E4}" destId="{2F731B9B-DB74-4B61-AA66-F931A3A3850E}" srcOrd="0" destOrd="0" presId="urn:microsoft.com/office/officeart/2005/8/layout/orgChart1"/>
    <dgm:cxn modelId="{AF8247FC-957D-4281-9F7E-67440E97C4A4}" type="presOf" srcId="{1F8FFF8F-321C-46C2-A470-ED77C27BF283}" destId="{0047251F-1735-463D-A2D6-317777470FA8}" srcOrd="0" destOrd="0" presId="urn:microsoft.com/office/officeart/2005/8/layout/orgChart1"/>
    <dgm:cxn modelId="{73CDAEFC-0613-4E91-B947-83C841BBDCFC}" type="presOf" srcId="{9E60DC48-126F-4245-8806-7202F6C0228B}" destId="{92F0175B-B40F-4850-9105-0DADA18E1CA9}" srcOrd="0" destOrd="0" presId="urn:microsoft.com/office/officeart/2005/8/layout/orgChart1"/>
    <dgm:cxn modelId="{1C95FBFC-184E-43EB-B1D0-01BD9EDF898F}" srcId="{AEFC0FA9-2342-4015-A81F-EBCAB4D4A36F}" destId="{92CF3D58-62D0-470A-A6BA-FFB2364E1D20}" srcOrd="3" destOrd="0" parTransId="{DCCEB2FB-4284-4377-9A06-66364A250946}" sibTransId="{CAFA4152-9FB9-4229-B411-DC01EDAB072D}"/>
    <dgm:cxn modelId="{36663EFD-0CE2-43C3-A97A-AE68A0F32B02}" type="presOf" srcId="{31DC45D9-D8ED-4679-B491-7ED9DF4D548E}" destId="{6E12A845-F93A-4F18-8787-0C788456A0E0}" srcOrd="0" destOrd="0" presId="urn:microsoft.com/office/officeart/2005/8/layout/orgChart1"/>
    <dgm:cxn modelId="{F60B5AFD-67C4-4171-A414-93BC12C1A9C3}" srcId="{C96A7505-6770-4770-A152-D1D662290F25}" destId="{1F9D464E-981B-451D-AC48-E5F984B8FAFE}" srcOrd="1" destOrd="0" parTransId="{3F3C32BD-6635-4CD9-B1F8-B8FB123B8054}" sibTransId="{88FADF74-8284-4947-B993-39E24C63FE3A}"/>
    <dgm:cxn modelId="{978B7CFD-120B-4309-BAAA-D3C4AF659FAE}" srcId="{4FD2859B-28FD-4397-A41C-A0D56C25F818}" destId="{BB046DF1-5379-44C8-A43A-2348411C2FE1}" srcOrd="1" destOrd="0" parTransId="{DE9883FB-F4D5-4518-8204-ABE11F12E75D}" sibTransId="{08F84EE8-6F58-450D-8AD4-9CDD6D153019}"/>
    <dgm:cxn modelId="{6B3A8FFD-20B1-48B7-ADE4-7F1A20E6ECD4}" type="presOf" srcId="{A9C6CD5C-3BFE-4F40-A0A2-6440C65A6574}" destId="{C5D68DC9-A73A-4551-8E9C-396B7114F6D7}" srcOrd="1" destOrd="0" presId="urn:microsoft.com/office/officeart/2005/8/layout/orgChart1"/>
    <dgm:cxn modelId="{B41DB2FD-C9F8-4EAE-A27C-CC1075A32030}" srcId="{2130FFB1-0433-4133-A8C3-71D4D7BC6E6F}" destId="{B2F55F9F-403F-4EC6-A36F-D5F8ABEB3D8E}" srcOrd="2" destOrd="0" parTransId="{B28D2935-1624-45D5-86BD-D4EBFFBC4325}" sibTransId="{1F8BDAA0-74E9-4BC3-8FDE-9E8731082F2B}"/>
    <dgm:cxn modelId="{8B02E7FD-67A2-4598-994B-16A8504C6024}" type="presOf" srcId="{8FF3568A-CAA4-4B5F-A69D-D7BC18D34268}" destId="{6EC7C5DA-90D3-4977-A1FE-67D3C3099769}" srcOrd="0" destOrd="0" presId="urn:microsoft.com/office/officeart/2005/8/layout/orgChart1"/>
    <dgm:cxn modelId="{EE2CF6FD-C745-425F-BFA3-0FFF9E025373}" type="presOf" srcId="{B3F50DDB-EF97-495B-B854-7D6C784A55DE}" destId="{B4875046-AB3D-4C20-BBA5-9B63857EBE27}" srcOrd="1" destOrd="0" presId="urn:microsoft.com/office/officeart/2005/8/layout/orgChart1"/>
    <dgm:cxn modelId="{642631FE-0A10-434C-BE51-4D7B80FB47FC}" type="presOf" srcId="{7F6B50DA-6284-485F-85DE-99ABCE6CFEC4}" destId="{82614CBE-DD86-4E59-9682-DA91C48018A5}" srcOrd="0" destOrd="0" presId="urn:microsoft.com/office/officeart/2005/8/layout/orgChart1"/>
    <dgm:cxn modelId="{F5F26AFE-F2D1-4EA2-8931-E940547E0113}" srcId="{F91D3B42-1C1E-4A47-91FE-5E139228559A}" destId="{A6EECEBB-98BA-4666-92A6-E5E6373C2CDD}" srcOrd="2" destOrd="0" parTransId="{3FA1B321-DF3E-41FF-A634-1DFEF037B309}" sibTransId="{3ED58E76-16CB-46F5-82C7-787BD7B8FBBB}"/>
    <dgm:cxn modelId="{F5BF50FE-18EE-405C-A797-9BA1360D0DA2}" type="presOf" srcId="{AA13D9C3-DE12-4386-9218-55336D97163C}" destId="{08FA71D0-57A8-476C-A61D-37D49F3C7D01}" srcOrd="1" destOrd="0" presId="urn:microsoft.com/office/officeart/2005/8/layout/orgChart1"/>
    <dgm:cxn modelId="{C1410CFF-7CCB-4777-96C5-AF21959456D1}" type="presOf" srcId="{A1A4E016-7379-46FC-A054-3AA8C4226052}" destId="{94328263-E476-4069-99E9-5A6488996F2F}" srcOrd="1" destOrd="0" presId="urn:microsoft.com/office/officeart/2005/8/layout/orgChart1"/>
    <dgm:cxn modelId="{4CD26FFF-D21A-4AB8-B569-F1D8338331CE}" type="presOf" srcId="{382AC0B9-A995-4FF6-9F60-D5640F442699}" destId="{0F7F7C04-F76A-4D92-AB41-A7D907647967}" srcOrd="0" destOrd="0" presId="urn:microsoft.com/office/officeart/2005/8/layout/orgChart1"/>
    <dgm:cxn modelId="{CB2977FF-0755-4F33-A647-3107EB2E9C84}" type="presOf" srcId="{30700F40-02C9-4AA1-8303-5A94A67A145B}" destId="{998777F2-52FB-464C-A2A9-0F27AF93ED99}" srcOrd="0" destOrd="0" presId="urn:microsoft.com/office/officeart/2005/8/layout/orgChart1"/>
    <dgm:cxn modelId="{F77B98FF-D54D-4D2C-9088-3D97F8322D17}" type="presOf" srcId="{BF5CB15B-20CE-4AB7-A918-CA6CEA343B3D}" destId="{27D88163-592D-4467-AD0C-295C15CF041D}" srcOrd="0" destOrd="0" presId="urn:microsoft.com/office/officeart/2005/8/layout/orgChart1"/>
    <dgm:cxn modelId="{5D36D4FF-F99D-4F9A-8D88-F87BE3A5D9E7}" type="presOf" srcId="{1D330067-FD54-46D7-8C61-B96EA574B2A1}" destId="{280ECB2F-ACF0-41F1-9CCE-C485DF50640B}" srcOrd="0" destOrd="0" presId="urn:microsoft.com/office/officeart/2005/8/layout/orgChart1"/>
    <dgm:cxn modelId="{C1CFDCFF-A5A7-45E0-ACD1-52699C558374}" type="presOf" srcId="{BA336FCC-ADB8-4A51-8423-33B47C94A9E4}" destId="{74A363D6-A67B-4462-AC44-C42ACE234954}" srcOrd="0" destOrd="0" presId="urn:microsoft.com/office/officeart/2005/8/layout/orgChart1"/>
    <dgm:cxn modelId="{71BBECFF-CB19-434D-BC94-427C3416CB73}" type="presOf" srcId="{272C46AF-08D6-43F9-BB5B-B14F851E60AF}" destId="{EEDBDFD6-9161-43F7-8FBD-51E3ECFE3BC1}" srcOrd="0" destOrd="0" presId="urn:microsoft.com/office/officeart/2005/8/layout/orgChart1"/>
    <dgm:cxn modelId="{B8D38D69-C30D-4C1A-97AB-3587481F400D}" type="presParOf" srcId="{0BBC6875-58A3-4042-9EC6-78847F6D95E8}" destId="{89B07E36-9DD1-4BA0-A780-2FFA68390BDE}" srcOrd="0" destOrd="0" presId="urn:microsoft.com/office/officeart/2005/8/layout/orgChart1"/>
    <dgm:cxn modelId="{EA308C98-E187-4427-AE3F-ABBF43FCDBE4}" type="presParOf" srcId="{89B07E36-9DD1-4BA0-A780-2FFA68390BDE}" destId="{ABDDBC06-E9C7-4796-82D8-BDE05EF41B66}" srcOrd="0" destOrd="0" presId="urn:microsoft.com/office/officeart/2005/8/layout/orgChart1"/>
    <dgm:cxn modelId="{24634E22-9F46-4FAF-95EC-7015AACFEB77}" type="presParOf" srcId="{ABDDBC06-E9C7-4796-82D8-BDE05EF41B66}" destId="{3D6751DD-A043-4022-ACF2-1C96AF6C95F9}" srcOrd="0" destOrd="0" presId="urn:microsoft.com/office/officeart/2005/8/layout/orgChart1"/>
    <dgm:cxn modelId="{9CC285A1-3355-4104-858C-72F3B612B047}" type="presParOf" srcId="{ABDDBC06-E9C7-4796-82D8-BDE05EF41B66}" destId="{3CB802A4-490B-4366-A05B-49ECFBC378F7}" srcOrd="1" destOrd="0" presId="urn:microsoft.com/office/officeart/2005/8/layout/orgChart1"/>
    <dgm:cxn modelId="{057025D0-1B13-4DD8-AA70-BB5DB189514F}" type="presParOf" srcId="{89B07E36-9DD1-4BA0-A780-2FFA68390BDE}" destId="{793A510E-DDFF-4AFA-82F4-1AFFAF88EE29}" srcOrd="1" destOrd="0" presId="urn:microsoft.com/office/officeart/2005/8/layout/orgChart1"/>
    <dgm:cxn modelId="{27B3B4E0-3E24-4ECB-9D48-CD82378C9C07}" type="presParOf" srcId="{793A510E-DDFF-4AFA-82F4-1AFFAF88EE29}" destId="{BC04FFC6-9EA5-4641-AE1D-5CFA55FE4B05}" srcOrd="0" destOrd="0" presId="urn:microsoft.com/office/officeart/2005/8/layout/orgChart1"/>
    <dgm:cxn modelId="{EDC4D7D5-C49B-4B4D-8FDF-F7DAF129F40B}" type="presParOf" srcId="{793A510E-DDFF-4AFA-82F4-1AFFAF88EE29}" destId="{D9BB04F3-26CB-46EC-A3DE-E15F32607913}" srcOrd="1" destOrd="0" presId="urn:microsoft.com/office/officeart/2005/8/layout/orgChart1"/>
    <dgm:cxn modelId="{74D7327A-2250-4C48-BCB8-B048CFF9CCEC}" type="presParOf" srcId="{D9BB04F3-26CB-46EC-A3DE-E15F32607913}" destId="{64EF3C95-B425-4CC7-9B9B-139EEC4F2A0E}" srcOrd="0" destOrd="0" presId="urn:microsoft.com/office/officeart/2005/8/layout/orgChart1"/>
    <dgm:cxn modelId="{DB9CDE2B-5549-4EA0-941C-764BDEB73BA1}" type="presParOf" srcId="{64EF3C95-B425-4CC7-9B9B-139EEC4F2A0E}" destId="{E54A3918-1E03-4C4D-B367-E1EDCFDCB376}" srcOrd="0" destOrd="0" presId="urn:microsoft.com/office/officeart/2005/8/layout/orgChart1"/>
    <dgm:cxn modelId="{1AB5D8E0-3867-4DE8-9F86-D943FD1D9445}" type="presParOf" srcId="{64EF3C95-B425-4CC7-9B9B-139EEC4F2A0E}" destId="{D402473B-E8FC-4932-B2A9-C769417B7AC1}" srcOrd="1" destOrd="0" presId="urn:microsoft.com/office/officeart/2005/8/layout/orgChart1"/>
    <dgm:cxn modelId="{495AC820-5B6B-48C0-8E85-5EF03C8D4572}" type="presParOf" srcId="{D9BB04F3-26CB-46EC-A3DE-E15F32607913}" destId="{14BC3F44-1727-43C4-A577-3D78B09BF10D}" srcOrd="1" destOrd="0" presId="urn:microsoft.com/office/officeart/2005/8/layout/orgChart1"/>
    <dgm:cxn modelId="{EC25028A-A68D-4EC8-9B38-260B62311A02}" type="presParOf" srcId="{14BC3F44-1727-43C4-A577-3D78B09BF10D}" destId="{5CC4BB92-6ADF-4F0A-9BBA-0F7A5DC71FEC}" srcOrd="0" destOrd="0" presId="urn:microsoft.com/office/officeart/2005/8/layout/orgChart1"/>
    <dgm:cxn modelId="{F4B26DE4-ED2D-416A-AD37-0B79BC9FBAFA}" type="presParOf" srcId="{14BC3F44-1727-43C4-A577-3D78B09BF10D}" destId="{2839CCF3-0638-4FC5-BB45-C7091A41E23E}" srcOrd="1" destOrd="0" presId="urn:microsoft.com/office/officeart/2005/8/layout/orgChart1"/>
    <dgm:cxn modelId="{C1A85A49-33C1-438B-9177-691C743609B5}" type="presParOf" srcId="{2839CCF3-0638-4FC5-BB45-C7091A41E23E}" destId="{47F893B2-6798-4210-AF4D-54E2AF892BC2}" srcOrd="0" destOrd="0" presId="urn:microsoft.com/office/officeart/2005/8/layout/orgChart1"/>
    <dgm:cxn modelId="{D60D052B-0207-4CD9-BB1C-2CFF97157D0D}" type="presParOf" srcId="{47F893B2-6798-4210-AF4D-54E2AF892BC2}" destId="{992E0C3F-42F3-4CC1-A288-5064FE474712}" srcOrd="0" destOrd="0" presId="urn:microsoft.com/office/officeart/2005/8/layout/orgChart1"/>
    <dgm:cxn modelId="{18ED8D61-ED0B-4872-80E7-D380C48BA019}" type="presParOf" srcId="{47F893B2-6798-4210-AF4D-54E2AF892BC2}" destId="{3E3AE83F-90C3-4B0C-85E7-0840EC4BEF4C}" srcOrd="1" destOrd="0" presId="urn:microsoft.com/office/officeart/2005/8/layout/orgChart1"/>
    <dgm:cxn modelId="{9B28EE6D-5F0B-4611-AC60-9EC783830D23}" type="presParOf" srcId="{2839CCF3-0638-4FC5-BB45-C7091A41E23E}" destId="{0967584A-6C48-40B2-8023-1DC86A6FA07E}" srcOrd="1" destOrd="0" presId="urn:microsoft.com/office/officeart/2005/8/layout/orgChart1"/>
    <dgm:cxn modelId="{05894FC6-081A-44C0-A58D-164920842040}" type="presParOf" srcId="{0967584A-6C48-40B2-8023-1DC86A6FA07E}" destId="{3348A3A5-3437-4F52-A19B-25571B2433A7}" srcOrd="0" destOrd="0" presId="urn:microsoft.com/office/officeart/2005/8/layout/orgChart1"/>
    <dgm:cxn modelId="{AE7DA86A-F246-4E7A-9A6B-F8170E316924}" type="presParOf" srcId="{0967584A-6C48-40B2-8023-1DC86A6FA07E}" destId="{A9290984-C8CC-498B-B232-BBE4AE95E07C}" srcOrd="1" destOrd="0" presId="urn:microsoft.com/office/officeart/2005/8/layout/orgChart1"/>
    <dgm:cxn modelId="{29DD8413-C28B-42FB-8425-BF1023F2BA56}" type="presParOf" srcId="{A9290984-C8CC-498B-B232-BBE4AE95E07C}" destId="{F43AE5C0-6F74-4664-8D14-62014DA5925C}" srcOrd="0" destOrd="0" presId="urn:microsoft.com/office/officeart/2005/8/layout/orgChart1"/>
    <dgm:cxn modelId="{A529909B-F8DA-4F6F-837B-BCF42C997418}" type="presParOf" srcId="{F43AE5C0-6F74-4664-8D14-62014DA5925C}" destId="{D5FA9279-95CF-4D83-BA68-D5AE8F5A2A60}" srcOrd="0" destOrd="0" presId="urn:microsoft.com/office/officeart/2005/8/layout/orgChart1"/>
    <dgm:cxn modelId="{D2D33665-8512-4DE4-A19D-C95EA7FAAF9B}" type="presParOf" srcId="{F43AE5C0-6F74-4664-8D14-62014DA5925C}" destId="{F9382D2B-4C9B-48DF-AB51-21033BD2C0E0}" srcOrd="1" destOrd="0" presId="urn:microsoft.com/office/officeart/2005/8/layout/orgChart1"/>
    <dgm:cxn modelId="{DA31D561-77BC-4FFC-9A87-6E56B09C6B4C}" type="presParOf" srcId="{A9290984-C8CC-498B-B232-BBE4AE95E07C}" destId="{E6AA7BA8-1626-4508-93D2-0F7D47FF57D1}" srcOrd="1" destOrd="0" presId="urn:microsoft.com/office/officeart/2005/8/layout/orgChart1"/>
    <dgm:cxn modelId="{841939DA-1985-4C16-BD2A-2A7A43B78FA7}" type="presParOf" srcId="{E6AA7BA8-1626-4508-93D2-0F7D47FF57D1}" destId="{FE3F7803-43A4-439D-9A4F-14B0C0C377C5}" srcOrd="0" destOrd="0" presId="urn:microsoft.com/office/officeart/2005/8/layout/orgChart1"/>
    <dgm:cxn modelId="{EC201949-EF65-40FF-A450-D1DB7488FBD6}" type="presParOf" srcId="{E6AA7BA8-1626-4508-93D2-0F7D47FF57D1}" destId="{88D4D7BA-67CE-4DB9-BB3E-334036D8B344}" srcOrd="1" destOrd="0" presId="urn:microsoft.com/office/officeart/2005/8/layout/orgChart1"/>
    <dgm:cxn modelId="{E5B1F799-3AE0-4B23-9893-766656A62143}" type="presParOf" srcId="{88D4D7BA-67CE-4DB9-BB3E-334036D8B344}" destId="{9D64B059-4D03-477D-B648-8483CF0753C2}" srcOrd="0" destOrd="0" presId="urn:microsoft.com/office/officeart/2005/8/layout/orgChart1"/>
    <dgm:cxn modelId="{CCC4F7A7-0DB9-4579-88F9-7C8E8EE16D99}" type="presParOf" srcId="{9D64B059-4D03-477D-B648-8483CF0753C2}" destId="{A4DD2796-1B77-4CC5-A1D4-C68ABA607BD3}" srcOrd="0" destOrd="0" presId="urn:microsoft.com/office/officeart/2005/8/layout/orgChart1"/>
    <dgm:cxn modelId="{729074F6-011D-4159-A65B-941E23622AEC}" type="presParOf" srcId="{9D64B059-4D03-477D-B648-8483CF0753C2}" destId="{EDB9F3ED-2D0B-4368-9DE7-08644850497A}" srcOrd="1" destOrd="0" presId="urn:microsoft.com/office/officeart/2005/8/layout/orgChart1"/>
    <dgm:cxn modelId="{0E13B0A5-5462-4563-9FB0-8D8070727C19}" type="presParOf" srcId="{88D4D7BA-67CE-4DB9-BB3E-334036D8B344}" destId="{EB102EB7-65D8-41DA-B67A-948E26CD6882}" srcOrd="1" destOrd="0" presId="urn:microsoft.com/office/officeart/2005/8/layout/orgChart1"/>
    <dgm:cxn modelId="{93062407-7AF5-4DDD-B643-7FE938D0D2FF}" type="presParOf" srcId="{EB102EB7-65D8-41DA-B67A-948E26CD6882}" destId="{CCB3DB7C-6F0D-464E-9395-193B4C0C524D}" srcOrd="0" destOrd="0" presId="urn:microsoft.com/office/officeart/2005/8/layout/orgChart1"/>
    <dgm:cxn modelId="{114AAC73-FD2C-4EF8-8222-826C369F06A5}" type="presParOf" srcId="{EB102EB7-65D8-41DA-B67A-948E26CD6882}" destId="{7C407433-5869-4395-9E99-4C47159808CF}" srcOrd="1" destOrd="0" presId="urn:microsoft.com/office/officeart/2005/8/layout/orgChart1"/>
    <dgm:cxn modelId="{DE20B76C-1146-4E5E-B372-373CAAB31D6C}" type="presParOf" srcId="{7C407433-5869-4395-9E99-4C47159808CF}" destId="{41F155DB-DE7F-4A1D-828C-52F3AD2A0148}" srcOrd="0" destOrd="0" presId="urn:microsoft.com/office/officeart/2005/8/layout/orgChart1"/>
    <dgm:cxn modelId="{E01B37A7-E9EA-44D0-AEC5-FA07D04F6B91}" type="presParOf" srcId="{41F155DB-DE7F-4A1D-828C-52F3AD2A0148}" destId="{3C2A7602-E2BA-4D42-9EA8-0BC8C24DBD9F}" srcOrd="0" destOrd="0" presId="urn:microsoft.com/office/officeart/2005/8/layout/orgChart1"/>
    <dgm:cxn modelId="{955420BD-C83D-4BCB-9E50-C6DBEB5E6DB2}" type="presParOf" srcId="{41F155DB-DE7F-4A1D-828C-52F3AD2A0148}" destId="{AB15EC0B-D3E1-4648-8E6D-D5699D581099}" srcOrd="1" destOrd="0" presId="urn:microsoft.com/office/officeart/2005/8/layout/orgChart1"/>
    <dgm:cxn modelId="{4E069459-05D4-4B59-A55A-DD93D300AFB0}" type="presParOf" srcId="{7C407433-5869-4395-9E99-4C47159808CF}" destId="{433F280B-F815-4037-B28A-898B1A374A08}" srcOrd="1" destOrd="0" presId="urn:microsoft.com/office/officeart/2005/8/layout/orgChart1"/>
    <dgm:cxn modelId="{949DE795-D930-4F33-B0F9-F3811926391E}" type="presParOf" srcId="{7C407433-5869-4395-9E99-4C47159808CF}" destId="{5226EABD-268C-41A7-89A1-9FD3377CB921}" srcOrd="2" destOrd="0" presId="urn:microsoft.com/office/officeart/2005/8/layout/orgChart1"/>
    <dgm:cxn modelId="{1B67439F-D0CE-41CB-B7E8-3083BDB5140C}" type="presParOf" srcId="{EB102EB7-65D8-41DA-B67A-948E26CD6882}" destId="{8BF52E3B-B16F-42CC-AFFC-5EAFE45F8123}" srcOrd="2" destOrd="0" presId="urn:microsoft.com/office/officeart/2005/8/layout/orgChart1"/>
    <dgm:cxn modelId="{758A06AE-0132-49AF-A4EC-0124F0B063C6}" type="presParOf" srcId="{EB102EB7-65D8-41DA-B67A-948E26CD6882}" destId="{21193072-311E-492C-8B94-34D0A711B0AB}" srcOrd="3" destOrd="0" presId="urn:microsoft.com/office/officeart/2005/8/layout/orgChart1"/>
    <dgm:cxn modelId="{E31E0713-BFEC-41D3-9246-A14E37EEDC1E}" type="presParOf" srcId="{21193072-311E-492C-8B94-34D0A711B0AB}" destId="{2C82C04E-7F32-44F6-A97C-A584734271D5}" srcOrd="0" destOrd="0" presId="urn:microsoft.com/office/officeart/2005/8/layout/orgChart1"/>
    <dgm:cxn modelId="{324757E1-D1D4-4269-A2F9-248C59D58AFA}" type="presParOf" srcId="{2C82C04E-7F32-44F6-A97C-A584734271D5}" destId="{2F731B9B-DB74-4B61-AA66-F931A3A3850E}" srcOrd="0" destOrd="0" presId="urn:microsoft.com/office/officeart/2005/8/layout/orgChart1"/>
    <dgm:cxn modelId="{FBE00703-F812-48EC-8D93-3EF2BEFD22B2}" type="presParOf" srcId="{2C82C04E-7F32-44F6-A97C-A584734271D5}" destId="{F7E3C707-A814-4962-9EFE-EA8997055BBD}" srcOrd="1" destOrd="0" presId="urn:microsoft.com/office/officeart/2005/8/layout/orgChart1"/>
    <dgm:cxn modelId="{705732E5-4300-49BC-ACE0-806E5F6B01A2}" type="presParOf" srcId="{21193072-311E-492C-8B94-34D0A711B0AB}" destId="{7BF91B97-5EB3-41B7-83F3-CAD4016CF3EE}" srcOrd="1" destOrd="0" presId="urn:microsoft.com/office/officeart/2005/8/layout/orgChart1"/>
    <dgm:cxn modelId="{989FCB7B-017F-4F64-9D79-645CF4E703F1}" type="presParOf" srcId="{7BF91B97-5EB3-41B7-83F3-CAD4016CF3EE}" destId="{CDA52C2D-48E8-4BE1-8549-897717976730}" srcOrd="0" destOrd="0" presId="urn:microsoft.com/office/officeart/2005/8/layout/orgChart1"/>
    <dgm:cxn modelId="{1D8C473E-156A-4854-BB12-3DFB6C092733}" type="presParOf" srcId="{7BF91B97-5EB3-41B7-83F3-CAD4016CF3EE}" destId="{00565709-C698-4D90-A675-C9B0E9721858}" srcOrd="1" destOrd="0" presId="urn:microsoft.com/office/officeart/2005/8/layout/orgChart1"/>
    <dgm:cxn modelId="{447FED9B-68C4-42F0-8DFC-9C54F127AE0A}" type="presParOf" srcId="{00565709-C698-4D90-A675-C9B0E9721858}" destId="{24605ED7-4D7A-4F5C-9FDF-DA363E44421B}" srcOrd="0" destOrd="0" presId="urn:microsoft.com/office/officeart/2005/8/layout/orgChart1"/>
    <dgm:cxn modelId="{8B846CBB-0BED-411E-A28B-5322AD3E2F59}" type="presParOf" srcId="{24605ED7-4D7A-4F5C-9FDF-DA363E44421B}" destId="{092DDAB3-180F-4746-9179-C397492A3593}" srcOrd="0" destOrd="0" presId="urn:microsoft.com/office/officeart/2005/8/layout/orgChart1"/>
    <dgm:cxn modelId="{118AC82F-266F-49F3-A8E4-09C8899DC6DA}" type="presParOf" srcId="{24605ED7-4D7A-4F5C-9FDF-DA363E44421B}" destId="{06BE4815-1DFA-4038-9DCD-FE66D69B08A1}" srcOrd="1" destOrd="0" presId="urn:microsoft.com/office/officeart/2005/8/layout/orgChart1"/>
    <dgm:cxn modelId="{1FDDBD43-8232-435B-9A15-58CA4E3C1A42}" type="presParOf" srcId="{00565709-C698-4D90-A675-C9B0E9721858}" destId="{9FC13774-A3E9-4ABB-9BB9-154EB371D542}" srcOrd="1" destOrd="0" presId="urn:microsoft.com/office/officeart/2005/8/layout/orgChart1"/>
    <dgm:cxn modelId="{9E586DD5-59B4-4025-9E14-D49B387A4778}" type="presParOf" srcId="{00565709-C698-4D90-A675-C9B0E9721858}" destId="{755BC8FC-23DB-4B6E-97D6-B5E8BF1E6AAB}" srcOrd="2" destOrd="0" presId="urn:microsoft.com/office/officeart/2005/8/layout/orgChart1"/>
    <dgm:cxn modelId="{3BFD87B6-2F8B-4D0E-A5B2-C1C71930C39C}" type="presParOf" srcId="{7BF91B97-5EB3-41B7-83F3-CAD4016CF3EE}" destId="{998777F2-52FB-464C-A2A9-0F27AF93ED99}" srcOrd="2" destOrd="0" presId="urn:microsoft.com/office/officeart/2005/8/layout/orgChart1"/>
    <dgm:cxn modelId="{41688CF2-A044-40CA-ADC9-A97A4A9E74D9}" type="presParOf" srcId="{7BF91B97-5EB3-41B7-83F3-CAD4016CF3EE}" destId="{12501FE5-E2BB-41B4-9541-8117B6093B74}" srcOrd="3" destOrd="0" presId="urn:microsoft.com/office/officeart/2005/8/layout/orgChart1"/>
    <dgm:cxn modelId="{80550FFB-E36D-4699-9E7F-39A7A7766231}" type="presParOf" srcId="{12501FE5-E2BB-41B4-9541-8117B6093B74}" destId="{983CC3A4-618C-4A46-897A-DD80EB56D34C}" srcOrd="0" destOrd="0" presId="urn:microsoft.com/office/officeart/2005/8/layout/orgChart1"/>
    <dgm:cxn modelId="{E6B5A148-B667-4BF9-B163-F01F0FF86509}" type="presParOf" srcId="{983CC3A4-618C-4A46-897A-DD80EB56D34C}" destId="{AE9D82C9-2E95-4389-94D9-C2A60EA4CF33}" srcOrd="0" destOrd="0" presId="urn:microsoft.com/office/officeart/2005/8/layout/orgChart1"/>
    <dgm:cxn modelId="{A1B30D05-BEE1-4DC8-9FD4-E4E9AA85B142}" type="presParOf" srcId="{983CC3A4-618C-4A46-897A-DD80EB56D34C}" destId="{94609F5A-CBAE-46C5-A242-CE47C7346256}" srcOrd="1" destOrd="0" presId="urn:microsoft.com/office/officeart/2005/8/layout/orgChart1"/>
    <dgm:cxn modelId="{17046A3C-F165-45EA-BA53-4B6621269A1D}" type="presParOf" srcId="{12501FE5-E2BB-41B4-9541-8117B6093B74}" destId="{B2D53647-9016-460F-A7DB-78EAAF24AC5B}" srcOrd="1" destOrd="0" presId="urn:microsoft.com/office/officeart/2005/8/layout/orgChart1"/>
    <dgm:cxn modelId="{F8A5BC9D-4AEC-4CAB-8A83-A92A8E4CC6C0}" type="presParOf" srcId="{12501FE5-E2BB-41B4-9541-8117B6093B74}" destId="{EB953FA4-FC46-49AF-917A-298A045866ED}" srcOrd="2" destOrd="0" presId="urn:microsoft.com/office/officeart/2005/8/layout/orgChart1"/>
    <dgm:cxn modelId="{ED32C612-1C03-4C32-A3C0-B938921691E7}" type="presParOf" srcId="{21193072-311E-492C-8B94-34D0A711B0AB}" destId="{EB3C6157-0E4C-4F24-BA5B-C938F854ADAC}" srcOrd="2" destOrd="0" presId="urn:microsoft.com/office/officeart/2005/8/layout/orgChart1"/>
    <dgm:cxn modelId="{E27875DA-02DF-4772-A369-652E9402AD70}" type="presParOf" srcId="{88D4D7BA-67CE-4DB9-BB3E-334036D8B344}" destId="{24C4858E-2D0C-4958-89EA-0632B6411679}" srcOrd="2" destOrd="0" presId="urn:microsoft.com/office/officeart/2005/8/layout/orgChart1"/>
    <dgm:cxn modelId="{491BA94F-A737-4BA6-9650-F5AD9C25664C}" type="presParOf" srcId="{E6AA7BA8-1626-4508-93D2-0F7D47FF57D1}" destId="{FF1B590C-B050-43A0-8E6F-C029377877ED}" srcOrd="2" destOrd="0" presId="urn:microsoft.com/office/officeart/2005/8/layout/orgChart1"/>
    <dgm:cxn modelId="{B3F748DF-9613-4E9B-8ACE-D5F823891F9F}" type="presParOf" srcId="{E6AA7BA8-1626-4508-93D2-0F7D47FF57D1}" destId="{C33FFA9E-7074-49EA-BFFF-11949A3B90FA}" srcOrd="3" destOrd="0" presId="urn:microsoft.com/office/officeart/2005/8/layout/orgChart1"/>
    <dgm:cxn modelId="{FD42BAF5-749A-462D-A64D-8587836F251B}" type="presParOf" srcId="{C33FFA9E-7074-49EA-BFFF-11949A3B90FA}" destId="{CE7761B2-5210-481A-9493-993E6E9B7324}" srcOrd="0" destOrd="0" presId="urn:microsoft.com/office/officeart/2005/8/layout/orgChart1"/>
    <dgm:cxn modelId="{BA2D194F-DE6F-4B35-943A-0B749C15021E}" type="presParOf" srcId="{CE7761B2-5210-481A-9493-993E6E9B7324}" destId="{9675808E-098C-4E0E-B58D-5A8562424480}" srcOrd="0" destOrd="0" presId="urn:microsoft.com/office/officeart/2005/8/layout/orgChart1"/>
    <dgm:cxn modelId="{F4750C56-18C6-4B4E-8140-A5F677265BE0}" type="presParOf" srcId="{CE7761B2-5210-481A-9493-993E6E9B7324}" destId="{708CC365-0421-4F99-9D43-39BB1B1FC00E}" srcOrd="1" destOrd="0" presId="urn:microsoft.com/office/officeart/2005/8/layout/orgChart1"/>
    <dgm:cxn modelId="{FAD4A346-45A8-4EF4-8D9B-7354F97012A1}" type="presParOf" srcId="{C33FFA9E-7074-49EA-BFFF-11949A3B90FA}" destId="{FE245A75-EFCC-44D2-883A-6BC97E307964}" srcOrd="1" destOrd="0" presId="urn:microsoft.com/office/officeart/2005/8/layout/orgChart1"/>
    <dgm:cxn modelId="{6254AD85-53AE-450C-AF2D-0AB6355AAB1C}" type="presParOf" srcId="{FE245A75-EFCC-44D2-883A-6BC97E307964}" destId="{88EA436B-D0B8-4714-ADFF-95643252547A}" srcOrd="0" destOrd="0" presId="urn:microsoft.com/office/officeart/2005/8/layout/orgChart1"/>
    <dgm:cxn modelId="{E3653AAE-3046-4DE5-883E-5EE5FB29A70F}" type="presParOf" srcId="{FE245A75-EFCC-44D2-883A-6BC97E307964}" destId="{BA1238A9-F5AC-41DE-A93F-4F7AFBC83224}" srcOrd="1" destOrd="0" presId="urn:microsoft.com/office/officeart/2005/8/layout/orgChart1"/>
    <dgm:cxn modelId="{C5048D48-89E5-4663-9F2F-921AED97B859}" type="presParOf" srcId="{BA1238A9-F5AC-41DE-A93F-4F7AFBC83224}" destId="{14D7C7AD-3FAA-40F6-87EF-5AF2292657EE}" srcOrd="0" destOrd="0" presId="urn:microsoft.com/office/officeart/2005/8/layout/orgChart1"/>
    <dgm:cxn modelId="{C7C2BADD-E4FC-446D-90DD-30F938579541}" type="presParOf" srcId="{14D7C7AD-3FAA-40F6-87EF-5AF2292657EE}" destId="{151D60C7-A027-4E0E-8E1B-BD7CCCBB31BA}" srcOrd="0" destOrd="0" presId="urn:microsoft.com/office/officeart/2005/8/layout/orgChart1"/>
    <dgm:cxn modelId="{7A965409-5F86-451D-B8D5-945784BBD845}" type="presParOf" srcId="{14D7C7AD-3FAA-40F6-87EF-5AF2292657EE}" destId="{94328263-E476-4069-99E9-5A6488996F2F}" srcOrd="1" destOrd="0" presId="urn:microsoft.com/office/officeart/2005/8/layout/orgChart1"/>
    <dgm:cxn modelId="{3BE07AF8-8F72-492B-9739-44492172B31B}" type="presParOf" srcId="{BA1238A9-F5AC-41DE-A93F-4F7AFBC83224}" destId="{ECD74CA6-0732-41EF-884D-AD25124DC332}" srcOrd="1" destOrd="0" presId="urn:microsoft.com/office/officeart/2005/8/layout/orgChart1"/>
    <dgm:cxn modelId="{501FF97B-3A1F-4413-9DF4-BF30975CC241}" type="presParOf" srcId="{BA1238A9-F5AC-41DE-A93F-4F7AFBC83224}" destId="{D9509AF3-783B-47D5-8314-8DAE7E59C0C8}" srcOrd="2" destOrd="0" presId="urn:microsoft.com/office/officeart/2005/8/layout/orgChart1"/>
    <dgm:cxn modelId="{882A793E-4E0C-41E2-8089-38B00101BF43}" type="presParOf" srcId="{FE245A75-EFCC-44D2-883A-6BC97E307964}" destId="{0AC3E728-96E8-441C-979B-C522F79F7EE4}" srcOrd="2" destOrd="0" presId="urn:microsoft.com/office/officeart/2005/8/layout/orgChart1"/>
    <dgm:cxn modelId="{D87190CF-E1E6-430A-8C64-CC9089ACF542}" type="presParOf" srcId="{FE245A75-EFCC-44D2-883A-6BC97E307964}" destId="{EFC79F44-ABB5-4F94-92D1-D03660859134}" srcOrd="3" destOrd="0" presId="urn:microsoft.com/office/officeart/2005/8/layout/orgChart1"/>
    <dgm:cxn modelId="{1CDA6BBE-C689-46F6-9379-4A846E64090C}" type="presParOf" srcId="{EFC79F44-ABB5-4F94-92D1-D03660859134}" destId="{94D86E19-1431-40BD-A67F-265901EE95A8}" srcOrd="0" destOrd="0" presId="urn:microsoft.com/office/officeart/2005/8/layout/orgChart1"/>
    <dgm:cxn modelId="{353826FB-ED8E-4CB2-80D2-80F368395CFF}" type="presParOf" srcId="{94D86E19-1431-40BD-A67F-265901EE95A8}" destId="{0F4D8CFA-30F7-4B8C-A3DF-4CAD41AC1DB0}" srcOrd="0" destOrd="0" presId="urn:microsoft.com/office/officeart/2005/8/layout/orgChart1"/>
    <dgm:cxn modelId="{FCAFB330-BE7A-476B-926D-F32AFB397877}" type="presParOf" srcId="{94D86E19-1431-40BD-A67F-265901EE95A8}" destId="{4827BB5C-7375-4BAB-A237-7D7CD8650C2D}" srcOrd="1" destOrd="0" presId="urn:microsoft.com/office/officeart/2005/8/layout/orgChart1"/>
    <dgm:cxn modelId="{1836E1DB-88BA-4DDA-85D8-F4A17FA32424}" type="presParOf" srcId="{EFC79F44-ABB5-4F94-92D1-D03660859134}" destId="{3F339D62-3E29-4760-A19D-44CBAAE6F6B0}" srcOrd="1" destOrd="0" presId="urn:microsoft.com/office/officeart/2005/8/layout/orgChart1"/>
    <dgm:cxn modelId="{79D402D0-4732-4606-A84B-10118F288CFB}" type="presParOf" srcId="{EFC79F44-ABB5-4F94-92D1-D03660859134}" destId="{A517B025-C8D3-4CE9-9036-125776AD5107}" srcOrd="2" destOrd="0" presId="urn:microsoft.com/office/officeart/2005/8/layout/orgChart1"/>
    <dgm:cxn modelId="{63F1A139-7E01-4479-9286-58C616CE10A2}" type="presParOf" srcId="{C33FFA9E-7074-49EA-BFFF-11949A3B90FA}" destId="{F7457596-839F-46C0-8665-A4A87B72E143}" srcOrd="2" destOrd="0" presId="urn:microsoft.com/office/officeart/2005/8/layout/orgChart1"/>
    <dgm:cxn modelId="{288D04B0-8D4A-4BDE-B83C-70DB9A6D9FD8}" type="presParOf" srcId="{E6AA7BA8-1626-4508-93D2-0F7D47FF57D1}" destId="{BF58865D-C2EA-4D5E-86C9-8869486E9D3E}" srcOrd="4" destOrd="0" presId="urn:microsoft.com/office/officeart/2005/8/layout/orgChart1"/>
    <dgm:cxn modelId="{EE4DC0D0-6354-4447-91B3-4929852C69AC}" type="presParOf" srcId="{E6AA7BA8-1626-4508-93D2-0F7D47FF57D1}" destId="{DE8C0EDE-A6C3-4252-8CBB-918B65F1173F}" srcOrd="5" destOrd="0" presId="urn:microsoft.com/office/officeart/2005/8/layout/orgChart1"/>
    <dgm:cxn modelId="{59CDC191-A8E6-4559-8B91-93677F839320}" type="presParOf" srcId="{DE8C0EDE-A6C3-4252-8CBB-918B65F1173F}" destId="{7B3215F2-AA4E-4AA6-BE2B-B334A85E8A57}" srcOrd="0" destOrd="0" presId="urn:microsoft.com/office/officeart/2005/8/layout/orgChart1"/>
    <dgm:cxn modelId="{3FA649A6-FC4F-4535-A31C-D84C1E68CBC2}" type="presParOf" srcId="{7B3215F2-AA4E-4AA6-BE2B-B334A85E8A57}" destId="{9471BD94-FFD5-4DB7-92CE-A527E184F8FD}" srcOrd="0" destOrd="0" presId="urn:microsoft.com/office/officeart/2005/8/layout/orgChart1"/>
    <dgm:cxn modelId="{37CA90C6-FFE5-4CE4-BFD5-CF8973591721}" type="presParOf" srcId="{7B3215F2-AA4E-4AA6-BE2B-B334A85E8A57}" destId="{F089FC72-08E5-4019-B0E5-EA9380C7D2CC}" srcOrd="1" destOrd="0" presId="urn:microsoft.com/office/officeart/2005/8/layout/orgChart1"/>
    <dgm:cxn modelId="{88106BED-CB27-49A6-8A8C-3E931E92372E}" type="presParOf" srcId="{DE8C0EDE-A6C3-4252-8CBB-918B65F1173F}" destId="{E7E92FB6-7527-4324-AE3C-3C4FDD9C5424}" srcOrd="1" destOrd="0" presId="urn:microsoft.com/office/officeart/2005/8/layout/orgChart1"/>
    <dgm:cxn modelId="{728A2262-3EBE-4A01-8255-2A143504BC0A}" type="presParOf" srcId="{E7E92FB6-7527-4324-AE3C-3C4FDD9C5424}" destId="{B6249A1C-ABC3-483B-8DE2-CAE366E10BE2}" srcOrd="0" destOrd="0" presId="urn:microsoft.com/office/officeart/2005/8/layout/orgChart1"/>
    <dgm:cxn modelId="{25F593F1-3E59-4ED2-BC89-8DECA2E97AAD}" type="presParOf" srcId="{E7E92FB6-7527-4324-AE3C-3C4FDD9C5424}" destId="{07BFF8CB-C413-4A27-80A4-41E24A939074}" srcOrd="1" destOrd="0" presId="urn:microsoft.com/office/officeart/2005/8/layout/orgChart1"/>
    <dgm:cxn modelId="{B7E506B6-594E-4401-A651-F802A3435E8B}" type="presParOf" srcId="{07BFF8CB-C413-4A27-80A4-41E24A939074}" destId="{BB56CAC9-390A-4764-AB9F-E3003D480614}" srcOrd="0" destOrd="0" presId="urn:microsoft.com/office/officeart/2005/8/layout/orgChart1"/>
    <dgm:cxn modelId="{3B85230F-3783-49DE-A59A-33B3DB3568F6}" type="presParOf" srcId="{BB56CAC9-390A-4764-AB9F-E3003D480614}" destId="{9B687C2B-398B-42B8-A887-497A286F24AC}" srcOrd="0" destOrd="0" presId="urn:microsoft.com/office/officeart/2005/8/layout/orgChart1"/>
    <dgm:cxn modelId="{78EE754E-06C8-455C-BD6E-7C5A0017C8F9}" type="presParOf" srcId="{BB56CAC9-390A-4764-AB9F-E3003D480614}" destId="{D2907235-BA5F-416C-BBB1-DBCC73DBC977}" srcOrd="1" destOrd="0" presId="urn:microsoft.com/office/officeart/2005/8/layout/orgChart1"/>
    <dgm:cxn modelId="{21EA61AA-1292-4413-8D86-43D79A88F8FB}" type="presParOf" srcId="{07BFF8CB-C413-4A27-80A4-41E24A939074}" destId="{05BBC819-B3AD-45B5-B519-DDDFFA952898}" srcOrd="1" destOrd="0" presId="urn:microsoft.com/office/officeart/2005/8/layout/orgChart1"/>
    <dgm:cxn modelId="{7A35D0E2-D284-4A6E-A844-D00924EDCEBC}" type="presParOf" srcId="{05BBC819-B3AD-45B5-B519-DDDFFA952898}" destId="{88B1B710-91FD-4E35-8413-4D8F37346F5D}" srcOrd="0" destOrd="0" presId="urn:microsoft.com/office/officeart/2005/8/layout/orgChart1"/>
    <dgm:cxn modelId="{DBBC1B0A-C3F6-4CA9-A603-3A568DCE7F88}" type="presParOf" srcId="{05BBC819-B3AD-45B5-B519-DDDFFA952898}" destId="{5107C698-AD81-4B47-82C5-69A078043513}" srcOrd="1" destOrd="0" presId="urn:microsoft.com/office/officeart/2005/8/layout/orgChart1"/>
    <dgm:cxn modelId="{F5B04974-719C-467C-809C-5CAD08FB2333}" type="presParOf" srcId="{5107C698-AD81-4B47-82C5-69A078043513}" destId="{6C177090-0CC9-4AA0-9F03-085000AD5414}" srcOrd="0" destOrd="0" presId="urn:microsoft.com/office/officeart/2005/8/layout/orgChart1"/>
    <dgm:cxn modelId="{F784BFF1-3BFC-4CFD-A180-477C03E1E578}" type="presParOf" srcId="{6C177090-0CC9-4AA0-9F03-085000AD5414}" destId="{0BC4D6D7-71C7-41AC-B006-D9C19C7261AD}" srcOrd="0" destOrd="0" presId="urn:microsoft.com/office/officeart/2005/8/layout/orgChart1"/>
    <dgm:cxn modelId="{6A98DCBE-BFCB-4B01-9303-DFCC43A26BC1}" type="presParOf" srcId="{6C177090-0CC9-4AA0-9F03-085000AD5414}" destId="{E92409AB-09FA-4832-A99E-D0AF01A18CB2}" srcOrd="1" destOrd="0" presId="urn:microsoft.com/office/officeart/2005/8/layout/orgChart1"/>
    <dgm:cxn modelId="{B757A0CD-AD29-41D4-9C89-C9413EC8CF75}" type="presParOf" srcId="{5107C698-AD81-4B47-82C5-69A078043513}" destId="{F678CDB6-7AA7-4095-8C15-441F74B47B11}" srcOrd="1" destOrd="0" presId="urn:microsoft.com/office/officeart/2005/8/layout/orgChart1"/>
    <dgm:cxn modelId="{CFC7C4A0-A15A-40D9-A100-BE3EC29E1638}" type="presParOf" srcId="{5107C698-AD81-4B47-82C5-69A078043513}" destId="{9C6EE18F-DA98-450E-9623-4C0A6C3AE2DC}" srcOrd="2" destOrd="0" presId="urn:microsoft.com/office/officeart/2005/8/layout/orgChart1"/>
    <dgm:cxn modelId="{83B14DEC-CA84-4B2D-BF8A-C54A8B7BE2BB}" type="presParOf" srcId="{05BBC819-B3AD-45B5-B519-DDDFFA952898}" destId="{8793FFBD-ABE0-453D-A51F-014C7DFEA590}" srcOrd="2" destOrd="0" presId="urn:microsoft.com/office/officeart/2005/8/layout/orgChart1"/>
    <dgm:cxn modelId="{7A61AA7F-04C8-4825-9A96-EB431D2AD49A}" type="presParOf" srcId="{05BBC819-B3AD-45B5-B519-DDDFFA952898}" destId="{9044BA52-28A1-4944-BE39-E2B6C479467F}" srcOrd="3" destOrd="0" presId="urn:microsoft.com/office/officeart/2005/8/layout/orgChart1"/>
    <dgm:cxn modelId="{8D399FE3-7714-447A-A0D7-2328B5D1CC34}" type="presParOf" srcId="{9044BA52-28A1-4944-BE39-E2B6C479467F}" destId="{43F43855-F82C-478C-9C23-EF785FE264EF}" srcOrd="0" destOrd="0" presId="urn:microsoft.com/office/officeart/2005/8/layout/orgChart1"/>
    <dgm:cxn modelId="{A7615F34-74DA-4564-B317-4DA36D685DB9}" type="presParOf" srcId="{43F43855-F82C-478C-9C23-EF785FE264EF}" destId="{7BF64B17-42C9-4478-B0B8-F5D7892BA038}" srcOrd="0" destOrd="0" presId="urn:microsoft.com/office/officeart/2005/8/layout/orgChart1"/>
    <dgm:cxn modelId="{5D44277C-CAF4-492A-B831-43BFA46FFA9A}" type="presParOf" srcId="{43F43855-F82C-478C-9C23-EF785FE264EF}" destId="{CABC921B-0853-4FA6-945F-4957D73B6FE4}" srcOrd="1" destOrd="0" presId="urn:microsoft.com/office/officeart/2005/8/layout/orgChart1"/>
    <dgm:cxn modelId="{A5CB3AB8-9397-4E08-915E-9CA7D81E04B2}" type="presParOf" srcId="{9044BA52-28A1-4944-BE39-E2B6C479467F}" destId="{6B15DC04-4E44-4171-8FF0-8E71BAF1D778}" srcOrd="1" destOrd="0" presId="urn:microsoft.com/office/officeart/2005/8/layout/orgChart1"/>
    <dgm:cxn modelId="{EB2D7130-1BAC-4B39-8C1F-B7DA9FDA417F}" type="presParOf" srcId="{9044BA52-28A1-4944-BE39-E2B6C479467F}" destId="{F4D6807A-33B4-49E7-AEAE-E1A3582E0D74}" srcOrd="2" destOrd="0" presId="urn:microsoft.com/office/officeart/2005/8/layout/orgChart1"/>
    <dgm:cxn modelId="{42FDAE6F-ED7B-4D7E-A46F-A6879E165C1B}" type="presParOf" srcId="{05BBC819-B3AD-45B5-B519-DDDFFA952898}" destId="{098D44D5-CFD9-471F-A5A2-47475B0761BC}" srcOrd="4" destOrd="0" presId="urn:microsoft.com/office/officeart/2005/8/layout/orgChart1"/>
    <dgm:cxn modelId="{A592440A-0A20-41DF-BEAB-A2232BBB3EE9}" type="presParOf" srcId="{05BBC819-B3AD-45B5-B519-DDDFFA952898}" destId="{6BD11D8C-A477-4243-95A1-5B7AD9B2271F}" srcOrd="5" destOrd="0" presId="urn:microsoft.com/office/officeart/2005/8/layout/orgChart1"/>
    <dgm:cxn modelId="{2444EA01-3970-49C9-A8E0-9043609970EB}" type="presParOf" srcId="{6BD11D8C-A477-4243-95A1-5B7AD9B2271F}" destId="{3C04DA24-E350-40A7-8AD9-87BC737C4704}" srcOrd="0" destOrd="0" presId="urn:microsoft.com/office/officeart/2005/8/layout/orgChart1"/>
    <dgm:cxn modelId="{27E3FA30-6649-409E-9B4A-E9C170AC1F71}" type="presParOf" srcId="{3C04DA24-E350-40A7-8AD9-87BC737C4704}" destId="{1E5F8131-6FEC-423E-8CEA-1EDAE83B5572}" srcOrd="0" destOrd="0" presId="urn:microsoft.com/office/officeart/2005/8/layout/orgChart1"/>
    <dgm:cxn modelId="{C4E8E62D-FF4E-45AD-B237-58EF23F6B5AA}" type="presParOf" srcId="{3C04DA24-E350-40A7-8AD9-87BC737C4704}" destId="{9D9CF3E3-DB84-4F5F-B52E-76ED833E03A7}" srcOrd="1" destOrd="0" presId="urn:microsoft.com/office/officeart/2005/8/layout/orgChart1"/>
    <dgm:cxn modelId="{4D5778AB-8AC4-4F74-BE81-B432DF8FFCF8}" type="presParOf" srcId="{6BD11D8C-A477-4243-95A1-5B7AD9B2271F}" destId="{5E9F83AF-AD11-4782-8C62-24626F8A7C30}" srcOrd="1" destOrd="0" presId="urn:microsoft.com/office/officeart/2005/8/layout/orgChart1"/>
    <dgm:cxn modelId="{8ED98EE5-42D6-4FB1-9B0F-81807AD7FB07}" type="presParOf" srcId="{6BD11D8C-A477-4243-95A1-5B7AD9B2271F}" destId="{91512EFF-1824-4AE9-8B59-4F82765CFC92}" srcOrd="2" destOrd="0" presId="urn:microsoft.com/office/officeart/2005/8/layout/orgChart1"/>
    <dgm:cxn modelId="{AB7A0A5A-189E-4045-80D8-900F45352F10}" type="presParOf" srcId="{05BBC819-B3AD-45B5-B519-DDDFFA952898}" destId="{6E7C9CC7-CC65-4F06-8FF8-030F3350E547}" srcOrd="6" destOrd="0" presId="urn:microsoft.com/office/officeart/2005/8/layout/orgChart1"/>
    <dgm:cxn modelId="{F294E8F3-1BDD-44BA-A164-8E4B02F1B186}" type="presParOf" srcId="{05BBC819-B3AD-45B5-B519-DDDFFA952898}" destId="{CA37A170-894D-4DDB-B31C-60ED2AD56762}" srcOrd="7" destOrd="0" presId="urn:microsoft.com/office/officeart/2005/8/layout/orgChart1"/>
    <dgm:cxn modelId="{40AF1F38-0AFA-4DCC-B62B-F77FCD037E1A}" type="presParOf" srcId="{CA37A170-894D-4DDB-B31C-60ED2AD56762}" destId="{7D3816B0-F9B2-45E8-87C3-19EB2F52C08A}" srcOrd="0" destOrd="0" presId="urn:microsoft.com/office/officeart/2005/8/layout/orgChart1"/>
    <dgm:cxn modelId="{C188547B-88B1-49B6-9F2A-7181BE0B92B0}" type="presParOf" srcId="{7D3816B0-F9B2-45E8-87C3-19EB2F52C08A}" destId="{0EB06CC0-FAE4-4906-B97A-C00D76C708C5}" srcOrd="0" destOrd="0" presId="urn:microsoft.com/office/officeart/2005/8/layout/orgChart1"/>
    <dgm:cxn modelId="{5B6735C1-4D51-4B2F-BCEE-7DB35B7F1214}" type="presParOf" srcId="{7D3816B0-F9B2-45E8-87C3-19EB2F52C08A}" destId="{6BDB5213-4632-40F0-939B-FF9F09CFC9EA}" srcOrd="1" destOrd="0" presId="urn:microsoft.com/office/officeart/2005/8/layout/orgChart1"/>
    <dgm:cxn modelId="{B56EDACD-3C16-47EE-A7F0-19D1886C3AA4}" type="presParOf" srcId="{CA37A170-894D-4DDB-B31C-60ED2AD56762}" destId="{0FE990AD-E296-420B-AEA2-493FE48AAEC2}" srcOrd="1" destOrd="0" presId="urn:microsoft.com/office/officeart/2005/8/layout/orgChart1"/>
    <dgm:cxn modelId="{6CA63DD4-1444-404F-80F7-A9CFDD623388}" type="presParOf" srcId="{CA37A170-894D-4DDB-B31C-60ED2AD56762}" destId="{31809E2E-A9AF-41AA-A8C6-B8128D40FB18}" srcOrd="2" destOrd="0" presId="urn:microsoft.com/office/officeart/2005/8/layout/orgChart1"/>
    <dgm:cxn modelId="{A03A2621-81BB-489D-BC1C-90F431FAF170}" type="presParOf" srcId="{07BFF8CB-C413-4A27-80A4-41E24A939074}" destId="{88171EB3-7910-4EF0-950E-B634D810AE96}" srcOrd="2" destOrd="0" presId="urn:microsoft.com/office/officeart/2005/8/layout/orgChart1"/>
    <dgm:cxn modelId="{D506BFE7-5C9A-4143-9D79-C39755626DBD}" type="presParOf" srcId="{E7E92FB6-7527-4324-AE3C-3C4FDD9C5424}" destId="{5AF2FCD2-EDFD-4F3B-9000-3157F0DFF34A}" srcOrd="2" destOrd="0" presId="urn:microsoft.com/office/officeart/2005/8/layout/orgChart1"/>
    <dgm:cxn modelId="{A896ED00-3F7B-4EB5-B2AB-BC26F9201989}" type="presParOf" srcId="{E7E92FB6-7527-4324-AE3C-3C4FDD9C5424}" destId="{43B45A6A-40E1-4071-884B-F17564B1BB43}" srcOrd="3" destOrd="0" presId="urn:microsoft.com/office/officeart/2005/8/layout/orgChart1"/>
    <dgm:cxn modelId="{AC731955-E843-4291-94A1-2750495EF28E}" type="presParOf" srcId="{43B45A6A-40E1-4071-884B-F17564B1BB43}" destId="{53E86AE7-CA6F-4094-9F1E-402AC8341D13}" srcOrd="0" destOrd="0" presId="urn:microsoft.com/office/officeart/2005/8/layout/orgChart1"/>
    <dgm:cxn modelId="{70ED7093-E2E0-4585-8D74-4132341B78B9}" type="presParOf" srcId="{53E86AE7-CA6F-4094-9F1E-402AC8341D13}" destId="{C18318F2-3F77-4FF0-A253-762FB3211C6D}" srcOrd="0" destOrd="0" presId="urn:microsoft.com/office/officeart/2005/8/layout/orgChart1"/>
    <dgm:cxn modelId="{8E6A3F94-AE7D-4D83-80D0-87D332FAC11E}" type="presParOf" srcId="{53E86AE7-CA6F-4094-9F1E-402AC8341D13}" destId="{E5C6C019-C73C-4A00-BF17-B4E2B9CFF3A7}" srcOrd="1" destOrd="0" presId="urn:microsoft.com/office/officeart/2005/8/layout/orgChart1"/>
    <dgm:cxn modelId="{FFA9DAD6-603A-4833-B776-352A784FF646}" type="presParOf" srcId="{43B45A6A-40E1-4071-884B-F17564B1BB43}" destId="{6A3B3972-4BE2-43AE-A050-6B123C9A76EC}" srcOrd="1" destOrd="0" presId="urn:microsoft.com/office/officeart/2005/8/layout/orgChart1"/>
    <dgm:cxn modelId="{092CD8F8-E423-4BAE-B2B7-8C1F0B9D7C9A}" type="presParOf" srcId="{43B45A6A-40E1-4071-884B-F17564B1BB43}" destId="{62E07442-7DBE-484A-BBF4-6C51477C0CEC}" srcOrd="2" destOrd="0" presId="urn:microsoft.com/office/officeart/2005/8/layout/orgChart1"/>
    <dgm:cxn modelId="{9AA2312F-D7B0-4252-8546-95121762119E}" type="presParOf" srcId="{E7E92FB6-7527-4324-AE3C-3C4FDD9C5424}" destId="{D0B3085C-A02D-4C21-8C7E-64AFA8BF9295}" srcOrd="4" destOrd="0" presId="urn:microsoft.com/office/officeart/2005/8/layout/orgChart1"/>
    <dgm:cxn modelId="{E696CDED-5EA9-4E89-A586-F42347524A91}" type="presParOf" srcId="{E7E92FB6-7527-4324-AE3C-3C4FDD9C5424}" destId="{15F02C0F-3E06-4669-90FF-024DF13E8620}" srcOrd="5" destOrd="0" presId="urn:microsoft.com/office/officeart/2005/8/layout/orgChart1"/>
    <dgm:cxn modelId="{D5CF61C8-92FA-436D-8232-C0032D824142}" type="presParOf" srcId="{15F02C0F-3E06-4669-90FF-024DF13E8620}" destId="{927896E1-A912-404D-8689-8B21A9000371}" srcOrd="0" destOrd="0" presId="urn:microsoft.com/office/officeart/2005/8/layout/orgChart1"/>
    <dgm:cxn modelId="{50FCD8FD-1387-4063-A3FB-FA78676D150C}" type="presParOf" srcId="{927896E1-A912-404D-8689-8B21A9000371}" destId="{BB79C701-9FD4-4A43-B47B-A44C9C499028}" srcOrd="0" destOrd="0" presId="urn:microsoft.com/office/officeart/2005/8/layout/orgChart1"/>
    <dgm:cxn modelId="{38A02A7D-E4B7-4845-8AEB-3C5DE19A1145}" type="presParOf" srcId="{927896E1-A912-404D-8689-8B21A9000371}" destId="{C5D68DC9-A73A-4551-8E9C-396B7114F6D7}" srcOrd="1" destOrd="0" presId="urn:microsoft.com/office/officeart/2005/8/layout/orgChart1"/>
    <dgm:cxn modelId="{24E57AB9-0A41-4848-85CB-C9D62ED2BA45}" type="presParOf" srcId="{15F02C0F-3E06-4669-90FF-024DF13E8620}" destId="{9D9FA552-CBC0-4A5D-8CE7-F362A4E1F25E}" srcOrd="1" destOrd="0" presId="urn:microsoft.com/office/officeart/2005/8/layout/orgChart1"/>
    <dgm:cxn modelId="{09AF5BC6-59F0-4644-A6DC-2D2F31BF564E}" type="presParOf" srcId="{15F02C0F-3E06-4669-90FF-024DF13E8620}" destId="{EFFFE36B-FBD4-4CCD-AF19-365C04E71203}" srcOrd="2" destOrd="0" presId="urn:microsoft.com/office/officeart/2005/8/layout/orgChart1"/>
    <dgm:cxn modelId="{461D682B-1C53-4CD8-9F3D-6245D3412CC3}" type="presParOf" srcId="{E7E92FB6-7527-4324-AE3C-3C4FDD9C5424}" destId="{316A1FAD-6C22-4FC2-B824-5B6B937897EC}" srcOrd="6" destOrd="0" presId="urn:microsoft.com/office/officeart/2005/8/layout/orgChart1"/>
    <dgm:cxn modelId="{4EF60182-9DF6-45A9-BBC7-7677262BF033}" type="presParOf" srcId="{E7E92FB6-7527-4324-AE3C-3C4FDD9C5424}" destId="{9ABD6CA4-6BF3-4A0A-A3A2-02075F3659C3}" srcOrd="7" destOrd="0" presId="urn:microsoft.com/office/officeart/2005/8/layout/orgChart1"/>
    <dgm:cxn modelId="{9E6EA4F0-2EC4-4EA6-80D4-3F59DC2FCEB5}" type="presParOf" srcId="{9ABD6CA4-6BF3-4A0A-A3A2-02075F3659C3}" destId="{B16773F6-4BB8-440B-AC5F-B0A27027CE04}" srcOrd="0" destOrd="0" presId="urn:microsoft.com/office/officeart/2005/8/layout/orgChart1"/>
    <dgm:cxn modelId="{6885F36A-4B99-4697-B4FB-47848BBFEFA3}" type="presParOf" srcId="{B16773F6-4BB8-440B-AC5F-B0A27027CE04}" destId="{7E19969C-0FD0-466A-9CFB-A5A8144250B0}" srcOrd="0" destOrd="0" presId="urn:microsoft.com/office/officeart/2005/8/layout/orgChart1"/>
    <dgm:cxn modelId="{AA523558-2B3A-426E-A513-93F2D8EC7CFA}" type="presParOf" srcId="{B16773F6-4BB8-440B-AC5F-B0A27027CE04}" destId="{7BF62AFB-9317-4E54-90EB-3DDF770A3D86}" srcOrd="1" destOrd="0" presId="urn:microsoft.com/office/officeart/2005/8/layout/orgChart1"/>
    <dgm:cxn modelId="{6A830233-6A66-4352-83E0-5252CED0E52E}" type="presParOf" srcId="{9ABD6CA4-6BF3-4A0A-A3A2-02075F3659C3}" destId="{C676634F-091B-4E55-BAA6-AEA1BC3A5172}" srcOrd="1" destOrd="0" presId="urn:microsoft.com/office/officeart/2005/8/layout/orgChart1"/>
    <dgm:cxn modelId="{E253FDD6-D702-46A9-9B13-DB5A1D7B04A0}" type="presParOf" srcId="{9ABD6CA4-6BF3-4A0A-A3A2-02075F3659C3}" destId="{1E23F858-4769-4C2F-B778-DB63EC295049}" srcOrd="2" destOrd="0" presId="urn:microsoft.com/office/officeart/2005/8/layout/orgChart1"/>
    <dgm:cxn modelId="{20FCD55E-659A-401F-82B5-0E23F568B9A3}" type="presParOf" srcId="{E7E92FB6-7527-4324-AE3C-3C4FDD9C5424}" destId="{7BA87D69-0C68-4EAF-BFBA-5B0F0922A1EC}" srcOrd="8" destOrd="0" presId="urn:microsoft.com/office/officeart/2005/8/layout/orgChart1"/>
    <dgm:cxn modelId="{2D574BE0-9579-4D20-8D71-2DD1C8B0B880}" type="presParOf" srcId="{E7E92FB6-7527-4324-AE3C-3C4FDD9C5424}" destId="{DFEDC1A9-9D64-49EC-BFCD-02EDFEB2BC29}" srcOrd="9" destOrd="0" presId="urn:microsoft.com/office/officeart/2005/8/layout/orgChart1"/>
    <dgm:cxn modelId="{6581589E-8FF3-4D8B-A0DA-14A45A884BF4}" type="presParOf" srcId="{DFEDC1A9-9D64-49EC-BFCD-02EDFEB2BC29}" destId="{D1E3ACF8-C07D-4904-A198-4AD098110DF7}" srcOrd="0" destOrd="0" presId="urn:microsoft.com/office/officeart/2005/8/layout/orgChart1"/>
    <dgm:cxn modelId="{6FA61F68-6DDA-401B-BA4C-774EC7308259}" type="presParOf" srcId="{D1E3ACF8-C07D-4904-A198-4AD098110DF7}" destId="{1139C7C6-CAF1-4E5E-916B-8D97018EB019}" srcOrd="0" destOrd="0" presId="urn:microsoft.com/office/officeart/2005/8/layout/orgChart1"/>
    <dgm:cxn modelId="{3AA60176-404C-4A5B-A1A1-732130CF4C44}" type="presParOf" srcId="{D1E3ACF8-C07D-4904-A198-4AD098110DF7}" destId="{7C934789-C1E6-4EA4-A0D9-1334848962B7}" srcOrd="1" destOrd="0" presId="urn:microsoft.com/office/officeart/2005/8/layout/orgChart1"/>
    <dgm:cxn modelId="{09B651A8-4021-44C0-A466-6A70A4CB6C0C}" type="presParOf" srcId="{DFEDC1A9-9D64-49EC-BFCD-02EDFEB2BC29}" destId="{DED343BD-F604-44BD-9FE6-42EF316CD9EE}" srcOrd="1" destOrd="0" presId="urn:microsoft.com/office/officeart/2005/8/layout/orgChart1"/>
    <dgm:cxn modelId="{4E4C78B6-0435-403D-B1FD-653486CB4835}" type="presParOf" srcId="{DFEDC1A9-9D64-49EC-BFCD-02EDFEB2BC29}" destId="{8EABB28C-AF6E-4AED-84B5-E3E438BC05C2}" srcOrd="2" destOrd="0" presId="urn:microsoft.com/office/officeart/2005/8/layout/orgChart1"/>
    <dgm:cxn modelId="{B76CD416-8289-4763-B72D-79DFF77F3AFE}" type="presParOf" srcId="{E7E92FB6-7527-4324-AE3C-3C4FDD9C5424}" destId="{BBA05ED8-3067-47DA-B234-5324D51AA647}" srcOrd="10" destOrd="0" presId="urn:microsoft.com/office/officeart/2005/8/layout/orgChart1"/>
    <dgm:cxn modelId="{9FDFCA11-E4E0-45B3-88B0-9A7E04E5222C}" type="presParOf" srcId="{E7E92FB6-7527-4324-AE3C-3C4FDD9C5424}" destId="{9958D380-D492-4620-B7E7-957664D75717}" srcOrd="11" destOrd="0" presId="urn:microsoft.com/office/officeart/2005/8/layout/orgChart1"/>
    <dgm:cxn modelId="{D439BC73-8A4F-4DC3-B546-AE4D8F9F0758}" type="presParOf" srcId="{9958D380-D492-4620-B7E7-957664D75717}" destId="{1E6FC14D-F8CB-4CFF-9790-163BE8CADFC1}" srcOrd="0" destOrd="0" presId="urn:microsoft.com/office/officeart/2005/8/layout/orgChart1"/>
    <dgm:cxn modelId="{66E44D53-91C5-42A3-9CF4-DECD24E6612C}" type="presParOf" srcId="{1E6FC14D-F8CB-4CFF-9790-163BE8CADFC1}" destId="{FD383DCB-9A27-4AB2-8120-3DE8383FFB47}" srcOrd="0" destOrd="0" presId="urn:microsoft.com/office/officeart/2005/8/layout/orgChart1"/>
    <dgm:cxn modelId="{5B5432EF-EE0F-494A-9A69-BEFE86FB0F08}" type="presParOf" srcId="{1E6FC14D-F8CB-4CFF-9790-163BE8CADFC1}" destId="{51FA0752-677B-46DF-8EB6-83ADAE65B8A5}" srcOrd="1" destOrd="0" presId="urn:microsoft.com/office/officeart/2005/8/layout/orgChart1"/>
    <dgm:cxn modelId="{5B81E044-E31C-4F51-8464-CBA48C1810EB}" type="presParOf" srcId="{9958D380-D492-4620-B7E7-957664D75717}" destId="{ADA140B8-3282-47EB-8636-782BFCDE3496}" srcOrd="1" destOrd="0" presId="urn:microsoft.com/office/officeart/2005/8/layout/orgChart1"/>
    <dgm:cxn modelId="{55E72932-0EC8-48A4-878D-32C76A80F094}" type="presParOf" srcId="{9958D380-D492-4620-B7E7-957664D75717}" destId="{84A55A55-CAF1-4F2D-86ED-0679EDD46FCD}" srcOrd="2" destOrd="0" presId="urn:microsoft.com/office/officeart/2005/8/layout/orgChart1"/>
    <dgm:cxn modelId="{F1B72702-C0D8-4D3B-AF28-F3A2C4A61A00}" type="presParOf" srcId="{E7E92FB6-7527-4324-AE3C-3C4FDD9C5424}" destId="{ECA59E38-E784-475C-8EED-285AA5A4C5FA}" srcOrd="12" destOrd="0" presId="urn:microsoft.com/office/officeart/2005/8/layout/orgChart1"/>
    <dgm:cxn modelId="{2C4727C6-905E-43A2-BAC3-C1FBA5A8310F}" type="presParOf" srcId="{E7E92FB6-7527-4324-AE3C-3C4FDD9C5424}" destId="{B885A8AB-B35D-49A1-85E3-971DD9B33950}" srcOrd="13" destOrd="0" presId="urn:microsoft.com/office/officeart/2005/8/layout/orgChart1"/>
    <dgm:cxn modelId="{A9F104B7-372C-4637-BE61-0B48E1353B4B}" type="presParOf" srcId="{B885A8AB-B35D-49A1-85E3-971DD9B33950}" destId="{7280A71A-5E94-4849-9F39-6B0D0205B35E}" srcOrd="0" destOrd="0" presId="urn:microsoft.com/office/officeart/2005/8/layout/orgChart1"/>
    <dgm:cxn modelId="{4491F5B1-31BB-43C3-B717-55D1E8E2C948}" type="presParOf" srcId="{7280A71A-5E94-4849-9F39-6B0D0205B35E}" destId="{97F0C1CF-74CF-404A-B5F8-CE77F2E981AD}" srcOrd="0" destOrd="0" presId="urn:microsoft.com/office/officeart/2005/8/layout/orgChart1"/>
    <dgm:cxn modelId="{8E525FC7-3E23-4D8A-9375-D7F64E8BF7A9}" type="presParOf" srcId="{7280A71A-5E94-4849-9F39-6B0D0205B35E}" destId="{619F5435-A16F-4FE7-B94F-ED66E3432ECB}" srcOrd="1" destOrd="0" presId="urn:microsoft.com/office/officeart/2005/8/layout/orgChart1"/>
    <dgm:cxn modelId="{7418B8D6-1422-45B0-BDC7-A228E8A13CE2}" type="presParOf" srcId="{B885A8AB-B35D-49A1-85E3-971DD9B33950}" destId="{2DBD8C47-6993-43FB-B961-1E8E656FB777}" srcOrd="1" destOrd="0" presId="urn:microsoft.com/office/officeart/2005/8/layout/orgChart1"/>
    <dgm:cxn modelId="{F70C53CC-0675-49F3-BD3A-46C7CC6A514A}" type="presParOf" srcId="{2DBD8C47-6993-43FB-B961-1E8E656FB777}" destId="{804665FC-0945-42CD-95A4-23DBD0DC3279}" srcOrd="0" destOrd="0" presId="urn:microsoft.com/office/officeart/2005/8/layout/orgChart1"/>
    <dgm:cxn modelId="{BD375BDC-D6C0-4181-9BF9-193EF780623C}" type="presParOf" srcId="{2DBD8C47-6993-43FB-B961-1E8E656FB777}" destId="{0B0893C9-C34D-42A8-9BE3-96E9ADD0711C}" srcOrd="1" destOrd="0" presId="urn:microsoft.com/office/officeart/2005/8/layout/orgChart1"/>
    <dgm:cxn modelId="{0AFE412B-AD7D-4B8D-A3D5-808B26015D03}" type="presParOf" srcId="{0B0893C9-C34D-42A8-9BE3-96E9ADD0711C}" destId="{EA51A402-A594-45C6-A71C-7D2116073B9E}" srcOrd="0" destOrd="0" presId="urn:microsoft.com/office/officeart/2005/8/layout/orgChart1"/>
    <dgm:cxn modelId="{88159C3D-E414-4D4B-BD42-FEC5C0AACCAC}" type="presParOf" srcId="{EA51A402-A594-45C6-A71C-7D2116073B9E}" destId="{302F38BF-0449-4D20-97CD-2195155388FE}" srcOrd="0" destOrd="0" presId="urn:microsoft.com/office/officeart/2005/8/layout/orgChart1"/>
    <dgm:cxn modelId="{7ABA122D-0E73-4675-ABA7-8EE00BC02675}" type="presParOf" srcId="{EA51A402-A594-45C6-A71C-7D2116073B9E}" destId="{AFCF73DB-8751-4948-B8C7-84796E53C3FC}" srcOrd="1" destOrd="0" presId="urn:microsoft.com/office/officeart/2005/8/layout/orgChart1"/>
    <dgm:cxn modelId="{D5E13AEC-7903-4572-9270-E2C958D1740C}" type="presParOf" srcId="{0B0893C9-C34D-42A8-9BE3-96E9ADD0711C}" destId="{536E0FC7-FF6F-4791-A146-388953AA9096}" srcOrd="1" destOrd="0" presId="urn:microsoft.com/office/officeart/2005/8/layout/orgChart1"/>
    <dgm:cxn modelId="{1BB10F45-9AD2-4634-B7F4-9FDB0D402E89}" type="presParOf" srcId="{0B0893C9-C34D-42A8-9BE3-96E9ADD0711C}" destId="{0F466D6C-4C31-421C-A7EF-9DB8FBC0D0A1}" srcOrd="2" destOrd="0" presId="urn:microsoft.com/office/officeart/2005/8/layout/orgChart1"/>
    <dgm:cxn modelId="{97EB4FFE-A643-4026-B939-5C5A2D6BC68B}" type="presParOf" srcId="{2DBD8C47-6993-43FB-B961-1E8E656FB777}" destId="{1AC1EDA9-E2F0-441C-BD45-AF4DA73867DF}" srcOrd="2" destOrd="0" presId="urn:microsoft.com/office/officeart/2005/8/layout/orgChart1"/>
    <dgm:cxn modelId="{5507711E-9715-4DC0-9D03-4085C86442F9}" type="presParOf" srcId="{2DBD8C47-6993-43FB-B961-1E8E656FB777}" destId="{3723497B-DE63-4560-8F81-D6D256A01CA9}" srcOrd="3" destOrd="0" presId="urn:microsoft.com/office/officeart/2005/8/layout/orgChart1"/>
    <dgm:cxn modelId="{F6A4B74D-4672-4D79-AE98-47BC2D017C8F}" type="presParOf" srcId="{3723497B-DE63-4560-8F81-D6D256A01CA9}" destId="{363938AD-3404-4405-814D-BACEB8AD031B}" srcOrd="0" destOrd="0" presId="urn:microsoft.com/office/officeart/2005/8/layout/orgChart1"/>
    <dgm:cxn modelId="{C7CD38BE-A0B3-4B59-A19E-65A9C822397C}" type="presParOf" srcId="{363938AD-3404-4405-814D-BACEB8AD031B}" destId="{22658707-FC77-4702-B7D3-0A2F67FC2D6D}" srcOrd="0" destOrd="0" presId="urn:microsoft.com/office/officeart/2005/8/layout/orgChart1"/>
    <dgm:cxn modelId="{08C70838-DFCB-4BCD-B130-4E5207955575}" type="presParOf" srcId="{363938AD-3404-4405-814D-BACEB8AD031B}" destId="{FDDEB235-AA29-444B-9C11-F89E654B3C26}" srcOrd="1" destOrd="0" presId="urn:microsoft.com/office/officeart/2005/8/layout/orgChart1"/>
    <dgm:cxn modelId="{88B52EF5-3655-4A4F-923D-849B3737586C}" type="presParOf" srcId="{3723497B-DE63-4560-8F81-D6D256A01CA9}" destId="{09AF2E8D-7B99-4187-B09A-534669C97B9B}" srcOrd="1" destOrd="0" presId="urn:microsoft.com/office/officeart/2005/8/layout/orgChart1"/>
    <dgm:cxn modelId="{E3E558A9-DA2D-40E3-B3C9-6423ECCABCEF}" type="presParOf" srcId="{3723497B-DE63-4560-8F81-D6D256A01CA9}" destId="{3D3E0E55-B218-4071-8E48-E3653EBA371D}" srcOrd="2" destOrd="0" presId="urn:microsoft.com/office/officeart/2005/8/layout/orgChart1"/>
    <dgm:cxn modelId="{1BFA7629-4666-4BA6-94EB-CCB1564190BD}" type="presParOf" srcId="{2DBD8C47-6993-43FB-B961-1E8E656FB777}" destId="{8BAE17A5-94DC-492D-90D3-BC9FC14A6EEC}" srcOrd="4" destOrd="0" presId="urn:microsoft.com/office/officeart/2005/8/layout/orgChart1"/>
    <dgm:cxn modelId="{A58194E5-484D-462D-9A98-A34E4BC98DCE}" type="presParOf" srcId="{2DBD8C47-6993-43FB-B961-1E8E656FB777}" destId="{7D5B7217-CBE1-45CD-8E8A-3C1845A943D5}" srcOrd="5" destOrd="0" presId="urn:microsoft.com/office/officeart/2005/8/layout/orgChart1"/>
    <dgm:cxn modelId="{33D220C0-4241-40AA-89AF-3156578BA1E0}" type="presParOf" srcId="{7D5B7217-CBE1-45CD-8E8A-3C1845A943D5}" destId="{5D3FDA1E-4E3B-406A-A564-9A24E567E362}" srcOrd="0" destOrd="0" presId="urn:microsoft.com/office/officeart/2005/8/layout/orgChart1"/>
    <dgm:cxn modelId="{B1F2CC30-CCB2-4E8F-ADB0-05FFF3744D16}" type="presParOf" srcId="{5D3FDA1E-4E3B-406A-A564-9A24E567E362}" destId="{D9D539C2-11F3-4715-A2AF-8B810BA17F64}" srcOrd="0" destOrd="0" presId="urn:microsoft.com/office/officeart/2005/8/layout/orgChart1"/>
    <dgm:cxn modelId="{273C183A-53D1-474B-AEF0-25FD84C5B45C}" type="presParOf" srcId="{5D3FDA1E-4E3B-406A-A564-9A24E567E362}" destId="{1D4103EC-1284-44AD-8D27-EA5C000F20AF}" srcOrd="1" destOrd="0" presId="urn:microsoft.com/office/officeart/2005/8/layout/orgChart1"/>
    <dgm:cxn modelId="{D0E294FA-921A-4A91-9E4E-ADB10775622E}" type="presParOf" srcId="{7D5B7217-CBE1-45CD-8E8A-3C1845A943D5}" destId="{E4A4A6BE-17C8-42DA-B517-7EC83E6297ED}" srcOrd="1" destOrd="0" presId="urn:microsoft.com/office/officeart/2005/8/layout/orgChart1"/>
    <dgm:cxn modelId="{D6EB338E-2559-4279-86C2-16861B194F6E}" type="presParOf" srcId="{7D5B7217-CBE1-45CD-8E8A-3C1845A943D5}" destId="{066601EF-6E30-48A9-9915-C6C705CE8A83}" srcOrd="2" destOrd="0" presId="urn:microsoft.com/office/officeart/2005/8/layout/orgChart1"/>
    <dgm:cxn modelId="{8CB0DFEE-0C62-487E-B586-E6F67C950103}" type="presParOf" srcId="{B885A8AB-B35D-49A1-85E3-971DD9B33950}" destId="{14DA5ECE-2161-45BD-B707-59857C2C2CBE}" srcOrd="2" destOrd="0" presId="urn:microsoft.com/office/officeart/2005/8/layout/orgChart1"/>
    <dgm:cxn modelId="{64316DDE-9FF4-419D-BDD1-9F034436A7B5}" type="presParOf" srcId="{E7E92FB6-7527-4324-AE3C-3C4FDD9C5424}" destId="{7726CE78-B518-4A61-AD7B-DB3E0A61F47A}" srcOrd="14" destOrd="0" presId="urn:microsoft.com/office/officeart/2005/8/layout/orgChart1"/>
    <dgm:cxn modelId="{7C9D99C0-0D53-4CDE-A50D-7A0F428469D8}" type="presParOf" srcId="{E7E92FB6-7527-4324-AE3C-3C4FDD9C5424}" destId="{D63DECDE-19E7-4214-A581-5327A5F18988}" srcOrd="15" destOrd="0" presId="urn:microsoft.com/office/officeart/2005/8/layout/orgChart1"/>
    <dgm:cxn modelId="{F9CEF532-97AD-41D9-A555-F0C5D29BBF16}" type="presParOf" srcId="{D63DECDE-19E7-4214-A581-5327A5F18988}" destId="{D02D0950-30EF-4D25-934A-6BAF99F347A6}" srcOrd="0" destOrd="0" presId="urn:microsoft.com/office/officeart/2005/8/layout/orgChart1"/>
    <dgm:cxn modelId="{7037C100-FD32-49A8-9B24-1C173636244D}" type="presParOf" srcId="{D02D0950-30EF-4D25-934A-6BAF99F347A6}" destId="{5304541A-2CFF-48F7-BF1C-5AAD70B1C524}" srcOrd="0" destOrd="0" presId="urn:microsoft.com/office/officeart/2005/8/layout/orgChart1"/>
    <dgm:cxn modelId="{073EB95D-B4BA-455C-95C5-186B91C5126A}" type="presParOf" srcId="{D02D0950-30EF-4D25-934A-6BAF99F347A6}" destId="{3984EFAF-44A0-4CD2-BE43-256C03491F78}" srcOrd="1" destOrd="0" presId="urn:microsoft.com/office/officeart/2005/8/layout/orgChart1"/>
    <dgm:cxn modelId="{D5CB6349-8ECB-4444-A188-8E94568032E8}" type="presParOf" srcId="{D63DECDE-19E7-4214-A581-5327A5F18988}" destId="{3FD37777-CED4-4E6C-9E46-A60E5B06BA9E}" srcOrd="1" destOrd="0" presId="urn:microsoft.com/office/officeart/2005/8/layout/orgChart1"/>
    <dgm:cxn modelId="{672BB974-6227-4A3B-8B0F-3F9ACA944A5F}" type="presParOf" srcId="{3FD37777-CED4-4E6C-9E46-A60E5B06BA9E}" destId="{4B4B6ADA-3736-4CCC-A7F5-3630BA0EE1B7}" srcOrd="0" destOrd="0" presId="urn:microsoft.com/office/officeart/2005/8/layout/orgChart1"/>
    <dgm:cxn modelId="{41552DCD-CC04-41D7-850A-AF74378F45B7}" type="presParOf" srcId="{3FD37777-CED4-4E6C-9E46-A60E5B06BA9E}" destId="{389044DE-7702-4E1E-9C6A-005B83228350}" srcOrd="1" destOrd="0" presId="urn:microsoft.com/office/officeart/2005/8/layout/orgChart1"/>
    <dgm:cxn modelId="{2C70957A-7971-4834-8DEE-781C30CA20E8}" type="presParOf" srcId="{389044DE-7702-4E1E-9C6A-005B83228350}" destId="{247E7AE9-64CA-40A1-A424-17A69C7D32E4}" srcOrd="0" destOrd="0" presId="urn:microsoft.com/office/officeart/2005/8/layout/orgChart1"/>
    <dgm:cxn modelId="{F5AC38F7-91EC-4D62-B3D0-908E32649F6D}" type="presParOf" srcId="{247E7AE9-64CA-40A1-A424-17A69C7D32E4}" destId="{796820A9-3C8B-478E-BAC4-1C14F7600B14}" srcOrd="0" destOrd="0" presId="urn:microsoft.com/office/officeart/2005/8/layout/orgChart1"/>
    <dgm:cxn modelId="{BF312560-45C8-42AF-9B7A-D6244F6B231A}" type="presParOf" srcId="{247E7AE9-64CA-40A1-A424-17A69C7D32E4}" destId="{4D3BF624-DD55-4D07-923D-638A4A195268}" srcOrd="1" destOrd="0" presId="urn:microsoft.com/office/officeart/2005/8/layout/orgChart1"/>
    <dgm:cxn modelId="{D1C569E0-69B2-4F24-9048-DA177EBE7CD2}" type="presParOf" srcId="{389044DE-7702-4E1E-9C6A-005B83228350}" destId="{A59D379D-7BCD-40EF-A4B2-89BAC31F914F}" srcOrd="1" destOrd="0" presId="urn:microsoft.com/office/officeart/2005/8/layout/orgChart1"/>
    <dgm:cxn modelId="{81C25C8B-695C-42B7-B9C8-77A66AD86EE1}" type="presParOf" srcId="{389044DE-7702-4E1E-9C6A-005B83228350}" destId="{DA8177D9-FD34-4766-BF15-259179A5BAEA}" srcOrd="2" destOrd="0" presId="urn:microsoft.com/office/officeart/2005/8/layout/orgChart1"/>
    <dgm:cxn modelId="{F2B57B8B-A5BF-4CE8-8550-8947990EE2D7}" type="presParOf" srcId="{3FD37777-CED4-4E6C-9E46-A60E5B06BA9E}" destId="{14D289AC-5E39-419B-A1F5-26964B159C43}" srcOrd="2" destOrd="0" presId="urn:microsoft.com/office/officeart/2005/8/layout/orgChart1"/>
    <dgm:cxn modelId="{C39C06D3-8DEB-496A-B8E7-017072C2CDFD}" type="presParOf" srcId="{3FD37777-CED4-4E6C-9E46-A60E5B06BA9E}" destId="{ECEBF281-C238-4125-813C-187E250FFE79}" srcOrd="3" destOrd="0" presId="urn:microsoft.com/office/officeart/2005/8/layout/orgChart1"/>
    <dgm:cxn modelId="{B638170E-ACB3-423B-AD6E-60C5A66753D5}" type="presParOf" srcId="{ECEBF281-C238-4125-813C-187E250FFE79}" destId="{635A4651-E023-4430-863A-58EAEAC6E3A9}" srcOrd="0" destOrd="0" presId="urn:microsoft.com/office/officeart/2005/8/layout/orgChart1"/>
    <dgm:cxn modelId="{5376BA55-BF4F-4CC6-9774-40A168CB2C40}" type="presParOf" srcId="{635A4651-E023-4430-863A-58EAEAC6E3A9}" destId="{4AA1B075-4F36-482F-BDE4-B4123BFDFA4A}" srcOrd="0" destOrd="0" presId="urn:microsoft.com/office/officeart/2005/8/layout/orgChart1"/>
    <dgm:cxn modelId="{77E7C508-873D-4801-A1C3-DE592BF24DE6}" type="presParOf" srcId="{635A4651-E023-4430-863A-58EAEAC6E3A9}" destId="{0272A16F-A3F8-4418-8588-83344AE238EF}" srcOrd="1" destOrd="0" presId="urn:microsoft.com/office/officeart/2005/8/layout/orgChart1"/>
    <dgm:cxn modelId="{E96DEA8D-03EB-4205-B90F-315C142A10C1}" type="presParOf" srcId="{ECEBF281-C238-4125-813C-187E250FFE79}" destId="{72F2EF4F-0A63-4070-A9F7-8FFE488C8CDC}" srcOrd="1" destOrd="0" presId="urn:microsoft.com/office/officeart/2005/8/layout/orgChart1"/>
    <dgm:cxn modelId="{877D2C47-579F-4C82-AC30-AC293C42F021}" type="presParOf" srcId="{ECEBF281-C238-4125-813C-187E250FFE79}" destId="{6771BD94-55EF-471A-A48D-6DC22C180D29}" srcOrd="2" destOrd="0" presId="urn:microsoft.com/office/officeart/2005/8/layout/orgChart1"/>
    <dgm:cxn modelId="{93688BFF-1718-4C41-ACBB-06CD42A94321}" type="presParOf" srcId="{3FD37777-CED4-4E6C-9E46-A60E5B06BA9E}" destId="{229DAE5A-10A2-412C-BFD7-2CF17ECBFCA0}" srcOrd="4" destOrd="0" presId="urn:microsoft.com/office/officeart/2005/8/layout/orgChart1"/>
    <dgm:cxn modelId="{4A06D759-EB83-459D-BBF8-84948B77528B}" type="presParOf" srcId="{3FD37777-CED4-4E6C-9E46-A60E5B06BA9E}" destId="{C2800A55-17C1-4B0A-AA74-C2D94030F1FF}" srcOrd="5" destOrd="0" presId="urn:microsoft.com/office/officeart/2005/8/layout/orgChart1"/>
    <dgm:cxn modelId="{940DF81E-D7FD-47C1-947E-896375D5CB99}" type="presParOf" srcId="{C2800A55-17C1-4B0A-AA74-C2D94030F1FF}" destId="{9ED890E6-3E58-46EC-969C-F7A03121400E}" srcOrd="0" destOrd="0" presId="urn:microsoft.com/office/officeart/2005/8/layout/orgChart1"/>
    <dgm:cxn modelId="{88AAB120-9AB5-457B-A2F1-96FEECD1537B}" type="presParOf" srcId="{9ED890E6-3E58-46EC-969C-F7A03121400E}" destId="{6793C568-2D01-41FE-A5FC-93FF121A5BB9}" srcOrd="0" destOrd="0" presId="urn:microsoft.com/office/officeart/2005/8/layout/orgChart1"/>
    <dgm:cxn modelId="{EACA28C9-33EE-4068-9A26-017CB3E293DD}" type="presParOf" srcId="{9ED890E6-3E58-46EC-969C-F7A03121400E}" destId="{FF2E973A-4707-40E2-B592-DB13EBB84CA7}" srcOrd="1" destOrd="0" presId="urn:microsoft.com/office/officeart/2005/8/layout/orgChart1"/>
    <dgm:cxn modelId="{E62DEFBC-975D-446C-9B82-E97097813858}" type="presParOf" srcId="{C2800A55-17C1-4B0A-AA74-C2D94030F1FF}" destId="{BC358D4A-FC24-4D89-AE45-083422CC10CE}" srcOrd="1" destOrd="0" presId="urn:microsoft.com/office/officeart/2005/8/layout/orgChart1"/>
    <dgm:cxn modelId="{CEE69DCF-1332-4318-92F5-BB66A13A165A}" type="presParOf" srcId="{C2800A55-17C1-4B0A-AA74-C2D94030F1FF}" destId="{5B908E96-B739-4A79-87ED-67F819111D3A}" srcOrd="2" destOrd="0" presId="urn:microsoft.com/office/officeart/2005/8/layout/orgChart1"/>
    <dgm:cxn modelId="{5798E63F-4AC2-4930-997A-B2F9229164FB}" type="presParOf" srcId="{D63DECDE-19E7-4214-A581-5327A5F18988}" destId="{5A3DFA76-AC53-475A-89CA-BB2E93E48F81}" srcOrd="2" destOrd="0" presId="urn:microsoft.com/office/officeart/2005/8/layout/orgChart1"/>
    <dgm:cxn modelId="{821E1976-5F99-4BC5-9FD9-03578C5F8227}" type="presParOf" srcId="{DE8C0EDE-A6C3-4252-8CBB-918B65F1173F}" destId="{8D3AF7BD-3769-4E95-9E1B-9A6724B394A2}" srcOrd="2" destOrd="0" presId="urn:microsoft.com/office/officeart/2005/8/layout/orgChart1"/>
    <dgm:cxn modelId="{5C746FD1-F801-4446-BBEC-3A98C8E7BE1E}" type="presParOf" srcId="{A9290984-C8CC-498B-B232-BBE4AE95E07C}" destId="{A95ACD39-570D-4B29-9367-FDB4A614E043}" srcOrd="2" destOrd="0" presId="urn:microsoft.com/office/officeart/2005/8/layout/orgChart1"/>
    <dgm:cxn modelId="{88C26269-C069-437F-A3B2-C5FA1C021724}" type="presParOf" srcId="{0967584A-6C48-40B2-8023-1DC86A6FA07E}" destId="{41C85DF5-9E13-4F62-A8BB-465DFFB235FD}" srcOrd="2" destOrd="0" presId="urn:microsoft.com/office/officeart/2005/8/layout/orgChart1"/>
    <dgm:cxn modelId="{162F236F-4AEC-4C1C-BA3B-B962E2BDE826}" type="presParOf" srcId="{0967584A-6C48-40B2-8023-1DC86A6FA07E}" destId="{EF6F12D5-0466-49E3-95F2-75508FA6C14A}" srcOrd="3" destOrd="0" presId="urn:microsoft.com/office/officeart/2005/8/layout/orgChart1"/>
    <dgm:cxn modelId="{2CE16CD5-0CB2-4F85-A909-AB8C6000BD88}" type="presParOf" srcId="{EF6F12D5-0466-49E3-95F2-75508FA6C14A}" destId="{3C48438E-D630-4F37-8FA5-210747FDD073}" srcOrd="0" destOrd="0" presId="urn:microsoft.com/office/officeart/2005/8/layout/orgChart1"/>
    <dgm:cxn modelId="{ACA0FA58-7D7D-4A96-99B6-9E551E8BA064}" type="presParOf" srcId="{3C48438E-D630-4F37-8FA5-210747FDD073}" destId="{716787AA-5CB6-4C05-A687-B9340853CC52}" srcOrd="0" destOrd="0" presId="urn:microsoft.com/office/officeart/2005/8/layout/orgChart1"/>
    <dgm:cxn modelId="{0258CC0C-735B-4C61-BE91-FA6D5465867E}" type="presParOf" srcId="{3C48438E-D630-4F37-8FA5-210747FDD073}" destId="{D82E2718-A593-4075-B902-3E172DD1E678}" srcOrd="1" destOrd="0" presId="urn:microsoft.com/office/officeart/2005/8/layout/orgChart1"/>
    <dgm:cxn modelId="{B18AB25B-B898-4E0F-B5E6-1095685EA0A7}" type="presParOf" srcId="{EF6F12D5-0466-49E3-95F2-75508FA6C14A}" destId="{8D9EAEEE-094B-4F39-88F0-284E3AC465E0}" srcOrd="1" destOrd="0" presId="urn:microsoft.com/office/officeart/2005/8/layout/orgChart1"/>
    <dgm:cxn modelId="{B1208748-589F-485D-A68D-A53BC1B39FFD}" type="presParOf" srcId="{8D9EAEEE-094B-4F39-88F0-284E3AC465E0}" destId="{0CCF6D34-7478-462D-A3CB-98B162ADBDF8}" srcOrd="0" destOrd="0" presId="urn:microsoft.com/office/officeart/2005/8/layout/orgChart1"/>
    <dgm:cxn modelId="{34C810C7-1424-4725-AB57-C53FF7B48705}" type="presParOf" srcId="{8D9EAEEE-094B-4F39-88F0-284E3AC465E0}" destId="{A52BB829-9296-46BA-9252-F69305B4B801}" srcOrd="1" destOrd="0" presId="urn:microsoft.com/office/officeart/2005/8/layout/orgChart1"/>
    <dgm:cxn modelId="{8678F3EA-CC62-4012-9B8C-0E973A8E0B73}" type="presParOf" srcId="{A52BB829-9296-46BA-9252-F69305B4B801}" destId="{5E046E05-A48A-416E-9792-828C2FEB1D71}" srcOrd="0" destOrd="0" presId="urn:microsoft.com/office/officeart/2005/8/layout/orgChart1"/>
    <dgm:cxn modelId="{C2CC49A1-B2D9-4857-8870-34DFA28DE045}" type="presParOf" srcId="{5E046E05-A48A-416E-9792-828C2FEB1D71}" destId="{3C4190D3-F4FC-4810-8940-5F073A1EE88B}" srcOrd="0" destOrd="0" presId="urn:microsoft.com/office/officeart/2005/8/layout/orgChart1"/>
    <dgm:cxn modelId="{F7A04973-8370-4C70-815F-0C502A535EB8}" type="presParOf" srcId="{5E046E05-A48A-416E-9792-828C2FEB1D71}" destId="{8D65E529-C257-441F-8E57-F57050914B50}" srcOrd="1" destOrd="0" presId="urn:microsoft.com/office/officeart/2005/8/layout/orgChart1"/>
    <dgm:cxn modelId="{B8DBD19C-6E79-468F-AF05-1C9C0D631F21}" type="presParOf" srcId="{A52BB829-9296-46BA-9252-F69305B4B801}" destId="{88F97D6B-B336-42F4-9F43-06D50BC6A3AA}" srcOrd="1" destOrd="0" presId="urn:microsoft.com/office/officeart/2005/8/layout/orgChart1"/>
    <dgm:cxn modelId="{1123B9C4-45B4-4D43-867F-8787B16BC45D}" type="presParOf" srcId="{88F97D6B-B336-42F4-9F43-06D50BC6A3AA}" destId="{B95C4E54-A506-4F12-9BB8-CFB24DB8D6EF}" srcOrd="0" destOrd="0" presId="urn:microsoft.com/office/officeart/2005/8/layout/orgChart1"/>
    <dgm:cxn modelId="{D32A342F-EFBF-4594-8A8B-CF4CC43A9E40}" type="presParOf" srcId="{88F97D6B-B336-42F4-9F43-06D50BC6A3AA}" destId="{25DCBC29-F44E-459D-B3A2-432142A949C9}" srcOrd="1" destOrd="0" presId="urn:microsoft.com/office/officeart/2005/8/layout/orgChart1"/>
    <dgm:cxn modelId="{6974466B-B42C-429F-AB72-30FFAC99714A}" type="presParOf" srcId="{25DCBC29-F44E-459D-B3A2-432142A949C9}" destId="{46F4AE21-318C-4D8F-9675-B72E0A15E016}" srcOrd="0" destOrd="0" presId="urn:microsoft.com/office/officeart/2005/8/layout/orgChart1"/>
    <dgm:cxn modelId="{67B1A8E7-B6A8-4ADE-A4E1-2787059A1D05}" type="presParOf" srcId="{46F4AE21-318C-4D8F-9675-B72E0A15E016}" destId="{C1DA4007-A360-43BA-AA7D-F65192007956}" srcOrd="0" destOrd="0" presId="urn:microsoft.com/office/officeart/2005/8/layout/orgChart1"/>
    <dgm:cxn modelId="{5E5153ED-3C0D-4770-BE89-45F74290A813}" type="presParOf" srcId="{46F4AE21-318C-4D8F-9675-B72E0A15E016}" destId="{E0D84F01-EB59-4B6D-9D94-3162864D0631}" srcOrd="1" destOrd="0" presId="urn:microsoft.com/office/officeart/2005/8/layout/orgChart1"/>
    <dgm:cxn modelId="{750118AD-16E7-43BC-8C2A-048253638311}" type="presParOf" srcId="{25DCBC29-F44E-459D-B3A2-432142A949C9}" destId="{D87FFEF6-854A-419C-8194-31E4E09B7C12}" srcOrd="1" destOrd="0" presId="urn:microsoft.com/office/officeart/2005/8/layout/orgChart1"/>
    <dgm:cxn modelId="{090CE6B1-881D-4754-99AC-CDBD897DDE76}" type="presParOf" srcId="{25DCBC29-F44E-459D-B3A2-432142A949C9}" destId="{78EB3A1B-9438-4885-B0AE-C91551BC01F9}" srcOrd="2" destOrd="0" presId="urn:microsoft.com/office/officeart/2005/8/layout/orgChart1"/>
    <dgm:cxn modelId="{C094EEE8-1559-4A10-B7CC-60CDCABA30A2}" type="presParOf" srcId="{88F97D6B-B336-42F4-9F43-06D50BC6A3AA}" destId="{1DFB3316-E80C-471D-94F4-6ADC2A834BEF}" srcOrd="2" destOrd="0" presId="urn:microsoft.com/office/officeart/2005/8/layout/orgChart1"/>
    <dgm:cxn modelId="{7905F3E0-FD31-4FD7-B1CD-2110155986C3}" type="presParOf" srcId="{88F97D6B-B336-42F4-9F43-06D50BC6A3AA}" destId="{496F35EF-1772-48D1-8562-14F60051B7EF}" srcOrd="3" destOrd="0" presId="urn:microsoft.com/office/officeart/2005/8/layout/orgChart1"/>
    <dgm:cxn modelId="{9C7500AD-B270-4232-9336-6B58167C93E3}" type="presParOf" srcId="{496F35EF-1772-48D1-8562-14F60051B7EF}" destId="{66F5342C-B5A2-4910-B61B-BE88CF640BB2}" srcOrd="0" destOrd="0" presId="urn:microsoft.com/office/officeart/2005/8/layout/orgChart1"/>
    <dgm:cxn modelId="{CF0B2DB2-C84D-4833-9D2D-2ADD7AC739E9}" type="presParOf" srcId="{66F5342C-B5A2-4910-B61B-BE88CF640BB2}" destId="{1FAEC8B9-1620-40CD-AF0A-81014B81F591}" srcOrd="0" destOrd="0" presId="urn:microsoft.com/office/officeart/2005/8/layout/orgChart1"/>
    <dgm:cxn modelId="{025CD71F-9439-4A9B-B02B-7BFA18B7480D}" type="presParOf" srcId="{66F5342C-B5A2-4910-B61B-BE88CF640BB2}" destId="{D92E0C15-FFDE-4D4D-B7E2-B07281D01A24}" srcOrd="1" destOrd="0" presId="urn:microsoft.com/office/officeart/2005/8/layout/orgChart1"/>
    <dgm:cxn modelId="{2EA98312-0900-4AE4-9DE9-9755BF15DC1D}" type="presParOf" srcId="{496F35EF-1772-48D1-8562-14F60051B7EF}" destId="{9F5A3731-DCA3-4CAB-82AD-2C083FF60544}" srcOrd="1" destOrd="0" presId="urn:microsoft.com/office/officeart/2005/8/layout/orgChart1"/>
    <dgm:cxn modelId="{434A8572-A3E4-4EB2-929C-F4AED59DCC27}" type="presParOf" srcId="{496F35EF-1772-48D1-8562-14F60051B7EF}" destId="{766FD2C6-D8D1-4CF1-8541-10A2C47FFC0F}" srcOrd="2" destOrd="0" presId="urn:microsoft.com/office/officeart/2005/8/layout/orgChart1"/>
    <dgm:cxn modelId="{3B199197-9B1A-4371-9A49-307A4B241A38}" type="presParOf" srcId="{A52BB829-9296-46BA-9252-F69305B4B801}" destId="{9F5064A6-39D1-4B46-A015-3440689C597A}" srcOrd="2" destOrd="0" presId="urn:microsoft.com/office/officeart/2005/8/layout/orgChart1"/>
    <dgm:cxn modelId="{A3EBAB43-F23F-491D-86D5-A191D302E32D}" type="presParOf" srcId="{8D9EAEEE-094B-4F39-88F0-284E3AC465E0}" destId="{0F336E24-1947-48B4-B4F4-9A3FBEAFDD5D}" srcOrd="2" destOrd="0" presId="urn:microsoft.com/office/officeart/2005/8/layout/orgChart1"/>
    <dgm:cxn modelId="{72247B3C-ABEE-4D60-9EF4-EC982732B607}" type="presParOf" srcId="{8D9EAEEE-094B-4F39-88F0-284E3AC465E0}" destId="{183405F9-094C-417B-BA44-F616C30E8FAF}" srcOrd="3" destOrd="0" presId="urn:microsoft.com/office/officeart/2005/8/layout/orgChart1"/>
    <dgm:cxn modelId="{1F75AD87-B98A-4E33-B818-1FCA33360FA4}" type="presParOf" srcId="{183405F9-094C-417B-BA44-F616C30E8FAF}" destId="{D53A8143-BB82-428D-ADD0-78456EE91C24}" srcOrd="0" destOrd="0" presId="urn:microsoft.com/office/officeart/2005/8/layout/orgChart1"/>
    <dgm:cxn modelId="{8BF9B464-257B-4337-BB0C-3D62BA12437A}" type="presParOf" srcId="{D53A8143-BB82-428D-ADD0-78456EE91C24}" destId="{866E4FC1-3CF3-45B7-BE60-37F9C053A188}" srcOrd="0" destOrd="0" presId="urn:microsoft.com/office/officeart/2005/8/layout/orgChart1"/>
    <dgm:cxn modelId="{FA75B4D0-276F-4798-8E00-56BF0F2DA4C0}" type="presParOf" srcId="{D53A8143-BB82-428D-ADD0-78456EE91C24}" destId="{DB0D28C5-6F16-4EF9-AAA2-E84856127121}" srcOrd="1" destOrd="0" presId="urn:microsoft.com/office/officeart/2005/8/layout/orgChart1"/>
    <dgm:cxn modelId="{960DDCA2-F7FC-4586-8EE6-C327A686CDC3}" type="presParOf" srcId="{183405F9-094C-417B-BA44-F616C30E8FAF}" destId="{ACF1C1E0-1572-48E6-B423-9C1355D66862}" srcOrd="1" destOrd="0" presId="urn:microsoft.com/office/officeart/2005/8/layout/orgChart1"/>
    <dgm:cxn modelId="{C30D70D9-7CE5-4F85-97D2-68FA75FDC594}" type="presParOf" srcId="{ACF1C1E0-1572-48E6-B423-9C1355D66862}" destId="{B29EC56D-E536-4CEA-BB72-E567469C02DE}" srcOrd="0" destOrd="0" presId="urn:microsoft.com/office/officeart/2005/8/layout/orgChart1"/>
    <dgm:cxn modelId="{4CF6D1E7-69EC-4378-98B5-B4A3BF497C24}" type="presParOf" srcId="{ACF1C1E0-1572-48E6-B423-9C1355D66862}" destId="{EDBC31CE-51BC-441B-9DFA-D7B35D39BDF5}" srcOrd="1" destOrd="0" presId="urn:microsoft.com/office/officeart/2005/8/layout/orgChart1"/>
    <dgm:cxn modelId="{58727FFC-59A1-4B1E-8978-FFC3FC1588A2}" type="presParOf" srcId="{EDBC31CE-51BC-441B-9DFA-D7B35D39BDF5}" destId="{235D9D00-16D8-4A18-9336-7AE0D8111350}" srcOrd="0" destOrd="0" presId="urn:microsoft.com/office/officeart/2005/8/layout/orgChart1"/>
    <dgm:cxn modelId="{FBBD456C-0B46-4B50-91EB-8725BE7A0D66}" type="presParOf" srcId="{235D9D00-16D8-4A18-9336-7AE0D8111350}" destId="{EF00520E-C4AB-436E-A7B2-609885E8348D}" srcOrd="0" destOrd="0" presId="urn:microsoft.com/office/officeart/2005/8/layout/orgChart1"/>
    <dgm:cxn modelId="{F1943FBA-EAA4-4D39-8AFC-5CDF41CFC45D}" type="presParOf" srcId="{235D9D00-16D8-4A18-9336-7AE0D8111350}" destId="{0A46BDE0-F36C-4643-8FCD-7EC150C73437}" srcOrd="1" destOrd="0" presId="urn:microsoft.com/office/officeart/2005/8/layout/orgChart1"/>
    <dgm:cxn modelId="{CC164B85-E6EF-4406-86DA-4C1E35E89A6E}" type="presParOf" srcId="{EDBC31CE-51BC-441B-9DFA-D7B35D39BDF5}" destId="{A3D8C086-F4EC-4AA1-B06C-39848C3C110C}" srcOrd="1" destOrd="0" presId="urn:microsoft.com/office/officeart/2005/8/layout/orgChart1"/>
    <dgm:cxn modelId="{6EDCCE61-B40F-4851-AF0F-569BB498A58E}" type="presParOf" srcId="{EDBC31CE-51BC-441B-9DFA-D7B35D39BDF5}" destId="{F5E2D6B4-6A56-423A-9982-3B4E30A693E5}" srcOrd="2" destOrd="0" presId="urn:microsoft.com/office/officeart/2005/8/layout/orgChart1"/>
    <dgm:cxn modelId="{FBE9BE78-92B7-4674-80F5-C7A2CBCFE9C7}" type="presParOf" srcId="{ACF1C1E0-1572-48E6-B423-9C1355D66862}" destId="{4B8DAE74-C1BE-4637-A8C4-CA3035967BAC}" srcOrd="2" destOrd="0" presId="urn:microsoft.com/office/officeart/2005/8/layout/orgChart1"/>
    <dgm:cxn modelId="{30C3950E-C8A7-4785-89FE-B7EEBE08D33D}" type="presParOf" srcId="{ACF1C1E0-1572-48E6-B423-9C1355D66862}" destId="{0BC7A88C-0CC4-4C08-933A-21FF9E13754F}" srcOrd="3" destOrd="0" presId="urn:microsoft.com/office/officeart/2005/8/layout/orgChart1"/>
    <dgm:cxn modelId="{96ED6AE1-B3D0-431E-B2CB-1EF8E1185B4A}" type="presParOf" srcId="{0BC7A88C-0CC4-4C08-933A-21FF9E13754F}" destId="{39845257-0260-48E5-853E-C0992CF3BF8F}" srcOrd="0" destOrd="0" presId="urn:microsoft.com/office/officeart/2005/8/layout/orgChart1"/>
    <dgm:cxn modelId="{11FD91F1-49BB-40ED-BE8A-79D5B9ADF616}" type="presParOf" srcId="{39845257-0260-48E5-853E-C0992CF3BF8F}" destId="{EED603B7-ACC2-4021-B121-8AF5A83DA528}" srcOrd="0" destOrd="0" presId="urn:microsoft.com/office/officeart/2005/8/layout/orgChart1"/>
    <dgm:cxn modelId="{6E6839E9-A645-4BB7-B7F3-171ADEBA82CD}" type="presParOf" srcId="{39845257-0260-48E5-853E-C0992CF3BF8F}" destId="{D61A406A-86EB-4D44-8B51-F7E9D4BDE603}" srcOrd="1" destOrd="0" presId="urn:microsoft.com/office/officeart/2005/8/layout/orgChart1"/>
    <dgm:cxn modelId="{04E85003-3C4A-47F8-8417-04B77F1F127C}" type="presParOf" srcId="{0BC7A88C-0CC4-4C08-933A-21FF9E13754F}" destId="{F2233ACA-66EF-497E-ACE5-91B9DDCA5B2E}" srcOrd="1" destOrd="0" presId="urn:microsoft.com/office/officeart/2005/8/layout/orgChart1"/>
    <dgm:cxn modelId="{47C336C4-309B-41C1-A0B0-3B44AC449DF2}" type="presParOf" srcId="{0BC7A88C-0CC4-4C08-933A-21FF9E13754F}" destId="{BFAB5CF8-C38C-4B69-9DA7-12A1B71DCB49}" srcOrd="2" destOrd="0" presId="urn:microsoft.com/office/officeart/2005/8/layout/orgChart1"/>
    <dgm:cxn modelId="{69E3F3F3-A4C9-4EC6-8BBD-B268848D25D6}" type="presParOf" srcId="{ACF1C1E0-1572-48E6-B423-9C1355D66862}" destId="{0B6907AF-976E-4DDC-B8CE-F0045249655B}" srcOrd="4" destOrd="0" presId="urn:microsoft.com/office/officeart/2005/8/layout/orgChart1"/>
    <dgm:cxn modelId="{CFEEBFBD-1BF6-4001-9E77-CE92263093FB}" type="presParOf" srcId="{ACF1C1E0-1572-48E6-B423-9C1355D66862}" destId="{334566E6-6274-4619-9D91-CD2560D36589}" srcOrd="5" destOrd="0" presId="urn:microsoft.com/office/officeart/2005/8/layout/orgChart1"/>
    <dgm:cxn modelId="{868649F1-8145-47D1-92BE-4F51E710795C}" type="presParOf" srcId="{334566E6-6274-4619-9D91-CD2560D36589}" destId="{80F4DAEF-B538-4FAE-9306-68677687E88F}" srcOrd="0" destOrd="0" presId="urn:microsoft.com/office/officeart/2005/8/layout/orgChart1"/>
    <dgm:cxn modelId="{40DFF586-3726-462E-9110-98A75C9F9CAD}" type="presParOf" srcId="{80F4DAEF-B538-4FAE-9306-68677687E88F}" destId="{622E5712-87DF-4A84-90A7-4D094C8084E7}" srcOrd="0" destOrd="0" presId="urn:microsoft.com/office/officeart/2005/8/layout/orgChart1"/>
    <dgm:cxn modelId="{987D4022-77B1-4960-90C9-29AABC6F0BC5}" type="presParOf" srcId="{80F4DAEF-B538-4FAE-9306-68677687E88F}" destId="{4CA0C448-AF23-4D27-A9A5-32C89F667FD1}" srcOrd="1" destOrd="0" presId="urn:microsoft.com/office/officeart/2005/8/layout/orgChart1"/>
    <dgm:cxn modelId="{91612B4A-C54A-41E5-A4D1-5A37CB985FE1}" type="presParOf" srcId="{334566E6-6274-4619-9D91-CD2560D36589}" destId="{7371F5E5-7FEA-418F-A6DC-1683B49C7D10}" srcOrd="1" destOrd="0" presId="urn:microsoft.com/office/officeart/2005/8/layout/orgChart1"/>
    <dgm:cxn modelId="{3F133537-E25E-4E02-8191-877C2CE51673}" type="presParOf" srcId="{334566E6-6274-4619-9D91-CD2560D36589}" destId="{58E5D543-2A9E-4C56-86B8-119E62B1F174}" srcOrd="2" destOrd="0" presId="urn:microsoft.com/office/officeart/2005/8/layout/orgChart1"/>
    <dgm:cxn modelId="{8030C9D9-76F5-4BAB-9C67-D719F86BACD3}" type="presParOf" srcId="{ACF1C1E0-1572-48E6-B423-9C1355D66862}" destId="{6D3CA8F7-E042-444D-AC9A-1B20BF13316C}" srcOrd="6" destOrd="0" presId="urn:microsoft.com/office/officeart/2005/8/layout/orgChart1"/>
    <dgm:cxn modelId="{5973B4E2-8BE7-4F41-A2C8-017BAA059F3D}" type="presParOf" srcId="{ACF1C1E0-1572-48E6-B423-9C1355D66862}" destId="{CE1DDA47-AD6F-47FB-BBF4-8F8001FA7147}" srcOrd="7" destOrd="0" presId="urn:microsoft.com/office/officeart/2005/8/layout/orgChart1"/>
    <dgm:cxn modelId="{856C131A-E2A1-446A-905C-885C68C74C49}" type="presParOf" srcId="{CE1DDA47-AD6F-47FB-BBF4-8F8001FA7147}" destId="{18C8EB8A-2667-4704-9C1B-BFAFBF3E7E35}" srcOrd="0" destOrd="0" presId="urn:microsoft.com/office/officeart/2005/8/layout/orgChart1"/>
    <dgm:cxn modelId="{5A7E105B-230C-417B-B3A3-79B05BD53793}" type="presParOf" srcId="{18C8EB8A-2667-4704-9C1B-BFAFBF3E7E35}" destId="{D266B9AF-6D48-40E3-8EBD-AF588DFA91CC}" srcOrd="0" destOrd="0" presId="urn:microsoft.com/office/officeart/2005/8/layout/orgChart1"/>
    <dgm:cxn modelId="{840C4FC2-22B9-4166-80F5-01E3E0D789C9}" type="presParOf" srcId="{18C8EB8A-2667-4704-9C1B-BFAFBF3E7E35}" destId="{52F63D95-5C84-4728-918F-955187F5A66E}" srcOrd="1" destOrd="0" presId="urn:microsoft.com/office/officeart/2005/8/layout/orgChart1"/>
    <dgm:cxn modelId="{CCEA1A7C-825D-44F0-94A4-680BD48AEBED}" type="presParOf" srcId="{CE1DDA47-AD6F-47FB-BBF4-8F8001FA7147}" destId="{771E4EE7-A259-4207-A55F-C4DB0E067BC6}" srcOrd="1" destOrd="0" presId="urn:microsoft.com/office/officeart/2005/8/layout/orgChart1"/>
    <dgm:cxn modelId="{5CBE4E56-916C-4723-9299-7DE18A4B2C3E}" type="presParOf" srcId="{CE1DDA47-AD6F-47FB-BBF4-8F8001FA7147}" destId="{ED329A58-5A0C-4AF0-B229-0698E55BF7DD}" srcOrd="2" destOrd="0" presId="urn:microsoft.com/office/officeart/2005/8/layout/orgChart1"/>
    <dgm:cxn modelId="{C69C9E1E-D199-4D75-A9D0-76CDC183E675}" type="presParOf" srcId="{183405F9-094C-417B-BA44-F616C30E8FAF}" destId="{066B9AAF-0A9C-40D8-ABF1-5B75BBEBC214}" srcOrd="2" destOrd="0" presId="urn:microsoft.com/office/officeart/2005/8/layout/orgChart1"/>
    <dgm:cxn modelId="{CB1311FA-44B6-4B1E-B94A-F1A2F7896C90}" type="presParOf" srcId="{EF6F12D5-0466-49E3-95F2-75508FA6C14A}" destId="{8A8055C6-024A-49DB-B4CE-3AB60803DFF3}" srcOrd="2" destOrd="0" presId="urn:microsoft.com/office/officeart/2005/8/layout/orgChart1"/>
    <dgm:cxn modelId="{EFD63BAB-FE54-4EEB-B3C8-3B147FA5A495}" type="presParOf" srcId="{0967584A-6C48-40B2-8023-1DC86A6FA07E}" destId="{F412D91D-E6DF-4CEA-8701-B073A8FD2290}" srcOrd="4" destOrd="0" presId="urn:microsoft.com/office/officeart/2005/8/layout/orgChart1"/>
    <dgm:cxn modelId="{CF50CB09-90E4-469D-8AE6-D368FBB7B16E}" type="presParOf" srcId="{0967584A-6C48-40B2-8023-1DC86A6FA07E}" destId="{16F1A5F0-1E88-4A26-8A91-451CE4298AE6}" srcOrd="5" destOrd="0" presId="urn:microsoft.com/office/officeart/2005/8/layout/orgChart1"/>
    <dgm:cxn modelId="{E4535FD5-C64A-42AD-A62C-E8F71F596E94}" type="presParOf" srcId="{16F1A5F0-1E88-4A26-8A91-451CE4298AE6}" destId="{7BC5D34E-0F72-48DC-B90B-52FFF0366B48}" srcOrd="0" destOrd="0" presId="urn:microsoft.com/office/officeart/2005/8/layout/orgChart1"/>
    <dgm:cxn modelId="{78C77187-4D01-41CA-A604-A474C1CF6BB8}" type="presParOf" srcId="{7BC5D34E-0F72-48DC-B90B-52FFF0366B48}" destId="{B5ADB9EC-6355-4105-96AE-5B792D7945D4}" srcOrd="0" destOrd="0" presId="urn:microsoft.com/office/officeart/2005/8/layout/orgChart1"/>
    <dgm:cxn modelId="{E1B3E883-7997-49C3-81B7-68868E399DBE}" type="presParOf" srcId="{7BC5D34E-0F72-48DC-B90B-52FFF0366B48}" destId="{136BC803-CD36-4181-A6C1-4402FB7CF5C3}" srcOrd="1" destOrd="0" presId="urn:microsoft.com/office/officeart/2005/8/layout/orgChart1"/>
    <dgm:cxn modelId="{7C9C38CC-F24A-498C-A195-297D1DA0A343}" type="presParOf" srcId="{16F1A5F0-1E88-4A26-8A91-451CE4298AE6}" destId="{85FB1F5F-B83B-4878-BB18-FE443E16ABFC}" srcOrd="1" destOrd="0" presId="urn:microsoft.com/office/officeart/2005/8/layout/orgChart1"/>
    <dgm:cxn modelId="{506A854C-8CA0-4024-8812-95BD77B2E186}" type="presParOf" srcId="{85FB1F5F-B83B-4878-BB18-FE443E16ABFC}" destId="{851CBB15-86BD-4759-8FB1-6041E3ECBDC3}" srcOrd="0" destOrd="0" presId="urn:microsoft.com/office/officeart/2005/8/layout/orgChart1"/>
    <dgm:cxn modelId="{2D7FD389-E9D2-4B3B-A762-317D8D03A9E7}" type="presParOf" srcId="{85FB1F5F-B83B-4878-BB18-FE443E16ABFC}" destId="{4EB34C5D-5931-4B8B-A7FE-38D00229212F}" srcOrd="1" destOrd="0" presId="urn:microsoft.com/office/officeart/2005/8/layout/orgChart1"/>
    <dgm:cxn modelId="{F442EBA0-BAAE-41C0-90E0-3CC385D49AE8}" type="presParOf" srcId="{4EB34C5D-5931-4B8B-A7FE-38D00229212F}" destId="{9E3AEDC1-A4EA-4B42-912E-B62133BC35CF}" srcOrd="0" destOrd="0" presId="urn:microsoft.com/office/officeart/2005/8/layout/orgChart1"/>
    <dgm:cxn modelId="{B5E5B6C6-C8DD-4ACA-B7AD-E3911DE12845}" type="presParOf" srcId="{9E3AEDC1-A4EA-4B42-912E-B62133BC35CF}" destId="{1929155A-0BBF-47A9-A824-BAE16E2A3636}" srcOrd="0" destOrd="0" presId="urn:microsoft.com/office/officeart/2005/8/layout/orgChart1"/>
    <dgm:cxn modelId="{1A55D70F-A4C2-4A3A-A3D4-CDC6243192A6}" type="presParOf" srcId="{9E3AEDC1-A4EA-4B42-912E-B62133BC35CF}" destId="{1FE2B47A-DAC1-4B31-848B-A65512DE18F3}" srcOrd="1" destOrd="0" presId="urn:microsoft.com/office/officeart/2005/8/layout/orgChart1"/>
    <dgm:cxn modelId="{F62B5847-03C2-4FD0-89B9-E3FA4050CB79}" type="presParOf" srcId="{4EB34C5D-5931-4B8B-A7FE-38D00229212F}" destId="{9CA01BA7-30BE-4FDE-8D19-6F9F797AF9F9}" srcOrd="1" destOrd="0" presId="urn:microsoft.com/office/officeart/2005/8/layout/orgChart1"/>
    <dgm:cxn modelId="{85C7F5D2-D824-44C4-843A-D4776EC97F0C}" type="presParOf" srcId="{4EB34C5D-5931-4B8B-A7FE-38D00229212F}" destId="{C350EF59-121F-4635-929F-6F4DDE4C464E}" srcOrd="2" destOrd="0" presId="urn:microsoft.com/office/officeart/2005/8/layout/orgChart1"/>
    <dgm:cxn modelId="{0501A2BB-7F10-4CDD-84D0-0788A22080FB}" type="presParOf" srcId="{85FB1F5F-B83B-4878-BB18-FE443E16ABFC}" destId="{35DF9D2C-2463-4D45-8AE1-7899904C9F2F}" srcOrd="2" destOrd="0" presId="urn:microsoft.com/office/officeart/2005/8/layout/orgChart1"/>
    <dgm:cxn modelId="{34C44B24-73AD-43CB-8A51-16D28BB37C63}" type="presParOf" srcId="{85FB1F5F-B83B-4878-BB18-FE443E16ABFC}" destId="{971B2CD1-BA80-4CCD-B122-F55BEF39BE62}" srcOrd="3" destOrd="0" presId="urn:microsoft.com/office/officeart/2005/8/layout/orgChart1"/>
    <dgm:cxn modelId="{0781B055-A7A8-4301-A98A-EA2BD32BBC19}" type="presParOf" srcId="{971B2CD1-BA80-4CCD-B122-F55BEF39BE62}" destId="{73B2374A-E327-4827-B413-D81ACE229043}" srcOrd="0" destOrd="0" presId="urn:microsoft.com/office/officeart/2005/8/layout/orgChart1"/>
    <dgm:cxn modelId="{BBF56FE9-2002-4B2C-80F6-FC1D560276FD}" type="presParOf" srcId="{73B2374A-E327-4827-B413-D81ACE229043}" destId="{EE20F720-F98C-43E8-A1D6-56D586AC6531}" srcOrd="0" destOrd="0" presId="urn:microsoft.com/office/officeart/2005/8/layout/orgChart1"/>
    <dgm:cxn modelId="{8BBADCD0-8FBB-45F2-B361-C92826EA47C0}" type="presParOf" srcId="{73B2374A-E327-4827-B413-D81ACE229043}" destId="{CCB5D44E-69E8-4869-8F22-7B1266FDA2D8}" srcOrd="1" destOrd="0" presId="urn:microsoft.com/office/officeart/2005/8/layout/orgChart1"/>
    <dgm:cxn modelId="{D5EE37BB-D81A-4B02-9B76-0579A8BAD89A}" type="presParOf" srcId="{971B2CD1-BA80-4CCD-B122-F55BEF39BE62}" destId="{CBB503E0-16E3-4156-B9BD-76D61501A89E}" srcOrd="1" destOrd="0" presId="urn:microsoft.com/office/officeart/2005/8/layout/orgChart1"/>
    <dgm:cxn modelId="{2BB4A1A1-7FF5-49C5-838B-514762584841}" type="presParOf" srcId="{CBB503E0-16E3-4156-B9BD-76D61501A89E}" destId="{4F1D01BD-62B1-4C97-B85F-C12EF4F92E28}" srcOrd="0" destOrd="0" presId="urn:microsoft.com/office/officeart/2005/8/layout/orgChart1"/>
    <dgm:cxn modelId="{20DD696B-6A96-4D0F-982F-DF35B95CA7CD}" type="presParOf" srcId="{CBB503E0-16E3-4156-B9BD-76D61501A89E}" destId="{9AB4407F-4587-4C72-A59D-EE03459EF5FB}" srcOrd="1" destOrd="0" presId="urn:microsoft.com/office/officeart/2005/8/layout/orgChart1"/>
    <dgm:cxn modelId="{E4E73324-154B-414A-A0E5-4213E970D42A}" type="presParOf" srcId="{9AB4407F-4587-4C72-A59D-EE03459EF5FB}" destId="{F1BE5369-42D2-4F3A-8DDC-2BCD2949C5A2}" srcOrd="0" destOrd="0" presId="urn:microsoft.com/office/officeart/2005/8/layout/orgChart1"/>
    <dgm:cxn modelId="{5D36F4AB-54A1-4F9D-86E9-366981EFF24B}" type="presParOf" srcId="{F1BE5369-42D2-4F3A-8DDC-2BCD2949C5A2}" destId="{740781A4-1045-4587-8403-BFCE6A13CC68}" srcOrd="0" destOrd="0" presId="urn:microsoft.com/office/officeart/2005/8/layout/orgChart1"/>
    <dgm:cxn modelId="{0AC37486-9BA8-4DD2-8B01-ED8C46B8041B}" type="presParOf" srcId="{F1BE5369-42D2-4F3A-8DDC-2BCD2949C5A2}" destId="{D03B3E8D-FA1D-4C0E-902C-E98A4E78EA2D}" srcOrd="1" destOrd="0" presId="urn:microsoft.com/office/officeart/2005/8/layout/orgChart1"/>
    <dgm:cxn modelId="{D8DC0A0F-3444-4263-B2E8-8B46BE19417E}" type="presParOf" srcId="{9AB4407F-4587-4C72-A59D-EE03459EF5FB}" destId="{2FAF375E-A6CD-4384-98B2-EF75D4993E2D}" srcOrd="1" destOrd="0" presId="urn:microsoft.com/office/officeart/2005/8/layout/orgChart1"/>
    <dgm:cxn modelId="{17CCA3B1-9BFA-4A1F-9EA4-BD923AC4394E}" type="presParOf" srcId="{9AB4407F-4587-4C72-A59D-EE03459EF5FB}" destId="{FFE1DA3C-504D-4AC0-8E2E-DBD4D33CA213}" srcOrd="2" destOrd="0" presId="urn:microsoft.com/office/officeart/2005/8/layout/orgChart1"/>
    <dgm:cxn modelId="{21B8F1F0-B6D8-45AE-A543-73A0784687B0}" type="presParOf" srcId="{CBB503E0-16E3-4156-B9BD-76D61501A89E}" destId="{EB58EB4C-843D-425F-B515-93F2E10A1D04}" srcOrd="2" destOrd="0" presId="urn:microsoft.com/office/officeart/2005/8/layout/orgChart1"/>
    <dgm:cxn modelId="{F6448EE3-951E-4052-89D8-87409E01BFD5}" type="presParOf" srcId="{CBB503E0-16E3-4156-B9BD-76D61501A89E}" destId="{841CBC1E-F4EC-4906-AF5B-7AC2DA7ED7BF}" srcOrd="3" destOrd="0" presId="urn:microsoft.com/office/officeart/2005/8/layout/orgChart1"/>
    <dgm:cxn modelId="{96F7A05E-DFAF-4D9E-A2F0-EA178E230AE0}" type="presParOf" srcId="{841CBC1E-F4EC-4906-AF5B-7AC2DA7ED7BF}" destId="{9226C5C6-E469-452F-A3DF-761E36410680}" srcOrd="0" destOrd="0" presId="urn:microsoft.com/office/officeart/2005/8/layout/orgChart1"/>
    <dgm:cxn modelId="{B8A7DF8E-A6C0-4643-A89E-55C133342687}" type="presParOf" srcId="{9226C5C6-E469-452F-A3DF-761E36410680}" destId="{5B6359D7-85BC-4AE5-BD27-A2DBF588A62E}" srcOrd="0" destOrd="0" presId="urn:microsoft.com/office/officeart/2005/8/layout/orgChart1"/>
    <dgm:cxn modelId="{B422EDE3-03A8-4993-B52E-E3DC46765CB4}" type="presParOf" srcId="{9226C5C6-E469-452F-A3DF-761E36410680}" destId="{1C3F7A5B-1208-41C2-9382-C41ACE245FFC}" srcOrd="1" destOrd="0" presId="urn:microsoft.com/office/officeart/2005/8/layout/orgChart1"/>
    <dgm:cxn modelId="{7F18F470-A8FD-41E8-830C-34F456394244}" type="presParOf" srcId="{841CBC1E-F4EC-4906-AF5B-7AC2DA7ED7BF}" destId="{0117005C-040B-48C7-9ADE-CF811535293A}" srcOrd="1" destOrd="0" presId="urn:microsoft.com/office/officeart/2005/8/layout/orgChart1"/>
    <dgm:cxn modelId="{B386BB06-78E1-4149-AD28-2C1366464B8D}" type="presParOf" srcId="{841CBC1E-F4EC-4906-AF5B-7AC2DA7ED7BF}" destId="{661E4887-4B8B-427E-A2BF-0DFD6845C6CC}" srcOrd="2" destOrd="0" presId="urn:microsoft.com/office/officeart/2005/8/layout/orgChart1"/>
    <dgm:cxn modelId="{601BE1AF-BAEA-47FB-8CC3-9D618D78FE39}" type="presParOf" srcId="{971B2CD1-BA80-4CCD-B122-F55BEF39BE62}" destId="{32D3EF1A-1551-4521-82C4-B444DF0CBF99}" srcOrd="2" destOrd="0" presId="urn:microsoft.com/office/officeart/2005/8/layout/orgChart1"/>
    <dgm:cxn modelId="{ABA2458A-D0FB-4D54-9DDE-9FE8DC08B7E9}" type="presParOf" srcId="{85FB1F5F-B83B-4878-BB18-FE443E16ABFC}" destId="{71FB8098-11C4-4403-95C7-A08709462B84}" srcOrd="4" destOrd="0" presId="urn:microsoft.com/office/officeart/2005/8/layout/orgChart1"/>
    <dgm:cxn modelId="{2D05B8A3-F09A-4D33-92A6-4BB731A2D823}" type="presParOf" srcId="{85FB1F5F-B83B-4878-BB18-FE443E16ABFC}" destId="{5F53D950-C99C-4936-B403-14A0F387F0C4}" srcOrd="5" destOrd="0" presId="urn:microsoft.com/office/officeart/2005/8/layout/orgChart1"/>
    <dgm:cxn modelId="{B7B8CA66-07A2-4188-B817-FE4B6553D927}" type="presParOf" srcId="{5F53D950-C99C-4936-B403-14A0F387F0C4}" destId="{BAF63C94-7DA7-4D47-B9CB-13B4924B8412}" srcOrd="0" destOrd="0" presId="urn:microsoft.com/office/officeart/2005/8/layout/orgChart1"/>
    <dgm:cxn modelId="{B0DC452E-E4AF-4FA9-B2BE-0E62FA7A6CC0}" type="presParOf" srcId="{BAF63C94-7DA7-4D47-B9CB-13B4924B8412}" destId="{E76DB6DD-5738-4DA5-9270-E0A1C20DCEF1}" srcOrd="0" destOrd="0" presId="urn:microsoft.com/office/officeart/2005/8/layout/orgChart1"/>
    <dgm:cxn modelId="{4F3100CE-96B4-40DA-84FB-5910B0A4D7F5}" type="presParOf" srcId="{BAF63C94-7DA7-4D47-B9CB-13B4924B8412}" destId="{DDB4569A-41CC-4EF0-B3DE-3EA4D284BA38}" srcOrd="1" destOrd="0" presId="urn:microsoft.com/office/officeart/2005/8/layout/orgChart1"/>
    <dgm:cxn modelId="{8403BD79-4A63-4BF9-8B13-7A5ABA19F09E}" type="presParOf" srcId="{5F53D950-C99C-4936-B403-14A0F387F0C4}" destId="{DBC917C3-27D4-45E0-83F4-902F052693FB}" srcOrd="1" destOrd="0" presId="urn:microsoft.com/office/officeart/2005/8/layout/orgChart1"/>
    <dgm:cxn modelId="{8498BD0F-D0A9-4127-9546-C010DFA5BA24}" type="presParOf" srcId="{DBC917C3-27D4-45E0-83F4-902F052693FB}" destId="{0B2D7D50-D235-41A1-B7EB-BDCAE1A93195}" srcOrd="0" destOrd="0" presId="urn:microsoft.com/office/officeart/2005/8/layout/orgChart1"/>
    <dgm:cxn modelId="{8885D488-FD05-4B35-83FE-9B175DE6E1A3}" type="presParOf" srcId="{DBC917C3-27D4-45E0-83F4-902F052693FB}" destId="{946FC18A-BA83-4D13-B6FA-E4EF453C8F6A}" srcOrd="1" destOrd="0" presId="urn:microsoft.com/office/officeart/2005/8/layout/orgChart1"/>
    <dgm:cxn modelId="{027C1E6E-64C4-4282-9FF1-A2FE2EA60E2B}" type="presParOf" srcId="{946FC18A-BA83-4D13-B6FA-E4EF453C8F6A}" destId="{35C1565B-B1D8-4019-B6BE-800DA46F827D}" srcOrd="0" destOrd="0" presId="urn:microsoft.com/office/officeart/2005/8/layout/orgChart1"/>
    <dgm:cxn modelId="{6D1EA115-E639-4A06-9AB5-2ED0E85E8748}" type="presParOf" srcId="{35C1565B-B1D8-4019-B6BE-800DA46F827D}" destId="{C74F5F62-AE16-41C5-B2C2-E5C0720672B6}" srcOrd="0" destOrd="0" presId="urn:microsoft.com/office/officeart/2005/8/layout/orgChart1"/>
    <dgm:cxn modelId="{16D84E6F-28C6-44B7-82CA-D968A251FEB0}" type="presParOf" srcId="{35C1565B-B1D8-4019-B6BE-800DA46F827D}" destId="{4A20DBA5-9DC3-48EF-ACE3-9DC8E63C0436}" srcOrd="1" destOrd="0" presId="urn:microsoft.com/office/officeart/2005/8/layout/orgChart1"/>
    <dgm:cxn modelId="{E3EFE6B2-6D45-4DC1-AAB5-CF36CF9C7713}" type="presParOf" srcId="{946FC18A-BA83-4D13-B6FA-E4EF453C8F6A}" destId="{D7831773-F396-4EF3-8A36-97828139C4B2}" srcOrd="1" destOrd="0" presId="urn:microsoft.com/office/officeart/2005/8/layout/orgChart1"/>
    <dgm:cxn modelId="{91FFB2B9-7212-46F6-BEEF-0108102C8505}" type="presParOf" srcId="{946FC18A-BA83-4D13-B6FA-E4EF453C8F6A}" destId="{5EDE1DD1-9B09-4B22-B68F-913752FA062D}" srcOrd="2" destOrd="0" presId="urn:microsoft.com/office/officeart/2005/8/layout/orgChart1"/>
    <dgm:cxn modelId="{E55D9A38-FABE-4FBA-BB9D-16AEF62FBEBD}" type="presParOf" srcId="{DBC917C3-27D4-45E0-83F4-902F052693FB}" destId="{22C77CCB-D0E2-45BB-B21D-20310FD437AF}" srcOrd="2" destOrd="0" presId="urn:microsoft.com/office/officeart/2005/8/layout/orgChart1"/>
    <dgm:cxn modelId="{DA62EBB8-F523-4B9B-A18A-563A7BDD9A05}" type="presParOf" srcId="{DBC917C3-27D4-45E0-83F4-902F052693FB}" destId="{AE2D3A94-5916-46FA-A723-9FC3BA812D3D}" srcOrd="3" destOrd="0" presId="urn:microsoft.com/office/officeart/2005/8/layout/orgChart1"/>
    <dgm:cxn modelId="{04BB7F33-AF1E-4750-A1C2-3EC076E53F05}" type="presParOf" srcId="{AE2D3A94-5916-46FA-A723-9FC3BA812D3D}" destId="{ADA8950A-9E3A-46F5-9EB6-D89AAE8DB04C}" srcOrd="0" destOrd="0" presId="urn:microsoft.com/office/officeart/2005/8/layout/orgChart1"/>
    <dgm:cxn modelId="{57AFBDED-77D6-4658-B23B-0D05346C59AA}" type="presParOf" srcId="{ADA8950A-9E3A-46F5-9EB6-D89AAE8DB04C}" destId="{6C7531BB-14B7-4720-8827-772B6BF4762C}" srcOrd="0" destOrd="0" presId="urn:microsoft.com/office/officeart/2005/8/layout/orgChart1"/>
    <dgm:cxn modelId="{248D3471-B686-467F-B391-313F584CF4C2}" type="presParOf" srcId="{ADA8950A-9E3A-46F5-9EB6-D89AAE8DB04C}" destId="{BFAFA008-E868-445B-9843-70E535E4B49E}" srcOrd="1" destOrd="0" presId="urn:microsoft.com/office/officeart/2005/8/layout/orgChart1"/>
    <dgm:cxn modelId="{C1AA1723-4177-41CF-BE93-00AD03BE830A}" type="presParOf" srcId="{AE2D3A94-5916-46FA-A723-9FC3BA812D3D}" destId="{97A4D400-A3BA-4546-BB07-1FB643951C71}" srcOrd="1" destOrd="0" presId="urn:microsoft.com/office/officeart/2005/8/layout/orgChart1"/>
    <dgm:cxn modelId="{8B0C3422-E097-4B27-9C27-2AA1389BE96E}" type="presParOf" srcId="{AE2D3A94-5916-46FA-A723-9FC3BA812D3D}" destId="{63BF08B3-DB73-47EA-A799-4474A2EE2811}" srcOrd="2" destOrd="0" presId="urn:microsoft.com/office/officeart/2005/8/layout/orgChart1"/>
    <dgm:cxn modelId="{246C0013-E64D-4DF5-B998-B056F5D12F75}" type="presParOf" srcId="{DBC917C3-27D4-45E0-83F4-902F052693FB}" destId="{9EDC0B39-3792-4A4B-9EF0-87136FA58764}" srcOrd="4" destOrd="0" presId="urn:microsoft.com/office/officeart/2005/8/layout/orgChart1"/>
    <dgm:cxn modelId="{401A1903-C4A7-4C54-9031-C37E0FA7BD8D}" type="presParOf" srcId="{DBC917C3-27D4-45E0-83F4-902F052693FB}" destId="{2878EF12-04D5-4317-9C5F-9307BCE7E888}" srcOrd="5" destOrd="0" presId="urn:microsoft.com/office/officeart/2005/8/layout/orgChart1"/>
    <dgm:cxn modelId="{A7295F3E-FE55-48C0-94B8-A67DB371C5D3}" type="presParOf" srcId="{2878EF12-04D5-4317-9C5F-9307BCE7E888}" destId="{F0609C56-1607-4E21-A5F8-55AFFFA6460A}" srcOrd="0" destOrd="0" presId="urn:microsoft.com/office/officeart/2005/8/layout/orgChart1"/>
    <dgm:cxn modelId="{75234A9A-25B1-48DB-9ABE-B3526541DFA6}" type="presParOf" srcId="{F0609C56-1607-4E21-A5F8-55AFFFA6460A}" destId="{BF4FDDE6-6C81-4C1D-B009-A98C55D59C4B}" srcOrd="0" destOrd="0" presId="urn:microsoft.com/office/officeart/2005/8/layout/orgChart1"/>
    <dgm:cxn modelId="{949D335D-34AD-4BFB-8141-3A5DFF686278}" type="presParOf" srcId="{F0609C56-1607-4E21-A5F8-55AFFFA6460A}" destId="{2A93E887-4E38-4811-A093-A12E88DBFAC3}" srcOrd="1" destOrd="0" presId="urn:microsoft.com/office/officeart/2005/8/layout/orgChart1"/>
    <dgm:cxn modelId="{47D112F2-2F8F-4187-9F27-26D914F16995}" type="presParOf" srcId="{2878EF12-04D5-4317-9C5F-9307BCE7E888}" destId="{ACE04E26-C83F-4882-AC68-89721B74309B}" srcOrd="1" destOrd="0" presId="urn:microsoft.com/office/officeart/2005/8/layout/orgChart1"/>
    <dgm:cxn modelId="{CF053516-7A93-45D1-B439-DF771F46E962}" type="presParOf" srcId="{2878EF12-04D5-4317-9C5F-9307BCE7E888}" destId="{1B88A371-687F-4CFE-95EF-DB0DFC2DAC93}" srcOrd="2" destOrd="0" presId="urn:microsoft.com/office/officeart/2005/8/layout/orgChart1"/>
    <dgm:cxn modelId="{628946C7-63D8-4071-A8B3-654E073235DD}" type="presParOf" srcId="{5F53D950-C99C-4936-B403-14A0F387F0C4}" destId="{C1F1B2C5-68FD-4334-AC7F-0BD64E320C28}" srcOrd="2" destOrd="0" presId="urn:microsoft.com/office/officeart/2005/8/layout/orgChart1"/>
    <dgm:cxn modelId="{8BBEC733-EDD2-4A1F-8521-C4FF162D5CC3}" type="presParOf" srcId="{16F1A5F0-1E88-4A26-8A91-451CE4298AE6}" destId="{9ECC9AE6-86EE-4E88-98F4-4080B6FAAE93}" srcOrd="2" destOrd="0" presId="urn:microsoft.com/office/officeart/2005/8/layout/orgChart1"/>
    <dgm:cxn modelId="{5B797434-F73F-4D55-BA1E-8E823E8991F1}" type="presParOf" srcId="{0967584A-6C48-40B2-8023-1DC86A6FA07E}" destId="{C63014B2-715B-4F2E-8C95-9F9E64178254}" srcOrd="6" destOrd="0" presId="urn:microsoft.com/office/officeart/2005/8/layout/orgChart1"/>
    <dgm:cxn modelId="{0B2A7C66-526B-4455-8535-592B1BFEC4D2}" type="presParOf" srcId="{0967584A-6C48-40B2-8023-1DC86A6FA07E}" destId="{2CAC2966-0871-4586-9DEA-148FAB7251F1}" srcOrd="7" destOrd="0" presId="urn:microsoft.com/office/officeart/2005/8/layout/orgChart1"/>
    <dgm:cxn modelId="{4A4CFA08-83D8-4242-87FD-3843F3185C73}" type="presParOf" srcId="{2CAC2966-0871-4586-9DEA-148FAB7251F1}" destId="{1BFCB798-29C5-4ACA-BBCA-A0B2EFA59F52}" srcOrd="0" destOrd="0" presId="urn:microsoft.com/office/officeart/2005/8/layout/orgChart1"/>
    <dgm:cxn modelId="{DAAA2BBE-B7E8-48AC-9535-CF323F74FC6B}" type="presParOf" srcId="{1BFCB798-29C5-4ACA-BBCA-A0B2EFA59F52}" destId="{963999D0-8A82-44A6-88A7-9037D5F5430E}" srcOrd="0" destOrd="0" presId="urn:microsoft.com/office/officeart/2005/8/layout/orgChart1"/>
    <dgm:cxn modelId="{A400F538-BC1A-4C8C-A0C1-074A8DA1E466}" type="presParOf" srcId="{1BFCB798-29C5-4ACA-BBCA-A0B2EFA59F52}" destId="{87E2CC08-2D8B-4E56-A3AD-818B900835A8}" srcOrd="1" destOrd="0" presId="urn:microsoft.com/office/officeart/2005/8/layout/orgChart1"/>
    <dgm:cxn modelId="{70EF37A4-C8C1-43C6-B809-0EA9795C1115}" type="presParOf" srcId="{2CAC2966-0871-4586-9DEA-148FAB7251F1}" destId="{443FDBB6-5E7F-4796-AA58-DD29135B80DD}" srcOrd="1" destOrd="0" presId="urn:microsoft.com/office/officeart/2005/8/layout/orgChart1"/>
    <dgm:cxn modelId="{A8E5EC66-EB66-4A69-B7AA-C4877D0C54E8}" type="presParOf" srcId="{443FDBB6-5E7F-4796-AA58-DD29135B80DD}" destId="{249F2EE8-A9B4-449E-91AC-FDD7CC004D48}" srcOrd="0" destOrd="0" presId="urn:microsoft.com/office/officeart/2005/8/layout/orgChart1"/>
    <dgm:cxn modelId="{D28B9FA7-4AA9-4758-976F-291F38DF46A2}" type="presParOf" srcId="{443FDBB6-5E7F-4796-AA58-DD29135B80DD}" destId="{6A7D2108-59AB-4CE5-B31E-8F4A75193601}" srcOrd="1" destOrd="0" presId="urn:microsoft.com/office/officeart/2005/8/layout/orgChart1"/>
    <dgm:cxn modelId="{0CBCA5BF-A351-4B4E-B5AB-9319DA0DA880}" type="presParOf" srcId="{6A7D2108-59AB-4CE5-B31E-8F4A75193601}" destId="{9EC0A0DC-0BEC-407D-B440-ED1A330A9A98}" srcOrd="0" destOrd="0" presId="urn:microsoft.com/office/officeart/2005/8/layout/orgChart1"/>
    <dgm:cxn modelId="{E80DCB24-34C9-4070-93D3-5B8FA4E457F2}" type="presParOf" srcId="{9EC0A0DC-0BEC-407D-B440-ED1A330A9A98}" destId="{03ECD038-3D71-4585-A24D-73F871F9CFB8}" srcOrd="0" destOrd="0" presId="urn:microsoft.com/office/officeart/2005/8/layout/orgChart1"/>
    <dgm:cxn modelId="{7A130D1E-8C8E-48A1-8410-1F304E6F2283}" type="presParOf" srcId="{9EC0A0DC-0BEC-407D-B440-ED1A330A9A98}" destId="{8353F1E4-6B8B-4E35-B448-FB22DE4BBF4A}" srcOrd="1" destOrd="0" presId="urn:microsoft.com/office/officeart/2005/8/layout/orgChart1"/>
    <dgm:cxn modelId="{4FD1EFAD-069C-4AA1-9360-1F06456B2755}" type="presParOf" srcId="{6A7D2108-59AB-4CE5-B31E-8F4A75193601}" destId="{EC832D04-7415-434D-82F6-8ED567777051}" srcOrd="1" destOrd="0" presId="urn:microsoft.com/office/officeart/2005/8/layout/orgChart1"/>
    <dgm:cxn modelId="{A7B27B55-59C5-433E-8FBA-4FA89ED8551A}" type="presParOf" srcId="{6A7D2108-59AB-4CE5-B31E-8F4A75193601}" destId="{6CF3F79D-F98E-42CF-B1F7-A573974C79BC}" srcOrd="2" destOrd="0" presId="urn:microsoft.com/office/officeart/2005/8/layout/orgChart1"/>
    <dgm:cxn modelId="{1DB71B5C-1D2A-4D5A-B550-1B58F60E941A}" type="presParOf" srcId="{443FDBB6-5E7F-4796-AA58-DD29135B80DD}" destId="{03FBEE4D-F5E8-410D-A1EA-F5F1B38BC68C}" srcOrd="2" destOrd="0" presId="urn:microsoft.com/office/officeart/2005/8/layout/orgChart1"/>
    <dgm:cxn modelId="{5FAB6A03-946E-46E3-A0F0-CA79C6CF3B52}" type="presParOf" srcId="{443FDBB6-5E7F-4796-AA58-DD29135B80DD}" destId="{2C554251-18D4-4CB4-80CA-30E84E17B67E}" srcOrd="3" destOrd="0" presId="urn:microsoft.com/office/officeart/2005/8/layout/orgChart1"/>
    <dgm:cxn modelId="{BE540597-7B9C-4CA9-8969-2BF974E28773}" type="presParOf" srcId="{2C554251-18D4-4CB4-80CA-30E84E17B67E}" destId="{FD0A6541-6A5F-4351-9F81-5E655B1262D8}" srcOrd="0" destOrd="0" presId="urn:microsoft.com/office/officeart/2005/8/layout/orgChart1"/>
    <dgm:cxn modelId="{84293775-DA14-41A2-9EFA-3489829C3B49}" type="presParOf" srcId="{FD0A6541-6A5F-4351-9F81-5E655B1262D8}" destId="{F2E7B534-942E-4E74-93EC-3280C2D23683}" srcOrd="0" destOrd="0" presId="urn:microsoft.com/office/officeart/2005/8/layout/orgChart1"/>
    <dgm:cxn modelId="{D6836FB6-81FC-4F98-B831-E05BAED611AC}" type="presParOf" srcId="{FD0A6541-6A5F-4351-9F81-5E655B1262D8}" destId="{B0860EED-F74F-41E3-96F4-6B042F7BB197}" srcOrd="1" destOrd="0" presId="urn:microsoft.com/office/officeart/2005/8/layout/orgChart1"/>
    <dgm:cxn modelId="{09188000-AC87-4759-A6ED-7B78E1249AD6}" type="presParOf" srcId="{2C554251-18D4-4CB4-80CA-30E84E17B67E}" destId="{E72556A5-1856-4FC4-8843-4F227711DC3A}" srcOrd="1" destOrd="0" presId="urn:microsoft.com/office/officeart/2005/8/layout/orgChart1"/>
    <dgm:cxn modelId="{6B6F5C18-7090-40FC-B008-585678477B29}" type="presParOf" srcId="{2C554251-18D4-4CB4-80CA-30E84E17B67E}" destId="{A64A6421-EB27-42F1-A50B-B85718A30256}" srcOrd="2" destOrd="0" presId="urn:microsoft.com/office/officeart/2005/8/layout/orgChart1"/>
    <dgm:cxn modelId="{73E7CACD-C49D-4609-848B-FCB318D10D44}" type="presParOf" srcId="{443FDBB6-5E7F-4796-AA58-DD29135B80DD}" destId="{0CB2DA36-E113-4A95-940C-6ACC2289B23A}" srcOrd="4" destOrd="0" presId="urn:microsoft.com/office/officeart/2005/8/layout/orgChart1"/>
    <dgm:cxn modelId="{5A9C7A9D-D5A5-4958-87B4-B5411A38D2B4}" type="presParOf" srcId="{443FDBB6-5E7F-4796-AA58-DD29135B80DD}" destId="{375DB2D6-A857-4403-94BA-83DDD30F158B}" srcOrd="5" destOrd="0" presId="urn:microsoft.com/office/officeart/2005/8/layout/orgChart1"/>
    <dgm:cxn modelId="{2C48DB09-08ED-42C5-A36E-A9ABE3754574}" type="presParOf" srcId="{375DB2D6-A857-4403-94BA-83DDD30F158B}" destId="{96E51040-9A8A-416A-A63B-628FC3788216}" srcOrd="0" destOrd="0" presId="urn:microsoft.com/office/officeart/2005/8/layout/orgChart1"/>
    <dgm:cxn modelId="{59655E77-4648-4268-88E8-D865571426AA}" type="presParOf" srcId="{96E51040-9A8A-416A-A63B-628FC3788216}" destId="{14AF2319-7B60-4F13-A350-8D87A6C067D2}" srcOrd="0" destOrd="0" presId="urn:microsoft.com/office/officeart/2005/8/layout/orgChart1"/>
    <dgm:cxn modelId="{1AA6950F-7405-41F1-B2B3-23B27B577A8A}" type="presParOf" srcId="{96E51040-9A8A-416A-A63B-628FC3788216}" destId="{BA238FCB-4DC0-41A4-8170-5C605240231E}" srcOrd="1" destOrd="0" presId="urn:microsoft.com/office/officeart/2005/8/layout/orgChart1"/>
    <dgm:cxn modelId="{FCE7F981-CB1D-4DB4-9B92-ACFF9B927240}" type="presParOf" srcId="{375DB2D6-A857-4403-94BA-83DDD30F158B}" destId="{EB20A062-E4CF-44BB-AFC7-0AD3FA0DF866}" srcOrd="1" destOrd="0" presId="urn:microsoft.com/office/officeart/2005/8/layout/orgChart1"/>
    <dgm:cxn modelId="{4D4C90C3-0D74-4E0A-BAD1-9ABDE94EFB9B}" type="presParOf" srcId="{375DB2D6-A857-4403-94BA-83DDD30F158B}" destId="{4115F1EE-A061-485C-8F63-EDC61C13BB64}" srcOrd="2" destOrd="0" presId="urn:microsoft.com/office/officeart/2005/8/layout/orgChart1"/>
    <dgm:cxn modelId="{AB8C12FB-CD6B-4D63-BA6B-6CCDC744DBA2}" type="presParOf" srcId="{443FDBB6-5E7F-4796-AA58-DD29135B80DD}" destId="{9BEA9358-73D3-4A08-9F0D-AC86DE1DC78E}" srcOrd="6" destOrd="0" presId="urn:microsoft.com/office/officeart/2005/8/layout/orgChart1"/>
    <dgm:cxn modelId="{0B9EE1A5-8639-4E3C-8356-5D4DB81B8744}" type="presParOf" srcId="{443FDBB6-5E7F-4796-AA58-DD29135B80DD}" destId="{6436F291-1949-42D8-B299-36FFDAAF0485}" srcOrd="7" destOrd="0" presId="urn:microsoft.com/office/officeart/2005/8/layout/orgChart1"/>
    <dgm:cxn modelId="{4B1E1D7C-7136-43E2-A561-CB08BC52E868}" type="presParOf" srcId="{6436F291-1949-42D8-B299-36FFDAAF0485}" destId="{97134022-ECEB-402B-BB8B-27362F8836DE}" srcOrd="0" destOrd="0" presId="urn:microsoft.com/office/officeart/2005/8/layout/orgChart1"/>
    <dgm:cxn modelId="{B09AF033-9DE9-451D-B2D6-4487174D7F5B}" type="presParOf" srcId="{97134022-ECEB-402B-BB8B-27362F8836DE}" destId="{B0BC50D9-2FC5-488B-90DE-8CF1B4A04380}" srcOrd="0" destOrd="0" presId="urn:microsoft.com/office/officeart/2005/8/layout/orgChart1"/>
    <dgm:cxn modelId="{428E85EB-26BF-4365-BA16-79A66B1A87F6}" type="presParOf" srcId="{97134022-ECEB-402B-BB8B-27362F8836DE}" destId="{90DE6293-D6EF-431C-9B6E-4C6F07384860}" srcOrd="1" destOrd="0" presId="urn:microsoft.com/office/officeart/2005/8/layout/orgChart1"/>
    <dgm:cxn modelId="{5E25825C-447E-4F55-80F1-83CF8BC36411}" type="presParOf" srcId="{6436F291-1949-42D8-B299-36FFDAAF0485}" destId="{56CBC40A-D1A9-4983-B489-35B68BDD9F4D}" srcOrd="1" destOrd="0" presId="urn:microsoft.com/office/officeart/2005/8/layout/orgChart1"/>
    <dgm:cxn modelId="{F8721C7B-D255-4CC7-8CAD-85287D66F860}" type="presParOf" srcId="{6436F291-1949-42D8-B299-36FFDAAF0485}" destId="{E109710F-5BC3-4C8E-987E-9F3F6C343860}" srcOrd="2" destOrd="0" presId="urn:microsoft.com/office/officeart/2005/8/layout/orgChart1"/>
    <dgm:cxn modelId="{BF484727-4D17-45CC-9FFE-4AD0FAC3B013}" type="presParOf" srcId="{443FDBB6-5E7F-4796-AA58-DD29135B80DD}" destId="{CE90256F-7FB1-4F21-AB55-D01E2BB6A683}" srcOrd="8" destOrd="0" presId="urn:microsoft.com/office/officeart/2005/8/layout/orgChart1"/>
    <dgm:cxn modelId="{7FCF1CB5-F9B3-4795-A8B9-0CC7937968FA}" type="presParOf" srcId="{443FDBB6-5E7F-4796-AA58-DD29135B80DD}" destId="{C3F2D305-6167-4FC2-A4BB-063725E2E72C}" srcOrd="9" destOrd="0" presId="urn:microsoft.com/office/officeart/2005/8/layout/orgChart1"/>
    <dgm:cxn modelId="{1D715D65-B14E-4E74-9A98-B64C10F38B98}" type="presParOf" srcId="{C3F2D305-6167-4FC2-A4BB-063725E2E72C}" destId="{3D063133-EC8B-40E0-873A-1EA668D29EF8}" srcOrd="0" destOrd="0" presId="urn:microsoft.com/office/officeart/2005/8/layout/orgChart1"/>
    <dgm:cxn modelId="{A0592820-2FBC-4413-99B9-0AB9A87C261F}" type="presParOf" srcId="{3D063133-EC8B-40E0-873A-1EA668D29EF8}" destId="{E4F653B3-A56D-440C-9F03-356AB52D119F}" srcOrd="0" destOrd="0" presId="urn:microsoft.com/office/officeart/2005/8/layout/orgChart1"/>
    <dgm:cxn modelId="{E084BD1E-DBF9-405C-9C5D-C9255BA44962}" type="presParOf" srcId="{3D063133-EC8B-40E0-873A-1EA668D29EF8}" destId="{44A54A3B-D8A2-4C22-94EF-CC0D8BB2CD68}" srcOrd="1" destOrd="0" presId="urn:microsoft.com/office/officeart/2005/8/layout/orgChart1"/>
    <dgm:cxn modelId="{7BC8C930-8C97-4994-A4CF-CD17FB35560B}" type="presParOf" srcId="{C3F2D305-6167-4FC2-A4BB-063725E2E72C}" destId="{0FE81F30-60B2-4981-AEBF-B0A4714BC678}" srcOrd="1" destOrd="0" presId="urn:microsoft.com/office/officeart/2005/8/layout/orgChart1"/>
    <dgm:cxn modelId="{C3C469DE-62AA-474D-B5DE-B9D6F90169C8}" type="presParOf" srcId="{0FE81F30-60B2-4981-AEBF-B0A4714BC678}" destId="{490BD94C-C88E-41EB-BB8E-5EF7BE6CE2F9}" srcOrd="0" destOrd="0" presId="urn:microsoft.com/office/officeart/2005/8/layout/orgChart1"/>
    <dgm:cxn modelId="{241223DF-DF93-4417-A665-B7E3CDC311AD}" type="presParOf" srcId="{0FE81F30-60B2-4981-AEBF-B0A4714BC678}" destId="{97A7F7DB-BEA8-46E7-AAE7-39AD14057821}" srcOrd="1" destOrd="0" presId="urn:microsoft.com/office/officeart/2005/8/layout/orgChart1"/>
    <dgm:cxn modelId="{3E216CAE-438F-4FFD-98BE-9A471D73FF8D}" type="presParOf" srcId="{97A7F7DB-BEA8-46E7-AAE7-39AD14057821}" destId="{0E8EB0AC-91CF-4F76-9DCE-7B1CD276DD71}" srcOrd="0" destOrd="0" presId="urn:microsoft.com/office/officeart/2005/8/layout/orgChart1"/>
    <dgm:cxn modelId="{414A28F3-FEB2-471F-BC73-D21FA8F8850E}" type="presParOf" srcId="{0E8EB0AC-91CF-4F76-9DCE-7B1CD276DD71}" destId="{EB8C3B39-46FC-414B-87CB-D96CDBC30F3F}" srcOrd="0" destOrd="0" presId="urn:microsoft.com/office/officeart/2005/8/layout/orgChart1"/>
    <dgm:cxn modelId="{B3872C96-F4AE-4203-A28E-CDF71BBD1614}" type="presParOf" srcId="{0E8EB0AC-91CF-4F76-9DCE-7B1CD276DD71}" destId="{ECE757BE-C1A6-4231-83DE-98403EA80E69}" srcOrd="1" destOrd="0" presId="urn:microsoft.com/office/officeart/2005/8/layout/orgChart1"/>
    <dgm:cxn modelId="{F0858369-B0BD-46F7-982F-F00FFB416FF8}" type="presParOf" srcId="{97A7F7DB-BEA8-46E7-AAE7-39AD14057821}" destId="{A62EFE20-5541-4A45-A221-2188A6E6E1A7}" srcOrd="1" destOrd="0" presId="urn:microsoft.com/office/officeart/2005/8/layout/orgChart1"/>
    <dgm:cxn modelId="{07E2B44E-08DE-4398-AA10-2F1A7E65670A}" type="presParOf" srcId="{97A7F7DB-BEA8-46E7-AAE7-39AD14057821}" destId="{413FF5A4-E0AF-4F70-AA45-428B3B8A5488}" srcOrd="2" destOrd="0" presId="urn:microsoft.com/office/officeart/2005/8/layout/orgChart1"/>
    <dgm:cxn modelId="{277AC8C9-2A89-4F11-94F7-F175F90B3997}" type="presParOf" srcId="{0FE81F30-60B2-4981-AEBF-B0A4714BC678}" destId="{280ECB2F-ACF0-41F1-9CCE-C485DF50640B}" srcOrd="2" destOrd="0" presId="urn:microsoft.com/office/officeart/2005/8/layout/orgChart1"/>
    <dgm:cxn modelId="{437634B6-C595-4613-B867-C7356B373661}" type="presParOf" srcId="{0FE81F30-60B2-4981-AEBF-B0A4714BC678}" destId="{8988A930-9CBB-4F7C-9840-7B0BEE25E5E9}" srcOrd="3" destOrd="0" presId="urn:microsoft.com/office/officeart/2005/8/layout/orgChart1"/>
    <dgm:cxn modelId="{0CFA81DF-2CE6-412F-BEC3-6AF3A488D451}" type="presParOf" srcId="{8988A930-9CBB-4F7C-9840-7B0BEE25E5E9}" destId="{689D7C4E-DBAE-4A39-993F-2DA8D5B3FE97}" srcOrd="0" destOrd="0" presId="urn:microsoft.com/office/officeart/2005/8/layout/orgChart1"/>
    <dgm:cxn modelId="{38E5E548-5020-4E83-AD93-02DCFB57E19B}" type="presParOf" srcId="{689D7C4E-DBAE-4A39-993F-2DA8D5B3FE97}" destId="{D630BBC2-CCC4-4A76-BC02-32B1CC269F97}" srcOrd="0" destOrd="0" presId="urn:microsoft.com/office/officeart/2005/8/layout/orgChart1"/>
    <dgm:cxn modelId="{88BECFB9-998A-4842-AB1F-F8807B2EDDA7}" type="presParOf" srcId="{689D7C4E-DBAE-4A39-993F-2DA8D5B3FE97}" destId="{576A51D3-33EF-48ED-B81B-585A6ADED176}" srcOrd="1" destOrd="0" presId="urn:microsoft.com/office/officeart/2005/8/layout/orgChart1"/>
    <dgm:cxn modelId="{2AAE4C8F-63E8-471B-B84B-9620F7005C89}" type="presParOf" srcId="{8988A930-9CBB-4F7C-9840-7B0BEE25E5E9}" destId="{87F064B3-B252-4996-9839-DFE2E52FE49B}" srcOrd="1" destOrd="0" presId="urn:microsoft.com/office/officeart/2005/8/layout/orgChart1"/>
    <dgm:cxn modelId="{5AFE0C5B-1374-4CB0-8866-8932A30A09F6}" type="presParOf" srcId="{8988A930-9CBB-4F7C-9840-7B0BEE25E5E9}" destId="{7CED638B-2594-4263-97DE-33038F0D4D34}" srcOrd="2" destOrd="0" presId="urn:microsoft.com/office/officeart/2005/8/layout/orgChart1"/>
    <dgm:cxn modelId="{8E670F57-77B4-4410-98EC-DB027738D1AC}" type="presParOf" srcId="{0FE81F30-60B2-4981-AEBF-B0A4714BC678}" destId="{7DD5090A-D463-406E-AA28-98500CF9DC62}" srcOrd="4" destOrd="0" presId="urn:microsoft.com/office/officeart/2005/8/layout/orgChart1"/>
    <dgm:cxn modelId="{25A4DDB5-8621-4CB0-8057-0CD3759DC397}" type="presParOf" srcId="{0FE81F30-60B2-4981-AEBF-B0A4714BC678}" destId="{D07C42E9-3154-4D6E-BCCE-5155156F2312}" srcOrd="5" destOrd="0" presId="urn:microsoft.com/office/officeart/2005/8/layout/orgChart1"/>
    <dgm:cxn modelId="{8B3C2CC3-F394-44BA-9A91-20BF8357ADDE}" type="presParOf" srcId="{D07C42E9-3154-4D6E-BCCE-5155156F2312}" destId="{0E6B0496-E2BC-4D95-BD09-AD4D5814F8FA}" srcOrd="0" destOrd="0" presId="urn:microsoft.com/office/officeart/2005/8/layout/orgChart1"/>
    <dgm:cxn modelId="{724B662F-F16A-4F62-A6CF-939349EEC9BE}" type="presParOf" srcId="{0E6B0496-E2BC-4D95-BD09-AD4D5814F8FA}" destId="{2C83A144-91E0-44FF-9575-68A00228C791}" srcOrd="0" destOrd="0" presId="urn:microsoft.com/office/officeart/2005/8/layout/orgChart1"/>
    <dgm:cxn modelId="{32738C6C-1CFC-406B-94DB-3644F75F0D68}" type="presParOf" srcId="{0E6B0496-E2BC-4D95-BD09-AD4D5814F8FA}" destId="{99726566-FC78-442F-A30E-791E28585082}" srcOrd="1" destOrd="0" presId="urn:microsoft.com/office/officeart/2005/8/layout/orgChart1"/>
    <dgm:cxn modelId="{157D8885-65FF-4A2C-AD5D-0486FC71B0BF}" type="presParOf" srcId="{D07C42E9-3154-4D6E-BCCE-5155156F2312}" destId="{21C92EFA-14C4-40D7-99AD-1B88609CDAB9}" srcOrd="1" destOrd="0" presId="urn:microsoft.com/office/officeart/2005/8/layout/orgChart1"/>
    <dgm:cxn modelId="{07C7CEFF-8DDE-44CD-88F8-853739FF27BD}" type="presParOf" srcId="{D07C42E9-3154-4D6E-BCCE-5155156F2312}" destId="{875DDAF9-4E1A-4ABD-BCFE-460CD9493EBD}" srcOrd="2" destOrd="0" presId="urn:microsoft.com/office/officeart/2005/8/layout/orgChart1"/>
    <dgm:cxn modelId="{8EE9C147-BAD4-4924-88E7-735BD5BC5091}" type="presParOf" srcId="{0FE81F30-60B2-4981-AEBF-B0A4714BC678}" destId="{22B0B690-40F4-443D-BF68-E911755BB61C}" srcOrd="6" destOrd="0" presId="urn:microsoft.com/office/officeart/2005/8/layout/orgChart1"/>
    <dgm:cxn modelId="{9AE3BEA9-2290-41B6-B28E-0E00924F3101}" type="presParOf" srcId="{0FE81F30-60B2-4981-AEBF-B0A4714BC678}" destId="{2287E931-C1AF-46C8-995E-7F23C99E8109}" srcOrd="7" destOrd="0" presId="urn:microsoft.com/office/officeart/2005/8/layout/orgChart1"/>
    <dgm:cxn modelId="{17297D98-ABB3-4F71-AC7F-3F19FCA2C737}" type="presParOf" srcId="{2287E931-C1AF-46C8-995E-7F23C99E8109}" destId="{E506066D-7C09-4E23-B268-3D89ED2DB97D}" srcOrd="0" destOrd="0" presId="urn:microsoft.com/office/officeart/2005/8/layout/orgChart1"/>
    <dgm:cxn modelId="{B63C590F-3B8C-43E6-A159-9E3464FAAF6F}" type="presParOf" srcId="{E506066D-7C09-4E23-B268-3D89ED2DB97D}" destId="{08D2F5F4-829F-4FF6-86BA-6C0091B7D631}" srcOrd="0" destOrd="0" presId="urn:microsoft.com/office/officeart/2005/8/layout/orgChart1"/>
    <dgm:cxn modelId="{B96079EB-2ED1-4629-A663-35B5D0C09D80}" type="presParOf" srcId="{E506066D-7C09-4E23-B268-3D89ED2DB97D}" destId="{FE9AC26B-EECC-470B-8D58-5920C5C5E006}" srcOrd="1" destOrd="0" presId="urn:microsoft.com/office/officeart/2005/8/layout/orgChart1"/>
    <dgm:cxn modelId="{EBC705C0-5919-42E0-B7C2-B6FEAF755F8D}" type="presParOf" srcId="{2287E931-C1AF-46C8-995E-7F23C99E8109}" destId="{A021D649-FC1A-460C-A83D-5E29022C7FC7}" srcOrd="1" destOrd="0" presId="urn:microsoft.com/office/officeart/2005/8/layout/orgChart1"/>
    <dgm:cxn modelId="{F19AD367-7A1D-4B12-B3FC-D542AACCE4CE}" type="presParOf" srcId="{2287E931-C1AF-46C8-995E-7F23C99E8109}" destId="{8F321481-5C72-439E-91EE-93CC004D3459}" srcOrd="2" destOrd="0" presId="urn:microsoft.com/office/officeart/2005/8/layout/orgChart1"/>
    <dgm:cxn modelId="{99E0016E-F6B7-425F-9714-1D4000ED178E}" type="presParOf" srcId="{0FE81F30-60B2-4981-AEBF-B0A4714BC678}" destId="{14C9350F-FCEB-41C3-A134-0A738DC1E8E2}" srcOrd="8" destOrd="0" presId="urn:microsoft.com/office/officeart/2005/8/layout/orgChart1"/>
    <dgm:cxn modelId="{A5C7E533-D055-48E6-86A0-4F6268D314B9}" type="presParOf" srcId="{0FE81F30-60B2-4981-AEBF-B0A4714BC678}" destId="{F193AA73-B233-4A71-8D11-179F4E60F1F8}" srcOrd="9" destOrd="0" presId="urn:microsoft.com/office/officeart/2005/8/layout/orgChart1"/>
    <dgm:cxn modelId="{40A57C3A-3478-46F6-9264-58D889FDE807}" type="presParOf" srcId="{F193AA73-B233-4A71-8D11-179F4E60F1F8}" destId="{BAC687E5-CCA1-4094-9EBA-847235ACBA48}" srcOrd="0" destOrd="0" presId="urn:microsoft.com/office/officeart/2005/8/layout/orgChart1"/>
    <dgm:cxn modelId="{4E3A2ED8-DA48-4860-83F7-3EF8DD5C296D}" type="presParOf" srcId="{BAC687E5-CCA1-4094-9EBA-847235ACBA48}" destId="{59C4773B-136B-4811-AD8C-968B2FA12770}" srcOrd="0" destOrd="0" presId="urn:microsoft.com/office/officeart/2005/8/layout/orgChart1"/>
    <dgm:cxn modelId="{5E5A7F16-A223-40BD-8794-152330DAB13F}" type="presParOf" srcId="{BAC687E5-CCA1-4094-9EBA-847235ACBA48}" destId="{72C0029D-AC8B-4BE6-AE4D-3DF2A34F0815}" srcOrd="1" destOrd="0" presId="urn:microsoft.com/office/officeart/2005/8/layout/orgChart1"/>
    <dgm:cxn modelId="{46DAA8D6-2228-485A-9B09-7CD0F3F49D95}" type="presParOf" srcId="{F193AA73-B233-4A71-8D11-179F4E60F1F8}" destId="{5D376059-C911-4EB8-A33B-48D6175D4031}" srcOrd="1" destOrd="0" presId="urn:microsoft.com/office/officeart/2005/8/layout/orgChart1"/>
    <dgm:cxn modelId="{B61FA46D-9311-49E4-8AE9-A1CAB413F677}" type="presParOf" srcId="{5D376059-C911-4EB8-A33B-48D6175D4031}" destId="{84A911D5-F31A-488B-99A2-7446882E9596}" srcOrd="0" destOrd="0" presId="urn:microsoft.com/office/officeart/2005/8/layout/orgChart1"/>
    <dgm:cxn modelId="{F07106D2-CA8F-4FAC-886C-EF9D11479DF5}" type="presParOf" srcId="{5D376059-C911-4EB8-A33B-48D6175D4031}" destId="{11DB4012-55C8-44ED-AD35-9CDB1717EEFF}" srcOrd="1" destOrd="0" presId="urn:microsoft.com/office/officeart/2005/8/layout/orgChart1"/>
    <dgm:cxn modelId="{6E0A80F8-FF4A-4D64-B251-FD6191788843}" type="presParOf" srcId="{11DB4012-55C8-44ED-AD35-9CDB1717EEFF}" destId="{69951717-8A13-4F46-AAAC-D39D54F06638}" srcOrd="0" destOrd="0" presId="urn:microsoft.com/office/officeart/2005/8/layout/orgChart1"/>
    <dgm:cxn modelId="{CCE5D5C2-3245-4432-8483-46C4826620AC}" type="presParOf" srcId="{69951717-8A13-4F46-AAAC-D39D54F06638}" destId="{5068A80C-9ACB-402A-88D0-68588455724C}" srcOrd="0" destOrd="0" presId="urn:microsoft.com/office/officeart/2005/8/layout/orgChart1"/>
    <dgm:cxn modelId="{D255C24E-F7BC-4B77-AEC7-3640C6B0C596}" type="presParOf" srcId="{69951717-8A13-4F46-AAAC-D39D54F06638}" destId="{2222D64E-0796-4107-A311-4F050A399E6D}" srcOrd="1" destOrd="0" presId="urn:microsoft.com/office/officeart/2005/8/layout/orgChart1"/>
    <dgm:cxn modelId="{5BB50D2E-AF4D-4806-8977-EED029B64FFD}" type="presParOf" srcId="{11DB4012-55C8-44ED-AD35-9CDB1717EEFF}" destId="{6928A91F-D6F0-46EF-9535-A451B59A1E6C}" srcOrd="1" destOrd="0" presId="urn:microsoft.com/office/officeart/2005/8/layout/orgChart1"/>
    <dgm:cxn modelId="{7CC44AF7-6195-4B6F-905D-6F78D1B80937}" type="presParOf" srcId="{11DB4012-55C8-44ED-AD35-9CDB1717EEFF}" destId="{48E655C5-5C9F-437C-97E6-E27D91FFFCBF}" srcOrd="2" destOrd="0" presId="urn:microsoft.com/office/officeart/2005/8/layout/orgChart1"/>
    <dgm:cxn modelId="{B7E4E9D6-88C2-48C9-BA62-EDF383D113E5}" type="presParOf" srcId="{5D376059-C911-4EB8-A33B-48D6175D4031}" destId="{B227FAF4-0D04-4D80-8D81-44FD4A222158}" srcOrd="2" destOrd="0" presId="urn:microsoft.com/office/officeart/2005/8/layout/orgChart1"/>
    <dgm:cxn modelId="{0D02C783-C0B8-4895-B338-D38B1F6F50E5}" type="presParOf" srcId="{5D376059-C911-4EB8-A33B-48D6175D4031}" destId="{86832F7D-4C02-4508-B057-B422D0DD59A9}" srcOrd="3" destOrd="0" presId="urn:microsoft.com/office/officeart/2005/8/layout/orgChart1"/>
    <dgm:cxn modelId="{98281D83-D309-4D3A-8D7C-983B5655D9D6}" type="presParOf" srcId="{86832F7D-4C02-4508-B057-B422D0DD59A9}" destId="{9661C861-B257-49E0-98CE-FDB36900CEC5}" srcOrd="0" destOrd="0" presId="urn:microsoft.com/office/officeart/2005/8/layout/orgChart1"/>
    <dgm:cxn modelId="{C36CFCF8-5F9E-41A3-B785-83787529C96A}" type="presParOf" srcId="{9661C861-B257-49E0-98CE-FDB36900CEC5}" destId="{0EA95D05-731C-456A-A18E-C4AE6B2F71AF}" srcOrd="0" destOrd="0" presId="urn:microsoft.com/office/officeart/2005/8/layout/orgChart1"/>
    <dgm:cxn modelId="{3BD6FAFA-6DA0-490C-97BB-0C8528AD1F01}" type="presParOf" srcId="{9661C861-B257-49E0-98CE-FDB36900CEC5}" destId="{B51D8D65-25F6-437E-BF22-77A8D843DF25}" srcOrd="1" destOrd="0" presId="urn:microsoft.com/office/officeart/2005/8/layout/orgChart1"/>
    <dgm:cxn modelId="{1CB9F2E0-2685-40B8-9272-86892121C229}" type="presParOf" srcId="{86832F7D-4C02-4508-B057-B422D0DD59A9}" destId="{F76026F2-5C2F-406A-B587-826AFF45D711}" srcOrd="1" destOrd="0" presId="urn:microsoft.com/office/officeart/2005/8/layout/orgChart1"/>
    <dgm:cxn modelId="{D0E696CB-0FD9-4740-84BF-12C64D27A276}" type="presParOf" srcId="{86832F7D-4C02-4508-B057-B422D0DD59A9}" destId="{4FAA9DAA-D36E-4D81-8481-C1A2CDECEA22}" srcOrd="2" destOrd="0" presId="urn:microsoft.com/office/officeart/2005/8/layout/orgChart1"/>
    <dgm:cxn modelId="{A8287D6C-0B93-403C-B1F5-E4A18AB262F2}" type="presParOf" srcId="{5D376059-C911-4EB8-A33B-48D6175D4031}" destId="{41F99E82-E021-4737-AB63-D092CAF7495E}" srcOrd="4" destOrd="0" presId="urn:microsoft.com/office/officeart/2005/8/layout/orgChart1"/>
    <dgm:cxn modelId="{AD3172B1-7449-4480-88AA-BEB44675F1B9}" type="presParOf" srcId="{5D376059-C911-4EB8-A33B-48D6175D4031}" destId="{0908F2C8-E887-41A2-B668-4935FF7528FE}" srcOrd="5" destOrd="0" presId="urn:microsoft.com/office/officeart/2005/8/layout/orgChart1"/>
    <dgm:cxn modelId="{442515DA-BB22-4BFD-B93B-340BFDBCFE86}" type="presParOf" srcId="{0908F2C8-E887-41A2-B668-4935FF7528FE}" destId="{AA230654-3520-4E53-9F37-EDA8DAC61519}" srcOrd="0" destOrd="0" presId="urn:microsoft.com/office/officeart/2005/8/layout/orgChart1"/>
    <dgm:cxn modelId="{52194B76-266B-4CE3-BCF8-F4B8DBA1947B}" type="presParOf" srcId="{AA230654-3520-4E53-9F37-EDA8DAC61519}" destId="{5D0A83D7-241C-4529-B137-C9E9CED70E3B}" srcOrd="0" destOrd="0" presId="urn:microsoft.com/office/officeart/2005/8/layout/orgChart1"/>
    <dgm:cxn modelId="{D3C0E2C5-F0AB-419B-8294-F9BF793F9A4A}" type="presParOf" srcId="{AA230654-3520-4E53-9F37-EDA8DAC61519}" destId="{566C257E-B478-41EB-BBA4-06241786E542}" srcOrd="1" destOrd="0" presId="urn:microsoft.com/office/officeart/2005/8/layout/orgChart1"/>
    <dgm:cxn modelId="{9EB794A9-0414-4508-9394-592B3C2EEB98}" type="presParOf" srcId="{0908F2C8-E887-41A2-B668-4935FF7528FE}" destId="{D9EC80F7-4FCA-43E0-BAE8-1FD10554FF75}" srcOrd="1" destOrd="0" presId="urn:microsoft.com/office/officeart/2005/8/layout/orgChart1"/>
    <dgm:cxn modelId="{0CA59C46-7889-429C-A407-9AC0D469CFE6}" type="presParOf" srcId="{0908F2C8-E887-41A2-B668-4935FF7528FE}" destId="{2C292EFD-9D74-40B4-BE6D-2801CDD74915}" srcOrd="2" destOrd="0" presId="urn:microsoft.com/office/officeart/2005/8/layout/orgChart1"/>
    <dgm:cxn modelId="{AF07A3DE-34A0-4755-960B-9F56316C9D00}" type="presParOf" srcId="{F193AA73-B233-4A71-8D11-179F4E60F1F8}" destId="{A34A684F-59BB-4D72-92B5-0E965C43C511}" srcOrd="2" destOrd="0" presId="urn:microsoft.com/office/officeart/2005/8/layout/orgChart1"/>
    <dgm:cxn modelId="{63E20D7D-B18A-48B7-9AB1-3773D6E35C47}" type="presParOf" srcId="{0FE81F30-60B2-4981-AEBF-B0A4714BC678}" destId="{62D401A5-C6C5-46F3-BD23-5EF5F023BE9E}" srcOrd="10" destOrd="0" presId="urn:microsoft.com/office/officeart/2005/8/layout/orgChart1"/>
    <dgm:cxn modelId="{7E9F5562-43C3-4754-87E4-CEAE1225154E}" type="presParOf" srcId="{0FE81F30-60B2-4981-AEBF-B0A4714BC678}" destId="{13479B68-3FAC-453D-A187-4B0BBF99D42A}" srcOrd="11" destOrd="0" presId="urn:microsoft.com/office/officeart/2005/8/layout/orgChart1"/>
    <dgm:cxn modelId="{E5C72509-A4EC-4B41-B3A1-D50A8E269071}" type="presParOf" srcId="{13479B68-3FAC-453D-A187-4B0BBF99D42A}" destId="{7731FE09-4A1C-4A27-B6EF-723EF62799F5}" srcOrd="0" destOrd="0" presId="urn:microsoft.com/office/officeart/2005/8/layout/orgChart1"/>
    <dgm:cxn modelId="{5EFFEB4E-4A5D-4770-900F-8A953BE52113}" type="presParOf" srcId="{7731FE09-4A1C-4A27-B6EF-723EF62799F5}" destId="{54FCEB1D-23E3-4D95-8A6F-292A80CE3454}" srcOrd="0" destOrd="0" presId="urn:microsoft.com/office/officeart/2005/8/layout/orgChart1"/>
    <dgm:cxn modelId="{BED2EC6B-0895-4342-9CBD-4E904FC45886}" type="presParOf" srcId="{7731FE09-4A1C-4A27-B6EF-723EF62799F5}" destId="{88032EC3-0EE7-47AF-A32D-21B9D836A3E4}" srcOrd="1" destOrd="0" presId="urn:microsoft.com/office/officeart/2005/8/layout/orgChart1"/>
    <dgm:cxn modelId="{A5C23A79-2084-48A5-AAAA-8884EB577F2E}" type="presParOf" srcId="{13479B68-3FAC-453D-A187-4B0BBF99D42A}" destId="{0BB0904C-B0C3-458D-B9D2-CF82D52C350A}" srcOrd="1" destOrd="0" presId="urn:microsoft.com/office/officeart/2005/8/layout/orgChart1"/>
    <dgm:cxn modelId="{1BA033CE-360F-4097-9696-4DED8A2CD2B3}" type="presParOf" srcId="{0BB0904C-B0C3-458D-B9D2-CF82D52C350A}" destId="{A42D5B0D-4616-4379-9F89-8C593BF45A29}" srcOrd="0" destOrd="0" presId="urn:microsoft.com/office/officeart/2005/8/layout/orgChart1"/>
    <dgm:cxn modelId="{E149AE8A-8DA9-4348-B0DF-9537315EB1AB}" type="presParOf" srcId="{0BB0904C-B0C3-458D-B9D2-CF82D52C350A}" destId="{0888050D-252D-4F2D-9345-3A0394493DC6}" srcOrd="1" destOrd="0" presId="urn:microsoft.com/office/officeart/2005/8/layout/orgChart1"/>
    <dgm:cxn modelId="{4F4CB6E5-78C8-4764-A124-7EDEF79832D2}" type="presParOf" srcId="{0888050D-252D-4F2D-9345-3A0394493DC6}" destId="{CFF818D2-EA2D-4F55-A7F5-022F68066A41}" srcOrd="0" destOrd="0" presId="urn:microsoft.com/office/officeart/2005/8/layout/orgChart1"/>
    <dgm:cxn modelId="{00E502C6-6DD8-43BE-9025-04F0DC3C12BA}" type="presParOf" srcId="{CFF818D2-EA2D-4F55-A7F5-022F68066A41}" destId="{5461838E-4AAE-4F72-AE50-A34407FA06FC}" srcOrd="0" destOrd="0" presId="urn:microsoft.com/office/officeart/2005/8/layout/orgChart1"/>
    <dgm:cxn modelId="{B160CB60-02A5-40F5-ADB1-3CC9C092D8B4}" type="presParOf" srcId="{CFF818D2-EA2D-4F55-A7F5-022F68066A41}" destId="{BE46C11F-9DFF-41E8-A1E9-D83259D2553D}" srcOrd="1" destOrd="0" presId="urn:microsoft.com/office/officeart/2005/8/layout/orgChart1"/>
    <dgm:cxn modelId="{4C694584-068E-415A-8DC7-B710DB0E6F47}" type="presParOf" srcId="{0888050D-252D-4F2D-9345-3A0394493DC6}" destId="{76772B13-18D7-41EF-B741-0B3819D3DF47}" srcOrd="1" destOrd="0" presId="urn:microsoft.com/office/officeart/2005/8/layout/orgChart1"/>
    <dgm:cxn modelId="{6B5DFAC0-B548-4411-BB28-7E67AEF86407}" type="presParOf" srcId="{0888050D-252D-4F2D-9345-3A0394493DC6}" destId="{806BB77E-ADD2-4C4D-B480-4396497A8EB7}" srcOrd="2" destOrd="0" presId="urn:microsoft.com/office/officeart/2005/8/layout/orgChart1"/>
    <dgm:cxn modelId="{69F2D0B7-5F6A-4C7D-A184-803ABDC86700}" type="presParOf" srcId="{0BB0904C-B0C3-458D-B9D2-CF82D52C350A}" destId="{750F749C-55CC-4D6D-ACC8-894C7EC91FF9}" srcOrd="2" destOrd="0" presId="urn:microsoft.com/office/officeart/2005/8/layout/orgChart1"/>
    <dgm:cxn modelId="{CAD0B6EC-239F-41FD-90EB-4A332BA9E0A7}" type="presParOf" srcId="{0BB0904C-B0C3-458D-B9D2-CF82D52C350A}" destId="{20744A69-9819-471F-812E-4287AEB9AD6D}" srcOrd="3" destOrd="0" presId="urn:microsoft.com/office/officeart/2005/8/layout/orgChart1"/>
    <dgm:cxn modelId="{BE457E8D-D91B-4E10-9D99-D5776BE94266}" type="presParOf" srcId="{20744A69-9819-471F-812E-4287AEB9AD6D}" destId="{38EA886A-F85E-465C-993E-FE6FB4997700}" srcOrd="0" destOrd="0" presId="urn:microsoft.com/office/officeart/2005/8/layout/orgChart1"/>
    <dgm:cxn modelId="{132AB1E6-F27C-4CCE-9B1E-7AE80982182E}" type="presParOf" srcId="{38EA886A-F85E-465C-993E-FE6FB4997700}" destId="{87FA8020-DE3B-4014-A44C-4FEC5266F220}" srcOrd="0" destOrd="0" presId="urn:microsoft.com/office/officeart/2005/8/layout/orgChart1"/>
    <dgm:cxn modelId="{9F4FFAF9-8574-418C-B6BD-1195761EA542}" type="presParOf" srcId="{38EA886A-F85E-465C-993E-FE6FB4997700}" destId="{6152516E-AA55-49AF-A11D-AC49DBDF67F5}" srcOrd="1" destOrd="0" presId="urn:microsoft.com/office/officeart/2005/8/layout/orgChart1"/>
    <dgm:cxn modelId="{59BBE072-5080-434E-8597-0B86A8FBAB3E}" type="presParOf" srcId="{20744A69-9819-471F-812E-4287AEB9AD6D}" destId="{03A99FEC-9A47-4FB7-955C-F923FE166481}" srcOrd="1" destOrd="0" presId="urn:microsoft.com/office/officeart/2005/8/layout/orgChart1"/>
    <dgm:cxn modelId="{60193FAF-5104-45AE-B852-46DD81F427F6}" type="presParOf" srcId="{20744A69-9819-471F-812E-4287AEB9AD6D}" destId="{2468E913-0664-4BD7-B2B7-EB0EF065A907}" srcOrd="2" destOrd="0" presId="urn:microsoft.com/office/officeart/2005/8/layout/orgChart1"/>
    <dgm:cxn modelId="{EB5AEA80-C871-4CF0-99EF-D81D10FC8B63}" type="presParOf" srcId="{13479B68-3FAC-453D-A187-4B0BBF99D42A}" destId="{0B5FE356-8F7F-430C-917A-0F6C6A40284F}" srcOrd="2" destOrd="0" presId="urn:microsoft.com/office/officeart/2005/8/layout/orgChart1"/>
    <dgm:cxn modelId="{3816044E-E289-453B-927D-C80065A092F7}" type="presParOf" srcId="{0FE81F30-60B2-4981-AEBF-B0A4714BC678}" destId="{5CA5565C-5280-483F-8356-4CF5E420EFD3}" srcOrd="12" destOrd="0" presId="urn:microsoft.com/office/officeart/2005/8/layout/orgChart1"/>
    <dgm:cxn modelId="{DE94CB90-F5C6-44B7-9DAF-907F097B3C7C}" type="presParOf" srcId="{0FE81F30-60B2-4981-AEBF-B0A4714BC678}" destId="{62D18757-4F1B-4429-BFC1-D27360471FB1}" srcOrd="13" destOrd="0" presId="urn:microsoft.com/office/officeart/2005/8/layout/orgChart1"/>
    <dgm:cxn modelId="{4F5F237D-E026-49D9-8C79-C26CF9804EAB}" type="presParOf" srcId="{62D18757-4F1B-4429-BFC1-D27360471FB1}" destId="{6C19B7BC-3495-4799-B77B-5E1BA571FF0B}" srcOrd="0" destOrd="0" presId="urn:microsoft.com/office/officeart/2005/8/layout/orgChart1"/>
    <dgm:cxn modelId="{C1E0DAC6-50F3-4287-83F7-E0FDFFAB1523}" type="presParOf" srcId="{6C19B7BC-3495-4799-B77B-5E1BA571FF0B}" destId="{E9E86EF2-8FF2-40F8-A575-C8E722C5D611}" srcOrd="0" destOrd="0" presId="urn:microsoft.com/office/officeart/2005/8/layout/orgChart1"/>
    <dgm:cxn modelId="{CA20CA78-B6BD-4295-A81F-13E86C0C0A02}" type="presParOf" srcId="{6C19B7BC-3495-4799-B77B-5E1BA571FF0B}" destId="{1D5E974D-B0EA-4BB5-BF27-AEF529733DDC}" srcOrd="1" destOrd="0" presId="urn:microsoft.com/office/officeart/2005/8/layout/orgChart1"/>
    <dgm:cxn modelId="{419AE6BD-0B66-4CCC-90B8-DABA07F014F7}" type="presParOf" srcId="{62D18757-4F1B-4429-BFC1-D27360471FB1}" destId="{AE917B78-3857-4B3C-8136-B9FFA5089A9A}" srcOrd="1" destOrd="0" presId="urn:microsoft.com/office/officeart/2005/8/layout/orgChart1"/>
    <dgm:cxn modelId="{6DFE930C-A897-4076-8836-517297900EA7}" type="presParOf" srcId="{AE917B78-3857-4B3C-8136-B9FFA5089A9A}" destId="{775E7F50-CA3B-4B94-9C84-D30C0EFA147D}" srcOrd="0" destOrd="0" presId="urn:microsoft.com/office/officeart/2005/8/layout/orgChart1"/>
    <dgm:cxn modelId="{8CAB6D7B-69A7-4330-9366-153941AE8F49}" type="presParOf" srcId="{AE917B78-3857-4B3C-8136-B9FFA5089A9A}" destId="{3EA7EF5C-C7EE-4DF9-AF26-98BBBC9FAB1D}" srcOrd="1" destOrd="0" presId="urn:microsoft.com/office/officeart/2005/8/layout/orgChart1"/>
    <dgm:cxn modelId="{41D7D392-6AEC-4A93-9974-DB0FE6657CF6}" type="presParOf" srcId="{3EA7EF5C-C7EE-4DF9-AF26-98BBBC9FAB1D}" destId="{4EAFC577-4B92-4DEA-AD99-016E2FA1436A}" srcOrd="0" destOrd="0" presId="urn:microsoft.com/office/officeart/2005/8/layout/orgChart1"/>
    <dgm:cxn modelId="{FB989150-AC5A-441D-A854-9C3529FBD2CC}" type="presParOf" srcId="{4EAFC577-4B92-4DEA-AD99-016E2FA1436A}" destId="{678D9895-FFDA-4276-AF1F-B8CB4AF89043}" srcOrd="0" destOrd="0" presId="urn:microsoft.com/office/officeart/2005/8/layout/orgChart1"/>
    <dgm:cxn modelId="{7BE91796-6DCD-41AA-8257-839FCF74AA7F}" type="presParOf" srcId="{4EAFC577-4B92-4DEA-AD99-016E2FA1436A}" destId="{B9C954F7-49FD-4C32-A944-C8FAA1E2F518}" srcOrd="1" destOrd="0" presId="urn:microsoft.com/office/officeart/2005/8/layout/orgChart1"/>
    <dgm:cxn modelId="{DD7E9F3C-9887-4206-AB93-C41B358146DA}" type="presParOf" srcId="{3EA7EF5C-C7EE-4DF9-AF26-98BBBC9FAB1D}" destId="{7364E634-0F17-4099-BD08-DBDA70939E9B}" srcOrd="1" destOrd="0" presId="urn:microsoft.com/office/officeart/2005/8/layout/orgChart1"/>
    <dgm:cxn modelId="{7A930276-6502-42CB-8CE9-504B9432B0C7}" type="presParOf" srcId="{3EA7EF5C-C7EE-4DF9-AF26-98BBBC9FAB1D}" destId="{4E93B32F-D20A-4C05-9625-D91A905630D1}" srcOrd="2" destOrd="0" presId="urn:microsoft.com/office/officeart/2005/8/layout/orgChart1"/>
    <dgm:cxn modelId="{9FF0978A-1941-459E-91EE-8143FD50A1A0}" type="presParOf" srcId="{AE917B78-3857-4B3C-8136-B9FFA5089A9A}" destId="{9C7E90BD-7613-4B3B-9837-11EE51C0FA75}" srcOrd="2" destOrd="0" presId="urn:microsoft.com/office/officeart/2005/8/layout/orgChart1"/>
    <dgm:cxn modelId="{DAA078CC-0CB1-4E20-B3A5-834ABAFC4E13}" type="presParOf" srcId="{AE917B78-3857-4B3C-8136-B9FFA5089A9A}" destId="{EBEF8693-A5DF-43A8-9DF4-52614632E4C1}" srcOrd="3" destOrd="0" presId="urn:microsoft.com/office/officeart/2005/8/layout/orgChart1"/>
    <dgm:cxn modelId="{5A74EA9C-E8C2-4AC8-9F8D-A4BE800BEFE9}" type="presParOf" srcId="{EBEF8693-A5DF-43A8-9DF4-52614632E4C1}" destId="{ABC35D0D-7603-4576-88C5-A0174C6FA1B6}" srcOrd="0" destOrd="0" presId="urn:microsoft.com/office/officeart/2005/8/layout/orgChart1"/>
    <dgm:cxn modelId="{93A9DB22-2CBA-43E2-AD8E-62057F996CEC}" type="presParOf" srcId="{ABC35D0D-7603-4576-88C5-A0174C6FA1B6}" destId="{1243D1D1-6CE8-4072-BAF5-D5616BE29114}" srcOrd="0" destOrd="0" presId="urn:microsoft.com/office/officeart/2005/8/layout/orgChart1"/>
    <dgm:cxn modelId="{C08CEB70-F23C-4ECB-B8D8-1902AE735FA1}" type="presParOf" srcId="{ABC35D0D-7603-4576-88C5-A0174C6FA1B6}" destId="{3A008665-29E4-43EA-A168-045EB68552AC}" srcOrd="1" destOrd="0" presId="urn:microsoft.com/office/officeart/2005/8/layout/orgChart1"/>
    <dgm:cxn modelId="{D4D3434A-1D4F-4742-A309-EAB760A9B959}" type="presParOf" srcId="{EBEF8693-A5DF-43A8-9DF4-52614632E4C1}" destId="{DF95210B-C047-4AC1-8600-B4346613061A}" srcOrd="1" destOrd="0" presId="urn:microsoft.com/office/officeart/2005/8/layout/orgChart1"/>
    <dgm:cxn modelId="{8AB3A1FF-5846-4B95-9D21-6F8A68DEEFAD}" type="presParOf" srcId="{EBEF8693-A5DF-43A8-9DF4-52614632E4C1}" destId="{5A887631-C9AE-41F6-B3A0-A3995F3B8D18}" srcOrd="2" destOrd="0" presId="urn:microsoft.com/office/officeart/2005/8/layout/orgChart1"/>
    <dgm:cxn modelId="{61FABC88-BA43-49E0-8D4B-D7199E3877F8}" type="presParOf" srcId="{62D18757-4F1B-4429-BFC1-D27360471FB1}" destId="{FB11DE67-C356-4FCA-842C-EAA37FBBB604}" srcOrd="2" destOrd="0" presId="urn:microsoft.com/office/officeart/2005/8/layout/orgChart1"/>
    <dgm:cxn modelId="{973C024D-34C9-44A7-BB5A-A2743D6EB61B}" type="presParOf" srcId="{0FE81F30-60B2-4981-AEBF-B0A4714BC678}" destId="{4EB54188-3B2B-453E-8C4A-DE92730EB48E}" srcOrd="14" destOrd="0" presId="urn:microsoft.com/office/officeart/2005/8/layout/orgChart1"/>
    <dgm:cxn modelId="{67BFED4A-0E72-4F2E-A1B6-1CA62DFF2E7F}" type="presParOf" srcId="{0FE81F30-60B2-4981-AEBF-B0A4714BC678}" destId="{8DD8C097-4D27-47C5-AFAA-22AB2E8F7382}" srcOrd="15" destOrd="0" presId="urn:microsoft.com/office/officeart/2005/8/layout/orgChart1"/>
    <dgm:cxn modelId="{DE0C5190-8867-41D3-B68D-D12C06FA5497}" type="presParOf" srcId="{8DD8C097-4D27-47C5-AFAA-22AB2E8F7382}" destId="{4131E635-7589-4D80-8F80-A8A0B5DF9757}" srcOrd="0" destOrd="0" presId="urn:microsoft.com/office/officeart/2005/8/layout/orgChart1"/>
    <dgm:cxn modelId="{1877EDB6-5ED6-404A-931F-8841ABBCC8AF}" type="presParOf" srcId="{4131E635-7589-4D80-8F80-A8A0B5DF9757}" destId="{00414A84-BE3F-419D-86C3-0CBBCB77744F}" srcOrd="0" destOrd="0" presId="urn:microsoft.com/office/officeart/2005/8/layout/orgChart1"/>
    <dgm:cxn modelId="{F6D09CA4-E726-4E57-A19C-62685D393573}" type="presParOf" srcId="{4131E635-7589-4D80-8F80-A8A0B5DF9757}" destId="{0E4B98E5-DD0E-424B-943C-426CCE8BD4D9}" srcOrd="1" destOrd="0" presId="urn:microsoft.com/office/officeart/2005/8/layout/orgChart1"/>
    <dgm:cxn modelId="{759175F0-6F94-4065-9D6D-49541094B757}" type="presParOf" srcId="{8DD8C097-4D27-47C5-AFAA-22AB2E8F7382}" destId="{B0D4D67C-8B61-4F86-A1F2-C57052F69FE7}" srcOrd="1" destOrd="0" presId="urn:microsoft.com/office/officeart/2005/8/layout/orgChart1"/>
    <dgm:cxn modelId="{A020B9D6-4BA6-44EB-808C-C5F13B8887E4}" type="presParOf" srcId="{8DD8C097-4D27-47C5-AFAA-22AB2E8F7382}" destId="{9CB05F5B-76C9-4CE5-A9D3-0618181936B6}" srcOrd="2" destOrd="0" presId="urn:microsoft.com/office/officeart/2005/8/layout/orgChart1"/>
    <dgm:cxn modelId="{0090B21C-4C53-4E73-AA09-C85FFEA831CC}" type="presParOf" srcId="{0FE81F30-60B2-4981-AEBF-B0A4714BC678}" destId="{C19435FF-988B-465B-85C1-27AEB3EABA5A}" srcOrd="16" destOrd="0" presId="urn:microsoft.com/office/officeart/2005/8/layout/orgChart1"/>
    <dgm:cxn modelId="{19F24D29-D8A2-4123-9224-A1C855C9485F}" type="presParOf" srcId="{0FE81F30-60B2-4981-AEBF-B0A4714BC678}" destId="{DA8E0214-9DC3-4345-85C9-7AED108765AD}" srcOrd="17" destOrd="0" presId="urn:microsoft.com/office/officeart/2005/8/layout/orgChart1"/>
    <dgm:cxn modelId="{DB1000E5-BF54-429F-866D-E7460EAB63A2}" type="presParOf" srcId="{DA8E0214-9DC3-4345-85C9-7AED108765AD}" destId="{405E8A65-204B-4676-A9BA-B853BBF8EFB2}" srcOrd="0" destOrd="0" presId="urn:microsoft.com/office/officeart/2005/8/layout/orgChart1"/>
    <dgm:cxn modelId="{2B846FA7-D440-46D4-96AB-FEDE8E757F82}" type="presParOf" srcId="{405E8A65-204B-4676-A9BA-B853BBF8EFB2}" destId="{2C1A7F41-62FD-4C3B-B8A5-AAEB4601BB61}" srcOrd="0" destOrd="0" presId="urn:microsoft.com/office/officeart/2005/8/layout/orgChart1"/>
    <dgm:cxn modelId="{9B214825-EE62-4BC0-A026-634806F71ECD}" type="presParOf" srcId="{405E8A65-204B-4676-A9BA-B853BBF8EFB2}" destId="{24DB60C8-6439-40D5-9713-A6319E937FC5}" srcOrd="1" destOrd="0" presId="urn:microsoft.com/office/officeart/2005/8/layout/orgChart1"/>
    <dgm:cxn modelId="{1ED6B948-7DCC-4F23-B2BB-5608F0030D3A}" type="presParOf" srcId="{DA8E0214-9DC3-4345-85C9-7AED108765AD}" destId="{BCF540FC-36C7-4EDB-9214-1F66FD9D9684}" srcOrd="1" destOrd="0" presId="urn:microsoft.com/office/officeart/2005/8/layout/orgChart1"/>
    <dgm:cxn modelId="{FA9D6C2F-11A6-42B3-A4B4-969910E54BF2}" type="presParOf" srcId="{BCF540FC-36C7-4EDB-9214-1F66FD9D9684}" destId="{8FC63FCD-A146-4255-91B4-B158CE68F7C8}" srcOrd="0" destOrd="0" presId="urn:microsoft.com/office/officeart/2005/8/layout/orgChart1"/>
    <dgm:cxn modelId="{BA8F05B9-705F-463D-AD00-D9FC27683D52}" type="presParOf" srcId="{BCF540FC-36C7-4EDB-9214-1F66FD9D9684}" destId="{51F1E7D6-5480-4E11-9788-DF3B1D73D632}" srcOrd="1" destOrd="0" presId="urn:microsoft.com/office/officeart/2005/8/layout/orgChart1"/>
    <dgm:cxn modelId="{787BEC29-4A82-4EC9-A9A7-CBAFB2885798}" type="presParOf" srcId="{51F1E7D6-5480-4E11-9788-DF3B1D73D632}" destId="{DBEE8274-0EB6-4E7C-A05E-3ADC6BC93C0B}" srcOrd="0" destOrd="0" presId="urn:microsoft.com/office/officeart/2005/8/layout/orgChart1"/>
    <dgm:cxn modelId="{EE443013-4933-4DA9-9F50-21AD61B009DE}" type="presParOf" srcId="{DBEE8274-0EB6-4E7C-A05E-3ADC6BC93C0B}" destId="{E7736C80-1CCB-4CBB-9403-8C1092E7241B}" srcOrd="0" destOrd="0" presId="urn:microsoft.com/office/officeart/2005/8/layout/orgChart1"/>
    <dgm:cxn modelId="{8A7F13AA-FA2F-4150-B3BB-6D28339AC9FE}" type="presParOf" srcId="{DBEE8274-0EB6-4E7C-A05E-3ADC6BC93C0B}" destId="{9B27327E-5F44-463F-B37B-6B62F719F8DD}" srcOrd="1" destOrd="0" presId="urn:microsoft.com/office/officeart/2005/8/layout/orgChart1"/>
    <dgm:cxn modelId="{EBA3CFFE-4D56-4879-905F-7D79E0DF169D}" type="presParOf" srcId="{51F1E7D6-5480-4E11-9788-DF3B1D73D632}" destId="{9369E3AA-DF3C-4BB4-BC48-040032FA1C19}" srcOrd="1" destOrd="0" presId="urn:microsoft.com/office/officeart/2005/8/layout/orgChart1"/>
    <dgm:cxn modelId="{B31A2AB3-D829-4DFD-B6AB-BA0D5888B5CD}" type="presParOf" srcId="{51F1E7D6-5480-4E11-9788-DF3B1D73D632}" destId="{BDE3973B-C718-4ACF-AEEA-0E6CAD2548F2}" srcOrd="2" destOrd="0" presId="urn:microsoft.com/office/officeart/2005/8/layout/orgChart1"/>
    <dgm:cxn modelId="{96EC7400-C06E-4C31-9C74-1542DEC6072B}" type="presParOf" srcId="{BCF540FC-36C7-4EDB-9214-1F66FD9D9684}" destId="{8F716452-68A5-4EBA-9E68-A00F368A2593}" srcOrd="2" destOrd="0" presId="urn:microsoft.com/office/officeart/2005/8/layout/orgChart1"/>
    <dgm:cxn modelId="{3DC8DA07-2539-4E3C-9337-D4911130AD4E}" type="presParOf" srcId="{BCF540FC-36C7-4EDB-9214-1F66FD9D9684}" destId="{27DD8EBB-F2CB-4ECD-A69A-E0AA8618B12F}" srcOrd="3" destOrd="0" presId="urn:microsoft.com/office/officeart/2005/8/layout/orgChart1"/>
    <dgm:cxn modelId="{7A4C2F14-2513-43EA-9B7F-03858E311979}" type="presParOf" srcId="{27DD8EBB-F2CB-4ECD-A69A-E0AA8618B12F}" destId="{634329F9-E233-4EF5-B19A-B710485539E7}" srcOrd="0" destOrd="0" presId="urn:microsoft.com/office/officeart/2005/8/layout/orgChart1"/>
    <dgm:cxn modelId="{35391D6D-81C4-403E-A381-CD7335A8BEEA}" type="presParOf" srcId="{634329F9-E233-4EF5-B19A-B710485539E7}" destId="{1CF66548-87FD-4ACD-899B-BA01808BB437}" srcOrd="0" destOrd="0" presId="urn:microsoft.com/office/officeart/2005/8/layout/orgChart1"/>
    <dgm:cxn modelId="{E97A1C60-B25E-44AE-83EF-5D6200B197AC}" type="presParOf" srcId="{634329F9-E233-4EF5-B19A-B710485539E7}" destId="{1C655F7C-E196-48C0-94FD-81E58A939B9B}" srcOrd="1" destOrd="0" presId="urn:microsoft.com/office/officeart/2005/8/layout/orgChart1"/>
    <dgm:cxn modelId="{957621E5-15C3-492E-AD1D-9C0C091E3795}" type="presParOf" srcId="{27DD8EBB-F2CB-4ECD-A69A-E0AA8618B12F}" destId="{D176361D-A485-4A70-B7B2-00652B62C3C0}" srcOrd="1" destOrd="0" presId="urn:microsoft.com/office/officeart/2005/8/layout/orgChart1"/>
    <dgm:cxn modelId="{92CA4B3A-61C5-41A4-9F69-153F5098BC5D}" type="presParOf" srcId="{27DD8EBB-F2CB-4ECD-A69A-E0AA8618B12F}" destId="{1C8E6F50-1000-47DC-8F01-46152B62837C}" srcOrd="2" destOrd="0" presId="urn:microsoft.com/office/officeart/2005/8/layout/orgChart1"/>
    <dgm:cxn modelId="{462B7C1E-F497-426A-BE87-63395AE3AF8E}" type="presParOf" srcId="{BCF540FC-36C7-4EDB-9214-1F66FD9D9684}" destId="{845A6BF7-567E-45C1-83E8-5CDEBFDB50DC}" srcOrd="4" destOrd="0" presId="urn:microsoft.com/office/officeart/2005/8/layout/orgChart1"/>
    <dgm:cxn modelId="{697C85FB-27BF-485E-83B1-93BB5DCCC1A6}" type="presParOf" srcId="{BCF540FC-36C7-4EDB-9214-1F66FD9D9684}" destId="{B02C7C24-DD5A-460D-B386-6FD318E4220E}" srcOrd="5" destOrd="0" presId="urn:microsoft.com/office/officeart/2005/8/layout/orgChart1"/>
    <dgm:cxn modelId="{6C530FE0-8C92-42D1-8A0E-0C94A4704B45}" type="presParOf" srcId="{B02C7C24-DD5A-460D-B386-6FD318E4220E}" destId="{09987E14-6581-4BEF-8C12-C242E0E5546C}" srcOrd="0" destOrd="0" presId="urn:microsoft.com/office/officeart/2005/8/layout/orgChart1"/>
    <dgm:cxn modelId="{01869B04-A589-4C1B-8FE6-345FA15FC0F6}" type="presParOf" srcId="{09987E14-6581-4BEF-8C12-C242E0E5546C}" destId="{C2D54325-2494-4482-BD61-36C75228C61C}" srcOrd="0" destOrd="0" presId="urn:microsoft.com/office/officeart/2005/8/layout/orgChart1"/>
    <dgm:cxn modelId="{5547B45B-8F30-48C9-ABE4-E8037B095D3A}" type="presParOf" srcId="{09987E14-6581-4BEF-8C12-C242E0E5546C}" destId="{B5BEF0E8-B297-480F-BD3F-60C9A8748FE6}" srcOrd="1" destOrd="0" presId="urn:microsoft.com/office/officeart/2005/8/layout/orgChart1"/>
    <dgm:cxn modelId="{AAEE4901-6A6D-401D-A2FD-2262F3B45C90}" type="presParOf" srcId="{B02C7C24-DD5A-460D-B386-6FD318E4220E}" destId="{0330A2BB-B79B-4356-BA4C-85A98E44AFCD}" srcOrd="1" destOrd="0" presId="urn:microsoft.com/office/officeart/2005/8/layout/orgChart1"/>
    <dgm:cxn modelId="{97A5EAC0-D20E-4DE6-A7CB-92B39FDDD389}" type="presParOf" srcId="{B02C7C24-DD5A-460D-B386-6FD318E4220E}" destId="{2A7FD4B3-10F1-4814-A6CA-D8EEF243FC51}" srcOrd="2" destOrd="0" presId="urn:microsoft.com/office/officeart/2005/8/layout/orgChart1"/>
    <dgm:cxn modelId="{22FE3352-A0B8-4484-B721-3F2E3D94D990}" type="presParOf" srcId="{BCF540FC-36C7-4EDB-9214-1F66FD9D9684}" destId="{B1A45956-E2B3-47B9-AB45-0E3D01DF6EDD}" srcOrd="6" destOrd="0" presId="urn:microsoft.com/office/officeart/2005/8/layout/orgChart1"/>
    <dgm:cxn modelId="{767CF8EA-BA7C-4ACD-BB26-A8F4CB748C0B}" type="presParOf" srcId="{BCF540FC-36C7-4EDB-9214-1F66FD9D9684}" destId="{5CA1873F-EBB3-4CE7-9C8A-9CA3171B05D0}" srcOrd="7" destOrd="0" presId="urn:microsoft.com/office/officeart/2005/8/layout/orgChart1"/>
    <dgm:cxn modelId="{B248A9DD-83B2-4725-A52A-75D22518671A}" type="presParOf" srcId="{5CA1873F-EBB3-4CE7-9C8A-9CA3171B05D0}" destId="{5D916CBA-74D8-41BB-AFA2-E4D43A44FC3B}" srcOrd="0" destOrd="0" presId="urn:microsoft.com/office/officeart/2005/8/layout/orgChart1"/>
    <dgm:cxn modelId="{D5C0D9C2-B925-4534-997E-9BEEB2BD7EC8}" type="presParOf" srcId="{5D916CBA-74D8-41BB-AFA2-E4D43A44FC3B}" destId="{56DB4668-946F-4A5A-957C-5E151A790B6E}" srcOrd="0" destOrd="0" presId="urn:microsoft.com/office/officeart/2005/8/layout/orgChart1"/>
    <dgm:cxn modelId="{B5392D05-DA34-4BCB-B952-2FCA708F0AB3}" type="presParOf" srcId="{5D916CBA-74D8-41BB-AFA2-E4D43A44FC3B}" destId="{A160E3EA-D3F2-4F53-A652-419106C403C8}" srcOrd="1" destOrd="0" presId="urn:microsoft.com/office/officeart/2005/8/layout/orgChart1"/>
    <dgm:cxn modelId="{8EE9A0C5-EC0D-4D1B-AF30-231106F4BD03}" type="presParOf" srcId="{5CA1873F-EBB3-4CE7-9C8A-9CA3171B05D0}" destId="{8650F676-13A3-453E-9AD8-474F36E5D156}" srcOrd="1" destOrd="0" presId="urn:microsoft.com/office/officeart/2005/8/layout/orgChart1"/>
    <dgm:cxn modelId="{71E53DBF-86CF-481A-9C90-3602C0F6CD1F}" type="presParOf" srcId="{5CA1873F-EBB3-4CE7-9C8A-9CA3171B05D0}" destId="{34260EB5-4B0B-476A-AE6B-C1FBA569C700}" srcOrd="2" destOrd="0" presId="urn:microsoft.com/office/officeart/2005/8/layout/orgChart1"/>
    <dgm:cxn modelId="{B1185E05-8B4A-46F2-BF91-4387781813B5}" type="presParOf" srcId="{BCF540FC-36C7-4EDB-9214-1F66FD9D9684}" destId="{50570C70-5D6A-428E-B81A-9F5DB587CF4E}" srcOrd="8" destOrd="0" presId="urn:microsoft.com/office/officeart/2005/8/layout/orgChart1"/>
    <dgm:cxn modelId="{AD458960-B0D1-4980-9A7A-19060D66D75C}" type="presParOf" srcId="{BCF540FC-36C7-4EDB-9214-1F66FD9D9684}" destId="{13B44612-FF52-4BA3-8777-C9108B0C838B}" srcOrd="9" destOrd="0" presId="urn:microsoft.com/office/officeart/2005/8/layout/orgChart1"/>
    <dgm:cxn modelId="{CEB008E0-B258-4E56-84A3-A70FD81F7C3D}" type="presParOf" srcId="{13B44612-FF52-4BA3-8777-C9108B0C838B}" destId="{A59D335F-D116-416B-BE90-13A73637A6AF}" srcOrd="0" destOrd="0" presId="urn:microsoft.com/office/officeart/2005/8/layout/orgChart1"/>
    <dgm:cxn modelId="{32C0D10E-C579-4506-A977-A838B5C265DE}" type="presParOf" srcId="{A59D335F-D116-416B-BE90-13A73637A6AF}" destId="{16C1F812-4891-4D2F-BED7-F1A084D6BFBA}" srcOrd="0" destOrd="0" presId="urn:microsoft.com/office/officeart/2005/8/layout/orgChart1"/>
    <dgm:cxn modelId="{4CDA8815-EFAE-4FF5-9659-232277A5892A}" type="presParOf" srcId="{A59D335F-D116-416B-BE90-13A73637A6AF}" destId="{E719253F-CDAB-4E48-970E-1A0643CDB767}" srcOrd="1" destOrd="0" presId="urn:microsoft.com/office/officeart/2005/8/layout/orgChart1"/>
    <dgm:cxn modelId="{80F20E72-36A4-4A8F-8EDF-C293E40A5CBE}" type="presParOf" srcId="{13B44612-FF52-4BA3-8777-C9108B0C838B}" destId="{485F957A-FB58-4588-B16C-83B816D5C5A5}" srcOrd="1" destOrd="0" presId="urn:microsoft.com/office/officeart/2005/8/layout/orgChart1"/>
    <dgm:cxn modelId="{E1D745F5-E285-409D-A496-7244415DE8E5}" type="presParOf" srcId="{13B44612-FF52-4BA3-8777-C9108B0C838B}" destId="{FEE8B12C-2D81-4120-A104-C8CA18F75094}" srcOrd="2" destOrd="0" presId="urn:microsoft.com/office/officeart/2005/8/layout/orgChart1"/>
    <dgm:cxn modelId="{505376A2-B0A9-47C3-B89E-78C932630BFA}" type="presParOf" srcId="{BCF540FC-36C7-4EDB-9214-1F66FD9D9684}" destId="{F0E705CE-3B6B-4E1B-A235-F74A7358B414}" srcOrd="10" destOrd="0" presId="urn:microsoft.com/office/officeart/2005/8/layout/orgChart1"/>
    <dgm:cxn modelId="{610D6B1D-BB56-4D9A-B94D-885C36A7633F}" type="presParOf" srcId="{BCF540FC-36C7-4EDB-9214-1F66FD9D9684}" destId="{4CD2A775-5B0D-4541-8358-534D0B9AB688}" srcOrd="11" destOrd="0" presId="urn:microsoft.com/office/officeart/2005/8/layout/orgChart1"/>
    <dgm:cxn modelId="{BCE94537-41D5-4246-ACAB-B5CB356FD373}" type="presParOf" srcId="{4CD2A775-5B0D-4541-8358-534D0B9AB688}" destId="{14662415-E902-4D26-8A70-D5B9DC25AC13}" srcOrd="0" destOrd="0" presId="urn:microsoft.com/office/officeart/2005/8/layout/orgChart1"/>
    <dgm:cxn modelId="{473CF116-E8BC-40CF-AE89-7C64EC883428}" type="presParOf" srcId="{14662415-E902-4D26-8A70-D5B9DC25AC13}" destId="{58487AF8-4202-4BD0-B2AC-22885F83C43F}" srcOrd="0" destOrd="0" presId="urn:microsoft.com/office/officeart/2005/8/layout/orgChart1"/>
    <dgm:cxn modelId="{B588FF25-6831-4E2D-951F-4B551F68AF0C}" type="presParOf" srcId="{14662415-E902-4D26-8A70-D5B9DC25AC13}" destId="{0BDD33FD-D2CD-4AF4-8A5E-294D129597AD}" srcOrd="1" destOrd="0" presId="urn:microsoft.com/office/officeart/2005/8/layout/orgChart1"/>
    <dgm:cxn modelId="{AB543E37-7377-46F1-9483-537745A0E510}" type="presParOf" srcId="{4CD2A775-5B0D-4541-8358-534D0B9AB688}" destId="{BC308358-B2E3-4E48-8F49-AB6E1D6F708B}" srcOrd="1" destOrd="0" presId="urn:microsoft.com/office/officeart/2005/8/layout/orgChart1"/>
    <dgm:cxn modelId="{F319BA89-516E-4417-856B-2715ADAC6A61}" type="presParOf" srcId="{4CD2A775-5B0D-4541-8358-534D0B9AB688}" destId="{A088C0B8-B87C-4ADC-84B3-672FAF1EDB02}" srcOrd="2" destOrd="0" presId="urn:microsoft.com/office/officeart/2005/8/layout/orgChart1"/>
    <dgm:cxn modelId="{739ABD99-EB63-4019-BE0E-2EEAE545AFAC}" type="presParOf" srcId="{BCF540FC-36C7-4EDB-9214-1F66FD9D9684}" destId="{3E90A9AC-02A3-481E-B813-8AAB7255C8B5}" srcOrd="12" destOrd="0" presId="urn:microsoft.com/office/officeart/2005/8/layout/orgChart1"/>
    <dgm:cxn modelId="{DFC207EF-36B7-4A15-8E3D-3168905A594F}" type="presParOf" srcId="{BCF540FC-36C7-4EDB-9214-1F66FD9D9684}" destId="{4C360212-8F6A-4810-8D0D-7A7DD2B1AF73}" srcOrd="13" destOrd="0" presId="urn:microsoft.com/office/officeart/2005/8/layout/orgChart1"/>
    <dgm:cxn modelId="{6229C57E-7339-4B6F-93D9-27BCE4BFA97A}" type="presParOf" srcId="{4C360212-8F6A-4810-8D0D-7A7DD2B1AF73}" destId="{277C1EA9-E448-416E-8516-777DD53FE6A9}" srcOrd="0" destOrd="0" presId="urn:microsoft.com/office/officeart/2005/8/layout/orgChart1"/>
    <dgm:cxn modelId="{4EA5CCD2-E6E5-401B-9863-6171E4BE79E0}" type="presParOf" srcId="{277C1EA9-E448-416E-8516-777DD53FE6A9}" destId="{9105889D-BD14-43AA-A28D-9A7684D28A5A}" srcOrd="0" destOrd="0" presId="urn:microsoft.com/office/officeart/2005/8/layout/orgChart1"/>
    <dgm:cxn modelId="{1B451DF1-C03C-4B2F-B615-5C787BDFB1AB}" type="presParOf" srcId="{277C1EA9-E448-416E-8516-777DD53FE6A9}" destId="{A6A34C60-F8BF-4AF9-8E9E-41060EE03DB5}" srcOrd="1" destOrd="0" presId="urn:microsoft.com/office/officeart/2005/8/layout/orgChart1"/>
    <dgm:cxn modelId="{8C7E2104-E947-40D7-BD06-F7CA1A7A0EBB}" type="presParOf" srcId="{4C360212-8F6A-4810-8D0D-7A7DD2B1AF73}" destId="{FB7D752F-662A-45DF-AEC6-667F2B763BCE}" srcOrd="1" destOrd="0" presId="urn:microsoft.com/office/officeart/2005/8/layout/orgChart1"/>
    <dgm:cxn modelId="{C4D63D97-C728-4D66-A898-BF1269E9E125}" type="presParOf" srcId="{4C360212-8F6A-4810-8D0D-7A7DD2B1AF73}" destId="{5B66A326-8C52-4861-82D3-081CC3101367}" srcOrd="2" destOrd="0" presId="urn:microsoft.com/office/officeart/2005/8/layout/orgChart1"/>
    <dgm:cxn modelId="{19FFEB47-F4BB-4C6A-A69D-B057EBCE43CB}" type="presParOf" srcId="{BCF540FC-36C7-4EDB-9214-1F66FD9D9684}" destId="{7A177CFA-589C-4E69-9A24-ED53803BDAF1}" srcOrd="14" destOrd="0" presId="urn:microsoft.com/office/officeart/2005/8/layout/orgChart1"/>
    <dgm:cxn modelId="{EE9EDA17-B8AB-4C31-BC20-706BE7D4AAFB}" type="presParOf" srcId="{BCF540FC-36C7-4EDB-9214-1F66FD9D9684}" destId="{791F0F20-2FF2-488A-BDAA-29C0362CAA3B}" srcOrd="15" destOrd="0" presId="urn:microsoft.com/office/officeart/2005/8/layout/orgChart1"/>
    <dgm:cxn modelId="{7D0991D8-4732-4A3D-ACF0-2EDBBD05680D}" type="presParOf" srcId="{791F0F20-2FF2-488A-BDAA-29C0362CAA3B}" destId="{5AADC76F-DA7A-4CBF-927D-FEFCA1A7CCAA}" srcOrd="0" destOrd="0" presId="urn:microsoft.com/office/officeart/2005/8/layout/orgChart1"/>
    <dgm:cxn modelId="{C3402FBF-2BF9-47B4-9317-60E3FC89179B}" type="presParOf" srcId="{5AADC76F-DA7A-4CBF-927D-FEFCA1A7CCAA}" destId="{1F56D8DA-CEB2-44D4-9F74-29D6E216AAA3}" srcOrd="0" destOrd="0" presId="urn:microsoft.com/office/officeart/2005/8/layout/orgChart1"/>
    <dgm:cxn modelId="{ED0014BE-732E-4A6A-B344-4F30509509D3}" type="presParOf" srcId="{5AADC76F-DA7A-4CBF-927D-FEFCA1A7CCAA}" destId="{BECBC4D7-9431-4059-8C5A-AB144D1CE114}" srcOrd="1" destOrd="0" presId="urn:microsoft.com/office/officeart/2005/8/layout/orgChart1"/>
    <dgm:cxn modelId="{2A21950B-2C31-4379-8E46-45F7FAF5381A}" type="presParOf" srcId="{791F0F20-2FF2-488A-BDAA-29C0362CAA3B}" destId="{C30CBBDF-4517-48D8-8DC1-461DD321FF0E}" srcOrd="1" destOrd="0" presId="urn:microsoft.com/office/officeart/2005/8/layout/orgChart1"/>
    <dgm:cxn modelId="{E2F7ADAC-67AE-482E-9AD3-CD04CE4962AE}" type="presParOf" srcId="{791F0F20-2FF2-488A-BDAA-29C0362CAA3B}" destId="{F0C109B2-70B3-49CF-BCD0-0F4A0F4DE2C2}" srcOrd="2" destOrd="0" presId="urn:microsoft.com/office/officeart/2005/8/layout/orgChart1"/>
    <dgm:cxn modelId="{2C3C9543-8478-4557-9B4B-2B5146A05ABB}" type="presParOf" srcId="{DA8E0214-9DC3-4345-85C9-7AED108765AD}" destId="{0DE28423-1B53-40B7-BE86-2516A836E2D5}" srcOrd="2" destOrd="0" presId="urn:microsoft.com/office/officeart/2005/8/layout/orgChart1"/>
    <dgm:cxn modelId="{9EDD0D4C-58F6-4EE7-B1EE-98615A5B8C96}" type="presParOf" srcId="{C3F2D305-6167-4FC2-A4BB-063725E2E72C}" destId="{ED01BC81-D5E6-40A9-B7E9-A942939466BC}" srcOrd="2" destOrd="0" presId="urn:microsoft.com/office/officeart/2005/8/layout/orgChart1"/>
    <dgm:cxn modelId="{FE5F6361-6496-45DE-B693-8341A3B4B32E}" type="presParOf" srcId="{2CAC2966-0871-4586-9DEA-148FAB7251F1}" destId="{220D981A-8404-4547-A698-E2D25D7519AD}" srcOrd="2" destOrd="0" presId="urn:microsoft.com/office/officeart/2005/8/layout/orgChart1"/>
    <dgm:cxn modelId="{5F731653-E8D7-48F2-AB4C-EFD35FE6647A}" type="presParOf" srcId="{0967584A-6C48-40B2-8023-1DC86A6FA07E}" destId="{F7335264-8E9D-453A-95BD-8EC56063F5FF}" srcOrd="8" destOrd="0" presId="urn:microsoft.com/office/officeart/2005/8/layout/orgChart1"/>
    <dgm:cxn modelId="{A38D2FA2-D6E1-4063-BCC1-8143424F16CA}" type="presParOf" srcId="{0967584A-6C48-40B2-8023-1DC86A6FA07E}" destId="{7C0695DC-4979-481D-81DB-6DBACFA5E1F1}" srcOrd="9" destOrd="0" presId="urn:microsoft.com/office/officeart/2005/8/layout/orgChart1"/>
    <dgm:cxn modelId="{B04F8F46-F540-4FC8-9CCC-82E8D0AE0C50}" type="presParOf" srcId="{7C0695DC-4979-481D-81DB-6DBACFA5E1F1}" destId="{BE07BB06-A5E7-4989-A022-29151342BFE4}" srcOrd="0" destOrd="0" presId="urn:microsoft.com/office/officeart/2005/8/layout/orgChart1"/>
    <dgm:cxn modelId="{DDA403E1-E3AD-45BE-9E13-7BCA8FF447AA}" type="presParOf" srcId="{BE07BB06-A5E7-4989-A022-29151342BFE4}" destId="{468120F5-31FE-43D8-ABC5-6BFA855612D5}" srcOrd="0" destOrd="0" presId="urn:microsoft.com/office/officeart/2005/8/layout/orgChart1"/>
    <dgm:cxn modelId="{6494BA27-47A2-417B-98E1-387B41233681}" type="presParOf" srcId="{BE07BB06-A5E7-4989-A022-29151342BFE4}" destId="{709837A5-5F5F-46C7-997C-4F778264948A}" srcOrd="1" destOrd="0" presId="urn:microsoft.com/office/officeart/2005/8/layout/orgChart1"/>
    <dgm:cxn modelId="{45188720-1D66-40E1-8F38-B4C8E9C9180D}" type="presParOf" srcId="{7C0695DC-4979-481D-81DB-6DBACFA5E1F1}" destId="{C51CF4B9-2C54-46A8-8CF7-29CA6988B9F8}" srcOrd="1" destOrd="0" presId="urn:microsoft.com/office/officeart/2005/8/layout/orgChart1"/>
    <dgm:cxn modelId="{256B6518-B5A9-48BE-AFFD-1C337536C220}" type="presParOf" srcId="{7C0695DC-4979-481D-81DB-6DBACFA5E1F1}" destId="{DED8093C-0752-4761-890B-2B8B115670CC}" srcOrd="2" destOrd="0" presId="urn:microsoft.com/office/officeart/2005/8/layout/orgChart1"/>
    <dgm:cxn modelId="{64769900-D016-4632-9680-240C13D5097F}" type="presParOf" srcId="{0967584A-6C48-40B2-8023-1DC86A6FA07E}" destId="{8D36765F-6468-4138-A7EB-DAE28F2AF4D5}" srcOrd="10" destOrd="0" presId="urn:microsoft.com/office/officeart/2005/8/layout/orgChart1"/>
    <dgm:cxn modelId="{2774BD90-049A-467F-B7B7-D587EC53719C}" type="presParOf" srcId="{0967584A-6C48-40B2-8023-1DC86A6FA07E}" destId="{6BF4AA76-B10D-48F5-AB74-8EF34A6602D1}" srcOrd="11" destOrd="0" presId="urn:microsoft.com/office/officeart/2005/8/layout/orgChart1"/>
    <dgm:cxn modelId="{85509DE7-2E6E-4156-8D6F-3433401D8E90}" type="presParOf" srcId="{6BF4AA76-B10D-48F5-AB74-8EF34A6602D1}" destId="{D976394B-01E9-4CAE-9384-D950BBE9567B}" srcOrd="0" destOrd="0" presId="urn:microsoft.com/office/officeart/2005/8/layout/orgChart1"/>
    <dgm:cxn modelId="{969BF578-9660-42F6-85AE-73D9E6D6ECED}" type="presParOf" srcId="{D976394B-01E9-4CAE-9384-D950BBE9567B}" destId="{F54FFB28-BC49-4EC1-A9E7-45140768EC25}" srcOrd="0" destOrd="0" presId="urn:microsoft.com/office/officeart/2005/8/layout/orgChart1"/>
    <dgm:cxn modelId="{F2346BA1-51E8-49DC-B800-514455CAAE52}" type="presParOf" srcId="{D976394B-01E9-4CAE-9384-D950BBE9567B}" destId="{996B6B25-C646-4ABB-80C1-F08F174F79F8}" srcOrd="1" destOrd="0" presId="urn:microsoft.com/office/officeart/2005/8/layout/orgChart1"/>
    <dgm:cxn modelId="{B34E3971-54BE-4A03-855F-7347790250EF}" type="presParOf" srcId="{6BF4AA76-B10D-48F5-AB74-8EF34A6602D1}" destId="{ECEBBA36-DB1C-4037-A8F3-E75649575D26}" srcOrd="1" destOrd="0" presId="urn:microsoft.com/office/officeart/2005/8/layout/orgChart1"/>
    <dgm:cxn modelId="{9B78AB35-5EF5-4B01-8FC0-498A0335BF26}" type="presParOf" srcId="{ECEBBA36-DB1C-4037-A8F3-E75649575D26}" destId="{4BAFE57F-DE67-4D29-AF0D-702084558D94}" srcOrd="0" destOrd="0" presId="urn:microsoft.com/office/officeart/2005/8/layout/orgChart1"/>
    <dgm:cxn modelId="{E2EE6E13-1743-4C30-A5C0-72E3FB1171EA}" type="presParOf" srcId="{ECEBBA36-DB1C-4037-A8F3-E75649575D26}" destId="{E804F2E9-4FA8-4E95-8580-A3F9482B8CCF}" srcOrd="1" destOrd="0" presId="urn:microsoft.com/office/officeart/2005/8/layout/orgChart1"/>
    <dgm:cxn modelId="{F6DEF901-D248-47EA-810A-FAFFA55F2B40}" type="presParOf" srcId="{E804F2E9-4FA8-4E95-8580-A3F9482B8CCF}" destId="{18FBC531-1850-4968-96F3-B7018D28CAE7}" srcOrd="0" destOrd="0" presId="urn:microsoft.com/office/officeart/2005/8/layout/orgChart1"/>
    <dgm:cxn modelId="{5C828FBD-6C25-4D84-A6A8-97526853CDAE}" type="presParOf" srcId="{18FBC531-1850-4968-96F3-B7018D28CAE7}" destId="{AC107559-6EEC-467B-9CE0-CE65F7BD6562}" srcOrd="0" destOrd="0" presId="urn:microsoft.com/office/officeart/2005/8/layout/orgChart1"/>
    <dgm:cxn modelId="{F0272268-F1E8-49A8-A00C-1B5318891CEE}" type="presParOf" srcId="{18FBC531-1850-4968-96F3-B7018D28CAE7}" destId="{59AE07AE-9845-4E07-B4D8-F86B09D90D7A}" srcOrd="1" destOrd="0" presId="urn:microsoft.com/office/officeart/2005/8/layout/orgChart1"/>
    <dgm:cxn modelId="{524E10AC-B358-494C-9436-CD456735BAFB}" type="presParOf" srcId="{E804F2E9-4FA8-4E95-8580-A3F9482B8CCF}" destId="{F41E8553-EA62-4391-B341-BEECF4733A5A}" srcOrd="1" destOrd="0" presId="urn:microsoft.com/office/officeart/2005/8/layout/orgChart1"/>
    <dgm:cxn modelId="{18A35A61-3AB2-4FE6-9C6A-8B3C30255BC1}" type="presParOf" srcId="{E804F2E9-4FA8-4E95-8580-A3F9482B8CCF}" destId="{F90C0DC8-8CFB-4E3E-8A2A-F094C735E286}" srcOrd="2" destOrd="0" presId="urn:microsoft.com/office/officeart/2005/8/layout/orgChart1"/>
    <dgm:cxn modelId="{14BFD46E-C079-448B-A0ED-595C6FF8F4E9}" type="presParOf" srcId="{ECEBBA36-DB1C-4037-A8F3-E75649575D26}" destId="{B21DA6BD-31D6-41D0-B726-A736D5CFE812}" srcOrd="2" destOrd="0" presId="urn:microsoft.com/office/officeart/2005/8/layout/orgChart1"/>
    <dgm:cxn modelId="{EAB4DAA3-15EA-49B9-887A-D384F82E9DF2}" type="presParOf" srcId="{ECEBBA36-DB1C-4037-A8F3-E75649575D26}" destId="{6AA613FE-83FA-4F9D-AB58-E7315C99960F}" srcOrd="3" destOrd="0" presId="urn:microsoft.com/office/officeart/2005/8/layout/orgChart1"/>
    <dgm:cxn modelId="{D9FA4D34-007C-4F09-9D70-A68E45DC28D8}" type="presParOf" srcId="{6AA613FE-83FA-4F9D-AB58-E7315C99960F}" destId="{09A19B07-7957-4D52-97BC-F856840B02B1}" srcOrd="0" destOrd="0" presId="urn:microsoft.com/office/officeart/2005/8/layout/orgChart1"/>
    <dgm:cxn modelId="{F8632378-E426-4A08-8846-34D4293915B6}" type="presParOf" srcId="{09A19B07-7957-4D52-97BC-F856840B02B1}" destId="{A301AD95-78BE-424A-B579-8B2078E5BE2A}" srcOrd="0" destOrd="0" presId="urn:microsoft.com/office/officeart/2005/8/layout/orgChart1"/>
    <dgm:cxn modelId="{E2237371-09E5-403F-8DF6-3FBE70E8070D}" type="presParOf" srcId="{09A19B07-7957-4D52-97BC-F856840B02B1}" destId="{38852089-2C04-4B62-8862-6AC394BCF286}" srcOrd="1" destOrd="0" presId="urn:microsoft.com/office/officeart/2005/8/layout/orgChart1"/>
    <dgm:cxn modelId="{BFAFC813-6409-48A5-82F3-F467739D45B1}" type="presParOf" srcId="{6AA613FE-83FA-4F9D-AB58-E7315C99960F}" destId="{9B6A329F-BE5E-4663-86C7-BAC25A35F3B4}" srcOrd="1" destOrd="0" presId="urn:microsoft.com/office/officeart/2005/8/layout/orgChart1"/>
    <dgm:cxn modelId="{E126EDD2-C2CC-4E6E-BEFC-59171B207ADD}" type="presParOf" srcId="{6AA613FE-83FA-4F9D-AB58-E7315C99960F}" destId="{44B4562E-DA6D-4783-8DAD-2DA3623CF9B3}" srcOrd="2" destOrd="0" presId="urn:microsoft.com/office/officeart/2005/8/layout/orgChart1"/>
    <dgm:cxn modelId="{1587EA80-69C7-4530-8707-E2092CA92BA7}" type="presParOf" srcId="{ECEBBA36-DB1C-4037-A8F3-E75649575D26}" destId="{60657B33-D2D4-48BB-91CA-4F1CCF9D8BBA}" srcOrd="4" destOrd="0" presId="urn:microsoft.com/office/officeart/2005/8/layout/orgChart1"/>
    <dgm:cxn modelId="{CEFA28BA-D4AB-4ED8-98C7-82520CF330A7}" type="presParOf" srcId="{ECEBBA36-DB1C-4037-A8F3-E75649575D26}" destId="{2C46BA02-BAEF-4435-AF27-FD1D11341354}" srcOrd="5" destOrd="0" presId="urn:microsoft.com/office/officeart/2005/8/layout/orgChart1"/>
    <dgm:cxn modelId="{C21E10CD-8DAA-449E-83AF-C0A9A7DA50D0}" type="presParOf" srcId="{2C46BA02-BAEF-4435-AF27-FD1D11341354}" destId="{7040AE0F-DA75-4328-B1B2-6BD8CDC565E5}" srcOrd="0" destOrd="0" presId="urn:microsoft.com/office/officeart/2005/8/layout/orgChart1"/>
    <dgm:cxn modelId="{2F796A70-4798-4C34-A24A-24CCC749DB95}" type="presParOf" srcId="{7040AE0F-DA75-4328-B1B2-6BD8CDC565E5}" destId="{0E445BF5-F65E-46AE-B651-047A9656F004}" srcOrd="0" destOrd="0" presId="urn:microsoft.com/office/officeart/2005/8/layout/orgChart1"/>
    <dgm:cxn modelId="{4BC48FCD-5F4E-45CD-9A91-055AD233FE5B}" type="presParOf" srcId="{7040AE0F-DA75-4328-B1B2-6BD8CDC565E5}" destId="{DB1BD455-AD6E-4CE5-960C-E1DC67838B90}" srcOrd="1" destOrd="0" presId="urn:microsoft.com/office/officeart/2005/8/layout/orgChart1"/>
    <dgm:cxn modelId="{1126C920-2F24-4507-AD92-901148B1E110}" type="presParOf" srcId="{2C46BA02-BAEF-4435-AF27-FD1D11341354}" destId="{C215B851-B863-4511-AF2B-3918CF297DD3}" srcOrd="1" destOrd="0" presId="urn:microsoft.com/office/officeart/2005/8/layout/orgChart1"/>
    <dgm:cxn modelId="{D1797365-BEE9-4745-ACF1-8DCFD51AAC0A}" type="presParOf" srcId="{2C46BA02-BAEF-4435-AF27-FD1D11341354}" destId="{1B6EBAF5-FCB9-4238-93C3-A88ACE8D8841}" srcOrd="2" destOrd="0" presId="urn:microsoft.com/office/officeart/2005/8/layout/orgChart1"/>
    <dgm:cxn modelId="{6D2351C4-71D4-4F9F-BD6B-48948518F6AE}" type="presParOf" srcId="{6BF4AA76-B10D-48F5-AB74-8EF34A6602D1}" destId="{D8AF792D-23F9-437C-B6AE-045C66C14246}" srcOrd="2" destOrd="0" presId="urn:microsoft.com/office/officeart/2005/8/layout/orgChart1"/>
    <dgm:cxn modelId="{62CA4753-B829-4F71-9A3B-4F5DFC0BD77A}" type="presParOf" srcId="{2839CCF3-0638-4FC5-BB45-C7091A41E23E}" destId="{B209C052-8310-4B4B-B4D7-0FA833289DFA}" srcOrd="2" destOrd="0" presId="urn:microsoft.com/office/officeart/2005/8/layout/orgChart1"/>
    <dgm:cxn modelId="{17098BD6-39E1-417A-BF21-06B91044FEB8}" type="presParOf" srcId="{14BC3F44-1727-43C4-A577-3D78B09BF10D}" destId="{74C16A13-60F3-4DFE-A8DA-4CC67644ED35}" srcOrd="2" destOrd="0" presId="urn:microsoft.com/office/officeart/2005/8/layout/orgChart1"/>
    <dgm:cxn modelId="{AC3678B4-6B85-430B-BB95-5A1D5B1AEA69}" type="presParOf" srcId="{14BC3F44-1727-43C4-A577-3D78B09BF10D}" destId="{275EB85C-0FDD-490F-9CDF-904F6363CBC1}" srcOrd="3" destOrd="0" presId="urn:microsoft.com/office/officeart/2005/8/layout/orgChart1"/>
    <dgm:cxn modelId="{0D13BDFD-6EA8-4BCC-ADC0-8D40D4B1E3DC}" type="presParOf" srcId="{275EB85C-0FDD-490F-9CDF-904F6363CBC1}" destId="{1858EAEC-A664-4D38-BEE8-A8C24BEB43B0}" srcOrd="0" destOrd="0" presId="urn:microsoft.com/office/officeart/2005/8/layout/orgChart1"/>
    <dgm:cxn modelId="{AA02A0B9-0A3C-4F6C-889A-76C1B2D0CF6D}" type="presParOf" srcId="{1858EAEC-A664-4D38-BEE8-A8C24BEB43B0}" destId="{DE31D261-FA92-43EF-B370-01BBD6523310}" srcOrd="0" destOrd="0" presId="urn:microsoft.com/office/officeart/2005/8/layout/orgChart1"/>
    <dgm:cxn modelId="{23BB1C26-B965-4635-9C48-7449859F3068}" type="presParOf" srcId="{1858EAEC-A664-4D38-BEE8-A8C24BEB43B0}" destId="{AD33FADC-CA18-4FB2-95A6-C6F37C2389A3}" srcOrd="1" destOrd="0" presId="urn:microsoft.com/office/officeart/2005/8/layout/orgChart1"/>
    <dgm:cxn modelId="{5495C3F8-13A4-40CA-9264-B1511EC0E1FC}" type="presParOf" srcId="{275EB85C-0FDD-490F-9CDF-904F6363CBC1}" destId="{EE32C2C0-E7D2-4D89-B9DF-4C3B0F901B85}" srcOrd="1" destOrd="0" presId="urn:microsoft.com/office/officeart/2005/8/layout/orgChart1"/>
    <dgm:cxn modelId="{EED714CF-8667-40D6-8DEA-80B2183C4928}" type="presParOf" srcId="{EE32C2C0-E7D2-4D89-B9DF-4C3B0F901B85}" destId="{2A52CE24-7002-4A98-8D09-0CCA16C9E098}" srcOrd="0" destOrd="0" presId="urn:microsoft.com/office/officeart/2005/8/layout/orgChart1"/>
    <dgm:cxn modelId="{A1F1EFEA-35F7-4FE8-95A2-7065E388295E}" type="presParOf" srcId="{EE32C2C0-E7D2-4D89-B9DF-4C3B0F901B85}" destId="{FC05FD65-9BE3-4498-9580-BF6426630970}" srcOrd="1" destOrd="0" presId="urn:microsoft.com/office/officeart/2005/8/layout/orgChart1"/>
    <dgm:cxn modelId="{455F462D-D96C-4090-AF6C-AA056BF9321B}" type="presParOf" srcId="{FC05FD65-9BE3-4498-9580-BF6426630970}" destId="{DA2117C5-3DDF-4C55-8EBF-15BB7E961BDF}" srcOrd="0" destOrd="0" presId="urn:microsoft.com/office/officeart/2005/8/layout/orgChart1"/>
    <dgm:cxn modelId="{27CA75C9-E996-4803-BC90-3F065CE5C5FD}" type="presParOf" srcId="{DA2117C5-3DDF-4C55-8EBF-15BB7E961BDF}" destId="{E7CF372C-F6B3-40CB-98CB-4650DDA7A3A3}" srcOrd="0" destOrd="0" presId="urn:microsoft.com/office/officeart/2005/8/layout/orgChart1"/>
    <dgm:cxn modelId="{20956962-25D0-4FC5-ACD6-42112F1424F6}" type="presParOf" srcId="{DA2117C5-3DDF-4C55-8EBF-15BB7E961BDF}" destId="{BC52740E-F4BD-404B-BEC2-BFE556CF2FB0}" srcOrd="1" destOrd="0" presId="urn:microsoft.com/office/officeart/2005/8/layout/orgChart1"/>
    <dgm:cxn modelId="{F8C27856-E344-4513-8915-FACCAC7E9D66}" type="presParOf" srcId="{FC05FD65-9BE3-4498-9580-BF6426630970}" destId="{FEE5CB90-6999-4BE5-BE78-42014FE7A02F}" srcOrd="1" destOrd="0" presId="urn:microsoft.com/office/officeart/2005/8/layout/orgChart1"/>
    <dgm:cxn modelId="{F926D3E1-F09A-4B41-AA7F-B2825010CF28}" type="presParOf" srcId="{FC05FD65-9BE3-4498-9580-BF6426630970}" destId="{87A743DC-3632-447F-8287-390511410BA6}" srcOrd="2" destOrd="0" presId="urn:microsoft.com/office/officeart/2005/8/layout/orgChart1"/>
    <dgm:cxn modelId="{DA06D342-2039-424A-ACF3-D0F808BB52DA}" type="presParOf" srcId="{EE32C2C0-E7D2-4D89-B9DF-4C3B0F901B85}" destId="{46269013-AE84-4CD2-BA91-62C0195F9020}" srcOrd="2" destOrd="0" presId="urn:microsoft.com/office/officeart/2005/8/layout/orgChart1"/>
    <dgm:cxn modelId="{6E3CEC3E-94EF-4272-8072-657152A46204}" type="presParOf" srcId="{EE32C2C0-E7D2-4D89-B9DF-4C3B0F901B85}" destId="{866F88D1-3B08-413A-A9AC-530FA9192432}" srcOrd="3" destOrd="0" presId="urn:microsoft.com/office/officeart/2005/8/layout/orgChart1"/>
    <dgm:cxn modelId="{88709684-8D5F-4A4A-AF0E-CC5871C713CF}" type="presParOf" srcId="{866F88D1-3B08-413A-A9AC-530FA9192432}" destId="{F8F97ACB-E49C-4280-8A08-D37C4183EC01}" srcOrd="0" destOrd="0" presId="urn:microsoft.com/office/officeart/2005/8/layout/orgChart1"/>
    <dgm:cxn modelId="{849FE582-D22E-4F3A-A61B-358BA6EE2AAF}" type="presParOf" srcId="{F8F97ACB-E49C-4280-8A08-D37C4183EC01}" destId="{4364A7CA-294E-483D-B46E-1D4EE51A9232}" srcOrd="0" destOrd="0" presId="urn:microsoft.com/office/officeart/2005/8/layout/orgChart1"/>
    <dgm:cxn modelId="{00FABD62-8CBB-40F9-A657-708ADB547A09}" type="presParOf" srcId="{F8F97ACB-E49C-4280-8A08-D37C4183EC01}" destId="{001CA8C9-78B1-494B-A548-0CFAF6B3D62F}" srcOrd="1" destOrd="0" presId="urn:microsoft.com/office/officeart/2005/8/layout/orgChart1"/>
    <dgm:cxn modelId="{51D481C1-16D7-4A1A-852B-38FDCCE1A93D}" type="presParOf" srcId="{866F88D1-3B08-413A-A9AC-530FA9192432}" destId="{9D118C24-B87D-4B97-B91E-BA90045CCF96}" srcOrd="1" destOrd="0" presId="urn:microsoft.com/office/officeart/2005/8/layout/orgChart1"/>
    <dgm:cxn modelId="{070CC31E-577B-4CD9-94A2-B74896059F3E}" type="presParOf" srcId="{866F88D1-3B08-413A-A9AC-530FA9192432}" destId="{AA5AF35E-8F24-4C39-A6E8-A581D06F9524}" srcOrd="2" destOrd="0" presId="urn:microsoft.com/office/officeart/2005/8/layout/orgChart1"/>
    <dgm:cxn modelId="{7349A784-E622-4407-AEEA-CE74EF36421D}" type="presParOf" srcId="{275EB85C-0FDD-490F-9CDF-904F6363CBC1}" destId="{CE8FABE6-9968-44DB-90DA-CB5268CCC5AC}" srcOrd="2" destOrd="0" presId="urn:microsoft.com/office/officeart/2005/8/layout/orgChart1"/>
    <dgm:cxn modelId="{F0310FA2-C518-4D3C-BD5A-83AEC7710A8C}" type="presParOf" srcId="{14BC3F44-1727-43C4-A577-3D78B09BF10D}" destId="{EEDBDFD6-9161-43F7-8FBD-51E3ECFE3BC1}" srcOrd="4" destOrd="0" presId="urn:microsoft.com/office/officeart/2005/8/layout/orgChart1"/>
    <dgm:cxn modelId="{4F3E7CBF-F94D-4324-8D47-0655A8E07A3D}" type="presParOf" srcId="{14BC3F44-1727-43C4-A577-3D78B09BF10D}" destId="{0E3870A5-19E5-4B9B-AE93-874137EF3EFD}" srcOrd="5" destOrd="0" presId="urn:microsoft.com/office/officeart/2005/8/layout/orgChart1"/>
    <dgm:cxn modelId="{2F70F246-BAEC-430E-B753-7AD9C2CC7E92}" type="presParOf" srcId="{0E3870A5-19E5-4B9B-AE93-874137EF3EFD}" destId="{4B511B2E-0D5B-4F4A-957B-86CBB5EE8DD6}" srcOrd="0" destOrd="0" presId="urn:microsoft.com/office/officeart/2005/8/layout/orgChart1"/>
    <dgm:cxn modelId="{7E92A684-9C5B-4716-BE59-9046C3AA88E5}" type="presParOf" srcId="{4B511B2E-0D5B-4F4A-957B-86CBB5EE8DD6}" destId="{674ECC1B-D15E-4E07-BBB4-B246350F35C8}" srcOrd="0" destOrd="0" presId="urn:microsoft.com/office/officeart/2005/8/layout/orgChart1"/>
    <dgm:cxn modelId="{491E239A-69F5-4EA8-9F0B-AFE6EEEE0382}" type="presParOf" srcId="{4B511B2E-0D5B-4F4A-957B-86CBB5EE8DD6}" destId="{FB0DE37F-2AD4-4B34-8352-1C7961378394}" srcOrd="1" destOrd="0" presId="urn:microsoft.com/office/officeart/2005/8/layout/orgChart1"/>
    <dgm:cxn modelId="{3BF531E3-029C-4A2D-831E-E5C7353F9D33}" type="presParOf" srcId="{0E3870A5-19E5-4B9B-AE93-874137EF3EFD}" destId="{ED09632E-378E-4830-9EEB-99E6E96F3AB0}" srcOrd="1" destOrd="0" presId="urn:microsoft.com/office/officeart/2005/8/layout/orgChart1"/>
    <dgm:cxn modelId="{BB2C223A-2A49-4C54-9BBC-71C8F745AEC2}" type="presParOf" srcId="{ED09632E-378E-4830-9EEB-99E6E96F3AB0}" destId="{5FF59FC1-EB4B-4AC2-A2F3-238E90D2A6A2}" srcOrd="0" destOrd="0" presId="urn:microsoft.com/office/officeart/2005/8/layout/orgChart1"/>
    <dgm:cxn modelId="{3285405B-C1F6-4C1E-BFAA-F51C0EADEF0A}" type="presParOf" srcId="{ED09632E-378E-4830-9EEB-99E6E96F3AB0}" destId="{BF84BD05-DB39-4FBC-AE49-82D65F97E467}" srcOrd="1" destOrd="0" presId="urn:microsoft.com/office/officeart/2005/8/layout/orgChart1"/>
    <dgm:cxn modelId="{F36F4619-066A-44B1-988A-60E841AF1FD9}" type="presParOf" srcId="{BF84BD05-DB39-4FBC-AE49-82D65F97E467}" destId="{A02F0F6E-0862-4A46-A491-D431B39A94D7}" srcOrd="0" destOrd="0" presId="urn:microsoft.com/office/officeart/2005/8/layout/orgChart1"/>
    <dgm:cxn modelId="{5D6A2EB1-DD6E-45D7-AAE5-F26754BAEC3D}" type="presParOf" srcId="{A02F0F6E-0862-4A46-A491-D431B39A94D7}" destId="{925437CC-A9C2-417E-89E8-25912A1B32A7}" srcOrd="0" destOrd="0" presId="urn:microsoft.com/office/officeart/2005/8/layout/orgChart1"/>
    <dgm:cxn modelId="{C0788241-580C-4F8B-9669-EB9680330136}" type="presParOf" srcId="{A02F0F6E-0862-4A46-A491-D431B39A94D7}" destId="{1FB72F62-C2E2-4484-82F4-0E6EF0379D9E}" srcOrd="1" destOrd="0" presId="urn:microsoft.com/office/officeart/2005/8/layout/orgChart1"/>
    <dgm:cxn modelId="{9D2BF660-B42A-4E8F-BA0B-5D290DF414E7}" type="presParOf" srcId="{BF84BD05-DB39-4FBC-AE49-82D65F97E467}" destId="{1934589C-6A7A-4268-A6B6-59F32D18EDE4}" srcOrd="1" destOrd="0" presId="urn:microsoft.com/office/officeart/2005/8/layout/orgChart1"/>
    <dgm:cxn modelId="{34D4EF0C-E857-4C7B-95F5-4A19621A7E18}" type="presParOf" srcId="{BF84BD05-DB39-4FBC-AE49-82D65F97E467}" destId="{83969CD3-E8A0-4A78-9C9D-486131B479F2}" srcOrd="2" destOrd="0" presId="urn:microsoft.com/office/officeart/2005/8/layout/orgChart1"/>
    <dgm:cxn modelId="{551BDB59-199E-400F-BD9A-08BD2645EB18}" type="presParOf" srcId="{ED09632E-378E-4830-9EEB-99E6E96F3AB0}" destId="{0AF2E93E-F9EA-479B-A31B-30BB7FD3179C}" srcOrd="2" destOrd="0" presId="urn:microsoft.com/office/officeart/2005/8/layout/orgChart1"/>
    <dgm:cxn modelId="{481B72E1-D2C9-4BD3-996E-80B169502DD3}" type="presParOf" srcId="{ED09632E-378E-4830-9EEB-99E6E96F3AB0}" destId="{A64A53C2-5545-4586-8805-FE6867ECC276}" srcOrd="3" destOrd="0" presId="urn:microsoft.com/office/officeart/2005/8/layout/orgChart1"/>
    <dgm:cxn modelId="{A123FCFC-8BC3-42B4-B4CF-1EFC419A7630}" type="presParOf" srcId="{A64A53C2-5545-4586-8805-FE6867ECC276}" destId="{96DF631B-1084-40FD-8011-E7B96BD71000}" srcOrd="0" destOrd="0" presId="urn:microsoft.com/office/officeart/2005/8/layout/orgChart1"/>
    <dgm:cxn modelId="{F3EF40E4-E8BF-4BFA-83A6-001764709CD3}" type="presParOf" srcId="{96DF631B-1084-40FD-8011-E7B96BD71000}" destId="{49F06308-5CA5-4899-830D-93398B0FEE18}" srcOrd="0" destOrd="0" presId="urn:microsoft.com/office/officeart/2005/8/layout/orgChart1"/>
    <dgm:cxn modelId="{6CA33B65-5CF7-4A03-A852-EFD1ED9A1186}" type="presParOf" srcId="{96DF631B-1084-40FD-8011-E7B96BD71000}" destId="{1FA11767-B6DB-4956-A730-8AAA8D574915}" srcOrd="1" destOrd="0" presId="urn:microsoft.com/office/officeart/2005/8/layout/orgChart1"/>
    <dgm:cxn modelId="{BDE61BBA-E9E9-4A66-86E3-6D9CFDBD333D}" type="presParOf" srcId="{A64A53C2-5545-4586-8805-FE6867ECC276}" destId="{86DE25AF-76C2-4E35-86D3-9D3D5938245A}" srcOrd="1" destOrd="0" presId="urn:microsoft.com/office/officeart/2005/8/layout/orgChart1"/>
    <dgm:cxn modelId="{FF7C2A0C-F783-4630-BF47-22B14A8E9DAE}" type="presParOf" srcId="{A64A53C2-5545-4586-8805-FE6867ECC276}" destId="{31EBFB12-6399-4D75-9933-70D1EBC2D150}" srcOrd="2" destOrd="0" presId="urn:microsoft.com/office/officeart/2005/8/layout/orgChart1"/>
    <dgm:cxn modelId="{6B82AD7B-2DF3-472D-AC70-3E8F61C893D0}" type="presParOf" srcId="{0E3870A5-19E5-4B9B-AE93-874137EF3EFD}" destId="{436403F1-A3F5-45B1-A75C-27BB44B7138A}" srcOrd="2" destOrd="0" presId="urn:microsoft.com/office/officeart/2005/8/layout/orgChart1"/>
    <dgm:cxn modelId="{CE27EDB7-D363-4B62-AA59-9429A8711F42}" type="presParOf" srcId="{14BC3F44-1727-43C4-A577-3D78B09BF10D}" destId="{B12F3EFC-A19A-4CF5-A92D-B8FC20AC83BB}" srcOrd="6" destOrd="0" presId="urn:microsoft.com/office/officeart/2005/8/layout/orgChart1"/>
    <dgm:cxn modelId="{E3A3F3B7-FBBF-4565-BD65-D73544BD20E8}" type="presParOf" srcId="{14BC3F44-1727-43C4-A577-3D78B09BF10D}" destId="{408AF6D0-5316-44C2-BBEB-F424D974D5B5}" srcOrd="7" destOrd="0" presId="urn:microsoft.com/office/officeart/2005/8/layout/orgChart1"/>
    <dgm:cxn modelId="{979E61CF-421E-4A98-9829-A10E9B8638C1}" type="presParOf" srcId="{408AF6D0-5316-44C2-BBEB-F424D974D5B5}" destId="{D5501BDB-B6BA-4020-8FF3-AC3E0CFE675C}" srcOrd="0" destOrd="0" presId="urn:microsoft.com/office/officeart/2005/8/layout/orgChart1"/>
    <dgm:cxn modelId="{F031FFF5-310A-4E64-9F1D-85BC92CB01FD}" type="presParOf" srcId="{D5501BDB-B6BA-4020-8FF3-AC3E0CFE675C}" destId="{94F1A0E4-3EE2-4593-B21A-C5FA70BBAF35}" srcOrd="0" destOrd="0" presId="urn:microsoft.com/office/officeart/2005/8/layout/orgChart1"/>
    <dgm:cxn modelId="{8574B551-90F3-4CD7-8F55-56044196E7FA}" type="presParOf" srcId="{D5501BDB-B6BA-4020-8FF3-AC3E0CFE675C}" destId="{3278968A-5FF8-4B6E-9D74-28D46F9EE3BD}" srcOrd="1" destOrd="0" presId="urn:microsoft.com/office/officeart/2005/8/layout/orgChart1"/>
    <dgm:cxn modelId="{D8075ED0-E3DD-421B-89E7-832E61FD2C68}" type="presParOf" srcId="{408AF6D0-5316-44C2-BBEB-F424D974D5B5}" destId="{3E2A5B4C-C0F0-4C2E-88F3-A00EBE661DE1}" srcOrd="1" destOrd="0" presId="urn:microsoft.com/office/officeart/2005/8/layout/orgChart1"/>
    <dgm:cxn modelId="{ECC38C21-FE17-42DD-A566-CAF50048C67A}" type="presParOf" srcId="{3E2A5B4C-C0F0-4C2E-88F3-A00EBE661DE1}" destId="{A175646C-FAAF-491E-8EA6-5D2EBFDE6E2D}" srcOrd="0" destOrd="0" presId="urn:microsoft.com/office/officeart/2005/8/layout/orgChart1"/>
    <dgm:cxn modelId="{0FBF2432-8293-457A-A0B4-9F1EC50ACEFD}" type="presParOf" srcId="{3E2A5B4C-C0F0-4C2E-88F3-A00EBE661DE1}" destId="{17D87A05-B44F-459A-9A35-B5D3CB5EE9E4}" srcOrd="1" destOrd="0" presId="urn:microsoft.com/office/officeart/2005/8/layout/orgChart1"/>
    <dgm:cxn modelId="{DC8868EB-6248-4C8E-8F65-F4A5C1C38333}" type="presParOf" srcId="{17D87A05-B44F-459A-9A35-B5D3CB5EE9E4}" destId="{4E42795C-1A26-45D0-B9EA-F1C135D2E3EE}" srcOrd="0" destOrd="0" presId="urn:microsoft.com/office/officeart/2005/8/layout/orgChart1"/>
    <dgm:cxn modelId="{00873000-6ACE-470E-9FC1-46E75DCC52DF}" type="presParOf" srcId="{4E42795C-1A26-45D0-B9EA-F1C135D2E3EE}" destId="{40C48953-76C4-404D-838A-E957A48B551C}" srcOrd="0" destOrd="0" presId="urn:microsoft.com/office/officeart/2005/8/layout/orgChart1"/>
    <dgm:cxn modelId="{9A3F5DBF-7EE0-46EE-89DE-9E78B7C1FBF3}" type="presParOf" srcId="{4E42795C-1A26-45D0-B9EA-F1C135D2E3EE}" destId="{DF14B432-56A7-452C-985A-24EC2422AC04}" srcOrd="1" destOrd="0" presId="urn:microsoft.com/office/officeart/2005/8/layout/orgChart1"/>
    <dgm:cxn modelId="{5C50BD24-5DAC-48CD-8B84-649D30C721AF}" type="presParOf" srcId="{17D87A05-B44F-459A-9A35-B5D3CB5EE9E4}" destId="{7FA38D20-1141-4003-95F4-2A1B6AC55E8A}" srcOrd="1" destOrd="0" presId="urn:microsoft.com/office/officeart/2005/8/layout/orgChart1"/>
    <dgm:cxn modelId="{7D91F901-9143-42C6-882B-815C870FE30C}" type="presParOf" srcId="{17D87A05-B44F-459A-9A35-B5D3CB5EE9E4}" destId="{2219D2EE-C6C5-4C94-BA0E-C5EA8E4728BF}" srcOrd="2" destOrd="0" presId="urn:microsoft.com/office/officeart/2005/8/layout/orgChart1"/>
    <dgm:cxn modelId="{0674CB26-415C-4CB2-BF9B-66D9E8201319}" type="presParOf" srcId="{3E2A5B4C-C0F0-4C2E-88F3-A00EBE661DE1}" destId="{55E84AEB-BAA4-4F75-80D6-D61BFEEA9C3C}" srcOrd="2" destOrd="0" presId="urn:microsoft.com/office/officeart/2005/8/layout/orgChart1"/>
    <dgm:cxn modelId="{F0134CDE-1822-469F-8967-325F5A337998}" type="presParOf" srcId="{3E2A5B4C-C0F0-4C2E-88F3-A00EBE661DE1}" destId="{0B166B49-2504-4E55-BA85-528284F5F39B}" srcOrd="3" destOrd="0" presId="urn:microsoft.com/office/officeart/2005/8/layout/orgChart1"/>
    <dgm:cxn modelId="{FE748A05-9DCF-48AD-9825-3BB677B5C783}" type="presParOf" srcId="{0B166B49-2504-4E55-BA85-528284F5F39B}" destId="{D7C07DE6-8918-4633-B622-BB18F374BB22}" srcOrd="0" destOrd="0" presId="urn:microsoft.com/office/officeart/2005/8/layout/orgChart1"/>
    <dgm:cxn modelId="{93ABD132-7675-4115-A30F-E236E115A524}" type="presParOf" srcId="{D7C07DE6-8918-4633-B622-BB18F374BB22}" destId="{046F88B6-0A6F-44B2-8EEA-B852E4A1D76D}" srcOrd="0" destOrd="0" presId="urn:microsoft.com/office/officeart/2005/8/layout/orgChart1"/>
    <dgm:cxn modelId="{014DC806-3ADA-46F2-A6B4-61B83BAE3964}" type="presParOf" srcId="{D7C07DE6-8918-4633-B622-BB18F374BB22}" destId="{1295CE3D-25CF-4714-B9AB-0EAB0FBAF15A}" srcOrd="1" destOrd="0" presId="urn:microsoft.com/office/officeart/2005/8/layout/orgChart1"/>
    <dgm:cxn modelId="{984D07F1-60FF-42AD-835C-DCF378B1B00C}" type="presParOf" srcId="{0B166B49-2504-4E55-BA85-528284F5F39B}" destId="{0C97BE74-7353-45E5-8341-E4531A0B5858}" srcOrd="1" destOrd="0" presId="urn:microsoft.com/office/officeart/2005/8/layout/orgChart1"/>
    <dgm:cxn modelId="{EA52FF70-3D9C-46FD-A2B1-D49836090F99}" type="presParOf" srcId="{0B166B49-2504-4E55-BA85-528284F5F39B}" destId="{EF8344B6-23FB-40F0-98F0-D48BEE2D0AFC}" srcOrd="2" destOrd="0" presId="urn:microsoft.com/office/officeart/2005/8/layout/orgChart1"/>
    <dgm:cxn modelId="{747FCE70-002B-4198-AA8F-3F4D72FA6EEF}" type="presParOf" srcId="{3E2A5B4C-C0F0-4C2E-88F3-A00EBE661DE1}" destId="{EC9DF153-1493-4AE1-ACD1-C13605479E23}" srcOrd="4" destOrd="0" presId="urn:microsoft.com/office/officeart/2005/8/layout/orgChart1"/>
    <dgm:cxn modelId="{B29B3145-27F4-4913-A040-CD7824D89E9C}" type="presParOf" srcId="{3E2A5B4C-C0F0-4C2E-88F3-A00EBE661DE1}" destId="{5C492AFD-3B75-48DC-A068-34CD07223868}" srcOrd="5" destOrd="0" presId="urn:microsoft.com/office/officeart/2005/8/layout/orgChart1"/>
    <dgm:cxn modelId="{F7FB3A7B-86FB-4CD5-BBB0-113DF83BA08C}" type="presParOf" srcId="{5C492AFD-3B75-48DC-A068-34CD07223868}" destId="{C15A038D-6B4D-4A2F-8E0D-829AAFA89F87}" srcOrd="0" destOrd="0" presId="urn:microsoft.com/office/officeart/2005/8/layout/orgChart1"/>
    <dgm:cxn modelId="{1161D3DB-AE3C-4C0F-8389-997646819E72}" type="presParOf" srcId="{C15A038D-6B4D-4A2F-8E0D-829AAFA89F87}" destId="{9554BC3F-32CF-427D-95D5-FB340778AF6D}" srcOrd="0" destOrd="0" presId="urn:microsoft.com/office/officeart/2005/8/layout/orgChart1"/>
    <dgm:cxn modelId="{4E7B29D9-8792-4F01-A6BB-C178D1E252C9}" type="presParOf" srcId="{C15A038D-6B4D-4A2F-8E0D-829AAFA89F87}" destId="{2E3D3E7D-BA20-47CA-A22C-07CC34B672CF}" srcOrd="1" destOrd="0" presId="urn:microsoft.com/office/officeart/2005/8/layout/orgChart1"/>
    <dgm:cxn modelId="{CD8AA2AA-C282-4F7F-BF94-13FC97E5F97C}" type="presParOf" srcId="{5C492AFD-3B75-48DC-A068-34CD07223868}" destId="{D66574D7-572B-4213-97B5-D4443291B307}" srcOrd="1" destOrd="0" presId="urn:microsoft.com/office/officeart/2005/8/layout/orgChart1"/>
    <dgm:cxn modelId="{5451D833-2887-42D8-BB87-D92B63DDAA60}" type="presParOf" srcId="{5C492AFD-3B75-48DC-A068-34CD07223868}" destId="{9745046B-7445-4C9D-994B-C78332C0D2B2}" srcOrd="2" destOrd="0" presId="urn:microsoft.com/office/officeart/2005/8/layout/orgChart1"/>
    <dgm:cxn modelId="{6C9E1880-FE76-437B-B6BB-68103D9FFBEE}" type="presParOf" srcId="{3E2A5B4C-C0F0-4C2E-88F3-A00EBE661DE1}" destId="{3C3D1489-B4F8-4B36-A6C8-5E5683E15D10}" srcOrd="6" destOrd="0" presId="urn:microsoft.com/office/officeart/2005/8/layout/orgChart1"/>
    <dgm:cxn modelId="{AA0E43BD-1875-41E7-8780-9BDA5A6D94C4}" type="presParOf" srcId="{3E2A5B4C-C0F0-4C2E-88F3-A00EBE661DE1}" destId="{4A44AAA3-5640-49F6-A094-1AA8FD111CD8}" srcOrd="7" destOrd="0" presId="urn:microsoft.com/office/officeart/2005/8/layout/orgChart1"/>
    <dgm:cxn modelId="{4D1D4440-658B-4C00-A291-F36B8FB4B19C}" type="presParOf" srcId="{4A44AAA3-5640-49F6-A094-1AA8FD111CD8}" destId="{99E0B972-0486-4BC9-964C-BCDEBCA396BE}" srcOrd="0" destOrd="0" presId="urn:microsoft.com/office/officeart/2005/8/layout/orgChart1"/>
    <dgm:cxn modelId="{7457D818-DCFE-4A28-AF36-72E4A2761001}" type="presParOf" srcId="{99E0B972-0486-4BC9-964C-BCDEBCA396BE}" destId="{055BDCD4-D8D0-4265-9155-6C56B6771C11}" srcOrd="0" destOrd="0" presId="urn:microsoft.com/office/officeart/2005/8/layout/orgChart1"/>
    <dgm:cxn modelId="{50A96EDA-C6A0-4A27-B589-B56D66388DFE}" type="presParOf" srcId="{99E0B972-0486-4BC9-964C-BCDEBCA396BE}" destId="{9E315E13-B58A-477B-B190-9D3610A2B876}" srcOrd="1" destOrd="0" presId="urn:microsoft.com/office/officeart/2005/8/layout/orgChart1"/>
    <dgm:cxn modelId="{01972BB6-4191-4DBE-9AC6-40B67BD8C215}" type="presParOf" srcId="{4A44AAA3-5640-49F6-A094-1AA8FD111CD8}" destId="{D62D8920-1143-4BCB-A25D-84C2C2A61A81}" srcOrd="1" destOrd="0" presId="urn:microsoft.com/office/officeart/2005/8/layout/orgChart1"/>
    <dgm:cxn modelId="{D6E4275F-94DE-4F28-BBB9-4995B4E1105D}" type="presParOf" srcId="{4A44AAA3-5640-49F6-A094-1AA8FD111CD8}" destId="{1E0D9A10-AC1A-4D4D-9667-90514278CBBD}" srcOrd="2" destOrd="0" presId="urn:microsoft.com/office/officeart/2005/8/layout/orgChart1"/>
    <dgm:cxn modelId="{3F8E9959-3F91-4D99-BA36-B9208B4615B5}" type="presParOf" srcId="{3E2A5B4C-C0F0-4C2E-88F3-A00EBE661DE1}" destId="{D3E21512-AE49-47D3-96E7-6CF8D7FF1A44}" srcOrd="8" destOrd="0" presId="urn:microsoft.com/office/officeart/2005/8/layout/orgChart1"/>
    <dgm:cxn modelId="{7451C64B-7F24-4809-8B51-AA6DC036D04B}" type="presParOf" srcId="{3E2A5B4C-C0F0-4C2E-88F3-A00EBE661DE1}" destId="{726419F4-A1AF-4891-A391-F6F70EF73CC0}" srcOrd="9" destOrd="0" presId="urn:microsoft.com/office/officeart/2005/8/layout/orgChart1"/>
    <dgm:cxn modelId="{A9900056-27DD-4594-8256-F796B8B5ADB9}" type="presParOf" srcId="{726419F4-A1AF-4891-A391-F6F70EF73CC0}" destId="{30FD1C8C-2223-4096-B3CE-9BC898D9CF15}" srcOrd="0" destOrd="0" presId="urn:microsoft.com/office/officeart/2005/8/layout/orgChart1"/>
    <dgm:cxn modelId="{85AF93F5-EA6A-4B27-9951-BE7334D8A2FD}" type="presParOf" srcId="{30FD1C8C-2223-4096-B3CE-9BC898D9CF15}" destId="{6E12A845-F93A-4F18-8787-0C788456A0E0}" srcOrd="0" destOrd="0" presId="urn:microsoft.com/office/officeart/2005/8/layout/orgChart1"/>
    <dgm:cxn modelId="{2D3C838A-61A1-4979-B4BA-090804F8FA8E}" type="presParOf" srcId="{30FD1C8C-2223-4096-B3CE-9BC898D9CF15}" destId="{8EAEB51E-A166-4058-91B8-5AAB235A8ECA}" srcOrd="1" destOrd="0" presId="urn:microsoft.com/office/officeart/2005/8/layout/orgChart1"/>
    <dgm:cxn modelId="{DCB4CA50-8B18-4280-B422-5E22471D931A}" type="presParOf" srcId="{726419F4-A1AF-4891-A391-F6F70EF73CC0}" destId="{89C28627-E317-4630-ADFB-B1F2843AABC2}" srcOrd="1" destOrd="0" presId="urn:microsoft.com/office/officeart/2005/8/layout/orgChart1"/>
    <dgm:cxn modelId="{10DFCA91-88A1-4002-8A5B-212760BE1CCF}" type="presParOf" srcId="{726419F4-A1AF-4891-A391-F6F70EF73CC0}" destId="{EB7D39FA-2252-4D96-846C-1472600448E8}" srcOrd="2" destOrd="0" presId="urn:microsoft.com/office/officeart/2005/8/layout/orgChart1"/>
    <dgm:cxn modelId="{4B042AF0-06B0-419A-95B9-732B5187B2AC}" type="presParOf" srcId="{408AF6D0-5316-44C2-BBEB-F424D974D5B5}" destId="{1096F9E5-2E4B-4F1C-AA1C-7719D6353D71}" srcOrd="2" destOrd="0" presId="urn:microsoft.com/office/officeart/2005/8/layout/orgChart1"/>
    <dgm:cxn modelId="{841D0567-F92B-4C48-A2BD-CB5AAB4B3816}" type="presParOf" srcId="{D9BB04F3-26CB-46EC-A3DE-E15F32607913}" destId="{CBFBE1FE-DB55-4F14-A150-97B5624B9739}" srcOrd="2" destOrd="0" presId="urn:microsoft.com/office/officeart/2005/8/layout/orgChart1"/>
    <dgm:cxn modelId="{DCE8F834-33AC-4A4C-8324-96E2C0DCE111}" type="presParOf" srcId="{793A510E-DDFF-4AFA-82F4-1AFFAF88EE29}" destId="{6DB5A6F2-5851-4BB5-8965-8832E630D391}" srcOrd="2" destOrd="0" presId="urn:microsoft.com/office/officeart/2005/8/layout/orgChart1"/>
    <dgm:cxn modelId="{721B7C27-32D2-45EB-A417-071565C15952}" type="presParOf" srcId="{793A510E-DDFF-4AFA-82F4-1AFFAF88EE29}" destId="{5A034215-B5BD-4B86-991A-181874B52D3B}" srcOrd="3" destOrd="0" presId="urn:microsoft.com/office/officeart/2005/8/layout/orgChart1"/>
    <dgm:cxn modelId="{07C62AB6-2122-4025-976B-4768C99CFB6E}" type="presParOf" srcId="{5A034215-B5BD-4B86-991A-181874B52D3B}" destId="{B950732B-1EF3-4785-89AE-9C777B574265}" srcOrd="0" destOrd="0" presId="urn:microsoft.com/office/officeart/2005/8/layout/orgChart1"/>
    <dgm:cxn modelId="{2E7996BF-3178-4C57-8BA0-983B72E5056F}" type="presParOf" srcId="{B950732B-1EF3-4785-89AE-9C777B574265}" destId="{FD281182-B3BB-48D1-9281-A2F9DAB078B5}" srcOrd="0" destOrd="0" presId="urn:microsoft.com/office/officeart/2005/8/layout/orgChart1"/>
    <dgm:cxn modelId="{303363C5-C6E3-4420-8B05-A26F54CC78C4}" type="presParOf" srcId="{B950732B-1EF3-4785-89AE-9C777B574265}" destId="{AA35FAD0-C577-4405-B208-F59D38274ED5}" srcOrd="1" destOrd="0" presId="urn:microsoft.com/office/officeart/2005/8/layout/orgChart1"/>
    <dgm:cxn modelId="{759C0EC0-397F-46AB-A18C-84C68F3C6DDD}" type="presParOf" srcId="{5A034215-B5BD-4B86-991A-181874B52D3B}" destId="{99F53BDD-8B8B-4739-B78F-7A95739DCC3E}" srcOrd="1" destOrd="0" presId="urn:microsoft.com/office/officeart/2005/8/layout/orgChart1"/>
    <dgm:cxn modelId="{77FE5561-8FBE-46D4-972D-8BFAB5326E14}" type="presParOf" srcId="{99F53BDD-8B8B-4739-B78F-7A95739DCC3E}" destId="{0D819E8B-2A70-4829-981F-116ADB47A9EB}" srcOrd="0" destOrd="0" presId="urn:microsoft.com/office/officeart/2005/8/layout/orgChart1"/>
    <dgm:cxn modelId="{7D18CDC0-1F4F-488A-94EC-85E71B2CBE87}" type="presParOf" srcId="{99F53BDD-8B8B-4739-B78F-7A95739DCC3E}" destId="{4E0E0C95-E881-4BB8-B38C-3A3B934FA332}" srcOrd="1" destOrd="0" presId="urn:microsoft.com/office/officeart/2005/8/layout/orgChart1"/>
    <dgm:cxn modelId="{6D8B9D3B-6C23-4F8D-8F0A-66D555EA6968}" type="presParOf" srcId="{4E0E0C95-E881-4BB8-B38C-3A3B934FA332}" destId="{BFE082E3-77BF-49AA-8C2F-CF30B451B596}" srcOrd="0" destOrd="0" presId="urn:microsoft.com/office/officeart/2005/8/layout/orgChart1"/>
    <dgm:cxn modelId="{854335D9-5BF0-4CB7-9E75-1764F263F453}" type="presParOf" srcId="{BFE082E3-77BF-49AA-8C2F-CF30B451B596}" destId="{AE26D402-F7C2-429E-A766-FA3F3B04E164}" srcOrd="0" destOrd="0" presId="urn:microsoft.com/office/officeart/2005/8/layout/orgChart1"/>
    <dgm:cxn modelId="{3777F6B9-C0E0-4712-9FDD-07E121E096F7}" type="presParOf" srcId="{BFE082E3-77BF-49AA-8C2F-CF30B451B596}" destId="{BF67E541-9960-4D57-A562-7C65922EF1C0}" srcOrd="1" destOrd="0" presId="urn:microsoft.com/office/officeart/2005/8/layout/orgChart1"/>
    <dgm:cxn modelId="{7F55CC0D-00CA-431C-8B82-3B8CE4E6D734}" type="presParOf" srcId="{4E0E0C95-E881-4BB8-B38C-3A3B934FA332}" destId="{3396DAA1-0C78-4E73-A8DA-30235A7827E4}" srcOrd="1" destOrd="0" presId="urn:microsoft.com/office/officeart/2005/8/layout/orgChart1"/>
    <dgm:cxn modelId="{A82AC36F-7864-4E55-8A7F-790E941C874C}" type="presParOf" srcId="{3396DAA1-0C78-4E73-A8DA-30235A7827E4}" destId="{AC909B98-FA89-4DAE-A87F-51D19ADA4B8E}" srcOrd="0" destOrd="0" presId="urn:microsoft.com/office/officeart/2005/8/layout/orgChart1"/>
    <dgm:cxn modelId="{CCA458BC-5882-4EC6-BF0A-5E6FE6E2DB29}" type="presParOf" srcId="{3396DAA1-0C78-4E73-A8DA-30235A7827E4}" destId="{332DFC28-CFA2-48C2-A017-F25C8F79A3A6}" srcOrd="1" destOrd="0" presId="urn:microsoft.com/office/officeart/2005/8/layout/orgChart1"/>
    <dgm:cxn modelId="{C893238D-1E89-47CF-A4F7-D60A4507002A}" type="presParOf" srcId="{332DFC28-CFA2-48C2-A017-F25C8F79A3A6}" destId="{14158A7B-BEC2-4724-BBBE-BDDF9400BBDF}" srcOrd="0" destOrd="0" presId="urn:microsoft.com/office/officeart/2005/8/layout/orgChart1"/>
    <dgm:cxn modelId="{BA233AD9-7739-4D55-8B01-2E9FF419967E}" type="presParOf" srcId="{14158A7B-BEC2-4724-BBBE-BDDF9400BBDF}" destId="{E2728EA9-BCA3-493D-845A-77E3B0CFBF6E}" srcOrd="0" destOrd="0" presId="urn:microsoft.com/office/officeart/2005/8/layout/orgChart1"/>
    <dgm:cxn modelId="{F2DA4469-970A-43B6-98D9-77D8423401ED}" type="presParOf" srcId="{14158A7B-BEC2-4724-BBBE-BDDF9400BBDF}" destId="{F9D4CBD4-F34F-476C-9336-235A50EBFFB8}" srcOrd="1" destOrd="0" presId="urn:microsoft.com/office/officeart/2005/8/layout/orgChart1"/>
    <dgm:cxn modelId="{37D40064-C4C5-46FC-A374-AA836A49C165}" type="presParOf" srcId="{332DFC28-CFA2-48C2-A017-F25C8F79A3A6}" destId="{50F8F47B-85A3-4E13-B01D-49C82F4C4A0A}" srcOrd="1" destOrd="0" presId="urn:microsoft.com/office/officeart/2005/8/layout/orgChart1"/>
    <dgm:cxn modelId="{30DCF61A-C5C9-46D9-A4F6-389B2030DD8C}" type="presParOf" srcId="{50F8F47B-85A3-4E13-B01D-49C82F4C4A0A}" destId="{F2A19A03-40F4-4612-884F-F552FE04D5D4}" srcOrd="0" destOrd="0" presId="urn:microsoft.com/office/officeart/2005/8/layout/orgChart1"/>
    <dgm:cxn modelId="{9FC67341-ED8E-4CFF-A523-07A38BA5A5B8}" type="presParOf" srcId="{50F8F47B-85A3-4E13-B01D-49C82F4C4A0A}" destId="{06AA938A-E70E-45CE-828A-A46ACD485C28}" srcOrd="1" destOrd="0" presId="urn:microsoft.com/office/officeart/2005/8/layout/orgChart1"/>
    <dgm:cxn modelId="{25204733-66A5-45BE-BFA0-76F80AEEF739}" type="presParOf" srcId="{06AA938A-E70E-45CE-828A-A46ACD485C28}" destId="{4F07DD80-D7E5-44E1-AAA9-75DE968DF492}" srcOrd="0" destOrd="0" presId="urn:microsoft.com/office/officeart/2005/8/layout/orgChart1"/>
    <dgm:cxn modelId="{7F257F42-C1C7-4D17-A22C-C43C6F92EDD4}" type="presParOf" srcId="{4F07DD80-D7E5-44E1-AAA9-75DE968DF492}" destId="{18030DCA-1D30-4C78-9BD5-E0C6BC21538C}" srcOrd="0" destOrd="0" presId="urn:microsoft.com/office/officeart/2005/8/layout/orgChart1"/>
    <dgm:cxn modelId="{845498C0-341C-4294-BA1C-DC974A199E56}" type="presParOf" srcId="{4F07DD80-D7E5-44E1-AAA9-75DE968DF492}" destId="{CE46C59C-A597-44D4-B217-595BD0C9D0FA}" srcOrd="1" destOrd="0" presId="urn:microsoft.com/office/officeart/2005/8/layout/orgChart1"/>
    <dgm:cxn modelId="{08C65F27-4E0B-4105-AEC6-23242C44A19D}" type="presParOf" srcId="{06AA938A-E70E-45CE-828A-A46ACD485C28}" destId="{F26FFDD1-F4DC-45AA-B77A-35BCEBC2657C}" srcOrd="1" destOrd="0" presId="urn:microsoft.com/office/officeart/2005/8/layout/orgChart1"/>
    <dgm:cxn modelId="{20FD8875-17B0-4206-B74C-95F706857BF3}" type="presParOf" srcId="{06AA938A-E70E-45CE-828A-A46ACD485C28}" destId="{AC5D1365-6F13-4DE3-9942-F6AEF641D188}" srcOrd="2" destOrd="0" presId="urn:microsoft.com/office/officeart/2005/8/layout/orgChart1"/>
    <dgm:cxn modelId="{75E9C6CA-8E1A-4E4D-9360-E76498360D20}" type="presParOf" srcId="{50F8F47B-85A3-4E13-B01D-49C82F4C4A0A}" destId="{48989446-6B7C-4DE4-826A-E0D880298EAE}" srcOrd="2" destOrd="0" presId="urn:microsoft.com/office/officeart/2005/8/layout/orgChart1"/>
    <dgm:cxn modelId="{86248013-0B5C-47E1-97F0-EC7E5D4860F4}" type="presParOf" srcId="{50F8F47B-85A3-4E13-B01D-49C82F4C4A0A}" destId="{BCC69EF1-00FD-4EE4-8CAB-C91A1E8A394F}" srcOrd="3" destOrd="0" presId="urn:microsoft.com/office/officeart/2005/8/layout/orgChart1"/>
    <dgm:cxn modelId="{9B18525D-E3E8-4BA5-8D92-E3616478F0F0}" type="presParOf" srcId="{BCC69EF1-00FD-4EE4-8CAB-C91A1E8A394F}" destId="{E09E5AC9-F35A-4CEB-95CF-2E0011652A25}" srcOrd="0" destOrd="0" presId="urn:microsoft.com/office/officeart/2005/8/layout/orgChart1"/>
    <dgm:cxn modelId="{CB27B4C6-9575-49F0-83E1-E3F0581BF53A}" type="presParOf" srcId="{E09E5AC9-F35A-4CEB-95CF-2E0011652A25}" destId="{068EA1E2-E0A6-49BE-9F4B-6F28F451E3C2}" srcOrd="0" destOrd="0" presId="urn:microsoft.com/office/officeart/2005/8/layout/orgChart1"/>
    <dgm:cxn modelId="{24E8744C-0F8E-47A7-AEE2-49184BD4F9A4}" type="presParOf" srcId="{E09E5AC9-F35A-4CEB-95CF-2E0011652A25}" destId="{57148FAD-B2FD-4849-AC35-107CE33E630F}" srcOrd="1" destOrd="0" presId="urn:microsoft.com/office/officeart/2005/8/layout/orgChart1"/>
    <dgm:cxn modelId="{0E4B4221-BB60-492C-9856-39A2B92E3ACB}" type="presParOf" srcId="{BCC69EF1-00FD-4EE4-8CAB-C91A1E8A394F}" destId="{64E1925A-DF0B-4382-B814-B06743871B1D}" srcOrd="1" destOrd="0" presId="urn:microsoft.com/office/officeart/2005/8/layout/orgChart1"/>
    <dgm:cxn modelId="{4496752D-C089-479E-9A35-367A2F011EE9}" type="presParOf" srcId="{BCC69EF1-00FD-4EE4-8CAB-C91A1E8A394F}" destId="{6EEBD570-626C-4681-AEB0-8553F62E0F91}" srcOrd="2" destOrd="0" presId="urn:microsoft.com/office/officeart/2005/8/layout/orgChart1"/>
    <dgm:cxn modelId="{F197F916-B653-43D6-BB4D-94072B9EC628}" type="presParOf" srcId="{332DFC28-CFA2-48C2-A017-F25C8F79A3A6}" destId="{321A4954-D51F-46E5-BE69-4D16A216DACB}" srcOrd="2" destOrd="0" presId="urn:microsoft.com/office/officeart/2005/8/layout/orgChart1"/>
    <dgm:cxn modelId="{9E17DA89-FAE7-459B-9BD5-AEE6D3AAF597}" type="presParOf" srcId="{3396DAA1-0C78-4E73-A8DA-30235A7827E4}" destId="{52D99EDA-3B01-4889-B12D-5996B4A1F372}" srcOrd="2" destOrd="0" presId="urn:microsoft.com/office/officeart/2005/8/layout/orgChart1"/>
    <dgm:cxn modelId="{3A2ACD15-9316-4568-A36D-819AE2AF9B67}" type="presParOf" srcId="{3396DAA1-0C78-4E73-A8DA-30235A7827E4}" destId="{4F650F3D-6059-4740-B977-C3D1E8E0B9B7}" srcOrd="3" destOrd="0" presId="urn:microsoft.com/office/officeart/2005/8/layout/orgChart1"/>
    <dgm:cxn modelId="{202C183C-BF3B-403E-986F-DF74C2BCDDF6}" type="presParOf" srcId="{4F650F3D-6059-4740-B977-C3D1E8E0B9B7}" destId="{B62558F7-BE53-4F99-AB17-A1069F71256A}" srcOrd="0" destOrd="0" presId="urn:microsoft.com/office/officeart/2005/8/layout/orgChart1"/>
    <dgm:cxn modelId="{AB76505F-8771-4398-9DF4-EBC43B27FEB2}" type="presParOf" srcId="{B62558F7-BE53-4F99-AB17-A1069F71256A}" destId="{D06D6200-3867-4B76-A1AD-6D4D1ABAADB1}" srcOrd="0" destOrd="0" presId="urn:microsoft.com/office/officeart/2005/8/layout/orgChart1"/>
    <dgm:cxn modelId="{2E299A84-7561-4BDF-BCA8-3E474DFB8131}" type="presParOf" srcId="{B62558F7-BE53-4F99-AB17-A1069F71256A}" destId="{068DDF26-29B5-43E2-B5D9-C61A0211B963}" srcOrd="1" destOrd="0" presId="urn:microsoft.com/office/officeart/2005/8/layout/orgChart1"/>
    <dgm:cxn modelId="{93F98313-8003-4789-B39B-F756C788982C}" type="presParOf" srcId="{4F650F3D-6059-4740-B977-C3D1E8E0B9B7}" destId="{87459F41-01F3-44FD-9B9C-3A08DE4EBCCF}" srcOrd="1" destOrd="0" presId="urn:microsoft.com/office/officeart/2005/8/layout/orgChart1"/>
    <dgm:cxn modelId="{06729E92-9FCA-4265-95D7-A42E1B694D09}" type="presParOf" srcId="{4F650F3D-6059-4740-B977-C3D1E8E0B9B7}" destId="{71E25AB2-52B6-471F-AE91-2BCEA80F7F92}" srcOrd="2" destOrd="0" presId="urn:microsoft.com/office/officeart/2005/8/layout/orgChart1"/>
    <dgm:cxn modelId="{DBBC72FD-2654-4D87-8620-BFE5B73E144F}" type="presParOf" srcId="{4E0E0C95-E881-4BB8-B38C-3A3B934FA332}" destId="{257167C0-CF78-453C-AE72-58CC72F31635}" srcOrd="2" destOrd="0" presId="urn:microsoft.com/office/officeart/2005/8/layout/orgChart1"/>
    <dgm:cxn modelId="{E0F0EEF4-405C-405C-A270-6FD0D82FCDD7}" type="presParOf" srcId="{99F53BDD-8B8B-4739-B78F-7A95739DCC3E}" destId="{143F8B4A-E81B-4644-AD6B-092FFEB72DC9}" srcOrd="2" destOrd="0" presId="urn:microsoft.com/office/officeart/2005/8/layout/orgChart1"/>
    <dgm:cxn modelId="{1BDCF88B-B24B-4BF0-9758-9F65AF2EA4DF}" type="presParOf" srcId="{99F53BDD-8B8B-4739-B78F-7A95739DCC3E}" destId="{ED8D39CC-7FC6-43E4-B29C-E528D0006090}" srcOrd="3" destOrd="0" presId="urn:microsoft.com/office/officeart/2005/8/layout/orgChart1"/>
    <dgm:cxn modelId="{CCCF53E9-E1C0-4584-A9F3-C05127529AE4}" type="presParOf" srcId="{ED8D39CC-7FC6-43E4-B29C-E528D0006090}" destId="{4C9B48C9-15F7-463E-8186-1CEAC090C12C}" srcOrd="0" destOrd="0" presId="urn:microsoft.com/office/officeart/2005/8/layout/orgChart1"/>
    <dgm:cxn modelId="{FA22528C-7F34-4B4D-83B9-85E059EC9E95}" type="presParOf" srcId="{4C9B48C9-15F7-463E-8186-1CEAC090C12C}" destId="{7D16964D-88F4-4CEB-A14A-799F2DA059D0}" srcOrd="0" destOrd="0" presId="urn:microsoft.com/office/officeart/2005/8/layout/orgChart1"/>
    <dgm:cxn modelId="{12B04BE0-96E5-4B0D-BDF2-4978FFF966E8}" type="presParOf" srcId="{4C9B48C9-15F7-463E-8186-1CEAC090C12C}" destId="{DBD82063-4008-4B2F-B803-11E288C52EC0}" srcOrd="1" destOrd="0" presId="urn:microsoft.com/office/officeart/2005/8/layout/orgChart1"/>
    <dgm:cxn modelId="{0DA56DCD-8E68-4C02-B4EF-3EDD9755A57C}" type="presParOf" srcId="{ED8D39CC-7FC6-43E4-B29C-E528D0006090}" destId="{C136D761-BCF4-428C-8841-360B8BA8EF2D}" srcOrd="1" destOrd="0" presId="urn:microsoft.com/office/officeart/2005/8/layout/orgChart1"/>
    <dgm:cxn modelId="{E8481A42-2A6D-42E0-AFFE-824624763C3D}" type="presParOf" srcId="{C136D761-BCF4-428C-8841-360B8BA8EF2D}" destId="{2B9EFDF3-432C-4E6B-9C62-BBBA700F291F}" srcOrd="0" destOrd="0" presId="urn:microsoft.com/office/officeart/2005/8/layout/orgChart1"/>
    <dgm:cxn modelId="{F222FC5B-8696-4EE5-A521-DB980B4AFCE4}" type="presParOf" srcId="{C136D761-BCF4-428C-8841-360B8BA8EF2D}" destId="{E329381E-BCA0-4740-B2E8-BDCAF62B1358}" srcOrd="1" destOrd="0" presId="urn:microsoft.com/office/officeart/2005/8/layout/orgChart1"/>
    <dgm:cxn modelId="{BF9C4C27-0446-407A-B93B-F1C86B026735}" type="presParOf" srcId="{E329381E-BCA0-4740-B2E8-BDCAF62B1358}" destId="{09D85B07-31C1-486A-A591-95F025FBB0F1}" srcOrd="0" destOrd="0" presId="urn:microsoft.com/office/officeart/2005/8/layout/orgChart1"/>
    <dgm:cxn modelId="{014D3EA4-AD2C-43DD-B103-6B356D1F9F0E}" type="presParOf" srcId="{09D85B07-31C1-486A-A591-95F025FBB0F1}" destId="{EBC13BA5-55D4-4757-83C3-163149F20BA5}" srcOrd="0" destOrd="0" presId="urn:microsoft.com/office/officeart/2005/8/layout/orgChart1"/>
    <dgm:cxn modelId="{16455EDA-9616-4736-A98C-1A4820DE06DF}" type="presParOf" srcId="{09D85B07-31C1-486A-A591-95F025FBB0F1}" destId="{73E1B0C1-A83E-476D-9B00-CB8AF9E1B183}" srcOrd="1" destOrd="0" presId="urn:microsoft.com/office/officeart/2005/8/layout/orgChart1"/>
    <dgm:cxn modelId="{93B52ABA-FCB3-4D64-BD89-0856AC213781}" type="presParOf" srcId="{E329381E-BCA0-4740-B2E8-BDCAF62B1358}" destId="{A01DAEA5-7AB3-4DCC-9FE6-050355BAA9B2}" srcOrd="1" destOrd="0" presId="urn:microsoft.com/office/officeart/2005/8/layout/orgChart1"/>
    <dgm:cxn modelId="{3B6D0599-B541-46DC-80A7-2AF878DFC7CE}" type="presParOf" srcId="{E329381E-BCA0-4740-B2E8-BDCAF62B1358}" destId="{9DF3988B-5C9A-456D-8EA8-CBA55D0BFD75}" srcOrd="2" destOrd="0" presId="urn:microsoft.com/office/officeart/2005/8/layout/orgChart1"/>
    <dgm:cxn modelId="{D5194576-467D-4B93-B5D2-4BC89792EE0F}" type="presParOf" srcId="{C136D761-BCF4-428C-8841-360B8BA8EF2D}" destId="{46E8D49D-A92C-4308-8E0E-73BB234CEAFC}" srcOrd="2" destOrd="0" presId="urn:microsoft.com/office/officeart/2005/8/layout/orgChart1"/>
    <dgm:cxn modelId="{3AF31164-E1B2-48DB-AA33-8BBFC3E2C0DC}" type="presParOf" srcId="{C136D761-BCF4-428C-8841-360B8BA8EF2D}" destId="{DF291A6A-BF00-47BA-B0C6-866B406C2399}" srcOrd="3" destOrd="0" presId="urn:microsoft.com/office/officeart/2005/8/layout/orgChart1"/>
    <dgm:cxn modelId="{22285E46-F93B-4AAF-A9D6-AF7D72BBF277}" type="presParOf" srcId="{DF291A6A-BF00-47BA-B0C6-866B406C2399}" destId="{0227A0AD-C300-4923-9ED6-CFDBC0606D5C}" srcOrd="0" destOrd="0" presId="urn:microsoft.com/office/officeart/2005/8/layout/orgChart1"/>
    <dgm:cxn modelId="{982331F5-6BF5-432E-84B0-DAA91F81B090}" type="presParOf" srcId="{0227A0AD-C300-4923-9ED6-CFDBC0606D5C}" destId="{2E2F18DF-47D4-4D8C-A727-147EEA1C5220}" srcOrd="0" destOrd="0" presId="urn:microsoft.com/office/officeart/2005/8/layout/orgChart1"/>
    <dgm:cxn modelId="{9B2A005A-5E83-487F-B8D1-98BD9C85EE88}" type="presParOf" srcId="{0227A0AD-C300-4923-9ED6-CFDBC0606D5C}" destId="{314C431C-9068-4D36-9F45-3FE346ED3B0C}" srcOrd="1" destOrd="0" presId="urn:microsoft.com/office/officeart/2005/8/layout/orgChart1"/>
    <dgm:cxn modelId="{4F149778-41A7-4341-9AD8-E2618DBA9D03}" type="presParOf" srcId="{DF291A6A-BF00-47BA-B0C6-866B406C2399}" destId="{3DD6D087-50C5-4F5C-A34B-75ADF5643F70}" srcOrd="1" destOrd="0" presId="urn:microsoft.com/office/officeart/2005/8/layout/orgChart1"/>
    <dgm:cxn modelId="{CC0C6561-8138-4CC9-A1E5-12F56EC8A165}" type="presParOf" srcId="{DF291A6A-BF00-47BA-B0C6-866B406C2399}" destId="{C47F1786-59D5-4DB1-A987-D6BBFA431594}" srcOrd="2" destOrd="0" presId="urn:microsoft.com/office/officeart/2005/8/layout/orgChart1"/>
    <dgm:cxn modelId="{2A8E4FE5-A3E8-4155-8AF6-E34699F851BB}" type="presParOf" srcId="{C136D761-BCF4-428C-8841-360B8BA8EF2D}" destId="{5EE0E15C-2DFC-4C62-92B8-85DA37B70587}" srcOrd="4" destOrd="0" presId="urn:microsoft.com/office/officeart/2005/8/layout/orgChart1"/>
    <dgm:cxn modelId="{096CB7D7-6229-486E-9D5E-86AD0680C717}" type="presParOf" srcId="{C136D761-BCF4-428C-8841-360B8BA8EF2D}" destId="{361311D6-29D0-49A4-B80B-4042F3CF70B3}" srcOrd="5" destOrd="0" presId="urn:microsoft.com/office/officeart/2005/8/layout/orgChart1"/>
    <dgm:cxn modelId="{7E37F61A-E2B1-4DBC-B6BE-C0C92F455359}" type="presParOf" srcId="{361311D6-29D0-49A4-B80B-4042F3CF70B3}" destId="{E1F86456-423D-409F-B016-12182FD8489A}" srcOrd="0" destOrd="0" presId="urn:microsoft.com/office/officeart/2005/8/layout/orgChart1"/>
    <dgm:cxn modelId="{D3167A83-0BE0-415B-A5C1-DA348A32E8B4}" type="presParOf" srcId="{E1F86456-423D-409F-B016-12182FD8489A}" destId="{4889A419-7A00-4A58-AB1F-F2D2D66976E3}" srcOrd="0" destOrd="0" presId="urn:microsoft.com/office/officeart/2005/8/layout/orgChart1"/>
    <dgm:cxn modelId="{FC0223A0-0CFA-4A8C-B656-0EEF4F082E27}" type="presParOf" srcId="{E1F86456-423D-409F-B016-12182FD8489A}" destId="{EE80E488-3A29-4CAE-B3BD-7D7AAE7E6AD0}" srcOrd="1" destOrd="0" presId="urn:microsoft.com/office/officeart/2005/8/layout/orgChart1"/>
    <dgm:cxn modelId="{CC25E840-3002-4B7A-806D-3C77D5FCEC0D}" type="presParOf" srcId="{361311D6-29D0-49A4-B80B-4042F3CF70B3}" destId="{1DC2B24D-A361-4E8F-AB82-2BD8389CB99D}" srcOrd="1" destOrd="0" presId="urn:microsoft.com/office/officeart/2005/8/layout/orgChart1"/>
    <dgm:cxn modelId="{C4281C59-9AE0-4CD5-BFCB-57298D6211D4}" type="presParOf" srcId="{361311D6-29D0-49A4-B80B-4042F3CF70B3}" destId="{D844E27F-55DC-49EA-8520-43C9F7E2B9AE}" srcOrd="2" destOrd="0" presId="urn:microsoft.com/office/officeart/2005/8/layout/orgChart1"/>
    <dgm:cxn modelId="{D13AFF85-9148-413F-9B09-F052F06E52EA}" type="presParOf" srcId="{C136D761-BCF4-428C-8841-360B8BA8EF2D}" destId="{2A58210B-1A0B-43E6-9B3A-87A8CFF9E67C}" srcOrd="6" destOrd="0" presId="urn:microsoft.com/office/officeart/2005/8/layout/orgChart1"/>
    <dgm:cxn modelId="{FD8B988D-A7C1-4EA9-ADD3-665223DD9236}" type="presParOf" srcId="{C136D761-BCF4-428C-8841-360B8BA8EF2D}" destId="{D1A95942-B430-416A-BCD7-02E8CDE1274A}" srcOrd="7" destOrd="0" presId="urn:microsoft.com/office/officeart/2005/8/layout/orgChart1"/>
    <dgm:cxn modelId="{377DC12F-97E4-4324-997A-7F215FC7F5A8}" type="presParOf" srcId="{D1A95942-B430-416A-BCD7-02E8CDE1274A}" destId="{51ECA19C-5F76-4848-9F62-19DFCE6CF149}" srcOrd="0" destOrd="0" presId="urn:microsoft.com/office/officeart/2005/8/layout/orgChart1"/>
    <dgm:cxn modelId="{E254B7C8-ADE5-4FC7-8774-362673BDB867}" type="presParOf" srcId="{51ECA19C-5F76-4848-9F62-19DFCE6CF149}" destId="{6F35C804-9019-49BB-8ACB-2A0A2EC48C60}" srcOrd="0" destOrd="0" presId="urn:microsoft.com/office/officeart/2005/8/layout/orgChart1"/>
    <dgm:cxn modelId="{4206E20D-B3C2-421E-911A-395AFFC1301D}" type="presParOf" srcId="{51ECA19C-5F76-4848-9F62-19DFCE6CF149}" destId="{A8CE11DA-2279-4EDA-87E5-B439F06644FF}" srcOrd="1" destOrd="0" presId="urn:microsoft.com/office/officeart/2005/8/layout/orgChart1"/>
    <dgm:cxn modelId="{A30824B3-BB2B-4770-9C56-EE46976A8B1F}" type="presParOf" srcId="{D1A95942-B430-416A-BCD7-02E8CDE1274A}" destId="{9A419B69-FE65-4228-A463-5F723E25CB02}" srcOrd="1" destOrd="0" presId="urn:microsoft.com/office/officeart/2005/8/layout/orgChart1"/>
    <dgm:cxn modelId="{4BE4CA01-7ABD-40B8-93A9-23D316AC4AFB}" type="presParOf" srcId="{D1A95942-B430-416A-BCD7-02E8CDE1274A}" destId="{785DA2C5-7E66-42D6-ABAE-734819F3BB0C}" srcOrd="2" destOrd="0" presId="urn:microsoft.com/office/officeart/2005/8/layout/orgChart1"/>
    <dgm:cxn modelId="{2109A78D-05A2-483C-A64A-70A94512C312}" type="presParOf" srcId="{C136D761-BCF4-428C-8841-360B8BA8EF2D}" destId="{DA6A51FB-7650-477E-96A4-DB62B2D615ED}" srcOrd="8" destOrd="0" presId="urn:microsoft.com/office/officeart/2005/8/layout/orgChart1"/>
    <dgm:cxn modelId="{A31A3BED-F14B-4E3D-B592-E5E8085C1646}" type="presParOf" srcId="{C136D761-BCF4-428C-8841-360B8BA8EF2D}" destId="{4951857D-F82F-4AE0-A09D-B9879B49EE82}" srcOrd="9" destOrd="0" presId="urn:microsoft.com/office/officeart/2005/8/layout/orgChart1"/>
    <dgm:cxn modelId="{0102F4AB-EF2E-41D5-A47B-ADA1098321F8}" type="presParOf" srcId="{4951857D-F82F-4AE0-A09D-B9879B49EE82}" destId="{678F727F-9E8E-4281-BF55-D2E485F5E5ED}" srcOrd="0" destOrd="0" presId="urn:microsoft.com/office/officeart/2005/8/layout/orgChart1"/>
    <dgm:cxn modelId="{1F11DD1A-03A4-488E-90CE-32C2AD56B0A1}" type="presParOf" srcId="{678F727F-9E8E-4281-BF55-D2E485F5E5ED}" destId="{052DF1F5-4967-46E8-9760-3D36E23CB8C6}" srcOrd="0" destOrd="0" presId="urn:microsoft.com/office/officeart/2005/8/layout/orgChart1"/>
    <dgm:cxn modelId="{8D937911-DF3A-4EB3-8406-DFD184AD73F3}" type="presParOf" srcId="{678F727F-9E8E-4281-BF55-D2E485F5E5ED}" destId="{54E4E90D-B073-4A6D-94A2-9A914CCE2280}" srcOrd="1" destOrd="0" presId="urn:microsoft.com/office/officeart/2005/8/layout/orgChart1"/>
    <dgm:cxn modelId="{181952A6-F164-4B07-881D-A808B56AB8CF}" type="presParOf" srcId="{4951857D-F82F-4AE0-A09D-B9879B49EE82}" destId="{73C56B5E-11AB-401F-A332-995D9FB937E9}" srcOrd="1" destOrd="0" presId="urn:microsoft.com/office/officeart/2005/8/layout/orgChart1"/>
    <dgm:cxn modelId="{1C65BC5F-AB70-4A76-BABB-68CD7B3D3984}" type="presParOf" srcId="{4951857D-F82F-4AE0-A09D-B9879B49EE82}" destId="{1C5A0177-259E-4161-B735-057B5BF3FC9D}" srcOrd="2" destOrd="0" presId="urn:microsoft.com/office/officeart/2005/8/layout/orgChart1"/>
    <dgm:cxn modelId="{78E423B2-6A75-46E5-93E3-3E1E1E8E0D56}" type="presParOf" srcId="{ED8D39CC-7FC6-43E4-B29C-E528D0006090}" destId="{AB245EDA-7249-49C8-B1E4-00D8331ABC2F}" srcOrd="2" destOrd="0" presId="urn:microsoft.com/office/officeart/2005/8/layout/orgChart1"/>
    <dgm:cxn modelId="{ED7E599E-2FF9-434E-80D9-52C81BA68250}" type="presParOf" srcId="{99F53BDD-8B8B-4739-B78F-7A95739DCC3E}" destId="{F5BE9F57-26FB-423D-A8F9-61061A959B0A}" srcOrd="4" destOrd="0" presId="urn:microsoft.com/office/officeart/2005/8/layout/orgChart1"/>
    <dgm:cxn modelId="{A32F36B9-CC1B-4E46-A0B5-8CD2D85B1556}" type="presParOf" srcId="{99F53BDD-8B8B-4739-B78F-7A95739DCC3E}" destId="{BE7E7144-98FE-4010-BC12-30AE8315233E}" srcOrd="5" destOrd="0" presId="urn:microsoft.com/office/officeart/2005/8/layout/orgChart1"/>
    <dgm:cxn modelId="{3B6D1FBA-C40B-4E66-BDF7-002E10497433}" type="presParOf" srcId="{BE7E7144-98FE-4010-BC12-30AE8315233E}" destId="{9EA04FFC-B82F-4F84-8D4D-BB14ED89B587}" srcOrd="0" destOrd="0" presId="urn:microsoft.com/office/officeart/2005/8/layout/orgChart1"/>
    <dgm:cxn modelId="{6E719040-1F32-4067-B5D5-A79ACEF4FE55}" type="presParOf" srcId="{9EA04FFC-B82F-4F84-8D4D-BB14ED89B587}" destId="{9ED724B5-D96D-4094-AA85-754FA7B73CEC}" srcOrd="0" destOrd="0" presId="urn:microsoft.com/office/officeart/2005/8/layout/orgChart1"/>
    <dgm:cxn modelId="{311D3535-6990-4CFA-9A9E-F400C63B4375}" type="presParOf" srcId="{9EA04FFC-B82F-4F84-8D4D-BB14ED89B587}" destId="{3BD9E421-415F-48E6-B664-8F79FE1D24DF}" srcOrd="1" destOrd="0" presId="urn:microsoft.com/office/officeart/2005/8/layout/orgChart1"/>
    <dgm:cxn modelId="{A0D75C53-D206-4C3D-B9A1-9E7577413303}" type="presParOf" srcId="{BE7E7144-98FE-4010-BC12-30AE8315233E}" destId="{D0D6D302-794B-41E0-B6BE-F9AD740299DE}" srcOrd="1" destOrd="0" presId="urn:microsoft.com/office/officeart/2005/8/layout/orgChart1"/>
    <dgm:cxn modelId="{CB97F4AC-0AA5-46F0-AE9B-16727C2DD8F4}" type="presParOf" srcId="{D0D6D302-794B-41E0-B6BE-F9AD740299DE}" destId="{4EBD3A01-64E1-4D22-9323-B88A2B62374C}" srcOrd="0" destOrd="0" presId="urn:microsoft.com/office/officeart/2005/8/layout/orgChart1"/>
    <dgm:cxn modelId="{B60A8BF9-DB63-4BDE-9A91-894EF3714F66}" type="presParOf" srcId="{D0D6D302-794B-41E0-B6BE-F9AD740299DE}" destId="{65AA0E30-F961-45C5-8E9A-9A6EDE093BB1}" srcOrd="1" destOrd="0" presId="urn:microsoft.com/office/officeart/2005/8/layout/orgChart1"/>
    <dgm:cxn modelId="{31FD6594-5841-4DA1-B9D4-179CF82C5D55}" type="presParOf" srcId="{65AA0E30-F961-45C5-8E9A-9A6EDE093BB1}" destId="{2160319D-50CB-4322-9250-23DBFA7330B1}" srcOrd="0" destOrd="0" presId="urn:microsoft.com/office/officeart/2005/8/layout/orgChart1"/>
    <dgm:cxn modelId="{B3879F56-073C-45BF-9D8B-281C8E6FC751}" type="presParOf" srcId="{2160319D-50CB-4322-9250-23DBFA7330B1}" destId="{4E5DD5EF-BC9B-48C9-93F8-3D8790BEB0A2}" srcOrd="0" destOrd="0" presId="urn:microsoft.com/office/officeart/2005/8/layout/orgChart1"/>
    <dgm:cxn modelId="{D21DF615-7CD4-4975-9BC4-F3256223BA64}" type="presParOf" srcId="{2160319D-50CB-4322-9250-23DBFA7330B1}" destId="{487C44A1-F384-4470-A418-15722855680E}" srcOrd="1" destOrd="0" presId="urn:microsoft.com/office/officeart/2005/8/layout/orgChart1"/>
    <dgm:cxn modelId="{C6BF300F-9EFC-4E02-8292-3B83B4B60CF2}" type="presParOf" srcId="{65AA0E30-F961-45C5-8E9A-9A6EDE093BB1}" destId="{BA008FAA-3475-40E9-A63A-EA1DD9937A4F}" srcOrd="1" destOrd="0" presId="urn:microsoft.com/office/officeart/2005/8/layout/orgChart1"/>
    <dgm:cxn modelId="{87EB32C9-BE2D-4EAC-A81E-725802CD6624}" type="presParOf" srcId="{65AA0E30-F961-45C5-8E9A-9A6EDE093BB1}" destId="{DD885601-6882-48B9-866B-50BC220C628B}" srcOrd="2" destOrd="0" presId="urn:microsoft.com/office/officeart/2005/8/layout/orgChart1"/>
    <dgm:cxn modelId="{CC45ECAE-408C-4693-B7CA-33A9ADD9A006}" type="presParOf" srcId="{D0D6D302-794B-41E0-B6BE-F9AD740299DE}" destId="{B7C384C0-99F6-48E0-9F98-62B1F0F5F751}" srcOrd="2" destOrd="0" presId="urn:microsoft.com/office/officeart/2005/8/layout/orgChart1"/>
    <dgm:cxn modelId="{69A0CEE9-0C83-4D7F-8BA8-A176D143E2FA}" type="presParOf" srcId="{D0D6D302-794B-41E0-B6BE-F9AD740299DE}" destId="{CD39C358-295C-45D0-9330-1E2BE7A5F745}" srcOrd="3" destOrd="0" presId="urn:microsoft.com/office/officeart/2005/8/layout/orgChart1"/>
    <dgm:cxn modelId="{D2FCA9ED-9E79-48C6-8549-07A7DC3F5911}" type="presParOf" srcId="{CD39C358-295C-45D0-9330-1E2BE7A5F745}" destId="{5F42B3FF-03CE-48AB-B684-ED702F9DFAE8}" srcOrd="0" destOrd="0" presId="urn:microsoft.com/office/officeart/2005/8/layout/orgChart1"/>
    <dgm:cxn modelId="{1C2140E9-0F29-4F9D-89AA-D8D80654F3F9}" type="presParOf" srcId="{5F42B3FF-03CE-48AB-B684-ED702F9DFAE8}" destId="{E9B40E47-7D4D-47FD-9D3E-85C94CE28460}" srcOrd="0" destOrd="0" presId="urn:microsoft.com/office/officeart/2005/8/layout/orgChart1"/>
    <dgm:cxn modelId="{F98AB552-C9E5-48CD-A85A-6C35ADECF07F}" type="presParOf" srcId="{5F42B3FF-03CE-48AB-B684-ED702F9DFAE8}" destId="{20A3A8E1-B4E6-4FCF-B45E-D607AE4FC6DC}" srcOrd="1" destOrd="0" presId="urn:microsoft.com/office/officeart/2005/8/layout/orgChart1"/>
    <dgm:cxn modelId="{E4E7AA76-DCCB-4986-9307-CB32AC79132E}" type="presParOf" srcId="{CD39C358-295C-45D0-9330-1E2BE7A5F745}" destId="{27E63081-5DA3-43C1-83FE-848F8B4D943B}" srcOrd="1" destOrd="0" presId="urn:microsoft.com/office/officeart/2005/8/layout/orgChart1"/>
    <dgm:cxn modelId="{1EBC75CE-4778-4383-9476-222051447231}" type="presParOf" srcId="{CD39C358-295C-45D0-9330-1E2BE7A5F745}" destId="{E8B0EBF3-A20E-4153-9345-F4CA800D1FE6}" srcOrd="2" destOrd="0" presId="urn:microsoft.com/office/officeart/2005/8/layout/orgChart1"/>
    <dgm:cxn modelId="{12B1A3E9-87EC-4E3F-9527-39CE5FC81B05}" type="presParOf" srcId="{BE7E7144-98FE-4010-BC12-30AE8315233E}" destId="{9338DAEC-54DC-491E-B5AF-2AB0F7AD390F}" srcOrd="2" destOrd="0" presId="urn:microsoft.com/office/officeart/2005/8/layout/orgChart1"/>
    <dgm:cxn modelId="{B5F594DF-482B-4E26-B6D8-93AFC14A0CC4}" type="presParOf" srcId="{99F53BDD-8B8B-4739-B78F-7A95739DCC3E}" destId="{244712AC-B9CE-4618-B992-E664FF53EE7F}" srcOrd="6" destOrd="0" presId="urn:microsoft.com/office/officeart/2005/8/layout/orgChart1"/>
    <dgm:cxn modelId="{3E27E8AB-9CD0-468D-8154-DBEE4B9E15C2}" type="presParOf" srcId="{99F53BDD-8B8B-4739-B78F-7A95739DCC3E}" destId="{FAE35444-EE6F-4BF5-8E42-AA61A8783724}" srcOrd="7" destOrd="0" presId="urn:microsoft.com/office/officeart/2005/8/layout/orgChart1"/>
    <dgm:cxn modelId="{F8C3B20A-585B-44A9-BDBE-C9E709FB5800}" type="presParOf" srcId="{FAE35444-EE6F-4BF5-8E42-AA61A8783724}" destId="{FB573DA4-FFA9-41A2-B216-799E441CA6E2}" srcOrd="0" destOrd="0" presId="urn:microsoft.com/office/officeart/2005/8/layout/orgChart1"/>
    <dgm:cxn modelId="{0A5A8763-B953-4415-9E55-776561C80425}" type="presParOf" srcId="{FB573DA4-FFA9-41A2-B216-799E441CA6E2}" destId="{E7273EE2-C757-48BA-83F7-7C4A5BA264CA}" srcOrd="0" destOrd="0" presId="urn:microsoft.com/office/officeart/2005/8/layout/orgChart1"/>
    <dgm:cxn modelId="{9E3F5199-8F39-47A2-BE70-3834194E8FF6}" type="presParOf" srcId="{FB573DA4-FFA9-41A2-B216-799E441CA6E2}" destId="{976D1E57-AC7A-4D1B-BC2B-996E898C581F}" srcOrd="1" destOrd="0" presId="urn:microsoft.com/office/officeart/2005/8/layout/orgChart1"/>
    <dgm:cxn modelId="{07592E60-1EA7-4642-ACD5-36DE54523DDD}" type="presParOf" srcId="{FAE35444-EE6F-4BF5-8E42-AA61A8783724}" destId="{BE4A01C0-5813-4857-AA8F-4E26640ABD6F}" srcOrd="1" destOrd="0" presId="urn:microsoft.com/office/officeart/2005/8/layout/orgChart1"/>
    <dgm:cxn modelId="{18F20BE2-C90B-45DD-85E9-FB08BB4ECA02}" type="presParOf" srcId="{BE4A01C0-5813-4857-AA8F-4E26640ABD6F}" destId="{3A91997D-8C41-430F-8744-4B201D5A852E}" srcOrd="0" destOrd="0" presId="urn:microsoft.com/office/officeart/2005/8/layout/orgChart1"/>
    <dgm:cxn modelId="{E09340E4-CF76-4361-AE9A-49E802C61F08}" type="presParOf" srcId="{BE4A01C0-5813-4857-AA8F-4E26640ABD6F}" destId="{D22C2DC6-BC45-4FE4-86C4-E2B2AB529411}" srcOrd="1" destOrd="0" presId="urn:microsoft.com/office/officeart/2005/8/layout/orgChart1"/>
    <dgm:cxn modelId="{24FBA623-553D-4114-BE80-52270914199F}" type="presParOf" srcId="{D22C2DC6-BC45-4FE4-86C4-E2B2AB529411}" destId="{52266598-3276-4D3C-93A4-1728B01E8052}" srcOrd="0" destOrd="0" presId="urn:microsoft.com/office/officeart/2005/8/layout/orgChart1"/>
    <dgm:cxn modelId="{D0F6CD3E-322A-4F99-8B35-FE052CF11042}" type="presParOf" srcId="{52266598-3276-4D3C-93A4-1728B01E8052}" destId="{0047251F-1735-463D-A2D6-317777470FA8}" srcOrd="0" destOrd="0" presId="urn:microsoft.com/office/officeart/2005/8/layout/orgChart1"/>
    <dgm:cxn modelId="{56453688-0A5D-45F9-BEF4-4D301C0336B2}" type="presParOf" srcId="{52266598-3276-4D3C-93A4-1728B01E8052}" destId="{870E1411-B152-4697-BE76-BE5635AAE3DE}" srcOrd="1" destOrd="0" presId="urn:microsoft.com/office/officeart/2005/8/layout/orgChart1"/>
    <dgm:cxn modelId="{F08C4DD8-6E96-4ABF-B628-398856372E17}" type="presParOf" srcId="{D22C2DC6-BC45-4FE4-86C4-E2B2AB529411}" destId="{4DFF82BF-46ED-4348-BBE4-C12A6AE01BB8}" srcOrd="1" destOrd="0" presId="urn:microsoft.com/office/officeart/2005/8/layout/orgChart1"/>
    <dgm:cxn modelId="{5E13A639-FED6-4B76-A088-E2FA099F6227}" type="presParOf" srcId="{4DFF82BF-46ED-4348-BBE4-C12A6AE01BB8}" destId="{652F0D87-A1A8-4551-AA40-81F4E6D58E81}" srcOrd="0" destOrd="0" presId="urn:microsoft.com/office/officeart/2005/8/layout/orgChart1"/>
    <dgm:cxn modelId="{79D323AB-9CFC-4F36-A86E-C288DF7D62F4}" type="presParOf" srcId="{4DFF82BF-46ED-4348-BBE4-C12A6AE01BB8}" destId="{7E778BFC-9E53-4159-8021-14CA27B69C9A}" srcOrd="1" destOrd="0" presId="urn:microsoft.com/office/officeart/2005/8/layout/orgChart1"/>
    <dgm:cxn modelId="{7ED45855-F9A5-4257-91FD-055D6AD8FEBA}" type="presParOf" srcId="{7E778BFC-9E53-4159-8021-14CA27B69C9A}" destId="{29F57A35-F042-4139-A69B-665E66C92536}" srcOrd="0" destOrd="0" presId="urn:microsoft.com/office/officeart/2005/8/layout/orgChart1"/>
    <dgm:cxn modelId="{3301D36B-87EF-4237-ADDA-D5C14825931A}" type="presParOf" srcId="{29F57A35-F042-4139-A69B-665E66C92536}" destId="{BD1AF7C0-FC62-43FF-91D7-5BF60856C71C}" srcOrd="0" destOrd="0" presId="urn:microsoft.com/office/officeart/2005/8/layout/orgChart1"/>
    <dgm:cxn modelId="{B876CEA7-56CD-49B0-A383-262803F82573}" type="presParOf" srcId="{29F57A35-F042-4139-A69B-665E66C92536}" destId="{666CED59-5E85-4C74-9AD8-375C185B1735}" srcOrd="1" destOrd="0" presId="urn:microsoft.com/office/officeart/2005/8/layout/orgChart1"/>
    <dgm:cxn modelId="{9CAED631-71B3-41D3-BE9D-4BB7ED30E969}" type="presParOf" srcId="{7E778BFC-9E53-4159-8021-14CA27B69C9A}" destId="{85D29429-1E62-4FBC-8CCE-225A4CD6FB3E}" srcOrd="1" destOrd="0" presId="urn:microsoft.com/office/officeart/2005/8/layout/orgChart1"/>
    <dgm:cxn modelId="{0C652A76-813B-4E8A-BA62-226D1C6A4B5F}" type="presParOf" srcId="{85D29429-1E62-4FBC-8CCE-225A4CD6FB3E}" destId="{B79C86AF-A130-4AC3-A985-AAF653299F22}" srcOrd="0" destOrd="0" presId="urn:microsoft.com/office/officeart/2005/8/layout/orgChart1"/>
    <dgm:cxn modelId="{80A036CC-5A13-44E4-A3C0-8F4DFF148655}" type="presParOf" srcId="{85D29429-1E62-4FBC-8CCE-225A4CD6FB3E}" destId="{770281D2-C368-42AB-A748-0BC618D15B2F}" srcOrd="1" destOrd="0" presId="urn:microsoft.com/office/officeart/2005/8/layout/orgChart1"/>
    <dgm:cxn modelId="{E4035057-2F52-4FF8-91A3-29C38DD36702}" type="presParOf" srcId="{770281D2-C368-42AB-A748-0BC618D15B2F}" destId="{4FE9684F-F0A3-4049-959A-E3300F9416B3}" srcOrd="0" destOrd="0" presId="urn:microsoft.com/office/officeart/2005/8/layout/orgChart1"/>
    <dgm:cxn modelId="{54CA7586-95B1-4B0E-A865-179BAD290EBC}" type="presParOf" srcId="{4FE9684F-F0A3-4049-959A-E3300F9416B3}" destId="{A103A6A9-302F-48F2-96A0-E461C7ACF6EF}" srcOrd="0" destOrd="0" presId="urn:microsoft.com/office/officeart/2005/8/layout/orgChart1"/>
    <dgm:cxn modelId="{421D53A1-AC4F-425A-B217-6BF390C83EB9}" type="presParOf" srcId="{4FE9684F-F0A3-4049-959A-E3300F9416B3}" destId="{44CD740C-4805-4DE2-8219-A99BB9D9676E}" srcOrd="1" destOrd="0" presId="urn:microsoft.com/office/officeart/2005/8/layout/orgChart1"/>
    <dgm:cxn modelId="{C97ECDE6-E021-4DEE-B1B9-412B87B1EAC8}" type="presParOf" srcId="{770281D2-C368-42AB-A748-0BC618D15B2F}" destId="{0CA5AAF9-09B9-4E02-B4FC-F2A1016BC8F8}" srcOrd="1" destOrd="0" presId="urn:microsoft.com/office/officeart/2005/8/layout/orgChart1"/>
    <dgm:cxn modelId="{0BA2011A-3B70-48AC-BF41-97C63DBF0B8D}" type="presParOf" srcId="{770281D2-C368-42AB-A748-0BC618D15B2F}" destId="{0E697C56-5B9F-4868-8923-065E21E350BD}" srcOrd="2" destOrd="0" presId="urn:microsoft.com/office/officeart/2005/8/layout/orgChart1"/>
    <dgm:cxn modelId="{34CCBE8F-A528-4B8F-AAE6-C477D8031787}" type="presParOf" srcId="{85D29429-1E62-4FBC-8CCE-225A4CD6FB3E}" destId="{2AD3CCA2-E966-4420-9314-FA383A9E8ACF}" srcOrd="2" destOrd="0" presId="urn:microsoft.com/office/officeart/2005/8/layout/orgChart1"/>
    <dgm:cxn modelId="{543805A1-8914-491D-8D62-8F183BCECEDB}" type="presParOf" srcId="{85D29429-1E62-4FBC-8CCE-225A4CD6FB3E}" destId="{792417A5-E27C-47E9-B179-DC9CD4CB115D}" srcOrd="3" destOrd="0" presId="urn:microsoft.com/office/officeart/2005/8/layout/orgChart1"/>
    <dgm:cxn modelId="{9C8111A1-E812-4674-8F77-AB09D995EA4A}" type="presParOf" srcId="{792417A5-E27C-47E9-B179-DC9CD4CB115D}" destId="{A9107F35-DE63-4B0B-8E25-6660343178F0}" srcOrd="0" destOrd="0" presId="urn:microsoft.com/office/officeart/2005/8/layout/orgChart1"/>
    <dgm:cxn modelId="{6751F6C7-F77D-47EE-AC1C-1EF9B1585B6D}" type="presParOf" srcId="{A9107F35-DE63-4B0B-8E25-6660343178F0}" destId="{CF9B6409-A2A4-4CAC-8899-76D522B0DF0C}" srcOrd="0" destOrd="0" presId="urn:microsoft.com/office/officeart/2005/8/layout/orgChart1"/>
    <dgm:cxn modelId="{B292D472-5130-4AF7-83DF-D6F1439A9B27}" type="presParOf" srcId="{A9107F35-DE63-4B0B-8E25-6660343178F0}" destId="{03000CAB-D3EC-4452-8814-1AE55F5EAD44}" srcOrd="1" destOrd="0" presId="urn:microsoft.com/office/officeart/2005/8/layout/orgChart1"/>
    <dgm:cxn modelId="{8E2841A1-640C-4DE8-9D6C-E674F0898DA1}" type="presParOf" srcId="{792417A5-E27C-47E9-B179-DC9CD4CB115D}" destId="{A1A0E774-BC0E-4E54-9442-46D0C9D7943B}" srcOrd="1" destOrd="0" presId="urn:microsoft.com/office/officeart/2005/8/layout/orgChart1"/>
    <dgm:cxn modelId="{D40EE1A2-D4CF-44F3-8885-65EE07174A67}" type="presParOf" srcId="{792417A5-E27C-47E9-B179-DC9CD4CB115D}" destId="{8194576F-0F64-4628-885F-ACA437821A38}" srcOrd="2" destOrd="0" presId="urn:microsoft.com/office/officeart/2005/8/layout/orgChart1"/>
    <dgm:cxn modelId="{6576D20E-E857-4731-B6CE-A5033EA85A16}" type="presParOf" srcId="{85D29429-1E62-4FBC-8CCE-225A4CD6FB3E}" destId="{F4A4CE86-621A-4311-A790-F32FA3EE7A67}" srcOrd="4" destOrd="0" presId="urn:microsoft.com/office/officeart/2005/8/layout/orgChart1"/>
    <dgm:cxn modelId="{29FBFC2D-2019-4A8E-8B8E-A86B41DC2AFA}" type="presParOf" srcId="{85D29429-1E62-4FBC-8CCE-225A4CD6FB3E}" destId="{EEA84A5D-8176-4113-82C6-8C91E24B5C3C}" srcOrd="5" destOrd="0" presId="urn:microsoft.com/office/officeart/2005/8/layout/orgChart1"/>
    <dgm:cxn modelId="{1FE49868-E226-4D16-AB37-0655D3AA0B51}" type="presParOf" srcId="{EEA84A5D-8176-4113-82C6-8C91E24B5C3C}" destId="{0C7119E9-EB57-4A5C-B9E8-73CE5F2E4580}" srcOrd="0" destOrd="0" presId="urn:microsoft.com/office/officeart/2005/8/layout/orgChart1"/>
    <dgm:cxn modelId="{6A0AF710-1890-4B60-8D39-022042FE9A32}" type="presParOf" srcId="{0C7119E9-EB57-4A5C-B9E8-73CE5F2E4580}" destId="{3C4BE630-0435-4FCE-94E6-23F02C389B9F}" srcOrd="0" destOrd="0" presId="urn:microsoft.com/office/officeart/2005/8/layout/orgChart1"/>
    <dgm:cxn modelId="{E2DCB6FA-5EB8-4D65-B5F4-5942A0CE7E49}" type="presParOf" srcId="{0C7119E9-EB57-4A5C-B9E8-73CE5F2E4580}" destId="{FAFACEA6-E17B-44D7-A8CA-6152336C14FC}" srcOrd="1" destOrd="0" presId="urn:microsoft.com/office/officeart/2005/8/layout/orgChart1"/>
    <dgm:cxn modelId="{66848B99-CDA6-428E-909D-AB8776F324CB}" type="presParOf" srcId="{EEA84A5D-8176-4113-82C6-8C91E24B5C3C}" destId="{DE8A8B93-E8EB-461B-BA14-700A1A83AFD0}" srcOrd="1" destOrd="0" presId="urn:microsoft.com/office/officeart/2005/8/layout/orgChart1"/>
    <dgm:cxn modelId="{34FF8691-EB15-4DE4-96D1-F434737A0279}" type="presParOf" srcId="{EEA84A5D-8176-4113-82C6-8C91E24B5C3C}" destId="{C3945D49-5E50-4881-B823-32661DD5A31C}" srcOrd="2" destOrd="0" presId="urn:microsoft.com/office/officeart/2005/8/layout/orgChart1"/>
    <dgm:cxn modelId="{707331D5-B302-44CD-8B88-D7D1BAD2B24A}" type="presParOf" srcId="{7E778BFC-9E53-4159-8021-14CA27B69C9A}" destId="{281A1780-6045-493B-979B-E88988664E3D}" srcOrd="2" destOrd="0" presId="urn:microsoft.com/office/officeart/2005/8/layout/orgChart1"/>
    <dgm:cxn modelId="{819FC3F5-D17C-4499-A3C9-CC6A3A353354}" type="presParOf" srcId="{4DFF82BF-46ED-4348-BBE4-C12A6AE01BB8}" destId="{B137C28F-3925-499E-8AE3-6A2572853110}" srcOrd="2" destOrd="0" presId="urn:microsoft.com/office/officeart/2005/8/layout/orgChart1"/>
    <dgm:cxn modelId="{637840D0-3BF0-45E8-A641-2F51B903F994}" type="presParOf" srcId="{4DFF82BF-46ED-4348-BBE4-C12A6AE01BB8}" destId="{1593B37E-C7EC-4C99-B419-025AA77082B4}" srcOrd="3" destOrd="0" presId="urn:microsoft.com/office/officeart/2005/8/layout/orgChart1"/>
    <dgm:cxn modelId="{F8D9FF2A-02B8-417A-B6CC-0FBF48D53129}" type="presParOf" srcId="{1593B37E-C7EC-4C99-B419-025AA77082B4}" destId="{724BC005-66D3-43A5-B219-8E34407CCF6B}" srcOrd="0" destOrd="0" presId="urn:microsoft.com/office/officeart/2005/8/layout/orgChart1"/>
    <dgm:cxn modelId="{93E4658F-4C84-4F72-9B0D-053062D289C3}" type="presParOf" srcId="{724BC005-66D3-43A5-B219-8E34407CCF6B}" destId="{4025C9CC-6E57-439D-AD22-B4EA8D793355}" srcOrd="0" destOrd="0" presId="urn:microsoft.com/office/officeart/2005/8/layout/orgChart1"/>
    <dgm:cxn modelId="{6062D936-7426-480D-AB03-049DDCCDC83C}" type="presParOf" srcId="{724BC005-66D3-43A5-B219-8E34407CCF6B}" destId="{ED429F4C-4C3E-48C0-827A-C72E5BC5C1D9}" srcOrd="1" destOrd="0" presId="urn:microsoft.com/office/officeart/2005/8/layout/orgChart1"/>
    <dgm:cxn modelId="{1B9F4CF3-83AD-4998-A85B-1C28FFB340E6}" type="presParOf" srcId="{1593B37E-C7EC-4C99-B419-025AA77082B4}" destId="{47D94840-F5A4-4613-81E6-D395679598C5}" srcOrd="1" destOrd="0" presId="urn:microsoft.com/office/officeart/2005/8/layout/orgChart1"/>
    <dgm:cxn modelId="{385D3825-525B-45B5-8DCE-F78F53280A8E}" type="presParOf" srcId="{47D94840-F5A4-4613-81E6-D395679598C5}" destId="{DE451CFA-82CB-45A7-8C55-370FE64A5499}" srcOrd="0" destOrd="0" presId="urn:microsoft.com/office/officeart/2005/8/layout/orgChart1"/>
    <dgm:cxn modelId="{DE79C518-E076-4E71-BC7B-9D4A620A01CD}" type="presParOf" srcId="{47D94840-F5A4-4613-81E6-D395679598C5}" destId="{AADEE94D-F765-4B67-B07D-4AEEDF698312}" srcOrd="1" destOrd="0" presId="urn:microsoft.com/office/officeart/2005/8/layout/orgChart1"/>
    <dgm:cxn modelId="{B1365362-ABAC-434C-90EA-91137C4316D8}" type="presParOf" srcId="{AADEE94D-F765-4B67-B07D-4AEEDF698312}" destId="{98EF3706-279E-44FD-8E8B-5E97C090819D}" srcOrd="0" destOrd="0" presId="urn:microsoft.com/office/officeart/2005/8/layout/orgChart1"/>
    <dgm:cxn modelId="{7ECACD6F-DA15-4307-AA20-8DFFD9002994}" type="presParOf" srcId="{98EF3706-279E-44FD-8E8B-5E97C090819D}" destId="{ABF570EC-C4A3-42ED-A11F-F7C08C0F9AFD}" srcOrd="0" destOrd="0" presId="urn:microsoft.com/office/officeart/2005/8/layout/orgChart1"/>
    <dgm:cxn modelId="{AD880A6D-B08B-40D1-8CC1-F9356CE9E95D}" type="presParOf" srcId="{98EF3706-279E-44FD-8E8B-5E97C090819D}" destId="{8E46E72E-681A-4DDE-8110-7E1D0EE824A2}" srcOrd="1" destOrd="0" presId="urn:microsoft.com/office/officeart/2005/8/layout/orgChart1"/>
    <dgm:cxn modelId="{840680D5-9404-43CB-90E7-E55FFE1BF14F}" type="presParOf" srcId="{AADEE94D-F765-4B67-B07D-4AEEDF698312}" destId="{1B9D486E-3736-4D16-BD16-CC3C2A1F7A50}" srcOrd="1" destOrd="0" presId="urn:microsoft.com/office/officeart/2005/8/layout/orgChart1"/>
    <dgm:cxn modelId="{56EB170E-AF6A-450F-B34A-85C79E17940D}" type="presParOf" srcId="{AADEE94D-F765-4B67-B07D-4AEEDF698312}" destId="{3B0D0851-71EF-45C7-BA02-3DAA1F0C4C03}" srcOrd="2" destOrd="0" presId="urn:microsoft.com/office/officeart/2005/8/layout/orgChart1"/>
    <dgm:cxn modelId="{31D4100F-58B6-4C11-B37A-1609D8424031}" type="presParOf" srcId="{47D94840-F5A4-4613-81E6-D395679598C5}" destId="{28C0337C-8335-42D0-A94A-60D936709D83}" srcOrd="2" destOrd="0" presId="urn:microsoft.com/office/officeart/2005/8/layout/orgChart1"/>
    <dgm:cxn modelId="{6DFA55CC-6C9F-49D0-A056-9453090F694B}" type="presParOf" srcId="{47D94840-F5A4-4613-81E6-D395679598C5}" destId="{5066DF11-57D1-4B88-963C-C6080F08F718}" srcOrd="3" destOrd="0" presId="urn:microsoft.com/office/officeart/2005/8/layout/orgChart1"/>
    <dgm:cxn modelId="{4C766A4B-F93D-4FB0-A1F9-804E1AF21D85}" type="presParOf" srcId="{5066DF11-57D1-4B88-963C-C6080F08F718}" destId="{981F83DB-333E-4345-8B1A-47C0D6208F26}" srcOrd="0" destOrd="0" presId="urn:microsoft.com/office/officeart/2005/8/layout/orgChart1"/>
    <dgm:cxn modelId="{74622964-1D11-4C68-B75E-FC5361DAEDBA}" type="presParOf" srcId="{981F83DB-333E-4345-8B1A-47C0D6208F26}" destId="{902C422D-34A7-4CF2-9027-2E42354CDFBA}" srcOrd="0" destOrd="0" presId="urn:microsoft.com/office/officeart/2005/8/layout/orgChart1"/>
    <dgm:cxn modelId="{6212D815-B614-45BB-A77E-AB12A88CF36C}" type="presParOf" srcId="{981F83DB-333E-4345-8B1A-47C0D6208F26}" destId="{0706D769-16FC-4A71-8097-D939F8FC7F96}" srcOrd="1" destOrd="0" presId="urn:microsoft.com/office/officeart/2005/8/layout/orgChart1"/>
    <dgm:cxn modelId="{DB3BA69A-5FA0-48C9-9911-EE1D71D93454}" type="presParOf" srcId="{5066DF11-57D1-4B88-963C-C6080F08F718}" destId="{46961EDE-1FF9-446D-9346-6A8E1C02154C}" srcOrd="1" destOrd="0" presId="urn:microsoft.com/office/officeart/2005/8/layout/orgChart1"/>
    <dgm:cxn modelId="{4590536D-F260-4EE0-B776-15A12AF930C9}" type="presParOf" srcId="{5066DF11-57D1-4B88-963C-C6080F08F718}" destId="{80D02897-BC36-4E2D-9684-C1BBE0FD0448}" srcOrd="2" destOrd="0" presId="urn:microsoft.com/office/officeart/2005/8/layout/orgChart1"/>
    <dgm:cxn modelId="{07B0427D-4213-4BC0-915B-762394707392}" type="presParOf" srcId="{47D94840-F5A4-4613-81E6-D395679598C5}" destId="{08CA5E7C-65C8-41AD-8A49-327067FC6496}" srcOrd="4" destOrd="0" presId="urn:microsoft.com/office/officeart/2005/8/layout/orgChart1"/>
    <dgm:cxn modelId="{711078B0-BCB5-46A2-945D-AAF6F2525D20}" type="presParOf" srcId="{47D94840-F5A4-4613-81E6-D395679598C5}" destId="{05DB353D-DDAE-46F3-9C8A-B31F89582AE4}" srcOrd="5" destOrd="0" presId="urn:microsoft.com/office/officeart/2005/8/layout/orgChart1"/>
    <dgm:cxn modelId="{2B6E0025-D900-4522-94B9-35B4822D14DC}" type="presParOf" srcId="{05DB353D-DDAE-46F3-9C8A-B31F89582AE4}" destId="{EFC5F31A-E552-44B9-B87E-466CF88685DD}" srcOrd="0" destOrd="0" presId="urn:microsoft.com/office/officeart/2005/8/layout/orgChart1"/>
    <dgm:cxn modelId="{80255D74-A0EE-4429-99A5-67BE4D80E24A}" type="presParOf" srcId="{EFC5F31A-E552-44B9-B87E-466CF88685DD}" destId="{D871CE47-E695-494E-BC76-77D3DF26597F}" srcOrd="0" destOrd="0" presId="urn:microsoft.com/office/officeart/2005/8/layout/orgChart1"/>
    <dgm:cxn modelId="{2AF9D2BC-DB2B-49D9-8AB8-0D7A442128CB}" type="presParOf" srcId="{EFC5F31A-E552-44B9-B87E-466CF88685DD}" destId="{DE7B78B2-4B30-45EF-BC49-A2F843E3B9AE}" srcOrd="1" destOrd="0" presId="urn:microsoft.com/office/officeart/2005/8/layout/orgChart1"/>
    <dgm:cxn modelId="{17809910-9414-423F-BAD6-3EDB2B105DD7}" type="presParOf" srcId="{05DB353D-DDAE-46F3-9C8A-B31F89582AE4}" destId="{B5BA8F2D-450A-4DD9-A238-B4466F6481C4}" srcOrd="1" destOrd="0" presId="urn:microsoft.com/office/officeart/2005/8/layout/orgChart1"/>
    <dgm:cxn modelId="{26E0A16C-4E2A-4AB3-A6F5-9D4537906DF6}" type="presParOf" srcId="{05DB353D-DDAE-46F3-9C8A-B31F89582AE4}" destId="{9B09DF3F-4DA8-4355-8735-8558C1542432}" srcOrd="2" destOrd="0" presId="urn:microsoft.com/office/officeart/2005/8/layout/orgChart1"/>
    <dgm:cxn modelId="{743D769F-9B8A-4BA4-A0CE-748147699494}" type="presParOf" srcId="{47D94840-F5A4-4613-81E6-D395679598C5}" destId="{DF02744F-9C23-4422-9DE6-32C3AEA4547B}" srcOrd="6" destOrd="0" presId="urn:microsoft.com/office/officeart/2005/8/layout/orgChart1"/>
    <dgm:cxn modelId="{34533A44-687B-48CC-AD1D-46DE7E59726A}" type="presParOf" srcId="{47D94840-F5A4-4613-81E6-D395679598C5}" destId="{9E8A881B-E747-4B45-8739-9215B922EFC5}" srcOrd="7" destOrd="0" presId="urn:microsoft.com/office/officeart/2005/8/layout/orgChart1"/>
    <dgm:cxn modelId="{841BA5AF-8AE9-4369-910F-EA476F04DBA2}" type="presParOf" srcId="{9E8A881B-E747-4B45-8739-9215B922EFC5}" destId="{A11C4009-EBCB-40BF-B909-82BDBDDF5505}" srcOrd="0" destOrd="0" presId="urn:microsoft.com/office/officeart/2005/8/layout/orgChart1"/>
    <dgm:cxn modelId="{82665468-8A16-40F9-90B1-B92A47C3D00A}" type="presParOf" srcId="{A11C4009-EBCB-40BF-B909-82BDBDDF5505}" destId="{EA3F6B06-69E6-4DC9-BF03-21D4664B6336}" srcOrd="0" destOrd="0" presId="urn:microsoft.com/office/officeart/2005/8/layout/orgChart1"/>
    <dgm:cxn modelId="{8D6DF3E8-E9EC-478B-B251-C9DFCE964BA0}" type="presParOf" srcId="{A11C4009-EBCB-40BF-B909-82BDBDDF5505}" destId="{FC4A1060-B949-45EB-8EFA-2FD21B9BAB3A}" srcOrd="1" destOrd="0" presId="urn:microsoft.com/office/officeart/2005/8/layout/orgChart1"/>
    <dgm:cxn modelId="{D1C2E40B-25B9-4EF8-929E-988F60A11854}" type="presParOf" srcId="{9E8A881B-E747-4B45-8739-9215B922EFC5}" destId="{E51071A1-0BF5-4058-93D5-E88D22E75F7C}" srcOrd="1" destOrd="0" presId="urn:microsoft.com/office/officeart/2005/8/layout/orgChart1"/>
    <dgm:cxn modelId="{67FE43DA-AD00-4114-AACB-00C38A79752A}" type="presParOf" srcId="{9E8A881B-E747-4B45-8739-9215B922EFC5}" destId="{B3FF3810-D14F-4888-947D-39CDE41ECE84}" srcOrd="2" destOrd="0" presId="urn:microsoft.com/office/officeart/2005/8/layout/orgChart1"/>
    <dgm:cxn modelId="{F213FF05-7A2B-4FEF-AC8C-77A0E384ADAA}" type="presParOf" srcId="{47D94840-F5A4-4613-81E6-D395679598C5}" destId="{DC3D6DEB-F7D4-4878-AA15-FF5D3367712B}" srcOrd="8" destOrd="0" presId="urn:microsoft.com/office/officeart/2005/8/layout/orgChart1"/>
    <dgm:cxn modelId="{19113D2D-2B86-4EFE-B0ED-3A6882D0594B}" type="presParOf" srcId="{47D94840-F5A4-4613-81E6-D395679598C5}" destId="{884DC7BA-8CAA-4E5D-91DA-846F19F18D19}" srcOrd="9" destOrd="0" presId="urn:microsoft.com/office/officeart/2005/8/layout/orgChart1"/>
    <dgm:cxn modelId="{ACDFF81C-04BC-4417-B8E7-D43B2821BE9A}" type="presParOf" srcId="{884DC7BA-8CAA-4E5D-91DA-846F19F18D19}" destId="{DEE76CE8-7F87-4E0B-8255-F51245F406E9}" srcOrd="0" destOrd="0" presId="urn:microsoft.com/office/officeart/2005/8/layout/orgChart1"/>
    <dgm:cxn modelId="{2E8980FB-F39F-4E69-8741-3FC45294B8A2}" type="presParOf" srcId="{DEE76CE8-7F87-4E0B-8255-F51245F406E9}" destId="{2D92B018-C820-4F19-B0A6-C046ABFDA915}" srcOrd="0" destOrd="0" presId="urn:microsoft.com/office/officeart/2005/8/layout/orgChart1"/>
    <dgm:cxn modelId="{B550C6B0-4147-41F3-9893-18DF94BDB33B}" type="presParOf" srcId="{DEE76CE8-7F87-4E0B-8255-F51245F406E9}" destId="{35AE34D6-5E0F-41CF-9B23-6682F7A272F0}" srcOrd="1" destOrd="0" presId="urn:microsoft.com/office/officeart/2005/8/layout/orgChart1"/>
    <dgm:cxn modelId="{F5DD88F3-7814-436B-94FB-826B4371ECDA}" type="presParOf" srcId="{884DC7BA-8CAA-4E5D-91DA-846F19F18D19}" destId="{5721FD22-8969-4704-B9AC-B4AE4D232FDF}" srcOrd="1" destOrd="0" presId="urn:microsoft.com/office/officeart/2005/8/layout/orgChart1"/>
    <dgm:cxn modelId="{5F304027-D01F-4897-88E5-2302AFFA4EB8}" type="presParOf" srcId="{884DC7BA-8CAA-4E5D-91DA-846F19F18D19}" destId="{FB186D7C-35E5-4917-A1E9-14B70061C6ED}" srcOrd="2" destOrd="0" presId="urn:microsoft.com/office/officeart/2005/8/layout/orgChart1"/>
    <dgm:cxn modelId="{C95CE2B0-2E28-431D-A09A-839034338464}" type="presParOf" srcId="{47D94840-F5A4-4613-81E6-D395679598C5}" destId="{40253DAB-B82D-43BB-9344-F1451AE4DCBD}" srcOrd="10" destOrd="0" presId="urn:microsoft.com/office/officeart/2005/8/layout/orgChart1"/>
    <dgm:cxn modelId="{66F06065-3531-43BF-995A-D77B71963C4E}" type="presParOf" srcId="{47D94840-F5A4-4613-81E6-D395679598C5}" destId="{6D5F0DF4-C9E6-4FFD-A934-B18DB7DFED03}" srcOrd="11" destOrd="0" presId="urn:microsoft.com/office/officeart/2005/8/layout/orgChart1"/>
    <dgm:cxn modelId="{4B6D9FC7-5564-49B1-8175-C49AA129B7FB}" type="presParOf" srcId="{6D5F0DF4-C9E6-4FFD-A934-B18DB7DFED03}" destId="{2EA83937-BF15-4324-B53A-F8AE38E6CC78}" srcOrd="0" destOrd="0" presId="urn:microsoft.com/office/officeart/2005/8/layout/orgChart1"/>
    <dgm:cxn modelId="{B783E51E-49D0-4B8B-A39C-78B78C6FAF29}" type="presParOf" srcId="{2EA83937-BF15-4324-B53A-F8AE38E6CC78}" destId="{D8675DE7-6331-4CF7-A0A4-0068150F0BD7}" srcOrd="0" destOrd="0" presId="urn:microsoft.com/office/officeart/2005/8/layout/orgChart1"/>
    <dgm:cxn modelId="{453ECB44-662C-4F0C-ADFA-3F631AB7EFC2}" type="presParOf" srcId="{2EA83937-BF15-4324-B53A-F8AE38E6CC78}" destId="{8B2D2E52-98B3-4572-B3CD-69DEAC507002}" srcOrd="1" destOrd="0" presId="urn:microsoft.com/office/officeart/2005/8/layout/orgChart1"/>
    <dgm:cxn modelId="{48AF76B0-05B8-4E5B-A880-1608F477E8D7}" type="presParOf" srcId="{6D5F0DF4-C9E6-4FFD-A934-B18DB7DFED03}" destId="{60AB8B32-22D4-43CC-90DC-E42D7998A975}" srcOrd="1" destOrd="0" presId="urn:microsoft.com/office/officeart/2005/8/layout/orgChart1"/>
    <dgm:cxn modelId="{BDB8E005-508F-4765-A53E-2FDC64F672BA}" type="presParOf" srcId="{6D5F0DF4-C9E6-4FFD-A934-B18DB7DFED03}" destId="{C4A8011E-A577-432D-B032-213E4D6F6BB3}" srcOrd="2" destOrd="0" presId="urn:microsoft.com/office/officeart/2005/8/layout/orgChart1"/>
    <dgm:cxn modelId="{FD82B9D4-DC71-4D8E-941C-C03A00E6CEF7}" type="presParOf" srcId="{47D94840-F5A4-4613-81E6-D395679598C5}" destId="{50CBF8EF-6B6B-44B2-A9BF-477E02B8F11B}" srcOrd="12" destOrd="0" presId="urn:microsoft.com/office/officeart/2005/8/layout/orgChart1"/>
    <dgm:cxn modelId="{2D0D7723-52DF-42A2-8767-60F937BFAC50}" type="presParOf" srcId="{47D94840-F5A4-4613-81E6-D395679598C5}" destId="{BB11467F-346A-456B-A641-F017D16CAC9D}" srcOrd="13" destOrd="0" presId="urn:microsoft.com/office/officeart/2005/8/layout/orgChart1"/>
    <dgm:cxn modelId="{393E02BE-8A71-49AC-8242-77550B5230DA}" type="presParOf" srcId="{BB11467F-346A-456B-A641-F017D16CAC9D}" destId="{FD9FD781-5CC5-4D17-AF0C-4C5872F5C8F2}" srcOrd="0" destOrd="0" presId="urn:microsoft.com/office/officeart/2005/8/layout/orgChart1"/>
    <dgm:cxn modelId="{95511C2D-65E6-4B9C-BF22-7BECC5B05814}" type="presParOf" srcId="{FD9FD781-5CC5-4D17-AF0C-4C5872F5C8F2}" destId="{B1348718-0D09-475C-8C12-13BB71072914}" srcOrd="0" destOrd="0" presId="urn:microsoft.com/office/officeart/2005/8/layout/orgChart1"/>
    <dgm:cxn modelId="{9E1ACFC5-C8F4-4D47-80A5-F15EA68BA8B1}" type="presParOf" srcId="{FD9FD781-5CC5-4D17-AF0C-4C5872F5C8F2}" destId="{201CFC27-6A81-4B8A-8501-86CA1C70AC8E}" srcOrd="1" destOrd="0" presId="urn:microsoft.com/office/officeart/2005/8/layout/orgChart1"/>
    <dgm:cxn modelId="{87E5E830-0E3D-40D7-B2EA-CB3673FC0C5E}" type="presParOf" srcId="{BB11467F-346A-456B-A641-F017D16CAC9D}" destId="{ED962A4E-673D-4318-AF17-F6E127333728}" srcOrd="1" destOrd="0" presId="urn:microsoft.com/office/officeart/2005/8/layout/orgChart1"/>
    <dgm:cxn modelId="{C545E460-C9B7-42E5-9C1D-F2DB57DA4879}" type="presParOf" srcId="{BB11467F-346A-456B-A641-F017D16CAC9D}" destId="{7DE0FDEB-3015-4741-B26E-59341313F571}" srcOrd="2" destOrd="0" presId="urn:microsoft.com/office/officeart/2005/8/layout/orgChart1"/>
    <dgm:cxn modelId="{5EF03E67-28F6-49DD-BEFC-FE96E124374B}" type="presParOf" srcId="{47D94840-F5A4-4613-81E6-D395679598C5}" destId="{3E7318B5-8BBD-464C-B5A8-CA51DFE02E42}" srcOrd="14" destOrd="0" presId="urn:microsoft.com/office/officeart/2005/8/layout/orgChart1"/>
    <dgm:cxn modelId="{59BB0EC2-9C17-435B-8BE1-2E54D72252B8}" type="presParOf" srcId="{47D94840-F5A4-4613-81E6-D395679598C5}" destId="{B1CF772D-037E-4C2A-83A7-2EF231D0AE42}" srcOrd="15" destOrd="0" presId="urn:microsoft.com/office/officeart/2005/8/layout/orgChart1"/>
    <dgm:cxn modelId="{B085F2D0-51B7-457C-94E1-859900A27CE5}" type="presParOf" srcId="{B1CF772D-037E-4C2A-83A7-2EF231D0AE42}" destId="{4572E7CC-C132-4853-B0A2-DE74AD36C05C}" srcOrd="0" destOrd="0" presId="urn:microsoft.com/office/officeart/2005/8/layout/orgChart1"/>
    <dgm:cxn modelId="{1C1C4148-20A0-4D92-A21A-77CA35C0A833}" type="presParOf" srcId="{4572E7CC-C132-4853-B0A2-DE74AD36C05C}" destId="{DA8DE3DC-BC53-447E-A944-B99AFA74E160}" srcOrd="0" destOrd="0" presId="urn:microsoft.com/office/officeart/2005/8/layout/orgChart1"/>
    <dgm:cxn modelId="{D80E1309-6A9D-44C8-86BB-452BCCF2FE61}" type="presParOf" srcId="{4572E7CC-C132-4853-B0A2-DE74AD36C05C}" destId="{B2AF684C-CBA0-4A75-A7E2-B5F25F82AF64}" srcOrd="1" destOrd="0" presId="urn:microsoft.com/office/officeart/2005/8/layout/orgChart1"/>
    <dgm:cxn modelId="{EEDC5F16-388E-4889-BA64-7550AA011B54}" type="presParOf" srcId="{B1CF772D-037E-4C2A-83A7-2EF231D0AE42}" destId="{94FD0FCD-5F26-46D6-8461-8761997C79DB}" srcOrd="1" destOrd="0" presId="urn:microsoft.com/office/officeart/2005/8/layout/orgChart1"/>
    <dgm:cxn modelId="{BDCF4612-BB28-4F34-A8E6-7C80C523E914}" type="presParOf" srcId="{B1CF772D-037E-4C2A-83A7-2EF231D0AE42}" destId="{9D3F8346-6166-4A02-8864-D9D5043E7A46}" srcOrd="2" destOrd="0" presId="urn:microsoft.com/office/officeart/2005/8/layout/orgChart1"/>
    <dgm:cxn modelId="{0D0A3B7C-71A0-4C72-A324-0592990F53FC}" type="presParOf" srcId="{1593B37E-C7EC-4C99-B419-025AA77082B4}" destId="{DD56E4C5-8610-422F-B916-E1E524CFE171}" srcOrd="2" destOrd="0" presId="urn:microsoft.com/office/officeart/2005/8/layout/orgChart1"/>
    <dgm:cxn modelId="{C99758EE-89DA-40FE-AEDD-B7F35100D950}" type="presParOf" srcId="{D22C2DC6-BC45-4FE4-86C4-E2B2AB529411}" destId="{A095553E-9E1B-4164-A147-D89CAC1A0120}" srcOrd="2" destOrd="0" presId="urn:microsoft.com/office/officeart/2005/8/layout/orgChart1"/>
    <dgm:cxn modelId="{E2DEB29E-C808-45EE-AA8B-FEAC1A98DEB9}" type="presParOf" srcId="{BE4A01C0-5813-4857-AA8F-4E26640ABD6F}" destId="{3CF35989-B5B4-46C7-9B8E-D44BFCB8D69D}" srcOrd="2" destOrd="0" presId="urn:microsoft.com/office/officeart/2005/8/layout/orgChart1"/>
    <dgm:cxn modelId="{385A72EE-E6B2-4474-9526-906BB9E92D15}" type="presParOf" srcId="{BE4A01C0-5813-4857-AA8F-4E26640ABD6F}" destId="{2DDD4CDF-348C-4A34-AA84-F74561C4CCEA}" srcOrd="3" destOrd="0" presId="urn:microsoft.com/office/officeart/2005/8/layout/orgChart1"/>
    <dgm:cxn modelId="{792D766A-9E28-4B9B-8AF6-B13CB91DDE39}" type="presParOf" srcId="{2DDD4CDF-348C-4A34-AA84-F74561C4CCEA}" destId="{62E176AF-6116-4D68-AEED-60D884343A00}" srcOrd="0" destOrd="0" presId="urn:microsoft.com/office/officeart/2005/8/layout/orgChart1"/>
    <dgm:cxn modelId="{CCD4C906-AC9A-460F-800A-72C4AA76B4F7}" type="presParOf" srcId="{62E176AF-6116-4D68-AEED-60D884343A00}" destId="{239CF275-2FB5-4985-861E-C8683A834D82}" srcOrd="0" destOrd="0" presId="urn:microsoft.com/office/officeart/2005/8/layout/orgChart1"/>
    <dgm:cxn modelId="{D977240F-5FDE-4BCD-A3CE-B9E4342FF2E7}" type="presParOf" srcId="{62E176AF-6116-4D68-AEED-60D884343A00}" destId="{3DA7AD80-C0C8-4261-A853-FCE2ECC9F246}" srcOrd="1" destOrd="0" presId="urn:microsoft.com/office/officeart/2005/8/layout/orgChart1"/>
    <dgm:cxn modelId="{4EDE6A0B-35EF-48B7-AD65-77645A9D08E7}" type="presParOf" srcId="{2DDD4CDF-348C-4A34-AA84-F74561C4CCEA}" destId="{FE0B8398-50C5-4B3B-9D4E-8E1A158EB5CD}" srcOrd="1" destOrd="0" presId="urn:microsoft.com/office/officeart/2005/8/layout/orgChart1"/>
    <dgm:cxn modelId="{691BD7B1-94A9-4DB9-B442-52CE327E7AAD}" type="presParOf" srcId="{FE0B8398-50C5-4B3B-9D4E-8E1A158EB5CD}" destId="{0EAC88F3-BB71-4866-85EC-75AD633D8D4E}" srcOrd="0" destOrd="0" presId="urn:microsoft.com/office/officeart/2005/8/layout/orgChart1"/>
    <dgm:cxn modelId="{A37EDD2E-CC71-434A-AAA7-561BA2D6934B}" type="presParOf" srcId="{FE0B8398-50C5-4B3B-9D4E-8E1A158EB5CD}" destId="{DC49A6EA-58EA-49D5-B55D-E444C3DDEC5B}" srcOrd="1" destOrd="0" presId="urn:microsoft.com/office/officeart/2005/8/layout/orgChart1"/>
    <dgm:cxn modelId="{E3687B2C-DF7A-42BA-938E-B54A543852B0}" type="presParOf" srcId="{DC49A6EA-58EA-49D5-B55D-E444C3DDEC5B}" destId="{D6831A5B-187E-4740-845F-A4AADD923D14}" srcOrd="0" destOrd="0" presId="urn:microsoft.com/office/officeart/2005/8/layout/orgChart1"/>
    <dgm:cxn modelId="{D090F290-7832-41B5-B503-D4AE6EE2ACD9}" type="presParOf" srcId="{D6831A5B-187E-4740-845F-A4AADD923D14}" destId="{292477DA-CCA4-4B6C-8175-D94709715924}" srcOrd="0" destOrd="0" presId="urn:microsoft.com/office/officeart/2005/8/layout/orgChart1"/>
    <dgm:cxn modelId="{E9B04359-5668-4999-9CE3-9FCE0AC75A2A}" type="presParOf" srcId="{D6831A5B-187E-4740-845F-A4AADD923D14}" destId="{0243835A-138B-4160-894B-CB626CB8BFAD}" srcOrd="1" destOrd="0" presId="urn:microsoft.com/office/officeart/2005/8/layout/orgChart1"/>
    <dgm:cxn modelId="{07CD9C7A-3C8E-4690-88E4-AF303E26FC65}" type="presParOf" srcId="{DC49A6EA-58EA-49D5-B55D-E444C3DDEC5B}" destId="{F3FDA66B-FC41-40A5-A7C6-2C537862607C}" srcOrd="1" destOrd="0" presId="urn:microsoft.com/office/officeart/2005/8/layout/orgChart1"/>
    <dgm:cxn modelId="{986710C8-A0B5-4F55-ACAA-7E79410D21EE}" type="presParOf" srcId="{F3FDA66B-FC41-40A5-A7C6-2C537862607C}" destId="{C1857B17-CDFD-41F9-BF8E-6AE491EE6D61}" srcOrd="0" destOrd="0" presId="urn:microsoft.com/office/officeart/2005/8/layout/orgChart1"/>
    <dgm:cxn modelId="{CAC2AF2D-FC49-4E21-A3C4-4B3AAB914F4C}" type="presParOf" srcId="{F3FDA66B-FC41-40A5-A7C6-2C537862607C}" destId="{98DA8A0E-31F4-4C94-81AD-5FDD8C282F95}" srcOrd="1" destOrd="0" presId="urn:microsoft.com/office/officeart/2005/8/layout/orgChart1"/>
    <dgm:cxn modelId="{B82251DC-90B6-4A2A-AB35-42183A3AA24F}" type="presParOf" srcId="{98DA8A0E-31F4-4C94-81AD-5FDD8C282F95}" destId="{F350B6DB-93CA-479C-8205-B179B586097A}" srcOrd="0" destOrd="0" presId="urn:microsoft.com/office/officeart/2005/8/layout/orgChart1"/>
    <dgm:cxn modelId="{44A42F63-559A-408A-94BB-11DAA045763D}" type="presParOf" srcId="{F350B6DB-93CA-479C-8205-B179B586097A}" destId="{B62265C3-5024-4DD0-9FCE-EDCCBE24F18F}" srcOrd="0" destOrd="0" presId="urn:microsoft.com/office/officeart/2005/8/layout/orgChart1"/>
    <dgm:cxn modelId="{1A5BAB7A-9EF5-4606-B790-0B4882911E4C}" type="presParOf" srcId="{F350B6DB-93CA-479C-8205-B179B586097A}" destId="{04AF6E02-D63D-43E5-B266-5436ACCD1F23}" srcOrd="1" destOrd="0" presId="urn:microsoft.com/office/officeart/2005/8/layout/orgChart1"/>
    <dgm:cxn modelId="{A4104530-92B6-4743-A34D-4B3F5DEFBA83}" type="presParOf" srcId="{98DA8A0E-31F4-4C94-81AD-5FDD8C282F95}" destId="{20AD1A67-E0B1-47D6-A906-6B129D602C06}" srcOrd="1" destOrd="0" presId="urn:microsoft.com/office/officeart/2005/8/layout/orgChart1"/>
    <dgm:cxn modelId="{EC924875-A452-4F3C-B300-795A20BF5346}" type="presParOf" srcId="{98DA8A0E-31F4-4C94-81AD-5FDD8C282F95}" destId="{2F906D34-3496-4A98-818A-3B600F5B442F}" srcOrd="2" destOrd="0" presId="urn:microsoft.com/office/officeart/2005/8/layout/orgChart1"/>
    <dgm:cxn modelId="{4350896F-9B9B-4021-B6D8-2FD4C73CB303}" type="presParOf" srcId="{F3FDA66B-FC41-40A5-A7C6-2C537862607C}" destId="{8CFE022E-6D71-4E6C-BE4E-5BBDDEB3302E}" srcOrd="2" destOrd="0" presId="urn:microsoft.com/office/officeart/2005/8/layout/orgChart1"/>
    <dgm:cxn modelId="{A5DC9C3E-6796-4665-BEBE-72D38E7716C7}" type="presParOf" srcId="{F3FDA66B-FC41-40A5-A7C6-2C537862607C}" destId="{36175C2A-218C-46A0-B874-9FDED49E46CF}" srcOrd="3" destOrd="0" presId="urn:microsoft.com/office/officeart/2005/8/layout/orgChart1"/>
    <dgm:cxn modelId="{5734C386-396A-4197-B8E1-07BB203FC26E}" type="presParOf" srcId="{36175C2A-218C-46A0-B874-9FDED49E46CF}" destId="{9E155524-97B2-4956-B553-AFE7E3AC93B2}" srcOrd="0" destOrd="0" presId="urn:microsoft.com/office/officeart/2005/8/layout/orgChart1"/>
    <dgm:cxn modelId="{5069234E-5937-4808-A3A1-017E97C858B1}" type="presParOf" srcId="{9E155524-97B2-4956-B553-AFE7E3AC93B2}" destId="{B226A9EF-DAF1-4EB3-BB25-91083842B4B9}" srcOrd="0" destOrd="0" presId="urn:microsoft.com/office/officeart/2005/8/layout/orgChart1"/>
    <dgm:cxn modelId="{B2F7A886-0B38-403A-A2C4-39C08AA1A945}" type="presParOf" srcId="{9E155524-97B2-4956-B553-AFE7E3AC93B2}" destId="{F4A2331D-3A14-4099-91C8-6955D71ACE3D}" srcOrd="1" destOrd="0" presId="urn:microsoft.com/office/officeart/2005/8/layout/orgChart1"/>
    <dgm:cxn modelId="{1BFCDAA8-F00C-4E03-987A-B923E98AE5CE}" type="presParOf" srcId="{36175C2A-218C-46A0-B874-9FDED49E46CF}" destId="{973F894D-60AE-406E-887B-7EBE630CA6AB}" srcOrd="1" destOrd="0" presId="urn:microsoft.com/office/officeart/2005/8/layout/orgChart1"/>
    <dgm:cxn modelId="{89B7AB43-E1B7-41BF-891B-7E3FD6D73A38}" type="presParOf" srcId="{36175C2A-218C-46A0-B874-9FDED49E46CF}" destId="{08984B38-6821-4DCB-8FFC-E993A2A73C36}" srcOrd="2" destOrd="0" presId="urn:microsoft.com/office/officeart/2005/8/layout/orgChart1"/>
    <dgm:cxn modelId="{49850398-310D-4BA2-B392-0176AA05B76A}" type="presParOf" srcId="{F3FDA66B-FC41-40A5-A7C6-2C537862607C}" destId="{2E77B34B-5C6A-4790-8057-C94302A72365}" srcOrd="4" destOrd="0" presId="urn:microsoft.com/office/officeart/2005/8/layout/orgChart1"/>
    <dgm:cxn modelId="{EABED634-E51A-4419-AA8A-089E2B529ED0}" type="presParOf" srcId="{F3FDA66B-FC41-40A5-A7C6-2C537862607C}" destId="{606DB4D5-07E9-48B7-A8D8-6F93231CDFA4}" srcOrd="5" destOrd="0" presId="urn:microsoft.com/office/officeart/2005/8/layout/orgChart1"/>
    <dgm:cxn modelId="{9BA6EE41-4826-451E-AE1B-EE0CDD7BFBDB}" type="presParOf" srcId="{606DB4D5-07E9-48B7-A8D8-6F93231CDFA4}" destId="{757D59A9-DDF7-453A-8702-88FB0C22706A}" srcOrd="0" destOrd="0" presId="urn:microsoft.com/office/officeart/2005/8/layout/orgChart1"/>
    <dgm:cxn modelId="{42AD00B0-D1E8-4AF0-9C61-AD38348C2994}" type="presParOf" srcId="{757D59A9-DDF7-453A-8702-88FB0C22706A}" destId="{2165CE48-B7B5-4A77-9F19-7AFFF6CA42B9}" srcOrd="0" destOrd="0" presId="urn:microsoft.com/office/officeart/2005/8/layout/orgChart1"/>
    <dgm:cxn modelId="{D81799CB-EAEC-48CB-BB05-06738AC0B6AA}" type="presParOf" srcId="{757D59A9-DDF7-453A-8702-88FB0C22706A}" destId="{128F9981-0F1E-4256-B956-234A02B79CBC}" srcOrd="1" destOrd="0" presId="urn:microsoft.com/office/officeart/2005/8/layout/orgChart1"/>
    <dgm:cxn modelId="{AC7355B6-1F06-44D3-8C52-8A14BCD3E0FE}" type="presParOf" srcId="{606DB4D5-07E9-48B7-A8D8-6F93231CDFA4}" destId="{9A85AF52-C1A6-4D2C-A8FA-8D929D77D48D}" srcOrd="1" destOrd="0" presId="urn:microsoft.com/office/officeart/2005/8/layout/orgChart1"/>
    <dgm:cxn modelId="{2BF00A99-C498-4B44-8545-9C0F649606DC}" type="presParOf" srcId="{606DB4D5-07E9-48B7-A8D8-6F93231CDFA4}" destId="{27F98EF4-BB06-4DE5-851B-8B19A07F3513}" srcOrd="2" destOrd="0" presId="urn:microsoft.com/office/officeart/2005/8/layout/orgChart1"/>
    <dgm:cxn modelId="{C8C970F9-1C7E-438A-9AEE-1865AFEF7669}" type="presParOf" srcId="{F3FDA66B-FC41-40A5-A7C6-2C537862607C}" destId="{3EDDE387-1299-4EF2-AA7E-C87DC0B73357}" srcOrd="6" destOrd="0" presId="urn:microsoft.com/office/officeart/2005/8/layout/orgChart1"/>
    <dgm:cxn modelId="{6BAAED4C-C2E0-4772-9330-8E87342ECAF5}" type="presParOf" srcId="{F3FDA66B-FC41-40A5-A7C6-2C537862607C}" destId="{A3CDDD4C-88FE-45F6-929F-97317BFC42B7}" srcOrd="7" destOrd="0" presId="urn:microsoft.com/office/officeart/2005/8/layout/orgChart1"/>
    <dgm:cxn modelId="{20332BD5-C762-4186-863F-7B62E13B2DE8}" type="presParOf" srcId="{A3CDDD4C-88FE-45F6-929F-97317BFC42B7}" destId="{6AB444AB-682D-418A-999B-C00D677E167A}" srcOrd="0" destOrd="0" presId="urn:microsoft.com/office/officeart/2005/8/layout/orgChart1"/>
    <dgm:cxn modelId="{4286688D-EA5A-4157-80AC-8FCC4EAE1291}" type="presParOf" srcId="{6AB444AB-682D-418A-999B-C00D677E167A}" destId="{8B2B3686-B885-49FE-8539-514E4BF890F9}" srcOrd="0" destOrd="0" presId="urn:microsoft.com/office/officeart/2005/8/layout/orgChart1"/>
    <dgm:cxn modelId="{08E6FBE3-701B-40DA-B05E-53D7A8C76DF3}" type="presParOf" srcId="{6AB444AB-682D-418A-999B-C00D677E167A}" destId="{652EC34E-7E08-41E4-9CDF-1BCF839E3FC5}" srcOrd="1" destOrd="0" presId="urn:microsoft.com/office/officeart/2005/8/layout/orgChart1"/>
    <dgm:cxn modelId="{8F001235-91A1-4237-958A-D435D9275C4F}" type="presParOf" srcId="{A3CDDD4C-88FE-45F6-929F-97317BFC42B7}" destId="{1E862047-F4ED-4470-BA20-8832FC139FFE}" srcOrd="1" destOrd="0" presId="urn:microsoft.com/office/officeart/2005/8/layout/orgChart1"/>
    <dgm:cxn modelId="{10C48553-17F4-446C-91D6-7127DB677A31}" type="presParOf" srcId="{A3CDDD4C-88FE-45F6-929F-97317BFC42B7}" destId="{82D840BD-D98A-44E9-B0B0-51E58D658886}" srcOrd="2" destOrd="0" presId="urn:microsoft.com/office/officeart/2005/8/layout/orgChart1"/>
    <dgm:cxn modelId="{2CFD9833-0B3B-44E5-93B1-2DBB4A749709}" type="presParOf" srcId="{F3FDA66B-FC41-40A5-A7C6-2C537862607C}" destId="{EE3101F9-C23D-4876-96E9-7980C36379A8}" srcOrd="8" destOrd="0" presId="urn:microsoft.com/office/officeart/2005/8/layout/orgChart1"/>
    <dgm:cxn modelId="{0C414C84-03B7-4ACD-AD1C-246559A4E43E}" type="presParOf" srcId="{F3FDA66B-FC41-40A5-A7C6-2C537862607C}" destId="{3B4B0294-877B-42CD-84EC-20CF32FB5FEC}" srcOrd="9" destOrd="0" presId="urn:microsoft.com/office/officeart/2005/8/layout/orgChart1"/>
    <dgm:cxn modelId="{8323C6AF-1927-4085-ADE7-170FC6AEBBCD}" type="presParOf" srcId="{3B4B0294-877B-42CD-84EC-20CF32FB5FEC}" destId="{2FD25801-CF22-4BC0-979C-F9470C6F7059}" srcOrd="0" destOrd="0" presId="urn:microsoft.com/office/officeart/2005/8/layout/orgChart1"/>
    <dgm:cxn modelId="{9EF579FE-617E-4986-B03F-B28786021D43}" type="presParOf" srcId="{2FD25801-CF22-4BC0-979C-F9470C6F7059}" destId="{099B9FBB-6A7C-4106-872E-B66187370215}" srcOrd="0" destOrd="0" presId="urn:microsoft.com/office/officeart/2005/8/layout/orgChart1"/>
    <dgm:cxn modelId="{829A0EC8-179F-4365-9A12-42959C4C21FE}" type="presParOf" srcId="{2FD25801-CF22-4BC0-979C-F9470C6F7059}" destId="{9721D323-EBE0-4C7A-9DCD-8A332F537AC3}" srcOrd="1" destOrd="0" presId="urn:microsoft.com/office/officeart/2005/8/layout/orgChart1"/>
    <dgm:cxn modelId="{6EE371C9-598A-4EB2-8DD9-3582DDD5E591}" type="presParOf" srcId="{3B4B0294-877B-42CD-84EC-20CF32FB5FEC}" destId="{90FBC334-EAB1-4310-9D09-0DBE281C265F}" srcOrd="1" destOrd="0" presId="urn:microsoft.com/office/officeart/2005/8/layout/orgChart1"/>
    <dgm:cxn modelId="{7BAEB254-A180-420E-B8D0-EBEC4D2B2E36}" type="presParOf" srcId="{3B4B0294-877B-42CD-84EC-20CF32FB5FEC}" destId="{E895A576-78AD-4ADD-B700-F9DB2090A6FC}" srcOrd="2" destOrd="0" presId="urn:microsoft.com/office/officeart/2005/8/layout/orgChart1"/>
    <dgm:cxn modelId="{5B72EDAB-E66D-4FE7-B9D8-0E671C4B156B}" type="presParOf" srcId="{DC49A6EA-58EA-49D5-B55D-E444C3DDEC5B}" destId="{54AE8D5C-E4FB-4B5F-9754-4075015ACFB0}" srcOrd="2" destOrd="0" presId="urn:microsoft.com/office/officeart/2005/8/layout/orgChart1"/>
    <dgm:cxn modelId="{6E296119-74F5-468B-A5B0-84E9905C87CA}" type="presParOf" srcId="{FE0B8398-50C5-4B3B-9D4E-8E1A158EB5CD}" destId="{7E76C18F-7072-4E1E-8523-49809B4DEFF8}" srcOrd="2" destOrd="0" presId="urn:microsoft.com/office/officeart/2005/8/layout/orgChart1"/>
    <dgm:cxn modelId="{778B0DC1-FD15-4D09-909C-8CFFE90E1816}" type="presParOf" srcId="{FE0B8398-50C5-4B3B-9D4E-8E1A158EB5CD}" destId="{157CFA66-79CE-49C2-91DC-31679C3258DF}" srcOrd="3" destOrd="0" presId="urn:microsoft.com/office/officeart/2005/8/layout/orgChart1"/>
    <dgm:cxn modelId="{07999E19-0520-4FDF-B2FA-A6959D7EC43B}" type="presParOf" srcId="{157CFA66-79CE-49C2-91DC-31679C3258DF}" destId="{E275026D-0BB9-4D31-8AA1-656735E891D7}" srcOrd="0" destOrd="0" presId="urn:microsoft.com/office/officeart/2005/8/layout/orgChart1"/>
    <dgm:cxn modelId="{566CF384-A4F4-478D-9984-05A36BD5B9A1}" type="presParOf" srcId="{E275026D-0BB9-4D31-8AA1-656735E891D7}" destId="{ABE27A08-F86F-4B35-84EB-89852B1AD93C}" srcOrd="0" destOrd="0" presId="urn:microsoft.com/office/officeart/2005/8/layout/orgChart1"/>
    <dgm:cxn modelId="{7D3F2E05-9130-41B6-96B0-EB7445542BBE}" type="presParOf" srcId="{E275026D-0BB9-4D31-8AA1-656735E891D7}" destId="{5DFBE74E-C545-4107-8E0D-116926D2E711}" srcOrd="1" destOrd="0" presId="urn:microsoft.com/office/officeart/2005/8/layout/orgChart1"/>
    <dgm:cxn modelId="{FE33ECA6-6069-48D3-9389-8F852191F005}" type="presParOf" srcId="{157CFA66-79CE-49C2-91DC-31679C3258DF}" destId="{8D37D63A-E7FE-4E37-A266-4CD422C9573E}" srcOrd="1" destOrd="0" presId="urn:microsoft.com/office/officeart/2005/8/layout/orgChart1"/>
    <dgm:cxn modelId="{D89AEF2F-91F6-415C-B483-A84626333AEF}" type="presParOf" srcId="{8D37D63A-E7FE-4E37-A266-4CD422C9573E}" destId="{B632800C-5C1C-4353-A9AD-F0AEE7B3516C}" srcOrd="0" destOrd="0" presId="urn:microsoft.com/office/officeart/2005/8/layout/orgChart1"/>
    <dgm:cxn modelId="{6E3C0E4A-0421-40E9-8ED8-828E72830F7B}" type="presParOf" srcId="{8D37D63A-E7FE-4E37-A266-4CD422C9573E}" destId="{9C74E3D7-AC83-443E-BE99-707673A8B7CC}" srcOrd="1" destOrd="0" presId="urn:microsoft.com/office/officeart/2005/8/layout/orgChart1"/>
    <dgm:cxn modelId="{F567CCA7-1EAD-4A96-9D73-D97CB39F1AB9}" type="presParOf" srcId="{9C74E3D7-AC83-443E-BE99-707673A8B7CC}" destId="{5CD326D7-CD2F-47A5-8E8D-78E2EBB2C879}" srcOrd="0" destOrd="0" presId="urn:microsoft.com/office/officeart/2005/8/layout/orgChart1"/>
    <dgm:cxn modelId="{F17D0D16-C96C-463B-9C40-06D2DE5884B7}" type="presParOf" srcId="{5CD326D7-CD2F-47A5-8E8D-78E2EBB2C879}" destId="{6044BA6F-91C1-4AB5-965F-F3C26AC623E7}" srcOrd="0" destOrd="0" presId="urn:microsoft.com/office/officeart/2005/8/layout/orgChart1"/>
    <dgm:cxn modelId="{A0A88BE9-4558-463B-BCFC-055B31796DA8}" type="presParOf" srcId="{5CD326D7-CD2F-47A5-8E8D-78E2EBB2C879}" destId="{111F139E-BEAF-417D-9A63-9A3F9BFCCF42}" srcOrd="1" destOrd="0" presId="urn:microsoft.com/office/officeart/2005/8/layout/orgChart1"/>
    <dgm:cxn modelId="{9590CDB7-E461-4619-880D-B83374BDD2DA}" type="presParOf" srcId="{9C74E3D7-AC83-443E-BE99-707673A8B7CC}" destId="{B86EE283-1859-4FD1-9ADF-08D99010E0CC}" srcOrd="1" destOrd="0" presId="urn:microsoft.com/office/officeart/2005/8/layout/orgChart1"/>
    <dgm:cxn modelId="{651D085D-441A-4038-A849-94006F8D9166}" type="presParOf" srcId="{9C74E3D7-AC83-443E-BE99-707673A8B7CC}" destId="{75E3DA6F-7118-440F-BE90-129F998E4496}" srcOrd="2" destOrd="0" presId="urn:microsoft.com/office/officeart/2005/8/layout/orgChart1"/>
    <dgm:cxn modelId="{5BD40E9C-34C0-4D8E-BC6A-C8DF08ACA3A4}" type="presParOf" srcId="{8D37D63A-E7FE-4E37-A266-4CD422C9573E}" destId="{1726DF87-F6BA-4F78-8780-0CE89AC53192}" srcOrd="2" destOrd="0" presId="urn:microsoft.com/office/officeart/2005/8/layout/orgChart1"/>
    <dgm:cxn modelId="{82CEE4BE-26CE-49A4-9638-9387C5EAD858}" type="presParOf" srcId="{8D37D63A-E7FE-4E37-A266-4CD422C9573E}" destId="{0F08F20F-7C45-48A9-9E6D-E6A571611811}" srcOrd="3" destOrd="0" presId="urn:microsoft.com/office/officeart/2005/8/layout/orgChart1"/>
    <dgm:cxn modelId="{A56ABB52-4A05-495D-BED0-135574A28857}" type="presParOf" srcId="{0F08F20F-7C45-48A9-9E6D-E6A571611811}" destId="{42EB42E3-98EC-4374-BC8E-250244A51C60}" srcOrd="0" destOrd="0" presId="urn:microsoft.com/office/officeart/2005/8/layout/orgChart1"/>
    <dgm:cxn modelId="{9A4BAC2E-8307-4CDA-886C-0FC9E185F076}" type="presParOf" srcId="{42EB42E3-98EC-4374-BC8E-250244A51C60}" destId="{0FB05D83-540C-4C4C-88BE-AC9D496F89FE}" srcOrd="0" destOrd="0" presId="urn:microsoft.com/office/officeart/2005/8/layout/orgChart1"/>
    <dgm:cxn modelId="{15252A37-A95D-41C9-B816-6B6CE5FB4B75}" type="presParOf" srcId="{42EB42E3-98EC-4374-BC8E-250244A51C60}" destId="{2DDB31CB-7530-4253-84D2-520735121203}" srcOrd="1" destOrd="0" presId="urn:microsoft.com/office/officeart/2005/8/layout/orgChart1"/>
    <dgm:cxn modelId="{DCA28736-A86F-470C-83A2-475BD7A99433}" type="presParOf" srcId="{0F08F20F-7C45-48A9-9E6D-E6A571611811}" destId="{1141E692-1949-46D8-992D-8EFFDC65D429}" srcOrd="1" destOrd="0" presId="urn:microsoft.com/office/officeart/2005/8/layout/orgChart1"/>
    <dgm:cxn modelId="{5B94ABAA-2BBD-4B5C-8BFB-60604C76A2E1}" type="presParOf" srcId="{0F08F20F-7C45-48A9-9E6D-E6A571611811}" destId="{9475E1DD-9FBC-4433-B80D-0684CC984366}" srcOrd="2" destOrd="0" presId="urn:microsoft.com/office/officeart/2005/8/layout/orgChart1"/>
    <dgm:cxn modelId="{5E2B8AC5-4915-4B8F-B7CE-0343692FAE06}" type="presParOf" srcId="{8D37D63A-E7FE-4E37-A266-4CD422C9573E}" destId="{6150C6F1-BF88-4DAC-8D08-96C2F6315D38}" srcOrd="4" destOrd="0" presId="urn:microsoft.com/office/officeart/2005/8/layout/orgChart1"/>
    <dgm:cxn modelId="{418CE810-501B-47C3-8A60-A1FDC84DC7E2}" type="presParOf" srcId="{8D37D63A-E7FE-4E37-A266-4CD422C9573E}" destId="{A18334E9-AF6A-4702-A2DE-5280A181BD18}" srcOrd="5" destOrd="0" presId="urn:microsoft.com/office/officeart/2005/8/layout/orgChart1"/>
    <dgm:cxn modelId="{0545BD11-4C6F-4867-8BFD-EAC5FEBCA735}" type="presParOf" srcId="{A18334E9-AF6A-4702-A2DE-5280A181BD18}" destId="{91232FA3-9E0F-43EE-9340-3F1F39E50F64}" srcOrd="0" destOrd="0" presId="urn:microsoft.com/office/officeart/2005/8/layout/orgChart1"/>
    <dgm:cxn modelId="{5A2375BF-0D05-4927-BEC5-BACB6DD665CF}" type="presParOf" srcId="{91232FA3-9E0F-43EE-9340-3F1F39E50F64}" destId="{AFAFC85B-BDC5-492F-9072-4D948A449B73}" srcOrd="0" destOrd="0" presId="urn:microsoft.com/office/officeart/2005/8/layout/orgChart1"/>
    <dgm:cxn modelId="{0029C6A2-3104-4EA4-A20F-DCCB96FEBD2D}" type="presParOf" srcId="{91232FA3-9E0F-43EE-9340-3F1F39E50F64}" destId="{B63A80D4-0444-4339-B88B-C4C3B66E77E6}" srcOrd="1" destOrd="0" presId="urn:microsoft.com/office/officeart/2005/8/layout/orgChart1"/>
    <dgm:cxn modelId="{14CF1305-E5F7-4E05-AA94-C8053255D40F}" type="presParOf" srcId="{A18334E9-AF6A-4702-A2DE-5280A181BD18}" destId="{1A32611B-4EA1-48DF-BAF0-88B18FE89AA5}" srcOrd="1" destOrd="0" presId="urn:microsoft.com/office/officeart/2005/8/layout/orgChart1"/>
    <dgm:cxn modelId="{A9F1BC02-8DA6-44AD-8EC9-9E3A69E38CE4}" type="presParOf" srcId="{A18334E9-AF6A-4702-A2DE-5280A181BD18}" destId="{5E1DDB46-BF5A-4632-A836-BA1BBCE6ECB1}" srcOrd="2" destOrd="0" presId="urn:microsoft.com/office/officeart/2005/8/layout/orgChart1"/>
    <dgm:cxn modelId="{5BA210F8-1CDD-412F-B972-851D098D4C8C}" type="presParOf" srcId="{8D37D63A-E7FE-4E37-A266-4CD422C9573E}" destId="{0F7F7C04-F76A-4D92-AB41-A7D907647967}" srcOrd="6" destOrd="0" presId="urn:microsoft.com/office/officeart/2005/8/layout/orgChart1"/>
    <dgm:cxn modelId="{B2ACD16A-4BD9-456E-ACF1-D2BAD5F089CA}" type="presParOf" srcId="{8D37D63A-E7FE-4E37-A266-4CD422C9573E}" destId="{86A65CC7-9EF2-4849-8343-4688DE47ED16}" srcOrd="7" destOrd="0" presId="urn:microsoft.com/office/officeart/2005/8/layout/orgChart1"/>
    <dgm:cxn modelId="{C156F290-97A4-4F77-B181-B68CB51D25C3}" type="presParOf" srcId="{86A65CC7-9EF2-4849-8343-4688DE47ED16}" destId="{14350A51-0D95-49FC-B5E6-BB3B93C084BF}" srcOrd="0" destOrd="0" presId="urn:microsoft.com/office/officeart/2005/8/layout/orgChart1"/>
    <dgm:cxn modelId="{F8C0B8D3-6820-4F3B-AEDB-E1D1F410B5F8}" type="presParOf" srcId="{14350A51-0D95-49FC-B5E6-BB3B93C084BF}" destId="{008F17D4-EA0E-4EC6-9572-F2060D45BB61}" srcOrd="0" destOrd="0" presId="urn:microsoft.com/office/officeart/2005/8/layout/orgChart1"/>
    <dgm:cxn modelId="{40F5658D-8637-4959-A38B-07D68233CE09}" type="presParOf" srcId="{14350A51-0D95-49FC-B5E6-BB3B93C084BF}" destId="{B8E02F5F-0E45-49A5-892A-AF25D2719C39}" srcOrd="1" destOrd="0" presId="urn:microsoft.com/office/officeart/2005/8/layout/orgChart1"/>
    <dgm:cxn modelId="{8E6FD098-1463-4754-923E-8E906091AA49}" type="presParOf" srcId="{86A65CC7-9EF2-4849-8343-4688DE47ED16}" destId="{B7E6AB99-815A-44B2-B98F-18642130E971}" srcOrd="1" destOrd="0" presId="urn:microsoft.com/office/officeart/2005/8/layout/orgChart1"/>
    <dgm:cxn modelId="{F4E5B6D6-B298-4D2C-8575-532A9254917B}" type="presParOf" srcId="{86A65CC7-9EF2-4849-8343-4688DE47ED16}" destId="{43B07056-23D9-4B4B-93EE-742D74643491}" srcOrd="2" destOrd="0" presId="urn:microsoft.com/office/officeart/2005/8/layout/orgChart1"/>
    <dgm:cxn modelId="{A2C57FD2-D216-4CCE-AD10-65D506C8C3AF}" type="presParOf" srcId="{157CFA66-79CE-49C2-91DC-31679C3258DF}" destId="{C78B3221-4E67-436B-83E6-35F453BAEF33}" srcOrd="2" destOrd="0" presId="urn:microsoft.com/office/officeart/2005/8/layout/orgChart1"/>
    <dgm:cxn modelId="{85202035-F918-49E3-84B3-F01B491F46EB}" type="presParOf" srcId="{FE0B8398-50C5-4B3B-9D4E-8E1A158EB5CD}" destId="{1DC5210B-7739-4C14-887A-6C062BC163F4}" srcOrd="4" destOrd="0" presId="urn:microsoft.com/office/officeart/2005/8/layout/orgChart1"/>
    <dgm:cxn modelId="{9DC217D1-5110-4AAD-B76E-BAE93F819AB0}" type="presParOf" srcId="{FE0B8398-50C5-4B3B-9D4E-8E1A158EB5CD}" destId="{D78D1326-78F3-4903-87C2-968712A27087}" srcOrd="5" destOrd="0" presId="urn:microsoft.com/office/officeart/2005/8/layout/orgChart1"/>
    <dgm:cxn modelId="{27F4ABFA-0E97-49E0-97E9-8FEED4F7E28D}" type="presParOf" srcId="{D78D1326-78F3-4903-87C2-968712A27087}" destId="{A1CDCF4D-9818-4E1C-891C-F7D185609CF8}" srcOrd="0" destOrd="0" presId="urn:microsoft.com/office/officeart/2005/8/layout/orgChart1"/>
    <dgm:cxn modelId="{158533B7-135F-465A-8C79-164435BE948B}" type="presParOf" srcId="{A1CDCF4D-9818-4E1C-891C-F7D185609CF8}" destId="{324D4F47-5426-4CA0-95B5-4DFBDDCE62DF}" srcOrd="0" destOrd="0" presId="urn:microsoft.com/office/officeart/2005/8/layout/orgChart1"/>
    <dgm:cxn modelId="{79BE9A62-FE04-4ADA-806E-89419C98E15B}" type="presParOf" srcId="{A1CDCF4D-9818-4E1C-891C-F7D185609CF8}" destId="{B676192A-8459-48E0-8D2E-C4C46451564F}" srcOrd="1" destOrd="0" presId="urn:microsoft.com/office/officeart/2005/8/layout/orgChart1"/>
    <dgm:cxn modelId="{BE04164D-6927-4134-985E-B0111C1FCB64}" type="presParOf" srcId="{D78D1326-78F3-4903-87C2-968712A27087}" destId="{24A3FDFC-8C29-4795-B9B8-4A867E62843E}" srcOrd="1" destOrd="0" presId="urn:microsoft.com/office/officeart/2005/8/layout/orgChart1"/>
    <dgm:cxn modelId="{1AD356D1-DAB0-482E-903B-8DFA8ADEC031}" type="presParOf" srcId="{24A3FDFC-8C29-4795-B9B8-4A867E62843E}" destId="{1FBA4AC0-C490-45B8-847E-1C1801519230}" srcOrd="0" destOrd="0" presId="urn:microsoft.com/office/officeart/2005/8/layout/orgChart1"/>
    <dgm:cxn modelId="{348BC411-FC02-4458-9D6B-F84920D13B37}" type="presParOf" srcId="{24A3FDFC-8C29-4795-B9B8-4A867E62843E}" destId="{F5C5DF40-8369-485F-AF77-099A0A6E97C6}" srcOrd="1" destOrd="0" presId="urn:microsoft.com/office/officeart/2005/8/layout/orgChart1"/>
    <dgm:cxn modelId="{561AC41A-2B50-4FE0-BED7-CA095C5B1556}" type="presParOf" srcId="{F5C5DF40-8369-485F-AF77-099A0A6E97C6}" destId="{2537BC1D-9FF4-4DC9-B105-BE1DE66060DA}" srcOrd="0" destOrd="0" presId="urn:microsoft.com/office/officeart/2005/8/layout/orgChart1"/>
    <dgm:cxn modelId="{AE752F3B-8827-4C12-BDA3-E91133FABB96}" type="presParOf" srcId="{2537BC1D-9FF4-4DC9-B105-BE1DE66060DA}" destId="{5894794E-4AB0-4FDE-93FD-C6DCE9587CBF}" srcOrd="0" destOrd="0" presId="urn:microsoft.com/office/officeart/2005/8/layout/orgChart1"/>
    <dgm:cxn modelId="{AC35F022-C798-490D-ADC1-9B9D1651E239}" type="presParOf" srcId="{2537BC1D-9FF4-4DC9-B105-BE1DE66060DA}" destId="{B33A0610-B7DA-46F0-ABCF-B32017F39E70}" srcOrd="1" destOrd="0" presId="urn:microsoft.com/office/officeart/2005/8/layout/orgChart1"/>
    <dgm:cxn modelId="{DE76B118-BF27-4C3B-9FEB-4D9BE0B28988}" type="presParOf" srcId="{F5C5DF40-8369-485F-AF77-099A0A6E97C6}" destId="{1490FFFB-EC6C-4B43-94E9-E44BC06B7F70}" srcOrd="1" destOrd="0" presId="urn:microsoft.com/office/officeart/2005/8/layout/orgChart1"/>
    <dgm:cxn modelId="{95288CE7-C683-4301-A133-867EB00CF5F4}" type="presParOf" srcId="{F5C5DF40-8369-485F-AF77-099A0A6E97C6}" destId="{52CD42CC-2E21-46D2-A037-A2792D08D065}" srcOrd="2" destOrd="0" presId="urn:microsoft.com/office/officeart/2005/8/layout/orgChart1"/>
    <dgm:cxn modelId="{0022A61F-A552-4EF3-A75F-D5C9F27FADEC}" type="presParOf" srcId="{24A3FDFC-8C29-4795-B9B8-4A867E62843E}" destId="{94516875-431E-4ED8-8DE6-CE3D904B05DA}" srcOrd="2" destOrd="0" presId="urn:microsoft.com/office/officeart/2005/8/layout/orgChart1"/>
    <dgm:cxn modelId="{A62C5075-2477-463B-A77B-18D7DF22E1F7}" type="presParOf" srcId="{24A3FDFC-8C29-4795-B9B8-4A867E62843E}" destId="{072A7786-55A2-436D-9BBF-2C21FDE63B47}" srcOrd="3" destOrd="0" presId="urn:microsoft.com/office/officeart/2005/8/layout/orgChart1"/>
    <dgm:cxn modelId="{549BCC88-EAD3-4FC3-BD69-AF14933188CF}" type="presParOf" srcId="{072A7786-55A2-436D-9BBF-2C21FDE63B47}" destId="{1C441DEA-6A88-4A4A-915F-CD06E71124CB}" srcOrd="0" destOrd="0" presId="urn:microsoft.com/office/officeart/2005/8/layout/orgChart1"/>
    <dgm:cxn modelId="{94B3383E-60C2-4D7B-B792-1815032AEBFA}" type="presParOf" srcId="{1C441DEA-6A88-4A4A-915F-CD06E71124CB}" destId="{F56FEAC4-8046-41D1-97B6-694ABA121D08}" srcOrd="0" destOrd="0" presId="urn:microsoft.com/office/officeart/2005/8/layout/orgChart1"/>
    <dgm:cxn modelId="{450E421F-0661-4F4B-930F-164CBF067DFA}" type="presParOf" srcId="{1C441DEA-6A88-4A4A-915F-CD06E71124CB}" destId="{15026780-4D39-4358-B37B-A38AA4C4D108}" srcOrd="1" destOrd="0" presId="urn:microsoft.com/office/officeart/2005/8/layout/orgChart1"/>
    <dgm:cxn modelId="{78ACE42E-7644-4ACC-B943-F8F66C49609D}" type="presParOf" srcId="{072A7786-55A2-436D-9BBF-2C21FDE63B47}" destId="{404C187F-BE62-4A72-937A-DE7AB35D4BC2}" srcOrd="1" destOrd="0" presId="urn:microsoft.com/office/officeart/2005/8/layout/orgChart1"/>
    <dgm:cxn modelId="{E7B4E6F5-AC72-415B-A189-231842BAB2E8}" type="presParOf" srcId="{072A7786-55A2-436D-9BBF-2C21FDE63B47}" destId="{C878F298-8282-42DC-8470-82712DC2E9C3}" srcOrd="2" destOrd="0" presId="urn:microsoft.com/office/officeart/2005/8/layout/orgChart1"/>
    <dgm:cxn modelId="{891F735B-620C-4B72-ABD0-64F2BB643ECE}" type="presParOf" srcId="{24A3FDFC-8C29-4795-B9B8-4A867E62843E}" destId="{4820B8C3-7D09-47D4-AF2E-2649E12E4416}" srcOrd="4" destOrd="0" presId="urn:microsoft.com/office/officeart/2005/8/layout/orgChart1"/>
    <dgm:cxn modelId="{FE592F7B-6CD6-413D-82F7-2390AEA4B556}" type="presParOf" srcId="{24A3FDFC-8C29-4795-B9B8-4A867E62843E}" destId="{B0D884CA-88B2-4EC6-8D04-3BEC9196D3C3}" srcOrd="5" destOrd="0" presId="urn:microsoft.com/office/officeart/2005/8/layout/orgChart1"/>
    <dgm:cxn modelId="{90C56CC9-4CAA-4412-B28E-1740A9E566C6}" type="presParOf" srcId="{B0D884CA-88B2-4EC6-8D04-3BEC9196D3C3}" destId="{D6ABB681-E7C7-414E-80C4-6EA2181CE033}" srcOrd="0" destOrd="0" presId="urn:microsoft.com/office/officeart/2005/8/layout/orgChart1"/>
    <dgm:cxn modelId="{130E64F0-E362-409B-AAFC-9576D15D9501}" type="presParOf" srcId="{D6ABB681-E7C7-414E-80C4-6EA2181CE033}" destId="{BDA23108-4B0C-4CEE-B5EF-8B1D84DE041A}" srcOrd="0" destOrd="0" presId="urn:microsoft.com/office/officeart/2005/8/layout/orgChart1"/>
    <dgm:cxn modelId="{E15FFD57-B4DA-4491-99AB-A53B62EEEDC5}" type="presParOf" srcId="{D6ABB681-E7C7-414E-80C4-6EA2181CE033}" destId="{8B0DC40C-31B9-40F6-B9F9-6A83BEF983A3}" srcOrd="1" destOrd="0" presId="urn:microsoft.com/office/officeart/2005/8/layout/orgChart1"/>
    <dgm:cxn modelId="{7C8137A2-B4B8-4C7F-A573-6BDE193280C9}" type="presParOf" srcId="{B0D884CA-88B2-4EC6-8D04-3BEC9196D3C3}" destId="{6B2728F9-6D70-4954-94B9-D6429514E88D}" srcOrd="1" destOrd="0" presId="urn:microsoft.com/office/officeart/2005/8/layout/orgChart1"/>
    <dgm:cxn modelId="{CAECD4E3-DF54-43FC-8DC0-87F07FD73CDB}" type="presParOf" srcId="{B0D884CA-88B2-4EC6-8D04-3BEC9196D3C3}" destId="{4EEE0F0D-B2CC-4518-9F7F-7609D0F5763C}" srcOrd="2" destOrd="0" presId="urn:microsoft.com/office/officeart/2005/8/layout/orgChart1"/>
    <dgm:cxn modelId="{5477FE2A-D4AF-4C24-86C5-998C59BA0D8F}" type="presParOf" srcId="{D78D1326-78F3-4903-87C2-968712A27087}" destId="{B022C0BE-8208-4386-AD71-4E720DE26CA1}" srcOrd="2" destOrd="0" presId="urn:microsoft.com/office/officeart/2005/8/layout/orgChart1"/>
    <dgm:cxn modelId="{84248DE7-968E-4E25-963C-A732017CBEB3}" type="presParOf" srcId="{FE0B8398-50C5-4B3B-9D4E-8E1A158EB5CD}" destId="{1B17A2F7-127A-4278-8E7A-B4516F26D966}" srcOrd="6" destOrd="0" presId="urn:microsoft.com/office/officeart/2005/8/layout/orgChart1"/>
    <dgm:cxn modelId="{BB781DD4-8BF9-4951-BA01-F2DA29405B82}" type="presParOf" srcId="{FE0B8398-50C5-4B3B-9D4E-8E1A158EB5CD}" destId="{3F31FD7D-84A6-4F99-861F-723BE31C8C63}" srcOrd="7" destOrd="0" presId="urn:microsoft.com/office/officeart/2005/8/layout/orgChart1"/>
    <dgm:cxn modelId="{20E7EC90-514D-4958-A4A9-0E2F9345BC06}" type="presParOf" srcId="{3F31FD7D-84A6-4F99-861F-723BE31C8C63}" destId="{61DC4604-162E-4F81-B323-25A5824008B9}" srcOrd="0" destOrd="0" presId="urn:microsoft.com/office/officeart/2005/8/layout/orgChart1"/>
    <dgm:cxn modelId="{689040D8-163B-437E-9653-E16EF20756AA}" type="presParOf" srcId="{61DC4604-162E-4F81-B323-25A5824008B9}" destId="{1C2A4E46-F6B6-4E4A-8AED-8BD2CFE0BEA4}" srcOrd="0" destOrd="0" presId="urn:microsoft.com/office/officeart/2005/8/layout/orgChart1"/>
    <dgm:cxn modelId="{0C70881D-80D3-48FA-8A3D-43D0C8E83976}" type="presParOf" srcId="{61DC4604-162E-4F81-B323-25A5824008B9}" destId="{E2202B30-78EE-494A-BEA9-2DA22CD0FB4F}" srcOrd="1" destOrd="0" presId="urn:microsoft.com/office/officeart/2005/8/layout/orgChart1"/>
    <dgm:cxn modelId="{F4E53EA2-6DB2-41E0-8514-1CB934551040}" type="presParOf" srcId="{3F31FD7D-84A6-4F99-861F-723BE31C8C63}" destId="{773F3EF8-703B-496B-A0EC-57298B9038ED}" srcOrd="1" destOrd="0" presId="urn:microsoft.com/office/officeart/2005/8/layout/orgChart1"/>
    <dgm:cxn modelId="{3BBA30A6-A319-41A7-8905-4599DF1397A5}" type="presParOf" srcId="{3F31FD7D-84A6-4F99-861F-723BE31C8C63}" destId="{AB98FD9B-BEB2-4BEA-B0F6-DEA7FB88E457}" srcOrd="2" destOrd="0" presId="urn:microsoft.com/office/officeart/2005/8/layout/orgChart1"/>
    <dgm:cxn modelId="{05998D87-2EF1-4AA2-9160-3A276D8DC94C}" type="presParOf" srcId="{2DDD4CDF-348C-4A34-AA84-F74561C4CCEA}" destId="{8CB64662-E287-47B9-B80A-0A1883CC321A}" srcOrd="2" destOrd="0" presId="urn:microsoft.com/office/officeart/2005/8/layout/orgChart1"/>
    <dgm:cxn modelId="{743D9459-AD6E-4C8C-ACB5-19ED667F1AF9}" type="presParOf" srcId="{FAE35444-EE6F-4BF5-8E42-AA61A8783724}" destId="{B4A1B344-5F66-4246-9ADA-2323810C1A6A}" srcOrd="2" destOrd="0" presId="urn:microsoft.com/office/officeart/2005/8/layout/orgChart1"/>
    <dgm:cxn modelId="{C489ADEE-0F75-4C15-A356-D8AD2310CBC7}" type="presParOf" srcId="{99F53BDD-8B8B-4739-B78F-7A95739DCC3E}" destId="{E0DB6AA2-7B31-4CDE-8517-4E3815232D82}" srcOrd="8" destOrd="0" presId="urn:microsoft.com/office/officeart/2005/8/layout/orgChart1"/>
    <dgm:cxn modelId="{97EFF688-6EF2-44B0-87B8-9F449A7AB4AF}" type="presParOf" srcId="{99F53BDD-8B8B-4739-B78F-7A95739DCC3E}" destId="{5ACF0373-ED4E-4B5B-B785-2E110A992BDB}" srcOrd="9" destOrd="0" presId="urn:microsoft.com/office/officeart/2005/8/layout/orgChart1"/>
    <dgm:cxn modelId="{891ED6D7-7445-410F-8B0E-3154D047E6AB}" type="presParOf" srcId="{5ACF0373-ED4E-4B5B-B785-2E110A992BDB}" destId="{6FECEF8E-DB0B-4A24-A140-445C89EBDA17}" srcOrd="0" destOrd="0" presId="urn:microsoft.com/office/officeart/2005/8/layout/orgChart1"/>
    <dgm:cxn modelId="{6E206C8B-3876-4945-91BD-AD136ACC01F5}" type="presParOf" srcId="{6FECEF8E-DB0B-4A24-A140-445C89EBDA17}" destId="{A4294F96-B7E0-4F0F-881A-7A0A677A68AB}" srcOrd="0" destOrd="0" presId="urn:microsoft.com/office/officeart/2005/8/layout/orgChart1"/>
    <dgm:cxn modelId="{F851CBE3-FC05-43C0-8E93-0CC2763A724B}" type="presParOf" srcId="{6FECEF8E-DB0B-4A24-A140-445C89EBDA17}" destId="{3EB4CAA8-F985-48EE-8335-06428C5AD087}" srcOrd="1" destOrd="0" presId="urn:microsoft.com/office/officeart/2005/8/layout/orgChart1"/>
    <dgm:cxn modelId="{24372839-05D8-4CDB-B498-AFA472532D58}" type="presParOf" srcId="{5ACF0373-ED4E-4B5B-B785-2E110A992BDB}" destId="{7C583E2B-F5C4-4099-AFE1-C52EC9096980}" srcOrd="1" destOrd="0" presId="urn:microsoft.com/office/officeart/2005/8/layout/orgChart1"/>
    <dgm:cxn modelId="{9979543C-E173-4D15-AFD5-B99FBA24B27B}" type="presParOf" srcId="{7C583E2B-F5C4-4099-AFE1-C52EC9096980}" destId="{2123FB7D-9B6E-4A25-8411-46EA7F257657}" srcOrd="0" destOrd="0" presId="urn:microsoft.com/office/officeart/2005/8/layout/orgChart1"/>
    <dgm:cxn modelId="{0F472C9A-DE63-434B-843D-D53CBA62EBF7}" type="presParOf" srcId="{7C583E2B-F5C4-4099-AFE1-C52EC9096980}" destId="{E36D8D29-7CCE-438A-A207-094023293784}" srcOrd="1" destOrd="0" presId="urn:microsoft.com/office/officeart/2005/8/layout/orgChart1"/>
    <dgm:cxn modelId="{D82B83ED-0E32-429C-B084-AB217F1CE0AB}" type="presParOf" srcId="{E36D8D29-7CCE-438A-A207-094023293784}" destId="{3F8C6497-2296-4F53-A511-A14E329D8B18}" srcOrd="0" destOrd="0" presId="urn:microsoft.com/office/officeart/2005/8/layout/orgChart1"/>
    <dgm:cxn modelId="{BA3B3AE1-8519-4EF6-98C7-AA5C5283FD16}" type="presParOf" srcId="{3F8C6497-2296-4F53-A511-A14E329D8B18}" destId="{AFF7F8E8-F9C7-44FD-B160-6B0BC3D2E458}" srcOrd="0" destOrd="0" presId="urn:microsoft.com/office/officeart/2005/8/layout/orgChart1"/>
    <dgm:cxn modelId="{264B2522-6D94-4799-A296-7A27B99E5AB2}" type="presParOf" srcId="{3F8C6497-2296-4F53-A511-A14E329D8B18}" destId="{F6E73B98-261C-48B9-8085-F3BC002A447D}" srcOrd="1" destOrd="0" presId="urn:microsoft.com/office/officeart/2005/8/layout/orgChart1"/>
    <dgm:cxn modelId="{988EF34E-C331-4280-A244-48F550C7CDF8}" type="presParOf" srcId="{E36D8D29-7CCE-438A-A207-094023293784}" destId="{F1DEE285-CF44-4FD7-8FCF-8A27D2F301A4}" srcOrd="1" destOrd="0" presId="urn:microsoft.com/office/officeart/2005/8/layout/orgChart1"/>
    <dgm:cxn modelId="{37B951D8-F2B6-4A70-9FA9-9110E7428698}" type="presParOf" srcId="{E36D8D29-7CCE-438A-A207-094023293784}" destId="{5700F3D9-4965-4E49-808A-D55EC6EC1782}" srcOrd="2" destOrd="0" presId="urn:microsoft.com/office/officeart/2005/8/layout/orgChart1"/>
    <dgm:cxn modelId="{380A33AA-6AD4-4852-8E98-F2F78B3C1CC1}" type="presParOf" srcId="{7C583E2B-F5C4-4099-AFE1-C52EC9096980}" destId="{B9380F44-3446-438E-9891-C959D60CEC49}" srcOrd="2" destOrd="0" presId="urn:microsoft.com/office/officeart/2005/8/layout/orgChart1"/>
    <dgm:cxn modelId="{12725E8F-EEF9-4B64-A3F5-D510458E7AE1}" type="presParOf" srcId="{7C583E2B-F5C4-4099-AFE1-C52EC9096980}" destId="{E53798C9-0EEF-47B7-8C9F-E569AC979D4D}" srcOrd="3" destOrd="0" presId="urn:microsoft.com/office/officeart/2005/8/layout/orgChart1"/>
    <dgm:cxn modelId="{237B16A7-8CF7-4CD1-B799-744915BFE7B7}" type="presParOf" srcId="{E53798C9-0EEF-47B7-8C9F-E569AC979D4D}" destId="{CFC93494-45EC-430A-B214-810583906870}" srcOrd="0" destOrd="0" presId="urn:microsoft.com/office/officeart/2005/8/layout/orgChart1"/>
    <dgm:cxn modelId="{4590A9C6-95C5-4300-AD1F-7EEB3C70A920}" type="presParOf" srcId="{CFC93494-45EC-430A-B214-810583906870}" destId="{8155F833-BAEA-4CB2-B50B-985232B8519A}" srcOrd="0" destOrd="0" presId="urn:microsoft.com/office/officeart/2005/8/layout/orgChart1"/>
    <dgm:cxn modelId="{46319261-9D01-4069-865F-925928B729F9}" type="presParOf" srcId="{CFC93494-45EC-430A-B214-810583906870}" destId="{E8BEDF73-D90B-4B0A-AAF2-24BBD0C7C796}" srcOrd="1" destOrd="0" presId="urn:microsoft.com/office/officeart/2005/8/layout/orgChart1"/>
    <dgm:cxn modelId="{1B9113A1-3C11-49D6-9987-2AE7FC2AF7B9}" type="presParOf" srcId="{E53798C9-0EEF-47B7-8C9F-E569AC979D4D}" destId="{0B1D0327-3D8E-4910-B903-A5714D827B25}" srcOrd="1" destOrd="0" presId="urn:microsoft.com/office/officeart/2005/8/layout/orgChart1"/>
    <dgm:cxn modelId="{A8C03D58-A6EE-46E9-8C75-0923838A4556}" type="presParOf" srcId="{E53798C9-0EEF-47B7-8C9F-E569AC979D4D}" destId="{A9682F4E-14D1-4F7F-8D4E-10339DF200FA}" srcOrd="2" destOrd="0" presId="urn:microsoft.com/office/officeart/2005/8/layout/orgChart1"/>
    <dgm:cxn modelId="{5A6BC1E2-F4E3-4EE2-8827-6BDA55677F1E}" type="presParOf" srcId="{5ACF0373-ED4E-4B5B-B785-2E110A992BDB}" destId="{7E3EA80E-FA6E-46D8-A31C-B659F6DC7B21}" srcOrd="2" destOrd="0" presId="urn:microsoft.com/office/officeart/2005/8/layout/orgChart1"/>
    <dgm:cxn modelId="{AD01087C-D044-4A33-8379-26CBE82E5EE1}" type="presParOf" srcId="{99F53BDD-8B8B-4739-B78F-7A95739DCC3E}" destId="{406BE597-1936-43AC-9B56-6F3FFCECC744}" srcOrd="10" destOrd="0" presId="urn:microsoft.com/office/officeart/2005/8/layout/orgChart1"/>
    <dgm:cxn modelId="{0ADB74D9-3AA0-4CF6-A5A8-41204EFC0FF8}" type="presParOf" srcId="{99F53BDD-8B8B-4739-B78F-7A95739DCC3E}" destId="{F287C2B8-E73E-4FF6-9D9E-8244CC537D13}" srcOrd="11" destOrd="0" presId="urn:microsoft.com/office/officeart/2005/8/layout/orgChart1"/>
    <dgm:cxn modelId="{218F1440-8D5C-4B5D-9B9C-91C702E09BED}" type="presParOf" srcId="{F287C2B8-E73E-4FF6-9D9E-8244CC537D13}" destId="{0A6F354E-424D-4CDA-9047-2F784EEC9E7B}" srcOrd="0" destOrd="0" presId="urn:microsoft.com/office/officeart/2005/8/layout/orgChart1"/>
    <dgm:cxn modelId="{C2A281B7-1E69-40DA-863F-38042D9A90E9}" type="presParOf" srcId="{0A6F354E-424D-4CDA-9047-2F784EEC9E7B}" destId="{3C965F4F-C493-4C8A-8CFE-0AA3F09B555E}" srcOrd="0" destOrd="0" presId="urn:microsoft.com/office/officeart/2005/8/layout/orgChart1"/>
    <dgm:cxn modelId="{C987E732-A7B2-4730-BF67-376A00F00BB2}" type="presParOf" srcId="{0A6F354E-424D-4CDA-9047-2F784EEC9E7B}" destId="{D15BC242-28EA-44EF-A882-2CE97616CA83}" srcOrd="1" destOrd="0" presId="urn:microsoft.com/office/officeart/2005/8/layout/orgChart1"/>
    <dgm:cxn modelId="{7D1A808E-3A7C-4C9B-A360-DDD7EDF951EC}" type="presParOf" srcId="{F287C2B8-E73E-4FF6-9D9E-8244CC537D13}" destId="{0C24F2F3-E521-409B-AC58-ED8B2859CEC0}" srcOrd="1" destOrd="0" presId="urn:microsoft.com/office/officeart/2005/8/layout/orgChart1"/>
    <dgm:cxn modelId="{CB21E123-9307-429B-896B-A09B2FDB6DAE}" type="presParOf" srcId="{0C24F2F3-E521-409B-AC58-ED8B2859CEC0}" destId="{A7F27185-60BD-41B3-B97A-0F1C704B871C}" srcOrd="0" destOrd="0" presId="urn:microsoft.com/office/officeart/2005/8/layout/orgChart1"/>
    <dgm:cxn modelId="{B1AD80F9-3AA2-43EE-B0C9-CDEF49571F87}" type="presParOf" srcId="{0C24F2F3-E521-409B-AC58-ED8B2859CEC0}" destId="{FDF4D23A-7C63-4679-BCE8-CC2A62522B82}" srcOrd="1" destOrd="0" presId="urn:microsoft.com/office/officeart/2005/8/layout/orgChart1"/>
    <dgm:cxn modelId="{2488FC2E-A32E-4AC0-9CA5-4DBEBE9F5844}" type="presParOf" srcId="{FDF4D23A-7C63-4679-BCE8-CC2A62522B82}" destId="{A183A2F1-259C-484E-805E-FD49EBC718AB}" srcOrd="0" destOrd="0" presId="urn:microsoft.com/office/officeart/2005/8/layout/orgChart1"/>
    <dgm:cxn modelId="{3398C02F-1B6E-4AD7-B276-0EE20D123D3B}" type="presParOf" srcId="{A183A2F1-259C-484E-805E-FD49EBC718AB}" destId="{8AD47393-E850-47FD-ACBD-A5D235867EE1}" srcOrd="0" destOrd="0" presId="urn:microsoft.com/office/officeart/2005/8/layout/orgChart1"/>
    <dgm:cxn modelId="{27B32898-9DF6-4149-98DB-A7D00F76A851}" type="presParOf" srcId="{A183A2F1-259C-484E-805E-FD49EBC718AB}" destId="{43D84183-88E5-4B59-8B9F-9D256BEEA86D}" srcOrd="1" destOrd="0" presId="urn:microsoft.com/office/officeart/2005/8/layout/orgChart1"/>
    <dgm:cxn modelId="{5A4B47EB-4510-48B7-9DB7-929F8FBFBD5A}" type="presParOf" srcId="{FDF4D23A-7C63-4679-BCE8-CC2A62522B82}" destId="{C7DB6E4A-FDA3-4353-BD51-C2CA2D37B90B}" srcOrd="1" destOrd="0" presId="urn:microsoft.com/office/officeart/2005/8/layout/orgChart1"/>
    <dgm:cxn modelId="{106BEA6D-7D5F-4853-80B5-CF660B4990D9}" type="presParOf" srcId="{C7DB6E4A-FDA3-4353-BD51-C2CA2D37B90B}" destId="{4379D76C-6EDD-4AB1-AD4E-3952A75CACE5}" srcOrd="0" destOrd="0" presId="urn:microsoft.com/office/officeart/2005/8/layout/orgChart1"/>
    <dgm:cxn modelId="{435508FD-4531-4055-B83A-7A85927D13CD}" type="presParOf" srcId="{C7DB6E4A-FDA3-4353-BD51-C2CA2D37B90B}" destId="{E7054BD1-EB67-4205-A64D-8B915ED7A4A3}" srcOrd="1" destOrd="0" presId="urn:microsoft.com/office/officeart/2005/8/layout/orgChart1"/>
    <dgm:cxn modelId="{F292AAA5-B05B-4DA5-B21F-8CBC2AC3BDBB}" type="presParOf" srcId="{E7054BD1-EB67-4205-A64D-8B915ED7A4A3}" destId="{22586EB9-FB5B-4A9F-89A1-FD508117A4CE}" srcOrd="0" destOrd="0" presId="urn:microsoft.com/office/officeart/2005/8/layout/orgChart1"/>
    <dgm:cxn modelId="{46385F02-D317-4EC2-B615-40A4504BDEF1}" type="presParOf" srcId="{22586EB9-FB5B-4A9F-89A1-FD508117A4CE}" destId="{F34F29B9-ADD9-471E-937C-A46776D339C5}" srcOrd="0" destOrd="0" presId="urn:microsoft.com/office/officeart/2005/8/layout/orgChart1"/>
    <dgm:cxn modelId="{EA87C680-4F8B-404B-85AB-720F005DFA38}" type="presParOf" srcId="{22586EB9-FB5B-4A9F-89A1-FD508117A4CE}" destId="{1102451F-68C7-4483-8002-81AFF316E8F0}" srcOrd="1" destOrd="0" presId="urn:microsoft.com/office/officeart/2005/8/layout/orgChart1"/>
    <dgm:cxn modelId="{D9F9B572-69DD-4A37-81C5-1735270F61CC}" type="presParOf" srcId="{E7054BD1-EB67-4205-A64D-8B915ED7A4A3}" destId="{0AC0A75E-ADF4-4A9F-BE7F-B944821F7E15}" srcOrd="1" destOrd="0" presId="urn:microsoft.com/office/officeart/2005/8/layout/orgChart1"/>
    <dgm:cxn modelId="{8AF35F91-6631-49EC-B203-A0F878A6FBCA}" type="presParOf" srcId="{0AC0A75E-ADF4-4A9F-BE7F-B944821F7E15}" destId="{B7B5FC65-B937-4DC9-A876-57469E82BCF8}" srcOrd="0" destOrd="0" presId="urn:microsoft.com/office/officeart/2005/8/layout/orgChart1"/>
    <dgm:cxn modelId="{9CCEF5A1-4828-433B-B942-12BF6380398D}" type="presParOf" srcId="{0AC0A75E-ADF4-4A9F-BE7F-B944821F7E15}" destId="{D5DA4515-35AC-48DD-96A5-72502914D29D}" srcOrd="1" destOrd="0" presId="urn:microsoft.com/office/officeart/2005/8/layout/orgChart1"/>
    <dgm:cxn modelId="{D608EB55-920F-4662-943A-FCDFFBC2F7C0}" type="presParOf" srcId="{D5DA4515-35AC-48DD-96A5-72502914D29D}" destId="{488FC9AD-31D9-4447-B19E-8F03B31C6758}" srcOrd="0" destOrd="0" presId="urn:microsoft.com/office/officeart/2005/8/layout/orgChart1"/>
    <dgm:cxn modelId="{97B8FFF7-66E6-483F-9740-A4A30CAB4DE3}" type="presParOf" srcId="{488FC9AD-31D9-4447-B19E-8F03B31C6758}" destId="{FAA6E948-D2FA-4FDA-BD8A-F42C0C9F761A}" srcOrd="0" destOrd="0" presId="urn:microsoft.com/office/officeart/2005/8/layout/orgChart1"/>
    <dgm:cxn modelId="{9CF08542-CBF6-4B30-83A5-2766F91950D5}" type="presParOf" srcId="{488FC9AD-31D9-4447-B19E-8F03B31C6758}" destId="{1C76FD4A-7B02-4AD1-B4BB-471E4699472E}" srcOrd="1" destOrd="0" presId="urn:microsoft.com/office/officeart/2005/8/layout/orgChart1"/>
    <dgm:cxn modelId="{BCF201E8-A4A2-444B-AA3F-1DC1E70B42BF}" type="presParOf" srcId="{D5DA4515-35AC-48DD-96A5-72502914D29D}" destId="{845EF1DD-DCC9-4686-9016-A7F183CE68ED}" srcOrd="1" destOrd="0" presId="urn:microsoft.com/office/officeart/2005/8/layout/orgChart1"/>
    <dgm:cxn modelId="{D02367CA-3AAA-450A-9078-B26C80ABECA1}" type="presParOf" srcId="{D5DA4515-35AC-48DD-96A5-72502914D29D}" destId="{950F6B69-4BB8-47BE-9160-9CDA27DFC1CF}" srcOrd="2" destOrd="0" presId="urn:microsoft.com/office/officeart/2005/8/layout/orgChart1"/>
    <dgm:cxn modelId="{E78A01EF-A9F9-477D-8FD1-F36E74BCEEA2}" type="presParOf" srcId="{0AC0A75E-ADF4-4A9F-BE7F-B944821F7E15}" destId="{29A4CC6D-7A01-4CF3-9006-6480DC1449E9}" srcOrd="2" destOrd="0" presId="urn:microsoft.com/office/officeart/2005/8/layout/orgChart1"/>
    <dgm:cxn modelId="{454B2592-8C03-48C9-91CD-B801F813BFA4}" type="presParOf" srcId="{0AC0A75E-ADF4-4A9F-BE7F-B944821F7E15}" destId="{0E4DE285-A8CC-46C9-BEB6-716F6CA215C1}" srcOrd="3" destOrd="0" presId="urn:microsoft.com/office/officeart/2005/8/layout/orgChart1"/>
    <dgm:cxn modelId="{6E4F6027-62AB-44FC-B5DD-186BE76F4EAF}" type="presParOf" srcId="{0E4DE285-A8CC-46C9-BEB6-716F6CA215C1}" destId="{2BBAD412-493C-418C-A4D0-D188AB52932C}" srcOrd="0" destOrd="0" presId="urn:microsoft.com/office/officeart/2005/8/layout/orgChart1"/>
    <dgm:cxn modelId="{F4292CBC-E9F1-42B4-B1C6-5E9D708621E6}" type="presParOf" srcId="{2BBAD412-493C-418C-A4D0-D188AB52932C}" destId="{87531960-CF51-486A-BD5B-506868557043}" srcOrd="0" destOrd="0" presId="urn:microsoft.com/office/officeart/2005/8/layout/orgChart1"/>
    <dgm:cxn modelId="{299F87F6-995C-40CC-9832-679956380237}" type="presParOf" srcId="{2BBAD412-493C-418C-A4D0-D188AB52932C}" destId="{1ED82A05-8109-4AF0-80B9-4A395EA4955C}" srcOrd="1" destOrd="0" presId="urn:microsoft.com/office/officeart/2005/8/layout/orgChart1"/>
    <dgm:cxn modelId="{3C03504E-9903-4E2D-9C4C-8245FFE2D46D}" type="presParOf" srcId="{0E4DE285-A8CC-46C9-BEB6-716F6CA215C1}" destId="{B7F66AC1-A13B-43DE-938B-33376336A83C}" srcOrd="1" destOrd="0" presId="urn:microsoft.com/office/officeart/2005/8/layout/orgChart1"/>
    <dgm:cxn modelId="{03A8D8FB-CDC6-4133-8BAE-FCE19429D1BC}" type="presParOf" srcId="{0E4DE285-A8CC-46C9-BEB6-716F6CA215C1}" destId="{4693FE98-21FD-4BC1-96D7-44462C1C8D7E}" srcOrd="2" destOrd="0" presId="urn:microsoft.com/office/officeart/2005/8/layout/orgChart1"/>
    <dgm:cxn modelId="{861980D2-1A0C-44EB-B0D9-AD4DC77E7FD5}" type="presParOf" srcId="{0AC0A75E-ADF4-4A9F-BE7F-B944821F7E15}" destId="{8D9145D2-D850-4B81-A8A9-2F422E3D4BE4}" srcOrd="4" destOrd="0" presId="urn:microsoft.com/office/officeart/2005/8/layout/orgChart1"/>
    <dgm:cxn modelId="{800D92C8-A2F0-43A0-BC0B-0C74F161E499}" type="presParOf" srcId="{0AC0A75E-ADF4-4A9F-BE7F-B944821F7E15}" destId="{F1C16697-770B-47E9-8F9A-3C2FED433642}" srcOrd="5" destOrd="0" presId="urn:microsoft.com/office/officeart/2005/8/layout/orgChart1"/>
    <dgm:cxn modelId="{CCD400E9-1471-4772-A578-2168CF5954AC}" type="presParOf" srcId="{F1C16697-770B-47E9-8F9A-3C2FED433642}" destId="{83DF56D9-DE09-4EA4-9D97-E50D1BD9A159}" srcOrd="0" destOrd="0" presId="urn:microsoft.com/office/officeart/2005/8/layout/orgChart1"/>
    <dgm:cxn modelId="{1CC7D740-9E4A-4614-BB16-AF57193CA0E8}" type="presParOf" srcId="{83DF56D9-DE09-4EA4-9D97-E50D1BD9A159}" destId="{434E52D3-95F1-453A-8CD5-8D9E359E2940}" srcOrd="0" destOrd="0" presId="urn:microsoft.com/office/officeart/2005/8/layout/orgChart1"/>
    <dgm:cxn modelId="{7A1E56D4-0A39-4CAB-A634-C89C54FB58BB}" type="presParOf" srcId="{83DF56D9-DE09-4EA4-9D97-E50D1BD9A159}" destId="{F6C23501-ABED-4D73-A0F1-4B189016B199}" srcOrd="1" destOrd="0" presId="urn:microsoft.com/office/officeart/2005/8/layout/orgChart1"/>
    <dgm:cxn modelId="{D76E97B1-4911-42FC-B71D-214E62C6DA45}" type="presParOf" srcId="{F1C16697-770B-47E9-8F9A-3C2FED433642}" destId="{A0A688F1-9D5D-408B-AC51-3F5D725164BF}" srcOrd="1" destOrd="0" presId="urn:microsoft.com/office/officeart/2005/8/layout/orgChart1"/>
    <dgm:cxn modelId="{313B1F1F-2629-45D1-80FB-1CFEC342AE8F}" type="presParOf" srcId="{F1C16697-770B-47E9-8F9A-3C2FED433642}" destId="{036E7B35-560D-44EB-AE2F-2B47F3230773}" srcOrd="2" destOrd="0" presId="urn:microsoft.com/office/officeart/2005/8/layout/orgChart1"/>
    <dgm:cxn modelId="{BE8F362F-74E1-4BE3-9215-C2B732E1C8BE}" type="presParOf" srcId="{E7054BD1-EB67-4205-A64D-8B915ED7A4A3}" destId="{48F91D5C-016A-4AAF-BC9B-40A98C53A67B}" srcOrd="2" destOrd="0" presId="urn:microsoft.com/office/officeart/2005/8/layout/orgChart1"/>
    <dgm:cxn modelId="{14621815-221D-4075-913E-5D2533C83863}" type="presParOf" srcId="{C7DB6E4A-FDA3-4353-BD51-C2CA2D37B90B}" destId="{10F236CE-50BD-4B63-A30A-D967F5E78644}" srcOrd="2" destOrd="0" presId="urn:microsoft.com/office/officeart/2005/8/layout/orgChart1"/>
    <dgm:cxn modelId="{38D12B12-E24B-45AF-BB02-0E34F4BF055F}" type="presParOf" srcId="{C7DB6E4A-FDA3-4353-BD51-C2CA2D37B90B}" destId="{54E58128-7D08-4621-813E-CFFB5A2CA97E}" srcOrd="3" destOrd="0" presId="urn:microsoft.com/office/officeart/2005/8/layout/orgChart1"/>
    <dgm:cxn modelId="{1F7BB281-BF79-4F21-8F24-386716DB6CC3}" type="presParOf" srcId="{54E58128-7D08-4621-813E-CFFB5A2CA97E}" destId="{51867668-9783-4AB8-BDBD-42507980861D}" srcOrd="0" destOrd="0" presId="urn:microsoft.com/office/officeart/2005/8/layout/orgChart1"/>
    <dgm:cxn modelId="{37D55EEA-8787-4347-94A6-ECECD59ED4CA}" type="presParOf" srcId="{51867668-9783-4AB8-BDBD-42507980861D}" destId="{FB744925-7B49-4769-B78E-7EE64CE512A4}" srcOrd="0" destOrd="0" presId="urn:microsoft.com/office/officeart/2005/8/layout/orgChart1"/>
    <dgm:cxn modelId="{50C052E2-1D61-49A5-8CA4-4240D736319C}" type="presParOf" srcId="{51867668-9783-4AB8-BDBD-42507980861D}" destId="{11C88771-6FF6-4EC7-9AD9-03FB38FD331B}" srcOrd="1" destOrd="0" presId="urn:microsoft.com/office/officeart/2005/8/layout/orgChart1"/>
    <dgm:cxn modelId="{B6CE8CB4-0030-43FE-82D7-97C1826F7826}" type="presParOf" srcId="{54E58128-7D08-4621-813E-CFFB5A2CA97E}" destId="{35349DA7-F9BC-497B-A9CD-C34937335A52}" srcOrd="1" destOrd="0" presId="urn:microsoft.com/office/officeart/2005/8/layout/orgChart1"/>
    <dgm:cxn modelId="{3523E887-953E-4B65-B958-09C27B741B74}" type="presParOf" srcId="{35349DA7-F9BC-497B-A9CD-C34937335A52}" destId="{6654A501-7476-4470-9A82-D74DFE8811ED}" srcOrd="0" destOrd="0" presId="urn:microsoft.com/office/officeart/2005/8/layout/orgChart1"/>
    <dgm:cxn modelId="{B289E401-8B72-4809-9A02-77ED3B435C1B}" type="presParOf" srcId="{35349DA7-F9BC-497B-A9CD-C34937335A52}" destId="{484921CA-8451-4672-B65C-6AAF5B5F2CD2}" srcOrd="1" destOrd="0" presId="urn:microsoft.com/office/officeart/2005/8/layout/orgChart1"/>
    <dgm:cxn modelId="{493630E2-3CEF-435E-B6FD-73E7887AE430}" type="presParOf" srcId="{484921CA-8451-4672-B65C-6AAF5B5F2CD2}" destId="{64686D52-74E6-4D2C-9319-2107EB7E1C06}" srcOrd="0" destOrd="0" presId="urn:microsoft.com/office/officeart/2005/8/layout/orgChart1"/>
    <dgm:cxn modelId="{71A4030D-D8DB-4A94-A2B9-9E1BC82744C4}" type="presParOf" srcId="{64686D52-74E6-4D2C-9319-2107EB7E1C06}" destId="{56783023-A3E6-44CC-A7FE-CC4B86C3BA97}" srcOrd="0" destOrd="0" presId="urn:microsoft.com/office/officeart/2005/8/layout/orgChart1"/>
    <dgm:cxn modelId="{1097DFAB-7435-40E0-BDA4-7C091CB0B738}" type="presParOf" srcId="{64686D52-74E6-4D2C-9319-2107EB7E1C06}" destId="{3F02AFFC-1033-4ABF-B4B1-CF9BF43EFAD8}" srcOrd="1" destOrd="0" presId="urn:microsoft.com/office/officeart/2005/8/layout/orgChart1"/>
    <dgm:cxn modelId="{5371BB0F-9E7B-4B8A-96B4-A22EDCA1809C}" type="presParOf" srcId="{484921CA-8451-4672-B65C-6AAF5B5F2CD2}" destId="{62186D2A-19CF-4BAE-B7D0-7F8FB2C4EF46}" srcOrd="1" destOrd="0" presId="urn:microsoft.com/office/officeart/2005/8/layout/orgChart1"/>
    <dgm:cxn modelId="{24D23F46-93D0-4064-BFCD-C8B4011FA06E}" type="presParOf" srcId="{484921CA-8451-4672-B65C-6AAF5B5F2CD2}" destId="{150FE7E3-3A9C-4649-86DE-706854A2B8C1}" srcOrd="2" destOrd="0" presId="urn:microsoft.com/office/officeart/2005/8/layout/orgChart1"/>
    <dgm:cxn modelId="{C9AE5304-09A9-4F85-9430-0F0AB9605052}" type="presParOf" srcId="{35349DA7-F9BC-497B-A9CD-C34937335A52}" destId="{EEA5219D-65C6-4FC5-8CA3-6F2A1094DCBE}" srcOrd="2" destOrd="0" presId="urn:microsoft.com/office/officeart/2005/8/layout/orgChart1"/>
    <dgm:cxn modelId="{2892F530-3339-4BD3-ADA3-C512634AFA0D}" type="presParOf" srcId="{35349DA7-F9BC-497B-A9CD-C34937335A52}" destId="{2B8D933C-1FB3-4248-86F6-20CBE46F8378}" srcOrd="3" destOrd="0" presId="urn:microsoft.com/office/officeart/2005/8/layout/orgChart1"/>
    <dgm:cxn modelId="{0FDE56AA-1F71-4E78-92ED-5054F3F4D535}" type="presParOf" srcId="{2B8D933C-1FB3-4248-86F6-20CBE46F8378}" destId="{53B19F59-255C-4E55-8CC8-B381211D6598}" srcOrd="0" destOrd="0" presId="urn:microsoft.com/office/officeart/2005/8/layout/orgChart1"/>
    <dgm:cxn modelId="{E1400601-00F3-4E3D-9D43-FFC9D0EF6B3B}" type="presParOf" srcId="{53B19F59-255C-4E55-8CC8-B381211D6598}" destId="{21C66ED4-A6A5-4A28-B14D-A37ADF64BDFE}" srcOrd="0" destOrd="0" presId="urn:microsoft.com/office/officeart/2005/8/layout/orgChart1"/>
    <dgm:cxn modelId="{034346ED-D79E-42F5-879C-E0FB28461C5B}" type="presParOf" srcId="{53B19F59-255C-4E55-8CC8-B381211D6598}" destId="{22F1365D-5A91-46E8-952B-01A59ED634C0}" srcOrd="1" destOrd="0" presId="urn:microsoft.com/office/officeart/2005/8/layout/orgChart1"/>
    <dgm:cxn modelId="{75B3A557-AB0C-4524-9B55-964BDC75E0D8}" type="presParOf" srcId="{2B8D933C-1FB3-4248-86F6-20CBE46F8378}" destId="{E838DDA4-B4E6-4EAE-A5B1-CE17162392BD}" srcOrd="1" destOrd="0" presId="urn:microsoft.com/office/officeart/2005/8/layout/orgChart1"/>
    <dgm:cxn modelId="{0D8CCFBE-0709-4509-89EF-B56E00BC42C9}" type="presParOf" srcId="{2B8D933C-1FB3-4248-86F6-20CBE46F8378}" destId="{EA02A390-0896-4994-9CAC-AEA8172DAEF1}" srcOrd="2" destOrd="0" presId="urn:microsoft.com/office/officeart/2005/8/layout/orgChart1"/>
    <dgm:cxn modelId="{E89B624F-C40B-4488-9125-8F52E86AA4D5}" type="presParOf" srcId="{35349DA7-F9BC-497B-A9CD-C34937335A52}" destId="{8B4488C2-035F-4A6D-AB30-6333676B4C70}" srcOrd="4" destOrd="0" presId="urn:microsoft.com/office/officeart/2005/8/layout/orgChart1"/>
    <dgm:cxn modelId="{F9897273-0C6B-4C6F-A6CA-651EE977E971}" type="presParOf" srcId="{35349DA7-F9BC-497B-A9CD-C34937335A52}" destId="{027FC277-29C2-474C-823A-69CE8D654763}" srcOrd="5" destOrd="0" presId="urn:microsoft.com/office/officeart/2005/8/layout/orgChart1"/>
    <dgm:cxn modelId="{D83C84BB-ACEA-4B1B-9DE7-584DB69DDD6E}" type="presParOf" srcId="{027FC277-29C2-474C-823A-69CE8D654763}" destId="{0FC32DCA-01DE-418E-8491-119CD156F45A}" srcOrd="0" destOrd="0" presId="urn:microsoft.com/office/officeart/2005/8/layout/orgChart1"/>
    <dgm:cxn modelId="{5496D027-DDDB-4BC3-B955-5745527B14E0}" type="presParOf" srcId="{0FC32DCA-01DE-418E-8491-119CD156F45A}" destId="{81FC9632-9928-4373-A92A-C5D94C715680}" srcOrd="0" destOrd="0" presId="urn:microsoft.com/office/officeart/2005/8/layout/orgChart1"/>
    <dgm:cxn modelId="{8E72009C-5E6C-4514-B6FC-4069D7153C55}" type="presParOf" srcId="{0FC32DCA-01DE-418E-8491-119CD156F45A}" destId="{B4875046-AB3D-4C20-BBA5-9B63857EBE27}" srcOrd="1" destOrd="0" presId="urn:microsoft.com/office/officeart/2005/8/layout/orgChart1"/>
    <dgm:cxn modelId="{6464FEE8-ED89-463B-B3EE-4DA0731CBD27}" type="presParOf" srcId="{027FC277-29C2-474C-823A-69CE8D654763}" destId="{11FC61F6-95F4-4FD9-8A9E-897724B6390C}" srcOrd="1" destOrd="0" presId="urn:microsoft.com/office/officeart/2005/8/layout/orgChart1"/>
    <dgm:cxn modelId="{E0E19B42-6F87-4283-8DE9-389D3145F498}" type="presParOf" srcId="{027FC277-29C2-474C-823A-69CE8D654763}" destId="{37ECBBD0-3A2D-457A-821A-D04DC9E7AA16}" srcOrd="2" destOrd="0" presId="urn:microsoft.com/office/officeart/2005/8/layout/orgChart1"/>
    <dgm:cxn modelId="{3A3472C6-477B-4376-985E-5A3A5643A1AF}" type="presParOf" srcId="{54E58128-7D08-4621-813E-CFFB5A2CA97E}" destId="{62322F44-995E-42C2-BDF8-92234550FE3F}" srcOrd="2" destOrd="0" presId="urn:microsoft.com/office/officeart/2005/8/layout/orgChart1"/>
    <dgm:cxn modelId="{C5DBA96B-190A-41A8-9683-612660CCB286}" type="presParOf" srcId="{C7DB6E4A-FDA3-4353-BD51-C2CA2D37B90B}" destId="{007AB54C-E2F5-4E42-9E65-D2A686826C0F}" srcOrd="4" destOrd="0" presId="urn:microsoft.com/office/officeart/2005/8/layout/orgChart1"/>
    <dgm:cxn modelId="{FF886D27-1026-46D9-85E4-C2D22D5791CA}" type="presParOf" srcId="{C7DB6E4A-FDA3-4353-BD51-C2CA2D37B90B}" destId="{07B75821-CA82-48D2-966C-1F662FBE1328}" srcOrd="5" destOrd="0" presId="urn:microsoft.com/office/officeart/2005/8/layout/orgChart1"/>
    <dgm:cxn modelId="{815670F1-0E2E-4C98-91DB-CC6C6F573F79}" type="presParOf" srcId="{07B75821-CA82-48D2-966C-1F662FBE1328}" destId="{414A80C7-6EC1-4588-A9EF-349CA55576A6}" srcOrd="0" destOrd="0" presId="urn:microsoft.com/office/officeart/2005/8/layout/orgChart1"/>
    <dgm:cxn modelId="{28A256CA-B902-48C3-8044-91E87DEDA3E7}" type="presParOf" srcId="{414A80C7-6EC1-4588-A9EF-349CA55576A6}" destId="{E2E2D302-F18D-41F9-8014-848A6392D4CF}" srcOrd="0" destOrd="0" presId="urn:microsoft.com/office/officeart/2005/8/layout/orgChart1"/>
    <dgm:cxn modelId="{B0CBAFD9-6A89-4001-91FD-996B9848C871}" type="presParOf" srcId="{414A80C7-6EC1-4588-A9EF-349CA55576A6}" destId="{9D78CFB4-3EE0-4D2B-8986-CC5BAC4B9073}" srcOrd="1" destOrd="0" presId="urn:microsoft.com/office/officeart/2005/8/layout/orgChart1"/>
    <dgm:cxn modelId="{7C36C18D-A066-4B4E-B529-45C12B36FCD2}" type="presParOf" srcId="{07B75821-CA82-48D2-966C-1F662FBE1328}" destId="{70AF2F19-52DB-4221-9B62-A929E8EFBF2E}" srcOrd="1" destOrd="0" presId="urn:microsoft.com/office/officeart/2005/8/layout/orgChart1"/>
    <dgm:cxn modelId="{D10B7350-AA99-45E3-B30D-FC302A36A1E4}" type="presParOf" srcId="{70AF2F19-52DB-4221-9B62-A929E8EFBF2E}" destId="{226899D6-6075-4F70-9813-10D66438F214}" srcOrd="0" destOrd="0" presId="urn:microsoft.com/office/officeart/2005/8/layout/orgChart1"/>
    <dgm:cxn modelId="{7F2A63FF-F1B0-4267-90FB-49C269EC3438}" type="presParOf" srcId="{70AF2F19-52DB-4221-9B62-A929E8EFBF2E}" destId="{A3537309-3778-4E57-8C45-1A6C02CCEECC}" srcOrd="1" destOrd="0" presId="urn:microsoft.com/office/officeart/2005/8/layout/orgChart1"/>
    <dgm:cxn modelId="{BD5FF3D9-5C0A-49C1-BAE7-0C32D974A58C}" type="presParOf" srcId="{A3537309-3778-4E57-8C45-1A6C02CCEECC}" destId="{3180C66D-CEEA-4564-B146-D8C9E6442F7E}" srcOrd="0" destOrd="0" presId="urn:microsoft.com/office/officeart/2005/8/layout/orgChart1"/>
    <dgm:cxn modelId="{D36D8083-E235-4C68-BA3D-DCE67F85622D}" type="presParOf" srcId="{3180C66D-CEEA-4564-B146-D8C9E6442F7E}" destId="{E6555810-0560-4CFA-A6C7-0AF06AF05077}" srcOrd="0" destOrd="0" presId="urn:microsoft.com/office/officeart/2005/8/layout/orgChart1"/>
    <dgm:cxn modelId="{2D9BD170-FD35-4CA4-AC70-B6F4FE3B6B3F}" type="presParOf" srcId="{3180C66D-CEEA-4564-B146-D8C9E6442F7E}" destId="{7F9D19E8-C660-45B9-B23F-11AB85143112}" srcOrd="1" destOrd="0" presId="urn:microsoft.com/office/officeart/2005/8/layout/orgChart1"/>
    <dgm:cxn modelId="{19492AA8-96B7-4D4F-A6D4-1F8A20FBBD54}" type="presParOf" srcId="{A3537309-3778-4E57-8C45-1A6C02CCEECC}" destId="{31D8BA24-96DD-47C0-89DC-C3129FDC8816}" srcOrd="1" destOrd="0" presId="urn:microsoft.com/office/officeart/2005/8/layout/orgChart1"/>
    <dgm:cxn modelId="{595B6961-6705-4462-863E-4A212911DFC8}" type="presParOf" srcId="{A3537309-3778-4E57-8C45-1A6C02CCEECC}" destId="{95EFEAAA-F4A6-49F1-B913-EDC9DD8A656B}" srcOrd="2" destOrd="0" presId="urn:microsoft.com/office/officeart/2005/8/layout/orgChart1"/>
    <dgm:cxn modelId="{C88555E3-0295-4650-8C5F-376A7D1F7C5D}" type="presParOf" srcId="{70AF2F19-52DB-4221-9B62-A929E8EFBF2E}" destId="{BC254042-3D42-4DF9-9A78-AA1B6D3022D3}" srcOrd="2" destOrd="0" presId="urn:microsoft.com/office/officeart/2005/8/layout/orgChart1"/>
    <dgm:cxn modelId="{AB963F3D-A8F1-49A7-ACFF-B01120D3001E}" type="presParOf" srcId="{70AF2F19-52DB-4221-9B62-A929E8EFBF2E}" destId="{BCE1B9DF-C239-425D-A0CC-E1EC15C98CBC}" srcOrd="3" destOrd="0" presId="urn:microsoft.com/office/officeart/2005/8/layout/orgChart1"/>
    <dgm:cxn modelId="{945C5D8F-0911-4F1F-97A5-0BB02C24C965}" type="presParOf" srcId="{BCE1B9DF-C239-425D-A0CC-E1EC15C98CBC}" destId="{30D712C0-2DD7-4728-9ECB-E8B82FD4F22E}" srcOrd="0" destOrd="0" presId="urn:microsoft.com/office/officeart/2005/8/layout/orgChart1"/>
    <dgm:cxn modelId="{9D61083B-E18B-4855-924B-CBAFF733D471}" type="presParOf" srcId="{30D712C0-2DD7-4728-9ECB-E8B82FD4F22E}" destId="{90970F8F-5F00-4274-8053-DC65F91FE32F}" srcOrd="0" destOrd="0" presId="urn:microsoft.com/office/officeart/2005/8/layout/orgChart1"/>
    <dgm:cxn modelId="{63500EE6-D26F-4F28-B9EC-209120FA22F8}" type="presParOf" srcId="{30D712C0-2DD7-4728-9ECB-E8B82FD4F22E}" destId="{5A26E172-0CD3-4C20-9828-6B9874499157}" srcOrd="1" destOrd="0" presId="urn:microsoft.com/office/officeart/2005/8/layout/orgChart1"/>
    <dgm:cxn modelId="{61A5249A-FDD4-4E79-8DB3-C9685134D91B}" type="presParOf" srcId="{BCE1B9DF-C239-425D-A0CC-E1EC15C98CBC}" destId="{E8C41E9C-F563-47E4-A038-0026B7E1B81C}" srcOrd="1" destOrd="0" presId="urn:microsoft.com/office/officeart/2005/8/layout/orgChart1"/>
    <dgm:cxn modelId="{34B977E4-FF1F-49B3-991C-4708F53DBF96}" type="presParOf" srcId="{BCE1B9DF-C239-425D-A0CC-E1EC15C98CBC}" destId="{2B2D61EB-64B7-45DA-80CC-D6BB2E4A2CD8}" srcOrd="2" destOrd="0" presId="urn:microsoft.com/office/officeart/2005/8/layout/orgChart1"/>
    <dgm:cxn modelId="{D90F4E1F-BB05-4033-8941-481DFCF3437E}" type="presParOf" srcId="{70AF2F19-52DB-4221-9B62-A929E8EFBF2E}" destId="{364701AC-3E92-42BB-A791-E3B354633491}" srcOrd="4" destOrd="0" presId="urn:microsoft.com/office/officeart/2005/8/layout/orgChart1"/>
    <dgm:cxn modelId="{88A6FCB6-1AEC-4087-A3CE-F1A05FCC4530}" type="presParOf" srcId="{70AF2F19-52DB-4221-9B62-A929E8EFBF2E}" destId="{F7D739B2-C82B-49B2-96A1-22B1F897AEE2}" srcOrd="5" destOrd="0" presId="urn:microsoft.com/office/officeart/2005/8/layout/orgChart1"/>
    <dgm:cxn modelId="{981E8789-A694-47B2-B8E8-2B0C9B3FCEC5}" type="presParOf" srcId="{F7D739B2-C82B-49B2-96A1-22B1F897AEE2}" destId="{A292B612-E4DC-477C-AD76-2DADD7512587}" srcOrd="0" destOrd="0" presId="urn:microsoft.com/office/officeart/2005/8/layout/orgChart1"/>
    <dgm:cxn modelId="{937CF487-D1C4-41B8-BCB1-6FD8AEB9B9A1}" type="presParOf" srcId="{A292B612-E4DC-477C-AD76-2DADD7512587}" destId="{27D88163-592D-4467-AD0C-295C15CF041D}" srcOrd="0" destOrd="0" presId="urn:microsoft.com/office/officeart/2005/8/layout/orgChart1"/>
    <dgm:cxn modelId="{FCDEE41F-7B6E-495A-820E-122311938620}" type="presParOf" srcId="{A292B612-E4DC-477C-AD76-2DADD7512587}" destId="{222F485D-3EAC-43B6-9EE3-3A3259650192}" srcOrd="1" destOrd="0" presId="urn:microsoft.com/office/officeart/2005/8/layout/orgChart1"/>
    <dgm:cxn modelId="{0D16119A-7006-4401-B26C-57FCAD956C6A}" type="presParOf" srcId="{F7D739B2-C82B-49B2-96A1-22B1F897AEE2}" destId="{BF318253-13A8-439D-A02B-4C90270FEFD2}" srcOrd="1" destOrd="0" presId="urn:microsoft.com/office/officeart/2005/8/layout/orgChart1"/>
    <dgm:cxn modelId="{C46F7BE4-76DD-4E1E-9796-255309398667}" type="presParOf" srcId="{F7D739B2-C82B-49B2-96A1-22B1F897AEE2}" destId="{69FC684F-A53A-4F5D-B1D2-A3A7970D1CF1}" srcOrd="2" destOrd="0" presId="urn:microsoft.com/office/officeart/2005/8/layout/orgChart1"/>
    <dgm:cxn modelId="{29C50FB1-5149-4A64-A945-46559AC9F183}" type="presParOf" srcId="{70AF2F19-52DB-4221-9B62-A929E8EFBF2E}" destId="{57AD7502-AFE1-4810-9797-582D459E146F}" srcOrd="6" destOrd="0" presId="urn:microsoft.com/office/officeart/2005/8/layout/orgChart1"/>
    <dgm:cxn modelId="{C0F05103-31B3-496A-AA56-23D1E60DA865}" type="presParOf" srcId="{70AF2F19-52DB-4221-9B62-A929E8EFBF2E}" destId="{701282C7-B117-4827-A200-BF66DAA665B4}" srcOrd="7" destOrd="0" presId="urn:microsoft.com/office/officeart/2005/8/layout/orgChart1"/>
    <dgm:cxn modelId="{F668104A-367C-46FE-9305-9E01AA7C77AE}" type="presParOf" srcId="{701282C7-B117-4827-A200-BF66DAA665B4}" destId="{6393D31D-32D6-4385-85D8-0982F924E249}" srcOrd="0" destOrd="0" presId="urn:microsoft.com/office/officeart/2005/8/layout/orgChart1"/>
    <dgm:cxn modelId="{B8705A72-2B7E-4C65-A825-92909DD531FC}" type="presParOf" srcId="{6393D31D-32D6-4385-85D8-0982F924E249}" destId="{1AD2CC55-F5A9-4D3F-A2A7-A473391D5853}" srcOrd="0" destOrd="0" presId="urn:microsoft.com/office/officeart/2005/8/layout/orgChart1"/>
    <dgm:cxn modelId="{73CD39BE-9C6C-449C-AF3A-1F9D81940C9A}" type="presParOf" srcId="{6393D31D-32D6-4385-85D8-0982F924E249}" destId="{86530056-E779-4F13-8351-A572442D8912}" srcOrd="1" destOrd="0" presId="urn:microsoft.com/office/officeart/2005/8/layout/orgChart1"/>
    <dgm:cxn modelId="{9C37A012-60D4-4C51-8549-F0E1C0CBF409}" type="presParOf" srcId="{701282C7-B117-4827-A200-BF66DAA665B4}" destId="{E55E3572-D6E0-434D-9400-4E2597F3C9EC}" srcOrd="1" destOrd="0" presId="urn:microsoft.com/office/officeart/2005/8/layout/orgChart1"/>
    <dgm:cxn modelId="{D62BC201-BA3B-4E27-9174-11F4BE18C5EA}" type="presParOf" srcId="{701282C7-B117-4827-A200-BF66DAA665B4}" destId="{C805A2BB-AA56-4224-B281-793574A5EF44}" srcOrd="2" destOrd="0" presId="urn:microsoft.com/office/officeart/2005/8/layout/orgChart1"/>
    <dgm:cxn modelId="{9698A14E-4D06-4C69-A03E-8B5D99F78484}" type="presParOf" srcId="{70AF2F19-52DB-4221-9B62-A929E8EFBF2E}" destId="{8D3B42F0-4E51-4719-97AC-095B75C80D56}" srcOrd="8" destOrd="0" presId="urn:microsoft.com/office/officeart/2005/8/layout/orgChart1"/>
    <dgm:cxn modelId="{A42C84AF-1D19-47D4-9E1D-2A37F44BC8CD}" type="presParOf" srcId="{70AF2F19-52DB-4221-9B62-A929E8EFBF2E}" destId="{C1BABB20-1009-4B66-A279-B1D2085EF1A6}" srcOrd="9" destOrd="0" presId="urn:microsoft.com/office/officeart/2005/8/layout/orgChart1"/>
    <dgm:cxn modelId="{5320D8C7-88BF-44BA-8B3F-3911A4E564E4}" type="presParOf" srcId="{C1BABB20-1009-4B66-A279-B1D2085EF1A6}" destId="{779994F2-0359-4808-86A2-AEA63CFB7F3E}" srcOrd="0" destOrd="0" presId="urn:microsoft.com/office/officeart/2005/8/layout/orgChart1"/>
    <dgm:cxn modelId="{0852033A-13F9-4ECE-8A8A-94356385BA50}" type="presParOf" srcId="{779994F2-0359-4808-86A2-AEA63CFB7F3E}" destId="{BD038A28-8922-485F-B631-C87A08CD3520}" srcOrd="0" destOrd="0" presId="urn:microsoft.com/office/officeart/2005/8/layout/orgChart1"/>
    <dgm:cxn modelId="{464E98AF-303D-497A-BBEE-D2FFB5CC56D0}" type="presParOf" srcId="{779994F2-0359-4808-86A2-AEA63CFB7F3E}" destId="{2EA74C75-4D75-4607-BD52-E7EADE92931D}" srcOrd="1" destOrd="0" presId="urn:microsoft.com/office/officeart/2005/8/layout/orgChart1"/>
    <dgm:cxn modelId="{EC06E72E-57C6-497D-83CF-82FD3F1FE90C}" type="presParOf" srcId="{C1BABB20-1009-4B66-A279-B1D2085EF1A6}" destId="{A5CA290F-EC77-4DA3-B98E-095CF9CC5569}" srcOrd="1" destOrd="0" presId="urn:microsoft.com/office/officeart/2005/8/layout/orgChart1"/>
    <dgm:cxn modelId="{85D21DAB-2793-47D4-A4D6-F0BF44A638FE}" type="presParOf" srcId="{C1BABB20-1009-4B66-A279-B1D2085EF1A6}" destId="{B12003FA-A6BE-41D5-957D-1C3D9C6AE873}" srcOrd="2" destOrd="0" presId="urn:microsoft.com/office/officeart/2005/8/layout/orgChart1"/>
    <dgm:cxn modelId="{583517BC-2465-47CE-8765-D594D3B2FE3B}" type="presParOf" srcId="{70AF2F19-52DB-4221-9B62-A929E8EFBF2E}" destId="{639D9051-A887-45A3-86D8-A710CC8C25DC}" srcOrd="10" destOrd="0" presId="urn:microsoft.com/office/officeart/2005/8/layout/orgChart1"/>
    <dgm:cxn modelId="{DC11B52B-25F6-4B38-876D-1A2E30EA6104}" type="presParOf" srcId="{70AF2F19-52DB-4221-9B62-A929E8EFBF2E}" destId="{6C5C60E7-D8EE-49A4-9331-40667ACDC560}" srcOrd="11" destOrd="0" presId="urn:microsoft.com/office/officeart/2005/8/layout/orgChart1"/>
    <dgm:cxn modelId="{F7C35AF7-65E2-487A-9043-8FF617840A96}" type="presParOf" srcId="{6C5C60E7-D8EE-49A4-9331-40667ACDC560}" destId="{93F6F8C4-44D3-4D38-8231-164D5A66A864}" srcOrd="0" destOrd="0" presId="urn:microsoft.com/office/officeart/2005/8/layout/orgChart1"/>
    <dgm:cxn modelId="{A1348505-A9DD-4BAD-B6A0-9739CB27F6B9}" type="presParOf" srcId="{93F6F8C4-44D3-4D38-8231-164D5A66A864}" destId="{930C44FD-23D7-4F58-B850-532295E27637}" srcOrd="0" destOrd="0" presId="urn:microsoft.com/office/officeart/2005/8/layout/orgChart1"/>
    <dgm:cxn modelId="{71A939D5-2F89-4A3F-8A63-D506777D3AAD}" type="presParOf" srcId="{93F6F8C4-44D3-4D38-8231-164D5A66A864}" destId="{B9248C04-54CC-42A3-B501-8D04141BED07}" srcOrd="1" destOrd="0" presId="urn:microsoft.com/office/officeart/2005/8/layout/orgChart1"/>
    <dgm:cxn modelId="{D0F8A731-1C06-4664-B3D0-A9C9FDE71591}" type="presParOf" srcId="{6C5C60E7-D8EE-49A4-9331-40667ACDC560}" destId="{8CCB0D52-59AE-4C76-9BEA-B0BE7222AAC2}" srcOrd="1" destOrd="0" presId="urn:microsoft.com/office/officeart/2005/8/layout/orgChart1"/>
    <dgm:cxn modelId="{436FEC00-73C0-4CBD-AD46-03FA0FF7D895}" type="presParOf" srcId="{6C5C60E7-D8EE-49A4-9331-40667ACDC560}" destId="{64AB7164-501A-4911-A0BA-1333C6D4EF84}" srcOrd="2" destOrd="0" presId="urn:microsoft.com/office/officeart/2005/8/layout/orgChart1"/>
    <dgm:cxn modelId="{EF1DE500-5CFC-4624-819E-FBFC77D34BEB}" type="presParOf" srcId="{70AF2F19-52DB-4221-9B62-A929E8EFBF2E}" destId="{74703DF2-4E13-4CE6-8C5B-6DB271C97F83}" srcOrd="12" destOrd="0" presId="urn:microsoft.com/office/officeart/2005/8/layout/orgChart1"/>
    <dgm:cxn modelId="{FBD4B4A4-397B-4A5D-ADF1-6842995E56A9}" type="presParOf" srcId="{70AF2F19-52DB-4221-9B62-A929E8EFBF2E}" destId="{2785D381-F80C-43EE-B443-F23C1457929B}" srcOrd="13" destOrd="0" presId="urn:microsoft.com/office/officeart/2005/8/layout/orgChart1"/>
    <dgm:cxn modelId="{8B81ED89-1DCE-4A2A-AA07-187044CAE0AA}" type="presParOf" srcId="{2785D381-F80C-43EE-B443-F23C1457929B}" destId="{B3A23F41-6A28-4093-A40D-C8EEA7CDE775}" srcOrd="0" destOrd="0" presId="urn:microsoft.com/office/officeart/2005/8/layout/orgChart1"/>
    <dgm:cxn modelId="{F58A5BB0-DBBE-4140-89FD-609FC596C589}" type="presParOf" srcId="{B3A23F41-6A28-4093-A40D-C8EEA7CDE775}" destId="{DD1D3071-4421-4334-8928-B89389C51334}" srcOrd="0" destOrd="0" presId="urn:microsoft.com/office/officeart/2005/8/layout/orgChart1"/>
    <dgm:cxn modelId="{13DD1F39-E939-4E80-9960-EBAD0A16A611}" type="presParOf" srcId="{B3A23F41-6A28-4093-A40D-C8EEA7CDE775}" destId="{5A69868B-558E-474B-9AA3-F5EEE09F345E}" srcOrd="1" destOrd="0" presId="urn:microsoft.com/office/officeart/2005/8/layout/orgChart1"/>
    <dgm:cxn modelId="{EF83EC00-DE78-4F61-946B-7FCEEBBA7B4F}" type="presParOf" srcId="{2785D381-F80C-43EE-B443-F23C1457929B}" destId="{A7636252-B9F1-45DD-A180-20D5193404A8}" srcOrd="1" destOrd="0" presId="urn:microsoft.com/office/officeart/2005/8/layout/orgChart1"/>
    <dgm:cxn modelId="{665BF1D2-87F6-49B8-92D7-76149CB32B7B}" type="presParOf" srcId="{2785D381-F80C-43EE-B443-F23C1457929B}" destId="{48D25980-305D-401E-A4BF-EFF56B4F9FF7}" srcOrd="2" destOrd="0" presId="urn:microsoft.com/office/officeart/2005/8/layout/orgChart1"/>
    <dgm:cxn modelId="{644C2B16-EFD8-4777-934E-DA8565C0721F}" type="presParOf" srcId="{07B75821-CA82-48D2-966C-1F662FBE1328}" destId="{A1BEF95D-905C-4F8C-8A15-3C3E2EA5DF53}" srcOrd="2" destOrd="0" presId="urn:microsoft.com/office/officeart/2005/8/layout/orgChart1"/>
    <dgm:cxn modelId="{FFDD0ACD-D636-4556-9FF5-A4B75837CB49}" type="presParOf" srcId="{C7DB6E4A-FDA3-4353-BD51-C2CA2D37B90B}" destId="{4AE80564-CEE3-4BF3-98A2-49AE41111D0E}" srcOrd="6" destOrd="0" presId="urn:microsoft.com/office/officeart/2005/8/layout/orgChart1"/>
    <dgm:cxn modelId="{89FAB8E4-0ADF-42C3-BB8E-FEB228A70CEF}" type="presParOf" srcId="{C7DB6E4A-FDA3-4353-BD51-C2CA2D37B90B}" destId="{50C1A853-E6B1-483B-852E-4646B442279E}" srcOrd="7" destOrd="0" presId="urn:microsoft.com/office/officeart/2005/8/layout/orgChart1"/>
    <dgm:cxn modelId="{0FAAA697-2A94-47DF-9552-BC60929C44B8}" type="presParOf" srcId="{50C1A853-E6B1-483B-852E-4646B442279E}" destId="{B75966DF-C4CC-40B3-81C3-2BA21E792BA3}" srcOrd="0" destOrd="0" presId="urn:microsoft.com/office/officeart/2005/8/layout/orgChart1"/>
    <dgm:cxn modelId="{EBCE3B40-5CE6-40B5-8CDA-FDBE73C542F1}" type="presParOf" srcId="{B75966DF-C4CC-40B3-81C3-2BA21E792BA3}" destId="{4009D03B-837A-46EF-A93B-D714548531E3}" srcOrd="0" destOrd="0" presId="urn:microsoft.com/office/officeart/2005/8/layout/orgChart1"/>
    <dgm:cxn modelId="{F3836B5C-80D2-4205-A509-B1EB7203F009}" type="presParOf" srcId="{B75966DF-C4CC-40B3-81C3-2BA21E792BA3}" destId="{30DCF91C-B93B-4CA7-BDBE-B7676D32D1C7}" srcOrd="1" destOrd="0" presId="urn:microsoft.com/office/officeart/2005/8/layout/orgChart1"/>
    <dgm:cxn modelId="{88433660-6540-4857-A264-21A90A3B62B2}" type="presParOf" srcId="{50C1A853-E6B1-483B-852E-4646B442279E}" destId="{FAD062D2-AD3E-449B-8862-35CD5D2BF8BD}" srcOrd="1" destOrd="0" presId="urn:microsoft.com/office/officeart/2005/8/layout/orgChart1"/>
    <dgm:cxn modelId="{E7D15FDA-FD4B-441B-873C-6D1D53C75A25}" type="presParOf" srcId="{FAD062D2-AD3E-449B-8862-35CD5D2BF8BD}" destId="{A6B19E59-E521-44CB-9281-1C09EC9A7019}" srcOrd="0" destOrd="0" presId="urn:microsoft.com/office/officeart/2005/8/layout/orgChart1"/>
    <dgm:cxn modelId="{6E6523F7-1BF5-451A-8C30-3E0BE106D792}" type="presParOf" srcId="{FAD062D2-AD3E-449B-8862-35CD5D2BF8BD}" destId="{888E2FE7-91C8-415F-BF61-2E313C46DD12}" srcOrd="1" destOrd="0" presId="urn:microsoft.com/office/officeart/2005/8/layout/orgChart1"/>
    <dgm:cxn modelId="{48C94969-4762-4898-A005-2E3617810855}" type="presParOf" srcId="{888E2FE7-91C8-415F-BF61-2E313C46DD12}" destId="{D044E6DB-3430-433E-93C9-73D27AC071C3}" srcOrd="0" destOrd="0" presId="urn:microsoft.com/office/officeart/2005/8/layout/orgChart1"/>
    <dgm:cxn modelId="{3F05B0F7-321A-4FBD-AEFA-E7DB91DEA7CD}" type="presParOf" srcId="{D044E6DB-3430-433E-93C9-73D27AC071C3}" destId="{9FD72A61-FB68-48BE-8507-DE1B0F4CA34B}" srcOrd="0" destOrd="0" presId="urn:microsoft.com/office/officeart/2005/8/layout/orgChart1"/>
    <dgm:cxn modelId="{DA374CB1-5CD9-4CBD-BFC7-751B4A29F906}" type="presParOf" srcId="{D044E6DB-3430-433E-93C9-73D27AC071C3}" destId="{6DC0CB74-1EBD-4CC3-A2D4-5E0772D51868}" srcOrd="1" destOrd="0" presId="urn:microsoft.com/office/officeart/2005/8/layout/orgChart1"/>
    <dgm:cxn modelId="{1628DBEE-3F60-46A3-99EB-905D6417F1C1}" type="presParOf" srcId="{888E2FE7-91C8-415F-BF61-2E313C46DD12}" destId="{38CB3FD6-A1FC-4E4B-9195-B574AD9B0510}" srcOrd="1" destOrd="0" presId="urn:microsoft.com/office/officeart/2005/8/layout/orgChart1"/>
    <dgm:cxn modelId="{BCEE9514-178A-4115-8B43-11D10C1C0305}" type="presParOf" srcId="{888E2FE7-91C8-415F-BF61-2E313C46DD12}" destId="{CDD7B16F-A1A1-4A66-9B7F-39994899F313}" srcOrd="2" destOrd="0" presId="urn:microsoft.com/office/officeart/2005/8/layout/orgChart1"/>
    <dgm:cxn modelId="{E31CA024-DCF9-4362-BA2E-352933FD5561}" type="presParOf" srcId="{FAD062D2-AD3E-449B-8862-35CD5D2BF8BD}" destId="{F9EDA04F-FC1B-4F5D-82BF-097D63568E28}" srcOrd="2" destOrd="0" presId="urn:microsoft.com/office/officeart/2005/8/layout/orgChart1"/>
    <dgm:cxn modelId="{382D0CD8-9554-4E22-ADF9-78D3AE05C80F}" type="presParOf" srcId="{FAD062D2-AD3E-449B-8862-35CD5D2BF8BD}" destId="{6A1BA275-409F-4D9E-B07F-2719E0B47D08}" srcOrd="3" destOrd="0" presId="urn:microsoft.com/office/officeart/2005/8/layout/orgChart1"/>
    <dgm:cxn modelId="{D20210FC-3CA5-4BE5-B91E-F711A276D6DC}" type="presParOf" srcId="{6A1BA275-409F-4D9E-B07F-2719E0B47D08}" destId="{4037B67F-5523-4E86-9137-FBAF231E928A}" srcOrd="0" destOrd="0" presId="urn:microsoft.com/office/officeart/2005/8/layout/orgChart1"/>
    <dgm:cxn modelId="{113D8DB0-C7F2-4245-BAFF-682FF9E65AF6}" type="presParOf" srcId="{4037B67F-5523-4E86-9137-FBAF231E928A}" destId="{AA1626BE-9187-46CD-AE6B-D4E6FEAB176D}" srcOrd="0" destOrd="0" presId="urn:microsoft.com/office/officeart/2005/8/layout/orgChart1"/>
    <dgm:cxn modelId="{0186DB2D-7DD3-48CF-AF5C-AF43B0A1F01A}" type="presParOf" srcId="{4037B67F-5523-4E86-9137-FBAF231E928A}" destId="{AD828840-4C16-40AA-B38F-1F5877465E76}" srcOrd="1" destOrd="0" presId="urn:microsoft.com/office/officeart/2005/8/layout/orgChart1"/>
    <dgm:cxn modelId="{8ADE6A2B-367C-4A95-842E-03BD2AA8CABF}" type="presParOf" srcId="{6A1BA275-409F-4D9E-B07F-2719E0B47D08}" destId="{9C89D3F9-0874-4CBC-B4AB-8449E17BB536}" srcOrd="1" destOrd="0" presId="urn:microsoft.com/office/officeart/2005/8/layout/orgChart1"/>
    <dgm:cxn modelId="{A3BA1A6B-7B42-491C-8C13-8AC535546CFF}" type="presParOf" srcId="{6A1BA275-409F-4D9E-B07F-2719E0B47D08}" destId="{E40EFB23-F093-4909-8A7F-2DC66197651E}" srcOrd="2" destOrd="0" presId="urn:microsoft.com/office/officeart/2005/8/layout/orgChart1"/>
    <dgm:cxn modelId="{FFAA254A-08DA-4A66-A069-C1CBBC826984}" type="presParOf" srcId="{FAD062D2-AD3E-449B-8862-35CD5D2BF8BD}" destId="{577E24B8-3C49-496E-8FFC-18EDB0DE621D}" srcOrd="4" destOrd="0" presId="urn:microsoft.com/office/officeart/2005/8/layout/orgChart1"/>
    <dgm:cxn modelId="{1B6C082F-0AF5-443A-9846-908D3F3ED2C9}" type="presParOf" srcId="{FAD062D2-AD3E-449B-8862-35CD5D2BF8BD}" destId="{88D0E821-31C7-41C4-9F18-326A545DA760}" srcOrd="5" destOrd="0" presId="urn:microsoft.com/office/officeart/2005/8/layout/orgChart1"/>
    <dgm:cxn modelId="{ADF5E9D7-AD98-4EE7-9849-6988C6975F17}" type="presParOf" srcId="{88D0E821-31C7-41C4-9F18-326A545DA760}" destId="{F2161599-976A-44AA-AFA1-A31010EC2672}" srcOrd="0" destOrd="0" presId="urn:microsoft.com/office/officeart/2005/8/layout/orgChart1"/>
    <dgm:cxn modelId="{D18E2D1F-62A8-4A96-BEC8-6CDFE3854477}" type="presParOf" srcId="{F2161599-976A-44AA-AFA1-A31010EC2672}" destId="{CDC98CCF-A9C4-4191-852D-0BDA9247A9A2}" srcOrd="0" destOrd="0" presId="urn:microsoft.com/office/officeart/2005/8/layout/orgChart1"/>
    <dgm:cxn modelId="{5631B91A-DBD6-4CEE-AC6E-EADC19599CE6}" type="presParOf" srcId="{F2161599-976A-44AA-AFA1-A31010EC2672}" destId="{CF2AABB9-B996-4349-B082-B755BDBA86E7}" srcOrd="1" destOrd="0" presId="urn:microsoft.com/office/officeart/2005/8/layout/orgChart1"/>
    <dgm:cxn modelId="{F6BC1A1A-27DE-4E3B-9142-2630543D9576}" type="presParOf" srcId="{88D0E821-31C7-41C4-9F18-326A545DA760}" destId="{B930389B-1A33-4E94-9CB8-9CC718831C89}" srcOrd="1" destOrd="0" presId="urn:microsoft.com/office/officeart/2005/8/layout/orgChart1"/>
    <dgm:cxn modelId="{B177712E-E582-442C-B7A4-951921CD55D5}" type="presParOf" srcId="{88D0E821-31C7-41C4-9F18-326A545DA760}" destId="{624D3F62-09D8-4116-97CC-C04CE447DEC0}" srcOrd="2" destOrd="0" presId="urn:microsoft.com/office/officeart/2005/8/layout/orgChart1"/>
    <dgm:cxn modelId="{78D54987-DB45-41B9-A20E-3C33F86996D9}" type="presParOf" srcId="{50C1A853-E6B1-483B-852E-4646B442279E}" destId="{C572FDF5-A114-4372-9593-D7ECCCC300BF}" srcOrd="2" destOrd="0" presId="urn:microsoft.com/office/officeart/2005/8/layout/orgChart1"/>
    <dgm:cxn modelId="{13537250-0E0A-4AE6-90C1-BF6D6CC4BD15}" type="presParOf" srcId="{C7DB6E4A-FDA3-4353-BD51-C2CA2D37B90B}" destId="{CEB4528F-5B11-4263-B5AA-EA9E6EF6319F}" srcOrd="8" destOrd="0" presId="urn:microsoft.com/office/officeart/2005/8/layout/orgChart1"/>
    <dgm:cxn modelId="{4510ED1E-99DE-4BC8-AAC8-D0FA5BADCBE4}" type="presParOf" srcId="{C7DB6E4A-FDA3-4353-BD51-C2CA2D37B90B}" destId="{50309BF9-D8D8-43B6-B808-EAC85BCA3959}" srcOrd="9" destOrd="0" presId="urn:microsoft.com/office/officeart/2005/8/layout/orgChart1"/>
    <dgm:cxn modelId="{A171FFEC-954B-452E-A552-B21068F69AC6}" type="presParOf" srcId="{50309BF9-D8D8-43B6-B808-EAC85BCA3959}" destId="{ADAAD5D6-D7C4-4330-BAA8-9837793EB909}" srcOrd="0" destOrd="0" presId="urn:microsoft.com/office/officeart/2005/8/layout/orgChart1"/>
    <dgm:cxn modelId="{37CF3E30-AED1-407A-8150-48CE4692D2FF}" type="presParOf" srcId="{ADAAD5D6-D7C4-4330-BAA8-9837793EB909}" destId="{104DA63A-501C-4707-B15F-8F4CAA415353}" srcOrd="0" destOrd="0" presId="urn:microsoft.com/office/officeart/2005/8/layout/orgChart1"/>
    <dgm:cxn modelId="{277E5F5C-C31B-4D59-87D1-EA9502444C0C}" type="presParOf" srcId="{ADAAD5D6-D7C4-4330-BAA8-9837793EB909}" destId="{56CFF035-930F-496A-9EA1-0D9C0B6AC888}" srcOrd="1" destOrd="0" presId="urn:microsoft.com/office/officeart/2005/8/layout/orgChart1"/>
    <dgm:cxn modelId="{C3E10298-9909-4713-A8ED-A5307316155B}" type="presParOf" srcId="{50309BF9-D8D8-43B6-B808-EAC85BCA3959}" destId="{7E4EE474-D905-4C0B-901D-7C784BDD405D}" srcOrd="1" destOrd="0" presId="urn:microsoft.com/office/officeart/2005/8/layout/orgChart1"/>
    <dgm:cxn modelId="{B317FCBC-4F7B-4BA8-ACA0-F97CB2525DE9}" type="presParOf" srcId="{7E4EE474-D905-4C0B-901D-7C784BDD405D}" destId="{3AF6DEF1-58B8-4093-911F-E55903418FE3}" srcOrd="0" destOrd="0" presId="urn:microsoft.com/office/officeart/2005/8/layout/orgChart1"/>
    <dgm:cxn modelId="{AAB50F4E-DEE3-4675-BCD9-376D56205D99}" type="presParOf" srcId="{7E4EE474-D905-4C0B-901D-7C784BDD405D}" destId="{9F5B6A45-495F-4FC1-8CBF-96CE23AA73E3}" srcOrd="1" destOrd="0" presId="urn:microsoft.com/office/officeart/2005/8/layout/orgChart1"/>
    <dgm:cxn modelId="{74CE2DF3-B37E-430D-AB70-600034E2AF50}" type="presParOf" srcId="{9F5B6A45-495F-4FC1-8CBF-96CE23AA73E3}" destId="{72E72DFB-D204-401D-8D24-F99336781E9F}" srcOrd="0" destOrd="0" presId="urn:microsoft.com/office/officeart/2005/8/layout/orgChart1"/>
    <dgm:cxn modelId="{49F8A1F9-4BF7-4C9C-BE4A-655D726DD387}" type="presParOf" srcId="{72E72DFB-D204-401D-8D24-F99336781E9F}" destId="{3804521D-DEE9-4D07-92F9-44A6A7C9E53A}" srcOrd="0" destOrd="0" presId="urn:microsoft.com/office/officeart/2005/8/layout/orgChart1"/>
    <dgm:cxn modelId="{CA868FCA-2234-4664-918E-C69FA1CF9D58}" type="presParOf" srcId="{72E72DFB-D204-401D-8D24-F99336781E9F}" destId="{D42C5DAA-986D-41FA-855D-92FE27D468FB}" srcOrd="1" destOrd="0" presId="urn:microsoft.com/office/officeart/2005/8/layout/orgChart1"/>
    <dgm:cxn modelId="{EFA06B6B-E596-474D-9D44-4AC9802F4ECD}" type="presParOf" srcId="{9F5B6A45-495F-4FC1-8CBF-96CE23AA73E3}" destId="{AB75A0C0-9C06-46A2-B17D-9235683F1DEB}" srcOrd="1" destOrd="0" presId="urn:microsoft.com/office/officeart/2005/8/layout/orgChart1"/>
    <dgm:cxn modelId="{D01F3402-B76E-4BD1-8F33-902569E6DA41}" type="presParOf" srcId="{9F5B6A45-495F-4FC1-8CBF-96CE23AA73E3}" destId="{35208B96-3BFB-41CE-B333-C966FECF4541}" srcOrd="2" destOrd="0" presId="urn:microsoft.com/office/officeart/2005/8/layout/orgChart1"/>
    <dgm:cxn modelId="{B64D5141-52B4-45B8-BF4E-766BDD90C3E6}" type="presParOf" srcId="{7E4EE474-D905-4C0B-901D-7C784BDD405D}" destId="{8D570137-0FC5-4577-9FE8-E33F34B5E7F8}" srcOrd="2" destOrd="0" presId="urn:microsoft.com/office/officeart/2005/8/layout/orgChart1"/>
    <dgm:cxn modelId="{20F1E8ED-0797-46BC-A61D-4839FD1D9E31}" type="presParOf" srcId="{7E4EE474-D905-4C0B-901D-7C784BDD405D}" destId="{820AAF60-7073-4EAB-9883-7148B548E9F0}" srcOrd="3" destOrd="0" presId="urn:microsoft.com/office/officeart/2005/8/layout/orgChart1"/>
    <dgm:cxn modelId="{B344D9BA-8D36-4D58-809E-1756D12D8E84}" type="presParOf" srcId="{820AAF60-7073-4EAB-9883-7148B548E9F0}" destId="{53C4FF94-7756-4251-9B52-004E88F685D5}" srcOrd="0" destOrd="0" presId="urn:microsoft.com/office/officeart/2005/8/layout/orgChart1"/>
    <dgm:cxn modelId="{D2544AC8-B59A-4559-9CFF-38CDDD758531}" type="presParOf" srcId="{53C4FF94-7756-4251-9B52-004E88F685D5}" destId="{7B9093F3-87E6-40ED-AB18-B5B05515D707}" srcOrd="0" destOrd="0" presId="urn:microsoft.com/office/officeart/2005/8/layout/orgChart1"/>
    <dgm:cxn modelId="{4D4861D7-5EE1-41C7-8EE8-F5DDA39D2A45}" type="presParOf" srcId="{53C4FF94-7756-4251-9B52-004E88F685D5}" destId="{0C5CEAC7-8EB8-4C8C-BB6E-E702AE1B01F3}" srcOrd="1" destOrd="0" presId="urn:microsoft.com/office/officeart/2005/8/layout/orgChart1"/>
    <dgm:cxn modelId="{708E8966-E274-4B44-9087-35EA261E77F7}" type="presParOf" srcId="{820AAF60-7073-4EAB-9883-7148B548E9F0}" destId="{342476A1-CABF-43DA-AD28-3EC10C727C03}" srcOrd="1" destOrd="0" presId="urn:microsoft.com/office/officeart/2005/8/layout/orgChart1"/>
    <dgm:cxn modelId="{D86ACEBD-CC1E-4DAE-BEE5-00B6FFA9BB55}" type="presParOf" srcId="{820AAF60-7073-4EAB-9883-7148B548E9F0}" destId="{6B79D6B8-3E5A-411A-9632-634059ECD756}" srcOrd="2" destOrd="0" presId="urn:microsoft.com/office/officeart/2005/8/layout/orgChart1"/>
    <dgm:cxn modelId="{E3B5D951-A09F-4089-8F11-7B140BEA64B4}" type="presParOf" srcId="{7E4EE474-D905-4C0B-901D-7C784BDD405D}" destId="{2E0BADC6-4548-4E2D-A212-02FC92F2E657}" srcOrd="4" destOrd="0" presId="urn:microsoft.com/office/officeart/2005/8/layout/orgChart1"/>
    <dgm:cxn modelId="{7145E228-8BF1-4264-8DD1-FA05CBA94F90}" type="presParOf" srcId="{7E4EE474-D905-4C0B-901D-7C784BDD405D}" destId="{EA9E955E-D407-4288-B3AA-843E383403B0}" srcOrd="5" destOrd="0" presId="urn:microsoft.com/office/officeart/2005/8/layout/orgChart1"/>
    <dgm:cxn modelId="{39143500-01AF-49E3-847E-6DF5CC65B6D7}" type="presParOf" srcId="{EA9E955E-D407-4288-B3AA-843E383403B0}" destId="{947355F6-9555-4382-A23F-DF2E7DEFCFDE}" srcOrd="0" destOrd="0" presId="urn:microsoft.com/office/officeart/2005/8/layout/orgChart1"/>
    <dgm:cxn modelId="{0F6986D6-1050-42CA-997F-060E7A43F1A9}" type="presParOf" srcId="{947355F6-9555-4382-A23F-DF2E7DEFCFDE}" destId="{7460B2FA-E554-4A46-806E-4CB157EE513B}" srcOrd="0" destOrd="0" presId="urn:microsoft.com/office/officeart/2005/8/layout/orgChart1"/>
    <dgm:cxn modelId="{34729F56-4A79-44B0-9F77-7395769B2883}" type="presParOf" srcId="{947355F6-9555-4382-A23F-DF2E7DEFCFDE}" destId="{BD90A9E9-08C6-47BD-9D44-D4890EE91228}" srcOrd="1" destOrd="0" presId="urn:microsoft.com/office/officeart/2005/8/layout/orgChart1"/>
    <dgm:cxn modelId="{9CC9304A-A304-4D9A-9A68-CDD69E6E3DA7}" type="presParOf" srcId="{EA9E955E-D407-4288-B3AA-843E383403B0}" destId="{EDFCB3BE-5599-404B-889E-18E41448F86B}" srcOrd="1" destOrd="0" presId="urn:microsoft.com/office/officeart/2005/8/layout/orgChart1"/>
    <dgm:cxn modelId="{FB1AB13E-D246-4611-BFD3-268B91C5CFEA}" type="presParOf" srcId="{EA9E955E-D407-4288-B3AA-843E383403B0}" destId="{F407DA26-F3BC-44C3-8630-CD623DE156F3}" srcOrd="2" destOrd="0" presId="urn:microsoft.com/office/officeart/2005/8/layout/orgChart1"/>
    <dgm:cxn modelId="{C7100771-8210-4471-864E-91C89D83575F}" type="presParOf" srcId="{50309BF9-D8D8-43B6-B808-EAC85BCA3959}" destId="{23253C9D-DEE7-422E-81D2-B7FB13573AD3}" srcOrd="2" destOrd="0" presId="urn:microsoft.com/office/officeart/2005/8/layout/orgChart1"/>
    <dgm:cxn modelId="{C69C2428-AFB8-4198-BE8D-4A175A123E73}" type="presParOf" srcId="{C7DB6E4A-FDA3-4353-BD51-C2CA2D37B90B}" destId="{BF18C3B8-4518-48A3-9306-2E197D1E33FF}" srcOrd="10" destOrd="0" presId="urn:microsoft.com/office/officeart/2005/8/layout/orgChart1"/>
    <dgm:cxn modelId="{48946124-442E-40B7-A9F6-4F823EDAD31F}" type="presParOf" srcId="{C7DB6E4A-FDA3-4353-BD51-C2CA2D37B90B}" destId="{B646CD21-A6DB-49C6-BD9E-35129EBEE5E4}" srcOrd="11" destOrd="0" presId="urn:microsoft.com/office/officeart/2005/8/layout/orgChart1"/>
    <dgm:cxn modelId="{3E9838B4-3B2A-400A-8054-CFEE02895AF4}" type="presParOf" srcId="{B646CD21-A6DB-49C6-BD9E-35129EBEE5E4}" destId="{58379B72-83D4-4C90-8073-D55C2FAA03B7}" srcOrd="0" destOrd="0" presId="urn:microsoft.com/office/officeart/2005/8/layout/orgChart1"/>
    <dgm:cxn modelId="{5DA86A85-9135-4104-94AD-A3644F70080A}" type="presParOf" srcId="{58379B72-83D4-4C90-8073-D55C2FAA03B7}" destId="{0C7A7BBF-3F62-4ACD-A12C-8C082E47C98E}" srcOrd="0" destOrd="0" presId="urn:microsoft.com/office/officeart/2005/8/layout/orgChart1"/>
    <dgm:cxn modelId="{411FC079-0DEA-41CA-B533-375B5F4ADCCE}" type="presParOf" srcId="{58379B72-83D4-4C90-8073-D55C2FAA03B7}" destId="{9EBB0AC7-2380-47E6-93DB-EECBB8FB852B}" srcOrd="1" destOrd="0" presId="urn:microsoft.com/office/officeart/2005/8/layout/orgChart1"/>
    <dgm:cxn modelId="{B1A47662-9C93-4109-B159-8C2136F03E6D}" type="presParOf" srcId="{B646CD21-A6DB-49C6-BD9E-35129EBEE5E4}" destId="{07F5F05B-F5AC-4DF7-96D9-0F27A9D077BB}" srcOrd="1" destOrd="0" presId="urn:microsoft.com/office/officeart/2005/8/layout/orgChart1"/>
    <dgm:cxn modelId="{94635979-4CF3-4172-A3DF-177BEE5A148E}" type="presParOf" srcId="{B646CD21-A6DB-49C6-BD9E-35129EBEE5E4}" destId="{179498E2-8E62-4116-8B0E-FC8161B2AE6D}" srcOrd="2" destOrd="0" presId="urn:microsoft.com/office/officeart/2005/8/layout/orgChart1"/>
    <dgm:cxn modelId="{0343B19F-9CD4-4273-8366-6D71A2856D6C}" type="presParOf" srcId="{C7DB6E4A-FDA3-4353-BD51-C2CA2D37B90B}" destId="{B13B6798-F9E1-42DC-8F73-CE6CC610D7FF}" srcOrd="12" destOrd="0" presId="urn:microsoft.com/office/officeart/2005/8/layout/orgChart1"/>
    <dgm:cxn modelId="{9D8B3F03-EEA4-41DA-B2F6-AFB802C843E7}" type="presParOf" srcId="{C7DB6E4A-FDA3-4353-BD51-C2CA2D37B90B}" destId="{8C2CA262-4AB3-44F3-B6CA-0D451405D644}" srcOrd="13" destOrd="0" presId="urn:microsoft.com/office/officeart/2005/8/layout/orgChart1"/>
    <dgm:cxn modelId="{CD35EA65-4D56-435D-A7E0-248A701366E6}" type="presParOf" srcId="{8C2CA262-4AB3-44F3-B6CA-0D451405D644}" destId="{C175E7C1-9994-475D-99B1-77F725B1D964}" srcOrd="0" destOrd="0" presId="urn:microsoft.com/office/officeart/2005/8/layout/orgChart1"/>
    <dgm:cxn modelId="{E16FC708-03FF-4720-8B52-60DB1B9E5561}" type="presParOf" srcId="{C175E7C1-9994-475D-99B1-77F725B1D964}" destId="{7BD3537E-12BC-4463-B76F-AB644948906C}" srcOrd="0" destOrd="0" presId="urn:microsoft.com/office/officeart/2005/8/layout/orgChart1"/>
    <dgm:cxn modelId="{335CDCAC-8AEF-4E05-8145-BCED55CC0736}" type="presParOf" srcId="{C175E7C1-9994-475D-99B1-77F725B1D964}" destId="{21B23348-0996-4355-A150-C97A16B8F08A}" srcOrd="1" destOrd="0" presId="urn:microsoft.com/office/officeart/2005/8/layout/orgChart1"/>
    <dgm:cxn modelId="{4DBF8B95-6D5F-4892-A456-CD3A0A19A9BB}" type="presParOf" srcId="{8C2CA262-4AB3-44F3-B6CA-0D451405D644}" destId="{A06A2064-F547-4CC0-8418-5B82F293459A}" srcOrd="1" destOrd="0" presId="urn:microsoft.com/office/officeart/2005/8/layout/orgChart1"/>
    <dgm:cxn modelId="{86A4DE8F-C0E2-4817-B2E0-873B0ED824C1}" type="presParOf" srcId="{8C2CA262-4AB3-44F3-B6CA-0D451405D644}" destId="{43AB5691-558E-43D8-9159-8C00FEDC90A6}" srcOrd="2" destOrd="0" presId="urn:microsoft.com/office/officeart/2005/8/layout/orgChart1"/>
    <dgm:cxn modelId="{3C03615B-9E14-4BDA-A155-C6DD2C24567E}" type="presParOf" srcId="{FDF4D23A-7C63-4679-BCE8-CC2A62522B82}" destId="{3066EB51-CF2C-41B1-B4C2-8770BC503845}" srcOrd="2" destOrd="0" presId="urn:microsoft.com/office/officeart/2005/8/layout/orgChart1"/>
    <dgm:cxn modelId="{E9B8173F-F2A9-4F10-8AD2-BA8AAFF7DA56}" type="presParOf" srcId="{0C24F2F3-E521-409B-AC58-ED8B2859CEC0}" destId="{62DF908E-1B67-474F-82AB-BB0BF2AB8D46}" srcOrd="2" destOrd="0" presId="urn:microsoft.com/office/officeart/2005/8/layout/orgChart1"/>
    <dgm:cxn modelId="{27D505F8-CE21-4687-89B3-FBFD7565B4D3}" type="presParOf" srcId="{0C24F2F3-E521-409B-AC58-ED8B2859CEC0}" destId="{98832BCA-BAE6-4483-81CA-4DC6B08A8E82}" srcOrd="3" destOrd="0" presId="urn:microsoft.com/office/officeart/2005/8/layout/orgChart1"/>
    <dgm:cxn modelId="{98823803-C785-48D8-AE7A-038008F06AB8}" type="presParOf" srcId="{98832BCA-BAE6-4483-81CA-4DC6B08A8E82}" destId="{F8EBF1E3-5619-40C9-B2F3-EAD44E7DA7BD}" srcOrd="0" destOrd="0" presId="urn:microsoft.com/office/officeart/2005/8/layout/orgChart1"/>
    <dgm:cxn modelId="{34BF8144-901F-4DE9-A117-BC21D51A4B0E}" type="presParOf" srcId="{F8EBF1E3-5619-40C9-B2F3-EAD44E7DA7BD}" destId="{336F8731-07A5-4580-9C55-19E0A8C6D2D2}" srcOrd="0" destOrd="0" presId="urn:microsoft.com/office/officeart/2005/8/layout/orgChart1"/>
    <dgm:cxn modelId="{7C231824-527D-4435-8786-EF9E625F0BD0}" type="presParOf" srcId="{F8EBF1E3-5619-40C9-B2F3-EAD44E7DA7BD}" destId="{1EBAF56F-167B-46F0-BD22-768616D2F80F}" srcOrd="1" destOrd="0" presId="urn:microsoft.com/office/officeart/2005/8/layout/orgChart1"/>
    <dgm:cxn modelId="{46BA07C5-D598-4BED-90F8-43D6B50D4F42}" type="presParOf" srcId="{98832BCA-BAE6-4483-81CA-4DC6B08A8E82}" destId="{4BDACEF4-E742-4788-90DC-4C56A6ECEFC4}" srcOrd="1" destOrd="0" presId="urn:microsoft.com/office/officeart/2005/8/layout/orgChart1"/>
    <dgm:cxn modelId="{51DE0D1F-99FB-4E00-BE92-82822C9930EB}" type="presParOf" srcId="{4BDACEF4-E742-4788-90DC-4C56A6ECEFC4}" destId="{B510B94B-3653-4D55-A5BD-A4E6E83ABABD}" srcOrd="0" destOrd="0" presId="urn:microsoft.com/office/officeart/2005/8/layout/orgChart1"/>
    <dgm:cxn modelId="{A9DC4366-A7CC-4B09-8BDA-FF3F252B8B07}" type="presParOf" srcId="{4BDACEF4-E742-4788-90DC-4C56A6ECEFC4}" destId="{8F979138-F445-4A74-B1C8-168DD539A8F1}" srcOrd="1" destOrd="0" presId="urn:microsoft.com/office/officeart/2005/8/layout/orgChart1"/>
    <dgm:cxn modelId="{9479CDAC-78AC-4144-A39A-E2A706032D43}" type="presParOf" srcId="{8F979138-F445-4A74-B1C8-168DD539A8F1}" destId="{E5EB95B5-5187-4605-B2B0-C58843B0A22D}" srcOrd="0" destOrd="0" presId="urn:microsoft.com/office/officeart/2005/8/layout/orgChart1"/>
    <dgm:cxn modelId="{37413804-68DF-4D48-9A52-C8222DD74BBC}" type="presParOf" srcId="{E5EB95B5-5187-4605-B2B0-C58843B0A22D}" destId="{2345063D-B7D9-413B-B5BD-457E85BA1AB4}" srcOrd="0" destOrd="0" presId="urn:microsoft.com/office/officeart/2005/8/layout/orgChart1"/>
    <dgm:cxn modelId="{57DF65A4-49EE-40F2-951F-5A9557CAEC62}" type="presParOf" srcId="{E5EB95B5-5187-4605-B2B0-C58843B0A22D}" destId="{D5B1C872-83F9-4EFC-9BED-7F3648911521}" srcOrd="1" destOrd="0" presId="urn:microsoft.com/office/officeart/2005/8/layout/orgChart1"/>
    <dgm:cxn modelId="{6A464635-7673-44E6-BFF5-DD8F4008DB51}" type="presParOf" srcId="{8F979138-F445-4A74-B1C8-168DD539A8F1}" destId="{C8F20E65-C191-46C7-AF5E-4C85F4AE2465}" srcOrd="1" destOrd="0" presId="urn:microsoft.com/office/officeart/2005/8/layout/orgChart1"/>
    <dgm:cxn modelId="{A6905EAE-5858-48A1-A8DB-13F3D17B2EF2}" type="presParOf" srcId="{C8F20E65-C191-46C7-AF5E-4C85F4AE2465}" destId="{72C7E78C-8758-49AC-AAB3-B688605FF9B9}" srcOrd="0" destOrd="0" presId="urn:microsoft.com/office/officeart/2005/8/layout/orgChart1"/>
    <dgm:cxn modelId="{539F5D53-23DC-46AC-AAD5-B858818FEB8B}" type="presParOf" srcId="{C8F20E65-C191-46C7-AF5E-4C85F4AE2465}" destId="{305BEF3E-605A-4DC8-BFB1-B97E0010177D}" srcOrd="1" destOrd="0" presId="urn:microsoft.com/office/officeart/2005/8/layout/orgChart1"/>
    <dgm:cxn modelId="{CADF4A47-2DA3-4B69-8486-9797B89FD054}" type="presParOf" srcId="{305BEF3E-605A-4DC8-BFB1-B97E0010177D}" destId="{E15F4EF8-F6F1-4CFF-8C5C-D1B6314267BE}" srcOrd="0" destOrd="0" presId="urn:microsoft.com/office/officeart/2005/8/layout/orgChart1"/>
    <dgm:cxn modelId="{3E5366B7-D1C1-4C9E-B2D4-44D8B3F125E7}" type="presParOf" srcId="{E15F4EF8-F6F1-4CFF-8C5C-D1B6314267BE}" destId="{E60CB9C9-A214-492F-A1CE-53114F1A3A22}" srcOrd="0" destOrd="0" presId="urn:microsoft.com/office/officeart/2005/8/layout/orgChart1"/>
    <dgm:cxn modelId="{D2B418B8-4F4A-4B64-A404-113E84EEC8FC}" type="presParOf" srcId="{E15F4EF8-F6F1-4CFF-8C5C-D1B6314267BE}" destId="{37BCCB50-F85C-4358-BF47-1EFAD47ECC35}" srcOrd="1" destOrd="0" presId="urn:microsoft.com/office/officeart/2005/8/layout/orgChart1"/>
    <dgm:cxn modelId="{1572E520-5529-46D4-8092-F46A9AFC3EB4}" type="presParOf" srcId="{305BEF3E-605A-4DC8-BFB1-B97E0010177D}" destId="{128CCC2D-9D72-4BCA-A997-7FF8E63E60D6}" srcOrd="1" destOrd="0" presId="urn:microsoft.com/office/officeart/2005/8/layout/orgChart1"/>
    <dgm:cxn modelId="{B6202D60-005E-47FC-8408-A50EDB21224D}" type="presParOf" srcId="{305BEF3E-605A-4DC8-BFB1-B97E0010177D}" destId="{A85A19C3-DE02-4208-98CE-680AC305AB81}" srcOrd="2" destOrd="0" presId="urn:microsoft.com/office/officeart/2005/8/layout/orgChart1"/>
    <dgm:cxn modelId="{69A4E45E-207E-4B66-9EB4-4CFFE710B00A}" type="presParOf" srcId="{C8F20E65-C191-46C7-AF5E-4C85F4AE2465}" destId="{A369B5EB-6003-4C63-9EAE-F1C59E5910C7}" srcOrd="2" destOrd="0" presId="urn:microsoft.com/office/officeart/2005/8/layout/orgChart1"/>
    <dgm:cxn modelId="{7CA50A94-78E1-48E9-8C29-0BFE9B78ACDA}" type="presParOf" srcId="{C8F20E65-C191-46C7-AF5E-4C85F4AE2465}" destId="{698F8690-E2B7-4612-AB8C-B79F7058475B}" srcOrd="3" destOrd="0" presId="urn:microsoft.com/office/officeart/2005/8/layout/orgChart1"/>
    <dgm:cxn modelId="{8BACC0B8-A64D-4087-B5A8-B400879BE705}" type="presParOf" srcId="{698F8690-E2B7-4612-AB8C-B79F7058475B}" destId="{0FAE6F05-5623-4DF9-AAFB-01AE21D3DFDD}" srcOrd="0" destOrd="0" presId="urn:microsoft.com/office/officeart/2005/8/layout/orgChart1"/>
    <dgm:cxn modelId="{67771C51-EB43-4ED4-8385-31A2CFBDA3D6}" type="presParOf" srcId="{0FAE6F05-5623-4DF9-AAFB-01AE21D3DFDD}" destId="{B35C6DCE-CAF8-47E9-948A-841654FBAC2C}" srcOrd="0" destOrd="0" presId="urn:microsoft.com/office/officeart/2005/8/layout/orgChart1"/>
    <dgm:cxn modelId="{6A4E8D51-59CF-4B79-A892-9A5880DA1FD3}" type="presParOf" srcId="{0FAE6F05-5623-4DF9-AAFB-01AE21D3DFDD}" destId="{2A6666C4-7E67-4446-928C-F2574E183C3B}" srcOrd="1" destOrd="0" presId="urn:microsoft.com/office/officeart/2005/8/layout/orgChart1"/>
    <dgm:cxn modelId="{219156BD-1A39-45F3-9A2F-57430BFE9CE6}" type="presParOf" srcId="{698F8690-E2B7-4612-AB8C-B79F7058475B}" destId="{0D50AD8E-8765-4B8D-9605-DA9AC0BD347E}" srcOrd="1" destOrd="0" presId="urn:microsoft.com/office/officeart/2005/8/layout/orgChart1"/>
    <dgm:cxn modelId="{A388AF38-3906-487C-AAF3-893C6CC40472}" type="presParOf" srcId="{698F8690-E2B7-4612-AB8C-B79F7058475B}" destId="{10C37824-3121-49BB-B52D-BEF68455E27F}" srcOrd="2" destOrd="0" presId="urn:microsoft.com/office/officeart/2005/8/layout/orgChart1"/>
    <dgm:cxn modelId="{733883A9-75F5-412F-B2C7-2683C62B5E6F}" type="presParOf" srcId="{C8F20E65-C191-46C7-AF5E-4C85F4AE2465}" destId="{400C2455-839D-4321-88EC-8558A31B6B05}" srcOrd="4" destOrd="0" presId="urn:microsoft.com/office/officeart/2005/8/layout/orgChart1"/>
    <dgm:cxn modelId="{5C146B41-2E1B-4E5A-8BF0-340D2306C7F6}" type="presParOf" srcId="{C8F20E65-C191-46C7-AF5E-4C85F4AE2465}" destId="{9188A3FB-EA98-4FFC-AAB8-C663C95CF767}" srcOrd="5" destOrd="0" presId="urn:microsoft.com/office/officeart/2005/8/layout/orgChart1"/>
    <dgm:cxn modelId="{03461CBD-4D64-4E2B-A321-8F9FFEF7D814}" type="presParOf" srcId="{9188A3FB-EA98-4FFC-AAB8-C663C95CF767}" destId="{3A46EDAB-7632-4461-9D73-201C83D729F8}" srcOrd="0" destOrd="0" presId="urn:microsoft.com/office/officeart/2005/8/layout/orgChart1"/>
    <dgm:cxn modelId="{CD2AA21D-CC39-4FB0-AB0B-9CD00BB76378}" type="presParOf" srcId="{3A46EDAB-7632-4461-9D73-201C83D729F8}" destId="{FB193415-F47D-4AE8-A9EE-80D06D20D917}" srcOrd="0" destOrd="0" presId="urn:microsoft.com/office/officeart/2005/8/layout/orgChart1"/>
    <dgm:cxn modelId="{4D1CB527-4823-4003-9CEE-B6C817D71DD4}" type="presParOf" srcId="{3A46EDAB-7632-4461-9D73-201C83D729F8}" destId="{3A5B05EB-BE23-4201-95B0-5ABA90F5431D}" srcOrd="1" destOrd="0" presId="urn:microsoft.com/office/officeart/2005/8/layout/orgChart1"/>
    <dgm:cxn modelId="{2CAC7456-121C-48B4-B76A-09D82025570C}" type="presParOf" srcId="{9188A3FB-EA98-4FFC-AAB8-C663C95CF767}" destId="{5565007F-691F-45ED-8ABA-EA646BDD1A8B}" srcOrd="1" destOrd="0" presId="urn:microsoft.com/office/officeart/2005/8/layout/orgChart1"/>
    <dgm:cxn modelId="{18356AD8-FFD3-4DFD-868C-B403C341115E}" type="presParOf" srcId="{9188A3FB-EA98-4FFC-AAB8-C663C95CF767}" destId="{E66BDE45-AB77-463F-B032-9B2B6D489E2C}" srcOrd="2" destOrd="0" presId="urn:microsoft.com/office/officeart/2005/8/layout/orgChart1"/>
    <dgm:cxn modelId="{B052D53E-01ED-4234-8486-003E1FFCE3C6}" type="presParOf" srcId="{C8F20E65-C191-46C7-AF5E-4C85F4AE2465}" destId="{D3B6D984-99F4-44F4-8926-A4A18A5481A7}" srcOrd="6" destOrd="0" presId="urn:microsoft.com/office/officeart/2005/8/layout/orgChart1"/>
    <dgm:cxn modelId="{E0BA1B8E-739C-4F24-A3B7-2E6D34EA2634}" type="presParOf" srcId="{C8F20E65-C191-46C7-AF5E-4C85F4AE2465}" destId="{6AA7FDDD-3EA7-44B5-9849-7FE6723C889A}" srcOrd="7" destOrd="0" presId="urn:microsoft.com/office/officeart/2005/8/layout/orgChart1"/>
    <dgm:cxn modelId="{9F8144C2-BE31-41FB-B91D-52E81B28D35E}" type="presParOf" srcId="{6AA7FDDD-3EA7-44B5-9849-7FE6723C889A}" destId="{38BFEE2E-DDB0-426A-96BB-38BAB7C7EDEF}" srcOrd="0" destOrd="0" presId="urn:microsoft.com/office/officeart/2005/8/layout/orgChart1"/>
    <dgm:cxn modelId="{3CAC0237-AFF6-4BE8-889E-528FDA64793F}" type="presParOf" srcId="{38BFEE2E-DDB0-426A-96BB-38BAB7C7EDEF}" destId="{0A6011F9-311C-45BF-9F94-1C2B488C3D30}" srcOrd="0" destOrd="0" presId="urn:microsoft.com/office/officeart/2005/8/layout/orgChart1"/>
    <dgm:cxn modelId="{30542CFD-BEB8-4EEF-B634-1E50C6F08EB9}" type="presParOf" srcId="{38BFEE2E-DDB0-426A-96BB-38BAB7C7EDEF}" destId="{7C791DE4-27C0-47A2-A0AF-1CC4E23F4082}" srcOrd="1" destOrd="0" presId="urn:microsoft.com/office/officeart/2005/8/layout/orgChart1"/>
    <dgm:cxn modelId="{2CCA7D1A-28D9-4D6C-9E65-3DB9255B4332}" type="presParOf" srcId="{6AA7FDDD-3EA7-44B5-9849-7FE6723C889A}" destId="{95F414B9-BABF-49EC-8EA9-DFBC98F1BDAB}" srcOrd="1" destOrd="0" presId="urn:microsoft.com/office/officeart/2005/8/layout/orgChart1"/>
    <dgm:cxn modelId="{AECB4746-A13F-468F-A6A0-7635C9979549}" type="presParOf" srcId="{6AA7FDDD-3EA7-44B5-9849-7FE6723C889A}" destId="{70A9AA12-B689-4BBC-9D36-A37E75098BF2}" srcOrd="2" destOrd="0" presId="urn:microsoft.com/office/officeart/2005/8/layout/orgChart1"/>
    <dgm:cxn modelId="{0592B9A1-284A-43D3-BA34-5552DB76984B}" type="presParOf" srcId="{C8F20E65-C191-46C7-AF5E-4C85F4AE2465}" destId="{24B61380-D945-4C4F-B694-2730079C8AEE}" srcOrd="8" destOrd="0" presId="urn:microsoft.com/office/officeart/2005/8/layout/orgChart1"/>
    <dgm:cxn modelId="{DFD2485B-3005-4B89-9576-60A732A9162E}" type="presParOf" srcId="{C8F20E65-C191-46C7-AF5E-4C85F4AE2465}" destId="{6955A963-10B5-41D7-B430-C40477024163}" srcOrd="9" destOrd="0" presId="urn:microsoft.com/office/officeart/2005/8/layout/orgChart1"/>
    <dgm:cxn modelId="{DE9D8623-5A10-446A-B578-DAC846EBE7C9}" type="presParOf" srcId="{6955A963-10B5-41D7-B430-C40477024163}" destId="{4640126D-2CE7-4701-B7DF-3CE763654D4A}" srcOrd="0" destOrd="0" presId="urn:microsoft.com/office/officeart/2005/8/layout/orgChart1"/>
    <dgm:cxn modelId="{944854FE-D81C-4238-B944-20D48B93F30E}" type="presParOf" srcId="{4640126D-2CE7-4701-B7DF-3CE763654D4A}" destId="{18A772E2-306E-4293-AE9F-E9D0B634F60E}" srcOrd="0" destOrd="0" presId="urn:microsoft.com/office/officeart/2005/8/layout/orgChart1"/>
    <dgm:cxn modelId="{251F6199-F184-4461-9D5C-5EED3A4276FF}" type="presParOf" srcId="{4640126D-2CE7-4701-B7DF-3CE763654D4A}" destId="{6CDB6BA7-8F8A-4A2A-A6E4-446940CD3B8F}" srcOrd="1" destOrd="0" presId="urn:microsoft.com/office/officeart/2005/8/layout/orgChart1"/>
    <dgm:cxn modelId="{525ACC46-85C2-4FFC-9F56-D4B8539F1289}" type="presParOf" srcId="{6955A963-10B5-41D7-B430-C40477024163}" destId="{E8A37FEC-E9A6-4CDD-970B-3BFE4DB17F25}" srcOrd="1" destOrd="0" presId="urn:microsoft.com/office/officeart/2005/8/layout/orgChart1"/>
    <dgm:cxn modelId="{E4147D1C-BBC3-47D0-B3A8-7EC4787094B7}" type="presParOf" srcId="{6955A963-10B5-41D7-B430-C40477024163}" destId="{790678FD-C818-4BC5-AD61-11AF32DD2020}" srcOrd="2" destOrd="0" presId="urn:microsoft.com/office/officeart/2005/8/layout/orgChart1"/>
    <dgm:cxn modelId="{1938C36F-9F8F-4424-ABEA-84CD66CC590B}" type="presParOf" srcId="{C8F20E65-C191-46C7-AF5E-4C85F4AE2465}" destId="{8AB0224A-AA26-4818-B013-FB8CA015E5A7}" srcOrd="10" destOrd="0" presId="urn:microsoft.com/office/officeart/2005/8/layout/orgChart1"/>
    <dgm:cxn modelId="{2A2278F3-ABEA-445A-BD84-15619F64F1C1}" type="presParOf" srcId="{C8F20E65-C191-46C7-AF5E-4C85F4AE2465}" destId="{773DAD92-B851-4871-ACF7-6B12B2159740}" srcOrd="11" destOrd="0" presId="urn:microsoft.com/office/officeart/2005/8/layout/orgChart1"/>
    <dgm:cxn modelId="{33B9A391-3CA1-442C-94BE-2B97A40353D0}" type="presParOf" srcId="{773DAD92-B851-4871-ACF7-6B12B2159740}" destId="{D9BB67E6-DD02-452A-A990-42BA12A9BC23}" srcOrd="0" destOrd="0" presId="urn:microsoft.com/office/officeart/2005/8/layout/orgChart1"/>
    <dgm:cxn modelId="{7A3E2518-DF3E-47BD-8369-BC815B613434}" type="presParOf" srcId="{D9BB67E6-DD02-452A-A990-42BA12A9BC23}" destId="{FE5EA351-6513-470A-9732-F75F35A1F54C}" srcOrd="0" destOrd="0" presId="urn:microsoft.com/office/officeart/2005/8/layout/orgChart1"/>
    <dgm:cxn modelId="{D3B093E3-6BBC-4E66-AACC-BF7DFF976692}" type="presParOf" srcId="{D9BB67E6-DD02-452A-A990-42BA12A9BC23}" destId="{8502C1BF-2D5C-4CB2-B963-6C2F2FA06580}" srcOrd="1" destOrd="0" presId="urn:microsoft.com/office/officeart/2005/8/layout/orgChart1"/>
    <dgm:cxn modelId="{30E8D8FD-64BC-4808-96E3-7988C9CF6735}" type="presParOf" srcId="{773DAD92-B851-4871-ACF7-6B12B2159740}" destId="{E04F0074-F24D-4D81-B930-3511A108F2EF}" srcOrd="1" destOrd="0" presId="urn:microsoft.com/office/officeart/2005/8/layout/orgChart1"/>
    <dgm:cxn modelId="{A592FA64-F618-4555-949B-AF2620EDC3CF}" type="presParOf" srcId="{773DAD92-B851-4871-ACF7-6B12B2159740}" destId="{8B182B00-1E96-4D71-BDED-2EF6E6BDB8B3}" srcOrd="2" destOrd="0" presId="urn:microsoft.com/office/officeart/2005/8/layout/orgChart1"/>
    <dgm:cxn modelId="{1E78353E-644F-4B40-A90C-6819FEE6FE81}" type="presParOf" srcId="{8F979138-F445-4A74-B1C8-168DD539A8F1}" destId="{6E69592A-9D08-438F-8C93-DDFAEB7CC395}" srcOrd="2" destOrd="0" presId="urn:microsoft.com/office/officeart/2005/8/layout/orgChart1"/>
    <dgm:cxn modelId="{A90E8A27-FC27-4D84-B95A-7AA1A5EA099C}" type="presParOf" srcId="{4BDACEF4-E742-4788-90DC-4C56A6ECEFC4}" destId="{33B2D927-67C0-4BA5-8198-93D00D20FD92}" srcOrd="2" destOrd="0" presId="urn:microsoft.com/office/officeart/2005/8/layout/orgChart1"/>
    <dgm:cxn modelId="{FB2AF7D6-6B42-42C5-B9A3-5E704FCAB23D}" type="presParOf" srcId="{4BDACEF4-E742-4788-90DC-4C56A6ECEFC4}" destId="{128A89D3-B7A9-4600-810B-25511C6E1564}" srcOrd="3" destOrd="0" presId="urn:microsoft.com/office/officeart/2005/8/layout/orgChart1"/>
    <dgm:cxn modelId="{5A7626B0-34C8-4700-BCB4-6034AE0F46A3}" type="presParOf" srcId="{128A89D3-B7A9-4600-810B-25511C6E1564}" destId="{9D5F9AE8-C6A4-4D15-8C97-B7F4E9EBEFCC}" srcOrd="0" destOrd="0" presId="urn:microsoft.com/office/officeart/2005/8/layout/orgChart1"/>
    <dgm:cxn modelId="{263633A0-F67B-4FE2-A5ED-FB2A8EE263D0}" type="presParOf" srcId="{9D5F9AE8-C6A4-4D15-8C97-B7F4E9EBEFCC}" destId="{EE9AA351-FC0A-4B21-9A44-0DF7CF9D0AC2}" srcOrd="0" destOrd="0" presId="urn:microsoft.com/office/officeart/2005/8/layout/orgChart1"/>
    <dgm:cxn modelId="{1ABAE982-C3EB-406E-B19D-F12963D4D959}" type="presParOf" srcId="{9D5F9AE8-C6A4-4D15-8C97-B7F4E9EBEFCC}" destId="{DACDA06E-C2D2-4B43-A738-569CEBE4021E}" srcOrd="1" destOrd="0" presId="urn:microsoft.com/office/officeart/2005/8/layout/orgChart1"/>
    <dgm:cxn modelId="{975249F7-864E-4B9B-893F-8316EB2DD4B8}" type="presParOf" srcId="{128A89D3-B7A9-4600-810B-25511C6E1564}" destId="{727D39F7-29B5-4A87-B926-27F7856F9133}" srcOrd="1" destOrd="0" presId="urn:microsoft.com/office/officeart/2005/8/layout/orgChart1"/>
    <dgm:cxn modelId="{F7F1A343-6E72-4C2C-B8B1-9B3C7B9F5579}" type="presParOf" srcId="{727D39F7-29B5-4A87-B926-27F7856F9133}" destId="{EE0C6BE3-2216-49D5-BEDE-00CA90964832}" srcOrd="0" destOrd="0" presId="urn:microsoft.com/office/officeart/2005/8/layout/orgChart1"/>
    <dgm:cxn modelId="{C60B84AA-F273-44E8-A703-0AE3876F49DF}" type="presParOf" srcId="{727D39F7-29B5-4A87-B926-27F7856F9133}" destId="{9BE2B58D-EDBB-4559-A4D3-207F87D521FB}" srcOrd="1" destOrd="0" presId="urn:microsoft.com/office/officeart/2005/8/layout/orgChart1"/>
    <dgm:cxn modelId="{A7B93749-4392-46EE-A809-9951C97CC627}" type="presParOf" srcId="{9BE2B58D-EDBB-4559-A4D3-207F87D521FB}" destId="{89DFB942-03CA-44BD-9C82-E88F1CB68026}" srcOrd="0" destOrd="0" presId="urn:microsoft.com/office/officeart/2005/8/layout/orgChart1"/>
    <dgm:cxn modelId="{6A598E78-F42B-4D97-ABEB-217F1F31C16F}" type="presParOf" srcId="{89DFB942-03CA-44BD-9C82-E88F1CB68026}" destId="{E14B7D4E-DC3F-4D52-B9AB-A1B052695C17}" srcOrd="0" destOrd="0" presId="urn:microsoft.com/office/officeart/2005/8/layout/orgChart1"/>
    <dgm:cxn modelId="{DB7C48AA-9718-486E-A8F8-55D1600018A7}" type="presParOf" srcId="{89DFB942-03CA-44BD-9C82-E88F1CB68026}" destId="{44258B81-5E91-42AC-8F41-E1BAF27509E4}" srcOrd="1" destOrd="0" presId="urn:microsoft.com/office/officeart/2005/8/layout/orgChart1"/>
    <dgm:cxn modelId="{C359217F-19D5-4B9A-9C30-01685AD28858}" type="presParOf" srcId="{9BE2B58D-EDBB-4559-A4D3-207F87D521FB}" destId="{227F872B-B8AD-4A2E-B154-EAB9895743BF}" srcOrd="1" destOrd="0" presId="urn:microsoft.com/office/officeart/2005/8/layout/orgChart1"/>
    <dgm:cxn modelId="{12E964E4-AA5D-46F4-B82E-B861C0600797}" type="presParOf" srcId="{9BE2B58D-EDBB-4559-A4D3-207F87D521FB}" destId="{F67FEDEC-18D3-4268-9B5B-DB55A90E13B6}" srcOrd="2" destOrd="0" presId="urn:microsoft.com/office/officeart/2005/8/layout/orgChart1"/>
    <dgm:cxn modelId="{DB8CBEE7-D84F-42CC-8EF5-0B0487F01E9C}" type="presParOf" srcId="{727D39F7-29B5-4A87-B926-27F7856F9133}" destId="{64DB1B4C-E575-4E28-80F0-CC5FD6BC6B68}" srcOrd="2" destOrd="0" presId="urn:microsoft.com/office/officeart/2005/8/layout/orgChart1"/>
    <dgm:cxn modelId="{F687B44E-303D-4ACD-B9D0-6B9FC8E23198}" type="presParOf" srcId="{727D39F7-29B5-4A87-B926-27F7856F9133}" destId="{DB0E5665-F54C-478B-9800-B167C7BD724C}" srcOrd="3" destOrd="0" presId="urn:microsoft.com/office/officeart/2005/8/layout/orgChart1"/>
    <dgm:cxn modelId="{4FF78A78-7273-4EF3-9FC0-81F5428B2E63}" type="presParOf" srcId="{DB0E5665-F54C-478B-9800-B167C7BD724C}" destId="{C635ED50-CBEC-4742-8363-DED4FE8C3265}" srcOrd="0" destOrd="0" presId="urn:microsoft.com/office/officeart/2005/8/layout/orgChart1"/>
    <dgm:cxn modelId="{14C335D5-0237-45B8-9871-7F04026F69E5}" type="presParOf" srcId="{C635ED50-CBEC-4742-8363-DED4FE8C3265}" destId="{64191A2F-034F-4A34-A777-1B76C141376F}" srcOrd="0" destOrd="0" presId="urn:microsoft.com/office/officeart/2005/8/layout/orgChart1"/>
    <dgm:cxn modelId="{A949A6F4-3E85-4B9D-99C4-18ADF9815094}" type="presParOf" srcId="{C635ED50-CBEC-4742-8363-DED4FE8C3265}" destId="{1C940A7A-6443-434D-91A8-CE8E4AC205FF}" srcOrd="1" destOrd="0" presId="urn:microsoft.com/office/officeart/2005/8/layout/orgChart1"/>
    <dgm:cxn modelId="{183E6819-933B-4DAB-930C-139A2447958A}" type="presParOf" srcId="{DB0E5665-F54C-478B-9800-B167C7BD724C}" destId="{590FF404-A1FC-4AF4-927B-7AD6AAFD8F4A}" srcOrd="1" destOrd="0" presId="urn:microsoft.com/office/officeart/2005/8/layout/orgChart1"/>
    <dgm:cxn modelId="{46929EA0-D3FA-407B-B6F4-57E94EFD481F}" type="presParOf" srcId="{DB0E5665-F54C-478B-9800-B167C7BD724C}" destId="{F164573C-6542-43D0-A9F7-1F81150C6CC5}" srcOrd="2" destOrd="0" presId="urn:microsoft.com/office/officeart/2005/8/layout/orgChart1"/>
    <dgm:cxn modelId="{7F50C05D-78DB-4F9B-9918-296C0BD3320C}" type="presParOf" srcId="{727D39F7-29B5-4A87-B926-27F7856F9133}" destId="{6A37148A-4CE6-44A2-AD2A-A52FE3423123}" srcOrd="4" destOrd="0" presId="urn:microsoft.com/office/officeart/2005/8/layout/orgChart1"/>
    <dgm:cxn modelId="{BF35D37B-4BB0-47D9-91E2-5C32824C61D3}" type="presParOf" srcId="{727D39F7-29B5-4A87-B926-27F7856F9133}" destId="{EA52935E-33FE-497F-A8DD-002D58F37F10}" srcOrd="5" destOrd="0" presId="urn:microsoft.com/office/officeart/2005/8/layout/orgChart1"/>
    <dgm:cxn modelId="{9406EA0C-02B6-413A-ABA3-13E886B5F399}" type="presParOf" srcId="{EA52935E-33FE-497F-A8DD-002D58F37F10}" destId="{FCFDCE90-CDBE-4B8D-8718-AEE46DB8CDA0}" srcOrd="0" destOrd="0" presId="urn:microsoft.com/office/officeart/2005/8/layout/orgChart1"/>
    <dgm:cxn modelId="{416497AB-681F-4173-9C13-7645E0FEE20D}" type="presParOf" srcId="{FCFDCE90-CDBE-4B8D-8718-AEE46DB8CDA0}" destId="{8ED356A5-15A8-4889-94FC-AFD2DBAE743D}" srcOrd="0" destOrd="0" presId="urn:microsoft.com/office/officeart/2005/8/layout/orgChart1"/>
    <dgm:cxn modelId="{B28FA15B-7A5D-44F1-8EC4-F7171784A6D6}" type="presParOf" srcId="{FCFDCE90-CDBE-4B8D-8718-AEE46DB8CDA0}" destId="{FDA2C7B8-B5E4-4F1A-A699-658B4C6907D6}" srcOrd="1" destOrd="0" presId="urn:microsoft.com/office/officeart/2005/8/layout/orgChart1"/>
    <dgm:cxn modelId="{9D136E84-8EA1-431A-9D8F-16F7F644EDA4}" type="presParOf" srcId="{EA52935E-33FE-497F-A8DD-002D58F37F10}" destId="{698FDE9A-C9C5-407D-9C92-483876AB0E57}" srcOrd="1" destOrd="0" presId="urn:microsoft.com/office/officeart/2005/8/layout/orgChart1"/>
    <dgm:cxn modelId="{F9218B0C-46E8-468E-B237-33CC59F325AE}" type="presParOf" srcId="{EA52935E-33FE-497F-A8DD-002D58F37F10}" destId="{89C16156-C503-4E9B-9C7C-7B0BD099AEBE}" srcOrd="2" destOrd="0" presId="urn:microsoft.com/office/officeart/2005/8/layout/orgChart1"/>
    <dgm:cxn modelId="{59B80188-3180-47A2-BBCA-89C24486C409}" type="presParOf" srcId="{727D39F7-29B5-4A87-B926-27F7856F9133}" destId="{FA6F6885-1143-4B43-A015-3E4CB1C4ABC7}" srcOrd="6" destOrd="0" presId="urn:microsoft.com/office/officeart/2005/8/layout/orgChart1"/>
    <dgm:cxn modelId="{80D1ED3E-CBB8-41E6-8EBF-887905E6BEBB}" type="presParOf" srcId="{727D39F7-29B5-4A87-B926-27F7856F9133}" destId="{950BF56A-65EC-4214-B612-C3D4C715F357}" srcOrd="7" destOrd="0" presId="urn:microsoft.com/office/officeart/2005/8/layout/orgChart1"/>
    <dgm:cxn modelId="{14721999-3EA5-4786-82A5-74E2B72A4437}" type="presParOf" srcId="{950BF56A-65EC-4214-B612-C3D4C715F357}" destId="{7FA3917E-B5E9-4A46-BD06-5BA604570CDD}" srcOrd="0" destOrd="0" presId="urn:microsoft.com/office/officeart/2005/8/layout/orgChart1"/>
    <dgm:cxn modelId="{CAEE1D84-0446-4B61-8C21-E23619A0A45A}" type="presParOf" srcId="{7FA3917E-B5E9-4A46-BD06-5BA604570CDD}" destId="{3077F8F5-5DBD-44DA-850B-081EA96C9BAC}" srcOrd="0" destOrd="0" presId="urn:microsoft.com/office/officeart/2005/8/layout/orgChart1"/>
    <dgm:cxn modelId="{A4828864-4F62-4DAD-A2F9-BDACDFC1283F}" type="presParOf" srcId="{7FA3917E-B5E9-4A46-BD06-5BA604570CDD}" destId="{54FA34A8-F4B3-482D-95B7-9842D86FF776}" srcOrd="1" destOrd="0" presId="urn:microsoft.com/office/officeart/2005/8/layout/orgChart1"/>
    <dgm:cxn modelId="{4A1C660E-5B15-478B-82BF-FA333B1E94B4}" type="presParOf" srcId="{950BF56A-65EC-4214-B612-C3D4C715F357}" destId="{F3076463-FECA-482A-9EF7-D455B7ED11DC}" srcOrd="1" destOrd="0" presId="urn:microsoft.com/office/officeart/2005/8/layout/orgChart1"/>
    <dgm:cxn modelId="{AD0CE2E8-89C5-4EC7-8D38-7F350B957E57}" type="presParOf" srcId="{950BF56A-65EC-4214-B612-C3D4C715F357}" destId="{7328A56D-26C8-4E90-B22A-1C27DE3F1E6F}" srcOrd="2" destOrd="0" presId="urn:microsoft.com/office/officeart/2005/8/layout/orgChart1"/>
    <dgm:cxn modelId="{64F5DE96-DE03-4815-A326-681B64F7E645}" type="presParOf" srcId="{727D39F7-29B5-4A87-B926-27F7856F9133}" destId="{393EF511-1FDE-476B-AF81-C2F2BDBDA4E3}" srcOrd="8" destOrd="0" presId="urn:microsoft.com/office/officeart/2005/8/layout/orgChart1"/>
    <dgm:cxn modelId="{E03C6CA1-9FD9-4391-A6C5-ADAD20F666A6}" type="presParOf" srcId="{727D39F7-29B5-4A87-B926-27F7856F9133}" destId="{A1520FE6-43F8-47E7-830B-F6DC4F02E20D}" srcOrd="9" destOrd="0" presId="urn:microsoft.com/office/officeart/2005/8/layout/orgChart1"/>
    <dgm:cxn modelId="{D6F7D414-734A-487B-A84B-A70B10BA023B}" type="presParOf" srcId="{A1520FE6-43F8-47E7-830B-F6DC4F02E20D}" destId="{27611398-051B-4D90-96B2-9EC67427E117}" srcOrd="0" destOrd="0" presId="urn:microsoft.com/office/officeart/2005/8/layout/orgChart1"/>
    <dgm:cxn modelId="{717210B4-750A-4692-8A19-E4F562972D11}" type="presParOf" srcId="{27611398-051B-4D90-96B2-9EC67427E117}" destId="{B2BEAA03-2155-47CD-90D7-A532315C2EF3}" srcOrd="0" destOrd="0" presId="urn:microsoft.com/office/officeart/2005/8/layout/orgChart1"/>
    <dgm:cxn modelId="{090DE6C6-2840-47B7-AAF1-332A70E69F83}" type="presParOf" srcId="{27611398-051B-4D90-96B2-9EC67427E117}" destId="{8A0F7A4D-7428-4132-920C-DC1DAB3984FA}" srcOrd="1" destOrd="0" presId="urn:microsoft.com/office/officeart/2005/8/layout/orgChart1"/>
    <dgm:cxn modelId="{D0124A76-80C5-4AB3-845E-6C0001B33998}" type="presParOf" srcId="{A1520FE6-43F8-47E7-830B-F6DC4F02E20D}" destId="{77DC2A96-16D8-42A6-B285-23406F827731}" srcOrd="1" destOrd="0" presId="urn:microsoft.com/office/officeart/2005/8/layout/orgChart1"/>
    <dgm:cxn modelId="{1D177345-477E-48DF-B231-4E967C50C8BD}" type="presParOf" srcId="{A1520FE6-43F8-47E7-830B-F6DC4F02E20D}" destId="{EC2DE8F3-35AB-4375-B604-90CC2FAC4688}" srcOrd="2" destOrd="0" presId="urn:microsoft.com/office/officeart/2005/8/layout/orgChart1"/>
    <dgm:cxn modelId="{05B2768E-B023-4621-9DC7-2CF94C77E021}" type="presParOf" srcId="{727D39F7-29B5-4A87-B926-27F7856F9133}" destId="{74A363D6-A67B-4462-AC44-C42ACE234954}" srcOrd="10" destOrd="0" presId="urn:microsoft.com/office/officeart/2005/8/layout/orgChart1"/>
    <dgm:cxn modelId="{2B60D035-33BB-4ED7-8508-07B13C7008C8}" type="presParOf" srcId="{727D39F7-29B5-4A87-B926-27F7856F9133}" destId="{52B81957-C8E6-4219-A3D1-5E31CDB8E51A}" srcOrd="11" destOrd="0" presId="urn:microsoft.com/office/officeart/2005/8/layout/orgChart1"/>
    <dgm:cxn modelId="{DA7ACBE4-093E-4670-8E36-16F578F18249}" type="presParOf" srcId="{52B81957-C8E6-4219-A3D1-5E31CDB8E51A}" destId="{1B79B166-E9A9-4408-90C0-3A4356DBC1B7}" srcOrd="0" destOrd="0" presId="urn:microsoft.com/office/officeart/2005/8/layout/orgChart1"/>
    <dgm:cxn modelId="{89FA16C8-6C51-455D-BCE2-AAA72F8C0CFD}" type="presParOf" srcId="{1B79B166-E9A9-4408-90C0-3A4356DBC1B7}" destId="{1EBC92C9-2C92-4686-A9FA-2C643F9D0B40}" srcOrd="0" destOrd="0" presId="urn:microsoft.com/office/officeart/2005/8/layout/orgChart1"/>
    <dgm:cxn modelId="{0F4A3A4E-B614-49BF-8168-CD8CF82581EE}" type="presParOf" srcId="{1B79B166-E9A9-4408-90C0-3A4356DBC1B7}" destId="{75E3CB8F-78F5-4C1E-8D28-CF77AC2749A1}" srcOrd="1" destOrd="0" presId="urn:microsoft.com/office/officeart/2005/8/layout/orgChart1"/>
    <dgm:cxn modelId="{47B904C4-1D36-4D0F-9616-F67FCA4ABDA0}" type="presParOf" srcId="{52B81957-C8E6-4219-A3D1-5E31CDB8E51A}" destId="{C8D3950D-0F79-4C02-AF5A-15B3DB541BCC}" srcOrd="1" destOrd="0" presId="urn:microsoft.com/office/officeart/2005/8/layout/orgChart1"/>
    <dgm:cxn modelId="{102B3383-173C-4695-8FD2-2690854540E0}" type="presParOf" srcId="{52B81957-C8E6-4219-A3D1-5E31CDB8E51A}" destId="{E493BF14-B525-4E78-819D-61E508C242AB}" srcOrd="2" destOrd="0" presId="urn:microsoft.com/office/officeart/2005/8/layout/orgChart1"/>
    <dgm:cxn modelId="{678F9DCF-8D29-4563-BF29-FF5707D0AC04}" type="presParOf" srcId="{128A89D3-B7A9-4600-810B-25511C6E1564}" destId="{0A617985-0418-44C9-BB26-E7A16B30AF6E}" srcOrd="2" destOrd="0" presId="urn:microsoft.com/office/officeart/2005/8/layout/orgChart1"/>
    <dgm:cxn modelId="{133E707F-2FA6-4041-BC96-71FBE430A078}" type="presParOf" srcId="{4BDACEF4-E742-4788-90DC-4C56A6ECEFC4}" destId="{60FCB561-FCF9-4AC7-BDB0-5B2A107D6685}" srcOrd="4" destOrd="0" presId="urn:microsoft.com/office/officeart/2005/8/layout/orgChart1"/>
    <dgm:cxn modelId="{0FAEB788-C246-4CF9-8A2A-187450A95A90}" type="presParOf" srcId="{4BDACEF4-E742-4788-90DC-4C56A6ECEFC4}" destId="{8170C5A9-BAD7-47B5-A6F9-DB9086710D32}" srcOrd="5" destOrd="0" presId="urn:microsoft.com/office/officeart/2005/8/layout/orgChart1"/>
    <dgm:cxn modelId="{B4C232BD-BA72-44DE-AE33-5533E5BE69DD}" type="presParOf" srcId="{8170C5A9-BAD7-47B5-A6F9-DB9086710D32}" destId="{D5B0530E-BA92-434A-8DC4-1B13FEBADDF7}" srcOrd="0" destOrd="0" presId="urn:microsoft.com/office/officeart/2005/8/layout/orgChart1"/>
    <dgm:cxn modelId="{29997824-EEEB-4771-B119-340DF8A2F4D9}" type="presParOf" srcId="{D5B0530E-BA92-434A-8DC4-1B13FEBADDF7}" destId="{48FFB5AE-64AE-472C-8B51-AFDA75E6CD4C}" srcOrd="0" destOrd="0" presId="urn:microsoft.com/office/officeart/2005/8/layout/orgChart1"/>
    <dgm:cxn modelId="{66E85247-CD0D-426F-9879-AA8A94B0B32D}" type="presParOf" srcId="{D5B0530E-BA92-434A-8DC4-1B13FEBADDF7}" destId="{890C66BA-A84E-4F86-BA82-A3D7E7B3F4F0}" srcOrd="1" destOrd="0" presId="urn:microsoft.com/office/officeart/2005/8/layout/orgChart1"/>
    <dgm:cxn modelId="{D7D1AFEE-7B8C-429B-92A2-564234690765}" type="presParOf" srcId="{8170C5A9-BAD7-47B5-A6F9-DB9086710D32}" destId="{E3DA2ECF-9EA6-45C1-86D9-5939935E726F}" srcOrd="1" destOrd="0" presId="urn:microsoft.com/office/officeart/2005/8/layout/orgChart1"/>
    <dgm:cxn modelId="{A583E002-BBEC-4474-A4EB-5E23C66D4345}" type="presParOf" srcId="{8170C5A9-BAD7-47B5-A6F9-DB9086710D32}" destId="{3CE2F917-83AD-4DD1-AEEB-633865BA96DB}" srcOrd="2" destOrd="0" presId="urn:microsoft.com/office/officeart/2005/8/layout/orgChart1"/>
    <dgm:cxn modelId="{9389B58B-19DF-429C-B6F8-E703B5E03156}" type="presParOf" srcId="{4BDACEF4-E742-4788-90DC-4C56A6ECEFC4}" destId="{F42ECA56-4F6A-4D59-9F3F-69FD75013F5D}" srcOrd="6" destOrd="0" presId="urn:microsoft.com/office/officeart/2005/8/layout/orgChart1"/>
    <dgm:cxn modelId="{7A355255-3B59-4A10-AAB6-C35974FD0431}" type="presParOf" srcId="{4BDACEF4-E742-4788-90DC-4C56A6ECEFC4}" destId="{5CD6AE53-3AF8-4F1E-9036-62042FF2CCF1}" srcOrd="7" destOrd="0" presId="urn:microsoft.com/office/officeart/2005/8/layout/orgChart1"/>
    <dgm:cxn modelId="{BB749296-7D13-4358-8CEA-D9578FC8BA87}" type="presParOf" srcId="{5CD6AE53-3AF8-4F1E-9036-62042FF2CCF1}" destId="{31AAB7A3-57C1-4AD6-B8C9-924ECBABC3C2}" srcOrd="0" destOrd="0" presId="urn:microsoft.com/office/officeart/2005/8/layout/orgChart1"/>
    <dgm:cxn modelId="{E113DE50-6AB6-4A14-AF15-55609693B223}" type="presParOf" srcId="{31AAB7A3-57C1-4AD6-B8C9-924ECBABC3C2}" destId="{94B7A8B4-826E-42F9-864B-3CC2A177AD96}" srcOrd="0" destOrd="0" presId="urn:microsoft.com/office/officeart/2005/8/layout/orgChart1"/>
    <dgm:cxn modelId="{23C0482C-343E-435A-AFD4-193B89832A8A}" type="presParOf" srcId="{31AAB7A3-57C1-4AD6-B8C9-924ECBABC3C2}" destId="{0E66FFBE-CC35-44B2-B4C1-3862FFE10276}" srcOrd="1" destOrd="0" presId="urn:microsoft.com/office/officeart/2005/8/layout/orgChart1"/>
    <dgm:cxn modelId="{C00E59A1-1A23-4C0E-AF53-750EB175C6D6}" type="presParOf" srcId="{5CD6AE53-3AF8-4F1E-9036-62042FF2CCF1}" destId="{464460ED-B83D-4C9E-9ACF-CC9BC4B9555E}" srcOrd="1" destOrd="0" presId="urn:microsoft.com/office/officeart/2005/8/layout/orgChart1"/>
    <dgm:cxn modelId="{2A997DF0-8ED0-4B42-9891-F01472719543}" type="presParOf" srcId="{464460ED-B83D-4C9E-9ACF-CC9BC4B9555E}" destId="{D88FB3BE-50B7-456F-A13A-C318A6D954F3}" srcOrd="0" destOrd="0" presId="urn:microsoft.com/office/officeart/2005/8/layout/orgChart1"/>
    <dgm:cxn modelId="{C8370B0E-CD2A-49F2-8192-1492FBC63E3B}" type="presParOf" srcId="{464460ED-B83D-4C9E-9ACF-CC9BC4B9555E}" destId="{5A0FE381-1392-48E2-AED0-193D095AF4EC}" srcOrd="1" destOrd="0" presId="urn:microsoft.com/office/officeart/2005/8/layout/orgChart1"/>
    <dgm:cxn modelId="{02D4E0D8-CD46-4A8A-8086-81BF6FA1EDEF}" type="presParOf" srcId="{5A0FE381-1392-48E2-AED0-193D095AF4EC}" destId="{0CEE981F-9571-4C22-9B09-E9457426136B}" srcOrd="0" destOrd="0" presId="urn:microsoft.com/office/officeart/2005/8/layout/orgChart1"/>
    <dgm:cxn modelId="{81AE563A-27FA-421F-809B-4FCB50313E5D}" type="presParOf" srcId="{0CEE981F-9571-4C22-9B09-E9457426136B}" destId="{4715A737-3C74-46B3-886C-1AE8E3032671}" srcOrd="0" destOrd="0" presId="urn:microsoft.com/office/officeart/2005/8/layout/orgChart1"/>
    <dgm:cxn modelId="{AA687803-B0B1-4A34-849B-AB7FAB4CCE11}" type="presParOf" srcId="{0CEE981F-9571-4C22-9B09-E9457426136B}" destId="{08FA71D0-57A8-476C-A61D-37D49F3C7D01}" srcOrd="1" destOrd="0" presId="urn:microsoft.com/office/officeart/2005/8/layout/orgChart1"/>
    <dgm:cxn modelId="{FDB2CEED-D947-42BF-9AD1-5B8B97AB984A}" type="presParOf" srcId="{5A0FE381-1392-48E2-AED0-193D095AF4EC}" destId="{B19D4E7B-AECD-48A4-925E-5EB09A74CB18}" srcOrd="1" destOrd="0" presId="urn:microsoft.com/office/officeart/2005/8/layout/orgChart1"/>
    <dgm:cxn modelId="{8688C99E-405F-4ABC-9BE7-6AA1AE764F2F}" type="presParOf" srcId="{5A0FE381-1392-48E2-AED0-193D095AF4EC}" destId="{E50DD2E0-A734-4E20-B00B-231D2CD0660B}" srcOrd="2" destOrd="0" presId="urn:microsoft.com/office/officeart/2005/8/layout/orgChart1"/>
    <dgm:cxn modelId="{09DB2A60-EFC1-4A52-9143-B62B975316FE}" type="presParOf" srcId="{464460ED-B83D-4C9E-9ACF-CC9BC4B9555E}" destId="{71989AB4-E40B-4F90-B853-D44E3F339174}" srcOrd="2" destOrd="0" presId="urn:microsoft.com/office/officeart/2005/8/layout/orgChart1"/>
    <dgm:cxn modelId="{1FF5F3AB-3269-47A3-A210-962F67CB6551}" type="presParOf" srcId="{464460ED-B83D-4C9E-9ACF-CC9BC4B9555E}" destId="{A119F4CB-D8CA-4E39-9148-C15500EB3932}" srcOrd="3" destOrd="0" presId="urn:microsoft.com/office/officeart/2005/8/layout/orgChart1"/>
    <dgm:cxn modelId="{BD450F76-2243-49D9-81FA-143E2272DCD0}" type="presParOf" srcId="{A119F4CB-D8CA-4E39-9148-C15500EB3932}" destId="{77A250D7-CB4A-4589-BA73-95941A31BF37}" srcOrd="0" destOrd="0" presId="urn:microsoft.com/office/officeart/2005/8/layout/orgChart1"/>
    <dgm:cxn modelId="{23FAA2D3-F5E6-432C-9F52-18E97CB3282D}" type="presParOf" srcId="{77A250D7-CB4A-4589-BA73-95941A31BF37}" destId="{69626798-BB19-4416-9BC6-A5C34E47A045}" srcOrd="0" destOrd="0" presId="urn:microsoft.com/office/officeart/2005/8/layout/orgChart1"/>
    <dgm:cxn modelId="{8CC53572-67A7-4123-9C79-266418814044}" type="presParOf" srcId="{77A250D7-CB4A-4589-BA73-95941A31BF37}" destId="{5C11AA41-9E63-471F-86D3-9E1622969A29}" srcOrd="1" destOrd="0" presId="urn:microsoft.com/office/officeart/2005/8/layout/orgChart1"/>
    <dgm:cxn modelId="{07708C5C-4409-4586-98DC-B2D26A078120}" type="presParOf" srcId="{A119F4CB-D8CA-4E39-9148-C15500EB3932}" destId="{20CE5635-785D-4CF8-9BC6-F1498E66856B}" srcOrd="1" destOrd="0" presId="urn:microsoft.com/office/officeart/2005/8/layout/orgChart1"/>
    <dgm:cxn modelId="{F2DF63C5-62F7-4BEA-9065-20718C79DD67}" type="presParOf" srcId="{A119F4CB-D8CA-4E39-9148-C15500EB3932}" destId="{A8F31F89-8943-4197-B167-D9E3C9AB9E9B}" srcOrd="2" destOrd="0" presId="urn:microsoft.com/office/officeart/2005/8/layout/orgChart1"/>
    <dgm:cxn modelId="{315CD056-562D-4187-B096-792CE381B4BA}" type="presParOf" srcId="{5CD6AE53-3AF8-4F1E-9036-62042FF2CCF1}" destId="{D0428DFF-105B-4C42-A02E-AF1DF0A6578E}" srcOrd="2" destOrd="0" presId="urn:microsoft.com/office/officeart/2005/8/layout/orgChart1"/>
    <dgm:cxn modelId="{979A4980-7EB6-4046-B6C0-A11283ECB957}" type="presParOf" srcId="{98832BCA-BAE6-4483-81CA-4DC6B08A8E82}" destId="{B5200E55-B801-4E75-8D56-76210197455D}" srcOrd="2" destOrd="0" presId="urn:microsoft.com/office/officeart/2005/8/layout/orgChart1"/>
    <dgm:cxn modelId="{FB8363C5-B356-4C4E-9733-E71C32FEDA6A}" type="presParOf" srcId="{0C24F2F3-E521-409B-AC58-ED8B2859CEC0}" destId="{29DABDA6-1093-405E-8800-A4AC7D2972AC}" srcOrd="4" destOrd="0" presId="urn:microsoft.com/office/officeart/2005/8/layout/orgChart1"/>
    <dgm:cxn modelId="{95437E33-1A43-4B2F-A203-8168B08CEDDE}" type="presParOf" srcId="{0C24F2F3-E521-409B-AC58-ED8B2859CEC0}" destId="{0E617F61-E267-4D99-B791-586CC4FAFE4F}" srcOrd="5" destOrd="0" presId="urn:microsoft.com/office/officeart/2005/8/layout/orgChart1"/>
    <dgm:cxn modelId="{4BAAECCA-EFBF-4090-9098-C0D3F8BDD15A}" type="presParOf" srcId="{0E617F61-E267-4D99-B791-586CC4FAFE4F}" destId="{F8290E5E-D54E-4669-8EF4-7805C7D2AE33}" srcOrd="0" destOrd="0" presId="urn:microsoft.com/office/officeart/2005/8/layout/orgChart1"/>
    <dgm:cxn modelId="{188FC7AC-F7B9-494B-8453-8C12189A9BDC}" type="presParOf" srcId="{F8290E5E-D54E-4669-8EF4-7805C7D2AE33}" destId="{A196D8C2-92DA-4126-A26E-FAE0A42745C0}" srcOrd="0" destOrd="0" presId="urn:microsoft.com/office/officeart/2005/8/layout/orgChart1"/>
    <dgm:cxn modelId="{BC908B2F-CDC1-4A80-979E-D0373863C062}" type="presParOf" srcId="{F8290E5E-D54E-4669-8EF4-7805C7D2AE33}" destId="{229DE621-3F8F-4A6B-97D4-A796655725CD}" srcOrd="1" destOrd="0" presId="urn:microsoft.com/office/officeart/2005/8/layout/orgChart1"/>
    <dgm:cxn modelId="{9CDBE30B-4DC6-4343-84B4-C3842950CB3E}" type="presParOf" srcId="{0E617F61-E267-4D99-B791-586CC4FAFE4F}" destId="{F9C9CF4B-D04A-4662-A062-495504376AC7}" srcOrd="1" destOrd="0" presId="urn:microsoft.com/office/officeart/2005/8/layout/orgChart1"/>
    <dgm:cxn modelId="{17F7C5D4-D41D-4EBA-8EAD-085D9ED132F8}" type="presParOf" srcId="{F9C9CF4B-D04A-4662-A062-495504376AC7}" destId="{AE20E9E4-FA1E-467D-A786-148B77CF507A}" srcOrd="0" destOrd="0" presId="urn:microsoft.com/office/officeart/2005/8/layout/orgChart1"/>
    <dgm:cxn modelId="{1AFEB233-534F-4B63-B1B1-0B9CAF1F4D2D}" type="presParOf" srcId="{F9C9CF4B-D04A-4662-A062-495504376AC7}" destId="{4368C450-1C59-4407-895E-317FD0DE3263}" srcOrd="1" destOrd="0" presId="urn:microsoft.com/office/officeart/2005/8/layout/orgChart1"/>
    <dgm:cxn modelId="{D5AFA12C-EF4E-40EB-B5AD-45D964843296}" type="presParOf" srcId="{4368C450-1C59-4407-895E-317FD0DE3263}" destId="{CDAF7161-8932-417B-9DB8-1AE84BFF1764}" srcOrd="0" destOrd="0" presId="urn:microsoft.com/office/officeart/2005/8/layout/orgChart1"/>
    <dgm:cxn modelId="{A6C2A09B-A051-453B-97C2-08FF5FD52604}" type="presParOf" srcId="{CDAF7161-8932-417B-9DB8-1AE84BFF1764}" destId="{4009ACA6-5BD1-4D26-B069-29608CE81DFD}" srcOrd="0" destOrd="0" presId="urn:microsoft.com/office/officeart/2005/8/layout/orgChart1"/>
    <dgm:cxn modelId="{EC97E81F-9765-44D6-B53C-6D4C25CCFE52}" type="presParOf" srcId="{CDAF7161-8932-417B-9DB8-1AE84BFF1764}" destId="{88FA877C-1976-4556-B8EF-5C23C5B527C3}" srcOrd="1" destOrd="0" presId="urn:microsoft.com/office/officeart/2005/8/layout/orgChart1"/>
    <dgm:cxn modelId="{B040E148-9691-4726-B7EF-5DA3FD14211B}" type="presParOf" srcId="{4368C450-1C59-4407-895E-317FD0DE3263}" destId="{27F3BF5E-B018-4067-AEEA-2185B94EE692}" srcOrd="1" destOrd="0" presId="urn:microsoft.com/office/officeart/2005/8/layout/orgChart1"/>
    <dgm:cxn modelId="{BE61DE2F-3309-41B1-B5D0-A03BA7599F2F}" type="presParOf" srcId="{27F3BF5E-B018-4067-AEEA-2185B94EE692}" destId="{72DD17AE-8071-47F4-8C0B-C63D8C080E5F}" srcOrd="0" destOrd="0" presId="urn:microsoft.com/office/officeart/2005/8/layout/orgChart1"/>
    <dgm:cxn modelId="{B30A4942-5BC6-43AA-BD29-FB45F18AE536}" type="presParOf" srcId="{27F3BF5E-B018-4067-AEEA-2185B94EE692}" destId="{8986EA0E-ABB4-4CFA-8A38-B58991BA4EC4}" srcOrd="1" destOrd="0" presId="urn:microsoft.com/office/officeart/2005/8/layout/orgChart1"/>
    <dgm:cxn modelId="{3BE14B54-2623-4C12-96D3-68CABDCEF13E}" type="presParOf" srcId="{8986EA0E-ABB4-4CFA-8A38-B58991BA4EC4}" destId="{3625A925-91EA-4008-ABED-6FE464532AFD}" srcOrd="0" destOrd="0" presId="urn:microsoft.com/office/officeart/2005/8/layout/orgChart1"/>
    <dgm:cxn modelId="{A4A74BC6-CB06-40FA-9440-9816E08A814C}" type="presParOf" srcId="{3625A925-91EA-4008-ABED-6FE464532AFD}" destId="{C68ADD5B-0FCF-4C55-B709-F929BBC065A0}" srcOrd="0" destOrd="0" presId="urn:microsoft.com/office/officeart/2005/8/layout/orgChart1"/>
    <dgm:cxn modelId="{64EABC43-3473-421F-92E0-18A94F239FF7}" type="presParOf" srcId="{3625A925-91EA-4008-ABED-6FE464532AFD}" destId="{67791CB6-20F7-4D45-81FF-43EA9D41D714}" srcOrd="1" destOrd="0" presId="urn:microsoft.com/office/officeart/2005/8/layout/orgChart1"/>
    <dgm:cxn modelId="{E0425A48-7275-4C88-A5D0-BC7192E31255}" type="presParOf" srcId="{8986EA0E-ABB4-4CFA-8A38-B58991BA4EC4}" destId="{8133DA65-A2FA-4CB4-AF59-B7935E61CF60}" srcOrd="1" destOrd="0" presId="urn:microsoft.com/office/officeart/2005/8/layout/orgChart1"/>
    <dgm:cxn modelId="{929001D4-9FE0-4BA7-96D1-42CDB9373D41}" type="presParOf" srcId="{8986EA0E-ABB4-4CFA-8A38-B58991BA4EC4}" destId="{4FE4368C-205B-4BEA-B364-E3229193F39E}" srcOrd="2" destOrd="0" presId="urn:microsoft.com/office/officeart/2005/8/layout/orgChart1"/>
    <dgm:cxn modelId="{FEA81ECF-FDAC-46E4-863D-AA0BCB8D0F28}" type="presParOf" srcId="{27F3BF5E-B018-4067-AEEA-2185B94EE692}" destId="{23B5A794-381C-4FDE-B7B8-90153D7FD792}" srcOrd="2" destOrd="0" presId="urn:microsoft.com/office/officeart/2005/8/layout/orgChart1"/>
    <dgm:cxn modelId="{1645E0B9-FDD2-496F-A429-000792641C5A}" type="presParOf" srcId="{27F3BF5E-B018-4067-AEEA-2185B94EE692}" destId="{947DD293-3032-4796-88B5-CCBBAE3826EA}" srcOrd="3" destOrd="0" presId="urn:microsoft.com/office/officeart/2005/8/layout/orgChart1"/>
    <dgm:cxn modelId="{A14EDAE4-D993-4075-8F22-5D44250BC7D1}" type="presParOf" srcId="{947DD293-3032-4796-88B5-CCBBAE3826EA}" destId="{3C35B6F2-4E79-4B3F-9342-8716F5243737}" srcOrd="0" destOrd="0" presId="urn:microsoft.com/office/officeart/2005/8/layout/orgChart1"/>
    <dgm:cxn modelId="{AC81B878-AC67-4404-93F4-571DD9979148}" type="presParOf" srcId="{3C35B6F2-4E79-4B3F-9342-8716F5243737}" destId="{65D49952-5328-487C-A782-CC31AC50DEE1}" srcOrd="0" destOrd="0" presId="urn:microsoft.com/office/officeart/2005/8/layout/orgChart1"/>
    <dgm:cxn modelId="{3F8C8CB0-877D-4108-9AB3-38CE1EAC3AD6}" type="presParOf" srcId="{3C35B6F2-4E79-4B3F-9342-8716F5243737}" destId="{3638777E-8D2D-43C8-B62D-8670BF633E37}" srcOrd="1" destOrd="0" presId="urn:microsoft.com/office/officeart/2005/8/layout/orgChart1"/>
    <dgm:cxn modelId="{8AD26C40-D2F1-45EB-85EF-DD8876B0562E}" type="presParOf" srcId="{947DD293-3032-4796-88B5-CCBBAE3826EA}" destId="{6BA5490B-F733-4997-B91E-DE80A498549A}" srcOrd="1" destOrd="0" presId="urn:microsoft.com/office/officeart/2005/8/layout/orgChart1"/>
    <dgm:cxn modelId="{4F5F2A8A-40C0-402F-9F25-C18A138CE58E}" type="presParOf" srcId="{947DD293-3032-4796-88B5-CCBBAE3826EA}" destId="{476AD9BD-CE86-47BC-8D91-7F6085F288E9}" srcOrd="2" destOrd="0" presId="urn:microsoft.com/office/officeart/2005/8/layout/orgChart1"/>
    <dgm:cxn modelId="{80C5B4BD-2D3B-4753-B871-62E780A8A0C3}" type="presParOf" srcId="{27F3BF5E-B018-4067-AEEA-2185B94EE692}" destId="{A2C2B24E-F545-45EF-A0D9-8D8EE406619D}" srcOrd="4" destOrd="0" presId="urn:microsoft.com/office/officeart/2005/8/layout/orgChart1"/>
    <dgm:cxn modelId="{E7E71939-5F03-4D1B-9302-B03C261CF799}" type="presParOf" srcId="{27F3BF5E-B018-4067-AEEA-2185B94EE692}" destId="{2090DE56-ED01-49F5-A0E6-AB30E9807AB7}" srcOrd="5" destOrd="0" presId="urn:microsoft.com/office/officeart/2005/8/layout/orgChart1"/>
    <dgm:cxn modelId="{67481A67-4E7C-4598-BDFB-F3CAA2939381}" type="presParOf" srcId="{2090DE56-ED01-49F5-A0E6-AB30E9807AB7}" destId="{A7EEC76F-9D4E-4B92-A3FB-2BD921B596B4}" srcOrd="0" destOrd="0" presId="urn:microsoft.com/office/officeart/2005/8/layout/orgChart1"/>
    <dgm:cxn modelId="{64B28F89-6F9B-45F9-BC4F-2AC909456267}" type="presParOf" srcId="{A7EEC76F-9D4E-4B92-A3FB-2BD921B596B4}" destId="{E2C95335-6D4D-4231-909B-A5D702BE5A84}" srcOrd="0" destOrd="0" presId="urn:microsoft.com/office/officeart/2005/8/layout/orgChart1"/>
    <dgm:cxn modelId="{6330E23C-78EC-4508-9BFE-485A6B803925}" type="presParOf" srcId="{A7EEC76F-9D4E-4B92-A3FB-2BD921B596B4}" destId="{7704F345-575B-44CC-B968-9B05E86905FF}" srcOrd="1" destOrd="0" presId="urn:microsoft.com/office/officeart/2005/8/layout/orgChart1"/>
    <dgm:cxn modelId="{3A8C6109-6BAF-48EC-983E-3DE7D9A5F74C}" type="presParOf" srcId="{2090DE56-ED01-49F5-A0E6-AB30E9807AB7}" destId="{272683F5-7238-4EC0-839F-A72777DA051B}" srcOrd="1" destOrd="0" presId="urn:microsoft.com/office/officeart/2005/8/layout/orgChart1"/>
    <dgm:cxn modelId="{B23F5310-13F5-406D-AB24-2E061E620D02}" type="presParOf" srcId="{2090DE56-ED01-49F5-A0E6-AB30E9807AB7}" destId="{F86F1B4A-F041-493F-A78C-B0CD4CA39861}" srcOrd="2" destOrd="0" presId="urn:microsoft.com/office/officeart/2005/8/layout/orgChart1"/>
    <dgm:cxn modelId="{FCA8DC86-69F8-4E34-B953-73CBA56C5082}" type="presParOf" srcId="{27F3BF5E-B018-4067-AEEA-2185B94EE692}" destId="{823D9CA9-5C31-40D0-A4FD-A6C63340FC1C}" srcOrd="6" destOrd="0" presId="urn:microsoft.com/office/officeart/2005/8/layout/orgChart1"/>
    <dgm:cxn modelId="{B7DBB47D-5630-4DD5-8B11-821D98CE199C}" type="presParOf" srcId="{27F3BF5E-B018-4067-AEEA-2185B94EE692}" destId="{30EB788C-D257-4127-8073-539F4C99D5B7}" srcOrd="7" destOrd="0" presId="urn:microsoft.com/office/officeart/2005/8/layout/orgChart1"/>
    <dgm:cxn modelId="{695511EC-BF40-4C77-BF4C-5E15CCDAC4C9}" type="presParOf" srcId="{30EB788C-D257-4127-8073-539F4C99D5B7}" destId="{394129C6-0EC9-4505-8E21-C7A5EE2FDFB2}" srcOrd="0" destOrd="0" presId="urn:microsoft.com/office/officeart/2005/8/layout/orgChart1"/>
    <dgm:cxn modelId="{C39CD32A-6EF2-49C9-8D86-74066D5C8F9C}" type="presParOf" srcId="{394129C6-0EC9-4505-8E21-C7A5EE2FDFB2}" destId="{8B50836B-0D4A-4E13-9CF1-E56AC99DF090}" srcOrd="0" destOrd="0" presId="urn:microsoft.com/office/officeart/2005/8/layout/orgChart1"/>
    <dgm:cxn modelId="{229A1C78-E6EE-4D4C-BFE8-36A1B77F62A7}" type="presParOf" srcId="{394129C6-0EC9-4505-8E21-C7A5EE2FDFB2}" destId="{224A7B86-E789-47A2-AFDA-17CCC2AE0705}" srcOrd="1" destOrd="0" presId="urn:microsoft.com/office/officeart/2005/8/layout/orgChart1"/>
    <dgm:cxn modelId="{D84C7010-8747-4EB9-91FB-39A48E9887A2}" type="presParOf" srcId="{30EB788C-D257-4127-8073-539F4C99D5B7}" destId="{7ECB7143-66F6-4664-A7DE-327BD06584BE}" srcOrd="1" destOrd="0" presId="urn:microsoft.com/office/officeart/2005/8/layout/orgChart1"/>
    <dgm:cxn modelId="{9623A33A-23EE-48FF-8D83-CF8E8E263F3C}" type="presParOf" srcId="{30EB788C-D257-4127-8073-539F4C99D5B7}" destId="{8EB4AF89-091E-4A2B-9FEF-0FC0FF03220A}" srcOrd="2" destOrd="0" presId="urn:microsoft.com/office/officeart/2005/8/layout/orgChart1"/>
    <dgm:cxn modelId="{D01419BA-FF5D-4C2F-B3EB-EE5A96C77F6F}" type="presParOf" srcId="{27F3BF5E-B018-4067-AEEA-2185B94EE692}" destId="{4A0D25B4-4665-4191-85A6-9263AF11E227}" srcOrd="8" destOrd="0" presId="urn:microsoft.com/office/officeart/2005/8/layout/orgChart1"/>
    <dgm:cxn modelId="{6B719CC2-AED6-476F-A7A0-93A6B4E714B9}" type="presParOf" srcId="{27F3BF5E-B018-4067-AEEA-2185B94EE692}" destId="{5E98C6B8-1238-4BB6-B269-F8CC0B8245B1}" srcOrd="9" destOrd="0" presId="urn:microsoft.com/office/officeart/2005/8/layout/orgChart1"/>
    <dgm:cxn modelId="{03EE0E39-9B9A-4F62-852F-3C2FB27D41E9}" type="presParOf" srcId="{5E98C6B8-1238-4BB6-B269-F8CC0B8245B1}" destId="{8B9571D7-BC05-4486-AF54-A6B76C805553}" srcOrd="0" destOrd="0" presId="urn:microsoft.com/office/officeart/2005/8/layout/orgChart1"/>
    <dgm:cxn modelId="{01B496DC-3A17-4590-AE2B-45B25D13CB5C}" type="presParOf" srcId="{8B9571D7-BC05-4486-AF54-A6B76C805553}" destId="{775932C0-756B-4376-86DE-61DF5F1CF407}" srcOrd="0" destOrd="0" presId="urn:microsoft.com/office/officeart/2005/8/layout/orgChart1"/>
    <dgm:cxn modelId="{C3192323-BCA2-486B-A454-684FF4567AAC}" type="presParOf" srcId="{8B9571D7-BC05-4486-AF54-A6B76C805553}" destId="{348787BA-880D-446E-98E3-CA2C21D7BB36}" srcOrd="1" destOrd="0" presId="urn:microsoft.com/office/officeart/2005/8/layout/orgChart1"/>
    <dgm:cxn modelId="{CFCB39BD-C83D-46A5-B9C2-CF82633289CC}" type="presParOf" srcId="{5E98C6B8-1238-4BB6-B269-F8CC0B8245B1}" destId="{604D46BF-C088-4A8E-91E6-DF9AF273166A}" srcOrd="1" destOrd="0" presId="urn:microsoft.com/office/officeart/2005/8/layout/orgChart1"/>
    <dgm:cxn modelId="{CC49B1C8-57F2-48C9-849B-04C0B2D68F66}" type="presParOf" srcId="{5E98C6B8-1238-4BB6-B269-F8CC0B8245B1}" destId="{62138580-9941-436A-AE23-09B87CDCB3B1}" srcOrd="2" destOrd="0" presId="urn:microsoft.com/office/officeart/2005/8/layout/orgChart1"/>
    <dgm:cxn modelId="{52B712AD-9DDB-4400-86D3-96BFE1AD4749}" type="presParOf" srcId="{4368C450-1C59-4407-895E-317FD0DE3263}" destId="{378DFC1F-1600-48DE-95FE-D288C20715C5}" srcOrd="2" destOrd="0" presId="urn:microsoft.com/office/officeart/2005/8/layout/orgChart1"/>
    <dgm:cxn modelId="{DE976070-0D35-4B86-A84D-944BDC2E4E38}" type="presParOf" srcId="{F9C9CF4B-D04A-4662-A062-495504376AC7}" destId="{035D3977-AB23-430E-8BB6-E22812B86924}" srcOrd="2" destOrd="0" presId="urn:microsoft.com/office/officeart/2005/8/layout/orgChart1"/>
    <dgm:cxn modelId="{1FBDEF17-6C4B-4D20-973E-A70D1A0C953F}" type="presParOf" srcId="{F9C9CF4B-D04A-4662-A062-495504376AC7}" destId="{03C2161C-CD68-481B-84FA-9CDC287A67CA}" srcOrd="3" destOrd="0" presId="urn:microsoft.com/office/officeart/2005/8/layout/orgChart1"/>
    <dgm:cxn modelId="{36E63214-AF54-4D24-BA4F-9E32EA7F38EE}" type="presParOf" srcId="{03C2161C-CD68-481B-84FA-9CDC287A67CA}" destId="{A121EBB3-0E61-4D21-A870-D08881F74351}" srcOrd="0" destOrd="0" presId="urn:microsoft.com/office/officeart/2005/8/layout/orgChart1"/>
    <dgm:cxn modelId="{FD3370ED-D09E-4381-B72C-990240B342FA}" type="presParOf" srcId="{A121EBB3-0E61-4D21-A870-D08881F74351}" destId="{E870913D-33A6-49E2-9B53-BBF71E0036BF}" srcOrd="0" destOrd="0" presId="urn:microsoft.com/office/officeart/2005/8/layout/orgChart1"/>
    <dgm:cxn modelId="{C1D4D594-7945-405F-A48F-76DA45522913}" type="presParOf" srcId="{A121EBB3-0E61-4D21-A870-D08881F74351}" destId="{715D454E-F12A-48F0-8860-E6D3DF525708}" srcOrd="1" destOrd="0" presId="urn:microsoft.com/office/officeart/2005/8/layout/orgChart1"/>
    <dgm:cxn modelId="{4544F4D0-00F3-482B-B0DC-8BB0BC568994}" type="presParOf" srcId="{03C2161C-CD68-481B-84FA-9CDC287A67CA}" destId="{9530328B-6B0D-46C1-8436-E2FBA7C24AFB}" srcOrd="1" destOrd="0" presId="urn:microsoft.com/office/officeart/2005/8/layout/orgChart1"/>
    <dgm:cxn modelId="{0981075F-2087-4B6C-87C5-462C70A6268F}" type="presParOf" srcId="{03C2161C-CD68-481B-84FA-9CDC287A67CA}" destId="{F6D0FCB7-B84C-4DEB-AF20-03B5EAE2EEC7}" srcOrd="2" destOrd="0" presId="urn:microsoft.com/office/officeart/2005/8/layout/orgChart1"/>
    <dgm:cxn modelId="{4A9FFFB3-A876-4EB8-997C-63EB220D1495}" type="presParOf" srcId="{F9C9CF4B-D04A-4662-A062-495504376AC7}" destId="{E319AD59-CC20-48C4-B2F1-42A124F02962}" srcOrd="4" destOrd="0" presId="urn:microsoft.com/office/officeart/2005/8/layout/orgChart1"/>
    <dgm:cxn modelId="{24FD9ED0-39D5-4B28-83B5-023BB4D9B2F0}" type="presParOf" srcId="{F9C9CF4B-D04A-4662-A062-495504376AC7}" destId="{080621CE-856C-49A3-A176-F02B90383248}" srcOrd="5" destOrd="0" presId="urn:microsoft.com/office/officeart/2005/8/layout/orgChart1"/>
    <dgm:cxn modelId="{D3213C68-6C71-4BDE-A87A-E72E8D068B9C}" type="presParOf" srcId="{080621CE-856C-49A3-A176-F02B90383248}" destId="{5F3C15BB-B2F3-4CE5-B7A0-13A39B99D4C4}" srcOrd="0" destOrd="0" presId="urn:microsoft.com/office/officeart/2005/8/layout/orgChart1"/>
    <dgm:cxn modelId="{6CB4BB8C-4D96-4B0E-8851-C0A85C1DDFF7}" type="presParOf" srcId="{5F3C15BB-B2F3-4CE5-B7A0-13A39B99D4C4}" destId="{792F4827-CBDD-439E-9E1B-54F4E5322A00}" srcOrd="0" destOrd="0" presId="urn:microsoft.com/office/officeart/2005/8/layout/orgChart1"/>
    <dgm:cxn modelId="{7E61A5D4-9227-4909-AAAB-E45C42712993}" type="presParOf" srcId="{5F3C15BB-B2F3-4CE5-B7A0-13A39B99D4C4}" destId="{50C7F97A-AEC6-465D-9D5C-93C98B43908C}" srcOrd="1" destOrd="0" presId="urn:microsoft.com/office/officeart/2005/8/layout/orgChart1"/>
    <dgm:cxn modelId="{AE46B553-DFBC-4992-8826-AC16224E4555}" type="presParOf" srcId="{080621CE-856C-49A3-A176-F02B90383248}" destId="{4AC9C2B9-E01D-473B-99BE-E489CB59454E}" srcOrd="1" destOrd="0" presId="urn:microsoft.com/office/officeart/2005/8/layout/orgChart1"/>
    <dgm:cxn modelId="{4736FC63-0E31-4996-A073-B4F0C0CD54D9}" type="presParOf" srcId="{4AC9C2B9-E01D-473B-99BE-E489CB59454E}" destId="{52578676-33F1-41ED-A77E-E090647D4659}" srcOrd="0" destOrd="0" presId="urn:microsoft.com/office/officeart/2005/8/layout/orgChart1"/>
    <dgm:cxn modelId="{62A14E5B-8269-4884-9D81-C5019E31E249}" type="presParOf" srcId="{4AC9C2B9-E01D-473B-99BE-E489CB59454E}" destId="{9EE861B5-C5B6-40A2-8368-6D001CC02737}" srcOrd="1" destOrd="0" presId="urn:microsoft.com/office/officeart/2005/8/layout/orgChart1"/>
    <dgm:cxn modelId="{02BBE447-0D70-4BF1-A71D-0065731635C6}" type="presParOf" srcId="{9EE861B5-C5B6-40A2-8368-6D001CC02737}" destId="{6A61EF33-38C6-4B31-BC64-6D64C0242753}" srcOrd="0" destOrd="0" presId="urn:microsoft.com/office/officeart/2005/8/layout/orgChart1"/>
    <dgm:cxn modelId="{CE6F152D-AE07-40ED-8FE9-9E2A2A2FE12E}" type="presParOf" srcId="{6A61EF33-38C6-4B31-BC64-6D64C0242753}" destId="{5CCC50B0-8B80-4582-A6B4-A3545A106EEC}" srcOrd="0" destOrd="0" presId="urn:microsoft.com/office/officeart/2005/8/layout/orgChart1"/>
    <dgm:cxn modelId="{912BA5EC-9B63-4FE2-9992-1D0BEE6A9D58}" type="presParOf" srcId="{6A61EF33-38C6-4B31-BC64-6D64C0242753}" destId="{61C7FC23-F0F4-43E6-AA10-83F41A6BB067}" srcOrd="1" destOrd="0" presId="urn:microsoft.com/office/officeart/2005/8/layout/orgChart1"/>
    <dgm:cxn modelId="{02FBB61A-E6F1-408F-989D-DD69989B37C1}" type="presParOf" srcId="{9EE861B5-C5B6-40A2-8368-6D001CC02737}" destId="{704D7E67-A13D-40F9-9FF7-5A5081479692}" srcOrd="1" destOrd="0" presId="urn:microsoft.com/office/officeart/2005/8/layout/orgChart1"/>
    <dgm:cxn modelId="{D055C030-FF27-492D-A141-92784D7B44D4}" type="presParOf" srcId="{9EE861B5-C5B6-40A2-8368-6D001CC02737}" destId="{85A7D202-6FB8-41FD-9B80-4B3509EF2DC7}" srcOrd="2" destOrd="0" presId="urn:microsoft.com/office/officeart/2005/8/layout/orgChart1"/>
    <dgm:cxn modelId="{F489EFB7-1D60-4FDB-8E27-DDBB8EA95CB3}" type="presParOf" srcId="{4AC9C2B9-E01D-473B-99BE-E489CB59454E}" destId="{C4EA52F7-F3A0-4E14-9844-C65F5C18BAC5}" srcOrd="2" destOrd="0" presId="urn:microsoft.com/office/officeart/2005/8/layout/orgChart1"/>
    <dgm:cxn modelId="{D05D15AF-5013-440B-B843-8761C5F6C5AE}" type="presParOf" srcId="{4AC9C2B9-E01D-473B-99BE-E489CB59454E}" destId="{9DB8B0E3-2F9C-4CCD-9D12-8EB4A6C8E7C0}" srcOrd="3" destOrd="0" presId="urn:microsoft.com/office/officeart/2005/8/layout/orgChart1"/>
    <dgm:cxn modelId="{5A5560AA-6B10-4B72-9463-04614B690EF1}" type="presParOf" srcId="{9DB8B0E3-2F9C-4CCD-9D12-8EB4A6C8E7C0}" destId="{911ED342-179C-4F88-B202-F9AD480A6A29}" srcOrd="0" destOrd="0" presId="urn:microsoft.com/office/officeart/2005/8/layout/orgChart1"/>
    <dgm:cxn modelId="{3F641D1B-B0A4-4CBF-92B4-7F1C6C50EA39}" type="presParOf" srcId="{911ED342-179C-4F88-B202-F9AD480A6A29}" destId="{65D227DA-CBB2-41F1-B2EE-56E515AB50C2}" srcOrd="0" destOrd="0" presId="urn:microsoft.com/office/officeart/2005/8/layout/orgChart1"/>
    <dgm:cxn modelId="{AE6C7CB4-B885-408F-87F6-B7152DD02A46}" type="presParOf" srcId="{911ED342-179C-4F88-B202-F9AD480A6A29}" destId="{E10CEDCF-33F2-47FE-864E-8FED7FAC5B09}" srcOrd="1" destOrd="0" presId="urn:microsoft.com/office/officeart/2005/8/layout/orgChart1"/>
    <dgm:cxn modelId="{86EE7E96-A8C8-46E5-9717-CFE15DB2F34D}" type="presParOf" srcId="{9DB8B0E3-2F9C-4CCD-9D12-8EB4A6C8E7C0}" destId="{7720DA80-E58E-4FD8-B3AD-A426B2BB4854}" srcOrd="1" destOrd="0" presId="urn:microsoft.com/office/officeart/2005/8/layout/orgChart1"/>
    <dgm:cxn modelId="{33685881-3330-4CF3-B0CA-2ED8F348315E}" type="presParOf" srcId="{7720DA80-E58E-4FD8-B3AD-A426B2BB4854}" destId="{F772E93C-C638-4C95-9DCC-102BCF6BFBF3}" srcOrd="0" destOrd="0" presId="urn:microsoft.com/office/officeart/2005/8/layout/orgChart1"/>
    <dgm:cxn modelId="{F1FBFA43-1B16-4A64-895C-98060BA5A0FF}" type="presParOf" srcId="{7720DA80-E58E-4FD8-B3AD-A426B2BB4854}" destId="{253AD6CA-CBAB-407B-A9A0-65A4E8CF7F8B}" srcOrd="1" destOrd="0" presId="urn:microsoft.com/office/officeart/2005/8/layout/orgChart1"/>
    <dgm:cxn modelId="{68452E75-A4A9-4DF3-9D3E-CDE525125000}" type="presParOf" srcId="{253AD6CA-CBAB-407B-A9A0-65A4E8CF7F8B}" destId="{7555DCDF-DAA4-4722-A39C-1B48CB47FA6D}" srcOrd="0" destOrd="0" presId="urn:microsoft.com/office/officeart/2005/8/layout/orgChart1"/>
    <dgm:cxn modelId="{7D75DED1-D6B8-43C2-A1F3-138F28A1B2FE}" type="presParOf" srcId="{7555DCDF-DAA4-4722-A39C-1B48CB47FA6D}" destId="{A474E2F2-4D66-420A-8313-5F10F474F7BE}" srcOrd="0" destOrd="0" presId="urn:microsoft.com/office/officeart/2005/8/layout/orgChart1"/>
    <dgm:cxn modelId="{88D60BA9-26C2-4D7E-86FF-06BCA037EAA0}" type="presParOf" srcId="{7555DCDF-DAA4-4722-A39C-1B48CB47FA6D}" destId="{90D802F5-C3F5-4C57-9C86-11322B88B40B}" srcOrd="1" destOrd="0" presId="urn:microsoft.com/office/officeart/2005/8/layout/orgChart1"/>
    <dgm:cxn modelId="{EAC0F460-3C44-43EB-B974-1FADAA5F34DC}" type="presParOf" srcId="{253AD6CA-CBAB-407B-A9A0-65A4E8CF7F8B}" destId="{D58C88ED-22B7-4945-941B-1D6C65F09245}" srcOrd="1" destOrd="0" presId="urn:microsoft.com/office/officeart/2005/8/layout/orgChart1"/>
    <dgm:cxn modelId="{BFF9E290-F319-464C-8465-38D1C85DDD91}" type="presParOf" srcId="{253AD6CA-CBAB-407B-A9A0-65A4E8CF7F8B}" destId="{E8E7AD6A-6DD9-45E7-986A-FE632997A38D}" srcOrd="2" destOrd="0" presId="urn:microsoft.com/office/officeart/2005/8/layout/orgChart1"/>
    <dgm:cxn modelId="{7B4CA905-6424-4070-BAFD-4BB2762D967F}" type="presParOf" srcId="{7720DA80-E58E-4FD8-B3AD-A426B2BB4854}" destId="{FF45BF6A-6960-49F0-8041-5EBEF17637E2}" srcOrd="2" destOrd="0" presId="urn:microsoft.com/office/officeart/2005/8/layout/orgChart1"/>
    <dgm:cxn modelId="{2A43FD1F-EBBE-4B86-BBA0-C1D4368A150A}" type="presParOf" srcId="{7720DA80-E58E-4FD8-B3AD-A426B2BB4854}" destId="{918C80C1-B099-40E1-8100-F5AAC969E6CE}" srcOrd="3" destOrd="0" presId="urn:microsoft.com/office/officeart/2005/8/layout/orgChart1"/>
    <dgm:cxn modelId="{04E37198-2DCA-4ABD-A64D-1A58F48276E8}" type="presParOf" srcId="{918C80C1-B099-40E1-8100-F5AAC969E6CE}" destId="{43202DF3-0E01-4810-8625-A7045FEA2488}" srcOrd="0" destOrd="0" presId="urn:microsoft.com/office/officeart/2005/8/layout/orgChart1"/>
    <dgm:cxn modelId="{A9340FDE-4B17-48A0-8B27-04272E3730E7}" type="presParOf" srcId="{43202DF3-0E01-4810-8625-A7045FEA2488}" destId="{37C74948-BB6B-47CC-9E2C-56A358E7C14F}" srcOrd="0" destOrd="0" presId="urn:microsoft.com/office/officeart/2005/8/layout/orgChart1"/>
    <dgm:cxn modelId="{ED6C2EFB-F240-43BB-A27F-F79CC2972D79}" type="presParOf" srcId="{43202DF3-0E01-4810-8625-A7045FEA2488}" destId="{BD0F78D0-C9D0-4CD0-8648-6CC7DD0B1707}" srcOrd="1" destOrd="0" presId="urn:microsoft.com/office/officeart/2005/8/layout/orgChart1"/>
    <dgm:cxn modelId="{02A31961-DE09-489A-9896-5E98BF5B99ED}" type="presParOf" srcId="{918C80C1-B099-40E1-8100-F5AAC969E6CE}" destId="{18C2816D-E4F5-463D-8AC3-3CB348BFF506}" srcOrd="1" destOrd="0" presId="urn:microsoft.com/office/officeart/2005/8/layout/orgChart1"/>
    <dgm:cxn modelId="{AFFE6A46-0599-42E8-94E3-4552CCC6CC26}" type="presParOf" srcId="{918C80C1-B099-40E1-8100-F5AAC969E6CE}" destId="{8AC535B3-963A-48B9-B6D7-5434FC8D226D}" srcOrd="2" destOrd="0" presId="urn:microsoft.com/office/officeart/2005/8/layout/orgChart1"/>
    <dgm:cxn modelId="{93009C82-EA72-4F1A-B616-BAC43B065DDF}" type="presParOf" srcId="{9DB8B0E3-2F9C-4CCD-9D12-8EB4A6C8E7C0}" destId="{051C473A-7148-4D93-A330-357F85911C17}" srcOrd="2" destOrd="0" presId="urn:microsoft.com/office/officeart/2005/8/layout/orgChart1"/>
    <dgm:cxn modelId="{0677CFC5-18B5-47FF-9915-D44F1541A6CE}" type="presParOf" srcId="{4AC9C2B9-E01D-473B-99BE-E489CB59454E}" destId="{E8C2E6B8-E3AE-4617-A181-CB5ABCD60D5F}" srcOrd="4" destOrd="0" presId="urn:microsoft.com/office/officeart/2005/8/layout/orgChart1"/>
    <dgm:cxn modelId="{E1DCFDCE-2AF9-4EE9-9B2C-D2084B08E5B6}" type="presParOf" srcId="{4AC9C2B9-E01D-473B-99BE-E489CB59454E}" destId="{D6C85BFD-F7E9-46F1-989A-0848105F3588}" srcOrd="5" destOrd="0" presId="urn:microsoft.com/office/officeart/2005/8/layout/orgChart1"/>
    <dgm:cxn modelId="{1A03A657-CD31-4D37-9BE3-B3D2314A3EB2}" type="presParOf" srcId="{D6C85BFD-F7E9-46F1-989A-0848105F3588}" destId="{92A17807-92B2-4269-B5DE-36BDAD9402B5}" srcOrd="0" destOrd="0" presId="urn:microsoft.com/office/officeart/2005/8/layout/orgChart1"/>
    <dgm:cxn modelId="{82B12B5F-2D48-4C12-BC7A-7AE955229076}" type="presParOf" srcId="{92A17807-92B2-4269-B5DE-36BDAD9402B5}" destId="{AF75FCF7-9CB3-4912-B9A3-854F7725C66E}" srcOrd="0" destOrd="0" presId="urn:microsoft.com/office/officeart/2005/8/layout/orgChart1"/>
    <dgm:cxn modelId="{C8D314EB-59F2-4CA4-8DF5-375B8B1E71FB}" type="presParOf" srcId="{92A17807-92B2-4269-B5DE-36BDAD9402B5}" destId="{E33F7355-51FB-476E-BF78-CC97F421155E}" srcOrd="1" destOrd="0" presId="urn:microsoft.com/office/officeart/2005/8/layout/orgChart1"/>
    <dgm:cxn modelId="{2BEDA7DB-6053-43F0-B8A0-1E3F0C39D43D}" type="presParOf" srcId="{D6C85BFD-F7E9-46F1-989A-0848105F3588}" destId="{D7AA6B3C-F93C-41A8-9E33-77226B982259}" srcOrd="1" destOrd="0" presId="urn:microsoft.com/office/officeart/2005/8/layout/orgChart1"/>
    <dgm:cxn modelId="{AE4D3A49-D5E9-4CB7-B270-C8B3785ECEAC}" type="presParOf" srcId="{D6C85BFD-F7E9-46F1-989A-0848105F3588}" destId="{DAF42504-5F19-4351-86C6-0B0FD19CB048}" srcOrd="2" destOrd="0" presId="urn:microsoft.com/office/officeart/2005/8/layout/orgChart1"/>
    <dgm:cxn modelId="{A9CB0670-26C0-483B-B5BA-E95FCCBDC27A}" type="presParOf" srcId="{4AC9C2B9-E01D-473B-99BE-E489CB59454E}" destId="{8B59BEBA-C59D-4E80-8D2D-3C5854F0BE81}" srcOrd="6" destOrd="0" presId="urn:microsoft.com/office/officeart/2005/8/layout/orgChart1"/>
    <dgm:cxn modelId="{593FC53C-E053-4AB1-BF62-C3594529B3EB}" type="presParOf" srcId="{4AC9C2B9-E01D-473B-99BE-E489CB59454E}" destId="{DDE8B884-8148-46DB-B462-9364B7380268}" srcOrd="7" destOrd="0" presId="urn:microsoft.com/office/officeart/2005/8/layout/orgChart1"/>
    <dgm:cxn modelId="{1CE548B8-45AD-43D5-9097-5F2ABC810ABF}" type="presParOf" srcId="{DDE8B884-8148-46DB-B462-9364B7380268}" destId="{2AFE68BD-C2E7-4627-8FAD-5A1B1CD2B88F}" srcOrd="0" destOrd="0" presId="urn:microsoft.com/office/officeart/2005/8/layout/orgChart1"/>
    <dgm:cxn modelId="{5548F678-9B4C-4C99-82F8-465C8F3C3F88}" type="presParOf" srcId="{2AFE68BD-C2E7-4627-8FAD-5A1B1CD2B88F}" destId="{5B79159B-A6B1-44EC-9EF8-A54DD8D67891}" srcOrd="0" destOrd="0" presId="urn:microsoft.com/office/officeart/2005/8/layout/orgChart1"/>
    <dgm:cxn modelId="{E761B9B3-9490-4228-B177-C7066277EAB2}" type="presParOf" srcId="{2AFE68BD-C2E7-4627-8FAD-5A1B1CD2B88F}" destId="{6ACA21B5-6ECB-4078-9E74-0608199CBD63}" srcOrd="1" destOrd="0" presId="urn:microsoft.com/office/officeart/2005/8/layout/orgChart1"/>
    <dgm:cxn modelId="{FF8CC75C-B829-4FDA-A0C7-7E3A7271FFF7}" type="presParOf" srcId="{DDE8B884-8148-46DB-B462-9364B7380268}" destId="{7667AE9B-CC03-424A-8689-F397BC6195B3}" srcOrd="1" destOrd="0" presId="urn:microsoft.com/office/officeart/2005/8/layout/orgChart1"/>
    <dgm:cxn modelId="{AC111EE1-D1A0-47D8-A5FD-DB8AEF606940}" type="presParOf" srcId="{DDE8B884-8148-46DB-B462-9364B7380268}" destId="{0794E12E-6396-436F-AF55-3DF9F9D97D35}" srcOrd="2" destOrd="0" presId="urn:microsoft.com/office/officeart/2005/8/layout/orgChart1"/>
    <dgm:cxn modelId="{B5AF712E-FC5B-423F-9E55-23091DFDFA00}" type="presParOf" srcId="{080621CE-856C-49A3-A176-F02B90383248}" destId="{CEF13A86-9882-4D11-A4F9-310581167DAA}" srcOrd="2" destOrd="0" presId="urn:microsoft.com/office/officeart/2005/8/layout/orgChart1"/>
    <dgm:cxn modelId="{6FAB37AC-2827-417D-8F5D-9748EF0D9284}" type="presParOf" srcId="{0E617F61-E267-4D99-B791-586CC4FAFE4F}" destId="{CC6EAF74-08D1-470B-9E3B-37A2ECEC79D7}" srcOrd="2" destOrd="0" presId="urn:microsoft.com/office/officeart/2005/8/layout/orgChart1"/>
    <dgm:cxn modelId="{C099858C-C9B4-4157-9610-F23946884801}" type="presParOf" srcId="{0C24F2F3-E521-409B-AC58-ED8B2859CEC0}" destId="{075A7CD2-64C1-4C17-AC31-5E7A4264AAD7}" srcOrd="6" destOrd="0" presId="urn:microsoft.com/office/officeart/2005/8/layout/orgChart1"/>
    <dgm:cxn modelId="{820B9D18-B075-4599-BFFB-CED091337B53}" type="presParOf" srcId="{0C24F2F3-E521-409B-AC58-ED8B2859CEC0}" destId="{D703A028-C545-4082-B193-74FCEB7C94C6}" srcOrd="7" destOrd="0" presId="urn:microsoft.com/office/officeart/2005/8/layout/orgChart1"/>
    <dgm:cxn modelId="{547744B8-C717-4F77-9648-BA692A05488A}" type="presParOf" srcId="{D703A028-C545-4082-B193-74FCEB7C94C6}" destId="{7B8810F6-6E00-4DAE-B24D-BC70114744A0}" srcOrd="0" destOrd="0" presId="urn:microsoft.com/office/officeart/2005/8/layout/orgChart1"/>
    <dgm:cxn modelId="{1F061E15-1E82-4A08-A42E-87D24ABA50DF}" type="presParOf" srcId="{7B8810F6-6E00-4DAE-B24D-BC70114744A0}" destId="{7C7C7D1E-23BA-4F8F-AB7A-F410F12AA9FD}" srcOrd="0" destOrd="0" presId="urn:microsoft.com/office/officeart/2005/8/layout/orgChart1"/>
    <dgm:cxn modelId="{B72CFFB3-CE5C-4510-97EB-F185307FD241}" type="presParOf" srcId="{7B8810F6-6E00-4DAE-B24D-BC70114744A0}" destId="{0598667D-C34E-4A6D-AC46-33015902457E}" srcOrd="1" destOrd="0" presId="urn:microsoft.com/office/officeart/2005/8/layout/orgChart1"/>
    <dgm:cxn modelId="{E8D8A92F-9138-4968-8375-84D84E828288}" type="presParOf" srcId="{D703A028-C545-4082-B193-74FCEB7C94C6}" destId="{9E3EFB72-6293-4E9A-BC8B-47C3E9E3B026}" srcOrd="1" destOrd="0" presId="urn:microsoft.com/office/officeart/2005/8/layout/orgChart1"/>
    <dgm:cxn modelId="{157DE1E4-EA4C-44FB-BFE6-F4698252AF26}" type="presParOf" srcId="{9E3EFB72-6293-4E9A-BC8B-47C3E9E3B026}" destId="{DABBDCB9-693A-410D-B0B7-1CC6965C59E5}" srcOrd="0" destOrd="0" presId="urn:microsoft.com/office/officeart/2005/8/layout/orgChart1"/>
    <dgm:cxn modelId="{3DE9411A-9FBF-4686-9D02-E173D0368190}" type="presParOf" srcId="{9E3EFB72-6293-4E9A-BC8B-47C3E9E3B026}" destId="{E6CC5B7E-6993-49E1-B625-4D64CE8C87BD}" srcOrd="1" destOrd="0" presId="urn:microsoft.com/office/officeart/2005/8/layout/orgChart1"/>
    <dgm:cxn modelId="{CBFB1C3F-9D55-4468-B48D-8F95586CB5B4}" type="presParOf" srcId="{E6CC5B7E-6993-49E1-B625-4D64CE8C87BD}" destId="{D6BC9D38-5E8E-459D-86EF-0DBB130CB5D1}" srcOrd="0" destOrd="0" presId="urn:microsoft.com/office/officeart/2005/8/layout/orgChart1"/>
    <dgm:cxn modelId="{9E1539DC-AD51-4A30-9596-0EBE8FA84798}" type="presParOf" srcId="{D6BC9D38-5E8E-459D-86EF-0DBB130CB5D1}" destId="{8D0E2691-EB04-4C52-A21B-E05280BACD94}" srcOrd="0" destOrd="0" presId="urn:microsoft.com/office/officeart/2005/8/layout/orgChart1"/>
    <dgm:cxn modelId="{8B8FDA8A-0EAB-4920-A229-81CFCEE15DDE}" type="presParOf" srcId="{D6BC9D38-5E8E-459D-86EF-0DBB130CB5D1}" destId="{C5334FA8-DFBE-4144-B1CA-A1F70AD90914}" srcOrd="1" destOrd="0" presId="urn:microsoft.com/office/officeart/2005/8/layout/orgChart1"/>
    <dgm:cxn modelId="{B04BD1C9-C7F0-480A-AC0B-BA0B356CD907}" type="presParOf" srcId="{E6CC5B7E-6993-49E1-B625-4D64CE8C87BD}" destId="{DD1C2F90-AF48-4E0E-A8C4-0046317EF48D}" srcOrd="1" destOrd="0" presId="urn:microsoft.com/office/officeart/2005/8/layout/orgChart1"/>
    <dgm:cxn modelId="{CA5676F3-A9A4-452A-B1D2-4EA7711D4732}" type="presParOf" srcId="{E6CC5B7E-6993-49E1-B625-4D64CE8C87BD}" destId="{59C4E555-19E0-494B-B79F-658502DACA54}" srcOrd="2" destOrd="0" presId="urn:microsoft.com/office/officeart/2005/8/layout/orgChart1"/>
    <dgm:cxn modelId="{64EB1D2C-50CF-4F08-9C0E-558746AB6F7D}" type="presParOf" srcId="{9E3EFB72-6293-4E9A-BC8B-47C3E9E3B026}" destId="{C2F38661-A6B2-4DC9-AB6D-B511EF4C168D}" srcOrd="2" destOrd="0" presId="urn:microsoft.com/office/officeart/2005/8/layout/orgChart1"/>
    <dgm:cxn modelId="{8F9700CE-0F54-4674-87A6-91137FBA7AB8}" type="presParOf" srcId="{9E3EFB72-6293-4E9A-BC8B-47C3E9E3B026}" destId="{7B420A38-FD80-430A-8684-23EACE988CB9}" srcOrd="3" destOrd="0" presId="urn:microsoft.com/office/officeart/2005/8/layout/orgChart1"/>
    <dgm:cxn modelId="{8DF8BDD4-2CD1-4543-A6F7-B1B95D6F82AC}" type="presParOf" srcId="{7B420A38-FD80-430A-8684-23EACE988CB9}" destId="{1C9E1E25-BEDF-469B-939A-938973D2E4E3}" srcOrd="0" destOrd="0" presId="urn:microsoft.com/office/officeart/2005/8/layout/orgChart1"/>
    <dgm:cxn modelId="{568C9CA9-5371-48FB-9370-992974640DC9}" type="presParOf" srcId="{1C9E1E25-BEDF-469B-939A-938973D2E4E3}" destId="{30FC068F-8389-441D-914B-E0EECD00BB4F}" srcOrd="0" destOrd="0" presId="urn:microsoft.com/office/officeart/2005/8/layout/orgChart1"/>
    <dgm:cxn modelId="{1EF77727-2E2B-48C9-BBB1-EC9F2FB11789}" type="presParOf" srcId="{1C9E1E25-BEDF-469B-939A-938973D2E4E3}" destId="{EA603AD3-1C4E-46B5-8FCA-28F4A2415515}" srcOrd="1" destOrd="0" presId="urn:microsoft.com/office/officeart/2005/8/layout/orgChart1"/>
    <dgm:cxn modelId="{72EF4E15-CA8A-42EF-AE78-864DAC0194F0}" type="presParOf" srcId="{7B420A38-FD80-430A-8684-23EACE988CB9}" destId="{66995DD7-91DC-484A-A021-4DB5D2DE316C}" srcOrd="1" destOrd="0" presId="urn:microsoft.com/office/officeart/2005/8/layout/orgChart1"/>
    <dgm:cxn modelId="{85BCDDAA-C29E-4C4F-85DF-A3C8644541EF}" type="presParOf" srcId="{7B420A38-FD80-430A-8684-23EACE988CB9}" destId="{EBDCFCB7-4ACE-4A61-B5E4-F86031D4679D}" srcOrd="2" destOrd="0" presId="urn:microsoft.com/office/officeart/2005/8/layout/orgChart1"/>
    <dgm:cxn modelId="{2400D93A-6ED3-427F-93AC-CFAA9B258169}" type="presParOf" srcId="{D703A028-C545-4082-B193-74FCEB7C94C6}" destId="{1E9BEB41-50B5-4D96-9EFB-0F49EA49B5AC}" srcOrd="2" destOrd="0" presId="urn:microsoft.com/office/officeart/2005/8/layout/orgChart1"/>
    <dgm:cxn modelId="{A2FAC6AD-CB8C-4614-A40A-4C632D377836}" type="presParOf" srcId="{F287C2B8-E73E-4FF6-9D9E-8244CC537D13}" destId="{0CBFE6DB-E1E6-4BF9-88DF-27E121D7E6DF}" srcOrd="2" destOrd="0" presId="urn:microsoft.com/office/officeart/2005/8/layout/orgChart1"/>
    <dgm:cxn modelId="{9899B62E-2B62-480D-A697-B3A553839946}" type="presParOf" srcId="{99F53BDD-8B8B-4739-B78F-7A95739DCC3E}" destId="{F9C486B5-5A6E-4458-9FE1-FC25DEF5AB26}" srcOrd="12" destOrd="0" presId="urn:microsoft.com/office/officeart/2005/8/layout/orgChart1"/>
    <dgm:cxn modelId="{FA6DA7DA-FB9C-4D6B-898C-C43CE663F812}" type="presParOf" srcId="{99F53BDD-8B8B-4739-B78F-7A95739DCC3E}" destId="{17BB0C40-7B3B-484E-A426-ED8A5250550B}" srcOrd="13" destOrd="0" presId="urn:microsoft.com/office/officeart/2005/8/layout/orgChart1"/>
    <dgm:cxn modelId="{925DA20A-CD1D-4CF8-B954-908CCE457857}" type="presParOf" srcId="{17BB0C40-7B3B-484E-A426-ED8A5250550B}" destId="{00C1CCA9-4531-44D0-A725-FF3993AB87B9}" srcOrd="0" destOrd="0" presId="urn:microsoft.com/office/officeart/2005/8/layout/orgChart1"/>
    <dgm:cxn modelId="{E29DB721-8A56-453C-8A1F-6552BBD01CF6}" type="presParOf" srcId="{00C1CCA9-4531-44D0-A725-FF3993AB87B9}" destId="{017844EE-014A-4382-94DD-1FFC4466DE90}" srcOrd="0" destOrd="0" presId="urn:microsoft.com/office/officeart/2005/8/layout/orgChart1"/>
    <dgm:cxn modelId="{69959916-93CD-42B5-BAE4-476C6CEBFDE3}" type="presParOf" srcId="{00C1CCA9-4531-44D0-A725-FF3993AB87B9}" destId="{03D682EE-9E02-4630-987B-54F06E6D816B}" srcOrd="1" destOrd="0" presId="urn:microsoft.com/office/officeart/2005/8/layout/orgChart1"/>
    <dgm:cxn modelId="{D865C131-7321-4D3B-8A77-27A43B82CCCB}" type="presParOf" srcId="{17BB0C40-7B3B-484E-A426-ED8A5250550B}" destId="{7D5DDDD9-F6E6-4A58-8F20-200A10BC8E92}" srcOrd="1" destOrd="0" presId="urn:microsoft.com/office/officeart/2005/8/layout/orgChart1"/>
    <dgm:cxn modelId="{D1D79363-CAD2-4BDD-81EC-3EA8C787634F}" type="presParOf" srcId="{7D5DDDD9-F6E6-4A58-8F20-200A10BC8E92}" destId="{EA0027C9-0F51-47B1-B7AE-AB087BDF3D25}" srcOrd="0" destOrd="0" presId="urn:microsoft.com/office/officeart/2005/8/layout/orgChart1"/>
    <dgm:cxn modelId="{D8FF6093-1303-4C44-8261-8A2C175E743B}" type="presParOf" srcId="{7D5DDDD9-F6E6-4A58-8F20-200A10BC8E92}" destId="{9782F2FE-D75D-4FEB-875E-6C32667F3487}" srcOrd="1" destOrd="0" presId="urn:microsoft.com/office/officeart/2005/8/layout/orgChart1"/>
    <dgm:cxn modelId="{EB7B4879-2B2F-4DF5-A50B-95C9118507FA}" type="presParOf" srcId="{9782F2FE-D75D-4FEB-875E-6C32667F3487}" destId="{2BEC636B-E69D-4930-AE19-A66C8076769F}" srcOrd="0" destOrd="0" presId="urn:microsoft.com/office/officeart/2005/8/layout/orgChart1"/>
    <dgm:cxn modelId="{BC963310-1DA4-4C7A-92EB-FE75154E62F0}" type="presParOf" srcId="{2BEC636B-E69D-4930-AE19-A66C8076769F}" destId="{6EC7C5DA-90D3-4977-A1FE-67D3C3099769}" srcOrd="0" destOrd="0" presId="urn:microsoft.com/office/officeart/2005/8/layout/orgChart1"/>
    <dgm:cxn modelId="{3B528F5D-C817-4FBE-B3A5-AE6FD036E096}" type="presParOf" srcId="{2BEC636B-E69D-4930-AE19-A66C8076769F}" destId="{51A0FF83-B108-4943-BCE6-0B711FDF5822}" srcOrd="1" destOrd="0" presId="urn:microsoft.com/office/officeart/2005/8/layout/orgChart1"/>
    <dgm:cxn modelId="{591435E2-92FD-475A-9374-8A9AC353DA7E}" type="presParOf" srcId="{9782F2FE-D75D-4FEB-875E-6C32667F3487}" destId="{FF30C0B1-A6B8-4E34-A770-F47F0011AAA4}" srcOrd="1" destOrd="0" presId="urn:microsoft.com/office/officeart/2005/8/layout/orgChart1"/>
    <dgm:cxn modelId="{D2A1B516-B4E0-462B-A6FA-3223E9C7C17A}" type="presParOf" srcId="{FF30C0B1-A6B8-4E34-A770-F47F0011AAA4}" destId="{C85E8AD3-FF86-411F-B283-EDE8FC240662}" srcOrd="0" destOrd="0" presId="urn:microsoft.com/office/officeart/2005/8/layout/orgChart1"/>
    <dgm:cxn modelId="{90588297-200F-4E8F-B6E2-1DD646B92F8A}" type="presParOf" srcId="{FF30C0B1-A6B8-4E34-A770-F47F0011AAA4}" destId="{35F67902-5AA2-4368-BF7F-E6335416A1D7}" srcOrd="1" destOrd="0" presId="urn:microsoft.com/office/officeart/2005/8/layout/orgChart1"/>
    <dgm:cxn modelId="{D6178B1B-37AC-46AE-847F-DE51DED5A456}" type="presParOf" srcId="{35F67902-5AA2-4368-BF7F-E6335416A1D7}" destId="{35C53499-E4E9-48DD-8F76-A2DE09415A69}" srcOrd="0" destOrd="0" presId="urn:microsoft.com/office/officeart/2005/8/layout/orgChart1"/>
    <dgm:cxn modelId="{6804A069-A230-47D1-A28B-424C40B5E63A}" type="presParOf" srcId="{35C53499-E4E9-48DD-8F76-A2DE09415A69}" destId="{25F8C15A-BFC1-4EAE-B7C9-C355DFF1A0D9}" srcOrd="0" destOrd="0" presId="urn:microsoft.com/office/officeart/2005/8/layout/orgChart1"/>
    <dgm:cxn modelId="{46E5B65A-4A6B-4304-9484-F096C5CEB8EA}" type="presParOf" srcId="{35C53499-E4E9-48DD-8F76-A2DE09415A69}" destId="{18109367-D032-49C6-A429-10463006083B}" srcOrd="1" destOrd="0" presId="urn:microsoft.com/office/officeart/2005/8/layout/orgChart1"/>
    <dgm:cxn modelId="{FCAA7262-EEA8-4AAA-BC57-28CF2FBAAD00}" type="presParOf" srcId="{35F67902-5AA2-4368-BF7F-E6335416A1D7}" destId="{EF802AD9-49F3-42B0-A0C9-E559EE3B283B}" srcOrd="1" destOrd="0" presId="urn:microsoft.com/office/officeart/2005/8/layout/orgChart1"/>
    <dgm:cxn modelId="{F827624A-B7C9-4C31-9D1E-7DFCBEB70C44}" type="presParOf" srcId="{35F67902-5AA2-4368-BF7F-E6335416A1D7}" destId="{A2052236-6C60-47F9-9089-55BFAD2F33D1}" srcOrd="2" destOrd="0" presId="urn:microsoft.com/office/officeart/2005/8/layout/orgChart1"/>
    <dgm:cxn modelId="{BC754A7F-A770-44DE-9B9B-498EFF931EFF}" type="presParOf" srcId="{FF30C0B1-A6B8-4E34-A770-F47F0011AAA4}" destId="{8DE55FD0-6333-4A23-A7E6-616002C228DD}" srcOrd="2" destOrd="0" presId="urn:microsoft.com/office/officeart/2005/8/layout/orgChart1"/>
    <dgm:cxn modelId="{9CF54905-8A89-4B96-9D17-2C964B24346E}" type="presParOf" srcId="{FF30C0B1-A6B8-4E34-A770-F47F0011AAA4}" destId="{200286E6-4694-445A-900B-C8E3E8F02CFD}" srcOrd="3" destOrd="0" presId="urn:microsoft.com/office/officeart/2005/8/layout/orgChart1"/>
    <dgm:cxn modelId="{DA193826-B5D0-483C-8689-5DB069CEF89C}" type="presParOf" srcId="{200286E6-4694-445A-900B-C8E3E8F02CFD}" destId="{E9087756-BF24-4AB8-9074-4786C8049CE9}" srcOrd="0" destOrd="0" presId="urn:microsoft.com/office/officeart/2005/8/layout/orgChart1"/>
    <dgm:cxn modelId="{10705A66-B501-4AD5-B3F9-D652B5D92406}" type="presParOf" srcId="{E9087756-BF24-4AB8-9074-4786C8049CE9}" destId="{839CEBC8-927A-48FF-BDA4-5DAD7898844C}" srcOrd="0" destOrd="0" presId="urn:microsoft.com/office/officeart/2005/8/layout/orgChart1"/>
    <dgm:cxn modelId="{B3AC7CA1-A957-4656-9369-633278F307E0}" type="presParOf" srcId="{E9087756-BF24-4AB8-9074-4786C8049CE9}" destId="{BE9DCE39-75F9-4880-B7E2-B275EE87AE26}" srcOrd="1" destOrd="0" presId="urn:microsoft.com/office/officeart/2005/8/layout/orgChart1"/>
    <dgm:cxn modelId="{C9800A07-2B9F-4226-97D1-9C3C710D5549}" type="presParOf" srcId="{200286E6-4694-445A-900B-C8E3E8F02CFD}" destId="{1E5D6643-366E-420C-8DA9-2B02346298AA}" srcOrd="1" destOrd="0" presId="urn:microsoft.com/office/officeart/2005/8/layout/orgChart1"/>
    <dgm:cxn modelId="{2DBCC118-3DDB-4F77-8016-76E49BF32CDE}" type="presParOf" srcId="{200286E6-4694-445A-900B-C8E3E8F02CFD}" destId="{3B38D4F3-140F-4BB4-B715-5CC3619657A9}" srcOrd="2" destOrd="0" presId="urn:microsoft.com/office/officeart/2005/8/layout/orgChart1"/>
    <dgm:cxn modelId="{839CC43D-6D73-4DAE-85BC-A36C443645DD}" type="presParOf" srcId="{9782F2FE-D75D-4FEB-875E-6C32667F3487}" destId="{93C6B205-85D6-4EE2-A6CE-71F5668C4B76}" srcOrd="2" destOrd="0" presId="urn:microsoft.com/office/officeart/2005/8/layout/orgChart1"/>
    <dgm:cxn modelId="{CBB50166-87DA-4FA9-A0EA-8089BFBA37C9}" type="presParOf" srcId="{7D5DDDD9-F6E6-4A58-8F20-200A10BC8E92}" destId="{BCA01E72-60B8-4EBB-8601-00F8976FEB69}" srcOrd="2" destOrd="0" presId="urn:microsoft.com/office/officeart/2005/8/layout/orgChart1"/>
    <dgm:cxn modelId="{A068CBE7-340E-4668-A3FA-75D74AFFC04E}" type="presParOf" srcId="{7D5DDDD9-F6E6-4A58-8F20-200A10BC8E92}" destId="{967E49EF-28F9-4B8B-9516-BD0AB64D723D}" srcOrd="3" destOrd="0" presId="urn:microsoft.com/office/officeart/2005/8/layout/orgChart1"/>
    <dgm:cxn modelId="{EA76E72B-CF42-4486-90B4-E028252EC27D}" type="presParOf" srcId="{967E49EF-28F9-4B8B-9516-BD0AB64D723D}" destId="{3335FA2A-21C7-446B-BA19-39022AE84FFE}" srcOrd="0" destOrd="0" presId="urn:microsoft.com/office/officeart/2005/8/layout/orgChart1"/>
    <dgm:cxn modelId="{B0D5EA01-E8B4-4288-B44A-3C95B7ED6ACB}" type="presParOf" srcId="{3335FA2A-21C7-446B-BA19-39022AE84FFE}" destId="{0427C18A-9B12-43D2-BF12-85471B29601D}" srcOrd="0" destOrd="0" presId="urn:microsoft.com/office/officeart/2005/8/layout/orgChart1"/>
    <dgm:cxn modelId="{C61D499B-EC9B-4DA2-8566-2373B0EAF99B}" type="presParOf" srcId="{3335FA2A-21C7-446B-BA19-39022AE84FFE}" destId="{A06CA3C7-D894-49A3-BB90-C930C8BEC25C}" srcOrd="1" destOrd="0" presId="urn:microsoft.com/office/officeart/2005/8/layout/orgChart1"/>
    <dgm:cxn modelId="{2B7B56CD-3CE9-4DA0-81F3-9027EBB57ACD}" type="presParOf" srcId="{967E49EF-28F9-4B8B-9516-BD0AB64D723D}" destId="{0A424931-E829-4B4F-BE88-18BC84AFD652}" srcOrd="1" destOrd="0" presId="urn:microsoft.com/office/officeart/2005/8/layout/orgChart1"/>
    <dgm:cxn modelId="{80E38529-DAA5-4001-94F1-C1EDE9A67DB8}" type="presParOf" srcId="{0A424931-E829-4B4F-BE88-18BC84AFD652}" destId="{CAE3BC52-4F8F-4707-9276-2663F5C93648}" srcOrd="0" destOrd="0" presId="urn:microsoft.com/office/officeart/2005/8/layout/orgChart1"/>
    <dgm:cxn modelId="{5AC751C7-4989-4371-9FE3-A892E94477CA}" type="presParOf" srcId="{0A424931-E829-4B4F-BE88-18BC84AFD652}" destId="{89452373-2AE2-4790-971B-F909065455BF}" srcOrd="1" destOrd="0" presId="urn:microsoft.com/office/officeart/2005/8/layout/orgChart1"/>
    <dgm:cxn modelId="{35F7CF3C-AC82-4731-A645-C428ACC897B6}" type="presParOf" srcId="{89452373-2AE2-4790-971B-F909065455BF}" destId="{F03555DB-65CE-4F2F-BF93-9B26B97496AF}" srcOrd="0" destOrd="0" presId="urn:microsoft.com/office/officeart/2005/8/layout/orgChart1"/>
    <dgm:cxn modelId="{187C56A4-8883-4B80-84CE-68D43F124E6C}" type="presParOf" srcId="{F03555DB-65CE-4F2F-BF93-9B26B97496AF}" destId="{010BA9F0-6A0F-40DC-ADCD-E979F028D9D6}" srcOrd="0" destOrd="0" presId="urn:microsoft.com/office/officeart/2005/8/layout/orgChart1"/>
    <dgm:cxn modelId="{39FF8F0E-529F-4B7D-A85E-05D06D8D5864}" type="presParOf" srcId="{F03555DB-65CE-4F2F-BF93-9B26B97496AF}" destId="{D1E44EBA-C94B-4DBB-89B2-184942F28110}" srcOrd="1" destOrd="0" presId="urn:microsoft.com/office/officeart/2005/8/layout/orgChart1"/>
    <dgm:cxn modelId="{D75A9CA9-7CA6-4A74-84AB-0678E3374B54}" type="presParOf" srcId="{89452373-2AE2-4790-971B-F909065455BF}" destId="{01A0519F-6E3D-44A2-905A-4A2EDADAE7FB}" srcOrd="1" destOrd="0" presId="urn:microsoft.com/office/officeart/2005/8/layout/orgChart1"/>
    <dgm:cxn modelId="{75B75304-BBD6-48A6-94AA-F025664DA01C}" type="presParOf" srcId="{89452373-2AE2-4790-971B-F909065455BF}" destId="{9A55BEAD-982A-45E8-8D3C-31650402583B}" srcOrd="2" destOrd="0" presId="urn:microsoft.com/office/officeart/2005/8/layout/orgChart1"/>
    <dgm:cxn modelId="{96650194-1EE4-4F84-88BD-983B2735E737}" type="presParOf" srcId="{0A424931-E829-4B4F-BE88-18BC84AFD652}" destId="{BAA2C80D-81D2-4B73-855B-60384CD56480}" srcOrd="2" destOrd="0" presId="urn:microsoft.com/office/officeart/2005/8/layout/orgChart1"/>
    <dgm:cxn modelId="{7D277A9C-82B3-4C37-984D-9682B64C5F08}" type="presParOf" srcId="{0A424931-E829-4B4F-BE88-18BC84AFD652}" destId="{47242590-B778-4375-9659-5F280688AA03}" srcOrd="3" destOrd="0" presId="urn:microsoft.com/office/officeart/2005/8/layout/orgChart1"/>
    <dgm:cxn modelId="{54A10A6E-B25B-488B-9DCF-8A4C9CC1D7B2}" type="presParOf" srcId="{47242590-B778-4375-9659-5F280688AA03}" destId="{7D56B93C-B084-42AE-B283-C6D94EEB6121}" srcOrd="0" destOrd="0" presId="urn:microsoft.com/office/officeart/2005/8/layout/orgChart1"/>
    <dgm:cxn modelId="{D31E8B8E-08BB-4B6E-A01E-04EF0F975A35}" type="presParOf" srcId="{7D56B93C-B084-42AE-B283-C6D94EEB6121}" destId="{58BC565A-7446-488A-9767-458E93248F70}" srcOrd="0" destOrd="0" presId="urn:microsoft.com/office/officeart/2005/8/layout/orgChart1"/>
    <dgm:cxn modelId="{37BFE447-740B-4237-8B0B-439C6FC33167}" type="presParOf" srcId="{7D56B93C-B084-42AE-B283-C6D94EEB6121}" destId="{E588EA53-143C-474F-9DD0-8E7AC2AC0688}" srcOrd="1" destOrd="0" presId="urn:microsoft.com/office/officeart/2005/8/layout/orgChart1"/>
    <dgm:cxn modelId="{42972834-DDA2-4DC5-9446-42373803BE8B}" type="presParOf" srcId="{47242590-B778-4375-9659-5F280688AA03}" destId="{B962F890-45E7-478B-BF37-25E5693E48F5}" srcOrd="1" destOrd="0" presId="urn:microsoft.com/office/officeart/2005/8/layout/orgChart1"/>
    <dgm:cxn modelId="{2D6B217C-5DD3-49E4-83A8-460A3C904703}" type="presParOf" srcId="{47242590-B778-4375-9659-5F280688AA03}" destId="{31AB9728-EBFF-4809-8AAC-E1C26BFA7AED}" srcOrd="2" destOrd="0" presId="urn:microsoft.com/office/officeart/2005/8/layout/orgChart1"/>
    <dgm:cxn modelId="{C835BD7D-F4C2-4CAA-BAB2-445B57290B60}" type="presParOf" srcId="{0A424931-E829-4B4F-BE88-18BC84AFD652}" destId="{58A79307-9AD3-4841-BB2D-13701BCBDB8E}" srcOrd="4" destOrd="0" presId="urn:microsoft.com/office/officeart/2005/8/layout/orgChart1"/>
    <dgm:cxn modelId="{2E8C784B-5ADF-4A84-8161-BED4AF78BD08}" type="presParOf" srcId="{0A424931-E829-4B4F-BE88-18BC84AFD652}" destId="{E9751F8E-02B5-4DF1-9062-62B8C6550079}" srcOrd="5" destOrd="0" presId="urn:microsoft.com/office/officeart/2005/8/layout/orgChart1"/>
    <dgm:cxn modelId="{3B617F7F-9674-4534-A986-47F8320F9991}" type="presParOf" srcId="{E9751F8E-02B5-4DF1-9062-62B8C6550079}" destId="{92D81E7F-D876-4FBD-846C-CB5F06669DDB}" srcOrd="0" destOrd="0" presId="urn:microsoft.com/office/officeart/2005/8/layout/orgChart1"/>
    <dgm:cxn modelId="{02358CA2-B331-4195-A1F9-4C5EF4548E5C}" type="presParOf" srcId="{92D81E7F-D876-4FBD-846C-CB5F06669DDB}" destId="{02CE6448-8ECB-49F2-87DF-A4B88DC56735}" srcOrd="0" destOrd="0" presId="urn:microsoft.com/office/officeart/2005/8/layout/orgChart1"/>
    <dgm:cxn modelId="{07884BAE-6763-46BF-B3D2-042DD9E50E51}" type="presParOf" srcId="{92D81E7F-D876-4FBD-846C-CB5F06669DDB}" destId="{D9501789-37D2-49C7-A215-625162221229}" srcOrd="1" destOrd="0" presId="urn:microsoft.com/office/officeart/2005/8/layout/orgChart1"/>
    <dgm:cxn modelId="{1ECB80BA-9C1F-4B3A-951B-5F188A03E4D6}" type="presParOf" srcId="{E9751F8E-02B5-4DF1-9062-62B8C6550079}" destId="{806B7D01-B57F-4363-BFF8-DF2A9611980C}" srcOrd="1" destOrd="0" presId="urn:microsoft.com/office/officeart/2005/8/layout/orgChart1"/>
    <dgm:cxn modelId="{41531FB7-C1FE-44DF-B52B-BFDA71BAE47A}" type="presParOf" srcId="{E9751F8E-02B5-4DF1-9062-62B8C6550079}" destId="{B5FD2979-6934-4B75-BDC4-1CACDE157457}" srcOrd="2" destOrd="0" presId="urn:microsoft.com/office/officeart/2005/8/layout/orgChart1"/>
    <dgm:cxn modelId="{A552E051-AE46-4724-9F15-651705E77546}" type="presParOf" srcId="{0A424931-E829-4B4F-BE88-18BC84AFD652}" destId="{BFE459A3-51E3-41BB-917D-6B5B5E0D7FA1}" srcOrd="6" destOrd="0" presId="urn:microsoft.com/office/officeart/2005/8/layout/orgChart1"/>
    <dgm:cxn modelId="{18DE9F1E-5308-481A-8A89-2462537BBF9F}" type="presParOf" srcId="{0A424931-E829-4B4F-BE88-18BC84AFD652}" destId="{3E488B59-26CE-45B6-A3EC-A79FD4C31C83}" srcOrd="7" destOrd="0" presId="urn:microsoft.com/office/officeart/2005/8/layout/orgChart1"/>
    <dgm:cxn modelId="{6EB93D6D-AC73-49C3-8E04-9F99BD52FFF6}" type="presParOf" srcId="{3E488B59-26CE-45B6-A3EC-A79FD4C31C83}" destId="{B918BAB2-028D-4D51-B5E8-9B69A3336AE9}" srcOrd="0" destOrd="0" presId="urn:microsoft.com/office/officeart/2005/8/layout/orgChart1"/>
    <dgm:cxn modelId="{7C16D163-50CB-4B82-87EF-5C3619F07E68}" type="presParOf" srcId="{B918BAB2-028D-4D51-B5E8-9B69A3336AE9}" destId="{BDA72F02-4730-4C0C-B50B-3279ECA8C088}" srcOrd="0" destOrd="0" presId="urn:microsoft.com/office/officeart/2005/8/layout/orgChart1"/>
    <dgm:cxn modelId="{9E05A66E-D9A4-4EAD-8554-4B2AABE38898}" type="presParOf" srcId="{B918BAB2-028D-4D51-B5E8-9B69A3336AE9}" destId="{0A3D026E-2186-4E11-A33A-D99CE0DF04A3}" srcOrd="1" destOrd="0" presId="urn:microsoft.com/office/officeart/2005/8/layout/orgChart1"/>
    <dgm:cxn modelId="{72E90073-38F2-463C-A157-0B6A1E07103A}" type="presParOf" srcId="{3E488B59-26CE-45B6-A3EC-A79FD4C31C83}" destId="{968B6D6A-35B6-492F-874E-E440B5D688D8}" srcOrd="1" destOrd="0" presId="urn:microsoft.com/office/officeart/2005/8/layout/orgChart1"/>
    <dgm:cxn modelId="{533AAA21-37DD-4BC6-8E5B-D7FBC8795A39}" type="presParOf" srcId="{3E488B59-26CE-45B6-A3EC-A79FD4C31C83}" destId="{1412DE66-6557-476D-880C-ACBA369627A0}" srcOrd="2" destOrd="0" presId="urn:microsoft.com/office/officeart/2005/8/layout/orgChart1"/>
    <dgm:cxn modelId="{DF6AB21A-A103-4E30-B6A0-66449831AE5B}" type="presParOf" srcId="{967E49EF-28F9-4B8B-9516-BD0AB64D723D}" destId="{328BBEF9-7B4E-422A-A9B7-F3E1234332DC}" srcOrd="2" destOrd="0" presId="urn:microsoft.com/office/officeart/2005/8/layout/orgChart1"/>
    <dgm:cxn modelId="{1C6F1E3C-697B-41F3-8212-1A8E1394A9EC}" type="presParOf" srcId="{7D5DDDD9-F6E6-4A58-8F20-200A10BC8E92}" destId="{E39AE64B-A0A0-40CF-AB09-CF2E7B999D6D}" srcOrd="4" destOrd="0" presId="urn:microsoft.com/office/officeart/2005/8/layout/orgChart1"/>
    <dgm:cxn modelId="{ECFFFC8D-6C4B-4A05-A042-1122857D3818}" type="presParOf" srcId="{7D5DDDD9-F6E6-4A58-8F20-200A10BC8E92}" destId="{78078302-2BD7-497C-B946-6CBCBA3A7A79}" srcOrd="5" destOrd="0" presId="urn:microsoft.com/office/officeart/2005/8/layout/orgChart1"/>
    <dgm:cxn modelId="{94DBB4CA-68F9-42C6-9366-417B30A847FA}" type="presParOf" srcId="{78078302-2BD7-497C-B946-6CBCBA3A7A79}" destId="{A208DFF3-FEC9-4BBB-B4D7-20FDB2AE397F}" srcOrd="0" destOrd="0" presId="urn:microsoft.com/office/officeart/2005/8/layout/orgChart1"/>
    <dgm:cxn modelId="{2F38D3D8-EDC6-430F-A460-8CE2DA726530}" type="presParOf" srcId="{A208DFF3-FEC9-4BBB-B4D7-20FDB2AE397F}" destId="{ED0D2389-5A30-45B5-B4E4-07C77A87B256}" srcOrd="0" destOrd="0" presId="urn:microsoft.com/office/officeart/2005/8/layout/orgChart1"/>
    <dgm:cxn modelId="{705DDE89-7B3B-4F09-8FC6-7233D5074EC0}" type="presParOf" srcId="{A208DFF3-FEC9-4BBB-B4D7-20FDB2AE397F}" destId="{85837899-2EA5-42F6-986D-176C168F5C81}" srcOrd="1" destOrd="0" presId="urn:microsoft.com/office/officeart/2005/8/layout/orgChart1"/>
    <dgm:cxn modelId="{4B74826A-5F55-47EA-A042-70A3279E8D26}" type="presParOf" srcId="{78078302-2BD7-497C-B946-6CBCBA3A7A79}" destId="{513A8EBE-B0DE-47FC-9B51-D02EEF4970CD}" srcOrd="1" destOrd="0" presId="urn:microsoft.com/office/officeart/2005/8/layout/orgChart1"/>
    <dgm:cxn modelId="{33E657C6-8D42-42E8-814A-B77EB9BB5AE5}" type="presParOf" srcId="{513A8EBE-B0DE-47FC-9B51-D02EEF4970CD}" destId="{AE5F5579-ABE5-4F7D-B6BF-CC1E5CDA7F97}" srcOrd="0" destOrd="0" presId="urn:microsoft.com/office/officeart/2005/8/layout/orgChart1"/>
    <dgm:cxn modelId="{B5159AB3-D6E8-4465-8DEC-A179BA343116}" type="presParOf" srcId="{513A8EBE-B0DE-47FC-9B51-D02EEF4970CD}" destId="{6C471502-471D-4A83-8CD6-3CA25FF6CA00}" srcOrd="1" destOrd="0" presId="urn:microsoft.com/office/officeart/2005/8/layout/orgChart1"/>
    <dgm:cxn modelId="{DC9BD8D1-909B-4D7E-B239-DC7C97F8DC97}" type="presParOf" srcId="{6C471502-471D-4A83-8CD6-3CA25FF6CA00}" destId="{7B915BD4-1C44-46D1-82D4-F681F0B83035}" srcOrd="0" destOrd="0" presId="urn:microsoft.com/office/officeart/2005/8/layout/orgChart1"/>
    <dgm:cxn modelId="{E125FAD6-FC3D-4B45-9349-8C090BC06681}" type="presParOf" srcId="{7B915BD4-1C44-46D1-82D4-F681F0B83035}" destId="{6B2BE031-E65B-4552-96D5-51E76B2C20A8}" srcOrd="0" destOrd="0" presId="urn:microsoft.com/office/officeart/2005/8/layout/orgChart1"/>
    <dgm:cxn modelId="{8104ED94-3221-4A2F-8CEC-52A19B765BEB}" type="presParOf" srcId="{7B915BD4-1C44-46D1-82D4-F681F0B83035}" destId="{C1CF5E07-11CB-454A-9A2E-61A8479242A5}" srcOrd="1" destOrd="0" presId="urn:microsoft.com/office/officeart/2005/8/layout/orgChart1"/>
    <dgm:cxn modelId="{D1089A2E-588D-4E3F-871B-DECEF2A52806}" type="presParOf" srcId="{6C471502-471D-4A83-8CD6-3CA25FF6CA00}" destId="{4398CE30-FAA0-4A7F-ABD1-2C51F1328786}" srcOrd="1" destOrd="0" presId="urn:microsoft.com/office/officeart/2005/8/layout/orgChart1"/>
    <dgm:cxn modelId="{52DFA8F9-AA5E-4973-9061-17B028950BF8}" type="presParOf" srcId="{6C471502-471D-4A83-8CD6-3CA25FF6CA00}" destId="{52CBA521-54A7-4DA5-8E4B-F9FB381C494F}" srcOrd="2" destOrd="0" presId="urn:microsoft.com/office/officeart/2005/8/layout/orgChart1"/>
    <dgm:cxn modelId="{091537F8-139C-4C2E-9711-76AD2C154A82}" type="presParOf" srcId="{513A8EBE-B0DE-47FC-9B51-D02EEF4970CD}" destId="{150BCB8C-D4BB-4939-9846-51267CF004C5}" srcOrd="2" destOrd="0" presId="urn:microsoft.com/office/officeart/2005/8/layout/orgChart1"/>
    <dgm:cxn modelId="{8E8166EE-C270-4247-B15C-0DB54766EC30}" type="presParOf" srcId="{513A8EBE-B0DE-47FC-9B51-D02EEF4970CD}" destId="{4926FFC8-0259-48E3-AD94-482ABD5292A1}" srcOrd="3" destOrd="0" presId="urn:microsoft.com/office/officeart/2005/8/layout/orgChart1"/>
    <dgm:cxn modelId="{438C6DE6-50E6-41BE-AEC6-D0875C0AA6E3}" type="presParOf" srcId="{4926FFC8-0259-48E3-AD94-482ABD5292A1}" destId="{E022C6FB-90FB-4B6E-9207-6CDDED40BFE6}" srcOrd="0" destOrd="0" presId="urn:microsoft.com/office/officeart/2005/8/layout/orgChart1"/>
    <dgm:cxn modelId="{C52D2A6A-837F-47E0-A8DA-7A6D1FD73B98}" type="presParOf" srcId="{E022C6FB-90FB-4B6E-9207-6CDDED40BFE6}" destId="{E0C1EAC6-A466-462F-9DC7-E1C44E66A1E0}" srcOrd="0" destOrd="0" presId="urn:microsoft.com/office/officeart/2005/8/layout/orgChart1"/>
    <dgm:cxn modelId="{AAE1D6B4-2448-4764-8F33-49A3D924996D}" type="presParOf" srcId="{E022C6FB-90FB-4B6E-9207-6CDDED40BFE6}" destId="{4BF9BE59-0E43-4513-8635-AE95031E0FCE}" srcOrd="1" destOrd="0" presId="urn:microsoft.com/office/officeart/2005/8/layout/orgChart1"/>
    <dgm:cxn modelId="{6DB149D0-BBBA-48F6-BA28-54592063035D}" type="presParOf" srcId="{4926FFC8-0259-48E3-AD94-482ABD5292A1}" destId="{D6D68858-2258-4BA3-83EF-8FC93E3F1200}" srcOrd="1" destOrd="0" presId="urn:microsoft.com/office/officeart/2005/8/layout/orgChart1"/>
    <dgm:cxn modelId="{2ABC9158-F7E4-4177-88EC-BD062D61DC1A}" type="presParOf" srcId="{4926FFC8-0259-48E3-AD94-482ABD5292A1}" destId="{6B5F57A0-B3C6-4B73-BEEE-6AC0B57DBB48}" srcOrd="2" destOrd="0" presId="urn:microsoft.com/office/officeart/2005/8/layout/orgChart1"/>
    <dgm:cxn modelId="{199B35F4-82BE-4BBA-8A5E-D15ABC6C2FD1}" type="presParOf" srcId="{513A8EBE-B0DE-47FC-9B51-D02EEF4970CD}" destId="{B5B3FDB1-5072-43AC-B594-5884596CB368}" srcOrd="4" destOrd="0" presId="urn:microsoft.com/office/officeart/2005/8/layout/orgChart1"/>
    <dgm:cxn modelId="{491672B8-F898-4139-83E7-00E5693F399D}" type="presParOf" srcId="{513A8EBE-B0DE-47FC-9B51-D02EEF4970CD}" destId="{9B4FF656-FD3A-41DE-B10C-4092A70599D6}" srcOrd="5" destOrd="0" presId="urn:microsoft.com/office/officeart/2005/8/layout/orgChart1"/>
    <dgm:cxn modelId="{0E564FBA-D2B1-4574-B141-F14564BEF7E1}" type="presParOf" srcId="{9B4FF656-FD3A-41DE-B10C-4092A70599D6}" destId="{4F5FF2E3-1FDA-4C2A-896A-A7887C351422}" srcOrd="0" destOrd="0" presId="urn:microsoft.com/office/officeart/2005/8/layout/orgChart1"/>
    <dgm:cxn modelId="{AD3C4F59-6BF1-4A28-B694-59E57786F8BC}" type="presParOf" srcId="{4F5FF2E3-1FDA-4C2A-896A-A7887C351422}" destId="{5BF93A2D-2F5E-43A0-B579-9B9680253C10}" srcOrd="0" destOrd="0" presId="urn:microsoft.com/office/officeart/2005/8/layout/orgChart1"/>
    <dgm:cxn modelId="{4CE53BE4-9247-474E-9732-06D0590E06EE}" type="presParOf" srcId="{4F5FF2E3-1FDA-4C2A-896A-A7887C351422}" destId="{8A9AC1A6-E3B9-4C62-82B9-CC6F82202D1E}" srcOrd="1" destOrd="0" presId="urn:microsoft.com/office/officeart/2005/8/layout/orgChart1"/>
    <dgm:cxn modelId="{C1F88C15-D2FA-4B0B-85FF-9A3CDEFE3D76}" type="presParOf" srcId="{9B4FF656-FD3A-41DE-B10C-4092A70599D6}" destId="{AB1923EA-7636-4059-832C-AAAA52B4EB98}" srcOrd="1" destOrd="0" presId="urn:microsoft.com/office/officeart/2005/8/layout/orgChart1"/>
    <dgm:cxn modelId="{2F2A4C64-FB8F-472E-9177-513A2F27B215}" type="presParOf" srcId="{9B4FF656-FD3A-41DE-B10C-4092A70599D6}" destId="{AAAAA9A6-B9DF-4AA6-A90C-ECAA6988C204}" srcOrd="2" destOrd="0" presId="urn:microsoft.com/office/officeart/2005/8/layout/orgChart1"/>
    <dgm:cxn modelId="{3BEFE1A7-0469-452C-8A67-394672259203}" type="presParOf" srcId="{513A8EBE-B0DE-47FC-9B51-D02EEF4970CD}" destId="{26561B9C-A2AE-4E6A-BEAB-F2F46E25A233}" srcOrd="6" destOrd="0" presId="urn:microsoft.com/office/officeart/2005/8/layout/orgChart1"/>
    <dgm:cxn modelId="{1B262523-5EE8-44F4-A053-A13C53487B7C}" type="presParOf" srcId="{513A8EBE-B0DE-47FC-9B51-D02EEF4970CD}" destId="{E628F4A8-CD9A-40C0-8944-3D7E87F95ABE}" srcOrd="7" destOrd="0" presId="urn:microsoft.com/office/officeart/2005/8/layout/orgChart1"/>
    <dgm:cxn modelId="{4EB5C151-B933-4CB0-8E1F-F9D120D7D656}" type="presParOf" srcId="{E628F4A8-CD9A-40C0-8944-3D7E87F95ABE}" destId="{D06DF5B5-4047-4BF5-8BBD-2516112334A6}" srcOrd="0" destOrd="0" presId="urn:microsoft.com/office/officeart/2005/8/layout/orgChart1"/>
    <dgm:cxn modelId="{0CE3807C-6FE1-4127-BF2B-B8BBCEC5E103}" type="presParOf" srcId="{D06DF5B5-4047-4BF5-8BBD-2516112334A6}" destId="{529D0FE1-C059-4ED6-95C3-AEDD2882EA6B}" srcOrd="0" destOrd="0" presId="urn:microsoft.com/office/officeart/2005/8/layout/orgChart1"/>
    <dgm:cxn modelId="{FF02CADE-0019-4D78-ADCB-0D004B3040C9}" type="presParOf" srcId="{D06DF5B5-4047-4BF5-8BBD-2516112334A6}" destId="{56497B07-5CB1-48C3-A08B-F2D54B3D6B60}" srcOrd="1" destOrd="0" presId="urn:microsoft.com/office/officeart/2005/8/layout/orgChart1"/>
    <dgm:cxn modelId="{0CDDACCF-65CF-4A16-B638-37376944225E}" type="presParOf" srcId="{E628F4A8-CD9A-40C0-8944-3D7E87F95ABE}" destId="{F3E0BAA0-C91F-49A1-9B7B-B8EC791DDF27}" srcOrd="1" destOrd="0" presId="urn:microsoft.com/office/officeart/2005/8/layout/orgChart1"/>
    <dgm:cxn modelId="{2EB10D6A-3A7A-4E24-8260-48267D66043E}" type="presParOf" srcId="{E628F4A8-CD9A-40C0-8944-3D7E87F95ABE}" destId="{9F850AAC-4E69-40A7-87E5-A7EA94A3512C}" srcOrd="2" destOrd="0" presId="urn:microsoft.com/office/officeart/2005/8/layout/orgChart1"/>
    <dgm:cxn modelId="{13330058-4FD1-4A01-8A07-DA154569A7B1}" type="presParOf" srcId="{513A8EBE-B0DE-47FC-9B51-D02EEF4970CD}" destId="{35EBA352-26AB-435E-8869-FCED05DD467B}" srcOrd="8" destOrd="0" presId="urn:microsoft.com/office/officeart/2005/8/layout/orgChart1"/>
    <dgm:cxn modelId="{0038FE05-F536-4A04-9D4A-526B8A6EFBDC}" type="presParOf" srcId="{513A8EBE-B0DE-47FC-9B51-D02EEF4970CD}" destId="{EDB3DAF6-23AF-44D5-B0E1-85A792BB55CE}" srcOrd="9" destOrd="0" presId="urn:microsoft.com/office/officeart/2005/8/layout/orgChart1"/>
    <dgm:cxn modelId="{F52FC8C6-50BA-496A-99E7-CFB950B01B84}" type="presParOf" srcId="{EDB3DAF6-23AF-44D5-B0E1-85A792BB55CE}" destId="{7451C278-D258-4015-BB9D-8035344E5227}" srcOrd="0" destOrd="0" presId="urn:microsoft.com/office/officeart/2005/8/layout/orgChart1"/>
    <dgm:cxn modelId="{5E3F6275-1CF6-4A64-8F70-E7B23DF55C6D}" type="presParOf" srcId="{7451C278-D258-4015-BB9D-8035344E5227}" destId="{F86F30BE-A908-4502-B7A8-F799D4E0E611}" srcOrd="0" destOrd="0" presId="urn:microsoft.com/office/officeart/2005/8/layout/orgChart1"/>
    <dgm:cxn modelId="{FB16C076-89E9-41E8-A0A8-4A2E21D7A8D1}" type="presParOf" srcId="{7451C278-D258-4015-BB9D-8035344E5227}" destId="{59D828FE-65D3-439F-9D42-5A74B472445E}" srcOrd="1" destOrd="0" presId="urn:microsoft.com/office/officeart/2005/8/layout/orgChart1"/>
    <dgm:cxn modelId="{5265F743-DFE0-40CB-8296-57DF138D8319}" type="presParOf" srcId="{EDB3DAF6-23AF-44D5-B0E1-85A792BB55CE}" destId="{A2AB15B8-4F51-421B-9BEE-1920BDB473F1}" srcOrd="1" destOrd="0" presId="urn:microsoft.com/office/officeart/2005/8/layout/orgChart1"/>
    <dgm:cxn modelId="{7F1EC8D6-DB92-4350-AEF3-D1772F76D378}" type="presParOf" srcId="{EDB3DAF6-23AF-44D5-B0E1-85A792BB55CE}" destId="{1248BCEB-488D-492E-B2DD-9B7CAB7D1EBC}" srcOrd="2" destOrd="0" presId="urn:microsoft.com/office/officeart/2005/8/layout/orgChart1"/>
    <dgm:cxn modelId="{14240F18-5192-41A8-ADF8-3FCD88CA7399}" type="presParOf" srcId="{513A8EBE-B0DE-47FC-9B51-D02EEF4970CD}" destId="{2BE4797E-7647-4EC8-A4F9-09D0083E8476}" srcOrd="10" destOrd="0" presId="urn:microsoft.com/office/officeart/2005/8/layout/orgChart1"/>
    <dgm:cxn modelId="{0827059B-16AC-4CBA-A97B-5B32A25E784D}" type="presParOf" srcId="{513A8EBE-B0DE-47FC-9B51-D02EEF4970CD}" destId="{8FB383C2-FA03-439C-9C79-5AD7F67A3248}" srcOrd="11" destOrd="0" presId="urn:microsoft.com/office/officeart/2005/8/layout/orgChart1"/>
    <dgm:cxn modelId="{01DD835E-2B65-44C9-A28B-458CFDDDFD61}" type="presParOf" srcId="{8FB383C2-FA03-439C-9C79-5AD7F67A3248}" destId="{221F234B-5555-434D-801E-FE6A0602606D}" srcOrd="0" destOrd="0" presId="urn:microsoft.com/office/officeart/2005/8/layout/orgChart1"/>
    <dgm:cxn modelId="{B946B73C-DD90-4E09-A148-5D8056065D8E}" type="presParOf" srcId="{221F234B-5555-434D-801E-FE6A0602606D}" destId="{0329BBE0-DA1D-416A-810D-62C8621B0360}" srcOrd="0" destOrd="0" presId="urn:microsoft.com/office/officeart/2005/8/layout/orgChart1"/>
    <dgm:cxn modelId="{CC63D17F-B57D-4EDE-A867-19A132B8069A}" type="presParOf" srcId="{221F234B-5555-434D-801E-FE6A0602606D}" destId="{000468C3-A88B-477E-B450-4A1A38CD4753}" srcOrd="1" destOrd="0" presId="urn:microsoft.com/office/officeart/2005/8/layout/orgChart1"/>
    <dgm:cxn modelId="{9997F754-D1E4-4CDF-B0A3-F2866ED8F42B}" type="presParOf" srcId="{8FB383C2-FA03-439C-9C79-5AD7F67A3248}" destId="{23259194-A63E-4D79-B9CE-2CA350A6BA0D}" srcOrd="1" destOrd="0" presId="urn:microsoft.com/office/officeart/2005/8/layout/orgChart1"/>
    <dgm:cxn modelId="{FC47F533-A4AA-4188-BC74-650867DF7B49}" type="presParOf" srcId="{8FB383C2-FA03-439C-9C79-5AD7F67A3248}" destId="{883244E4-3152-4B47-9060-510084458991}" srcOrd="2" destOrd="0" presId="urn:microsoft.com/office/officeart/2005/8/layout/orgChart1"/>
    <dgm:cxn modelId="{03F3160E-52C1-4AEB-8029-72F792942436}" type="presParOf" srcId="{513A8EBE-B0DE-47FC-9B51-D02EEF4970CD}" destId="{7C7214AC-AC94-49EA-BD45-65AD1A639557}" srcOrd="12" destOrd="0" presId="urn:microsoft.com/office/officeart/2005/8/layout/orgChart1"/>
    <dgm:cxn modelId="{6413B99C-3895-4FD1-89AC-FB70A04123C7}" type="presParOf" srcId="{513A8EBE-B0DE-47FC-9B51-D02EEF4970CD}" destId="{E5E0A7EE-416B-46B6-ABFF-4A819C589DCE}" srcOrd="13" destOrd="0" presId="urn:microsoft.com/office/officeart/2005/8/layout/orgChart1"/>
    <dgm:cxn modelId="{3F41D0DE-A245-40BB-8406-8709A5680B87}" type="presParOf" srcId="{E5E0A7EE-416B-46B6-ABFF-4A819C589DCE}" destId="{8D41CB59-8BAE-4938-B478-2C0346ABEEEC}" srcOrd="0" destOrd="0" presId="urn:microsoft.com/office/officeart/2005/8/layout/orgChart1"/>
    <dgm:cxn modelId="{5F7CF3EC-1E3D-419F-8DAC-7D6C3C70BDF0}" type="presParOf" srcId="{8D41CB59-8BAE-4938-B478-2C0346ABEEEC}" destId="{15F8D780-F01C-4791-A2CC-0982BBD099F2}" srcOrd="0" destOrd="0" presId="urn:microsoft.com/office/officeart/2005/8/layout/orgChart1"/>
    <dgm:cxn modelId="{95341C81-62EC-4FCB-9E05-C8A8E4F6A3D0}" type="presParOf" srcId="{8D41CB59-8BAE-4938-B478-2C0346ABEEEC}" destId="{CE436347-9D56-4FB8-9DC6-91019138BAD7}" srcOrd="1" destOrd="0" presId="urn:microsoft.com/office/officeart/2005/8/layout/orgChart1"/>
    <dgm:cxn modelId="{13F56C93-AD92-4BC9-A252-B7F72DBC8165}" type="presParOf" srcId="{E5E0A7EE-416B-46B6-ABFF-4A819C589DCE}" destId="{B1B0F154-6D51-4123-A9E9-528A3FCA2914}" srcOrd="1" destOrd="0" presId="urn:microsoft.com/office/officeart/2005/8/layout/orgChart1"/>
    <dgm:cxn modelId="{84C2610C-F2AD-45C4-8FE5-F39A461984F8}" type="presParOf" srcId="{E5E0A7EE-416B-46B6-ABFF-4A819C589DCE}" destId="{E0300A24-8C15-4239-B0D1-66E85EECB114}" srcOrd="2" destOrd="0" presId="urn:microsoft.com/office/officeart/2005/8/layout/orgChart1"/>
    <dgm:cxn modelId="{F7FFBBFE-7FAC-4B9E-8D22-5ABE10B91C6D}" type="presParOf" srcId="{78078302-2BD7-497C-B946-6CBCBA3A7A79}" destId="{CACCFBF5-A606-4DB0-8C0D-D4FAD9623225}" srcOrd="2" destOrd="0" presId="urn:microsoft.com/office/officeart/2005/8/layout/orgChart1"/>
    <dgm:cxn modelId="{B2C1AD2B-91E3-452F-904F-FBC15FDD7978}" type="presParOf" srcId="{17BB0C40-7B3B-484E-A426-ED8A5250550B}" destId="{91B5EB6F-94B2-46FC-81BA-EA8DBBDE38F8}" srcOrd="2" destOrd="0" presId="urn:microsoft.com/office/officeart/2005/8/layout/orgChart1"/>
    <dgm:cxn modelId="{5D3064A1-06B1-467F-A8A4-D0A730CDA0B0}" type="presParOf" srcId="{99F53BDD-8B8B-4739-B78F-7A95739DCC3E}" destId="{428C93EF-74BA-4B1F-AAA1-3AF4D02FF508}" srcOrd="14" destOrd="0" presId="urn:microsoft.com/office/officeart/2005/8/layout/orgChart1"/>
    <dgm:cxn modelId="{A67055B8-400E-4145-B189-E76003D64BCE}" type="presParOf" srcId="{99F53BDD-8B8B-4739-B78F-7A95739DCC3E}" destId="{1D06A798-22AA-4400-A261-56302C86D923}" srcOrd="15" destOrd="0" presId="urn:microsoft.com/office/officeart/2005/8/layout/orgChart1"/>
    <dgm:cxn modelId="{608218F9-ACE5-488F-B75C-5D6B4C055010}" type="presParOf" srcId="{1D06A798-22AA-4400-A261-56302C86D923}" destId="{33D1B8D1-B667-4338-ABD5-9B6AAFAE286A}" srcOrd="0" destOrd="0" presId="urn:microsoft.com/office/officeart/2005/8/layout/orgChart1"/>
    <dgm:cxn modelId="{51435F29-D736-409A-B8A2-8FA28873C850}" type="presParOf" srcId="{33D1B8D1-B667-4338-ABD5-9B6AAFAE286A}" destId="{309F7D41-ED17-46D8-B2DD-74D6EDCB20D7}" srcOrd="0" destOrd="0" presId="urn:microsoft.com/office/officeart/2005/8/layout/orgChart1"/>
    <dgm:cxn modelId="{5C3FD773-623D-4FB7-B959-704301BD5526}" type="presParOf" srcId="{33D1B8D1-B667-4338-ABD5-9B6AAFAE286A}" destId="{4AD38B1D-51C2-4716-92DB-44A173E844A1}" srcOrd="1" destOrd="0" presId="urn:microsoft.com/office/officeart/2005/8/layout/orgChart1"/>
    <dgm:cxn modelId="{5FB27644-80C1-4D14-A9C6-5366CA2097C4}" type="presParOf" srcId="{1D06A798-22AA-4400-A261-56302C86D923}" destId="{FCB66C0D-DA32-4FD3-BB16-2072559B7B53}" srcOrd="1" destOrd="0" presId="urn:microsoft.com/office/officeart/2005/8/layout/orgChart1"/>
    <dgm:cxn modelId="{435F49A0-64ED-4588-A88A-0C8041C861DF}" type="presParOf" srcId="{1D06A798-22AA-4400-A261-56302C86D923}" destId="{D71914FA-F999-485E-99C5-3713903AB765}" srcOrd="2" destOrd="0" presId="urn:microsoft.com/office/officeart/2005/8/layout/orgChart1"/>
    <dgm:cxn modelId="{AE09E016-43BD-4770-9C40-D56A092A2F49}" type="presParOf" srcId="{99F53BDD-8B8B-4739-B78F-7A95739DCC3E}" destId="{5091C223-C1D8-401A-B058-4E32FFA782E3}" srcOrd="16" destOrd="0" presId="urn:microsoft.com/office/officeart/2005/8/layout/orgChart1"/>
    <dgm:cxn modelId="{19B3E753-0E1E-4676-A3D3-795FF397810A}" type="presParOf" srcId="{99F53BDD-8B8B-4739-B78F-7A95739DCC3E}" destId="{73E35FAA-023E-40BD-8BDB-F88E9433E24B}" srcOrd="17" destOrd="0" presId="urn:microsoft.com/office/officeart/2005/8/layout/orgChart1"/>
    <dgm:cxn modelId="{372EAACF-710F-4E7F-B425-0006B8AB943B}" type="presParOf" srcId="{73E35FAA-023E-40BD-8BDB-F88E9433E24B}" destId="{59893FAC-4D9A-4591-9E6C-B2787CF140C5}" srcOrd="0" destOrd="0" presId="urn:microsoft.com/office/officeart/2005/8/layout/orgChart1"/>
    <dgm:cxn modelId="{21E88461-4829-4C09-B4DE-AE916CCD656D}" type="presParOf" srcId="{59893FAC-4D9A-4591-9E6C-B2787CF140C5}" destId="{70877DF0-B5AF-4E8B-97BD-C4ED4C3B7894}" srcOrd="0" destOrd="0" presId="urn:microsoft.com/office/officeart/2005/8/layout/orgChart1"/>
    <dgm:cxn modelId="{EEE37C36-0C0B-4825-AACE-F7681206F538}" type="presParOf" srcId="{59893FAC-4D9A-4591-9E6C-B2787CF140C5}" destId="{8CF43ECC-5239-4220-AAC6-7C6B330CB8E9}" srcOrd="1" destOrd="0" presId="urn:microsoft.com/office/officeart/2005/8/layout/orgChart1"/>
    <dgm:cxn modelId="{6FD98884-5EF8-43CD-89AF-0E16A200BFD5}" type="presParOf" srcId="{73E35FAA-023E-40BD-8BDB-F88E9433E24B}" destId="{EBA6F6BC-B358-4FC4-B592-9CD1CCF89F87}" srcOrd="1" destOrd="0" presId="urn:microsoft.com/office/officeart/2005/8/layout/orgChart1"/>
    <dgm:cxn modelId="{73BD6456-402C-4EDF-8CAC-6F00873F1022}" type="presParOf" srcId="{EBA6F6BC-B358-4FC4-B592-9CD1CCF89F87}" destId="{8E7D2D24-324C-4E8A-9193-A67B8CC49E8D}" srcOrd="0" destOrd="0" presId="urn:microsoft.com/office/officeart/2005/8/layout/orgChart1"/>
    <dgm:cxn modelId="{1F3590B4-A951-4F33-B09B-462A92416F7F}" type="presParOf" srcId="{EBA6F6BC-B358-4FC4-B592-9CD1CCF89F87}" destId="{730F0349-C655-443C-989D-899732DC23A3}" srcOrd="1" destOrd="0" presId="urn:microsoft.com/office/officeart/2005/8/layout/orgChart1"/>
    <dgm:cxn modelId="{86E5C2F6-F688-48AA-A7DE-24867AFFD57D}" type="presParOf" srcId="{730F0349-C655-443C-989D-899732DC23A3}" destId="{08CCC9D2-2AD4-4BC1-91AA-10060DA8F65E}" srcOrd="0" destOrd="0" presId="urn:microsoft.com/office/officeart/2005/8/layout/orgChart1"/>
    <dgm:cxn modelId="{5A594D18-1A86-494D-8C25-1DE638119335}" type="presParOf" srcId="{08CCC9D2-2AD4-4BC1-91AA-10060DA8F65E}" destId="{98EA16AC-1971-40B1-BFB8-7AEA53569DD7}" srcOrd="0" destOrd="0" presId="urn:microsoft.com/office/officeart/2005/8/layout/orgChart1"/>
    <dgm:cxn modelId="{DCDAF44B-4545-48C2-BAA7-E6FB0CC7BA2B}" type="presParOf" srcId="{08CCC9D2-2AD4-4BC1-91AA-10060DA8F65E}" destId="{CEF34F85-2C36-4428-A9DC-9ED7865F684B}" srcOrd="1" destOrd="0" presId="urn:microsoft.com/office/officeart/2005/8/layout/orgChart1"/>
    <dgm:cxn modelId="{7863A87B-E196-4DB7-9251-7F0D0DC98F70}" type="presParOf" srcId="{730F0349-C655-443C-989D-899732DC23A3}" destId="{3D9965C8-5B26-41D4-8A5E-CEAACDE76738}" srcOrd="1" destOrd="0" presId="urn:microsoft.com/office/officeart/2005/8/layout/orgChart1"/>
    <dgm:cxn modelId="{9C5CAF77-761D-4A9E-9F0F-7F63ADAC21EA}" type="presParOf" srcId="{730F0349-C655-443C-989D-899732DC23A3}" destId="{9E87DDF4-AF17-4D4C-9801-B59E5EDFCF31}" srcOrd="2" destOrd="0" presId="urn:microsoft.com/office/officeart/2005/8/layout/orgChart1"/>
    <dgm:cxn modelId="{95A69B93-56EF-4090-8DA3-F934128A3D7C}" type="presParOf" srcId="{EBA6F6BC-B358-4FC4-B592-9CD1CCF89F87}" destId="{2CB26ACF-7AC8-4311-881C-70265A591D7B}" srcOrd="2" destOrd="0" presId="urn:microsoft.com/office/officeart/2005/8/layout/orgChart1"/>
    <dgm:cxn modelId="{7811A607-A744-49B6-9059-4BCEADA0D82C}" type="presParOf" srcId="{EBA6F6BC-B358-4FC4-B592-9CD1CCF89F87}" destId="{FDDF823D-DA41-4C94-BF52-47162BB882C8}" srcOrd="3" destOrd="0" presId="urn:microsoft.com/office/officeart/2005/8/layout/orgChart1"/>
    <dgm:cxn modelId="{B317D537-002A-4BFF-BE97-015CC913F616}" type="presParOf" srcId="{FDDF823D-DA41-4C94-BF52-47162BB882C8}" destId="{2E661C6C-93C7-4363-BED4-D7DE06C38498}" srcOrd="0" destOrd="0" presId="urn:microsoft.com/office/officeart/2005/8/layout/orgChart1"/>
    <dgm:cxn modelId="{30185D22-220F-4012-8A43-7F96082F9DC4}" type="presParOf" srcId="{2E661C6C-93C7-4363-BED4-D7DE06C38498}" destId="{81B8930D-AB8E-4114-ADFF-7614EB2255EA}" srcOrd="0" destOrd="0" presId="urn:microsoft.com/office/officeart/2005/8/layout/orgChart1"/>
    <dgm:cxn modelId="{0176A3A1-3BBA-423B-B7EA-7F2206408E25}" type="presParOf" srcId="{2E661C6C-93C7-4363-BED4-D7DE06C38498}" destId="{6B94BC66-0A30-4844-8D2B-EA2D0983622A}" srcOrd="1" destOrd="0" presId="urn:microsoft.com/office/officeart/2005/8/layout/orgChart1"/>
    <dgm:cxn modelId="{00FF64DD-2EC9-46EA-B10F-03BF0A49A8A7}" type="presParOf" srcId="{FDDF823D-DA41-4C94-BF52-47162BB882C8}" destId="{D7EDBB41-F5D9-432D-B1DD-28D280670F50}" srcOrd="1" destOrd="0" presId="urn:microsoft.com/office/officeart/2005/8/layout/orgChart1"/>
    <dgm:cxn modelId="{127DAA9E-7847-431D-B43B-D77E939D5934}" type="presParOf" srcId="{FDDF823D-DA41-4C94-BF52-47162BB882C8}" destId="{414F5F07-A478-4281-A259-CACCB9AC660C}" srcOrd="2" destOrd="0" presId="urn:microsoft.com/office/officeart/2005/8/layout/orgChart1"/>
    <dgm:cxn modelId="{07D6D5F6-BE5D-48C4-80B4-E4A97186FAC0}" type="presParOf" srcId="{EBA6F6BC-B358-4FC4-B592-9CD1CCF89F87}" destId="{EB28DB9E-DF78-41F0-99ED-101E16408083}" srcOrd="4" destOrd="0" presId="urn:microsoft.com/office/officeart/2005/8/layout/orgChart1"/>
    <dgm:cxn modelId="{AED0B5AE-DFC3-46AF-8084-511945D59C5D}" type="presParOf" srcId="{EBA6F6BC-B358-4FC4-B592-9CD1CCF89F87}" destId="{717DB940-C53D-40CD-B983-4A8EB27E99D3}" srcOrd="5" destOrd="0" presId="urn:microsoft.com/office/officeart/2005/8/layout/orgChart1"/>
    <dgm:cxn modelId="{B8C90BA4-D25E-45A1-9182-4C379F5CC226}" type="presParOf" srcId="{717DB940-C53D-40CD-B983-4A8EB27E99D3}" destId="{7A4FE0BE-FE36-414C-B77C-02B542C409A6}" srcOrd="0" destOrd="0" presId="urn:microsoft.com/office/officeart/2005/8/layout/orgChart1"/>
    <dgm:cxn modelId="{3CFB40AF-14F3-4EB5-B5D0-8DA68B36CBBC}" type="presParOf" srcId="{7A4FE0BE-FE36-414C-B77C-02B542C409A6}" destId="{15F7B5F8-8193-4364-95D7-8537DF3D69F1}" srcOrd="0" destOrd="0" presId="urn:microsoft.com/office/officeart/2005/8/layout/orgChart1"/>
    <dgm:cxn modelId="{D75C2A97-32AB-402B-BFD1-E33D5F47D674}" type="presParOf" srcId="{7A4FE0BE-FE36-414C-B77C-02B542C409A6}" destId="{069038C5-4871-4977-B566-E3260C560422}" srcOrd="1" destOrd="0" presId="urn:microsoft.com/office/officeart/2005/8/layout/orgChart1"/>
    <dgm:cxn modelId="{03661066-536B-4EB3-B138-B32474235690}" type="presParOf" srcId="{717DB940-C53D-40CD-B983-4A8EB27E99D3}" destId="{9F84C4CE-816C-46BA-AB09-E1396F56B437}" srcOrd="1" destOrd="0" presId="urn:microsoft.com/office/officeart/2005/8/layout/orgChart1"/>
    <dgm:cxn modelId="{D288E509-3E62-4908-9EA3-71725B81CDC9}" type="presParOf" srcId="{717DB940-C53D-40CD-B983-4A8EB27E99D3}" destId="{FB8DDC00-9EE3-4DF9-BAE8-F126901E0432}" srcOrd="2" destOrd="0" presId="urn:microsoft.com/office/officeart/2005/8/layout/orgChart1"/>
    <dgm:cxn modelId="{90248379-A53F-47A6-B40B-457D166AE03A}" type="presParOf" srcId="{EBA6F6BC-B358-4FC4-B592-9CD1CCF89F87}" destId="{2EC63808-B31A-42D7-BE2A-FFE1642AC0FD}" srcOrd="6" destOrd="0" presId="urn:microsoft.com/office/officeart/2005/8/layout/orgChart1"/>
    <dgm:cxn modelId="{E57328A8-1626-4E86-8D6A-20A877C137CC}" type="presParOf" srcId="{EBA6F6BC-B358-4FC4-B592-9CD1CCF89F87}" destId="{FE58E6DC-2FEF-43E7-B5B3-E3CA5294D78A}" srcOrd="7" destOrd="0" presId="urn:microsoft.com/office/officeart/2005/8/layout/orgChart1"/>
    <dgm:cxn modelId="{A3B0ACC1-460E-4553-A8BA-E07E943A4310}" type="presParOf" srcId="{FE58E6DC-2FEF-43E7-B5B3-E3CA5294D78A}" destId="{48189396-E420-4276-A188-62AD4F641CF6}" srcOrd="0" destOrd="0" presId="urn:microsoft.com/office/officeart/2005/8/layout/orgChart1"/>
    <dgm:cxn modelId="{0F164382-BFA8-44AA-88F3-8BC7AD7D6D97}" type="presParOf" srcId="{48189396-E420-4276-A188-62AD4F641CF6}" destId="{F68157D7-AB1C-4138-A76F-52EF500BF81B}" srcOrd="0" destOrd="0" presId="urn:microsoft.com/office/officeart/2005/8/layout/orgChart1"/>
    <dgm:cxn modelId="{B39343D6-AA7F-497A-96CB-86E29473E5CD}" type="presParOf" srcId="{48189396-E420-4276-A188-62AD4F641CF6}" destId="{7BB95882-83A3-42FB-9CF2-E76189647166}" srcOrd="1" destOrd="0" presId="urn:microsoft.com/office/officeart/2005/8/layout/orgChart1"/>
    <dgm:cxn modelId="{2D2C38E0-4FDC-403A-AE45-2413305185BC}" type="presParOf" srcId="{FE58E6DC-2FEF-43E7-B5B3-E3CA5294D78A}" destId="{CE1A4470-008A-403C-89B3-BF4022E6150F}" srcOrd="1" destOrd="0" presId="urn:microsoft.com/office/officeart/2005/8/layout/orgChart1"/>
    <dgm:cxn modelId="{9A98A3AD-B077-4B9F-A62C-1A5F4B4B9FA6}" type="presParOf" srcId="{FE58E6DC-2FEF-43E7-B5B3-E3CA5294D78A}" destId="{EF0C9E38-8297-4058-813F-143A86038059}" srcOrd="2" destOrd="0" presId="urn:microsoft.com/office/officeart/2005/8/layout/orgChart1"/>
    <dgm:cxn modelId="{780C06E7-4667-4591-B13E-609F1C12F628}" type="presParOf" srcId="{EBA6F6BC-B358-4FC4-B592-9CD1CCF89F87}" destId="{52EB44A8-D86C-4A60-AA66-2446B7A2D5DB}" srcOrd="8" destOrd="0" presId="urn:microsoft.com/office/officeart/2005/8/layout/orgChart1"/>
    <dgm:cxn modelId="{4D8C2FF9-F5F5-44D9-94D4-6CAF0F3FDAB8}" type="presParOf" srcId="{EBA6F6BC-B358-4FC4-B592-9CD1CCF89F87}" destId="{0BFC5EE9-E584-454A-9AFC-15FB3FC99898}" srcOrd="9" destOrd="0" presId="urn:microsoft.com/office/officeart/2005/8/layout/orgChart1"/>
    <dgm:cxn modelId="{D7CE068A-2E71-4434-BBAE-4D1188B98385}" type="presParOf" srcId="{0BFC5EE9-E584-454A-9AFC-15FB3FC99898}" destId="{E4B9E3DB-0AEF-4FA7-9B2B-E571CFFC65EE}" srcOrd="0" destOrd="0" presId="urn:microsoft.com/office/officeart/2005/8/layout/orgChart1"/>
    <dgm:cxn modelId="{ADC0C7EC-4E13-43E9-B123-0100CF65138F}" type="presParOf" srcId="{E4B9E3DB-0AEF-4FA7-9B2B-E571CFFC65EE}" destId="{0D534F07-FEE3-4227-BF1E-E249EFB747D6}" srcOrd="0" destOrd="0" presId="urn:microsoft.com/office/officeart/2005/8/layout/orgChart1"/>
    <dgm:cxn modelId="{A345BE69-4D39-4CD2-894A-4543003729D6}" type="presParOf" srcId="{E4B9E3DB-0AEF-4FA7-9B2B-E571CFFC65EE}" destId="{DB7FF44A-818D-4CA8-8CEE-4EDDFE8CA8BE}" srcOrd="1" destOrd="0" presId="urn:microsoft.com/office/officeart/2005/8/layout/orgChart1"/>
    <dgm:cxn modelId="{5389D8CC-2D3D-4B3C-925F-04073AFB410F}" type="presParOf" srcId="{0BFC5EE9-E584-454A-9AFC-15FB3FC99898}" destId="{E943378E-45BA-4CC8-9944-A74A47C4E343}" srcOrd="1" destOrd="0" presId="urn:microsoft.com/office/officeart/2005/8/layout/orgChart1"/>
    <dgm:cxn modelId="{2F356677-D47D-47EF-90D1-2FBDD7D7322B}" type="presParOf" srcId="{0BFC5EE9-E584-454A-9AFC-15FB3FC99898}" destId="{B405D745-AD80-497E-B134-398E9E274C86}" srcOrd="2" destOrd="0" presId="urn:microsoft.com/office/officeart/2005/8/layout/orgChart1"/>
    <dgm:cxn modelId="{D94A1085-4BA8-4EC7-9C45-000459DA658C}" type="presParOf" srcId="{73E35FAA-023E-40BD-8BDB-F88E9433E24B}" destId="{F4B862F0-B80F-404F-B353-D3BCB147A576}" srcOrd="2" destOrd="0" presId="urn:microsoft.com/office/officeart/2005/8/layout/orgChart1"/>
    <dgm:cxn modelId="{D8F999F8-0B42-4C66-92CB-799F025616A9}" type="presParOf" srcId="{5A034215-B5BD-4B86-991A-181874B52D3B}" destId="{ABF74217-F3A5-40F6-BB9E-BA8793FFE659}" srcOrd="2" destOrd="0" presId="urn:microsoft.com/office/officeart/2005/8/layout/orgChart1"/>
    <dgm:cxn modelId="{4007998E-187B-4273-BED4-188195791114}" type="presParOf" srcId="{793A510E-DDFF-4AFA-82F4-1AFFAF88EE29}" destId="{82614CBE-DD86-4E59-9682-DA91C48018A5}" srcOrd="4" destOrd="0" presId="urn:microsoft.com/office/officeart/2005/8/layout/orgChart1"/>
    <dgm:cxn modelId="{55BB5E88-102A-4101-BD0E-99E72EA97500}" type="presParOf" srcId="{793A510E-DDFF-4AFA-82F4-1AFFAF88EE29}" destId="{2F3370B9-B731-4113-B70B-19669E842EE4}" srcOrd="5" destOrd="0" presId="urn:microsoft.com/office/officeart/2005/8/layout/orgChart1"/>
    <dgm:cxn modelId="{B9049030-418A-4B3E-ACCE-1EA7D592C0B2}" type="presParOf" srcId="{2F3370B9-B731-4113-B70B-19669E842EE4}" destId="{AA2B386A-27B0-4AE0-A146-FE7AF8707F8A}" srcOrd="0" destOrd="0" presId="urn:microsoft.com/office/officeart/2005/8/layout/orgChart1"/>
    <dgm:cxn modelId="{DA75D41E-018C-4470-985E-BAD3A006F02B}" type="presParOf" srcId="{AA2B386A-27B0-4AE0-A146-FE7AF8707F8A}" destId="{57325640-87E6-4071-99A7-541A386B5987}" srcOrd="0" destOrd="0" presId="urn:microsoft.com/office/officeart/2005/8/layout/orgChart1"/>
    <dgm:cxn modelId="{27CA8A46-F832-4230-8D84-45130A307564}" type="presParOf" srcId="{AA2B386A-27B0-4AE0-A146-FE7AF8707F8A}" destId="{0CA90DB8-D449-4E1D-B690-E0CBB31849B5}" srcOrd="1" destOrd="0" presId="urn:microsoft.com/office/officeart/2005/8/layout/orgChart1"/>
    <dgm:cxn modelId="{8AF3101E-49DB-46BE-8A85-A92C95F573AF}" type="presParOf" srcId="{2F3370B9-B731-4113-B70B-19669E842EE4}" destId="{FC4E63DC-A28D-4AD9-8994-2BC42FD9C9BC}" srcOrd="1" destOrd="0" presId="urn:microsoft.com/office/officeart/2005/8/layout/orgChart1"/>
    <dgm:cxn modelId="{A5F09D89-AD8F-4C74-A8FB-E1386A26B2A1}" type="presParOf" srcId="{FC4E63DC-A28D-4AD9-8994-2BC42FD9C9BC}" destId="{C9EC269F-A518-4DB2-A3B6-57B2836FC95A}" srcOrd="0" destOrd="0" presId="urn:microsoft.com/office/officeart/2005/8/layout/orgChart1"/>
    <dgm:cxn modelId="{B7C06642-47AE-4BC7-9202-DDBC85C13210}" type="presParOf" srcId="{FC4E63DC-A28D-4AD9-8994-2BC42FD9C9BC}" destId="{66AC499C-5976-4EE7-B275-472747C9219D}" srcOrd="1" destOrd="0" presId="urn:microsoft.com/office/officeart/2005/8/layout/orgChart1"/>
    <dgm:cxn modelId="{9FD181FD-FB0D-4665-A6A0-D03CF1A9DC68}" type="presParOf" srcId="{66AC499C-5976-4EE7-B275-472747C9219D}" destId="{BCC01F20-3430-46ED-A5F8-46CAA9848D42}" srcOrd="0" destOrd="0" presId="urn:microsoft.com/office/officeart/2005/8/layout/orgChart1"/>
    <dgm:cxn modelId="{8CFFC6ED-64C7-4963-8F46-D2A236951C3A}" type="presParOf" srcId="{BCC01F20-3430-46ED-A5F8-46CAA9848D42}" destId="{965B537E-914E-493B-8220-0540899B7D90}" srcOrd="0" destOrd="0" presId="urn:microsoft.com/office/officeart/2005/8/layout/orgChart1"/>
    <dgm:cxn modelId="{44D4941A-7CD0-42D1-BF4F-B9FA527B82F7}" type="presParOf" srcId="{BCC01F20-3430-46ED-A5F8-46CAA9848D42}" destId="{344FDD19-7A32-46A8-8A94-79A754AFA896}" srcOrd="1" destOrd="0" presId="urn:microsoft.com/office/officeart/2005/8/layout/orgChart1"/>
    <dgm:cxn modelId="{7D22D8A0-5ACF-4F76-B8F0-908A1E45463A}" type="presParOf" srcId="{66AC499C-5976-4EE7-B275-472747C9219D}" destId="{A0AD738A-3248-4F8C-9648-7106683536AA}" srcOrd="1" destOrd="0" presId="urn:microsoft.com/office/officeart/2005/8/layout/orgChart1"/>
    <dgm:cxn modelId="{2057E891-4B5C-43A8-9E3C-2DC2AE2767C6}" type="presParOf" srcId="{A0AD738A-3248-4F8C-9648-7106683536AA}" destId="{89331313-CB57-4BAD-A372-DD7BC03AA098}" srcOrd="0" destOrd="0" presId="urn:microsoft.com/office/officeart/2005/8/layout/orgChart1"/>
    <dgm:cxn modelId="{505BD1B8-E402-44F5-AFF7-3019B5CD5AA4}" type="presParOf" srcId="{A0AD738A-3248-4F8C-9648-7106683536AA}" destId="{A7AE3937-34A9-4620-BEDB-946AEB04037A}" srcOrd="1" destOrd="0" presId="urn:microsoft.com/office/officeart/2005/8/layout/orgChart1"/>
    <dgm:cxn modelId="{77C4FAB6-E0AB-40FA-B9AE-36823FC242CC}" type="presParOf" srcId="{A7AE3937-34A9-4620-BEDB-946AEB04037A}" destId="{8283A612-829C-49AD-8D60-61DE7E9B743D}" srcOrd="0" destOrd="0" presId="urn:microsoft.com/office/officeart/2005/8/layout/orgChart1"/>
    <dgm:cxn modelId="{80328677-DBB9-4C30-A041-3CE71E787587}" type="presParOf" srcId="{8283A612-829C-49AD-8D60-61DE7E9B743D}" destId="{78371917-E69F-4D19-8A67-FFFBD44FE0FE}" srcOrd="0" destOrd="0" presId="urn:microsoft.com/office/officeart/2005/8/layout/orgChart1"/>
    <dgm:cxn modelId="{9EF8646C-8742-4706-9E3C-A76C7693964E}" type="presParOf" srcId="{8283A612-829C-49AD-8D60-61DE7E9B743D}" destId="{3B2B443B-45E6-4249-8793-6A0674C012FF}" srcOrd="1" destOrd="0" presId="urn:microsoft.com/office/officeart/2005/8/layout/orgChart1"/>
    <dgm:cxn modelId="{520FBB40-D4AF-4E99-B24E-2B551645E89C}" type="presParOf" srcId="{A7AE3937-34A9-4620-BEDB-946AEB04037A}" destId="{CC68377A-0917-445F-9D25-D07E77935AFD}" srcOrd="1" destOrd="0" presId="urn:microsoft.com/office/officeart/2005/8/layout/orgChart1"/>
    <dgm:cxn modelId="{15044FEE-6846-4FF5-9A8D-91F0BA14E1E5}" type="presParOf" srcId="{A7AE3937-34A9-4620-BEDB-946AEB04037A}" destId="{56606B10-8F9B-4363-8FAC-C97FB726C31C}" srcOrd="2" destOrd="0" presId="urn:microsoft.com/office/officeart/2005/8/layout/orgChart1"/>
    <dgm:cxn modelId="{EFBDA09B-F5CD-4123-B397-5125E962C3AC}" type="presParOf" srcId="{A0AD738A-3248-4F8C-9648-7106683536AA}" destId="{25FC1520-B4A4-4A07-8F1B-5355869B328D}" srcOrd="2" destOrd="0" presId="urn:microsoft.com/office/officeart/2005/8/layout/orgChart1"/>
    <dgm:cxn modelId="{F7125715-38DA-42FD-8B28-40A58BE28899}" type="presParOf" srcId="{A0AD738A-3248-4F8C-9648-7106683536AA}" destId="{DE157305-9B67-4003-9BFD-87F6EAB9A423}" srcOrd="3" destOrd="0" presId="urn:microsoft.com/office/officeart/2005/8/layout/orgChart1"/>
    <dgm:cxn modelId="{701F8712-BA33-41D7-A561-28DD7717DA3F}" type="presParOf" srcId="{DE157305-9B67-4003-9BFD-87F6EAB9A423}" destId="{253F33EC-0D89-4C73-95E4-5426275B19EF}" srcOrd="0" destOrd="0" presId="urn:microsoft.com/office/officeart/2005/8/layout/orgChart1"/>
    <dgm:cxn modelId="{C9626CF4-4888-435C-98AA-64369323D4A6}" type="presParOf" srcId="{253F33EC-0D89-4C73-95E4-5426275B19EF}" destId="{EB3DBC66-913F-42A4-AB15-A84C3767F987}" srcOrd="0" destOrd="0" presId="urn:microsoft.com/office/officeart/2005/8/layout/orgChart1"/>
    <dgm:cxn modelId="{333B9FB7-331E-4F0E-8E6C-1E9026A36E66}" type="presParOf" srcId="{253F33EC-0D89-4C73-95E4-5426275B19EF}" destId="{D7FBEE77-1620-4D1F-90A8-F8DD89D1A301}" srcOrd="1" destOrd="0" presId="urn:microsoft.com/office/officeart/2005/8/layout/orgChart1"/>
    <dgm:cxn modelId="{8A506202-1105-4233-87A5-BCB9C9C0559B}" type="presParOf" srcId="{DE157305-9B67-4003-9BFD-87F6EAB9A423}" destId="{F6E7AA8E-76DB-42A0-A45B-124A0D61EDFF}" srcOrd="1" destOrd="0" presId="urn:microsoft.com/office/officeart/2005/8/layout/orgChart1"/>
    <dgm:cxn modelId="{9A5F62BD-F805-4DD4-9BFF-A6D9890FF4E9}" type="presParOf" srcId="{DE157305-9B67-4003-9BFD-87F6EAB9A423}" destId="{D5E863A2-D18A-4CDE-AE4D-5626817910BB}" srcOrd="2" destOrd="0" presId="urn:microsoft.com/office/officeart/2005/8/layout/orgChart1"/>
    <dgm:cxn modelId="{EE67A377-5720-4627-88FD-C270CF340F1E}" type="presParOf" srcId="{66AC499C-5976-4EE7-B275-472747C9219D}" destId="{F94128A8-C7F6-417C-B6AC-931A31D42698}" srcOrd="2" destOrd="0" presId="urn:microsoft.com/office/officeart/2005/8/layout/orgChart1"/>
    <dgm:cxn modelId="{303032D9-DB3A-4882-8774-6F573D6AE4FF}" type="presParOf" srcId="{FC4E63DC-A28D-4AD9-8994-2BC42FD9C9BC}" destId="{4432E768-364B-4D59-9176-C145B266D4ED}" srcOrd="2" destOrd="0" presId="urn:microsoft.com/office/officeart/2005/8/layout/orgChart1"/>
    <dgm:cxn modelId="{2FA4D226-8AE2-48B3-8053-4173D74936AA}" type="presParOf" srcId="{FC4E63DC-A28D-4AD9-8994-2BC42FD9C9BC}" destId="{A588507A-A22C-4B5C-83BD-89ED7BD47AAB}" srcOrd="3" destOrd="0" presId="urn:microsoft.com/office/officeart/2005/8/layout/orgChart1"/>
    <dgm:cxn modelId="{DBAF6906-5A17-4910-BACD-76E67CD46B6C}" type="presParOf" srcId="{A588507A-A22C-4B5C-83BD-89ED7BD47AAB}" destId="{AF5F4C5C-869F-4E57-A9D7-875AB237F1B5}" srcOrd="0" destOrd="0" presId="urn:microsoft.com/office/officeart/2005/8/layout/orgChart1"/>
    <dgm:cxn modelId="{BEA68B9B-F23F-4F87-BD4D-BA3B7CE8FDD8}" type="presParOf" srcId="{AF5F4C5C-869F-4E57-A9D7-875AB237F1B5}" destId="{DED4CC31-2F44-426E-8BD5-803C2C317C36}" srcOrd="0" destOrd="0" presId="urn:microsoft.com/office/officeart/2005/8/layout/orgChart1"/>
    <dgm:cxn modelId="{385EAE1C-73BD-4F3A-A605-39F2693793B1}" type="presParOf" srcId="{AF5F4C5C-869F-4E57-A9D7-875AB237F1B5}" destId="{906ACB08-DFA5-46FA-B8AB-99418C69A785}" srcOrd="1" destOrd="0" presId="urn:microsoft.com/office/officeart/2005/8/layout/orgChart1"/>
    <dgm:cxn modelId="{4A4CA57C-E53A-4112-AD52-09774C39CD51}" type="presParOf" srcId="{A588507A-A22C-4B5C-83BD-89ED7BD47AAB}" destId="{FF974647-CFA9-4D26-ABE9-009AC394DB49}" srcOrd="1" destOrd="0" presId="urn:microsoft.com/office/officeart/2005/8/layout/orgChart1"/>
    <dgm:cxn modelId="{8D0AF7DB-5AE5-49C7-AEE7-A654DB431059}" type="presParOf" srcId="{FF974647-CFA9-4D26-ABE9-009AC394DB49}" destId="{B2C13966-589B-4BC9-BE9F-9DEE509E836E}" srcOrd="0" destOrd="0" presId="urn:microsoft.com/office/officeart/2005/8/layout/orgChart1"/>
    <dgm:cxn modelId="{91EED6A8-4302-46AF-A3D2-5DB03D92425A}" type="presParOf" srcId="{FF974647-CFA9-4D26-ABE9-009AC394DB49}" destId="{8406C6A4-9E1D-46F5-A096-EF89076C2629}" srcOrd="1" destOrd="0" presId="urn:microsoft.com/office/officeart/2005/8/layout/orgChart1"/>
    <dgm:cxn modelId="{875790F4-0E7B-4BF5-AC2C-A1D7878D11EC}" type="presParOf" srcId="{8406C6A4-9E1D-46F5-A096-EF89076C2629}" destId="{AA2CE4A2-CC44-4D52-BE43-23ADF3FF8F97}" srcOrd="0" destOrd="0" presId="urn:microsoft.com/office/officeart/2005/8/layout/orgChart1"/>
    <dgm:cxn modelId="{C6812B8B-DC71-43DA-BFF0-772EDB0BE35B}" type="presParOf" srcId="{AA2CE4A2-CC44-4D52-BE43-23ADF3FF8F97}" destId="{CA27CE8D-7B51-47E8-9E66-DAE8C324D38F}" srcOrd="0" destOrd="0" presId="urn:microsoft.com/office/officeart/2005/8/layout/orgChart1"/>
    <dgm:cxn modelId="{B72C448C-DD2A-40D4-99E8-890756432D68}" type="presParOf" srcId="{AA2CE4A2-CC44-4D52-BE43-23ADF3FF8F97}" destId="{BC856E0F-F8EB-430F-BDB0-45FE065C0689}" srcOrd="1" destOrd="0" presId="urn:microsoft.com/office/officeart/2005/8/layout/orgChart1"/>
    <dgm:cxn modelId="{78F5CD0C-D14F-40F7-B0A9-3E99C068AE6B}" type="presParOf" srcId="{8406C6A4-9E1D-46F5-A096-EF89076C2629}" destId="{01DB9156-FD82-40C9-A1B1-A69E857445A9}" srcOrd="1" destOrd="0" presId="urn:microsoft.com/office/officeart/2005/8/layout/orgChart1"/>
    <dgm:cxn modelId="{AF85F19D-001C-4D71-B836-B0D46E351AF0}" type="presParOf" srcId="{8406C6A4-9E1D-46F5-A096-EF89076C2629}" destId="{D0AD0187-B1A6-4EF5-B5F7-2F8178A6F635}" srcOrd="2" destOrd="0" presId="urn:microsoft.com/office/officeart/2005/8/layout/orgChart1"/>
    <dgm:cxn modelId="{DDE77DB5-E8FC-4EC2-9FCB-59B607809B7A}" type="presParOf" srcId="{FF974647-CFA9-4D26-ABE9-009AC394DB49}" destId="{0ED56647-0FCA-4F3C-BE6C-CE7F5C51FC7E}" srcOrd="2" destOrd="0" presId="urn:microsoft.com/office/officeart/2005/8/layout/orgChart1"/>
    <dgm:cxn modelId="{30E4CB67-4F80-4ACE-9CEB-06DFDAE9A9ED}" type="presParOf" srcId="{FF974647-CFA9-4D26-ABE9-009AC394DB49}" destId="{A5E5A599-1D1B-44BA-935A-B8BCC5E9880A}" srcOrd="3" destOrd="0" presId="urn:microsoft.com/office/officeart/2005/8/layout/orgChart1"/>
    <dgm:cxn modelId="{445FC35C-81BA-4F45-ABB6-C305BD6CC844}" type="presParOf" srcId="{A5E5A599-1D1B-44BA-935A-B8BCC5E9880A}" destId="{93E4B2EA-310F-4BAC-AD93-1321A4706048}" srcOrd="0" destOrd="0" presId="urn:microsoft.com/office/officeart/2005/8/layout/orgChart1"/>
    <dgm:cxn modelId="{EA39BC2D-5005-449C-8076-6E1F41638661}" type="presParOf" srcId="{93E4B2EA-310F-4BAC-AD93-1321A4706048}" destId="{2B470A79-D21B-4FCE-A2CC-8737F006BF43}" srcOrd="0" destOrd="0" presId="urn:microsoft.com/office/officeart/2005/8/layout/orgChart1"/>
    <dgm:cxn modelId="{F0DC1596-82EF-42DB-98F5-5A7DFABCD22C}" type="presParOf" srcId="{93E4B2EA-310F-4BAC-AD93-1321A4706048}" destId="{28C03274-7493-4A6B-B569-560EE4A187A5}" srcOrd="1" destOrd="0" presId="urn:microsoft.com/office/officeart/2005/8/layout/orgChart1"/>
    <dgm:cxn modelId="{B78719CE-1B25-4C77-8271-2CB5317CB777}" type="presParOf" srcId="{A5E5A599-1D1B-44BA-935A-B8BCC5E9880A}" destId="{C1B73C5D-27BB-4A8D-A243-3D194BEBD7B5}" srcOrd="1" destOrd="0" presId="urn:microsoft.com/office/officeart/2005/8/layout/orgChart1"/>
    <dgm:cxn modelId="{644B4B74-3ADA-4C72-B4FE-E3C6D100336E}" type="presParOf" srcId="{A5E5A599-1D1B-44BA-935A-B8BCC5E9880A}" destId="{3FFCADF2-553D-4E22-9CA3-6F2E1EF5CF4D}" srcOrd="2" destOrd="0" presId="urn:microsoft.com/office/officeart/2005/8/layout/orgChart1"/>
    <dgm:cxn modelId="{5F0EA5C6-1E3F-4DA9-9F66-067752E2B970}" type="presParOf" srcId="{FF974647-CFA9-4D26-ABE9-009AC394DB49}" destId="{AEBC0D12-6B65-4BF2-9834-AB748AAAB8E1}" srcOrd="4" destOrd="0" presId="urn:microsoft.com/office/officeart/2005/8/layout/orgChart1"/>
    <dgm:cxn modelId="{93FF1F15-FA2B-4943-B548-85ACE4DA4B02}" type="presParOf" srcId="{FF974647-CFA9-4D26-ABE9-009AC394DB49}" destId="{37C83E69-E53C-4049-925F-A2BF2F5A2BA1}" srcOrd="5" destOrd="0" presId="urn:microsoft.com/office/officeart/2005/8/layout/orgChart1"/>
    <dgm:cxn modelId="{279B44AB-CD9D-4EEB-BB64-62D0752235B8}" type="presParOf" srcId="{37C83E69-E53C-4049-925F-A2BF2F5A2BA1}" destId="{3C6B12D4-AE1E-4F5D-8023-44F530C5FE8E}" srcOrd="0" destOrd="0" presId="urn:microsoft.com/office/officeart/2005/8/layout/orgChart1"/>
    <dgm:cxn modelId="{E82C654E-A1B6-47B6-85DD-C7B8670A82F9}" type="presParOf" srcId="{3C6B12D4-AE1E-4F5D-8023-44F530C5FE8E}" destId="{2655CD1F-8719-4186-A59A-7B74ECC56D1E}" srcOrd="0" destOrd="0" presId="urn:microsoft.com/office/officeart/2005/8/layout/orgChart1"/>
    <dgm:cxn modelId="{DAE79999-EC87-402F-A1B2-1ADA29A553F0}" type="presParOf" srcId="{3C6B12D4-AE1E-4F5D-8023-44F530C5FE8E}" destId="{F82BC320-7FC3-404D-9D82-011B0464CBD9}" srcOrd="1" destOrd="0" presId="urn:microsoft.com/office/officeart/2005/8/layout/orgChart1"/>
    <dgm:cxn modelId="{35191A46-D9FB-4353-9EDD-53A2FA7E476D}" type="presParOf" srcId="{37C83E69-E53C-4049-925F-A2BF2F5A2BA1}" destId="{86C909B4-72C7-4D77-B102-E7BD9F7C1489}" srcOrd="1" destOrd="0" presId="urn:microsoft.com/office/officeart/2005/8/layout/orgChart1"/>
    <dgm:cxn modelId="{19030778-C719-4EA4-A345-CCE624BAA3A7}" type="presParOf" srcId="{37C83E69-E53C-4049-925F-A2BF2F5A2BA1}" destId="{4006AB2E-4E94-4617-AF7E-B7EC96E386EC}" srcOrd="2" destOrd="0" presId="urn:microsoft.com/office/officeart/2005/8/layout/orgChart1"/>
    <dgm:cxn modelId="{9B847072-EA2F-48A9-A3F5-E6A8D050BDBA}" type="presParOf" srcId="{A588507A-A22C-4B5C-83BD-89ED7BD47AAB}" destId="{03736798-3369-4C19-B56C-25F169F3DD86}" srcOrd="2" destOrd="0" presId="urn:microsoft.com/office/officeart/2005/8/layout/orgChart1"/>
    <dgm:cxn modelId="{A560384D-D7DE-4357-8360-2626B9A1FB94}" type="presParOf" srcId="{FC4E63DC-A28D-4AD9-8994-2BC42FD9C9BC}" destId="{F19AE65A-CAB1-4D19-AE62-B3D7E92797E1}" srcOrd="4" destOrd="0" presId="urn:microsoft.com/office/officeart/2005/8/layout/orgChart1"/>
    <dgm:cxn modelId="{19C23752-8957-4DA3-82C4-E343893A13A0}" type="presParOf" srcId="{FC4E63DC-A28D-4AD9-8994-2BC42FD9C9BC}" destId="{20C21F6D-4363-43DA-BA21-CD1A22FE4047}" srcOrd="5" destOrd="0" presId="urn:microsoft.com/office/officeart/2005/8/layout/orgChart1"/>
    <dgm:cxn modelId="{2AE7195A-BB67-4420-B505-2B8B5BA4608C}" type="presParOf" srcId="{20C21F6D-4363-43DA-BA21-CD1A22FE4047}" destId="{EF2D81E2-4061-44A8-A1B4-04EF8EB9014E}" srcOrd="0" destOrd="0" presId="urn:microsoft.com/office/officeart/2005/8/layout/orgChart1"/>
    <dgm:cxn modelId="{EADCA73F-AB33-4292-BFF1-FBED140D8366}" type="presParOf" srcId="{EF2D81E2-4061-44A8-A1B4-04EF8EB9014E}" destId="{E27822A6-A491-4A6A-915C-758FEA99915D}" srcOrd="0" destOrd="0" presId="urn:microsoft.com/office/officeart/2005/8/layout/orgChart1"/>
    <dgm:cxn modelId="{7118CD84-86CB-42BC-994E-F944AA3B533A}" type="presParOf" srcId="{EF2D81E2-4061-44A8-A1B4-04EF8EB9014E}" destId="{F327F8DC-5A3D-4A59-8E75-F16153047ADE}" srcOrd="1" destOrd="0" presId="urn:microsoft.com/office/officeart/2005/8/layout/orgChart1"/>
    <dgm:cxn modelId="{24E073DE-8216-4BA7-90E0-4110158D6304}" type="presParOf" srcId="{20C21F6D-4363-43DA-BA21-CD1A22FE4047}" destId="{465A707B-A078-46FC-9491-41CE7AF06D6A}" srcOrd="1" destOrd="0" presId="urn:microsoft.com/office/officeart/2005/8/layout/orgChart1"/>
    <dgm:cxn modelId="{095D20C4-124A-47D5-B536-392E0582CC44}" type="presParOf" srcId="{465A707B-A078-46FC-9491-41CE7AF06D6A}" destId="{31E6BBB7-A625-4ADE-8223-1A2E3AE27A2C}" srcOrd="0" destOrd="0" presId="urn:microsoft.com/office/officeart/2005/8/layout/orgChart1"/>
    <dgm:cxn modelId="{36F69AA8-41FE-49B1-A569-DB66E2FEE298}" type="presParOf" srcId="{465A707B-A078-46FC-9491-41CE7AF06D6A}" destId="{67CE1D96-3B78-4BCD-8284-15052408E243}" srcOrd="1" destOrd="0" presId="urn:microsoft.com/office/officeart/2005/8/layout/orgChart1"/>
    <dgm:cxn modelId="{AC094588-168B-4083-9D86-F0A0914D8444}" type="presParOf" srcId="{67CE1D96-3B78-4BCD-8284-15052408E243}" destId="{8E72219D-7797-47A8-B663-7B2E836CD254}" srcOrd="0" destOrd="0" presId="urn:microsoft.com/office/officeart/2005/8/layout/orgChart1"/>
    <dgm:cxn modelId="{75B67E03-B409-4A02-BE30-7992432BEDCF}" type="presParOf" srcId="{8E72219D-7797-47A8-B663-7B2E836CD254}" destId="{3CE90B64-99FD-4229-A588-ED3912A34282}" srcOrd="0" destOrd="0" presId="urn:microsoft.com/office/officeart/2005/8/layout/orgChart1"/>
    <dgm:cxn modelId="{7AC00DA1-1851-4A3A-9EB4-5637348E40F5}" type="presParOf" srcId="{8E72219D-7797-47A8-B663-7B2E836CD254}" destId="{B325B9CB-F9ED-42D7-A3C7-62C0732CED04}" srcOrd="1" destOrd="0" presId="urn:microsoft.com/office/officeart/2005/8/layout/orgChart1"/>
    <dgm:cxn modelId="{A787D92E-F245-4F67-8FC5-BB948169515C}" type="presParOf" srcId="{67CE1D96-3B78-4BCD-8284-15052408E243}" destId="{DE7BD95E-4695-4016-9304-9D5814BC3FEE}" srcOrd="1" destOrd="0" presId="urn:microsoft.com/office/officeart/2005/8/layout/orgChart1"/>
    <dgm:cxn modelId="{0E1E5D39-3A36-459A-9C6B-ACDED6AA6744}" type="presParOf" srcId="{67CE1D96-3B78-4BCD-8284-15052408E243}" destId="{50684526-5A51-4A06-B1CE-7D8E02132B24}" srcOrd="2" destOrd="0" presId="urn:microsoft.com/office/officeart/2005/8/layout/orgChart1"/>
    <dgm:cxn modelId="{A06029F3-7F1E-4049-B9A0-17000EF46EED}" type="presParOf" srcId="{465A707B-A078-46FC-9491-41CE7AF06D6A}" destId="{3B9DFC1B-2768-43BA-A1BB-CDBB86B36548}" srcOrd="2" destOrd="0" presId="urn:microsoft.com/office/officeart/2005/8/layout/orgChart1"/>
    <dgm:cxn modelId="{41EB9D9E-7B96-4A28-818E-F9CCF607EF62}" type="presParOf" srcId="{465A707B-A078-46FC-9491-41CE7AF06D6A}" destId="{ADF62D58-7912-4A93-8B5A-F3C197D347FA}" srcOrd="3" destOrd="0" presId="urn:microsoft.com/office/officeart/2005/8/layout/orgChart1"/>
    <dgm:cxn modelId="{DF6B6C57-7348-42AB-B938-A67F6859382D}" type="presParOf" srcId="{ADF62D58-7912-4A93-8B5A-F3C197D347FA}" destId="{4A1A1536-0586-46C2-AB9B-AE597EFC59E3}" srcOrd="0" destOrd="0" presId="urn:microsoft.com/office/officeart/2005/8/layout/orgChart1"/>
    <dgm:cxn modelId="{74D91149-F49D-452A-BFFE-E2B9B5BED223}" type="presParOf" srcId="{4A1A1536-0586-46C2-AB9B-AE597EFC59E3}" destId="{74744B42-BA0F-49DA-A595-C4BA7E965D56}" srcOrd="0" destOrd="0" presId="urn:microsoft.com/office/officeart/2005/8/layout/orgChart1"/>
    <dgm:cxn modelId="{EAC4C2AA-BED8-4E3E-BBC7-5CC426F923D8}" type="presParOf" srcId="{4A1A1536-0586-46C2-AB9B-AE597EFC59E3}" destId="{6C533372-C1F0-4A96-8874-95D7C3006644}" srcOrd="1" destOrd="0" presId="urn:microsoft.com/office/officeart/2005/8/layout/orgChart1"/>
    <dgm:cxn modelId="{46F3C2D4-8038-465A-A326-97F702A9695B}" type="presParOf" srcId="{ADF62D58-7912-4A93-8B5A-F3C197D347FA}" destId="{98047546-BDEE-4507-948A-9C7CD62E9D7B}" srcOrd="1" destOrd="0" presId="urn:microsoft.com/office/officeart/2005/8/layout/orgChart1"/>
    <dgm:cxn modelId="{B6DFA4CE-D1FB-44F1-A99B-1FE3AE409E56}" type="presParOf" srcId="{ADF62D58-7912-4A93-8B5A-F3C197D347FA}" destId="{6032DDED-E0BD-4582-80D2-25CDA291E80F}" srcOrd="2" destOrd="0" presId="urn:microsoft.com/office/officeart/2005/8/layout/orgChart1"/>
    <dgm:cxn modelId="{8DFF13D8-D364-451B-A4FB-608A4B940374}" type="presParOf" srcId="{20C21F6D-4363-43DA-BA21-CD1A22FE4047}" destId="{069D6676-90BD-4CA8-9CA0-4760245E9968}" srcOrd="2" destOrd="0" presId="urn:microsoft.com/office/officeart/2005/8/layout/orgChart1"/>
    <dgm:cxn modelId="{D116F7AB-7CE0-4948-95B3-FE44674AB8B0}" type="presParOf" srcId="{FC4E63DC-A28D-4AD9-8994-2BC42FD9C9BC}" destId="{463E29DE-03EF-42EF-A5D2-B1E07132D616}" srcOrd="6" destOrd="0" presId="urn:microsoft.com/office/officeart/2005/8/layout/orgChart1"/>
    <dgm:cxn modelId="{042F09A6-262E-445C-915E-40DE65B0B876}" type="presParOf" srcId="{FC4E63DC-A28D-4AD9-8994-2BC42FD9C9BC}" destId="{1B8A2CC3-3846-4703-8E9A-3AFAA72C1138}" srcOrd="7" destOrd="0" presId="urn:microsoft.com/office/officeart/2005/8/layout/orgChart1"/>
    <dgm:cxn modelId="{7496FED0-9827-4F0B-858E-B8E7A78F7DE2}" type="presParOf" srcId="{1B8A2CC3-3846-4703-8E9A-3AFAA72C1138}" destId="{5852F94F-B1D5-4F07-B182-84FDE1961633}" srcOrd="0" destOrd="0" presId="urn:microsoft.com/office/officeart/2005/8/layout/orgChart1"/>
    <dgm:cxn modelId="{AFD30CFE-0EC7-4273-BEDF-CFCB2BEA19E1}" type="presParOf" srcId="{5852F94F-B1D5-4F07-B182-84FDE1961633}" destId="{E5F3CF3C-E9B5-4980-A4B8-D0AA1925D7E8}" srcOrd="0" destOrd="0" presId="urn:microsoft.com/office/officeart/2005/8/layout/orgChart1"/>
    <dgm:cxn modelId="{4B96F720-D4F4-4A32-9B1D-816CF7A47BBB}" type="presParOf" srcId="{5852F94F-B1D5-4F07-B182-84FDE1961633}" destId="{206FF22A-5965-4595-A78A-E965AFAC9F88}" srcOrd="1" destOrd="0" presId="urn:microsoft.com/office/officeart/2005/8/layout/orgChart1"/>
    <dgm:cxn modelId="{F8E58856-A3A0-4EC6-994C-73B628103AF1}" type="presParOf" srcId="{1B8A2CC3-3846-4703-8E9A-3AFAA72C1138}" destId="{8B73DED2-9072-48DB-B84E-6F1DD0498223}" srcOrd="1" destOrd="0" presId="urn:microsoft.com/office/officeart/2005/8/layout/orgChart1"/>
    <dgm:cxn modelId="{32481793-889B-4F36-B1F8-B79AA6FB3300}" type="presParOf" srcId="{8B73DED2-9072-48DB-B84E-6F1DD0498223}" destId="{7FA8CB77-414D-483B-9C44-40A0E078455F}" srcOrd="0" destOrd="0" presId="urn:microsoft.com/office/officeart/2005/8/layout/orgChart1"/>
    <dgm:cxn modelId="{C1B6BBE1-1F6F-4C5E-907E-ACE69447903D}" type="presParOf" srcId="{8B73DED2-9072-48DB-B84E-6F1DD0498223}" destId="{DC699CEB-1256-46A4-A251-5FAC06F6A61D}" srcOrd="1" destOrd="0" presId="urn:microsoft.com/office/officeart/2005/8/layout/orgChart1"/>
    <dgm:cxn modelId="{3A67E4E0-281B-446D-86FB-0641176A014A}" type="presParOf" srcId="{DC699CEB-1256-46A4-A251-5FAC06F6A61D}" destId="{15C6F56A-651C-48D0-A29F-4CA211CC2E42}" srcOrd="0" destOrd="0" presId="urn:microsoft.com/office/officeart/2005/8/layout/orgChart1"/>
    <dgm:cxn modelId="{022D6900-420D-4289-A426-3BDDCB536BE7}" type="presParOf" srcId="{15C6F56A-651C-48D0-A29F-4CA211CC2E42}" destId="{0346B74D-0711-4C32-A1B6-069D2900BD65}" srcOrd="0" destOrd="0" presId="urn:microsoft.com/office/officeart/2005/8/layout/orgChart1"/>
    <dgm:cxn modelId="{708C8222-C481-4345-B770-7C38A60C37D4}" type="presParOf" srcId="{15C6F56A-651C-48D0-A29F-4CA211CC2E42}" destId="{B7D7F2A3-DE41-44B2-858A-B6A049A7E021}" srcOrd="1" destOrd="0" presId="urn:microsoft.com/office/officeart/2005/8/layout/orgChart1"/>
    <dgm:cxn modelId="{1B70A777-DC2D-41A9-A930-22AFF600F032}" type="presParOf" srcId="{DC699CEB-1256-46A4-A251-5FAC06F6A61D}" destId="{7B5FDC70-B6B7-4F0B-B0A4-A2B40444333D}" srcOrd="1" destOrd="0" presId="urn:microsoft.com/office/officeart/2005/8/layout/orgChart1"/>
    <dgm:cxn modelId="{A57313B1-F0B1-454D-8B2E-C8D65E917315}" type="presParOf" srcId="{DC699CEB-1256-46A4-A251-5FAC06F6A61D}" destId="{07232CF8-F497-4C63-96AB-0DA6F1F6CDDA}" srcOrd="2" destOrd="0" presId="urn:microsoft.com/office/officeart/2005/8/layout/orgChart1"/>
    <dgm:cxn modelId="{04037FFA-3FEA-4994-9011-77B551C4F4AF}" type="presParOf" srcId="{8B73DED2-9072-48DB-B84E-6F1DD0498223}" destId="{68A2908C-AE33-45DB-AA17-C1FD9A8F7E2E}" srcOrd="2" destOrd="0" presId="urn:microsoft.com/office/officeart/2005/8/layout/orgChart1"/>
    <dgm:cxn modelId="{6BCDB56E-F1AC-4CFE-B9D8-CB2D18A14E35}" type="presParOf" srcId="{8B73DED2-9072-48DB-B84E-6F1DD0498223}" destId="{212012CA-3921-4C3C-BF0A-AC00BEEDC219}" srcOrd="3" destOrd="0" presId="urn:microsoft.com/office/officeart/2005/8/layout/orgChart1"/>
    <dgm:cxn modelId="{2A645DDD-D96E-4901-AC8F-B479457078F0}" type="presParOf" srcId="{212012CA-3921-4C3C-BF0A-AC00BEEDC219}" destId="{3CB4BCEB-4BE7-431F-A05D-CFCBA7B7F4AE}" srcOrd="0" destOrd="0" presId="urn:microsoft.com/office/officeart/2005/8/layout/orgChart1"/>
    <dgm:cxn modelId="{99E9063D-87AB-4DC9-A743-6E905A2BCA12}" type="presParOf" srcId="{3CB4BCEB-4BE7-431F-A05D-CFCBA7B7F4AE}" destId="{7BEF5639-3385-4E9A-9AE9-F48AE1DC5BE8}" srcOrd="0" destOrd="0" presId="urn:microsoft.com/office/officeart/2005/8/layout/orgChart1"/>
    <dgm:cxn modelId="{418D4FD4-0143-49F1-993C-CF1654477E81}" type="presParOf" srcId="{3CB4BCEB-4BE7-431F-A05D-CFCBA7B7F4AE}" destId="{AF50FAD6-77D9-4BCC-BDC3-7BD9F9A9A4E2}" srcOrd="1" destOrd="0" presId="urn:microsoft.com/office/officeart/2005/8/layout/orgChart1"/>
    <dgm:cxn modelId="{43F08038-9B5B-440C-951D-D22553349ADF}" type="presParOf" srcId="{212012CA-3921-4C3C-BF0A-AC00BEEDC219}" destId="{70C74FC3-2F71-48BE-811D-3EE94C38D80F}" srcOrd="1" destOrd="0" presId="urn:microsoft.com/office/officeart/2005/8/layout/orgChart1"/>
    <dgm:cxn modelId="{CE44D936-7B35-4C0E-9DF5-A36851285649}" type="presParOf" srcId="{212012CA-3921-4C3C-BF0A-AC00BEEDC219}" destId="{B17916E5-E2BA-45B4-99AB-FD69FBC33D2D}" srcOrd="2" destOrd="0" presId="urn:microsoft.com/office/officeart/2005/8/layout/orgChart1"/>
    <dgm:cxn modelId="{DF8845EC-547E-4E3F-ABAD-7AC340E69461}" type="presParOf" srcId="{8B73DED2-9072-48DB-B84E-6F1DD0498223}" destId="{64B3D144-8886-490D-B804-A241F0A4CDE2}" srcOrd="4" destOrd="0" presId="urn:microsoft.com/office/officeart/2005/8/layout/orgChart1"/>
    <dgm:cxn modelId="{E83225B2-36B5-4A6D-B496-724AE72C878D}" type="presParOf" srcId="{8B73DED2-9072-48DB-B84E-6F1DD0498223}" destId="{8A702546-F8A0-4DB3-8F2F-8CBC3E916BA3}" srcOrd="5" destOrd="0" presId="urn:microsoft.com/office/officeart/2005/8/layout/orgChart1"/>
    <dgm:cxn modelId="{BE06907A-87C0-44BD-828D-6BF2C1F3F9A6}" type="presParOf" srcId="{8A702546-F8A0-4DB3-8F2F-8CBC3E916BA3}" destId="{78228A24-1A0A-46C9-9A64-A6EDC0C82A15}" srcOrd="0" destOrd="0" presId="urn:microsoft.com/office/officeart/2005/8/layout/orgChart1"/>
    <dgm:cxn modelId="{6E370633-2ADB-4F01-A77E-B2F3BAEE21BB}" type="presParOf" srcId="{78228A24-1A0A-46C9-9A64-A6EDC0C82A15}" destId="{F58F3CF3-5C27-48B8-8DF8-BE09B7454D27}" srcOrd="0" destOrd="0" presId="urn:microsoft.com/office/officeart/2005/8/layout/orgChart1"/>
    <dgm:cxn modelId="{21AE6C0D-472F-4CD7-827D-2182445B7168}" type="presParOf" srcId="{78228A24-1A0A-46C9-9A64-A6EDC0C82A15}" destId="{C14DC394-FE74-4FE1-96FF-0029B0AD8B3D}" srcOrd="1" destOrd="0" presId="urn:microsoft.com/office/officeart/2005/8/layout/orgChart1"/>
    <dgm:cxn modelId="{BA787EFB-1C4D-461C-9E3D-80D97772333B}" type="presParOf" srcId="{8A702546-F8A0-4DB3-8F2F-8CBC3E916BA3}" destId="{2964D741-C994-42FE-B1CA-70C552BBF391}" srcOrd="1" destOrd="0" presId="urn:microsoft.com/office/officeart/2005/8/layout/orgChart1"/>
    <dgm:cxn modelId="{85C143F8-F617-42DC-9854-21A16D1C8B17}" type="presParOf" srcId="{8A702546-F8A0-4DB3-8F2F-8CBC3E916BA3}" destId="{13E60EEA-5654-4388-9F55-C37AAEDCF391}" srcOrd="2" destOrd="0" presId="urn:microsoft.com/office/officeart/2005/8/layout/orgChart1"/>
    <dgm:cxn modelId="{83C6F571-7980-4F15-AEB9-0789DBEDEC2A}" type="presParOf" srcId="{8B73DED2-9072-48DB-B84E-6F1DD0498223}" destId="{3BE78C63-D7B3-490D-A69C-4495A39BD316}" srcOrd="6" destOrd="0" presId="urn:microsoft.com/office/officeart/2005/8/layout/orgChart1"/>
    <dgm:cxn modelId="{CB054EDB-1610-4C9D-8162-958814262650}" type="presParOf" srcId="{8B73DED2-9072-48DB-B84E-6F1DD0498223}" destId="{15E227EE-3DE6-4D00-A640-E7A4379AF04C}" srcOrd="7" destOrd="0" presId="urn:microsoft.com/office/officeart/2005/8/layout/orgChart1"/>
    <dgm:cxn modelId="{DECD8C3B-B5A5-4405-9655-D76D85EE0AAD}" type="presParOf" srcId="{15E227EE-3DE6-4D00-A640-E7A4379AF04C}" destId="{130F1C61-CEB3-4135-A35D-59D02FC32B55}" srcOrd="0" destOrd="0" presId="urn:microsoft.com/office/officeart/2005/8/layout/orgChart1"/>
    <dgm:cxn modelId="{AFB56737-F91E-4295-8A7E-340107E377C2}" type="presParOf" srcId="{130F1C61-CEB3-4135-A35D-59D02FC32B55}" destId="{24713480-EB01-4DF6-BF88-72157C8E9C25}" srcOrd="0" destOrd="0" presId="urn:microsoft.com/office/officeart/2005/8/layout/orgChart1"/>
    <dgm:cxn modelId="{9A1936F9-D3B7-4DE1-9749-7D606AB25073}" type="presParOf" srcId="{130F1C61-CEB3-4135-A35D-59D02FC32B55}" destId="{3EB718A3-C8B9-4B05-AB64-ED481E4AAD57}" srcOrd="1" destOrd="0" presId="urn:microsoft.com/office/officeart/2005/8/layout/orgChart1"/>
    <dgm:cxn modelId="{BB755BF2-D87E-498B-9B12-37ACCE224535}" type="presParOf" srcId="{15E227EE-3DE6-4D00-A640-E7A4379AF04C}" destId="{EEB3AFCD-8F16-4A45-9831-07AFA744064B}" srcOrd="1" destOrd="0" presId="urn:microsoft.com/office/officeart/2005/8/layout/orgChart1"/>
    <dgm:cxn modelId="{88F52A73-DB27-4D9D-A83D-CF2D9EBC6BAB}" type="presParOf" srcId="{15E227EE-3DE6-4D00-A640-E7A4379AF04C}" destId="{312BF0F0-A613-46C6-9BFC-9B8E1EC26D23}" srcOrd="2" destOrd="0" presId="urn:microsoft.com/office/officeart/2005/8/layout/orgChart1"/>
    <dgm:cxn modelId="{39625C83-7797-47ED-8049-7E8F6E747CA8}" type="presParOf" srcId="{8B73DED2-9072-48DB-B84E-6F1DD0498223}" destId="{3992878E-B780-4758-A483-094774ECB49E}" srcOrd="8" destOrd="0" presId="urn:microsoft.com/office/officeart/2005/8/layout/orgChart1"/>
    <dgm:cxn modelId="{E1DC032E-7149-4FE6-AFD0-F46F57E65BB0}" type="presParOf" srcId="{8B73DED2-9072-48DB-B84E-6F1DD0498223}" destId="{C6ACFACB-AD16-47F5-B8D3-42A9A8453E84}" srcOrd="9" destOrd="0" presId="urn:microsoft.com/office/officeart/2005/8/layout/orgChart1"/>
    <dgm:cxn modelId="{94490FE0-042E-4808-AE67-B11E81010B0B}" type="presParOf" srcId="{C6ACFACB-AD16-47F5-B8D3-42A9A8453E84}" destId="{28FE0CC0-F3F6-400F-ADAE-86F903E19274}" srcOrd="0" destOrd="0" presId="urn:microsoft.com/office/officeart/2005/8/layout/orgChart1"/>
    <dgm:cxn modelId="{B831E230-E604-4C40-BCBE-5B38EA6EF975}" type="presParOf" srcId="{28FE0CC0-F3F6-400F-ADAE-86F903E19274}" destId="{58191E0C-1E48-4684-B0DA-DD5CAD81AC57}" srcOrd="0" destOrd="0" presId="urn:microsoft.com/office/officeart/2005/8/layout/orgChart1"/>
    <dgm:cxn modelId="{BB2B2941-BC10-4578-9076-8FD0C498EE41}" type="presParOf" srcId="{28FE0CC0-F3F6-400F-ADAE-86F903E19274}" destId="{419B3C29-E4CB-40EA-A900-C8A874C37BEE}" srcOrd="1" destOrd="0" presId="urn:microsoft.com/office/officeart/2005/8/layout/orgChart1"/>
    <dgm:cxn modelId="{B2CD3A42-C417-4F36-A9C4-E76ECC19DD87}" type="presParOf" srcId="{C6ACFACB-AD16-47F5-B8D3-42A9A8453E84}" destId="{58EB1A28-9914-4FCE-9089-B9E3DA442FC4}" srcOrd="1" destOrd="0" presId="urn:microsoft.com/office/officeart/2005/8/layout/orgChart1"/>
    <dgm:cxn modelId="{CF8239CB-E46D-46A4-9259-D5F012C458E3}" type="presParOf" srcId="{C6ACFACB-AD16-47F5-B8D3-42A9A8453E84}" destId="{60D54BAE-7117-4672-9E2A-268E15DB702F}" srcOrd="2" destOrd="0" presId="urn:microsoft.com/office/officeart/2005/8/layout/orgChart1"/>
    <dgm:cxn modelId="{08B2B593-C398-4A8D-B855-CC8A27BB56D5}" type="presParOf" srcId="{1B8A2CC3-3846-4703-8E9A-3AFAA72C1138}" destId="{2A0248A9-041A-4C6E-8E89-F8CF07C1D5F4}" srcOrd="2" destOrd="0" presId="urn:microsoft.com/office/officeart/2005/8/layout/orgChart1"/>
    <dgm:cxn modelId="{BBE277EB-0D0B-47FA-BACB-A2EBD6E710D0}" type="presParOf" srcId="{FC4E63DC-A28D-4AD9-8994-2BC42FD9C9BC}" destId="{DEE440A7-E6F1-4F3C-B2B2-7DB7F1336163}" srcOrd="8" destOrd="0" presId="urn:microsoft.com/office/officeart/2005/8/layout/orgChart1"/>
    <dgm:cxn modelId="{A3450A11-4339-4DA9-AB9B-97C22F57B571}" type="presParOf" srcId="{FC4E63DC-A28D-4AD9-8994-2BC42FD9C9BC}" destId="{D6BC083B-4266-4831-B315-8479F534C422}" srcOrd="9" destOrd="0" presId="urn:microsoft.com/office/officeart/2005/8/layout/orgChart1"/>
    <dgm:cxn modelId="{8454CAA7-B380-4D35-8823-E6A204AE5871}" type="presParOf" srcId="{D6BC083B-4266-4831-B315-8479F534C422}" destId="{6D58B00B-D076-4E48-B145-5398221E479B}" srcOrd="0" destOrd="0" presId="urn:microsoft.com/office/officeart/2005/8/layout/orgChart1"/>
    <dgm:cxn modelId="{8F5DFC94-5886-49AD-823C-5AFE867243DA}" type="presParOf" srcId="{6D58B00B-D076-4E48-B145-5398221E479B}" destId="{22302856-D687-415C-8694-BD203E144085}" srcOrd="0" destOrd="0" presId="urn:microsoft.com/office/officeart/2005/8/layout/orgChart1"/>
    <dgm:cxn modelId="{5C933ED4-974E-4CD2-B660-83AC92D69788}" type="presParOf" srcId="{6D58B00B-D076-4E48-B145-5398221E479B}" destId="{70E9111B-CFEA-430F-B169-DA5A7A37578E}" srcOrd="1" destOrd="0" presId="urn:microsoft.com/office/officeart/2005/8/layout/orgChart1"/>
    <dgm:cxn modelId="{0A270CC8-930A-437B-9C35-239243159247}" type="presParOf" srcId="{D6BC083B-4266-4831-B315-8479F534C422}" destId="{7C6645DC-C4E6-48B6-8997-53988935E40B}" srcOrd="1" destOrd="0" presId="urn:microsoft.com/office/officeart/2005/8/layout/orgChart1"/>
    <dgm:cxn modelId="{4BC754DE-5DC3-4C5C-A5B2-DE7FB838B8E7}" type="presParOf" srcId="{7C6645DC-C4E6-48B6-8997-53988935E40B}" destId="{4124473A-4C44-4C48-B471-C873AA6FB3B9}" srcOrd="0" destOrd="0" presId="urn:microsoft.com/office/officeart/2005/8/layout/orgChart1"/>
    <dgm:cxn modelId="{8E51DD3C-7437-4677-819B-1DEA8D4859CE}" type="presParOf" srcId="{7C6645DC-C4E6-48B6-8997-53988935E40B}" destId="{6E22EE84-757F-4AFE-81A8-5F70238EE4B4}" srcOrd="1" destOrd="0" presId="urn:microsoft.com/office/officeart/2005/8/layout/orgChart1"/>
    <dgm:cxn modelId="{44AC186D-018B-4234-BF68-7B46DB62B095}" type="presParOf" srcId="{6E22EE84-757F-4AFE-81A8-5F70238EE4B4}" destId="{63FD902D-138F-4975-9CB1-1CBDAF6F0D3C}" srcOrd="0" destOrd="0" presId="urn:microsoft.com/office/officeart/2005/8/layout/orgChart1"/>
    <dgm:cxn modelId="{BD743D00-4B6A-4CAE-ABA4-D7C072454BD3}" type="presParOf" srcId="{63FD902D-138F-4975-9CB1-1CBDAF6F0D3C}" destId="{ECD40821-47D6-4284-94BE-64CB66FE0F7B}" srcOrd="0" destOrd="0" presId="urn:microsoft.com/office/officeart/2005/8/layout/orgChart1"/>
    <dgm:cxn modelId="{D0692DE0-3070-4597-AD87-F59A038436A2}" type="presParOf" srcId="{63FD902D-138F-4975-9CB1-1CBDAF6F0D3C}" destId="{92E47A50-2E59-4BC5-9488-CF4B439C9F36}" srcOrd="1" destOrd="0" presId="urn:microsoft.com/office/officeart/2005/8/layout/orgChart1"/>
    <dgm:cxn modelId="{A7AFE445-9565-48C4-8DD2-F02031BD0779}" type="presParOf" srcId="{6E22EE84-757F-4AFE-81A8-5F70238EE4B4}" destId="{3CBCC1B2-6EE5-4E7A-A5F3-37602F648FF4}" srcOrd="1" destOrd="0" presId="urn:microsoft.com/office/officeart/2005/8/layout/orgChart1"/>
    <dgm:cxn modelId="{45F327FF-63E7-47B7-B61B-C97CB5F34459}" type="presParOf" srcId="{6E22EE84-757F-4AFE-81A8-5F70238EE4B4}" destId="{0B835C88-0FF2-4FC9-99A2-D5B4EAA74C3D}" srcOrd="2" destOrd="0" presId="urn:microsoft.com/office/officeart/2005/8/layout/orgChart1"/>
    <dgm:cxn modelId="{994F528A-06D2-4F2D-ACE3-338973AD8871}" type="presParOf" srcId="{7C6645DC-C4E6-48B6-8997-53988935E40B}" destId="{22EA4BDD-C54D-4AA6-A4F2-F31D098BF093}" srcOrd="2" destOrd="0" presId="urn:microsoft.com/office/officeart/2005/8/layout/orgChart1"/>
    <dgm:cxn modelId="{9445B812-A002-49E1-B751-D7E2D0B9AE7B}" type="presParOf" srcId="{7C6645DC-C4E6-48B6-8997-53988935E40B}" destId="{32879AAE-63DB-45E3-806F-1AC908B0A940}" srcOrd="3" destOrd="0" presId="urn:microsoft.com/office/officeart/2005/8/layout/orgChart1"/>
    <dgm:cxn modelId="{7ACEB599-F3AB-48CE-8846-63DD03DCA95C}" type="presParOf" srcId="{32879AAE-63DB-45E3-806F-1AC908B0A940}" destId="{97D34CD9-A049-420C-8142-CAFDB1B72E25}" srcOrd="0" destOrd="0" presId="urn:microsoft.com/office/officeart/2005/8/layout/orgChart1"/>
    <dgm:cxn modelId="{E5CB4EDF-D1DC-4D84-A450-990454E4A1BF}" type="presParOf" srcId="{97D34CD9-A049-420C-8142-CAFDB1B72E25}" destId="{335CFEA8-5B08-4C90-B4B3-34E79C35E25E}" srcOrd="0" destOrd="0" presId="urn:microsoft.com/office/officeart/2005/8/layout/orgChart1"/>
    <dgm:cxn modelId="{356D55DA-6287-4544-85A8-96BCBFD524B5}" type="presParOf" srcId="{97D34CD9-A049-420C-8142-CAFDB1B72E25}" destId="{4869892A-F778-4F4D-8471-35C408607497}" srcOrd="1" destOrd="0" presId="urn:microsoft.com/office/officeart/2005/8/layout/orgChart1"/>
    <dgm:cxn modelId="{0B972090-7593-482D-9ED0-2329B908A843}" type="presParOf" srcId="{32879AAE-63DB-45E3-806F-1AC908B0A940}" destId="{926B7956-303E-47B5-B6AC-3C2D227F6C72}" srcOrd="1" destOrd="0" presId="urn:microsoft.com/office/officeart/2005/8/layout/orgChart1"/>
    <dgm:cxn modelId="{9DAF7543-0DEC-49DD-A1FA-C2B9BE51C520}" type="presParOf" srcId="{32879AAE-63DB-45E3-806F-1AC908B0A940}" destId="{313B9D8D-C6DD-48E6-9231-1726C97C829E}" srcOrd="2" destOrd="0" presId="urn:microsoft.com/office/officeart/2005/8/layout/orgChart1"/>
    <dgm:cxn modelId="{244904D4-7658-4922-8627-BB79B4FF70BF}" type="presParOf" srcId="{7C6645DC-C4E6-48B6-8997-53988935E40B}" destId="{9D8FCBAC-C1E5-41DE-AEB2-A70ED40E7721}" srcOrd="4" destOrd="0" presId="urn:microsoft.com/office/officeart/2005/8/layout/orgChart1"/>
    <dgm:cxn modelId="{BE6EEAF3-E6AA-49C6-BDAE-83F40B12DF83}" type="presParOf" srcId="{7C6645DC-C4E6-48B6-8997-53988935E40B}" destId="{7AE1BCEC-3B7D-41DC-B29D-418BAD8A0B7F}" srcOrd="5" destOrd="0" presId="urn:microsoft.com/office/officeart/2005/8/layout/orgChart1"/>
    <dgm:cxn modelId="{EF580299-AAD6-40FD-852C-32593E3D4BF5}" type="presParOf" srcId="{7AE1BCEC-3B7D-41DC-B29D-418BAD8A0B7F}" destId="{4953D418-403E-466A-94F2-2FC77E79F3D0}" srcOrd="0" destOrd="0" presId="urn:microsoft.com/office/officeart/2005/8/layout/orgChart1"/>
    <dgm:cxn modelId="{B5F00AFA-480A-4C8E-B942-2B03CCE51459}" type="presParOf" srcId="{4953D418-403E-466A-94F2-2FC77E79F3D0}" destId="{92F0175B-B40F-4850-9105-0DADA18E1CA9}" srcOrd="0" destOrd="0" presId="urn:microsoft.com/office/officeart/2005/8/layout/orgChart1"/>
    <dgm:cxn modelId="{27C56173-DE3A-420E-AE46-80FFCB6199CA}" type="presParOf" srcId="{4953D418-403E-466A-94F2-2FC77E79F3D0}" destId="{D990D39F-E70F-4D7F-8B9D-67E6A5AAAFF1}" srcOrd="1" destOrd="0" presId="urn:microsoft.com/office/officeart/2005/8/layout/orgChart1"/>
    <dgm:cxn modelId="{332E24A4-6FB8-4709-98B7-BD1E6FCC9020}" type="presParOf" srcId="{7AE1BCEC-3B7D-41DC-B29D-418BAD8A0B7F}" destId="{1879EBEA-D073-44FD-9268-9CAA7009D165}" srcOrd="1" destOrd="0" presId="urn:microsoft.com/office/officeart/2005/8/layout/orgChart1"/>
    <dgm:cxn modelId="{C8C9DF43-2315-427F-817F-BE52D409D28E}" type="presParOf" srcId="{7AE1BCEC-3B7D-41DC-B29D-418BAD8A0B7F}" destId="{3AB3EB5C-C196-4E82-96F7-6EA6DBA328FE}" srcOrd="2" destOrd="0" presId="urn:microsoft.com/office/officeart/2005/8/layout/orgChart1"/>
    <dgm:cxn modelId="{15629A1D-EA96-4F4A-91A4-F0194CF6B833}" type="presParOf" srcId="{D6BC083B-4266-4831-B315-8479F534C422}" destId="{1725128A-5BDB-4C0E-9435-3563A65BDDB4}" srcOrd="2" destOrd="0" presId="urn:microsoft.com/office/officeart/2005/8/layout/orgChart1"/>
    <dgm:cxn modelId="{346F22BD-E9F3-43BE-AF52-16655493AF51}" type="presParOf" srcId="{FC4E63DC-A28D-4AD9-8994-2BC42FD9C9BC}" destId="{BF2C8068-5568-4FF9-BBDF-FA5E1EB5C39A}" srcOrd="10" destOrd="0" presId="urn:microsoft.com/office/officeart/2005/8/layout/orgChart1"/>
    <dgm:cxn modelId="{BD3AEAA2-F9C8-4BBE-844E-59DB3BD9883E}" type="presParOf" srcId="{FC4E63DC-A28D-4AD9-8994-2BC42FD9C9BC}" destId="{F14FAC25-71ED-4066-A50A-8408C8CD496D}" srcOrd="11" destOrd="0" presId="urn:microsoft.com/office/officeart/2005/8/layout/orgChart1"/>
    <dgm:cxn modelId="{E0B3C301-12AB-46F5-A034-B4F5B256ACC3}" type="presParOf" srcId="{F14FAC25-71ED-4066-A50A-8408C8CD496D}" destId="{DA7F73F4-37BA-40A5-95C3-083136A189DC}" srcOrd="0" destOrd="0" presId="urn:microsoft.com/office/officeart/2005/8/layout/orgChart1"/>
    <dgm:cxn modelId="{C0FFB0E7-7B2A-423E-8AFB-0F84911DF2FC}" type="presParOf" srcId="{DA7F73F4-37BA-40A5-95C3-083136A189DC}" destId="{BCBF385E-16BD-4AAC-A54C-F6718B75FB2F}" srcOrd="0" destOrd="0" presId="urn:microsoft.com/office/officeart/2005/8/layout/orgChart1"/>
    <dgm:cxn modelId="{EC761A0D-5E09-47C7-A0F6-E5D113024314}" type="presParOf" srcId="{DA7F73F4-37BA-40A5-95C3-083136A189DC}" destId="{E7A2A1BB-552D-4EFC-9B35-1729F0DD5F28}" srcOrd="1" destOrd="0" presId="urn:microsoft.com/office/officeart/2005/8/layout/orgChart1"/>
    <dgm:cxn modelId="{E56DC9F2-6144-4D14-98F3-8ACD1F251DF0}" type="presParOf" srcId="{F14FAC25-71ED-4066-A50A-8408C8CD496D}" destId="{1FBEA4F5-BC14-48E0-84A1-0AC60D97E733}" srcOrd="1" destOrd="0" presId="urn:microsoft.com/office/officeart/2005/8/layout/orgChart1"/>
    <dgm:cxn modelId="{06CCEA6C-FC07-4783-B627-3510229ADC93}" type="presParOf" srcId="{1FBEA4F5-BC14-48E0-84A1-0AC60D97E733}" destId="{07EFAF4D-C4E8-4445-861F-976AB4309935}" srcOrd="0" destOrd="0" presId="urn:microsoft.com/office/officeart/2005/8/layout/orgChart1"/>
    <dgm:cxn modelId="{F9AFB867-61EA-4498-BDFB-69915A201B99}" type="presParOf" srcId="{1FBEA4F5-BC14-48E0-84A1-0AC60D97E733}" destId="{5414AD65-5EA5-4298-985E-AE34EBED05EF}" srcOrd="1" destOrd="0" presId="urn:microsoft.com/office/officeart/2005/8/layout/orgChart1"/>
    <dgm:cxn modelId="{EF337DBF-CA9A-4B51-B296-3398DDFB2B3C}" type="presParOf" srcId="{5414AD65-5EA5-4298-985E-AE34EBED05EF}" destId="{0C020665-1FF6-4200-96A6-1EFF058D1C48}" srcOrd="0" destOrd="0" presId="urn:microsoft.com/office/officeart/2005/8/layout/orgChart1"/>
    <dgm:cxn modelId="{7D009B24-21BA-4622-BDD7-9CD97096DA74}" type="presParOf" srcId="{0C020665-1FF6-4200-96A6-1EFF058D1C48}" destId="{ED4A4078-167E-4A16-A4A9-FA6F45C1A41F}" srcOrd="0" destOrd="0" presId="urn:microsoft.com/office/officeart/2005/8/layout/orgChart1"/>
    <dgm:cxn modelId="{040D4563-382E-4124-A4B3-28117697130F}" type="presParOf" srcId="{0C020665-1FF6-4200-96A6-1EFF058D1C48}" destId="{B6E45953-9F05-4184-9831-A3FE0CB9A97F}" srcOrd="1" destOrd="0" presId="urn:microsoft.com/office/officeart/2005/8/layout/orgChart1"/>
    <dgm:cxn modelId="{A60F644C-99F7-4324-8874-18E726728E84}" type="presParOf" srcId="{5414AD65-5EA5-4298-985E-AE34EBED05EF}" destId="{B2AFE39B-3DB9-43F1-8630-11D74AFF8B46}" srcOrd="1" destOrd="0" presId="urn:microsoft.com/office/officeart/2005/8/layout/orgChart1"/>
    <dgm:cxn modelId="{8B785172-CAEB-4E03-82ED-16F5555041D5}" type="presParOf" srcId="{B2AFE39B-3DB9-43F1-8630-11D74AFF8B46}" destId="{C98705A5-FB11-4017-A147-2B7A004DB0B6}" srcOrd="0" destOrd="0" presId="urn:microsoft.com/office/officeart/2005/8/layout/orgChart1"/>
    <dgm:cxn modelId="{AEFB198D-0BDB-4AA8-A6AE-C60723D5CE2C}" type="presParOf" srcId="{B2AFE39B-3DB9-43F1-8630-11D74AFF8B46}" destId="{BC907DDB-0AD2-46FC-9AEA-AC787FBF4440}" srcOrd="1" destOrd="0" presId="urn:microsoft.com/office/officeart/2005/8/layout/orgChart1"/>
    <dgm:cxn modelId="{4C8F0FDB-6D61-4553-8A84-302A03C6DAF4}" type="presParOf" srcId="{BC907DDB-0AD2-46FC-9AEA-AC787FBF4440}" destId="{471C6394-295F-4278-B9FE-06DE9DB6E467}" srcOrd="0" destOrd="0" presId="urn:microsoft.com/office/officeart/2005/8/layout/orgChart1"/>
    <dgm:cxn modelId="{A3681A77-1AF4-46E8-9CF2-26009C3BB679}" type="presParOf" srcId="{471C6394-295F-4278-B9FE-06DE9DB6E467}" destId="{E6B19E2C-CCEC-47AC-ACB1-CEF07DA4EEAA}" srcOrd="0" destOrd="0" presId="urn:microsoft.com/office/officeart/2005/8/layout/orgChart1"/>
    <dgm:cxn modelId="{E42CEF26-C9A0-425A-9EFE-33CB061C9D1D}" type="presParOf" srcId="{471C6394-295F-4278-B9FE-06DE9DB6E467}" destId="{0558A6DE-A21A-4537-9371-33743E038EB1}" srcOrd="1" destOrd="0" presId="urn:microsoft.com/office/officeart/2005/8/layout/orgChart1"/>
    <dgm:cxn modelId="{A96C8AC1-09F6-4FCB-92F5-D337FAE5A638}" type="presParOf" srcId="{BC907DDB-0AD2-46FC-9AEA-AC787FBF4440}" destId="{A7347C7F-EBEE-4435-96BF-82890A696142}" srcOrd="1" destOrd="0" presId="urn:microsoft.com/office/officeart/2005/8/layout/orgChart1"/>
    <dgm:cxn modelId="{D3746B43-7E1D-4C09-A974-AFB3CA58AEC3}" type="presParOf" srcId="{BC907DDB-0AD2-46FC-9AEA-AC787FBF4440}" destId="{2DC75CFD-B347-495C-9350-D288DA51B4BE}" srcOrd="2" destOrd="0" presId="urn:microsoft.com/office/officeart/2005/8/layout/orgChart1"/>
    <dgm:cxn modelId="{10D682CE-A26B-4B75-924E-2978A00B79EE}" type="presParOf" srcId="{B2AFE39B-3DB9-43F1-8630-11D74AFF8B46}" destId="{FEDD6E93-0040-4A1E-84D7-E13F48880E7D}" srcOrd="2" destOrd="0" presId="urn:microsoft.com/office/officeart/2005/8/layout/orgChart1"/>
    <dgm:cxn modelId="{CF51D500-F476-4DF6-B8CA-EDE8FDF67C33}" type="presParOf" srcId="{B2AFE39B-3DB9-43F1-8630-11D74AFF8B46}" destId="{B2D9566E-52E1-40C1-A83E-769DBA16BB6E}" srcOrd="3" destOrd="0" presId="urn:microsoft.com/office/officeart/2005/8/layout/orgChart1"/>
    <dgm:cxn modelId="{0FA6A3F5-F147-4335-B680-2E9862C25B6F}" type="presParOf" srcId="{B2D9566E-52E1-40C1-A83E-769DBA16BB6E}" destId="{9F0B99FB-54A9-475D-8223-E7EBC045ADA5}" srcOrd="0" destOrd="0" presId="urn:microsoft.com/office/officeart/2005/8/layout/orgChart1"/>
    <dgm:cxn modelId="{67DB9BDA-0278-4264-9F2F-FB8470FADC07}" type="presParOf" srcId="{9F0B99FB-54A9-475D-8223-E7EBC045ADA5}" destId="{AE55C48F-9CE5-427E-8DC3-EC1400B35EFB}" srcOrd="0" destOrd="0" presId="urn:microsoft.com/office/officeart/2005/8/layout/orgChart1"/>
    <dgm:cxn modelId="{A49EFA13-4E07-4C35-8360-F821AB1560CA}" type="presParOf" srcId="{9F0B99FB-54A9-475D-8223-E7EBC045ADA5}" destId="{0EF69A55-D160-498D-97DB-1ACBE7FD4185}" srcOrd="1" destOrd="0" presId="urn:microsoft.com/office/officeart/2005/8/layout/orgChart1"/>
    <dgm:cxn modelId="{EC4CA1EB-159A-4B09-BC65-AA5260648FB2}" type="presParOf" srcId="{B2D9566E-52E1-40C1-A83E-769DBA16BB6E}" destId="{5626C8D0-0376-4BFA-8CB0-A377FDE58AC8}" srcOrd="1" destOrd="0" presId="urn:microsoft.com/office/officeart/2005/8/layout/orgChart1"/>
    <dgm:cxn modelId="{0DD4419E-57B0-4D28-B51B-4135FBBA5E0B}" type="presParOf" srcId="{B2D9566E-52E1-40C1-A83E-769DBA16BB6E}" destId="{FD051EC5-D13B-4F5B-AFE1-76A6FE8D8E9E}" srcOrd="2" destOrd="0" presId="urn:microsoft.com/office/officeart/2005/8/layout/orgChart1"/>
    <dgm:cxn modelId="{CEA2B17B-B05F-4657-AB66-429B0A06D49F}" type="presParOf" srcId="{B2AFE39B-3DB9-43F1-8630-11D74AFF8B46}" destId="{6976E41F-C670-4A0C-B658-838435D99904}" srcOrd="4" destOrd="0" presId="urn:microsoft.com/office/officeart/2005/8/layout/orgChart1"/>
    <dgm:cxn modelId="{14F3174B-56C0-4EFF-B01B-A98B99F33C19}" type="presParOf" srcId="{B2AFE39B-3DB9-43F1-8630-11D74AFF8B46}" destId="{E1ECBA06-EB84-4F91-AC76-E617EBD2F146}" srcOrd="5" destOrd="0" presId="urn:microsoft.com/office/officeart/2005/8/layout/orgChart1"/>
    <dgm:cxn modelId="{E4610CCF-12DC-4AC9-B6CA-064BF69386C7}" type="presParOf" srcId="{E1ECBA06-EB84-4F91-AC76-E617EBD2F146}" destId="{3413566B-928F-4E10-9CD9-3DEC46FFF552}" srcOrd="0" destOrd="0" presId="urn:microsoft.com/office/officeart/2005/8/layout/orgChart1"/>
    <dgm:cxn modelId="{21EFCBC0-4FBF-40EB-9746-0B89B1FF7802}" type="presParOf" srcId="{3413566B-928F-4E10-9CD9-3DEC46FFF552}" destId="{DF368F48-B16C-49DC-A94A-74F71D4AB48D}" srcOrd="0" destOrd="0" presId="urn:microsoft.com/office/officeart/2005/8/layout/orgChart1"/>
    <dgm:cxn modelId="{179B7C75-9154-4EAB-B2A2-BE2EC279AAF9}" type="presParOf" srcId="{3413566B-928F-4E10-9CD9-3DEC46FFF552}" destId="{1B758743-6012-4E16-BBFB-E0AFF68458BA}" srcOrd="1" destOrd="0" presId="urn:microsoft.com/office/officeart/2005/8/layout/orgChart1"/>
    <dgm:cxn modelId="{FA9776E2-D110-467B-AC60-4A01F97B67A2}" type="presParOf" srcId="{E1ECBA06-EB84-4F91-AC76-E617EBD2F146}" destId="{C134AA8F-944E-4B25-9D98-7E0E7D58052C}" srcOrd="1" destOrd="0" presId="urn:microsoft.com/office/officeart/2005/8/layout/orgChart1"/>
    <dgm:cxn modelId="{18C89629-9412-4047-B261-44FF2C057370}" type="presParOf" srcId="{C134AA8F-944E-4B25-9D98-7E0E7D58052C}" destId="{127A99F8-93F1-47AD-BF5E-41F14A68934C}" srcOrd="0" destOrd="0" presId="urn:microsoft.com/office/officeart/2005/8/layout/orgChart1"/>
    <dgm:cxn modelId="{E7B0B708-6BF4-4241-9699-CE1D85B888D2}" type="presParOf" srcId="{C134AA8F-944E-4B25-9D98-7E0E7D58052C}" destId="{38030050-A64D-4362-9D08-017899BE5E78}" srcOrd="1" destOrd="0" presId="urn:microsoft.com/office/officeart/2005/8/layout/orgChart1"/>
    <dgm:cxn modelId="{472DC75D-82A7-4216-93AB-B757E82D1EC7}" type="presParOf" srcId="{38030050-A64D-4362-9D08-017899BE5E78}" destId="{06A5DF53-95DC-4550-956B-499C8BF131D3}" srcOrd="0" destOrd="0" presId="urn:microsoft.com/office/officeart/2005/8/layout/orgChart1"/>
    <dgm:cxn modelId="{F265968B-BCBF-4315-B7DA-C822D59094C8}" type="presParOf" srcId="{06A5DF53-95DC-4550-956B-499C8BF131D3}" destId="{54171430-8154-43DA-9016-4EEBD22ECFE3}" srcOrd="0" destOrd="0" presId="urn:microsoft.com/office/officeart/2005/8/layout/orgChart1"/>
    <dgm:cxn modelId="{5C5AB7F8-91F1-4F4D-B2EB-6542F3C98C9D}" type="presParOf" srcId="{06A5DF53-95DC-4550-956B-499C8BF131D3}" destId="{13470017-2EAD-4115-B05A-0EB5529D9E9E}" srcOrd="1" destOrd="0" presId="urn:microsoft.com/office/officeart/2005/8/layout/orgChart1"/>
    <dgm:cxn modelId="{3F24AEC7-5D28-4498-A197-DEE0D7CF29A2}" type="presParOf" srcId="{38030050-A64D-4362-9D08-017899BE5E78}" destId="{FF4993BC-4C0A-4B7E-801C-91DA6317ADAC}" srcOrd="1" destOrd="0" presId="urn:microsoft.com/office/officeart/2005/8/layout/orgChart1"/>
    <dgm:cxn modelId="{7F4ABC25-D52E-4381-BB7F-ED8AC34C000F}" type="presParOf" srcId="{38030050-A64D-4362-9D08-017899BE5E78}" destId="{82CAF022-739C-48DA-BDD9-FB2399014B70}" srcOrd="2" destOrd="0" presId="urn:microsoft.com/office/officeart/2005/8/layout/orgChart1"/>
    <dgm:cxn modelId="{2270C8F2-9AB5-404E-82F6-BDC7FF017D59}" type="presParOf" srcId="{C134AA8F-944E-4B25-9D98-7E0E7D58052C}" destId="{9B56920C-B2F4-42E0-8726-65D467D50864}" srcOrd="2" destOrd="0" presId="urn:microsoft.com/office/officeart/2005/8/layout/orgChart1"/>
    <dgm:cxn modelId="{FE1E6EA7-0191-4C29-A3CC-D6CB755167F5}" type="presParOf" srcId="{C134AA8F-944E-4B25-9D98-7E0E7D58052C}" destId="{E248B3A8-5AC1-4AC1-AFEB-EB3C88969B7F}" srcOrd="3" destOrd="0" presId="urn:microsoft.com/office/officeart/2005/8/layout/orgChart1"/>
    <dgm:cxn modelId="{BAC27E07-BEBC-4191-8290-1F41030A4B40}" type="presParOf" srcId="{E248B3A8-5AC1-4AC1-AFEB-EB3C88969B7F}" destId="{C34AD1E1-9FF9-4984-8877-5E56E9F19663}" srcOrd="0" destOrd="0" presId="urn:microsoft.com/office/officeart/2005/8/layout/orgChart1"/>
    <dgm:cxn modelId="{C4E9632D-FF26-432B-8030-C367A9743A78}" type="presParOf" srcId="{C34AD1E1-9FF9-4984-8877-5E56E9F19663}" destId="{638B5575-8510-45A8-B2D9-BF0F321A076F}" srcOrd="0" destOrd="0" presId="urn:microsoft.com/office/officeart/2005/8/layout/orgChart1"/>
    <dgm:cxn modelId="{46B95DEE-266F-4CB0-825C-10AE976EBE83}" type="presParOf" srcId="{C34AD1E1-9FF9-4984-8877-5E56E9F19663}" destId="{179A39D3-51FF-4BD5-ADD8-05CF438D0C66}" srcOrd="1" destOrd="0" presId="urn:microsoft.com/office/officeart/2005/8/layout/orgChart1"/>
    <dgm:cxn modelId="{DEF32DA2-5761-41CE-8320-CD7F1E152808}" type="presParOf" srcId="{E248B3A8-5AC1-4AC1-AFEB-EB3C88969B7F}" destId="{5746EC2F-188F-4C6A-BC04-CAA0C6732F8D}" srcOrd="1" destOrd="0" presId="urn:microsoft.com/office/officeart/2005/8/layout/orgChart1"/>
    <dgm:cxn modelId="{E9D86E92-2514-4D2E-8174-AE76DFBF0BD3}" type="presParOf" srcId="{E248B3A8-5AC1-4AC1-AFEB-EB3C88969B7F}" destId="{536DC230-8C88-4627-8F96-731C0ABCEAA6}" srcOrd="2" destOrd="0" presId="urn:microsoft.com/office/officeart/2005/8/layout/orgChart1"/>
    <dgm:cxn modelId="{5C41BAAF-0BC0-4823-81F1-CE5652513601}" type="presParOf" srcId="{C134AA8F-944E-4B25-9D98-7E0E7D58052C}" destId="{99C20357-F275-422B-871C-A73651821F2B}" srcOrd="4" destOrd="0" presId="urn:microsoft.com/office/officeart/2005/8/layout/orgChart1"/>
    <dgm:cxn modelId="{FCA4DE7A-5037-4870-82BE-D8DA7409EB61}" type="presParOf" srcId="{C134AA8F-944E-4B25-9D98-7E0E7D58052C}" destId="{7299291E-592A-4AB4-BB4A-EB7FA63FBFF1}" srcOrd="5" destOrd="0" presId="urn:microsoft.com/office/officeart/2005/8/layout/orgChart1"/>
    <dgm:cxn modelId="{C0934DF6-6F29-4099-83FE-E72FFDEFFB62}" type="presParOf" srcId="{7299291E-592A-4AB4-BB4A-EB7FA63FBFF1}" destId="{8C1CB6AA-CE8B-491F-AD67-0B676FBF1AB7}" srcOrd="0" destOrd="0" presId="urn:microsoft.com/office/officeart/2005/8/layout/orgChart1"/>
    <dgm:cxn modelId="{92772D8E-5A3C-4526-B82C-A49B0802A031}" type="presParOf" srcId="{8C1CB6AA-CE8B-491F-AD67-0B676FBF1AB7}" destId="{19033C3E-B9FA-4863-9180-BB9800E00DBB}" srcOrd="0" destOrd="0" presId="urn:microsoft.com/office/officeart/2005/8/layout/orgChart1"/>
    <dgm:cxn modelId="{24122BE5-E442-4AC4-A5C2-6B994DD8FFBA}" type="presParOf" srcId="{8C1CB6AA-CE8B-491F-AD67-0B676FBF1AB7}" destId="{7A582892-A861-42A9-8213-94197DFE03ED}" srcOrd="1" destOrd="0" presId="urn:microsoft.com/office/officeart/2005/8/layout/orgChart1"/>
    <dgm:cxn modelId="{ED97938C-9E13-4A93-839D-B93622FC8945}" type="presParOf" srcId="{7299291E-592A-4AB4-BB4A-EB7FA63FBFF1}" destId="{56745C90-9B0C-4B36-95C0-B59E7F18CDBF}" srcOrd="1" destOrd="0" presId="urn:microsoft.com/office/officeart/2005/8/layout/orgChart1"/>
    <dgm:cxn modelId="{26A6E305-2710-4065-916D-B8D24191C069}" type="presParOf" srcId="{7299291E-592A-4AB4-BB4A-EB7FA63FBFF1}" destId="{FE137884-7D85-45B8-AC9A-39339628E638}" srcOrd="2" destOrd="0" presId="urn:microsoft.com/office/officeart/2005/8/layout/orgChart1"/>
    <dgm:cxn modelId="{5FF928C6-CCEA-49E7-92D1-3E2D0AAC6605}" type="presParOf" srcId="{E1ECBA06-EB84-4F91-AC76-E617EBD2F146}" destId="{450DCFAD-83D4-4086-A947-9254D603B548}" srcOrd="2" destOrd="0" presId="urn:microsoft.com/office/officeart/2005/8/layout/orgChart1"/>
    <dgm:cxn modelId="{2D172A82-1BD9-4654-A9A4-E413A08A7615}" type="presParOf" srcId="{5414AD65-5EA5-4298-985E-AE34EBED05EF}" destId="{C7006E92-4C8D-450E-9DCF-0909B3735809}" srcOrd="2" destOrd="0" presId="urn:microsoft.com/office/officeart/2005/8/layout/orgChart1"/>
    <dgm:cxn modelId="{C702E81E-7571-495A-9A68-D31168A698C2}" type="presParOf" srcId="{1FBEA4F5-BC14-48E0-84A1-0AC60D97E733}" destId="{ADE6CFF6-12EC-4465-A78E-5DB7E0841EF7}" srcOrd="2" destOrd="0" presId="urn:microsoft.com/office/officeart/2005/8/layout/orgChart1"/>
    <dgm:cxn modelId="{DF12AEED-B9D5-425B-825A-C6002CE06957}" type="presParOf" srcId="{1FBEA4F5-BC14-48E0-84A1-0AC60D97E733}" destId="{F2E7DC6B-69C2-49E3-AC7E-B8E56925E113}" srcOrd="3" destOrd="0" presId="urn:microsoft.com/office/officeart/2005/8/layout/orgChart1"/>
    <dgm:cxn modelId="{922ACF18-C2A3-41DF-8253-3C6ED17697A4}" type="presParOf" srcId="{F2E7DC6B-69C2-49E3-AC7E-B8E56925E113}" destId="{5AE7EA5D-9B01-4A9A-A19F-E4F575E1F21F}" srcOrd="0" destOrd="0" presId="urn:microsoft.com/office/officeart/2005/8/layout/orgChart1"/>
    <dgm:cxn modelId="{5A57F300-6091-4ED1-8445-7354FF354DDB}" type="presParOf" srcId="{5AE7EA5D-9B01-4A9A-A19F-E4F575E1F21F}" destId="{192F4858-3366-4590-A59A-565465D13786}" srcOrd="0" destOrd="0" presId="urn:microsoft.com/office/officeart/2005/8/layout/orgChart1"/>
    <dgm:cxn modelId="{30B6A9CB-6159-4356-B6FB-EFCD11D1FEC5}" type="presParOf" srcId="{5AE7EA5D-9B01-4A9A-A19F-E4F575E1F21F}" destId="{A15177E2-6338-4889-BC32-FDBD70C3B1F7}" srcOrd="1" destOrd="0" presId="urn:microsoft.com/office/officeart/2005/8/layout/orgChart1"/>
    <dgm:cxn modelId="{F24B6D06-5F2C-4E5A-9361-C68007B407D3}" type="presParOf" srcId="{F2E7DC6B-69C2-49E3-AC7E-B8E56925E113}" destId="{675FC036-E329-47FB-88B9-B2D5512AE8AA}" srcOrd="1" destOrd="0" presId="urn:microsoft.com/office/officeart/2005/8/layout/orgChart1"/>
    <dgm:cxn modelId="{845CB01E-EA0B-4636-BBD2-DC92FD72C4CE}" type="presParOf" srcId="{F2E7DC6B-69C2-49E3-AC7E-B8E56925E113}" destId="{F9305A1E-78CB-48C7-985E-5A85C3FA883D}" srcOrd="2" destOrd="0" presId="urn:microsoft.com/office/officeart/2005/8/layout/orgChart1"/>
    <dgm:cxn modelId="{5F131733-BAF9-4949-9FA3-C16A4DDA9B9A}" type="presParOf" srcId="{1FBEA4F5-BC14-48E0-84A1-0AC60D97E733}" destId="{667817CF-2F4E-402D-9BA1-8CACAABAA11A}" srcOrd="4" destOrd="0" presId="urn:microsoft.com/office/officeart/2005/8/layout/orgChart1"/>
    <dgm:cxn modelId="{B0E73626-27F1-4469-86F2-58013C42E3EF}" type="presParOf" srcId="{1FBEA4F5-BC14-48E0-84A1-0AC60D97E733}" destId="{31223E5F-6785-4F40-A54C-FC14AD8F2BF0}" srcOrd="5" destOrd="0" presId="urn:microsoft.com/office/officeart/2005/8/layout/orgChart1"/>
    <dgm:cxn modelId="{AA02A3F6-D558-43AF-8A60-72DC78ED181F}" type="presParOf" srcId="{31223E5F-6785-4F40-A54C-FC14AD8F2BF0}" destId="{2AD73DBD-3140-41F2-A256-8AFD3EC63FDE}" srcOrd="0" destOrd="0" presId="urn:microsoft.com/office/officeart/2005/8/layout/orgChart1"/>
    <dgm:cxn modelId="{E4248E23-956B-4331-9ACF-3C6CD13802AA}" type="presParOf" srcId="{2AD73DBD-3140-41F2-A256-8AFD3EC63FDE}" destId="{421764DB-A460-4259-A9C6-DD3683E57819}" srcOrd="0" destOrd="0" presId="urn:microsoft.com/office/officeart/2005/8/layout/orgChart1"/>
    <dgm:cxn modelId="{0D96F1D8-4B40-4000-B0CB-843C73D74EB4}" type="presParOf" srcId="{2AD73DBD-3140-41F2-A256-8AFD3EC63FDE}" destId="{C88A06B1-53BA-4A75-A92E-E938D96E071F}" srcOrd="1" destOrd="0" presId="urn:microsoft.com/office/officeart/2005/8/layout/orgChart1"/>
    <dgm:cxn modelId="{786B53E5-1D30-49F1-B1D8-1181089F37E3}" type="presParOf" srcId="{31223E5F-6785-4F40-A54C-FC14AD8F2BF0}" destId="{DB43487B-22E9-4F22-98B5-C4E4D74D7A4D}" srcOrd="1" destOrd="0" presId="urn:microsoft.com/office/officeart/2005/8/layout/orgChart1"/>
    <dgm:cxn modelId="{EC56A278-087B-41CB-B156-B96DDBAB762A}" type="presParOf" srcId="{31223E5F-6785-4F40-A54C-FC14AD8F2BF0}" destId="{958F4C94-53E5-4E25-B3D9-5A2CE9590D95}" srcOrd="2" destOrd="0" presId="urn:microsoft.com/office/officeart/2005/8/layout/orgChart1"/>
    <dgm:cxn modelId="{7A96F594-BD0C-425F-9319-296791081AA7}" type="presParOf" srcId="{F14FAC25-71ED-4066-A50A-8408C8CD496D}" destId="{87675775-CD79-4CBD-8D6D-96C6AAB43D7C}" srcOrd="2" destOrd="0" presId="urn:microsoft.com/office/officeart/2005/8/layout/orgChart1"/>
    <dgm:cxn modelId="{25ACB2B4-42E9-4AB7-A44A-B0B87E147359}" type="presParOf" srcId="{2F3370B9-B731-4113-B70B-19669E842EE4}" destId="{0837338C-6472-443A-9113-526C23AB5AC1}" srcOrd="2" destOrd="0" presId="urn:microsoft.com/office/officeart/2005/8/layout/orgChart1"/>
    <dgm:cxn modelId="{43B27156-F917-4AED-82CA-B44D3622CDA9}" type="presParOf" srcId="{89B07E36-9DD1-4BA0-A780-2FFA68390BDE}" destId="{B60BDAC5-AF82-4007-957C-CF35C4519D03}"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67817CF-2F4E-402D-9BA1-8CACAABAA11A}">
      <dsp:nvSpPr>
        <dsp:cNvPr id="0" name=""/>
        <dsp:cNvSpPr/>
      </dsp:nvSpPr>
      <dsp:spPr>
        <a:xfrm>
          <a:off x="70686300" y="5271297"/>
          <a:ext cx="1316035" cy="228402"/>
        </a:xfrm>
        <a:custGeom>
          <a:avLst/>
          <a:gdLst/>
          <a:ahLst/>
          <a:cxnLst/>
          <a:rect l="0" t="0" r="0" b="0"/>
          <a:pathLst>
            <a:path>
              <a:moveTo>
                <a:pt x="0" y="0"/>
              </a:moveTo>
              <a:lnTo>
                <a:pt x="0" y="114201"/>
              </a:lnTo>
              <a:lnTo>
                <a:pt x="1316035" y="114201"/>
              </a:lnTo>
              <a:lnTo>
                <a:pt x="131603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E6CFF6-12EC-4465-A78E-5DB7E0841EF7}">
      <dsp:nvSpPr>
        <dsp:cNvPr id="0" name=""/>
        <dsp:cNvSpPr/>
      </dsp:nvSpPr>
      <dsp:spPr>
        <a:xfrm>
          <a:off x="70640580" y="5271297"/>
          <a:ext cx="91440" cy="228402"/>
        </a:xfrm>
        <a:custGeom>
          <a:avLst/>
          <a:gdLst/>
          <a:ahLst/>
          <a:cxnLst/>
          <a:rect l="0" t="0" r="0" b="0"/>
          <a:pathLst>
            <a:path>
              <a:moveTo>
                <a:pt x="45720" y="0"/>
              </a:moveTo>
              <a:lnTo>
                <a:pt x="4572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9C20357-F275-422B-871C-A73651821F2B}">
      <dsp:nvSpPr>
        <dsp:cNvPr id="0" name=""/>
        <dsp:cNvSpPr/>
      </dsp:nvSpPr>
      <dsp:spPr>
        <a:xfrm>
          <a:off x="70251247"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B56920C-B2F4-42E0-8726-65D467D50864}">
      <dsp:nvSpPr>
        <dsp:cNvPr id="0" name=""/>
        <dsp:cNvSpPr/>
      </dsp:nvSpPr>
      <dsp:spPr>
        <a:xfrm>
          <a:off x="70251247"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7A99F8-93F1-47AD-BF5E-41F14A68934C}">
      <dsp:nvSpPr>
        <dsp:cNvPr id="0" name=""/>
        <dsp:cNvSpPr/>
      </dsp:nvSpPr>
      <dsp:spPr>
        <a:xfrm>
          <a:off x="70251247"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976E41F-C670-4A0C-B658-838435D99904}">
      <dsp:nvSpPr>
        <dsp:cNvPr id="0" name=""/>
        <dsp:cNvSpPr/>
      </dsp:nvSpPr>
      <dsp:spPr>
        <a:xfrm>
          <a:off x="69370265" y="6043516"/>
          <a:ext cx="1316035" cy="228402"/>
        </a:xfrm>
        <a:custGeom>
          <a:avLst/>
          <a:gdLst/>
          <a:ahLst/>
          <a:cxnLst/>
          <a:rect l="0" t="0" r="0" b="0"/>
          <a:pathLst>
            <a:path>
              <a:moveTo>
                <a:pt x="0" y="0"/>
              </a:moveTo>
              <a:lnTo>
                <a:pt x="0" y="114201"/>
              </a:lnTo>
              <a:lnTo>
                <a:pt x="1316035" y="114201"/>
              </a:lnTo>
              <a:lnTo>
                <a:pt x="131603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DD6E93-0040-4A1E-84D7-E13F48880E7D}">
      <dsp:nvSpPr>
        <dsp:cNvPr id="0" name=""/>
        <dsp:cNvSpPr/>
      </dsp:nvSpPr>
      <dsp:spPr>
        <a:xfrm>
          <a:off x="69324545" y="6043516"/>
          <a:ext cx="91440" cy="228402"/>
        </a:xfrm>
        <a:custGeom>
          <a:avLst/>
          <a:gdLst/>
          <a:ahLst/>
          <a:cxnLst/>
          <a:rect l="0" t="0" r="0" b="0"/>
          <a:pathLst>
            <a:path>
              <a:moveTo>
                <a:pt x="45720" y="0"/>
              </a:moveTo>
              <a:lnTo>
                <a:pt x="4572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8705A5-FB11-4017-A147-2B7A004DB0B6}">
      <dsp:nvSpPr>
        <dsp:cNvPr id="0" name=""/>
        <dsp:cNvSpPr/>
      </dsp:nvSpPr>
      <dsp:spPr>
        <a:xfrm>
          <a:off x="68054229" y="6043516"/>
          <a:ext cx="1316035" cy="228402"/>
        </a:xfrm>
        <a:custGeom>
          <a:avLst/>
          <a:gdLst/>
          <a:ahLst/>
          <a:cxnLst/>
          <a:rect l="0" t="0" r="0" b="0"/>
          <a:pathLst>
            <a:path>
              <a:moveTo>
                <a:pt x="1316035" y="0"/>
              </a:moveTo>
              <a:lnTo>
                <a:pt x="131603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EFAF4D-C4E8-4445-861F-976AB4309935}">
      <dsp:nvSpPr>
        <dsp:cNvPr id="0" name=""/>
        <dsp:cNvSpPr/>
      </dsp:nvSpPr>
      <dsp:spPr>
        <a:xfrm>
          <a:off x="69370265" y="5271297"/>
          <a:ext cx="1316035" cy="228402"/>
        </a:xfrm>
        <a:custGeom>
          <a:avLst/>
          <a:gdLst/>
          <a:ahLst/>
          <a:cxnLst/>
          <a:rect l="0" t="0" r="0" b="0"/>
          <a:pathLst>
            <a:path>
              <a:moveTo>
                <a:pt x="1316035" y="0"/>
              </a:moveTo>
              <a:lnTo>
                <a:pt x="131603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F2C8068-5568-4FF9-BBDF-FA5E1EB5C39A}">
      <dsp:nvSpPr>
        <dsp:cNvPr id="0" name=""/>
        <dsp:cNvSpPr/>
      </dsp:nvSpPr>
      <dsp:spPr>
        <a:xfrm>
          <a:off x="65944222" y="4499078"/>
          <a:ext cx="4742077" cy="228402"/>
        </a:xfrm>
        <a:custGeom>
          <a:avLst/>
          <a:gdLst/>
          <a:ahLst/>
          <a:cxnLst/>
          <a:rect l="0" t="0" r="0" b="0"/>
          <a:pathLst>
            <a:path>
              <a:moveTo>
                <a:pt x="0" y="0"/>
              </a:moveTo>
              <a:lnTo>
                <a:pt x="0" y="114201"/>
              </a:lnTo>
              <a:lnTo>
                <a:pt x="4742077" y="114201"/>
              </a:lnTo>
              <a:lnTo>
                <a:pt x="474207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8FCBAC-C1E5-41DE-AEB2-A70ED40E7721}">
      <dsp:nvSpPr>
        <dsp:cNvPr id="0" name=""/>
        <dsp:cNvSpPr/>
      </dsp:nvSpPr>
      <dsp:spPr>
        <a:xfrm>
          <a:off x="66031233" y="5271297"/>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EA4BDD-C54D-4AA6-A4F2-F31D098BF093}">
      <dsp:nvSpPr>
        <dsp:cNvPr id="0" name=""/>
        <dsp:cNvSpPr/>
      </dsp:nvSpPr>
      <dsp:spPr>
        <a:xfrm>
          <a:off x="66031233"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24473A-4C44-4C48-B471-C873AA6FB3B9}">
      <dsp:nvSpPr>
        <dsp:cNvPr id="0" name=""/>
        <dsp:cNvSpPr/>
      </dsp:nvSpPr>
      <dsp:spPr>
        <a:xfrm>
          <a:off x="66031233"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EE440A7-E6F1-4F3C-B2B2-7DB7F1336163}">
      <dsp:nvSpPr>
        <dsp:cNvPr id="0" name=""/>
        <dsp:cNvSpPr/>
      </dsp:nvSpPr>
      <dsp:spPr>
        <a:xfrm>
          <a:off x="65944222" y="4499078"/>
          <a:ext cx="522063" cy="228402"/>
        </a:xfrm>
        <a:custGeom>
          <a:avLst/>
          <a:gdLst/>
          <a:ahLst/>
          <a:cxnLst/>
          <a:rect l="0" t="0" r="0" b="0"/>
          <a:pathLst>
            <a:path>
              <a:moveTo>
                <a:pt x="0" y="0"/>
              </a:moveTo>
              <a:lnTo>
                <a:pt x="0" y="114201"/>
              </a:lnTo>
              <a:lnTo>
                <a:pt x="522063" y="114201"/>
              </a:lnTo>
              <a:lnTo>
                <a:pt x="522063"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992878E-B780-4758-A483-094774ECB49E}">
      <dsp:nvSpPr>
        <dsp:cNvPr id="0" name=""/>
        <dsp:cNvSpPr/>
      </dsp:nvSpPr>
      <dsp:spPr>
        <a:xfrm>
          <a:off x="64715197" y="5271297"/>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E78C63-D7B3-490D-A69C-4495A39BD316}">
      <dsp:nvSpPr>
        <dsp:cNvPr id="0" name=""/>
        <dsp:cNvSpPr/>
      </dsp:nvSpPr>
      <dsp:spPr>
        <a:xfrm>
          <a:off x="64715197" y="5271297"/>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4B3D144-8886-490D-B804-A241F0A4CDE2}">
      <dsp:nvSpPr>
        <dsp:cNvPr id="0" name=""/>
        <dsp:cNvSpPr/>
      </dsp:nvSpPr>
      <dsp:spPr>
        <a:xfrm>
          <a:off x="64715197" y="5271297"/>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8A2908C-AE33-45DB-AA17-C1FD9A8F7E2E}">
      <dsp:nvSpPr>
        <dsp:cNvPr id="0" name=""/>
        <dsp:cNvSpPr/>
      </dsp:nvSpPr>
      <dsp:spPr>
        <a:xfrm>
          <a:off x="64715197"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FA8CB77-414D-483B-9C44-40A0E078455F}">
      <dsp:nvSpPr>
        <dsp:cNvPr id="0" name=""/>
        <dsp:cNvSpPr/>
      </dsp:nvSpPr>
      <dsp:spPr>
        <a:xfrm>
          <a:off x="64715197"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3E29DE-03EF-42EF-A5D2-B1E07132D616}">
      <dsp:nvSpPr>
        <dsp:cNvPr id="0" name=""/>
        <dsp:cNvSpPr/>
      </dsp:nvSpPr>
      <dsp:spPr>
        <a:xfrm>
          <a:off x="65150250" y="4499078"/>
          <a:ext cx="793971" cy="228402"/>
        </a:xfrm>
        <a:custGeom>
          <a:avLst/>
          <a:gdLst/>
          <a:ahLst/>
          <a:cxnLst/>
          <a:rect l="0" t="0" r="0" b="0"/>
          <a:pathLst>
            <a:path>
              <a:moveTo>
                <a:pt x="793971" y="0"/>
              </a:moveTo>
              <a:lnTo>
                <a:pt x="793971"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9DFC1B-2768-43BA-A1BB-CDBB86B36548}">
      <dsp:nvSpPr>
        <dsp:cNvPr id="0" name=""/>
        <dsp:cNvSpPr/>
      </dsp:nvSpPr>
      <dsp:spPr>
        <a:xfrm>
          <a:off x="63399162" y="5271297"/>
          <a:ext cx="163144" cy="1316301"/>
        </a:xfrm>
        <a:custGeom>
          <a:avLst/>
          <a:gdLst/>
          <a:ahLst/>
          <a:cxnLst/>
          <a:rect l="0" t="0" r="0" b="0"/>
          <a:pathLst>
            <a:path>
              <a:moveTo>
                <a:pt x="0" y="0"/>
              </a:moveTo>
              <a:lnTo>
                <a:pt x="0" y="1316301"/>
              </a:lnTo>
              <a:lnTo>
                <a:pt x="163144" y="131630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1E6BBB7-A625-4ADE-8223-1A2E3AE27A2C}">
      <dsp:nvSpPr>
        <dsp:cNvPr id="0" name=""/>
        <dsp:cNvSpPr/>
      </dsp:nvSpPr>
      <dsp:spPr>
        <a:xfrm>
          <a:off x="63399162"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9AE65A-CAB1-4D19-AE62-B3D7E92797E1}">
      <dsp:nvSpPr>
        <dsp:cNvPr id="0" name=""/>
        <dsp:cNvSpPr/>
      </dsp:nvSpPr>
      <dsp:spPr>
        <a:xfrm>
          <a:off x="63834215" y="4499078"/>
          <a:ext cx="2110007" cy="228402"/>
        </a:xfrm>
        <a:custGeom>
          <a:avLst/>
          <a:gdLst/>
          <a:ahLst/>
          <a:cxnLst/>
          <a:rect l="0" t="0" r="0" b="0"/>
          <a:pathLst>
            <a:path>
              <a:moveTo>
                <a:pt x="2110007" y="0"/>
              </a:moveTo>
              <a:lnTo>
                <a:pt x="211000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BC0D12-6B65-4BF2-9834-AB748AAAB8E1}">
      <dsp:nvSpPr>
        <dsp:cNvPr id="0" name=""/>
        <dsp:cNvSpPr/>
      </dsp:nvSpPr>
      <dsp:spPr>
        <a:xfrm>
          <a:off x="62083127" y="5271297"/>
          <a:ext cx="163144" cy="2080312"/>
        </a:xfrm>
        <a:custGeom>
          <a:avLst/>
          <a:gdLst/>
          <a:ahLst/>
          <a:cxnLst/>
          <a:rect l="0" t="0" r="0" b="0"/>
          <a:pathLst>
            <a:path>
              <a:moveTo>
                <a:pt x="0" y="0"/>
              </a:moveTo>
              <a:lnTo>
                <a:pt x="0" y="2080312"/>
              </a:lnTo>
              <a:lnTo>
                <a:pt x="163144" y="208031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D56647-0FCA-4F3C-BE6C-CE7F5C51FC7E}">
      <dsp:nvSpPr>
        <dsp:cNvPr id="0" name=""/>
        <dsp:cNvSpPr/>
      </dsp:nvSpPr>
      <dsp:spPr>
        <a:xfrm>
          <a:off x="62083127"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2C13966-589B-4BC9-BE9F-9DEE509E836E}">
      <dsp:nvSpPr>
        <dsp:cNvPr id="0" name=""/>
        <dsp:cNvSpPr/>
      </dsp:nvSpPr>
      <dsp:spPr>
        <a:xfrm>
          <a:off x="62083127"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432E768-364B-4D59-9176-C145B266D4ED}">
      <dsp:nvSpPr>
        <dsp:cNvPr id="0" name=""/>
        <dsp:cNvSpPr/>
      </dsp:nvSpPr>
      <dsp:spPr>
        <a:xfrm>
          <a:off x="62518180" y="4499078"/>
          <a:ext cx="3426042" cy="228402"/>
        </a:xfrm>
        <a:custGeom>
          <a:avLst/>
          <a:gdLst/>
          <a:ahLst/>
          <a:cxnLst/>
          <a:rect l="0" t="0" r="0" b="0"/>
          <a:pathLst>
            <a:path>
              <a:moveTo>
                <a:pt x="3426042" y="0"/>
              </a:moveTo>
              <a:lnTo>
                <a:pt x="3426042"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5FC1520-B4A4-4A07-8F1B-5355869B328D}">
      <dsp:nvSpPr>
        <dsp:cNvPr id="0" name=""/>
        <dsp:cNvSpPr/>
      </dsp:nvSpPr>
      <dsp:spPr>
        <a:xfrm>
          <a:off x="60767091"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331313-CB57-4BAD-A372-DD7BC03AA098}">
      <dsp:nvSpPr>
        <dsp:cNvPr id="0" name=""/>
        <dsp:cNvSpPr/>
      </dsp:nvSpPr>
      <dsp:spPr>
        <a:xfrm>
          <a:off x="60767091"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EC269F-A518-4DB2-A3B6-57B2836FC95A}">
      <dsp:nvSpPr>
        <dsp:cNvPr id="0" name=""/>
        <dsp:cNvSpPr/>
      </dsp:nvSpPr>
      <dsp:spPr>
        <a:xfrm>
          <a:off x="61202144" y="4499078"/>
          <a:ext cx="4742077" cy="228402"/>
        </a:xfrm>
        <a:custGeom>
          <a:avLst/>
          <a:gdLst/>
          <a:ahLst/>
          <a:cxnLst/>
          <a:rect l="0" t="0" r="0" b="0"/>
          <a:pathLst>
            <a:path>
              <a:moveTo>
                <a:pt x="4742077" y="0"/>
              </a:moveTo>
              <a:lnTo>
                <a:pt x="474207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614CBE-DD86-4E59-9682-DA91C48018A5}">
      <dsp:nvSpPr>
        <dsp:cNvPr id="0" name=""/>
        <dsp:cNvSpPr/>
      </dsp:nvSpPr>
      <dsp:spPr>
        <a:xfrm>
          <a:off x="39165747" y="3726859"/>
          <a:ext cx="26778475" cy="228402"/>
        </a:xfrm>
        <a:custGeom>
          <a:avLst/>
          <a:gdLst/>
          <a:ahLst/>
          <a:cxnLst/>
          <a:rect l="0" t="0" r="0" b="0"/>
          <a:pathLst>
            <a:path>
              <a:moveTo>
                <a:pt x="0" y="0"/>
              </a:moveTo>
              <a:lnTo>
                <a:pt x="0" y="114201"/>
              </a:lnTo>
              <a:lnTo>
                <a:pt x="26778475" y="114201"/>
              </a:lnTo>
              <a:lnTo>
                <a:pt x="26778475" y="228402"/>
              </a:lnTo>
            </a:path>
          </a:pathLst>
        </a:custGeom>
        <a:noFill/>
        <a:ln w="12700" cap="flat" cmpd="sng" algn="ctr">
          <a:solidFill>
            <a:scrgbClr r="0" g="0" b="0"/>
          </a:solidFill>
          <a:prstDash val="dash"/>
          <a:miter lim="800000"/>
        </a:ln>
        <a:effectLst/>
      </dsp:spPr>
      <dsp:style>
        <a:lnRef idx="2">
          <a:scrgbClr r="0" g="0" b="0"/>
        </a:lnRef>
        <a:fillRef idx="0">
          <a:scrgbClr r="0" g="0" b="0"/>
        </a:fillRef>
        <a:effectRef idx="0">
          <a:scrgbClr r="0" g="0" b="0"/>
        </a:effectRef>
        <a:fontRef idx="minor"/>
      </dsp:style>
    </dsp:sp>
    <dsp:sp modelId="{52EB44A8-D86C-4A60-AA66-2446B7A2D5DB}">
      <dsp:nvSpPr>
        <dsp:cNvPr id="0" name=""/>
        <dsp:cNvSpPr/>
      </dsp:nvSpPr>
      <dsp:spPr>
        <a:xfrm>
          <a:off x="59451056" y="5271297"/>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EC63808-B31A-42D7-BE2A-FFE1642AC0FD}">
      <dsp:nvSpPr>
        <dsp:cNvPr id="0" name=""/>
        <dsp:cNvSpPr/>
      </dsp:nvSpPr>
      <dsp:spPr>
        <a:xfrm>
          <a:off x="59451056" y="5271297"/>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28DB9E-DF78-41F0-99ED-101E16408083}">
      <dsp:nvSpPr>
        <dsp:cNvPr id="0" name=""/>
        <dsp:cNvSpPr/>
      </dsp:nvSpPr>
      <dsp:spPr>
        <a:xfrm>
          <a:off x="59451056" y="5271297"/>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B26ACF-7AC8-4311-881C-70265A591D7B}">
      <dsp:nvSpPr>
        <dsp:cNvPr id="0" name=""/>
        <dsp:cNvSpPr/>
      </dsp:nvSpPr>
      <dsp:spPr>
        <a:xfrm>
          <a:off x="59451056"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7D2D24-324C-4E8A-9193-A67B8CC49E8D}">
      <dsp:nvSpPr>
        <dsp:cNvPr id="0" name=""/>
        <dsp:cNvSpPr/>
      </dsp:nvSpPr>
      <dsp:spPr>
        <a:xfrm>
          <a:off x="59451056"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91C223-C1D8-401A-B058-4E32FFA782E3}">
      <dsp:nvSpPr>
        <dsp:cNvPr id="0" name=""/>
        <dsp:cNvSpPr/>
      </dsp:nvSpPr>
      <dsp:spPr>
        <a:xfrm>
          <a:off x="39507331" y="4499078"/>
          <a:ext cx="20378777" cy="228402"/>
        </a:xfrm>
        <a:custGeom>
          <a:avLst/>
          <a:gdLst/>
          <a:ahLst/>
          <a:cxnLst/>
          <a:rect l="0" t="0" r="0" b="0"/>
          <a:pathLst>
            <a:path>
              <a:moveTo>
                <a:pt x="0" y="0"/>
              </a:moveTo>
              <a:lnTo>
                <a:pt x="0" y="114201"/>
              </a:lnTo>
              <a:lnTo>
                <a:pt x="20378777" y="114201"/>
              </a:lnTo>
              <a:lnTo>
                <a:pt x="2037877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8C93EF-74BA-4B1F-AAA1-3AF4D02FF508}">
      <dsp:nvSpPr>
        <dsp:cNvPr id="0" name=""/>
        <dsp:cNvSpPr/>
      </dsp:nvSpPr>
      <dsp:spPr>
        <a:xfrm>
          <a:off x="39507331" y="4499078"/>
          <a:ext cx="19062742" cy="228402"/>
        </a:xfrm>
        <a:custGeom>
          <a:avLst/>
          <a:gdLst/>
          <a:ahLst/>
          <a:cxnLst/>
          <a:rect l="0" t="0" r="0" b="0"/>
          <a:pathLst>
            <a:path>
              <a:moveTo>
                <a:pt x="0" y="0"/>
              </a:moveTo>
              <a:lnTo>
                <a:pt x="0" y="114201"/>
              </a:lnTo>
              <a:lnTo>
                <a:pt x="19062742" y="114201"/>
              </a:lnTo>
              <a:lnTo>
                <a:pt x="19062742"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C7214AC-AC94-49EA-BD45-65AD1A639557}">
      <dsp:nvSpPr>
        <dsp:cNvPr id="0" name=""/>
        <dsp:cNvSpPr/>
      </dsp:nvSpPr>
      <dsp:spPr>
        <a:xfrm>
          <a:off x="58135021" y="6178980"/>
          <a:ext cx="163144" cy="5666565"/>
        </a:xfrm>
        <a:custGeom>
          <a:avLst/>
          <a:gdLst/>
          <a:ahLst/>
          <a:cxnLst/>
          <a:rect l="0" t="0" r="0" b="0"/>
          <a:pathLst>
            <a:path>
              <a:moveTo>
                <a:pt x="0" y="0"/>
              </a:moveTo>
              <a:lnTo>
                <a:pt x="0" y="5666565"/>
              </a:lnTo>
              <a:lnTo>
                <a:pt x="163144" y="566656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E4797E-7647-4EC8-A4F9-09D0083E8476}">
      <dsp:nvSpPr>
        <dsp:cNvPr id="0" name=""/>
        <dsp:cNvSpPr/>
      </dsp:nvSpPr>
      <dsp:spPr>
        <a:xfrm>
          <a:off x="58135021" y="6178980"/>
          <a:ext cx="163144" cy="4839964"/>
        </a:xfrm>
        <a:custGeom>
          <a:avLst/>
          <a:gdLst/>
          <a:ahLst/>
          <a:cxnLst/>
          <a:rect l="0" t="0" r="0" b="0"/>
          <a:pathLst>
            <a:path>
              <a:moveTo>
                <a:pt x="0" y="0"/>
              </a:moveTo>
              <a:lnTo>
                <a:pt x="0" y="4839964"/>
              </a:lnTo>
              <a:lnTo>
                <a:pt x="163144" y="48399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5EBA352-26AB-435E-8869-FCED05DD467B}">
      <dsp:nvSpPr>
        <dsp:cNvPr id="0" name=""/>
        <dsp:cNvSpPr/>
      </dsp:nvSpPr>
      <dsp:spPr>
        <a:xfrm>
          <a:off x="58135021" y="6178980"/>
          <a:ext cx="163144" cy="4013364"/>
        </a:xfrm>
        <a:custGeom>
          <a:avLst/>
          <a:gdLst/>
          <a:ahLst/>
          <a:cxnLst/>
          <a:rect l="0" t="0" r="0" b="0"/>
          <a:pathLst>
            <a:path>
              <a:moveTo>
                <a:pt x="0" y="0"/>
              </a:moveTo>
              <a:lnTo>
                <a:pt x="0" y="4013364"/>
              </a:lnTo>
              <a:lnTo>
                <a:pt x="163144" y="40133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6561B9C-A2AE-4E6A-BEAB-F2F46E25A233}">
      <dsp:nvSpPr>
        <dsp:cNvPr id="0" name=""/>
        <dsp:cNvSpPr/>
      </dsp:nvSpPr>
      <dsp:spPr>
        <a:xfrm>
          <a:off x="58135021" y="6178980"/>
          <a:ext cx="163144" cy="3186763"/>
        </a:xfrm>
        <a:custGeom>
          <a:avLst/>
          <a:gdLst/>
          <a:ahLst/>
          <a:cxnLst/>
          <a:rect l="0" t="0" r="0" b="0"/>
          <a:pathLst>
            <a:path>
              <a:moveTo>
                <a:pt x="0" y="0"/>
              </a:moveTo>
              <a:lnTo>
                <a:pt x="0" y="3186763"/>
              </a:lnTo>
              <a:lnTo>
                <a:pt x="163144" y="31867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B3FDB1-5072-43AC-B594-5884596CB368}">
      <dsp:nvSpPr>
        <dsp:cNvPr id="0" name=""/>
        <dsp:cNvSpPr/>
      </dsp:nvSpPr>
      <dsp:spPr>
        <a:xfrm>
          <a:off x="58135021" y="6178980"/>
          <a:ext cx="163144" cy="2330252"/>
        </a:xfrm>
        <a:custGeom>
          <a:avLst/>
          <a:gdLst/>
          <a:ahLst/>
          <a:cxnLst/>
          <a:rect l="0" t="0" r="0" b="0"/>
          <a:pathLst>
            <a:path>
              <a:moveTo>
                <a:pt x="0" y="0"/>
              </a:moveTo>
              <a:lnTo>
                <a:pt x="0" y="2330252"/>
              </a:lnTo>
              <a:lnTo>
                <a:pt x="163144" y="233025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50BCB8C-D4BB-4939-9846-51267CF004C5}">
      <dsp:nvSpPr>
        <dsp:cNvPr id="0" name=""/>
        <dsp:cNvSpPr/>
      </dsp:nvSpPr>
      <dsp:spPr>
        <a:xfrm>
          <a:off x="58135021" y="6178980"/>
          <a:ext cx="163144" cy="1443832"/>
        </a:xfrm>
        <a:custGeom>
          <a:avLst/>
          <a:gdLst/>
          <a:ahLst/>
          <a:cxnLst/>
          <a:rect l="0" t="0" r="0" b="0"/>
          <a:pathLst>
            <a:path>
              <a:moveTo>
                <a:pt x="0" y="0"/>
              </a:moveTo>
              <a:lnTo>
                <a:pt x="0" y="1443832"/>
              </a:lnTo>
              <a:lnTo>
                <a:pt x="163144" y="14438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5F5579-ABE5-4F7D-B6BF-CC1E5CDA7F97}">
      <dsp:nvSpPr>
        <dsp:cNvPr id="0" name=""/>
        <dsp:cNvSpPr/>
      </dsp:nvSpPr>
      <dsp:spPr>
        <a:xfrm>
          <a:off x="58135021" y="6178980"/>
          <a:ext cx="163144" cy="557411"/>
        </a:xfrm>
        <a:custGeom>
          <a:avLst/>
          <a:gdLst/>
          <a:ahLst/>
          <a:cxnLst/>
          <a:rect l="0" t="0" r="0" b="0"/>
          <a:pathLst>
            <a:path>
              <a:moveTo>
                <a:pt x="0" y="0"/>
              </a:moveTo>
              <a:lnTo>
                <a:pt x="0" y="557411"/>
              </a:lnTo>
              <a:lnTo>
                <a:pt x="163144" y="55741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9AE64B-A0A0-40CF-AB09-CF2E7B999D6D}">
      <dsp:nvSpPr>
        <dsp:cNvPr id="0" name=""/>
        <dsp:cNvSpPr/>
      </dsp:nvSpPr>
      <dsp:spPr>
        <a:xfrm>
          <a:off x="57254038" y="5271297"/>
          <a:ext cx="1316035" cy="228402"/>
        </a:xfrm>
        <a:custGeom>
          <a:avLst/>
          <a:gdLst/>
          <a:ahLst/>
          <a:cxnLst/>
          <a:rect l="0" t="0" r="0" b="0"/>
          <a:pathLst>
            <a:path>
              <a:moveTo>
                <a:pt x="0" y="0"/>
              </a:moveTo>
              <a:lnTo>
                <a:pt x="0" y="114201"/>
              </a:lnTo>
              <a:lnTo>
                <a:pt x="1316035" y="114201"/>
              </a:lnTo>
              <a:lnTo>
                <a:pt x="131603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FE459A3-51E3-41BB-917D-6B5B5E0D7FA1}">
      <dsp:nvSpPr>
        <dsp:cNvPr id="0" name=""/>
        <dsp:cNvSpPr/>
      </dsp:nvSpPr>
      <dsp:spPr>
        <a:xfrm>
          <a:off x="56818985" y="6178980"/>
          <a:ext cx="163144" cy="3037213"/>
        </a:xfrm>
        <a:custGeom>
          <a:avLst/>
          <a:gdLst/>
          <a:ahLst/>
          <a:cxnLst/>
          <a:rect l="0" t="0" r="0" b="0"/>
          <a:pathLst>
            <a:path>
              <a:moveTo>
                <a:pt x="0" y="0"/>
              </a:moveTo>
              <a:lnTo>
                <a:pt x="0" y="3037213"/>
              </a:lnTo>
              <a:lnTo>
                <a:pt x="163144" y="303721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A79307-9AD3-4841-BB2D-13701BCBDB8E}">
      <dsp:nvSpPr>
        <dsp:cNvPr id="0" name=""/>
        <dsp:cNvSpPr/>
      </dsp:nvSpPr>
      <dsp:spPr>
        <a:xfrm>
          <a:off x="56818985" y="6178980"/>
          <a:ext cx="163144" cy="2180703"/>
        </a:xfrm>
        <a:custGeom>
          <a:avLst/>
          <a:gdLst/>
          <a:ahLst/>
          <a:cxnLst/>
          <a:rect l="0" t="0" r="0" b="0"/>
          <a:pathLst>
            <a:path>
              <a:moveTo>
                <a:pt x="0" y="0"/>
              </a:moveTo>
              <a:lnTo>
                <a:pt x="0" y="2180703"/>
              </a:lnTo>
              <a:lnTo>
                <a:pt x="163144" y="218070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A2C80D-81D2-4B73-855B-60384CD56480}">
      <dsp:nvSpPr>
        <dsp:cNvPr id="0" name=""/>
        <dsp:cNvSpPr/>
      </dsp:nvSpPr>
      <dsp:spPr>
        <a:xfrm>
          <a:off x="56818985" y="6178980"/>
          <a:ext cx="163144" cy="1354102"/>
        </a:xfrm>
        <a:custGeom>
          <a:avLst/>
          <a:gdLst/>
          <a:ahLst/>
          <a:cxnLst/>
          <a:rect l="0" t="0" r="0" b="0"/>
          <a:pathLst>
            <a:path>
              <a:moveTo>
                <a:pt x="0" y="0"/>
              </a:moveTo>
              <a:lnTo>
                <a:pt x="0" y="1354102"/>
              </a:lnTo>
              <a:lnTo>
                <a:pt x="163144" y="13541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AE3BC52-4F8F-4707-9276-2663F5C93648}">
      <dsp:nvSpPr>
        <dsp:cNvPr id="0" name=""/>
        <dsp:cNvSpPr/>
      </dsp:nvSpPr>
      <dsp:spPr>
        <a:xfrm>
          <a:off x="56818985" y="6178980"/>
          <a:ext cx="163144" cy="527501"/>
        </a:xfrm>
        <a:custGeom>
          <a:avLst/>
          <a:gdLst/>
          <a:ahLst/>
          <a:cxnLst/>
          <a:rect l="0" t="0" r="0" b="0"/>
          <a:pathLst>
            <a:path>
              <a:moveTo>
                <a:pt x="0" y="0"/>
              </a:moveTo>
              <a:lnTo>
                <a:pt x="0" y="527501"/>
              </a:lnTo>
              <a:lnTo>
                <a:pt x="163144" y="52750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A01E72-60B8-4EBB-8601-00F8976FEB69}">
      <dsp:nvSpPr>
        <dsp:cNvPr id="0" name=""/>
        <dsp:cNvSpPr/>
      </dsp:nvSpPr>
      <dsp:spPr>
        <a:xfrm>
          <a:off x="57208318" y="5271297"/>
          <a:ext cx="91440" cy="228402"/>
        </a:xfrm>
        <a:custGeom>
          <a:avLst/>
          <a:gdLst/>
          <a:ahLst/>
          <a:cxnLst/>
          <a:rect l="0" t="0" r="0" b="0"/>
          <a:pathLst>
            <a:path>
              <a:moveTo>
                <a:pt x="45720" y="0"/>
              </a:moveTo>
              <a:lnTo>
                <a:pt x="4572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E55FD0-6333-4A23-A7E6-616002C228DD}">
      <dsp:nvSpPr>
        <dsp:cNvPr id="0" name=""/>
        <dsp:cNvSpPr/>
      </dsp:nvSpPr>
      <dsp:spPr>
        <a:xfrm>
          <a:off x="55502950" y="6155004"/>
          <a:ext cx="163144" cy="1326925"/>
        </a:xfrm>
        <a:custGeom>
          <a:avLst/>
          <a:gdLst/>
          <a:ahLst/>
          <a:cxnLst/>
          <a:rect l="0" t="0" r="0" b="0"/>
          <a:pathLst>
            <a:path>
              <a:moveTo>
                <a:pt x="0" y="0"/>
              </a:moveTo>
              <a:lnTo>
                <a:pt x="0" y="1326925"/>
              </a:lnTo>
              <a:lnTo>
                <a:pt x="163144" y="132692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5E8AD3-FF86-411F-B283-EDE8FC240662}">
      <dsp:nvSpPr>
        <dsp:cNvPr id="0" name=""/>
        <dsp:cNvSpPr/>
      </dsp:nvSpPr>
      <dsp:spPr>
        <a:xfrm>
          <a:off x="55502950" y="6155004"/>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0027C9-0F51-47B1-B7AE-AB087BDF3D25}">
      <dsp:nvSpPr>
        <dsp:cNvPr id="0" name=""/>
        <dsp:cNvSpPr/>
      </dsp:nvSpPr>
      <dsp:spPr>
        <a:xfrm>
          <a:off x="55938003" y="5271297"/>
          <a:ext cx="1316035" cy="228402"/>
        </a:xfrm>
        <a:custGeom>
          <a:avLst/>
          <a:gdLst/>
          <a:ahLst/>
          <a:cxnLst/>
          <a:rect l="0" t="0" r="0" b="0"/>
          <a:pathLst>
            <a:path>
              <a:moveTo>
                <a:pt x="1316035" y="0"/>
              </a:moveTo>
              <a:lnTo>
                <a:pt x="131603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C486B5-5A6E-4458-9FE1-FC25DEF5AB26}">
      <dsp:nvSpPr>
        <dsp:cNvPr id="0" name=""/>
        <dsp:cNvSpPr/>
      </dsp:nvSpPr>
      <dsp:spPr>
        <a:xfrm>
          <a:off x="39507331" y="4499078"/>
          <a:ext cx="17746707" cy="228402"/>
        </a:xfrm>
        <a:custGeom>
          <a:avLst/>
          <a:gdLst/>
          <a:ahLst/>
          <a:cxnLst/>
          <a:rect l="0" t="0" r="0" b="0"/>
          <a:pathLst>
            <a:path>
              <a:moveTo>
                <a:pt x="0" y="0"/>
              </a:moveTo>
              <a:lnTo>
                <a:pt x="0" y="114201"/>
              </a:lnTo>
              <a:lnTo>
                <a:pt x="17746707" y="114201"/>
              </a:lnTo>
              <a:lnTo>
                <a:pt x="1774670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F38661-A6B2-4DC9-AB6D-B511EF4C168D}">
      <dsp:nvSpPr>
        <dsp:cNvPr id="0" name=""/>
        <dsp:cNvSpPr/>
      </dsp:nvSpPr>
      <dsp:spPr>
        <a:xfrm>
          <a:off x="54186915" y="6043516"/>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ABBDCB9-693A-410D-B0B7-1CC6965C59E5}">
      <dsp:nvSpPr>
        <dsp:cNvPr id="0" name=""/>
        <dsp:cNvSpPr/>
      </dsp:nvSpPr>
      <dsp:spPr>
        <a:xfrm>
          <a:off x="54186915" y="6043516"/>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5A7CD2-64C1-4C17-AC31-5E7A4264AAD7}">
      <dsp:nvSpPr>
        <dsp:cNvPr id="0" name=""/>
        <dsp:cNvSpPr/>
      </dsp:nvSpPr>
      <dsp:spPr>
        <a:xfrm>
          <a:off x="46054142" y="5271297"/>
          <a:ext cx="8567825" cy="228402"/>
        </a:xfrm>
        <a:custGeom>
          <a:avLst/>
          <a:gdLst/>
          <a:ahLst/>
          <a:cxnLst/>
          <a:rect l="0" t="0" r="0" b="0"/>
          <a:pathLst>
            <a:path>
              <a:moveTo>
                <a:pt x="0" y="0"/>
              </a:moveTo>
              <a:lnTo>
                <a:pt x="0" y="114201"/>
              </a:lnTo>
              <a:lnTo>
                <a:pt x="8567825" y="114201"/>
              </a:lnTo>
              <a:lnTo>
                <a:pt x="856782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59BEBA-C59D-4E80-8D2D-3C5854F0BE81}">
      <dsp:nvSpPr>
        <dsp:cNvPr id="0" name=""/>
        <dsp:cNvSpPr/>
      </dsp:nvSpPr>
      <dsp:spPr>
        <a:xfrm>
          <a:off x="51603787" y="6815735"/>
          <a:ext cx="1974053" cy="228402"/>
        </a:xfrm>
        <a:custGeom>
          <a:avLst/>
          <a:gdLst/>
          <a:ahLst/>
          <a:cxnLst/>
          <a:rect l="0" t="0" r="0" b="0"/>
          <a:pathLst>
            <a:path>
              <a:moveTo>
                <a:pt x="0" y="0"/>
              </a:moveTo>
              <a:lnTo>
                <a:pt x="0" y="114201"/>
              </a:lnTo>
              <a:lnTo>
                <a:pt x="1974053" y="114201"/>
              </a:lnTo>
              <a:lnTo>
                <a:pt x="1974053"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8C2E6B8-E3AE-4617-A181-CB5ABCD60D5F}">
      <dsp:nvSpPr>
        <dsp:cNvPr id="0" name=""/>
        <dsp:cNvSpPr/>
      </dsp:nvSpPr>
      <dsp:spPr>
        <a:xfrm>
          <a:off x="51603787" y="6815735"/>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45BF6A-6960-49F0-8041-5EBEF17637E2}">
      <dsp:nvSpPr>
        <dsp:cNvPr id="0" name=""/>
        <dsp:cNvSpPr/>
      </dsp:nvSpPr>
      <dsp:spPr>
        <a:xfrm>
          <a:off x="50510717" y="7587954"/>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72E93C-C638-4C95-9DCC-102BCF6BFBF3}">
      <dsp:nvSpPr>
        <dsp:cNvPr id="0" name=""/>
        <dsp:cNvSpPr/>
      </dsp:nvSpPr>
      <dsp:spPr>
        <a:xfrm>
          <a:off x="50510717" y="7587954"/>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EA52F7-F3A0-4E14-9844-C65F5C18BAC5}">
      <dsp:nvSpPr>
        <dsp:cNvPr id="0" name=""/>
        <dsp:cNvSpPr/>
      </dsp:nvSpPr>
      <dsp:spPr>
        <a:xfrm>
          <a:off x="50945770" y="6815735"/>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578676-33F1-41ED-A77E-E090647D4659}">
      <dsp:nvSpPr>
        <dsp:cNvPr id="0" name=""/>
        <dsp:cNvSpPr/>
      </dsp:nvSpPr>
      <dsp:spPr>
        <a:xfrm>
          <a:off x="49629734" y="6815735"/>
          <a:ext cx="1974053" cy="228402"/>
        </a:xfrm>
        <a:custGeom>
          <a:avLst/>
          <a:gdLst/>
          <a:ahLst/>
          <a:cxnLst/>
          <a:rect l="0" t="0" r="0" b="0"/>
          <a:pathLst>
            <a:path>
              <a:moveTo>
                <a:pt x="1974053" y="0"/>
              </a:moveTo>
              <a:lnTo>
                <a:pt x="1974053"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19AD59-CC20-48C4-B2F1-42A124F02962}">
      <dsp:nvSpPr>
        <dsp:cNvPr id="0" name=""/>
        <dsp:cNvSpPr/>
      </dsp:nvSpPr>
      <dsp:spPr>
        <a:xfrm>
          <a:off x="49809194" y="6043516"/>
          <a:ext cx="1794593" cy="228402"/>
        </a:xfrm>
        <a:custGeom>
          <a:avLst/>
          <a:gdLst/>
          <a:ahLst/>
          <a:cxnLst/>
          <a:rect l="0" t="0" r="0" b="0"/>
          <a:pathLst>
            <a:path>
              <a:moveTo>
                <a:pt x="0" y="0"/>
              </a:moveTo>
              <a:lnTo>
                <a:pt x="0" y="114201"/>
              </a:lnTo>
              <a:lnTo>
                <a:pt x="1794593" y="114201"/>
              </a:lnTo>
              <a:lnTo>
                <a:pt x="1794593"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5D3977-AB23-430E-8BB6-E22812B86924}">
      <dsp:nvSpPr>
        <dsp:cNvPr id="0" name=""/>
        <dsp:cNvSpPr/>
      </dsp:nvSpPr>
      <dsp:spPr>
        <a:xfrm>
          <a:off x="49439398" y="6043516"/>
          <a:ext cx="369795" cy="228402"/>
        </a:xfrm>
        <a:custGeom>
          <a:avLst/>
          <a:gdLst/>
          <a:ahLst/>
          <a:cxnLst/>
          <a:rect l="0" t="0" r="0" b="0"/>
          <a:pathLst>
            <a:path>
              <a:moveTo>
                <a:pt x="369795" y="0"/>
              </a:moveTo>
              <a:lnTo>
                <a:pt x="36979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0D25B4-4665-4191-85A6-9263AF11E227}">
      <dsp:nvSpPr>
        <dsp:cNvPr id="0" name=""/>
        <dsp:cNvSpPr/>
      </dsp:nvSpPr>
      <dsp:spPr>
        <a:xfrm>
          <a:off x="47590423" y="6870117"/>
          <a:ext cx="179459" cy="3642334"/>
        </a:xfrm>
        <a:custGeom>
          <a:avLst/>
          <a:gdLst/>
          <a:ahLst/>
          <a:cxnLst/>
          <a:rect l="0" t="0" r="0" b="0"/>
          <a:pathLst>
            <a:path>
              <a:moveTo>
                <a:pt x="0" y="0"/>
              </a:moveTo>
              <a:lnTo>
                <a:pt x="0" y="3642334"/>
              </a:lnTo>
              <a:lnTo>
                <a:pt x="179459" y="364233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3D9CA9-5C31-40D0-A4FD-A6C63340FC1C}">
      <dsp:nvSpPr>
        <dsp:cNvPr id="0" name=""/>
        <dsp:cNvSpPr/>
      </dsp:nvSpPr>
      <dsp:spPr>
        <a:xfrm>
          <a:off x="47590423" y="6870117"/>
          <a:ext cx="179459" cy="2816968"/>
        </a:xfrm>
        <a:custGeom>
          <a:avLst/>
          <a:gdLst/>
          <a:ahLst/>
          <a:cxnLst/>
          <a:rect l="0" t="0" r="0" b="0"/>
          <a:pathLst>
            <a:path>
              <a:moveTo>
                <a:pt x="0" y="0"/>
              </a:moveTo>
              <a:lnTo>
                <a:pt x="0" y="2816968"/>
              </a:lnTo>
              <a:lnTo>
                <a:pt x="179459"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2C2B24E-F545-45EF-A0D9-8D8EE406619D}">
      <dsp:nvSpPr>
        <dsp:cNvPr id="0" name=""/>
        <dsp:cNvSpPr/>
      </dsp:nvSpPr>
      <dsp:spPr>
        <a:xfrm>
          <a:off x="47590423" y="6870117"/>
          <a:ext cx="179459" cy="2044749"/>
        </a:xfrm>
        <a:custGeom>
          <a:avLst/>
          <a:gdLst/>
          <a:ahLst/>
          <a:cxnLst/>
          <a:rect l="0" t="0" r="0" b="0"/>
          <a:pathLst>
            <a:path>
              <a:moveTo>
                <a:pt x="0" y="0"/>
              </a:moveTo>
              <a:lnTo>
                <a:pt x="0" y="2044749"/>
              </a:lnTo>
              <a:lnTo>
                <a:pt x="179459"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3B5A794-381C-4FDE-B7B8-90153D7FD792}">
      <dsp:nvSpPr>
        <dsp:cNvPr id="0" name=""/>
        <dsp:cNvSpPr/>
      </dsp:nvSpPr>
      <dsp:spPr>
        <a:xfrm>
          <a:off x="47590423" y="6870117"/>
          <a:ext cx="179459" cy="1272530"/>
        </a:xfrm>
        <a:custGeom>
          <a:avLst/>
          <a:gdLst/>
          <a:ahLst/>
          <a:cxnLst/>
          <a:rect l="0" t="0" r="0" b="0"/>
          <a:pathLst>
            <a:path>
              <a:moveTo>
                <a:pt x="0" y="0"/>
              </a:moveTo>
              <a:lnTo>
                <a:pt x="0" y="1272530"/>
              </a:lnTo>
              <a:lnTo>
                <a:pt x="179459"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2DD17AE-8071-47F4-8C0B-C63D8C080E5F}">
      <dsp:nvSpPr>
        <dsp:cNvPr id="0" name=""/>
        <dsp:cNvSpPr/>
      </dsp:nvSpPr>
      <dsp:spPr>
        <a:xfrm>
          <a:off x="47590423" y="6870117"/>
          <a:ext cx="179459" cy="500310"/>
        </a:xfrm>
        <a:custGeom>
          <a:avLst/>
          <a:gdLst/>
          <a:ahLst/>
          <a:cxnLst/>
          <a:rect l="0" t="0" r="0" b="0"/>
          <a:pathLst>
            <a:path>
              <a:moveTo>
                <a:pt x="0" y="0"/>
              </a:moveTo>
              <a:lnTo>
                <a:pt x="0" y="500310"/>
              </a:lnTo>
              <a:lnTo>
                <a:pt x="179459"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20E9E4-FA1E-467D-A786-148B77CF507A}">
      <dsp:nvSpPr>
        <dsp:cNvPr id="0" name=""/>
        <dsp:cNvSpPr/>
      </dsp:nvSpPr>
      <dsp:spPr>
        <a:xfrm>
          <a:off x="48068981" y="6043516"/>
          <a:ext cx="1740212" cy="228402"/>
        </a:xfrm>
        <a:custGeom>
          <a:avLst/>
          <a:gdLst/>
          <a:ahLst/>
          <a:cxnLst/>
          <a:rect l="0" t="0" r="0" b="0"/>
          <a:pathLst>
            <a:path>
              <a:moveTo>
                <a:pt x="1740212" y="0"/>
              </a:moveTo>
              <a:lnTo>
                <a:pt x="1740212"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9DABDA6-1093-405E-8800-A4AC7D2972AC}">
      <dsp:nvSpPr>
        <dsp:cNvPr id="0" name=""/>
        <dsp:cNvSpPr/>
      </dsp:nvSpPr>
      <dsp:spPr>
        <a:xfrm>
          <a:off x="46054142" y="5271297"/>
          <a:ext cx="3755051" cy="228402"/>
        </a:xfrm>
        <a:custGeom>
          <a:avLst/>
          <a:gdLst/>
          <a:ahLst/>
          <a:cxnLst/>
          <a:rect l="0" t="0" r="0" b="0"/>
          <a:pathLst>
            <a:path>
              <a:moveTo>
                <a:pt x="0" y="0"/>
              </a:moveTo>
              <a:lnTo>
                <a:pt x="0" y="114201"/>
              </a:lnTo>
              <a:lnTo>
                <a:pt x="3755051" y="114201"/>
              </a:lnTo>
              <a:lnTo>
                <a:pt x="3755051"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1989AB4-E40B-4F90-B853-D44E3F339174}">
      <dsp:nvSpPr>
        <dsp:cNvPr id="0" name=""/>
        <dsp:cNvSpPr/>
      </dsp:nvSpPr>
      <dsp:spPr>
        <a:xfrm>
          <a:off x="46263511"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8FB3BE-50B7-456F-A13A-C318A6D954F3}">
      <dsp:nvSpPr>
        <dsp:cNvPr id="0" name=""/>
        <dsp:cNvSpPr/>
      </dsp:nvSpPr>
      <dsp:spPr>
        <a:xfrm>
          <a:off x="46263511"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42ECA56-4F6A-4D59-9F3F-69FD75013F5D}">
      <dsp:nvSpPr>
        <dsp:cNvPr id="0" name=""/>
        <dsp:cNvSpPr/>
      </dsp:nvSpPr>
      <dsp:spPr>
        <a:xfrm>
          <a:off x="44716126" y="6043652"/>
          <a:ext cx="1982438" cy="228266"/>
        </a:xfrm>
        <a:custGeom>
          <a:avLst/>
          <a:gdLst/>
          <a:ahLst/>
          <a:cxnLst/>
          <a:rect l="0" t="0" r="0" b="0"/>
          <a:pathLst>
            <a:path>
              <a:moveTo>
                <a:pt x="0" y="0"/>
              </a:moveTo>
              <a:lnTo>
                <a:pt x="0" y="114065"/>
              </a:lnTo>
              <a:lnTo>
                <a:pt x="1982438" y="114065"/>
              </a:lnTo>
              <a:lnTo>
                <a:pt x="1982438" y="228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FCB561-FCF9-4AC7-BDB0-5B2A107D6685}">
      <dsp:nvSpPr>
        <dsp:cNvPr id="0" name=""/>
        <dsp:cNvSpPr/>
      </dsp:nvSpPr>
      <dsp:spPr>
        <a:xfrm>
          <a:off x="44716126" y="6043652"/>
          <a:ext cx="666403" cy="228266"/>
        </a:xfrm>
        <a:custGeom>
          <a:avLst/>
          <a:gdLst/>
          <a:ahLst/>
          <a:cxnLst/>
          <a:rect l="0" t="0" r="0" b="0"/>
          <a:pathLst>
            <a:path>
              <a:moveTo>
                <a:pt x="0" y="0"/>
              </a:moveTo>
              <a:lnTo>
                <a:pt x="0" y="114065"/>
              </a:lnTo>
              <a:lnTo>
                <a:pt x="666403" y="114065"/>
              </a:lnTo>
              <a:lnTo>
                <a:pt x="666403" y="228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A363D6-A67B-4462-AC44-C42ACE234954}">
      <dsp:nvSpPr>
        <dsp:cNvPr id="0" name=""/>
        <dsp:cNvSpPr/>
      </dsp:nvSpPr>
      <dsp:spPr>
        <a:xfrm>
          <a:off x="43631441" y="6815735"/>
          <a:ext cx="163144" cy="4438318"/>
        </a:xfrm>
        <a:custGeom>
          <a:avLst/>
          <a:gdLst/>
          <a:ahLst/>
          <a:cxnLst/>
          <a:rect l="0" t="0" r="0" b="0"/>
          <a:pathLst>
            <a:path>
              <a:moveTo>
                <a:pt x="0" y="0"/>
              </a:moveTo>
              <a:lnTo>
                <a:pt x="0" y="4438318"/>
              </a:lnTo>
              <a:lnTo>
                <a:pt x="163144" y="443831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93EF511-1FDE-476B-AF81-C2F2BDBDA4E3}">
      <dsp:nvSpPr>
        <dsp:cNvPr id="0" name=""/>
        <dsp:cNvSpPr/>
      </dsp:nvSpPr>
      <dsp:spPr>
        <a:xfrm>
          <a:off x="43631441" y="6815735"/>
          <a:ext cx="163144" cy="3627643"/>
        </a:xfrm>
        <a:custGeom>
          <a:avLst/>
          <a:gdLst/>
          <a:ahLst/>
          <a:cxnLst/>
          <a:rect l="0" t="0" r="0" b="0"/>
          <a:pathLst>
            <a:path>
              <a:moveTo>
                <a:pt x="0" y="0"/>
              </a:moveTo>
              <a:lnTo>
                <a:pt x="0" y="3627643"/>
              </a:lnTo>
              <a:lnTo>
                <a:pt x="163144" y="362764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A6F6885-1143-4B43-A015-3E4CB1C4ABC7}">
      <dsp:nvSpPr>
        <dsp:cNvPr id="0" name=""/>
        <dsp:cNvSpPr/>
      </dsp:nvSpPr>
      <dsp:spPr>
        <a:xfrm>
          <a:off x="43631441"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A37148A-4CE6-44A2-AD2A-A52FE3423123}">
      <dsp:nvSpPr>
        <dsp:cNvPr id="0" name=""/>
        <dsp:cNvSpPr/>
      </dsp:nvSpPr>
      <dsp:spPr>
        <a:xfrm>
          <a:off x="43631441"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4DB1B4C-E575-4E28-80F0-CC5FD6BC6B68}">
      <dsp:nvSpPr>
        <dsp:cNvPr id="0" name=""/>
        <dsp:cNvSpPr/>
      </dsp:nvSpPr>
      <dsp:spPr>
        <a:xfrm>
          <a:off x="43631441"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0C6BE3-2216-49D5-BEDE-00CA90964832}">
      <dsp:nvSpPr>
        <dsp:cNvPr id="0" name=""/>
        <dsp:cNvSpPr/>
      </dsp:nvSpPr>
      <dsp:spPr>
        <a:xfrm>
          <a:off x="43631441"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B2D927-67C0-4BA5-8198-93D00D20FD92}">
      <dsp:nvSpPr>
        <dsp:cNvPr id="0" name=""/>
        <dsp:cNvSpPr/>
      </dsp:nvSpPr>
      <dsp:spPr>
        <a:xfrm>
          <a:off x="44066494" y="6043652"/>
          <a:ext cx="649632" cy="228266"/>
        </a:xfrm>
        <a:custGeom>
          <a:avLst/>
          <a:gdLst/>
          <a:ahLst/>
          <a:cxnLst/>
          <a:rect l="0" t="0" r="0" b="0"/>
          <a:pathLst>
            <a:path>
              <a:moveTo>
                <a:pt x="649632" y="0"/>
              </a:moveTo>
              <a:lnTo>
                <a:pt x="649632" y="114065"/>
              </a:lnTo>
              <a:lnTo>
                <a:pt x="0" y="114065"/>
              </a:lnTo>
              <a:lnTo>
                <a:pt x="0" y="228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B0224A-AA26-4818-B013-FB8CA015E5A7}">
      <dsp:nvSpPr>
        <dsp:cNvPr id="0" name=""/>
        <dsp:cNvSpPr/>
      </dsp:nvSpPr>
      <dsp:spPr>
        <a:xfrm>
          <a:off x="42315405" y="6815735"/>
          <a:ext cx="163144" cy="4361406"/>
        </a:xfrm>
        <a:custGeom>
          <a:avLst/>
          <a:gdLst/>
          <a:ahLst/>
          <a:cxnLst/>
          <a:rect l="0" t="0" r="0" b="0"/>
          <a:pathLst>
            <a:path>
              <a:moveTo>
                <a:pt x="0" y="0"/>
              </a:moveTo>
              <a:lnTo>
                <a:pt x="0" y="4361406"/>
              </a:lnTo>
              <a:lnTo>
                <a:pt x="163144" y="43614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4B61380-D945-4C4F-B694-2730079C8AEE}">
      <dsp:nvSpPr>
        <dsp:cNvPr id="0" name=""/>
        <dsp:cNvSpPr/>
      </dsp:nvSpPr>
      <dsp:spPr>
        <a:xfrm>
          <a:off x="42315405" y="6815735"/>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B6D984-99F4-44F4-8926-A4A18A5481A7}">
      <dsp:nvSpPr>
        <dsp:cNvPr id="0" name=""/>
        <dsp:cNvSpPr/>
      </dsp:nvSpPr>
      <dsp:spPr>
        <a:xfrm>
          <a:off x="42315405"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00C2455-839D-4321-88EC-8558A31B6B05}">
      <dsp:nvSpPr>
        <dsp:cNvPr id="0" name=""/>
        <dsp:cNvSpPr/>
      </dsp:nvSpPr>
      <dsp:spPr>
        <a:xfrm>
          <a:off x="42315405"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369B5EB-6003-4C63-9EAE-F1C59E5910C7}">
      <dsp:nvSpPr>
        <dsp:cNvPr id="0" name=""/>
        <dsp:cNvSpPr/>
      </dsp:nvSpPr>
      <dsp:spPr>
        <a:xfrm>
          <a:off x="42315405"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2C7E78C-8758-49AC-AAB3-B688605FF9B9}">
      <dsp:nvSpPr>
        <dsp:cNvPr id="0" name=""/>
        <dsp:cNvSpPr/>
      </dsp:nvSpPr>
      <dsp:spPr>
        <a:xfrm>
          <a:off x="42315405"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10B94B-3653-4D55-A5BD-A4E6E83ABABD}">
      <dsp:nvSpPr>
        <dsp:cNvPr id="0" name=""/>
        <dsp:cNvSpPr/>
      </dsp:nvSpPr>
      <dsp:spPr>
        <a:xfrm>
          <a:off x="42750458" y="6043652"/>
          <a:ext cx="1965667" cy="228266"/>
        </a:xfrm>
        <a:custGeom>
          <a:avLst/>
          <a:gdLst/>
          <a:ahLst/>
          <a:cxnLst/>
          <a:rect l="0" t="0" r="0" b="0"/>
          <a:pathLst>
            <a:path>
              <a:moveTo>
                <a:pt x="1965667" y="0"/>
              </a:moveTo>
              <a:lnTo>
                <a:pt x="1965667" y="114065"/>
              </a:lnTo>
              <a:lnTo>
                <a:pt x="0" y="114065"/>
              </a:lnTo>
              <a:lnTo>
                <a:pt x="0" y="228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DF908E-1B67-474F-82AB-BB0BF2AB8D46}">
      <dsp:nvSpPr>
        <dsp:cNvPr id="0" name=""/>
        <dsp:cNvSpPr/>
      </dsp:nvSpPr>
      <dsp:spPr>
        <a:xfrm>
          <a:off x="44716126" y="5271297"/>
          <a:ext cx="1338016" cy="228538"/>
        </a:xfrm>
        <a:custGeom>
          <a:avLst/>
          <a:gdLst/>
          <a:ahLst/>
          <a:cxnLst/>
          <a:rect l="0" t="0" r="0" b="0"/>
          <a:pathLst>
            <a:path>
              <a:moveTo>
                <a:pt x="1338016" y="0"/>
              </a:moveTo>
              <a:lnTo>
                <a:pt x="1338016" y="114337"/>
              </a:lnTo>
              <a:lnTo>
                <a:pt x="0" y="114337"/>
              </a:lnTo>
              <a:lnTo>
                <a:pt x="0" y="2285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13B6798-F9E1-42DC-8F73-CE6CC610D7FF}">
      <dsp:nvSpPr>
        <dsp:cNvPr id="0" name=""/>
        <dsp:cNvSpPr/>
      </dsp:nvSpPr>
      <dsp:spPr>
        <a:xfrm>
          <a:off x="37486317" y="6043516"/>
          <a:ext cx="3948106" cy="228402"/>
        </a:xfrm>
        <a:custGeom>
          <a:avLst/>
          <a:gdLst/>
          <a:ahLst/>
          <a:cxnLst/>
          <a:rect l="0" t="0" r="0" b="0"/>
          <a:pathLst>
            <a:path>
              <a:moveTo>
                <a:pt x="0" y="0"/>
              </a:moveTo>
              <a:lnTo>
                <a:pt x="0" y="114201"/>
              </a:lnTo>
              <a:lnTo>
                <a:pt x="3948106" y="114201"/>
              </a:lnTo>
              <a:lnTo>
                <a:pt x="3948106"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F18C3B8-4518-48A3-9306-2E197D1E33FF}">
      <dsp:nvSpPr>
        <dsp:cNvPr id="0" name=""/>
        <dsp:cNvSpPr/>
      </dsp:nvSpPr>
      <dsp:spPr>
        <a:xfrm>
          <a:off x="37486317" y="6043516"/>
          <a:ext cx="2632070" cy="228402"/>
        </a:xfrm>
        <a:custGeom>
          <a:avLst/>
          <a:gdLst/>
          <a:ahLst/>
          <a:cxnLst/>
          <a:rect l="0" t="0" r="0" b="0"/>
          <a:pathLst>
            <a:path>
              <a:moveTo>
                <a:pt x="0" y="0"/>
              </a:moveTo>
              <a:lnTo>
                <a:pt x="0" y="114201"/>
              </a:lnTo>
              <a:lnTo>
                <a:pt x="2632070" y="114201"/>
              </a:lnTo>
              <a:lnTo>
                <a:pt x="263207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E0BADC6-4548-4E2D-A212-02FC92F2E657}">
      <dsp:nvSpPr>
        <dsp:cNvPr id="0" name=""/>
        <dsp:cNvSpPr/>
      </dsp:nvSpPr>
      <dsp:spPr>
        <a:xfrm>
          <a:off x="38367299" y="6815735"/>
          <a:ext cx="163144" cy="2090456"/>
        </a:xfrm>
        <a:custGeom>
          <a:avLst/>
          <a:gdLst/>
          <a:ahLst/>
          <a:cxnLst/>
          <a:rect l="0" t="0" r="0" b="0"/>
          <a:pathLst>
            <a:path>
              <a:moveTo>
                <a:pt x="0" y="0"/>
              </a:moveTo>
              <a:lnTo>
                <a:pt x="0" y="2090456"/>
              </a:lnTo>
              <a:lnTo>
                <a:pt x="163144" y="209045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570137-0FC5-4577-9FE8-E33F34B5E7F8}">
      <dsp:nvSpPr>
        <dsp:cNvPr id="0" name=""/>
        <dsp:cNvSpPr/>
      </dsp:nvSpPr>
      <dsp:spPr>
        <a:xfrm>
          <a:off x="38367299"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F6DEF1-58B8-4093-911F-E55903418FE3}">
      <dsp:nvSpPr>
        <dsp:cNvPr id="0" name=""/>
        <dsp:cNvSpPr/>
      </dsp:nvSpPr>
      <dsp:spPr>
        <a:xfrm>
          <a:off x="38367299"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B4528F-5B11-4263-B5AA-EA9E6EF6319F}">
      <dsp:nvSpPr>
        <dsp:cNvPr id="0" name=""/>
        <dsp:cNvSpPr/>
      </dsp:nvSpPr>
      <dsp:spPr>
        <a:xfrm>
          <a:off x="37486317" y="6043516"/>
          <a:ext cx="1316035" cy="228402"/>
        </a:xfrm>
        <a:custGeom>
          <a:avLst/>
          <a:gdLst/>
          <a:ahLst/>
          <a:cxnLst/>
          <a:rect l="0" t="0" r="0" b="0"/>
          <a:pathLst>
            <a:path>
              <a:moveTo>
                <a:pt x="0" y="0"/>
              </a:moveTo>
              <a:lnTo>
                <a:pt x="0" y="114201"/>
              </a:lnTo>
              <a:lnTo>
                <a:pt x="1316035" y="114201"/>
              </a:lnTo>
              <a:lnTo>
                <a:pt x="131603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7E24B8-3C49-496E-8FFC-18EDB0DE621D}">
      <dsp:nvSpPr>
        <dsp:cNvPr id="0" name=""/>
        <dsp:cNvSpPr/>
      </dsp:nvSpPr>
      <dsp:spPr>
        <a:xfrm>
          <a:off x="37051264"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EDA04F-FC1B-4F5D-82BF-097D63568E28}">
      <dsp:nvSpPr>
        <dsp:cNvPr id="0" name=""/>
        <dsp:cNvSpPr/>
      </dsp:nvSpPr>
      <dsp:spPr>
        <a:xfrm>
          <a:off x="37051264"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6B19E59-E521-44CB-9281-1C09EC9A7019}">
      <dsp:nvSpPr>
        <dsp:cNvPr id="0" name=""/>
        <dsp:cNvSpPr/>
      </dsp:nvSpPr>
      <dsp:spPr>
        <a:xfrm>
          <a:off x="37051264"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E80564-CEE3-4BF3-98A2-49AE41111D0E}">
      <dsp:nvSpPr>
        <dsp:cNvPr id="0" name=""/>
        <dsp:cNvSpPr/>
      </dsp:nvSpPr>
      <dsp:spPr>
        <a:xfrm>
          <a:off x="37440597" y="6043516"/>
          <a:ext cx="91440" cy="228402"/>
        </a:xfrm>
        <a:custGeom>
          <a:avLst/>
          <a:gdLst/>
          <a:ahLst/>
          <a:cxnLst/>
          <a:rect l="0" t="0" r="0" b="0"/>
          <a:pathLst>
            <a:path>
              <a:moveTo>
                <a:pt x="45720" y="0"/>
              </a:moveTo>
              <a:lnTo>
                <a:pt x="4572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703DF2-4E13-4CE6-8C5B-6DB271C97F83}">
      <dsp:nvSpPr>
        <dsp:cNvPr id="0" name=""/>
        <dsp:cNvSpPr/>
      </dsp:nvSpPr>
      <dsp:spPr>
        <a:xfrm>
          <a:off x="35735229" y="6815735"/>
          <a:ext cx="163144" cy="5302042"/>
        </a:xfrm>
        <a:custGeom>
          <a:avLst/>
          <a:gdLst/>
          <a:ahLst/>
          <a:cxnLst/>
          <a:rect l="0" t="0" r="0" b="0"/>
          <a:pathLst>
            <a:path>
              <a:moveTo>
                <a:pt x="0" y="0"/>
              </a:moveTo>
              <a:lnTo>
                <a:pt x="0" y="5302042"/>
              </a:lnTo>
              <a:lnTo>
                <a:pt x="163144" y="530204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9D9051-A887-45A3-86D8-A710CC8C25DC}">
      <dsp:nvSpPr>
        <dsp:cNvPr id="0" name=""/>
        <dsp:cNvSpPr/>
      </dsp:nvSpPr>
      <dsp:spPr>
        <a:xfrm>
          <a:off x="35735229" y="6815735"/>
          <a:ext cx="163144" cy="4467950"/>
        </a:xfrm>
        <a:custGeom>
          <a:avLst/>
          <a:gdLst/>
          <a:ahLst/>
          <a:cxnLst/>
          <a:rect l="0" t="0" r="0" b="0"/>
          <a:pathLst>
            <a:path>
              <a:moveTo>
                <a:pt x="0" y="0"/>
              </a:moveTo>
              <a:lnTo>
                <a:pt x="0" y="4467950"/>
              </a:lnTo>
              <a:lnTo>
                <a:pt x="163144" y="446795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3B42F0-4E51-4719-97AC-095B75C80D56}">
      <dsp:nvSpPr>
        <dsp:cNvPr id="0" name=""/>
        <dsp:cNvSpPr/>
      </dsp:nvSpPr>
      <dsp:spPr>
        <a:xfrm>
          <a:off x="35735229" y="6815735"/>
          <a:ext cx="163144" cy="3642459"/>
        </a:xfrm>
        <a:custGeom>
          <a:avLst/>
          <a:gdLst/>
          <a:ahLst/>
          <a:cxnLst/>
          <a:rect l="0" t="0" r="0" b="0"/>
          <a:pathLst>
            <a:path>
              <a:moveTo>
                <a:pt x="0" y="0"/>
              </a:moveTo>
              <a:lnTo>
                <a:pt x="0" y="3642459"/>
              </a:lnTo>
              <a:lnTo>
                <a:pt x="163144" y="364245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AD7502-AFE1-4810-9797-582D459E146F}">
      <dsp:nvSpPr>
        <dsp:cNvPr id="0" name=""/>
        <dsp:cNvSpPr/>
      </dsp:nvSpPr>
      <dsp:spPr>
        <a:xfrm>
          <a:off x="35735229"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4701AC-3E92-42BB-A791-E3B354633491}">
      <dsp:nvSpPr>
        <dsp:cNvPr id="0" name=""/>
        <dsp:cNvSpPr/>
      </dsp:nvSpPr>
      <dsp:spPr>
        <a:xfrm>
          <a:off x="35735229"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254042-3D42-4DF9-9A78-AA1B6D3022D3}">
      <dsp:nvSpPr>
        <dsp:cNvPr id="0" name=""/>
        <dsp:cNvSpPr/>
      </dsp:nvSpPr>
      <dsp:spPr>
        <a:xfrm>
          <a:off x="35735229"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6899D6-6075-4F70-9813-10D66438F214}">
      <dsp:nvSpPr>
        <dsp:cNvPr id="0" name=""/>
        <dsp:cNvSpPr/>
      </dsp:nvSpPr>
      <dsp:spPr>
        <a:xfrm>
          <a:off x="35735229"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07AB54C-E2F5-4E42-9E65-D2A686826C0F}">
      <dsp:nvSpPr>
        <dsp:cNvPr id="0" name=""/>
        <dsp:cNvSpPr/>
      </dsp:nvSpPr>
      <dsp:spPr>
        <a:xfrm>
          <a:off x="36170282" y="6043516"/>
          <a:ext cx="1316035" cy="228402"/>
        </a:xfrm>
        <a:custGeom>
          <a:avLst/>
          <a:gdLst/>
          <a:ahLst/>
          <a:cxnLst/>
          <a:rect l="0" t="0" r="0" b="0"/>
          <a:pathLst>
            <a:path>
              <a:moveTo>
                <a:pt x="1316035" y="0"/>
              </a:moveTo>
              <a:lnTo>
                <a:pt x="131603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4488C2-035F-4A6D-AB30-6333676B4C70}">
      <dsp:nvSpPr>
        <dsp:cNvPr id="0" name=""/>
        <dsp:cNvSpPr/>
      </dsp:nvSpPr>
      <dsp:spPr>
        <a:xfrm>
          <a:off x="34419193"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A5219D-65C6-4FC5-8CA3-6F2A1094DCBE}">
      <dsp:nvSpPr>
        <dsp:cNvPr id="0" name=""/>
        <dsp:cNvSpPr/>
      </dsp:nvSpPr>
      <dsp:spPr>
        <a:xfrm>
          <a:off x="34419193"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654A501-7476-4470-9A82-D74DFE8811ED}">
      <dsp:nvSpPr>
        <dsp:cNvPr id="0" name=""/>
        <dsp:cNvSpPr/>
      </dsp:nvSpPr>
      <dsp:spPr>
        <a:xfrm>
          <a:off x="34419193"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F236CE-50BD-4B63-A30A-D967F5E78644}">
      <dsp:nvSpPr>
        <dsp:cNvPr id="0" name=""/>
        <dsp:cNvSpPr/>
      </dsp:nvSpPr>
      <dsp:spPr>
        <a:xfrm>
          <a:off x="34854246" y="6043516"/>
          <a:ext cx="2632070" cy="228402"/>
        </a:xfrm>
        <a:custGeom>
          <a:avLst/>
          <a:gdLst/>
          <a:ahLst/>
          <a:cxnLst/>
          <a:rect l="0" t="0" r="0" b="0"/>
          <a:pathLst>
            <a:path>
              <a:moveTo>
                <a:pt x="2632070" y="0"/>
              </a:moveTo>
              <a:lnTo>
                <a:pt x="2632070"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9145D2-D850-4B81-A8A9-2F422E3D4BE4}">
      <dsp:nvSpPr>
        <dsp:cNvPr id="0" name=""/>
        <dsp:cNvSpPr/>
      </dsp:nvSpPr>
      <dsp:spPr>
        <a:xfrm>
          <a:off x="33103158"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9A4CC6D-7A01-4CF3-9006-6480DC1449E9}">
      <dsp:nvSpPr>
        <dsp:cNvPr id="0" name=""/>
        <dsp:cNvSpPr/>
      </dsp:nvSpPr>
      <dsp:spPr>
        <a:xfrm>
          <a:off x="33103158"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7B5FC65-B937-4DC9-A876-57469E82BCF8}">
      <dsp:nvSpPr>
        <dsp:cNvPr id="0" name=""/>
        <dsp:cNvSpPr/>
      </dsp:nvSpPr>
      <dsp:spPr>
        <a:xfrm>
          <a:off x="33103158"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379D76C-6EDD-4AB1-AD4E-3952A75CACE5}">
      <dsp:nvSpPr>
        <dsp:cNvPr id="0" name=""/>
        <dsp:cNvSpPr/>
      </dsp:nvSpPr>
      <dsp:spPr>
        <a:xfrm>
          <a:off x="33538211" y="6043516"/>
          <a:ext cx="3948106" cy="228402"/>
        </a:xfrm>
        <a:custGeom>
          <a:avLst/>
          <a:gdLst/>
          <a:ahLst/>
          <a:cxnLst/>
          <a:rect l="0" t="0" r="0" b="0"/>
          <a:pathLst>
            <a:path>
              <a:moveTo>
                <a:pt x="3948106" y="0"/>
              </a:moveTo>
              <a:lnTo>
                <a:pt x="3948106"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7F27185-60BD-41B3-B97A-0F1C704B871C}">
      <dsp:nvSpPr>
        <dsp:cNvPr id="0" name=""/>
        <dsp:cNvSpPr/>
      </dsp:nvSpPr>
      <dsp:spPr>
        <a:xfrm>
          <a:off x="37486317" y="5271297"/>
          <a:ext cx="8567825" cy="228402"/>
        </a:xfrm>
        <a:custGeom>
          <a:avLst/>
          <a:gdLst/>
          <a:ahLst/>
          <a:cxnLst/>
          <a:rect l="0" t="0" r="0" b="0"/>
          <a:pathLst>
            <a:path>
              <a:moveTo>
                <a:pt x="8567825" y="0"/>
              </a:moveTo>
              <a:lnTo>
                <a:pt x="856782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06BE597-1936-43AC-9B56-6F3FFCECC744}">
      <dsp:nvSpPr>
        <dsp:cNvPr id="0" name=""/>
        <dsp:cNvSpPr/>
      </dsp:nvSpPr>
      <dsp:spPr>
        <a:xfrm>
          <a:off x="39507331" y="4499078"/>
          <a:ext cx="6546811" cy="228402"/>
        </a:xfrm>
        <a:custGeom>
          <a:avLst/>
          <a:gdLst/>
          <a:ahLst/>
          <a:cxnLst/>
          <a:rect l="0" t="0" r="0" b="0"/>
          <a:pathLst>
            <a:path>
              <a:moveTo>
                <a:pt x="0" y="0"/>
              </a:moveTo>
              <a:lnTo>
                <a:pt x="0" y="114201"/>
              </a:lnTo>
              <a:lnTo>
                <a:pt x="6546811" y="114201"/>
              </a:lnTo>
              <a:lnTo>
                <a:pt x="6546811"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9380F44-3446-438E-9891-C959D60CEC49}">
      <dsp:nvSpPr>
        <dsp:cNvPr id="0" name=""/>
        <dsp:cNvSpPr/>
      </dsp:nvSpPr>
      <dsp:spPr>
        <a:xfrm>
          <a:off x="31515214"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23FB7D-9B6E-4A25-8411-46EA7F257657}">
      <dsp:nvSpPr>
        <dsp:cNvPr id="0" name=""/>
        <dsp:cNvSpPr/>
      </dsp:nvSpPr>
      <dsp:spPr>
        <a:xfrm>
          <a:off x="31515214"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0DB6AA2-7B31-4CDE-8517-4E3815232D82}">
      <dsp:nvSpPr>
        <dsp:cNvPr id="0" name=""/>
        <dsp:cNvSpPr/>
      </dsp:nvSpPr>
      <dsp:spPr>
        <a:xfrm>
          <a:off x="31950267" y="4499078"/>
          <a:ext cx="7557063" cy="228402"/>
        </a:xfrm>
        <a:custGeom>
          <a:avLst/>
          <a:gdLst/>
          <a:ahLst/>
          <a:cxnLst/>
          <a:rect l="0" t="0" r="0" b="0"/>
          <a:pathLst>
            <a:path>
              <a:moveTo>
                <a:pt x="7557063" y="0"/>
              </a:moveTo>
              <a:lnTo>
                <a:pt x="7557063"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B17A2F7-127A-4278-8E7A-B4516F26D966}">
      <dsp:nvSpPr>
        <dsp:cNvPr id="0" name=""/>
        <dsp:cNvSpPr/>
      </dsp:nvSpPr>
      <dsp:spPr>
        <a:xfrm>
          <a:off x="28932087" y="6043516"/>
          <a:ext cx="1974053" cy="228402"/>
        </a:xfrm>
        <a:custGeom>
          <a:avLst/>
          <a:gdLst/>
          <a:ahLst/>
          <a:cxnLst/>
          <a:rect l="0" t="0" r="0" b="0"/>
          <a:pathLst>
            <a:path>
              <a:moveTo>
                <a:pt x="0" y="0"/>
              </a:moveTo>
              <a:lnTo>
                <a:pt x="0" y="114201"/>
              </a:lnTo>
              <a:lnTo>
                <a:pt x="1974053" y="114201"/>
              </a:lnTo>
              <a:lnTo>
                <a:pt x="1974053"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820B8C3-7D09-47D4-AF2E-2649E12E4416}">
      <dsp:nvSpPr>
        <dsp:cNvPr id="0" name=""/>
        <dsp:cNvSpPr/>
      </dsp:nvSpPr>
      <dsp:spPr>
        <a:xfrm>
          <a:off x="29155052"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4516875-431E-4ED8-8DE6-CE3D904B05DA}">
      <dsp:nvSpPr>
        <dsp:cNvPr id="0" name=""/>
        <dsp:cNvSpPr/>
      </dsp:nvSpPr>
      <dsp:spPr>
        <a:xfrm>
          <a:off x="29155052"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BA4AC0-C490-45B8-847E-1C1801519230}">
      <dsp:nvSpPr>
        <dsp:cNvPr id="0" name=""/>
        <dsp:cNvSpPr/>
      </dsp:nvSpPr>
      <dsp:spPr>
        <a:xfrm>
          <a:off x="29155052"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C5210B-7739-4C14-887A-6C062BC163F4}">
      <dsp:nvSpPr>
        <dsp:cNvPr id="0" name=""/>
        <dsp:cNvSpPr/>
      </dsp:nvSpPr>
      <dsp:spPr>
        <a:xfrm>
          <a:off x="28932087" y="6043516"/>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7F7C04-F76A-4D92-AB41-A7D907647967}">
      <dsp:nvSpPr>
        <dsp:cNvPr id="0" name=""/>
        <dsp:cNvSpPr/>
      </dsp:nvSpPr>
      <dsp:spPr>
        <a:xfrm>
          <a:off x="27839016" y="6815735"/>
          <a:ext cx="163144" cy="2944346"/>
        </a:xfrm>
        <a:custGeom>
          <a:avLst/>
          <a:gdLst/>
          <a:ahLst/>
          <a:cxnLst/>
          <a:rect l="0" t="0" r="0" b="0"/>
          <a:pathLst>
            <a:path>
              <a:moveTo>
                <a:pt x="0" y="0"/>
              </a:moveTo>
              <a:lnTo>
                <a:pt x="0" y="2944346"/>
              </a:lnTo>
              <a:lnTo>
                <a:pt x="163144" y="294434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150C6F1-BF88-4DAC-8D08-96C2F6315D38}">
      <dsp:nvSpPr>
        <dsp:cNvPr id="0" name=""/>
        <dsp:cNvSpPr/>
      </dsp:nvSpPr>
      <dsp:spPr>
        <a:xfrm>
          <a:off x="27839016" y="6815735"/>
          <a:ext cx="163144" cy="2108438"/>
        </a:xfrm>
        <a:custGeom>
          <a:avLst/>
          <a:gdLst/>
          <a:ahLst/>
          <a:cxnLst/>
          <a:rect l="0" t="0" r="0" b="0"/>
          <a:pathLst>
            <a:path>
              <a:moveTo>
                <a:pt x="0" y="0"/>
              </a:moveTo>
              <a:lnTo>
                <a:pt x="0" y="2108438"/>
              </a:lnTo>
              <a:lnTo>
                <a:pt x="163144" y="21084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726DF87-F6BA-4F78-8780-0CE89AC53192}">
      <dsp:nvSpPr>
        <dsp:cNvPr id="0" name=""/>
        <dsp:cNvSpPr/>
      </dsp:nvSpPr>
      <dsp:spPr>
        <a:xfrm>
          <a:off x="27839016"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32800C-5C1C-4353-A9AD-F0AEE7B3516C}">
      <dsp:nvSpPr>
        <dsp:cNvPr id="0" name=""/>
        <dsp:cNvSpPr/>
      </dsp:nvSpPr>
      <dsp:spPr>
        <a:xfrm>
          <a:off x="27839016"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76C18F-7072-4E1E-8523-49809B4DEFF8}">
      <dsp:nvSpPr>
        <dsp:cNvPr id="0" name=""/>
        <dsp:cNvSpPr/>
      </dsp:nvSpPr>
      <dsp:spPr>
        <a:xfrm>
          <a:off x="28274069" y="6043516"/>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3101F9-C23D-4876-96E9-7980C36379A8}">
      <dsp:nvSpPr>
        <dsp:cNvPr id="0" name=""/>
        <dsp:cNvSpPr/>
      </dsp:nvSpPr>
      <dsp:spPr>
        <a:xfrm>
          <a:off x="26522981" y="6815735"/>
          <a:ext cx="163144" cy="3614246"/>
        </a:xfrm>
        <a:custGeom>
          <a:avLst/>
          <a:gdLst/>
          <a:ahLst/>
          <a:cxnLst/>
          <a:rect l="0" t="0" r="0" b="0"/>
          <a:pathLst>
            <a:path>
              <a:moveTo>
                <a:pt x="0" y="0"/>
              </a:moveTo>
              <a:lnTo>
                <a:pt x="0" y="3614246"/>
              </a:lnTo>
              <a:lnTo>
                <a:pt x="163144" y="361424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DDE387-1299-4EF2-AA7E-C87DC0B73357}">
      <dsp:nvSpPr>
        <dsp:cNvPr id="0" name=""/>
        <dsp:cNvSpPr/>
      </dsp:nvSpPr>
      <dsp:spPr>
        <a:xfrm>
          <a:off x="26522981"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E77B34B-5C6A-4790-8057-C94302A72365}">
      <dsp:nvSpPr>
        <dsp:cNvPr id="0" name=""/>
        <dsp:cNvSpPr/>
      </dsp:nvSpPr>
      <dsp:spPr>
        <a:xfrm>
          <a:off x="26522981"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CFE022E-6D71-4E6C-BE4E-5BBDDEB3302E}">
      <dsp:nvSpPr>
        <dsp:cNvPr id="0" name=""/>
        <dsp:cNvSpPr/>
      </dsp:nvSpPr>
      <dsp:spPr>
        <a:xfrm>
          <a:off x="26522981"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1857B17-CDFD-41F9-BF8E-6AE491EE6D61}">
      <dsp:nvSpPr>
        <dsp:cNvPr id="0" name=""/>
        <dsp:cNvSpPr/>
      </dsp:nvSpPr>
      <dsp:spPr>
        <a:xfrm>
          <a:off x="26522981"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AC88F3-BB71-4866-85EC-75AD633D8D4E}">
      <dsp:nvSpPr>
        <dsp:cNvPr id="0" name=""/>
        <dsp:cNvSpPr/>
      </dsp:nvSpPr>
      <dsp:spPr>
        <a:xfrm>
          <a:off x="26958034" y="6043516"/>
          <a:ext cx="1974053" cy="228402"/>
        </a:xfrm>
        <a:custGeom>
          <a:avLst/>
          <a:gdLst/>
          <a:ahLst/>
          <a:cxnLst/>
          <a:rect l="0" t="0" r="0" b="0"/>
          <a:pathLst>
            <a:path>
              <a:moveTo>
                <a:pt x="1974053" y="0"/>
              </a:moveTo>
              <a:lnTo>
                <a:pt x="1974053"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F35989-B5B4-46C7-9B8E-D44BFCB8D69D}">
      <dsp:nvSpPr>
        <dsp:cNvPr id="0" name=""/>
        <dsp:cNvSpPr/>
      </dsp:nvSpPr>
      <dsp:spPr>
        <a:xfrm>
          <a:off x="26941961" y="5271297"/>
          <a:ext cx="1990125" cy="228402"/>
        </a:xfrm>
        <a:custGeom>
          <a:avLst/>
          <a:gdLst/>
          <a:ahLst/>
          <a:cxnLst/>
          <a:rect l="0" t="0" r="0" b="0"/>
          <a:pathLst>
            <a:path>
              <a:moveTo>
                <a:pt x="0" y="0"/>
              </a:moveTo>
              <a:lnTo>
                <a:pt x="0" y="114201"/>
              </a:lnTo>
              <a:lnTo>
                <a:pt x="1990125" y="114201"/>
              </a:lnTo>
              <a:lnTo>
                <a:pt x="199012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7318B5-8BBD-464C-B5A8-CA51DFE02E42}">
      <dsp:nvSpPr>
        <dsp:cNvPr id="0" name=""/>
        <dsp:cNvSpPr/>
      </dsp:nvSpPr>
      <dsp:spPr>
        <a:xfrm>
          <a:off x="25206946" y="6815735"/>
          <a:ext cx="163144" cy="5905844"/>
        </a:xfrm>
        <a:custGeom>
          <a:avLst/>
          <a:gdLst/>
          <a:ahLst/>
          <a:cxnLst/>
          <a:rect l="0" t="0" r="0" b="0"/>
          <a:pathLst>
            <a:path>
              <a:moveTo>
                <a:pt x="0" y="0"/>
              </a:moveTo>
              <a:lnTo>
                <a:pt x="0" y="5905844"/>
              </a:lnTo>
              <a:lnTo>
                <a:pt x="163144" y="59058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CBF8EF-6B6B-44B2-A9BF-477E02B8F11B}">
      <dsp:nvSpPr>
        <dsp:cNvPr id="0" name=""/>
        <dsp:cNvSpPr/>
      </dsp:nvSpPr>
      <dsp:spPr>
        <a:xfrm>
          <a:off x="25206946" y="6815735"/>
          <a:ext cx="163144" cy="5133625"/>
        </a:xfrm>
        <a:custGeom>
          <a:avLst/>
          <a:gdLst/>
          <a:ahLst/>
          <a:cxnLst/>
          <a:rect l="0" t="0" r="0" b="0"/>
          <a:pathLst>
            <a:path>
              <a:moveTo>
                <a:pt x="0" y="0"/>
              </a:moveTo>
              <a:lnTo>
                <a:pt x="0" y="5133625"/>
              </a:lnTo>
              <a:lnTo>
                <a:pt x="163144" y="513362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0253DAB-B82D-43BB-9344-F1451AE4DCBD}">
      <dsp:nvSpPr>
        <dsp:cNvPr id="0" name=""/>
        <dsp:cNvSpPr/>
      </dsp:nvSpPr>
      <dsp:spPr>
        <a:xfrm>
          <a:off x="25206946" y="6815735"/>
          <a:ext cx="163144" cy="4361406"/>
        </a:xfrm>
        <a:custGeom>
          <a:avLst/>
          <a:gdLst/>
          <a:ahLst/>
          <a:cxnLst/>
          <a:rect l="0" t="0" r="0" b="0"/>
          <a:pathLst>
            <a:path>
              <a:moveTo>
                <a:pt x="0" y="0"/>
              </a:moveTo>
              <a:lnTo>
                <a:pt x="0" y="4361406"/>
              </a:lnTo>
              <a:lnTo>
                <a:pt x="163144" y="43614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C3D6DEB-F7D4-4878-AA15-FF5D3367712B}">
      <dsp:nvSpPr>
        <dsp:cNvPr id="0" name=""/>
        <dsp:cNvSpPr/>
      </dsp:nvSpPr>
      <dsp:spPr>
        <a:xfrm>
          <a:off x="25206946" y="6815735"/>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02744F-9C23-4422-9DE6-32C3AEA4547B}">
      <dsp:nvSpPr>
        <dsp:cNvPr id="0" name=""/>
        <dsp:cNvSpPr/>
      </dsp:nvSpPr>
      <dsp:spPr>
        <a:xfrm>
          <a:off x="25206946"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8CA5E7C-65C8-41AD-8A49-327067FC6496}">
      <dsp:nvSpPr>
        <dsp:cNvPr id="0" name=""/>
        <dsp:cNvSpPr/>
      </dsp:nvSpPr>
      <dsp:spPr>
        <a:xfrm>
          <a:off x="25206946"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C0337C-8335-42D0-A94A-60D936709D83}">
      <dsp:nvSpPr>
        <dsp:cNvPr id="0" name=""/>
        <dsp:cNvSpPr/>
      </dsp:nvSpPr>
      <dsp:spPr>
        <a:xfrm>
          <a:off x="25206946"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E451CFA-82CB-45A7-8C55-370FE64A5499}">
      <dsp:nvSpPr>
        <dsp:cNvPr id="0" name=""/>
        <dsp:cNvSpPr/>
      </dsp:nvSpPr>
      <dsp:spPr>
        <a:xfrm>
          <a:off x="25206946"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137C28F-3925-499E-8AE3-6A2572853110}">
      <dsp:nvSpPr>
        <dsp:cNvPr id="0" name=""/>
        <dsp:cNvSpPr/>
      </dsp:nvSpPr>
      <dsp:spPr>
        <a:xfrm>
          <a:off x="24951836" y="6043516"/>
          <a:ext cx="690162" cy="228402"/>
        </a:xfrm>
        <a:custGeom>
          <a:avLst/>
          <a:gdLst/>
          <a:ahLst/>
          <a:cxnLst/>
          <a:rect l="0" t="0" r="0" b="0"/>
          <a:pathLst>
            <a:path>
              <a:moveTo>
                <a:pt x="0" y="0"/>
              </a:moveTo>
              <a:lnTo>
                <a:pt x="0" y="114201"/>
              </a:lnTo>
              <a:lnTo>
                <a:pt x="690162" y="114201"/>
              </a:lnTo>
              <a:lnTo>
                <a:pt x="690162"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4A4CE86-621A-4311-A790-F32FA3EE7A67}">
      <dsp:nvSpPr>
        <dsp:cNvPr id="0" name=""/>
        <dsp:cNvSpPr/>
      </dsp:nvSpPr>
      <dsp:spPr>
        <a:xfrm>
          <a:off x="23826620" y="6815735"/>
          <a:ext cx="163144" cy="2412246"/>
        </a:xfrm>
        <a:custGeom>
          <a:avLst/>
          <a:gdLst/>
          <a:ahLst/>
          <a:cxnLst/>
          <a:rect l="0" t="0" r="0" b="0"/>
          <a:pathLst>
            <a:path>
              <a:moveTo>
                <a:pt x="0" y="0"/>
              </a:moveTo>
              <a:lnTo>
                <a:pt x="0" y="2412246"/>
              </a:lnTo>
              <a:lnTo>
                <a:pt x="163144" y="241224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AD3CCA2-E966-4420-9314-FA383A9E8ACF}">
      <dsp:nvSpPr>
        <dsp:cNvPr id="0" name=""/>
        <dsp:cNvSpPr/>
      </dsp:nvSpPr>
      <dsp:spPr>
        <a:xfrm>
          <a:off x="23826620" y="6815735"/>
          <a:ext cx="163144" cy="1493028"/>
        </a:xfrm>
        <a:custGeom>
          <a:avLst/>
          <a:gdLst/>
          <a:ahLst/>
          <a:cxnLst/>
          <a:rect l="0" t="0" r="0" b="0"/>
          <a:pathLst>
            <a:path>
              <a:moveTo>
                <a:pt x="0" y="0"/>
              </a:moveTo>
              <a:lnTo>
                <a:pt x="0" y="1493028"/>
              </a:lnTo>
              <a:lnTo>
                <a:pt x="163144" y="149302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79C86AF-A130-4AC3-A985-AAF653299F22}">
      <dsp:nvSpPr>
        <dsp:cNvPr id="0" name=""/>
        <dsp:cNvSpPr/>
      </dsp:nvSpPr>
      <dsp:spPr>
        <a:xfrm>
          <a:off x="23826620" y="6815735"/>
          <a:ext cx="163144" cy="573810"/>
        </a:xfrm>
        <a:custGeom>
          <a:avLst/>
          <a:gdLst/>
          <a:ahLst/>
          <a:cxnLst/>
          <a:rect l="0" t="0" r="0" b="0"/>
          <a:pathLst>
            <a:path>
              <a:moveTo>
                <a:pt x="0" y="0"/>
              </a:moveTo>
              <a:lnTo>
                <a:pt x="0" y="573810"/>
              </a:lnTo>
              <a:lnTo>
                <a:pt x="163144" y="5738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52F0D87-A1A8-4551-AA40-81F4E6D58E81}">
      <dsp:nvSpPr>
        <dsp:cNvPr id="0" name=""/>
        <dsp:cNvSpPr/>
      </dsp:nvSpPr>
      <dsp:spPr>
        <a:xfrm>
          <a:off x="24261673" y="6043516"/>
          <a:ext cx="690162" cy="228402"/>
        </a:xfrm>
        <a:custGeom>
          <a:avLst/>
          <a:gdLst/>
          <a:ahLst/>
          <a:cxnLst/>
          <a:rect l="0" t="0" r="0" b="0"/>
          <a:pathLst>
            <a:path>
              <a:moveTo>
                <a:pt x="690162" y="0"/>
              </a:moveTo>
              <a:lnTo>
                <a:pt x="690162"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91997D-8C41-430F-8744-4B201D5A852E}">
      <dsp:nvSpPr>
        <dsp:cNvPr id="0" name=""/>
        <dsp:cNvSpPr/>
      </dsp:nvSpPr>
      <dsp:spPr>
        <a:xfrm>
          <a:off x="24951836" y="5271297"/>
          <a:ext cx="1990125" cy="228402"/>
        </a:xfrm>
        <a:custGeom>
          <a:avLst/>
          <a:gdLst/>
          <a:ahLst/>
          <a:cxnLst/>
          <a:rect l="0" t="0" r="0" b="0"/>
          <a:pathLst>
            <a:path>
              <a:moveTo>
                <a:pt x="1990125" y="0"/>
              </a:moveTo>
              <a:lnTo>
                <a:pt x="199012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44712AC-B9CE-4618-B992-E664FF53EE7F}">
      <dsp:nvSpPr>
        <dsp:cNvPr id="0" name=""/>
        <dsp:cNvSpPr/>
      </dsp:nvSpPr>
      <dsp:spPr>
        <a:xfrm>
          <a:off x="26941961" y="4499078"/>
          <a:ext cx="12565369" cy="228402"/>
        </a:xfrm>
        <a:custGeom>
          <a:avLst/>
          <a:gdLst/>
          <a:ahLst/>
          <a:cxnLst/>
          <a:rect l="0" t="0" r="0" b="0"/>
          <a:pathLst>
            <a:path>
              <a:moveTo>
                <a:pt x="12565369" y="0"/>
              </a:moveTo>
              <a:lnTo>
                <a:pt x="12565369"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7C384C0-99F6-48E0-9F98-62B1F0F5F751}">
      <dsp:nvSpPr>
        <dsp:cNvPr id="0" name=""/>
        <dsp:cNvSpPr/>
      </dsp:nvSpPr>
      <dsp:spPr>
        <a:xfrm>
          <a:off x="22977783" y="5271297"/>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BD3A01-64E1-4D22-9323-B88A2B62374C}">
      <dsp:nvSpPr>
        <dsp:cNvPr id="0" name=""/>
        <dsp:cNvSpPr/>
      </dsp:nvSpPr>
      <dsp:spPr>
        <a:xfrm>
          <a:off x="22319765" y="5271297"/>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BE9F57-26FB-423D-A8F9-61061A959B0A}">
      <dsp:nvSpPr>
        <dsp:cNvPr id="0" name=""/>
        <dsp:cNvSpPr/>
      </dsp:nvSpPr>
      <dsp:spPr>
        <a:xfrm>
          <a:off x="22977783" y="4499078"/>
          <a:ext cx="16529548" cy="228402"/>
        </a:xfrm>
        <a:custGeom>
          <a:avLst/>
          <a:gdLst/>
          <a:ahLst/>
          <a:cxnLst/>
          <a:rect l="0" t="0" r="0" b="0"/>
          <a:pathLst>
            <a:path>
              <a:moveTo>
                <a:pt x="16529548" y="0"/>
              </a:moveTo>
              <a:lnTo>
                <a:pt x="16529548"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A6A51FB-7650-477E-96A4-DB62B2D615ED}">
      <dsp:nvSpPr>
        <dsp:cNvPr id="0" name=""/>
        <dsp:cNvSpPr/>
      </dsp:nvSpPr>
      <dsp:spPr>
        <a:xfrm>
          <a:off x="20395645" y="5271297"/>
          <a:ext cx="163144" cy="3366714"/>
        </a:xfrm>
        <a:custGeom>
          <a:avLst/>
          <a:gdLst/>
          <a:ahLst/>
          <a:cxnLst/>
          <a:rect l="0" t="0" r="0" b="0"/>
          <a:pathLst>
            <a:path>
              <a:moveTo>
                <a:pt x="0" y="0"/>
              </a:moveTo>
              <a:lnTo>
                <a:pt x="0" y="3366714"/>
              </a:lnTo>
              <a:lnTo>
                <a:pt x="163144" y="336671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A58210B-1A0B-43E6-9B3A-87A8CFF9E67C}">
      <dsp:nvSpPr>
        <dsp:cNvPr id="0" name=""/>
        <dsp:cNvSpPr/>
      </dsp:nvSpPr>
      <dsp:spPr>
        <a:xfrm>
          <a:off x="20395645" y="5271297"/>
          <a:ext cx="163144" cy="2643934"/>
        </a:xfrm>
        <a:custGeom>
          <a:avLst/>
          <a:gdLst/>
          <a:ahLst/>
          <a:cxnLst/>
          <a:rect l="0" t="0" r="0" b="0"/>
          <a:pathLst>
            <a:path>
              <a:moveTo>
                <a:pt x="0" y="0"/>
              </a:moveTo>
              <a:lnTo>
                <a:pt x="0" y="2643934"/>
              </a:lnTo>
              <a:lnTo>
                <a:pt x="163144" y="264393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EE0E15C-2DFC-4C62-92B8-85DA37B70587}">
      <dsp:nvSpPr>
        <dsp:cNvPr id="0" name=""/>
        <dsp:cNvSpPr/>
      </dsp:nvSpPr>
      <dsp:spPr>
        <a:xfrm>
          <a:off x="20395645" y="5271297"/>
          <a:ext cx="163144" cy="1921153"/>
        </a:xfrm>
        <a:custGeom>
          <a:avLst/>
          <a:gdLst/>
          <a:ahLst/>
          <a:cxnLst/>
          <a:rect l="0" t="0" r="0" b="0"/>
          <a:pathLst>
            <a:path>
              <a:moveTo>
                <a:pt x="0" y="0"/>
              </a:moveTo>
              <a:lnTo>
                <a:pt x="0" y="1921153"/>
              </a:lnTo>
              <a:lnTo>
                <a:pt x="163144" y="19211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E8D49D-A92C-4308-8E0E-73BB234CEAFC}">
      <dsp:nvSpPr>
        <dsp:cNvPr id="0" name=""/>
        <dsp:cNvSpPr/>
      </dsp:nvSpPr>
      <dsp:spPr>
        <a:xfrm>
          <a:off x="20395645" y="5271297"/>
          <a:ext cx="163144" cy="1198372"/>
        </a:xfrm>
        <a:custGeom>
          <a:avLst/>
          <a:gdLst/>
          <a:ahLst/>
          <a:cxnLst/>
          <a:rect l="0" t="0" r="0" b="0"/>
          <a:pathLst>
            <a:path>
              <a:moveTo>
                <a:pt x="0" y="0"/>
              </a:moveTo>
              <a:lnTo>
                <a:pt x="0" y="1198372"/>
              </a:lnTo>
              <a:lnTo>
                <a:pt x="163144" y="119837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9EFDF3-432C-4E6B-9C62-BBBA700F291F}">
      <dsp:nvSpPr>
        <dsp:cNvPr id="0" name=""/>
        <dsp:cNvSpPr/>
      </dsp:nvSpPr>
      <dsp:spPr>
        <a:xfrm>
          <a:off x="20395645" y="5271297"/>
          <a:ext cx="163144" cy="475591"/>
        </a:xfrm>
        <a:custGeom>
          <a:avLst/>
          <a:gdLst/>
          <a:ahLst/>
          <a:cxnLst/>
          <a:rect l="0" t="0" r="0" b="0"/>
          <a:pathLst>
            <a:path>
              <a:moveTo>
                <a:pt x="0" y="0"/>
              </a:moveTo>
              <a:lnTo>
                <a:pt x="0" y="475591"/>
              </a:lnTo>
              <a:lnTo>
                <a:pt x="163144" y="47559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3F8B4A-E81B-4644-AD6B-092FFEB72DC9}">
      <dsp:nvSpPr>
        <dsp:cNvPr id="0" name=""/>
        <dsp:cNvSpPr/>
      </dsp:nvSpPr>
      <dsp:spPr>
        <a:xfrm>
          <a:off x="20830698" y="4499078"/>
          <a:ext cx="18676632" cy="228402"/>
        </a:xfrm>
        <a:custGeom>
          <a:avLst/>
          <a:gdLst/>
          <a:ahLst/>
          <a:cxnLst/>
          <a:rect l="0" t="0" r="0" b="0"/>
          <a:pathLst>
            <a:path>
              <a:moveTo>
                <a:pt x="18676632" y="0"/>
              </a:moveTo>
              <a:lnTo>
                <a:pt x="18676632"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D99EDA-3B01-4889-B12D-5996B4A1F372}">
      <dsp:nvSpPr>
        <dsp:cNvPr id="0" name=""/>
        <dsp:cNvSpPr/>
      </dsp:nvSpPr>
      <dsp:spPr>
        <a:xfrm>
          <a:off x="19128553" y="5271297"/>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8989446-6B7C-4DE4-826A-E0D880298EAE}">
      <dsp:nvSpPr>
        <dsp:cNvPr id="0" name=""/>
        <dsp:cNvSpPr/>
      </dsp:nvSpPr>
      <dsp:spPr>
        <a:xfrm>
          <a:off x="18035483" y="6043516"/>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A19A03-40F4-4612-884F-F552FE04D5D4}">
      <dsp:nvSpPr>
        <dsp:cNvPr id="0" name=""/>
        <dsp:cNvSpPr/>
      </dsp:nvSpPr>
      <dsp:spPr>
        <a:xfrm>
          <a:off x="18035483" y="6043516"/>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C909B98-FA89-4DAE-A87F-51D19ADA4B8E}">
      <dsp:nvSpPr>
        <dsp:cNvPr id="0" name=""/>
        <dsp:cNvSpPr/>
      </dsp:nvSpPr>
      <dsp:spPr>
        <a:xfrm>
          <a:off x="18470536" y="5271297"/>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D819E8B-2A70-4829-981F-116ADB47A9EB}">
      <dsp:nvSpPr>
        <dsp:cNvPr id="0" name=""/>
        <dsp:cNvSpPr/>
      </dsp:nvSpPr>
      <dsp:spPr>
        <a:xfrm>
          <a:off x="19128553" y="4499078"/>
          <a:ext cx="20378777" cy="228402"/>
        </a:xfrm>
        <a:custGeom>
          <a:avLst/>
          <a:gdLst/>
          <a:ahLst/>
          <a:cxnLst/>
          <a:rect l="0" t="0" r="0" b="0"/>
          <a:pathLst>
            <a:path>
              <a:moveTo>
                <a:pt x="20378777" y="0"/>
              </a:moveTo>
              <a:lnTo>
                <a:pt x="2037877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B5A6F2-5851-4BB5-8965-8832E630D391}">
      <dsp:nvSpPr>
        <dsp:cNvPr id="0" name=""/>
        <dsp:cNvSpPr/>
      </dsp:nvSpPr>
      <dsp:spPr>
        <a:xfrm>
          <a:off x="39165747" y="3726859"/>
          <a:ext cx="341584" cy="228402"/>
        </a:xfrm>
        <a:custGeom>
          <a:avLst/>
          <a:gdLst/>
          <a:ahLst/>
          <a:cxnLst/>
          <a:rect l="0" t="0" r="0" b="0"/>
          <a:pathLst>
            <a:path>
              <a:moveTo>
                <a:pt x="0" y="0"/>
              </a:moveTo>
              <a:lnTo>
                <a:pt x="0" y="114201"/>
              </a:lnTo>
              <a:lnTo>
                <a:pt x="341584" y="114201"/>
              </a:lnTo>
              <a:lnTo>
                <a:pt x="341584" y="228402"/>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E21512-AE49-47D3-96E7-6CF8D7FF1A44}">
      <dsp:nvSpPr>
        <dsp:cNvPr id="0" name=""/>
        <dsp:cNvSpPr/>
      </dsp:nvSpPr>
      <dsp:spPr>
        <a:xfrm>
          <a:off x="16447539" y="5271297"/>
          <a:ext cx="163144" cy="3871971"/>
        </a:xfrm>
        <a:custGeom>
          <a:avLst/>
          <a:gdLst/>
          <a:ahLst/>
          <a:cxnLst/>
          <a:rect l="0" t="0" r="0" b="0"/>
          <a:pathLst>
            <a:path>
              <a:moveTo>
                <a:pt x="0" y="0"/>
              </a:moveTo>
              <a:lnTo>
                <a:pt x="0" y="3871971"/>
              </a:lnTo>
              <a:lnTo>
                <a:pt x="163144" y="387197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3D1489-B4F8-4B36-A6C8-5E5683E15D10}">
      <dsp:nvSpPr>
        <dsp:cNvPr id="0" name=""/>
        <dsp:cNvSpPr/>
      </dsp:nvSpPr>
      <dsp:spPr>
        <a:xfrm>
          <a:off x="16447539" y="5271297"/>
          <a:ext cx="163144" cy="3072561"/>
        </a:xfrm>
        <a:custGeom>
          <a:avLst/>
          <a:gdLst/>
          <a:ahLst/>
          <a:cxnLst/>
          <a:rect l="0" t="0" r="0" b="0"/>
          <a:pathLst>
            <a:path>
              <a:moveTo>
                <a:pt x="0" y="0"/>
              </a:moveTo>
              <a:lnTo>
                <a:pt x="0" y="3072561"/>
              </a:lnTo>
              <a:lnTo>
                <a:pt x="163144" y="307256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C9DF153-1493-4AE1-ACD1-C13605479E23}">
      <dsp:nvSpPr>
        <dsp:cNvPr id="0" name=""/>
        <dsp:cNvSpPr/>
      </dsp:nvSpPr>
      <dsp:spPr>
        <a:xfrm>
          <a:off x="16447539" y="5271297"/>
          <a:ext cx="163144" cy="2216051"/>
        </a:xfrm>
        <a:custGeom>
          <a:avLst/>
          <a:gdLst/>
          <a:ahLst/>
          <a:cxnLst/>
          <a:rect l="0" t="0" r="0" b="0"/>
          <a:pathLst>
            <a:path>
              <a:moveTo>
                <a:pt x="0" y="0"/>
              </a:moveTo>
              <a:lnTo>
                <a:pt x="0" y="2216051"/>
              </a:lnTo>
              <a:lnTo>
                <a:pt x="163144" y="221605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5E84AEB-BAA4-4F75-80D6-D61BFEEA9C3C}">
      <dsp:nvSpPr>
        <dsp:cNvPr id="0" name=""/>
        <dsp:cNvSpPr/>
      </dsp:nvSpPr>
      <dsp:spPr>
        <a:xfrm>
          <a:off x="16447539" y="5271297"/>
          <a:ext cx="163144" cy="1329630"/>
        </a:xfrm>
        <a:custGeom>
          <a:avLst/>
          <a:gdLst/>
          <a:ahLst/>
          <a:cxnLst/>
          <a:rect l="0" t="0" r="0" b="0"/>
          <a:pathLst>
            <a:path>
              <a:moveTo>
                <a:pt x="0" y="0"/>
              </a:moveTo>
              <a:lnTo>
                <a:pt x="0" y="1329630"/>
              </a:lnTo>
              <a:lnTo>
                <a:pt x="163144" y="13296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75646C-FAAF-491E-8EA6-5D2EBFDE6E2D}">
      <dsp:nvSpPr>
        <dsp:cNvPr id="0" name=""/>
        <dsp:cNvSpPr/>
      </dsp:nvSpPr>
      <dsp:spPr>
        <a:xfrm>
          <a:off x="16447539"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12F3EFC-A19A-4CF5-A92D-B8FC20AC83BB}">
      <dsp:nvSpPr>
        <dsp:cNvPr id="0" name=""/>
        <dsp:cNvSpPr/>
      </dsp:nvSpPr>
      <dsp:spPr>
        <a:xfrm>
          <a:off x="12387271" y="4499078"/>
          <a:ext cx="4495321" cy="228402"/>
        </a:xfrm>
        <a:custGeom>
          <a:avLst/>
          <a:gdLst/>
          <a:ahLst/>
          <a:cxnLst/>
          <a:rect l="0" t="0" r="0" b="0"/>
          <a:pathLst>
            <a:path>
              <a:moveTo>
                <a:pt x="0" y="0"/>
              </a:moveTo>
              <a:lnTo>
                <a:pt x="0" y="114201"/>
              </a:lnTo>
              <a:lnTo>
                <a:pt x="4495321" y="114201"/>
              </a:lnTo>
              <a:lnTo>
                <a:pt x="4495321"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F2E93E-F9EA-479B-A31B-30BB7FD3179C}">
      <dsp:nvSpPr>
        <dsp:cNvPr id="0" name=""/>
        <dsp:cNvSpPr/>
      </dsp:nvSpPr>
      <dsp:spPr>
        <a:xfrm>
          <a:off x="15131504"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F59FC1-EB4B-4AC2-A2F3-238E90D2A6A2}">
      <dsp:nvSpPr>
        <dsp:cNvPr id="0" name=""/>
        <dsp:cNvSpPr/>
      </dsp:nvSpPr>
      <dsp:spPr>
        <a:xfrm>
          <a:off x="15131504"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DBDFD6-9161-43F7-8FBD-51E3ECFE3BC1}">
      <dsp:nvSpPr>
        <dsp:cNvPr id="0" name=""/>
        <dsp:cNvSpPr/>
      </dsp:nvSpPr>
      <dsp:spPr>
        <a:xfrm>
          <a:off x="12387271" y="4499078"/>
          <a:ext cx="3179285" cy="228402"/>
        </a:xfrm>
        <a:custGeom>
          <a:avLst/>
          <a:gdLst/>
          <a:ahLst/>
          <a:cxnLst/>
          <a:rect l="0" t="0" r="0" b="0"/>
          <a:pathLst>
            <a:path>
              <a:moveTo>
                <a:pt x="0" y="0"/>
              </a:moveTo>
              <a:lnTo>
                <a:pt x="0" y="114201"/>
              </a:lnTo>
              <a:lnTo>
                <a:pt x="3179285" y="114201"/>
              </a:lnTo>
              <a:lnTo>
                <a:pt x="317928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269013-AE84-4CD2-BA91-62C0195F9020}">
      <dsp:nvSpPr>
        <dsp:cNvPr id="0" name=""/>
        <dsp:cNvSpPr/>
      </dsp:nvSpPr>
      <dsp:spPr>
        <a:xfrm>
          <a:off x="13815468" y="5271297"/>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A52CE24-7002-4A98-8D09-0CCA16C9E098}">
      <dsp:nvSpPr>
        <dsp:cNvPr id="0" name=""/>
        <dsp:cNvSpPr/>
      </dsp:nvSpPr>
      <dsp:spPr>
        <a:xfrm>
          <a:off x="13815468" y="5271297"/>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C16A13-60F3-4DFE-A8DA-4CC67644ED35}">
      <dsp:nvSpPr>
        <dsp:cNvPr id="0" name=""/>
        <dsp:cNvSpPr/>
      </dsp:nvSpPr>
      <dsp:spPr>
        <a:xfrm>
          <a:off x="12387271" y="4499078"/>
          <a:ext cx="1863250" cy="228402"/>
        </a:xfrm>
        <a:custGeom>
          <a:avLst/>
          <a:gdLst/>
          <a:ahLst/>
          <a:cxnLst/>
          <a:rect l="0" t="0" r="0" b="0"/>
          <a:pathLst>
            <a:path>
              <a:moveTo>
                <a:pt x="0" y="0"/>
              </a:moveTo>
              <a:lnTo>
                <a:pt x="0" y="114201"/>
              </a:lnTo>
              <a:lnTo>
                <a:pt x="1863250" y="114201"/>
              </a:lnTo>
              <a:lnTo>
                <a:pt x="186325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657B33-D2D4-48BB-91CA-4F1CCF9D8BBA}">
      <dsp:nvSpPr>
        <dsp:cNvPr id="0" name=""/>
        <dsp:cNvSpPr/>
      </dsp:nvSpPr>
      <dsp:spPr>
        <a:xfrm>
          <a:off x="12499433" y="6043516"/>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21DA6BD-31D6-41D0-B726-A736D5CFE812}">
      <dsp:nvSpPr>
        <dsp:cNvPr id="0" name=""/>
        <dsp:cNvSpPr/>
      </dsp:nvSpPr>
      <dsp:spPr>
        <a:xfrm>
          <a:off x="12499433" y="6043516"/>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BAFE57F-DE67-4D29-AF0D-702084558D94}">
      <dsp:nvSpPr>
        <dsp:cNvPr id="0" name=""/>
        <dsp:cNvSpPr/>
      </dsp:nvSpPr>
      <dsp:spPr>
        <a:xfrm>
          <a:off x="12499433" y="6043516"/>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36765F-6468-4138-A7EB-DAE28F2AF4D5}">
      <dsp:nvSpPr>
        <dsp:cNvPr id="0" name=""/>
        <dsp:cNvSpPr/>
      </dsp:nvSpPr>
      <dsp:spPr>
        <a:xfrm>
          <a:off x="7891950" y="5271297"/>
          <a:ext cx="5042536" cy="228402"/>
        </a:xfrm>
        <a:custGeom>
          <a:avLst/>
          <a:gdLst/>
          <a:ahLst/>
          <a:cxnLst/>
          <a:rect l="0" t="0" r="0" b="0"/>
          <a:pathLst>
            <a:path>
              <a:moveTo>
                <a:pt x="0" y="0"/>
              </a:moveTo>
              <a:lnTo>
                <a:pt x="0" y="114201"/>
              </a:lnTo>
              <a:lnTo>
                <a:pt x="5042536" y="114201"/>
              </a:lnTo>
              <a:lnTo>
                <a:pt x="5042536"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335264-8E9D-453A-95BD-8EC56063F5FF}">
      <dsp:nvSpPr>
        <dsp:cNvPr id="0" name=""/>
        <dsp:cNvSpPr/>
      </dsp:nvSpPr>
      <dsp:spPr>
        <a:xfrm>
          <a:off x="7891950" y="5271297"/>
          <a:ext cx="3726500" cy="228402"/>
        </a:xfrm>
        <a:custGeom>
          <a:avLst/>
          <a:gdLst/>
          <a:ahLst/>
          <a:cxnLst/>
          <a:rect l="0" t="0" r="0" b="0"/>
          <a:pathLst>
            <a:path>
              <a:moveTo>
                <a:pt x="0" y="0"/>
              </a:moveTo>
              <a:lnTo>
                <a:pt x="0" y="114201"/>
              </a:lnTo>
              <a:lnTo>
                <a:pt x="3726500" y="114201"/>
              </a:lnTo>
              <a:lnTo>
                <a:pt x="372650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177CFA-589C-4E69-9A24-ED53803BDAF1}">
      <dsp:nvSpPr>
        <dsp:cNvPr id="0" name=""/>
        <dsp:cNvSpPr/>
      </dsp:nvSpPr>
      <dsp:spPr>
        <a:xfrm>
          <a:off x="20667553" y="10676830"/>
          <a:ext cx="163144" cy="5905844"/>
        </a:xfrm>
        <a:custGeom>
          <a:avLst/>
          <a:gdLst/>
          <a:ahLst/>
          <a:cxnLst/>
          <a:rect l="0" t="0" r="0" b="0"/>
          <a:pathLst>
            <a:path>
              <a:moveTo>
                <a:pt x="0" y="0"/>
              </a:moveTo>
              <a:lnTo>
                <a:pt x="0" y="5905844"/>
              </a:lnTo>
              <a:lnTo>
                <a:pt x="163144" y="59058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90A9AC-02A3-481E-B813-8AAB7255C8B5}">
      <dsp:nvSpPr>
        <dsp:cNvPr id="0" name=""/>
        <dsp:cNvSpPr/>
      </dsp:nvSpPr>
      <dsp:spPr>
        <a:xfrm>
          <a:off x="20667553" y="10676830"/>
          <a:ext cx="163144" cy="5133625"/>
        </a:xfrm>
        <a:custGeom>
          <a:avLst/>
          <a:gdLst/>
          <a:ahLst/>
          <a:cxnLst/>
          <a:rect l="0" t="0" r="0" b="0"/>
          <a:pathLst>
            <a:path>
              <a:moveTo>
                <a:pt x="0" y="0"/>
              </a:moveTo>
              <a:lnTo>
                <a:pt x="0" y="5133625"/>
              </a:lnTo>
              <a:lnTo>
                <a:pt x="163144" y="513362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E705CE-3B6B-4E1B-A235-F74A7358B414}">
      <dsp:nvSpPr>
        <dsp:cNvPr id="0" name=""/>
        <dsp:cNvSpPr/>
      </dsp:nvSpPr>
      <dsp:spPr>
        <a:xfrm>
          <a:off x="20667553" y="10676830"/>
          <a:ext cx="163144" cy="4361406"/>
        </a:xfrm>
        <a:custGeom>
          <a:avLst/>
          <a:gdLst/>
          <a:ahLst/>
          <a:cxnLst/>
          <a:rect l="0" t="0" r="0" b="0"/>
          <a:pathLst>
            <a:path>
              <a:moveTo>
                <a:pt x="0" y="0"/>
              </a:moveTo>
              <a:lnTo>
                <a:pt x="0" y="4361406"/>
              </a:lnTo>
              <a:lnTo>
                <a:pt x="163144" y="43614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570C70-5D6A-428E-B81A-9F5DB587CF4E}">
      <dsp:nvSpPr>
        <dsp:cNvPr id="0" name=""/>
        <dsp:cNvSpPr/>
      </dsp:nvSpPr>
      <dsp:spPr>
        <a:xfrm>
          <a:off x="20667553" y="10676830"/>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1A45956-E2B3-47B9-AB45-0E3D01DF6EDD}">
      <dsp:nvSpPr>
        <dsp:cNvPr id="0" name=""/>
        <dsp:cNvSpPr/>
      </dsp:nvSpPr>
      <dsp:spPr>
        <a:xfrm>
          <a:off x="20667553" y="10676830"/>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45A6BF7-567E-45C1-83E8-5CDEBFDB50DC}">
      <dsp:nvSpPr>
        <dsp:cNvPr id="0" name=""/>
        <dsp:cNvSpPr/>
      </dsp:nvSpPr>
      <dsp:spPr>
        <a:xfrm>
          <a:off x="20667553" y="10676830"/>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716452-68A5-4EBA-9E68-A00F368A2593}">
      <dsp:nvSpPr>
        <dsp:cNvPr id="0" name=""/>
        <dsp:cNvSpPr/>
      </dsp:nvSpPr>
      <dsp:spPr>
        <a:xfrm>
          <a:off x="20667553" y="10676830"/>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C63FCD-A146-4255-91B4-B158CE68F7C8}">
      <dsp:nvSpPr>
        <dsp:cNvPr id="0" name=""/>
        <dsp:cNvSpPr/>
      </dsp:nvSpPr>
      <dsp:spPr>
        <a:xfrm>
          <a:off x="20667553" y="10676830"/>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19435FF-988B-465B-85C1-27AEB3EABA5A}">
      <dsp:nvSpPr>
        <dsp:cNvPr id="0" name=""/>
        <dsp:cNvSpPr/>
      </dsp:nvSpPr>
      <dsp:spPr>
        <a:xfrm>
          <a:off x="15838465" y="9904611"/>
          <a:ext cx="5264141" cy="228402"/>
        </a:xfrm>
        <a:custGeom>
          <a:avLst/>
          <a:gdLst/>
          <a:ahLst/>
          <a:cxnLst/>
          <a:rect l="0" t="0" r="0" b="0"/>
          <a:pathLst>
            <a:path>
              <a:moveTo>
                <a:pt x="0" y="0"/>
              </a:moveTo>
              <a:lnTo>
                <a:pt x="0" y="114201"/>
              </a:lnTo>
              <a:lnTo>
                <a:pt x="5264141" y="114201"/>
              </a:lnTo>
              <a:lnTo>
                <a:pt x="5264141"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B54188-3B2B-453E-8C4A-DE92730EB48E}">
      <dsp:nvSpPr>
        <dsp:cNvPr id="0" name=""/>
        <dsp:cNvSpPr/>
      </dsp:nvSpPr>
      <dsp:spPr>
        <a:xfrm>
          <a:off x="15838465" y="9904611"/>
          <a:ext cx="3948106" cy="228402"/>
        </a:xfrm>
        <a:custGeom>
          <a:avLst/>
          <a:gdLst/>
          <a:ahLst/>
          <a:cxnLst/>
          <a:rect l="0" t="0" r="0" b="0"/>
          <a:pathLst>
            <a:path>
              <a:moveTo>
                <a:pt x="0" y="0"/>
              </a:moveTo>
              <a:lnTo>
                <a:pt x="0" y="114201"/>
              </a:lnTo>
              <a:lnTo>
                <a:pt x="3948106" y="114201"/>
              </a:lnTo>
              <a:lnTo>
                <a:pt x="3948106"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7E90BD-7613-4B3B-9837-11EE51C0FA75}">
      <dsp:nvSpPr>
        <dsp:cNvPr id="0" name=""/>
        <dsp:cNvSpPr/>
      </dsp:nvSpPr>
      <dsp:spPr>
        <a:xfrm>
          <a:off x="18035483" y="10676830"/>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75E7F50-CA3B-4B94-9C84-D30C0EFA147D}">
      <dsp:nvSpPr>
        <dsp:cNvPr id="0" name=""/>
        <dsp:cNvSpPr/>
      </dsp:nvSpPr>
      <dsp:spPr>
        <a:xfrm>
          <a:off x="18035483" y="10676830"/>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CA5565C-5280-483F-8356-4CF5E420EFD3}">
      <dsp:nvSpPr>
        <dsp:cNvPr id="0" name=""/>
        <dsp:cNvSpPr/>
      </dsp:nvSpPr>
      <dsp:spPr>
        <a:xfrm>
          <a:off x="15838465" y="9904611"/>
          <a:ext cx="2632070" cy="228402"/>
        </a:xfrm>
        <a:custGeom>
          <a:avLst/>
          <a:gdLst/>
          <a:ahLst/>
          <a:cxnLst/>
          <a:rect l="0" t="0" r="0" b="0"/>
          <a:pathLst>
            <a:path>
              <a:moveTo>
                <a:pt x="0" y="0"/>
              </a:moveTo>
              <a:lnTo>
                <a:pt x="0" y="114201"/>
              </a:lnTo>
              <a:lnTo>
                <a:pt x="2632070" y="114201"/>
              </a:lnTo>
              <a:lnTo>
                <a:pt x="263207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50F749C-55CC-4D6D-ACC8-894C7EC91FF9}">
      <dsp:nvSpPr>
        <dsp:cNvPr id="0" name=""/>
        <dsp:cNvSpPr/>
      </dsp:nvSpPr>
      <dsp:spPr>
        <a:xfrm>
          <a:off x="16719447" y="10676830"/>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42D5B0D-4616-4379-9F89-8C593BF45A29}">
      <dsp:nvSpPr>
        <dsp:cNvPr id="0" name=""/>
        <dsp:cNvSpPr/>
      </dsp:nvSpPr>
      <dsp:spPr>
        <a:xfrm>
          <a:off x="16719447" y="10676830"/>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D401A5-C6C5-46F3-BD23-5EF5F023BE9E}">
      <dsp:nvSpPr>
        <dsp:cNvPr id="0" name=""/>
        <dsp:cNvSpPr/>
      </dsp:nvSpPr>
      <dsp:spPr>
        <a:xfrm>
          <a:off x="15838465" y="9904611"/>
          <a:ext cx="1316035" cy="228402"/>
        </a:xfrm>
        <a:custGeom>
          <a:avLst/>
          <a:gdLst/>
          <a:ahLst/>
          <a:cxnLst/>
          <a:rect l="0" t="0" r="0" b="0"/>
          <a:pathLst>
            <a:path>
              <a:moveTo>
                <a:pt x="0" y="0"/>
              </a:moveTo>
              <a:lnTo>
                <a:pt x="0" y="114201"/>
              </a:lnTo>
              <a:lnTo>
                <a:pt x="1316035" y="114201"/>
              </a:lnTo>
              <a:lnTo>
                <a:pt x="131603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F99E82-E021-4737-AB63-D092CAF7495E}">
      <dsp:nvSpPr>
        <dsp:cNvPr id="0" name=""/>
        <dsp:cNvSpPr/>
      </dsp:nvSpPr>
      <dsp:spPr>
        <a:xfrm>
          <a:off x="15403412" y="10676830"/>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227FAF4-0D04-4D80-8D81-44FD4A222158}">
      <dsp:nvSpPr>
        <dsp:cNvPr id="0" name=""/>
        <dsp:cNvSpPr/>
      </dsp:nvSpPr>
      <dsp:spPr>
        <a:xfrm>
          <a:off x="15403412" y="10676830"/>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4A911D5-F31A-488B-99A2-7446882E9596}">
      <dsp:nvSpPr>
        <dsp:cNvPr id="0" name=""/>
        <dsp:cNvSpPr/>
      </dsp:nvSpPr>
      <dsp:spPr>
        <a:xfrm>
          <a:off x="15403412" y="10676830"/>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C9350F-FCEB-41C3-A134-0A738DC1E8E2}">
      <dsp:nvSpPr>
        <dsp:cNvPr id="0" name=""/>
        <dsp:cNvSpPr/>
      </dsp:nvSpPr>
      <dsp:spPr>
        <a:xfrm>
          <a:off x="15792745" y="9904611"/>
          <a:ext cx="91440" cy="228402"/>
        </a:xfrm>
        <a:custGeom>
          <a:avLst/>
          <a:gdLst/>
          <a:ahLst/>
          <a:cxnLst/>
          <a:rect l="0" t="0" r="0" b="0"/>
          <a:pathLst>
            <a:path>
              <a:moveTo>
                <a:pt x="45720" y="0"/>
              </a:moveTo>
              <a:lnTo>
                <a:pt x="4572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B0B690-40F4-443D-BF68-E911755BB61C}">
      <dsp:nvSpPr>
        <dsp:cNvPr id="0" name=""/>
        <dsp:cNvSpPr/>
      </dsp:nvSpPr>
      <dsp:spPr>
        <a:xfrm>
          <a:off x="14522430" y="9904611"/>
          <a:ext cx="1316035" cy="228402"/>
        </a:xfrm>
        <a:custGeom>
          <a:avLst/>
          <a:gdLst/>
          <a:ahLst/>
          <a:cxnLst/>
          <a:rect l="0" t="0" r="0" b="0"/>
          <a:pathLst>
            <a:path>
              <a:moveTo>
                <a:pt x="1316035" y="0"/>
              </a:moveTo>
              <a:lnTo>
                <a:pt x="1316035"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DD5090A-D463-406E-AA28-98500CF9DC62}">
      <dsp:nvSpPr>
        <dsp:cNvPr id="0" name=""/>
        <dsp:cNvSpPr/>
      </dsp:nvSpPr>
      <dsp:spPr>
        <a:xfrm>
          <a:off x="13206394" y="9904611"/>
          <a:ext cx="2632070" cy="228402"/>
        </a:xfrm>
        <a:custGeom>
          <a:avLst/>
          <a:gdLst/>
          <a:ahLst/>
          <a:cxnLst/>
          <a:rect l="0" t="0" r="0" b="0"/>
          <a:pathLst>
            <a:path>
              <a:moveTo>
                <a:pt x="2632070" y="0"/>
              </a:moveTo>
              <a:lnTo>
                <a:pt x="2632070"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0ECB2F-ACF0-41F1-9CCE-C485DF50640B}">
      <dsp:nvSpPr>
        <dsp:cNvPr id="0" name=""/>
        <dsp:cNvSpPr/>
      </dsp:nvSpPr>
      <dsp:spPr>
        <a:xfrm>
          <a:off x="11890359" y="9904611"/>
          <a:ext cx="3948106" cy="228402"/>
        </a:xfrm>
        <a:custGeom>
          <a:avLst/>
          <a:gdLst/>
          <a:ahLst/>
          <a:cxnLst/>
          <a:rect l="0" t="0" r="0" b="0"/>
          <a:pathLst>
            <a:path>
              <a:moveTo>
                <a:pt x="3948106" y="0"/>
              </a:moveTo>
              <a:lnTo>
                <a:pt x="3948106"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90BD94C-C88E-41EB-BB8E-5EF7BE6CE2F9}">
      <dsp:nvSpPr>
        <dsp:cNvPr id="0" name=""/>
        <dsp:cNvSpPr/>
      </dsp:nvSpPr>
      <dsp:spPr>
        <a:xfrm>
          <a:off x="10574324" y="9904611"/>
          <a:ext cx="5264141" cy="228402"/>
        </a:xfrm>
        <a:custGeom>
          <a:avLst/>
          <a:gdLst/>
          <a:ahLst/>
          <a:cxnLst/>
          <a:rect l="0" t="0" r="0" b="0"/>
          <a:pathLst>
            <a:path>
              <a:moveTo>
                <a:pt x="5264141" y="0"/>
              </a:moveTo>
              <a:lnTo>
                <a:pt x="5264141"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90256F-7FB1-4F21-AB55-D01E2BB6A683}">
      <dsp:nvSpPr>
        <dsp:cNvPr id="0" name=""/>
        <dsp:cNvSpPr/>
      </dsp:nvSpPr>
      <dsp:spPr>
        <a:xfrm>
          <a:off x="9867362" y="6043516"/>
          <a:ext cx="5427286" cy="3589187"/>
        </a:xfrm>
        <a:custGeom>
          <a:avLst/>
          <a:gdLst/>
          <a:ahLst/>
          <a:cxnLst/>
          <a:rect l="0" t="0" r="0" b="0"/>
          <a:pathLst>
            <a:path>
              <a:moveTo>
                <a:pt x="0" y="0"/>
              </a:moveTo>
              <a:lnTo>
                <a:pt x="0" y="3589187"/>
              </a:lnTo>
              <a:lnTo>
                <a:pt x="5427286"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BEA9358-73D3-4A08-9F0D-AC86DE1DC78E}">
      <dsp:nvSpPr>
        <dsp:cNvPr id="0" name=""/>
        <dsp:cNvSpPr/>
      </dsp:nvSpPr>
      <dsp:spPr>
        <a:xfrm>
          <a:off x="9867362" y="6043516"/>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CB2DA36-E113-4A95-940C-6ACC2289B23A}">
      <dsp:nvSpPr>
        <dsp:cNvPr id="0" name=""/>
        <dsp:cNvSpPr/>
      </dsp:nvSpPr>
      <dsp:spPr>
        <a:xfrm>
          <a:off x="9867362" y="6043516"/>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BEE4D-F5E8-410D-A1EA-F5F1B38BC68C}">
      <dsp:nvSpPr>
        <dsp:cNvPr id="0" name=""/>
        <dsp:cNvSpPr/>
      </dsp:nvSpPr>
      <dsp:spPr>
        <a:xfrm>
          <a:off x="9867362" y="6043516"/>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49F2EE8-A9B4-449E-91AC-FDD7CC004D48}">
      <dsp:nvSpPr>
        <dsp:cNvPr id="0" name=""/>
        <dsp:cNvSpPr/>
      </dsp:nvSpPr>
      <dsp:spPr>
        <a:xfrm>
          <a:off x="9867362" y="6043516"/>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63014B2-715B-4F2E-8C95-9F9E64178254}">
      <dsp:nvSpPr>
        <dsp:cNvPr id="0" name=""/>
        <dsp:cNvSpPr/>
      </dsp:nvSpPr>
      <dsp:spPr>
        <a:xfrm>
          <a:off x="7891950" y="5271297"/>
          <a:ext cx="2410465" cy="228402"/>
        </a:xfrm>
        <a:custGeom>
          <a:avLst/>
          <a:gdLst/>
          <a:ahLst/>
          <a:cxnLst/>
          <a:rect l="0" t="0" r="0" b="0"/>
          <a:pathLst>
            <a:path>
              <a:moveTo>
                <a:pt x="0" y="0"/>
              </a:moveTo>
              <a:lnTo>
                <a:pt x="0" y="114201"/>
              </a:lnTo>
              <a:lnTo>
                <a:pt x="2410465" y="114201"/>
              </a:lnTo>
              <a:lnTo>
                <a:pt x="2410465"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EDC0B39-3792-4A4B-9EF0-87136FA58764}">
      <dsp:nvSpPr>
        <dsp:cNvPr id="0" name=""/>
        <dsp:cNvSpPr/>
      </dsp:nvSpPr>
      <dsp:spPr>
        <a:xfrm>
          <a:off x="8551327" y="9904611"/>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C77CCB-D0E2-45BB-B21D-20310FD437AF}">
      <dsp:nvSpPr>
        <dsp:cNvPr id="0" name=""/>
        <dsp:cNvSpPr/>
      </dsp:nvSpPr>
      <dsp:spPr>
        <a:xfrm>
          <a:off x="8551327" y="9904611"/>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B2D7D50-D235-41A1-B7EB-BDCAE1A93195}">
      <dsp:nvSpPr>
        <dsp:cNvPr id="0" name=""/>
        <dsp:cNvSpPr/>
      </dsp:nvSpPr>
      <dsp:spPr>
        <a:xfrm>
          <a:off x="8551327" y="9904611"/>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1FB8098-11C4-4403-95C7-A08709462B84}">
      <dsp:nvSpPr>
        <dsp:cNvPr id="0" name=""/>
        <dsp:cNvSpPr/>
      </dsp:nvSpPr>
      <dsp:spPr>
        <a:xfrm>
          <a:off x="8279419" y="6043516"/>
          <a:ext cx="163144" cy="3589187"/>
        </a:xfrm>
        <a:custGeom>
          <a:avLst/>
          <a:gdLst/>
          <a:ahLst/>
          <a:cxnLst/>
          <a:rect l="0" t="0" r="0" b="0"/>
          <a:pathLst>
            <a:path>
              <a:moveTo>
                <a:pt x="0" y="0"/>
              </a:moveTo>
              <a:lnTo>
                <a:pt x="0" y="3589187"/>
              </a:lnTo>
              <a:lnTo>
                <a:pt x="163144" y="35891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58EB4C-843D-425F-B515-93F2E10A1D04}">
      <dsp:nvSpPr>
        <dsp:cNvPr id="0" name=""/>
        <dsp:cNvSpPr/>
      </dsp:nvSpPr>
      <dsp:spPr>
        <a:xfrm>
          <a:off x="8551327" y="7587954"/>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1D01BD-62B1-4C97-B85F-C12EF4F92E28}">
      <dsp:nvSpPr>
        <dsp:cNvPr id="0" name=""/>
        <dsp:cNvSpPr/>
      </dsp:nvSpPr>
      <dsp:spPr>
        <a:xfrm>
          <a:off x="8551327" y="7587954"/>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5DF9D2C-2463-4D45-8AE1-7899904C9F2F}">
      <dsp:nvSpPr>
        <dsp:cNvPr id="0" name=""/>
        <dsp:cNvSpPr/>
      </dsp:nvSpPr>
      <dsp:spPr>
        <a:xfrm>
          <a:off x="8279419" y="6043516"/>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51CBB15-86BD-4759-8FB1-6041E3ECBDC3}">
      <dsp:nvSpPr>
        <dsp:cNvPr id="0" name=""/>
        <dsp:cNvSpPr/>
      </dsp:nvSpPr>
      <dsp:spPr>
        <a:xfrm>
          <a:off x="8279419" y="6043516"/>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412D91D-E6DF-4CEA-8701-B073A8FD2290}">
      <dsp:nvSpPr>
        <dsp:cNvPr id="0" name=""/>
        <dsp:cNvSpPr/>
      </dsp:nvSpPr>
      <dsp:spPr>
        <a:xfrm>
          <a:off x="7891950" y="5271297"/>
          <a:ext cx="822522" cy="228402"/>
        </a:xfrm>
        <a:custGeom>
          <a:avLst/>
          <a:gdLst/>
          <a:ahLst/>
          <a:cxnLst/>
          <a:rect l="0" t="0" r="0" b="0"/>
          <a:pathLst>
            <a:path>
              <a:moveTo>
                <a:pt x="0" y="0"/>
              </a:moveTo>
              <a:lnTo>
                <a:pt x="0" y="114201"/>
              </a:lnTo>
              <a:lnTo>
                <a:pt x="822522" y="114201"/>
              </a:lnTo>
              <a:lnTo>
                <a:pt x="822522"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3CA8F7-E042-444D-AC9A-1B20BF13316C}">
      <dsp:nvSpPr>
        <dsp:cNvPr id="0" name=""/>
        <dsp:cNvSpPr/>
      </dsp:nvSpPr>
      <dsp:spPr>
        <a:xfrm>
          <a:off x="6963383" y="6815735"/>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B6907AF-976E-4DDC-B8CE-F0045249655B}">
      <dsp:nvSpPr>
        <dsp:cNvPr id="0" name=""/>
        <dsp:cNvSpPr/>
      </dsp:nvSpPr>
      <dsp:spPr>
        <a:xfrm>
          <a:off x="6963383" y="681573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B8DAE74-C1BE-4637-A8C4-CA3035967BAC}">
      <dsp:nvSpPr>
        <dsp:cNvPr id="0" name=""/>
        <dsp:cNvSpPr/>
      </dsp:nvSpPr>
      <dsp:spPr>
        <a:xfrm>
          <a:off x="6963383"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29EC56D-E536-4CEA-BB72-E567469C02DE}">
      <dsp:nvSpPr>
        <dsp:cNvPr id="0" name=""/>
        <dsp:cNvSpPr/>
      </dsp:nvSpPr>
      <dsp:spPr>
        <a:xfrm>
          <a:off x="6963383"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336E24-1947-48B4-B4F4-9A3FBEAFDD5D}">
      <dsp:nvSpPr>
        <dsp:cNvPr id="0" name=""/>
        <dsp:cNvSpPr/>
      </dsp:nvSpPr>
      <dsp:spPr>
        <a:xfrm>
          <a:off x="6740419" y="6043516"/>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FB3316-E80C-471D-94F4-6ADC2A834BEF}">
      <dsp:nvSpPr>
        <dsp:cNvPr id="0" name=""/>
        <dsp:cNvSpPr/>
      </dsp:nvSpPr>
      <dsp:spPr>
        <a:xfrm>
          <a:off x="5647348"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95C4E54-A506-4F12-9BB8-CFB24DB8D6EF}">
      <dsp:nvSpPr>
        <dsp:cNvPr id="0" name=""/>
        <dsp:cNvSpPr/>
      </dsp:nvSpPr>
      <dsp:spPr>
        <a:xfrm>
          <a:off x="5647348"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CCF6D34-7478-462D-A3CB-98B162ADBDF8}">
      <dsp:nvSpPr>
        <dsp:cNvPr id="0" name=""/>
        <dsp:cNvSpPr/>
      </dsp:nvSpPr>
      <dsp:spPr>
        <a:xfrm>
          <a:off x="6082401" y="6043516"/>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C85DF5-9E13-4F62-A8BB-465DFFB235FD}">
      <dsp:nvSpPr>
        <dsp:cNvPr id="0" name=""/>
        <dsp:cNvSpPr/>
      </dsp:nvSpPr>
      <dsp:spPr>
        <a:xfrm>
          <a:off x="6740419" y="5271297"/>
          <a:ext cx="1151530" cy="228402"/>
        </a:xfrm>
        <a:custGeom>
          <a:avLst/>
          <a:gdLst/>
          <a:ahLst/>
          <a:cxnLst/>
          <a:rect l="0" t="0" r="0" b="0"/>
          <a:pathLst>
            <a:path>
              <a:moveTo>
                <a:pt x="1151530" y="0"/>
              </a:moveTo>
              <a:lnTo>
                <a:pt x="1151530"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9DAE5A-10A2-412C-BFD7-2CF17ECBFCA0}">
      <dsp:nvSpPr>
        <dsp:cNvPr id="0" name=""/>
        <dsp:cNvSpPr/>
      </dsp:nvSpPr>
      <dsp:spPr>
        <a:xfrm>
          <a:off x="4331313" y="18399021"/>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D289AC-5E39-419B-A1F5-26964B159C43}">
      <dsp:nvSpPr>
        <dsp:cNvPr id="0" name=""/>
        <dsp:cNvSpPr/>
      </dsp:nvSpPr>
      <dsp:spPr>
        <a:xfrm>
          <a:off x="4331313" y="18399021"/>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B4B6ADA-3736-4CCC-A7F5-3630BA0EE1B7}">
      <dsp:nvSpPr>
        <dsp:cNvPr id="0" name=""/>
        <dsp:cNvSpPr/>
      </dsp:nvSpPr>
      <dsp:spPr>
        <a:xfrm>
          <a:off x="4331313" y="18399021"/>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726CE78-B518-4A61-AD7B-DB3E0A61F47A}">
      <dsp:nvSpPr>
        <dsp:cNvPr id="0" name=""/>
        <dsp:cNvSpPr/>
      </dsp:nvSpPr>
      <dsp:spPr>
        <a:xfrm>
          <a:off x="4059405" y="6815735"/>
          <a:ext cx="163144" cy="11311378"/>
        </a:xfrm>
        <a:custGeom>
          <a:avLst/>
          <a:gdLst/>
          <a:ahLst/>
          <a:cxnLst/>
          <a:rect l="0" t="0" r="0" b="0"/>
          <a:pathLst>
            <a:path>
              <a:moveTo>
                <a:pt x="0" y="0"/>
              </a:moveTo>
              <a:lnTo>
                <a:pt x="0" y="11311378"/>
              </a:lnTo>
              <a:lnTo>
                <a:pt x="163144" y="1131137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AE17A5-94DC-492D-90D3-BC9FC14A6EEC}">
      <dsp:nvSpPr>
        <dsp:cNvPr id="0" name=""/>
        <dsp:cNvSpPr/>
      </dsp:nvSpPr>
      <dsp:spPr>
        <a:xfrm>
          <a:off x="4331313" y="15310145"/>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AC1EDA9-E2F0-441C-BD45-AF4DA73867DF}">
      <dsp:nvSpPr>
        <dsp:cNvPr id="0" name=""/>
        <dsp:cNvSpPr/>
      </dsp:nvSpPr>
      <dsp:spPr>
        <a:xfrm>
          <a:off x="4331313" y="1531014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4665FC-0945-42CD-95A4-23DBD0DC3279}">
      <dsp:nvSpPr>
        <dsp:cNvPr id="0" name=""/>
        <dsp:cNvSpPr/>
      </dsp:nvSpPr>
      <dsp:spPr>
        <a:xfrm>
          <a:off x="4331313" y="1531014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CA59E38-E784-475C-8EED-285AA5A4C5FA}">
      <dsp:nvSpPr>
        <dsp:cNvPr id="0" name=""/>
        <dsp:cNvSpPr/>
      </dsp:nvSpPr>
      <dsp:spPr>
        <a:xfrm>
          <a:off x="4059405" y="6815735"/>
          <a:ext cx="163144" cy="8222501"/>
        </a:xfrm>
        <a:custGeom>
          <a:avLst/>
          <a:gdLst/>
          <a:ahLst/>
          <a:cxnLst/>
          <a:rect l="0" t="0" r="0" b="0"/>
          <a:pathLst>
            <a:path>
              <a:moveTo>
                <a:pt x="0" y="0"/>
              </a:moveTo>
              <a:lnTo>
                <a:pt x="0" y="8222501"/>
              </a:lnTo>
              <a:lnTo>
                <a:pt x="163144" y="822250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BA05ED8-3067-47DA-B234-5324D51AA647}">
      <dsp:nvSpPr>
        <dsp:cNvPr id="0" name=""/>
        <dsp:cNvSpPr/>
      </dsp:nvSpPr>
      <dsp:spPr>
        <a:xfrm>
          <a:off x="4059405" y="6815735"/>
          <a:ext cx="163144" cy="7450282"/>
        </a:xfrm>
        <a:custGeom>
          <a:avLst/>
          <a:gdLst/>
          <a:ahLst/>
          <a:cxnLst/>
          <a:rect l="0" t="0" r="0" b="0"/>
          <a:pathLst>
            <a:path>
              <a:moveTo>
                <a:pt x="0" y="0"/>
              </a:moveTo>
              <a:lnTo>
                <a:pt x="0" y="7450282"/>
              </a:lnTo>
              <a:lnTo>
                <a:pt x="163144" y="74502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BA87D69-0C68-4EAF-BFBA-5B0F0922A1EC}">
      <dsp:nvSpPr>
        <dsp:cNvPr id="0" name=""/>
        <dsp:cNvSpPr/>
      </dsp:nvSpPr>
      <dsp:spPr>
        <a:xfrm>
          <a:off x="4059405" y="6815735"/>
          <a:ext cx="163144" cy="6678063"/>
        </a:xfrm>
        <a:custGeom>
          <a:avLst/>
          <a:gdLst/>
          <a:ahLst/>
          <a:cxnLst/>
          <a:rect l="0" t="0" r="0" b="0"/>
          <a:pathLst>
            <a:path>
              <a:moveTo>
                <a:pt x="0" y="0"/>
              </a:moveTo>
              <a:lnTo>
                <a:pt x="0" y="6678063"/>
              </a:lnTo>
              <a:lnTo>
                <a:pt x="163144" y="66780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16A1FAD-6C22-4FC2-B824-5B6B937897EC}">
      <dsp:nvSpPr>
        <dsp:cNvPr id="0" name=""/>
        <dsp:cNvSpPr/>
      </dsp:nvSpPr>
      <dsp:spPr>
        <a:xfrm>
          <a:off x="4059405" y="6815735"/>
          <a:ext cx="163144" cy="5905844"/>
        </a:xfrm>
        <a:custGeom>
          <a:avLst/>
          <a:gdLst/>
          <a:ahLst/>
          <a:cxnLst/>
          <a:rect l="0" t="0" r="0" b="0"/>
          <a:pathLst>
            <a:path>
              <a:moveTo>
                <a:pt x="0" y="0"/>
              </a:moveTo>
              <a:lnTo>
                <a:pt x="0" y="5905844"/>
              </a:lnTo>
              <a:lnTo>
                <a:pt x="163144" y="59058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B3085C-A02D-4C21-8C7E-64AFA8BF9295}">
      <dsp:nvSpPr>
        <dsp:cNvPr id="0" name=""/>
        <dsp:cNvSpPr/>
      </dsp:nvSpPr>
      <dsp:spPr>
        <a:xfrm>
          <a:off x="4059405" y="6815735"/>
          <a:ext cx="163144" cy="5133625"/>
        </a:xfrm>
        <a:custGeom>
          <a:avLst/>
          <a:gdLst/>
          <a:ahLst/>
          <a:cxnLst/>
          <a:rect l="0" t="0" r="0" b="0"/>
          <a:pathLst>
            <a:path>
              <a:moveTo>
                <a:pt x="0" y="0"/>
              </a:moveTo>
              <a:lnTo>
                <a:pt x="0" y="5133625"/>
              </a:lnTo>
              <a:lnTo>
                <a:pt x="163144" y="513362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2FCD2-EDFD-4F3B-9000-3157F0DFF34A}">
      <dsp:nvSpPr>
        <dsp:cNvPr id="0" name=""/>
        <dsp:cNvSpPr/>
      </dsp:nvSpPr>
      <dsp:spPr>
        <a:xfrm>
          <a:off x="4059405" y="6815735"/>
          <a:ext cx="163144" cy="4361406"/>
        </a:xfrm>
        <a:custGeom>
          <a:avLst/>
          <a:gdLst/>
          <a:ahLst/>
          <a:cxnLst/>
          <a:rect l="0" t="0" r="0" b="0"/>
          <a:pathLst>
            <a:path>
              <a:moveTo>
                <a:pt x="0" y="0"/>
              </a:moveTo>
              <a:lnTo>
                <a:pt x="0" y="4361406"/>
              </a:lnTo>
              <a:lnTo>
                <a:pt x="163144" y="43614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E7C9CC7-CC65-4F06-8FF8-030F3350E547}">
      <dsp:nvSpPr>
        <dsp:cNvPr id="0" name=""/>
        <dsp:cNvSpPr/>
      </dsp:nvSpPr>
      <dsp:spPr>
        <a:xfrm>
          <a:off x="4331313" y="7587954"/>
          <a:ext cx="163144" cy="2816968"/>
        </a:xfrm>
        <a:custGeom>
          <a:avLst/>
          <a:gdLst/>
          <a:ahLst/>
          <a:cxnLst/>
          <a:rect l="0" t="0" r="0" b="0"/>
          <a:pathLst>
            <a:path>
              <a:moveTo>
                <a:pt x="0" y="0"/>
              </a:moveTo>
              <a:lnTo>
                <a:pt x="0" y="2816968"/>
              </a:lnTo>
              <a:lnTo>
                <a:pt x="163144" y="281696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98D44D5-CFD9-471F-A5A2-47475B0761BC}">
      <dsp:nvSpPr>
        <dsp:cNvPr id="0" name=""/>
        <dsp:cNvSpPr/>
      </dsp:nvSpPr>
      <dsp:spPr>
        <a:xfrm>
          <a:off x="4331313" y="7587954"/>
          <a:ext cx="163144" cy="2044749"/>
        </a:xfrm>
        <a:custGeom>
          <a:avLst/>
          <a:gdLst/>
          <a:ahLst/>
          <a:cxnLst/>
          <a:rect l="0" t="0" r="0" b="0"/>
          <a:pathLst>
            <a:path>
              <a:moveTo>
                <a:pt x="0" y="0"/>
              </a:moveTo>
              <a:lnTo>
                <a:pt x="0" y="2044749"/>
              </a:lnTo>
              <a:lnTo>
                <a:pt x="163144" y="2044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793FFBD-ABE0-453D-A51F-014C7DFEA590}">
      <dsp:nvSpPr>
        <dsp:cNvPr id="0" name=""/>
        <dsp:cNvSpPr/>
      </dsp:nvSpPr>
      <dsp:spPr>
        <a:xfrm>
          <a:off x="4331313" y="7587954"/>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B1B710-91FD-4E35-8413-4D8F37346F5D}">
      <dsp:nvSpPr>
        <dsp:cNvPr id="0" name=""/>
        <dsp:cNvSpPr/>
      </dsp:nvSpPr>
      <dsp:spPr>
        <a:xfrm>
          <a:off x="4331313" y="7587954"/>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249A1C-ABC3-483B-8DE2-CAE366E10BE2}">
      <dsp:nvSpPr>
        <dsp:cNvPr id="0" name=""/>
        <dsp:cNvSpPr/>
      </dsp:nvSpPr>
      <dsp:spPr>
        <a:xfrm>
          <a:off x="4059405"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F58865D-C2EA-4D5E-86C9-8869486E9D3E}">
      <dsp:nvSpPr>
        <dsp:cNvPr id="0" name=""/>
        <dsp:cNvSpPr/>
      </dsp:nvSpPr>
      <dsp:spPr>
        <a:xfrm>
          <a:off x="2849413" y="6043516"/>
          <a:ext cx="1645044" cy="228402"/>
        </a:xfrm>
        <a:custGeom>
          <a:avLst/>
          <a:gdLst/>
          <a:ahLst/>
          <a:cxnLst/>
          <a:rect l="0" t="0" r="0" b="0"/>
          <a:pathLst>
            <a:path>
              <a:moveTo>
                <a:pt x="0" y="0"/>
              </a:moveTo>
              <a:lnTo>
                <a:pt x="0" y="114201"/>
              </a:lnTo>
              <a:lnTo>
                <a:pt x="1645044" y="114201"/>
              </a:lnTo>
              <a:lnTo>
                <a:pt x="1645044"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C3E728-96E8-441C-979B-C522F79F7EE4}">
      <dsp:nvSpPr>
        <dsp:cNvPr id="0" name=""/>
        <dsp:cNvSpPr/>
      </dsp:nvSpPr>
      <dsp:spPr>
        <a:xfrm>
          <a:off x="2743369" y="6815735"/>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EA436B-D0B8-4714-ADFF-95643252547A}">
      <dsp:nvSpPr>
        <dsp:cNvPr id="0" name=""/>
        <dsp:cNvSpPr/>
      </dsp:nvSpPr>
      <dsp:spPr>
        <a:xfrm>
          <a:off x="2743369" y="6815735"/>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1B590C-B050-43A0-8E6F-C029377877ED}">
      <dsp:nvSpPr>
        <dsp:cNvPr id="0" name=""/>
        <dsp:cNvSpPr/>
      </dsp:nvSpPr>
      <dsp:spPr>
        <a:xfrm>
          <a:off x="2849413" y="6043516"/>
          <a:ext cx="329008" cy="228402"/>
        </a:xfrm>
        <a:custGeom>
          <a:avLst/>
          <a:gdLst/>
          <a:ahLst/>
          <a:cxnLst/>
          <a:rect l="0" t="0" r="0" b="0"/>
          <a:pathLst>
            <a:path>
              <a:moveTo>
                <a:pt x="0" y="0"/>
              </a:moveTo>
              <a:lnTo>
                <a:pt x="0" y="114201"/>
              </a:lnTo>
              <a:lnTo>
                <a:pt x="329008" y="114201"/>
              </a:lnTo>
              <a:lnTo>
                <a:pt x="329008"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98777F2-52FB-464C-A2A9-0F27AF93ED99}">
      <dsp:nvSpPr>
        <dsp:cNvPr id="0" name=""/>
        <dsp:cNvSpPr/>
      </dsp:nvSpPr>
      <dsp:spPr>
        <a:xfrm>
          <a:off x="1427334" y="7587954"/>
          <a:ext cx="163144" cy="1272530"/>
        </a:xfrm>
        <a:custGeom>
          <a:avLst/>
          <a:gdLst/>
          <a:ahLst/>
          <a:cxnLst/>
          <a:rect l="0" t="0" r="0" b="0"/>
          <a:pathLst>
            <a:path>
              <a:moveTo>
                <a:pt x="0" y="0"/>
              </a:moveTo>
              <a:lnTo>
                <a:pt x="0" y="1272530"/>
              </a:lnTo>
              <a:lnTo>
                <a:pt x="163144" y="1272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A52C2D-48E8-4BE1-8549-897717976730}">
      <dsp:nvSpPr>
        <dsp:cNvPr id="0" name=""/>
        <dsp:cNvSpPr/>
      </dsp:nvSpPr>
      <dsp:spPr>
        <a:xfrm>
          <a:off x="1427334" y="7587954"/>
          <a:ext cx="163144" cy="500310"/>
        </a:xfrm>
        <a:custGeom>
          <a:avLst/>
          <a:gdLst/>
          <a:ahLst/>
          <a:cxnLst/>
          <a:rect l="0" t="0" r="0" b="0"/>
          <a:pathLst>
            <a:path>
              <a:moveTo>
                <a:pt x="0" y="0"/>
              </a:moveTo>
              <a:lnTo>
                <a:pt x="0" y="500310"/>
              </a:lnTo>
              <a:lnTo>
                <a:pt x="163144" y="50031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F52E3B-B16F-42CC-AFFC-5EAFE45F8123}">
      <dsp:nvSpPr>
        <dsp:cNvPr id="0" name=""/>
        <dsp:cNvSpPr/>
      </dsp:nvSpPr>
      <dsp:spPr>
        <a:xfrm>
          <a:off x="1204369" y="6815735"/>
          <a:ext cx="658017" cy="228402"/>
        </a:xfrm>
        <a:custGeom>
          <a:avLst/>
          <a:gdLst/>
          <a:ahLst/>
          <a:cxnLst/>
          <a:rect l="0" t="0" r="0" b="0"/>
          <a:pathLst>
            <a:path>
              <a:moveTo>
                <a:pt x="0" y="0"/>
              </a:moveTo>
              <a:lnTo>
                <a:pt x="0" y="114201"/>
              </a:lnTo>
              <a:lnTo>
                <a:pt x="658017" y="114201"/>
              </a:lnTo>
              <a:lnTo>
                <a:pt x="658017"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B3DB7C-6F0D-464E-9395-193B4C0C524D}">
      <dsp:nvSpPr>
        <dsp:cNvPr id="0" name=""/>
        <dsp:cNvSpPr/>
      </dsp:nvSpPr>
      <dsp:spPr>
        <a:xfrm>
          <a:off x="546352" y="6815735"/>
          <a:ext cx="658017" cy="228402"/>
        </a:xfrm>
        <a:custGeom>
          <a:avLst/>
          <a:gdLst/>
          <a:ahLst/>
          <a:cxnLst/>
          <a:rect l="0" t="0" r="0" b="0"/>
          <a:pathLst>
            <a:path>
              <a:moveTo>
                <a:pt x="658017" y="0"/>
              </a:moveTo>
              <a:lnTo>
                <a:pt x="658017"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3F7803-43A4-439D-9A4F-14B0C0C377C5}">
      <dsp:nvSpPr>
        <dsp:cNvPr id="0" name=""/>
        <dsp:cNvSpPr/>
      </dsp:nvSpPr>
      <dsp:spPr>
        <a:xfrm>
          <a:off x="1204369" y="6043516"/>
          <a:ext cx="1645044" cy="228402"/>
        </a:xfrm>
        <a:custGeom>
          <a:avLst/>
          <a:gdLst/>
          <a:ahLst/>
          <a:cxnLst/>
          <a:rect l="0" t="0" r="0" b="0"/>
          <a:pathLst>
            <a:path>
              <a:moveTo>
                <a:pt x="1645044" y="0"/>
              </a:moveTo>
              <a:lnTo>
                <a:pt x="1645044"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48A3A5-3437-4F52-A19B-25571B2433A7}">
      <dsp:nvSpPr>
        <dsp:cNvPr id="0" name=""/>
        <dsp:cNvSpPr/>
      </dsp:nvSpPr>
      <dsp:spPr>
        <a:xfrm>
          <a:off x="2849413" y="5271297"/>
          <a:ext cx="5042536" cy="228402"/>
        </a:xfrm>
        <a:custGeom>
          <a:avLst/>
          <a:gdLst/>
          <a:ahLst/>
          <a:cxnLst/>
          <a:rect l="0" t="0" r="0" b="0"/>
          <a:pathLst>
            <a:path>
              <a:moveTo>
                <a:pt x="5042536" y="0"/>
              </a:moveTo>
              <a:lnTo>
                <a:pt x="5042536"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CC4BB92-6ADF-4F0A-9BBA-0F7A5DC71FEC}">
      <dsp:nvSpPr>
        <dsp:cNvPr id="0" name=""/>
        <dsp:cNvSpPr/>
      </dsp:nvSpPr>
      <dsp:spPr>
        <a:xfrm>
          <a:off x="7891950" y="4499078"/>
          <a:ext cx="4495321" cy="228402"/>
        </a:xfrm>
        <a:custGeom>
          <a:avLst/>
          <a:gdLst/>
          <a:ahLst/>
          <a:cxnLst/>
          <a:rect l="0" t="0" r="0" b="0"/>
          <a:pathLst>
            <a:path>
              <a:moveTo>
                <a:pt x="4495321" y="0"/>
              </a:moveTo>
              <a:lnTo>
                <a:pt x="4495321" y="114201"/>
              </a:lnTo>
              <a:lnTo>
                <a:pt x="0" y="114201"/>
              </a:lnTo>
              <a:lnTo>
                <a:pt x="0" y="2284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04FFC6-9EA5-4641-AE1D-5CFA55FE4B05}">
      <dsp:nvSpPr>
        <dsp:cNvPr id="0" name=""/>
        <dsp:cNvSpPr/>
      </dsp:nvSpPr>
      <dsp:spPr>
        <a:xfrm>
          <a:off x="12387271" y="3726859"/>
          <a:ext cx="26778475" cy="228402"/>
        </a:xfrm>
        <a:custGeom>
          <a:avLst/>
          <a:gdLst/>
          <a:ahLst/>
          <a:cxnLst/>
          <a:rect l="0" t="0" r="0" b="0"/>
          <a:pathLst>
            <a:path>
              <a:moveTo>
                <a:pt x="26778475" y="0"/>
              </a:moveTo>
              <a:lnTo>
                <a:pt x="26778475" y="114201"/>
              </a:lnTo>
              <a:lnTo>
                <a:pt x="0" y="114201"/>
              </a:lnTo>
              <a:lnTo>
                <a:pt x="0" y="228402"/>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D6751DD-A043-4022-ACF2-1C96AF6C95F9}">
      <dsp:nvSpPr>
        <dsp:cNvPr id="0" name=""/>
        <dsp:cNvSpPr/>
      </dsp:nvSpPr>
      <dsp:spPr>
        <a:xfrm>
          <a:off x="38621930" y="3183042"/>
          <a:ext cx="1087632" cy="543816"/>
        </a:xfrm>
        <a:prstGeom prst="rect">
          <a:avLst/>
        </a:prstGeom>
        <a:solidFill>
          <a:schemeClr val="accent1">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r>
            <a:rPr lang="en-US" sz="1400" b="1" kern="1200">
              <a:solidFill>
                <a:sysClr val="windowText" lastClr="000000"/>
              </a:solidFill>
            </a:rPr>
            <a:t>Energy</a:t>
          </a:r>
          <a:br>
            <a:rPr lang="en-US" sz="1400" b="1" kern="1200">
              <a:solidFill>
                <a:sysClr val="windowText" lastClr="000000"/>
              </a:solidFill>
            </a:rPr>
          </a:br>
          <a:r>
            <a:rPr lang="en-US" sz="1200" b="0" kern="1200">
              <a:solidFill>
                <a:sysClr val="windowText" lastClr="000000"/>
              </a:solidFill>
            </a:rPr>
            <a:t>900000</a:t>
          </a:r>
          <a:endParaRPr lang="en-US" sz="1400" b="0" kern="1200">
            <a:solidFill>
              <a:sysClr val="windowText" lastClr="000000"/>
            </a:solidFill>
          </a:endParaRPr>
        </a:p>
      </dsp:txBody>
      <dsp:txXfrm>
        <a:off x="38621930" y="3183042"/>
        <a:ext cx="1087632" cy="543816"/>
      </dsp:txXfrm>
    </dsp:sp>
    <dsp:sp modelId="{E54A3918-1E03-4C4D-B367-E1EDCFDCB376}">
      <dsp:nvSpPr>
        <dsp:cNvPr id="0" name=""/>
        <dsp:cNvSpPr/>
      </dsp:nvSpPr>
      <dsp:spPr>
        <a:xfrm>
          <a:off x="11843455" y="3955261"/>
          <a:ext cx="1087632" cy="543816"/>
        </a:xfrm>
        <a:prstGeom prst="rect">
          <a:avLst/>
        </a:prstGeom>
        <a:solidFill>
          <a:schemeClr val="bg1">
            <a:lumMod val="5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533400">
            <a:lnSpc>
              <a:spcPct val="90000"/>
            </a:lnSpc>
            <a:spcBef>
              <a:spcPct val="0"/>
            </a:spcBef>
            <a:spcAft>
              <a:spcPct val="35000"/>
            </a:spcAft>
            <a:buNone/>
          </a:pPr>
          <a:r>
            <a:rPr lang="en-US" sz="1200" b="1" kern="1200">
              <a:solidFill>
                <a:schemeClr val="bg1"/>
              </a:solidFill>
            </a:rPr>
            <a:t>Non-renewable energy</a:t>
          </a:r>
          <a:br>
            <a:rPr lang="en-US" sz="1200" b="1" kern="1200">
              <a:solidFill>
                <a:schemeClr val="bg1"/>
              </a:solidFill>
            </a:rPr>
          </a:br>
          <a:r>
            <a:rPr lang="en-US" sz="1100" b="0" kern="1200">
              <a:solidFill>
                <a:schemeClr val="bg1"/>
              </a:solidFill>
            </a:rPr>
            <a:t>100000</a:t>
          </a:r>
          <a:endParaRPr lang="en-US" sz="1200" b="0" kern="1200">
            <a:solidFill>
              <a:schemeClr val="bg1"/>
            </a:solidFill>
          </a:endParaRPr>
        </a:p>
      </dsp:txBody>
      <dsp:txXfrm>
        <a:off x="11843455" y="3955261"/>
        <a:ext cx="1087632" cy="543816"/>
      </dsp:txXfrm>
    </dsp:sp>
    <dsp:sp modelId="{992E0C3F-42F3-4CC1-A288-5064FE474712}">
      <dsp:nvSpPr>
        <dsp:cNvPr id="0" name=""/>
        <dsp:cNvSpPr/>
      </dsp:nvSpPr>
      <dsp:spPr>
        <a:xfrm>
          <a:off x="7348134" y="4727480"/>
          <a:ext cx="1087632" cy="543816"/>
        </a:xfrm>
        <a:prstGeom prst="rect">
          <a:avLst/>
        </a:prstGeom>
        <a:solidFill>
          <a:schemeClr val="bg2"/>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Fossil fuels </a:t>
          </a:r>
          <a:br>
            <a:rPr lang="en-US" sz="1050" b="1" kern="1200">
              <a:solidFill>
                <a:sysClr val="windowText" lastClr="000000"/>
              </a:solidFill>
            </a:rPr>
          </a:br>
          <a:r>
            <a:rPr lang="en-US" sz="1000" b="0" kern="1200">
              <a:solidFill>
                <a:sysClr val="windowText" lastClr="000000"/>
              </a:solidFill>
            </a:rPr>
            <a:t>110000</a:t>
          </a:r>
          <a:endParaRPr lang="en-US" sz="1050" b="0" kern="1200">
            <a:solidFill>
              <a:sysClr val="windowText" lastClr="000000"/>
            </a:solidFill>
          </a:endParaRPr>
        </a:p>
      </dsp:txBody>
      <dsp:txXfrm>
        <a:off x="7348134" y="4727480"/>
        <a:ext cx="1087632" cy="543816"/>
      </dsp:txXfrm>
    </dsp:sp>
    <dsp:sp modelId="{D5FA9279-95CF-4D83-BA68-D5AE8F5A2A60}">
      <dsp:nvSpPr>
        <dsp:cNvPr id="0" name=""/>
        <dsp:cNvSpPr/>
      </dsp:nvSpPr>
      <dsp:spPr>
        <a:xfrm>
          <a:off x="2305597"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a:t>
          </a:r>
          <a:br>
            <a:rPr lang="en-US" sz="1050" b="1" kern="1200">
              <a:solidFill>
                <a:sysClr val="windowText" lastClr="000000"/>
              </a:solidFill>
            </a:rPr>
          </a:br>
          <a:r>
            <a:rPr lang="en-US" sz="1000" b="0" kern="1200">
              <a:solidFill>
                <a:sysClr val="windowText" lastClr="000000"/>
              </a:solidFill>
            </a:rPr>
            <a:t>111000</a:t>
          </a:r>
          <a:endParaRPr lang="en-US" sz="1050" b="0" kern="1200">
            <a:solidFill>
              <a:sysClr val="windowText" lastClr="000000"/>
            </a:solidFill>
          </a:endParaRPr>
        </a:p>
      </dsp:txBody>
      <dsp:txXfrm>
        <a:off x="2305597" y="5499700"/>
        <a:ext cx="1087632" cy="543816"/>
      </dsp:txXfrm>
    </dsp:sp>
    <dsp:sp modelId="{A4DD2796-1B77-4CC5-A1D4-C68ABA607BD3}">
      <dsp:nvSpPr>
        <dsp:cNvPr id="0" name=""/>
        <dsp:cNvSpPr/>
      </dsp:nvSpPr>
      <dsp:spPr>
        <a:xfrm>
          <a:off x="660553"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Hard coal</a:t>
          </a:r>
          <a:br>
            <a:rPr lang="en-US" sz="1050" b="1" kern="1200">
              <a:solidFill>
                <a:sysClr val="windowText" lastClr="000000"/>
              </a:solidFill>
            </a:rPr>
          </a:br>
          <a:r>
            <a:rPr lang="en-US" sz="1000" b="0" kern="1200">
              <a:solidFill>
                <a:sysClr val="windowText" lastClr="000000"/>
              </a:solidFill>
            </a:rPr>
            <a:t>111100</a:t>
          </a:r>
          <a:endParaRPr lang="en-US" sz="1050" b="0" kern="1200">
            <a:solidFill>
              <a:sysClr val="windowText" lastClr="000000"/>
            </a:solidFill>
          </a:endParaRPr>
        </a:p>
      </dsp:txBody>
      <dsp:txXfrm>
        <a:off x="660553" y="6271919"/>
        <a:ext cx="1087632" cy="543816"/>
      </dsp:txXfrm>
    </dsp:sp>
    <dsp:sp modelId="{3C2A7602-E2BA-4D42-9EA8-0BC8C24DBD9F}">
      <dsp:nvSpPr>
        <dsp:cNvPr id="0" name=""/>
        <dsp:cNvSpPr/>
      </dsp:nvSpPr>
      <dsp:spPr>
        <a:xfrm>
          <a:off x="2535"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Anthracite</a:t>
          </a:r>
          <a:br>
            <a:rPr lang="en-US" sz="1050" b="1" kern="1200">
              <a:solidFill>
                <a:sysClr val="windowText" lastClr="000000"/>
              </a:solidFill>
            </a:rPr>
          </a:br>
          <a:r>
            <a:rPr lang="en-US" sz="1000" b="0" kern="1200">
              <a:solidFill>
                <a:sysClr val="windowText" lastClr="000000"/>
              </a:solidFill>
            </a:rPr>
            <a:t>111110</a:t>
          </a:r>
          <a:endParaRPr lang="en-US" sz="1050" b="0" kern="1200">
            <a:solidFill>
              <a:sysClr val="windowText" lastClr="000000"/>
            </a:solidFill>
          </a:endParaRPr>
        </a:p>
      </dsp:txBody>
      <dsp:txXfrm>
        <a:off x="2535" y="7044138"/>
        <a:ext cx="1087632" cy="543816"/>
      </dsp:txXfrm>
    </dsp:sp>
    <dsp:sp modelId="{2F731B9B-DB74-4B61-AA66-F931A3A3850E}">
      <dsp:nvSpPr>
        <dsp:cNvPr id="0" name=""/>
        <dsp:cNvSpPr/>
      </dsp:nvSpPr>
      <dsp:spPr>
        <a:xfrm>
          <a:off x="1318571"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Bituminous coal</a:t>
          </a:r>
          <a:br>
            <a:rPr lang="en-US" sz="1050" b="1" kern="1200">
              <a:solidFill>
                <a:sysClr val="windowText" lastClr="000000"/>
              </a:solidFill>
            </a:rPr>
          </a:br>
          <a:r>
            <a:rPr lang="en-US" sz="1050" b="0" kern="1200">
              <a:solidFill>
                <a:sysClr val="windowText" lastClr="000000"/>
              </a:solidFill>
            </a:rPr>
            <a:t>111120</a:t>
          </a:r>
        </a:p>
      </dsp:txBody>
      <dsp:txXfrm>
        <a:off x="1318571" y="7044138"/>
        <a:ext cx="1087632" cy="543816"/>
      </dsp:txXfrm>
    </dsp:sp>
    <dsp:sp modelId="{092DDAB3-180F-4746-9179-C397492A3593}">
      <dsp:nvSpPr>
        <dsp:cNvPr id="0" name=""/>
        <dsp:cNvSpPr/>
      </dsp:nvSpPr>
      <dsp:spPr>
        <a:xfrm>
          <a:off x="1590479" y="7816357"/>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Coking coal</a:t>
          </a:r>
          <a:br>
            <a:rPr lang="en-US" sz="1050" b="1" kern="1200">
              <a:solidFill>
                <a:sysClr val="windowText" lastClr="000000"/>
              </a:solidFill>
            </a:rPr>
          </a:br>
          <a:r>
            <a:rPr lang="en-US" sz="1050" b="0" kern="1200">
              <a:solidFill>
                <a:sysClr val="windowText" lastClr="000000"/>
              </a:solidFill>
            </a:rPr>
            <a:t>111121</a:t>
          </a:r>
        </a:p>
      </dsp:txBody>
      <dsp:txXfrm>
        <a:off x="1590479" y="7816357"/>
        <a:ext cx="1087632" cy="543816"/>
      </dsp:txXfrm>
    </dsp:sp>
    <dsp:sp modelId="{AE9D82C9-2E95-4389-94D9-C2A60EA4CF33}">
      <dsp:nvSpPr>
        <dsp:cNvPr id="0" name=""/>
        <dsp:cNvSpPr/>
      </dsp:nvSpPr>
      <dsp:spPr>
        <a:xfrm>
          <a:off x="1590479" y="8588576"/>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bituminous coal</a:t>
          </a:r>
          <a:br>
            <a:rPr lang="en-US" sz="1050" b="1" kern="1200">
              <a:solidFill>
                <a:sysClr val="windowText" lastClr="000000"/>
              </a:solidFill>
            </a:rPr>
          </a:br>
          <a:r>
            <a:rPr lang="en-US" sz="1050" b="0" kern="1200">
              <a:solidFill>
                <a:sysClr val="windowText" lastClr="000000"/>
              </a:solidFill>
            </a:rPr>
            <a:t>111129</a:t>
          </a:r>
        </a:p>
      </dsp:txBody>
      <dsp:txXfrm>
        <a:off x="1590479" y="8588576"/>
        <a:ext cx="1087632" cy="543816"/>
      </dsp:txXfrm>
    </dsp:sp>
    <dsp:sp modelId="{9675808E-098C-4E0E-B58D-5A8562424480}">
      <dsp:nvSpPr>
        <dsp:cNvPr id="0" name=""/>
        <dsp:cNvSpPr/>
      </dsp:nvSpPr>
      <dsp:spPr>
        <a:xfrm>
          <a:off x="2634606"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Brown coal</a:t>
          </a:r>
          <a:br>
            <a:rPr lang="en-US" sz="1050" b="1" kern="1200">
              <a:solidFill>
                <a:sysClr val="windowText" lastClr="000000"/>
              </a:solidFill>
            </a:rPr>
          </a:br>
          <a:r>
            <a:rPr lang="en-US" sz="1000" b="0" kern="1200">
              <a:solidFill>
                <a:sysClr val="windowText" lastClr="000000"/>
              </a:solidFill>
            </a:rPr>
            <a:t>111200</a:t>
          </a:r>
          <a:endParaRPr lang="en-US" sz="1050" b="0" kern="1200">
            <a:solidFill>
              <a:sysClr val="windowText" lastClr="000000"/>
            </a:solidFill>
          </a:endParaRPr>
        </a:p>
      </dsp:txBody>
      <dsp:txXfrm>
        <a:off x="2634606" y="6271919"/>
        <a:ext cx="1087632" cy="543816"/>
      </dsp:txXfrm>
    </dsp:sp>
    <dsp:sp modelId="{151D60C7-A027-4E0E-8E1B-BD7CCCBB31BA}">
      <dsp:nvSpPr>
        <dsp:cNvPr id="0" name=""/>
        <dsp:cNvSpPr/>
      </dsp:nvSpPr>
      <dsp:spPr>
        <a:xfrm>
          <a:off x="2906514"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Sub-bituminous coal</a:t>
          </a:r>
          <a:br>
            <a:rPr lang="en-US" sz="1050" b="1" kern="1200">
              <a:solidFill>
                <a:sysClr val="windowText" lastClr="000000"/>
              </a:solidFill>
            </a:rPr>
          </a:br>
          <a:r>
            <a:rPr lang="en-US" sz="1050" b="0" kern="1200">
              <a:solidFill>
                <a:sysClr val="windowText" lastClr="000000"/>
              </a:solidFill>
            </a:rPr>
            <a:t>111210</a:t>
          </a:r>
        </a:p>
      </dsp:txBody>
      <dsp:txXfrm>
        <a:off x="2906514" y="7044138"/>
        <a:ext cx="1087632" cy="543816"/>
      </dsp:txXfrm>
    </dsp:sp>
    <dsp:sp modelId="{0F4D8CFA-30F7-4B8C-A3DF-4CAD41AC1DB0}">
      <dsp:nvSpPr>
        <dsp:cNvPr id="0" name=""/>
        <dsp:cNvSpPr/>
      </dsp:nvSpPr>
      <dsp:spPr>
        <a:xfrm>
          <a:off x="2906514" y="7816357"/>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Lignite</a:t>
          </a:r>
          <a:br>
            <a:rPr lang="en-US" sz="1050" b="1" kern="1200">
              <a:solidFill>
                <a:sysClr val="windowText" lastClr="000000"/>
              </a:solidFill>
            </a:rPr>
          </a:br>
          <a:r>
            <a:rPr lang="en-US" sz="1050" b="0" kern="1200">
              <a:solidFill>
                <a:sysClr val="windowText" lastClr="000000"/>
              </a:solidFill>
            </a:rPr>
            <a:t>111220</a:t>
          </a:r>
        </a:p>
      </dsp:txBody>
      <dsp:txXfrm>
        <a:off x="2906514" y="7816357"/>
        <a:ext cx="1087632" cy="543816"/>
      </dsp:txXfrm>
    </dsp:sp>
    <dsp:sp modelId="{9471BD94-FFD5-4DB7-92CE-A527E184F8FD}">
      <dsp:nvSpPr>
        <dsp:cNvPr id="0" name=""/>
        <dsp:cNvSpPr/>
      </dsp:nvSpPr>
      <dsp:spPr>
        <a:xfrm>
          <a:off x="3950641" y="6271919"/>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 products</a:t>
          </a:r>
          <a:br>
            <a:rPr lang="en-US" sz="1050" b="1" kern="1200">
              <a:solidFill>
                <a:sysClr val="windowText" lastClr="000000"/>
              </a:solidFill>
            </a:rPr>
          </a:br>
          <a:r>
            <a:rPr lang="en-US" sz="1000" b="0" kern="1200">
              <a:solidFill>
                <a:sysClr val="windowText" lastClr="000000"/>
              </a:solidFill>
            </a:rPr>
            <a:t>111300</a:t>
          </a:r>
          <a:endParaRPr lang="en-US" sz="1050" b="0" kern="1200">
            <a:solidFill>
              <a:sysClr val="windowText" lastClr="000000"/>
            </a:solidFill>
          </a:endParaRPr>
        </a:p>
      </dsp:txBody>
      <dsp:txXfrm>
        <a:off x="3950641" y="6271919"/>
        <a:ext cx="1087632" cy="543816"/>
      </dsp:txXfrm>
    </dsp:sp>
    <dsp:sp modelId="{9B687C2B-398B-42B8-A887-497A286F24AC}">
      <dsp:nvSpPr>
        <dsp:cNvPr id="0" name=""/>
        <dsp:cNvSpPr/>
      </dsp:nvSpPr>
      <dsp:spPr>
        <a:xfrm>
          <a:off x="4222549" y="7044138"/>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 coke</a:t>
          </a:r>
          <a:br>
            <a:rPr lang="en-US" sz="1050" b="1" kern="1200">
              <a:solidFill>
                <a:sysClr val="windowText" lastClr="000000"/>
              </a:solidFill>
            </a:rPr>
          </a:br>
          <a:r>
            <a:rPr lang="en-US" sz="1000" b="0" kern="1200">
              <a:solidFill>
                <a:sysClr val="windowText" lastClr="000000"/>
              </a:solidFill>
            </a:rPr>
            <a:t>111310</a:t>
          </a:r>
          <a:endParaRPr lang="en-US" sz="1050" b="0" kern="1200">
            <a:solidFill>
              <a:sysClr val="windowText" lastClr="000000"/>
            </a:solidFill>
          </a:endParaRPr>
        </a:p>
      </dsp:txBody>
      <dsp:txXfrm>
        <a:off x="4222549" y="7044138"/>
        <a:ext cx="1087632" cy="543816"/>
      </dsp:txXfrm>
    </dsp:sp>
    <dsp:sp modelId="{0BC4D6D7-71C7-41AC-B006-D9C19C7261AD}">
      <dsp:nvSpPr>
        <dsp:cNvPr id="0" name=""/>
        <dsp:cNvSpPr/>
      </dsp:nvSpPr>
      <dsp:spPr>
        <a:xfrm>
          <a:off x="4494458" y="7816357"/>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Coke oven coke</a:t>
          </a:r>
          <a:br>
            <a:rPr lang="en-US" sz="1050" b="1" kern="1200">
              <a:solidFill>
                <a:sysClr val="windowText" lastClr="000000"/>
              </a:solidFill>
            </a:rPr>
          </a:br>
          <a:r>
            <a:rPr lang="en-US" sz="1000" b="0" kern="1200">
              <a:solidFill>
                <a:sysClr val="windowText" lastClr="000000"/>
              </a:solidFill>
            </a:rPr>
            <a:t>111311</a:t>
          </a:r>
          <a:endParaRPr lang="en-US" sz="1050" b="0" kern="1200">
            <a:solidFill>
              <a:sysClr val="windowText" lastClr="000000"/>
            </a:solidFill>
          </a:endParaRPr>
        </a:p>
      </dsp:txBody>
      <dsp:txXfrm>
        <a:off x="4494458" y="7816357"/>
        <a:ext cx="1087632" cy="543816"/>
      </dsp:txXfrm>
    </dsp:sp>
    <dsp:sp modelId="{7BF64B17-42C9-4478-B0B8-F5D7892BA038}">
      <dsp:nvSpPr>
        <dsp:cNvPr id="0" name=""/>
        <dsp:cNvSpPr/>
      </dsp:nvSpPr>
      <dsp:spPr>
        <a:xfrm>
          <a:off x="4494458" y="8588576"/>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 coke</a:t>
          </a:r>
          <a:br>
            <a:rPr lang="en-US" sz="1050" b="1" kern="1200">
              <a:solidFill>
                <a:sysClr val="windowText" lastClr="000000"/>
              </a:solidFill>
            </a:rPr>
          </a:br>
          <a:r>
            <a:rPr lang="en-US" sz="1000" b="0" kern="1200">
              <a:solidFill>
                <a:sysClr val="windowText" lastClr="000000"/>
              </a:solidFill>
            </a:rPr>
            <a:t>111312</a:t>
          </a:r>
          <a:endParaRPr lang="en-US" sz="1050" b="0" kern="1200">
            <a:solidFill>
              <a:sysClr val="windowText" lastClr="000000"/>
            </a:solidFill>
          </a:endParaRPr>
        </a:p>
      </dsp:txBody>
      <dsp:txXfrm>
        <a:off x="4494458" y="8588576"/>
        <a:ext cx="1087632" cy="543816"/>
      </dsp:txXfrm>
    </dsp:sp>
    <dsp:sp modelId="{1E5F8131-6FEC-423E-8CEA-1EDAE83B5572}">
      <dsp:nvSpPr>
        <dsp:cNvPr id="0" name=""/>
        <dsp:cNvSpPr/>
      </dsp:nvSpPr>
      <dsp:spPr>
        <a:xfrm>
          <a:off x="4494458" y="9360795"/>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Coke breeze</a:t>
          </a:r>
          <a:br>
            <a:rPr lang="en-US" sz="1050" b="1" kern="1200">
              <a:solidFill>
                <a:sysClr val="windowText" lastClr="000000"/>
              </a:solidFill>
            </a:rPr>
          </a:br>
          <a:r>
            <a:rPr lang="en-US" sz="1000" b="0" kern="1200">
              <a:solidFill>
                <a:sysClr val="windowText" lastClr="000000"/>
              </a:solidFill>
            </a:rPr>
            <a:t>111313</a:t>
          </a:r>
          <a:endParaRPr lang="en-US" sz="1050" b="0" kern="1200">
            <a:solidFill>
              <a:sysClr val="windowText" lastClr="000000"/>
            </a:solidFill>
          </a:endParaRPr>
        </a:p>
      </dsp:txBody>
      <dsp:txXfrm>
        <a:off x="4494458" y="9360795"/>
        <a:ext cx="1087632" cy="543816"/>
      </dsp:txXfrm>
    </dsp:sp>
    <dsp:sp modelId="{0EB06CC0-FAE4-4906-B97A-C00D76C708C5}">
      <dsp:nvSpPr>
        <dsp:cNvPr id="0" name=""/>
        <dsp:cNvSpPr/>
      </dsp:nvSpPr>
      <dsp:spPr>
        <a:xfrm>
          <a:off x="4494458" y="10133014"/>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Semi cokes</a:t>
          </a:r>
          <a:br>
            <a:rPr lang="en-US" sz="1050" b="1" kern="1200">
              <a:solidFill>
                <a:sysClr val="windowText" lastClr="000000"/>
              </a:solidFill>
            </a:rPr>
          </a:br>
          <a:r>
            <a:rPr lang="en-US" sz="1000" b="0" kern="1200">
              <a:solidFill>
                <a:sysClr val="windowText" lastClr="000000"/>
              </a:solidFill>
            </a:rPr>
            <a:t>111314</a:t>
          </a:r>
          <a:endParaRPr lang="en-US" sz="1050" b="0" kern="1200">
            <a:solidFill>
              <a:sysClr val="windowText" lastClr="000000"/>
            </a:solidFill>
          </a:endParaRPr>
        </a:p>
      </dsp:txBody>
      <dsp:txXfrm>
        <a:off x="4494458" y="10133014"/>
        <a:ext cx="1087632" cy="543816"/>
      </dsp:txXfrm>
    </dsp:sp>
    <dsp:sp modelId="{C18318F2-3F77-4FF0-A253-762FB3211C6D}">
      <dsp:nvSpPr>
        <dsp:cNvPr id="0" name=""/>
        <dsp:cNvSpPr/>
      </dsp:nvSpPr>
      <dsp:spPr>
        <a:xfrm>
          <a:off x="4222549" y="10905233"/>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Patent fuel</a:t>
          </a:r>
          <a:br>
            <a:rPr lang="en-US" sz="1050" b="1" kern="1200">
              <a:solidFill>
                <a:sysClr val="windowText" lastClr="000000"/>
              </a:solidFill>
            </a:rPr>
          </a:br>
          <a:r>
            <a:rPr lang="en-US" sz="1000" b="0" kern="1200">
              <a:solidFill>
                <a:sysClr val="windowText" lastClr="000000"/>
              </a:solidFill>
            </a:rPr>
            <a:t>111320</a:t>
          </a:r>
          <a:endParaRPr lang="en-US" sz="1050" b="0" kern="1200">
            <a:solidFill>
              <a:sysClr val="windowText" lastClr="000000"/>
            </a:solidFill>
          </a:endParaRPr>
        </a:p>
      </dsp:txBody>
      <dsp:txXfrm>
        <a:off x="4222549" y="10905233"/>
        <a:ext cx="1087632" cy="543816"/>
      </dsp:txXfrm>
    </dsp:sp>
    <dsp:sp modelId="{BB79C701-9FD4-4A43-B47B-A44C9C499028}">
      <dsp:nvSpPr>
        <dsp:cNvPr id="0" name=""/>
        <dsp:cNvSpPr/>
      </dsp:nvSpPr>
      <dsp:spPr>
        <a:xfrm>
          <a:off x="4222549" y="11677452"/>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Brown coal briquettes</a:t>
          </a:r>
          <a:br>
            <a:rPr lang="en-US" sz="1050" b="1" kern="1200">
              <a:solidFill>
                <a:sysClr val="windowText" lastClr="000000"/>
              </a:solidFill>
            </a:rPr>
          </a:br>
          <a:r>
            <a:rPr lang="en-US" sz="1000" b="0" kern="1200">
              <a:solidFill>
                <a:sysClr val="windowText" lastClr="000000"/>
              </a:solidFill>
            </a:rPr>
            <a:t>111330</a:t>
          </a:r>
          <a:endParaRPr lang="en-US" sz="1050" b="0" kern="1200">
            <a:solidFill>
              <a:sysClr val="windowText" lastClr="000000"/>
            </a:solidFill>
          </a:endParaRPr>
        </a:p>
      </dsp:txBody>
      <dsp:txXfrm>
        <a:off x="4222549" y="11677452"/>
        <a:ext cx="1087632" cy="543816"/>
      </dsp:txXfrm>
    </dsp:sp>
    <dsp:sp modelId="{7E19969C-0FD0-466A-9CFB-A5A8144250B0}">
      <dsp:nvSpPr>
        <dsp:cNvPr id="0" name=""/>
        <dsp:cNvSpPr/>
      </dsp:nvSpPr>
      <dsp:spPr>
        <a:xfrm>
          <a:off x="4222549" y="12449671"/>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 tar</a:t>
          </a:r>
          <a:br>
            <a:rPr lang="en-US" sz="1050" b="1" kern="1200">
              <a:solidFill>
                <a:sysClr val="windowText" lastClr="000000"/>
              </a:solidFill>
            </a:rPr>
          </a:br>
          <a:r>
            <a:rPr lang="en-US" sz="1000" b="0" kern="1200">
              <a:solidFill>
                <a:sysClr val="windowText" lastClr="000000"/>
              </a:solidFill>
            </a:rPr>
            <a:t>111340</a:t>
          </a:r>
          <a:endParaRPr lang="en-US" sz="1050" b="0" kern="1200">
            <a:solidFill>
              <a:sysClr val="windowText" lastClr="000000"/>
            </a:solidFill>
          </a:endParaRPr>
        </a:p>
      </dsp:txBody>
      <dsp:txXfrm>
        <a:off x="4222549" y="12449671"/>
        <a:ext cx="1087632" cy="543816"/>
      </dsp:txXfrm>
    </dsp:sp>
    <dsp:sp modelId="{1139C7C6-CAF1-4E5E-916B-8D97018EB019}">
      <dsp:nvSpPr>
        <dsp:cNvPr id="0" name=""/>
        <dsp:cNvSpPr/>
      </dsp:nvSpPr>
      <dsp:spPr>
        <a:xfrm>
          <a:off x="4222549" y="13221891"/>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Coke oven gas</a:t>
          </a:r>
          <a:br>
            <a:rPr lang="en-US" sz="1050" b="1" kern="1200">
              <a:solidFill>
                <a:sysClr val="windowText" lastClr="000000"/>
              </a:solidFill>
            </a:rPr>
          </a:br>
          <a:r>
            <a:rPr lang="en-US" sz="1000" b="0" kern="1200">
              <a:solidFill>
                <a:sysClr val="windowText" lastClr="000000"/>
              </a:solidFill>
            </a:rPr>
            <a:t>111350</a:t>
          </a:r>
          <a:endParaRPr lang="en-US" sz="1050" b="0" kern="1200">
            <a:solidFill>
              <a:sysClr val="windowText" lastClr="000000"/>
            </a:solidFill>
          </a:endParaRPr>
        </a:p>
      </dsp:txBody>
      <dsp:txXfrm>
        <a:off x="4222549" y="13221891"/>
        <a:ext cx="1087632" cy="543816"/>
      </dsp:txXfrm>
    </dsp:sp>
    <dsp:sp modelId="{FD383DCB-9A27-4AB2-8120-3DE8383FFB47}">
      <dsp:nvSpPr>
        <dsp:cNvPr id="0" name=""/>
        <dsp:cNvSpPr/>
      </dsp:nvSpPr>
      <dsp:spPr>
        <a:xfrm>
          <a:off x="4222549" y="13994110"/>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 works gas</a:t>
          </a:r>
          <a:br>
            <a:rPr lang="en-US" sz="1050" b="1" kern="1200">
              <a:solidFill>
                <a:sysClr val="windowText" lastClr="000000"/>
              </a:solidFill>
            </a:rPr>
          </a:br>
          <a:r>
            <a:rPr lang="en-US" sz="1000" b="0" kern="1200">
              <a:solidFill>
                <a:sysClr val="windowText" lastClr="000000"/>
              </a:solidFill>
            </a:rPr>
            <a:t>111360</a:t>
          </a:r>
          <a:endParaRPr lang="en-US" sz="1050" b="0" kern="1200">
            <a:solidFill>
              <a:sysClr val="windowText" lastClr="000000"/>
            </a:solidFill>
          </a:endParaRPr>
        </a:p>
      </dsp:txBody>
      <dsp:txXfrm>
        <a:off x="4222549" y="13994110"/>
        <a:ext cx="1087632" cy="543816"/>
      </dsp:txXfrm>
    </dsp:sp>
    <dsp:sp modelId="{97F0C1CF-74CF-404A-B5F8-CE77F2E981AD}">
      <dsp:nvSpPr>
        <dsp:cNvPr id="0" name=""/>
        <dsp:cNvSpPr/>
      </dsp:nvSpPr>
      <dsp:spPr>
        <a:xfrm>
          <a:off x="4222549" y="14766329"/>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Recovered gases</a:t>
          </a:r>
          <a:br>
            <a:rPr lang="en-US" sz="1050" b="1" kern="1200">
              <a:solidFill>
                <a:sysClr val="windowText" lastClr="000000"/>
              </a:solidFill>
            </a:rPr>
          </a:br>
          <a:r>
            <a:rPr lang="en-US" sz="1000" b="0" kern="1200">
              <a:solidFill>
                <a:sysClr val="windowText" lastClr="000000"/>
              </a:solidFill>
            </a:rPr>
            <a:t>111370</a:t>
          </a:r>
          <a:endParaRPr lang="en-US" sz="1050" b="0" kern="1200">
            <a:solidFill>
              <a:sysClr val="windowText" lastClr="000000"/>
            </a:solidFill>
          </a:endParaRPr>
        </a:p>
      </dsp:txBody>
      <dsp:txXfrm>
        <a:off x="4222549" y="14766329"/>
        <a:ext cx="1087632" cy="543816"/>
      </dsp:txXfrm>
    </dsp:sp>
    <dsp:sp modelId="{302F38BF-0449-4D20-97CD-2195155388FE}">
      <dsp:nvSpPr>
        <dsp:cNvPr id="0" name=""/>
        <dsp:cNvSpPr/>
      </dsp:nvSpPr>
      <dsp:spPr>
        <a:xfrm>
          <a:off x="4494458" y="15538548"/>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Blast furnace gas</a:t>
          </a:r>
          <a:br>
            <a:rPr lang="en-US" sz="1050" b="1" kern="1200">
              <a:solidFill>
                <a:sysClr val="windowText" lastClr="000000"/>
              </a:solidFill>
            </a:rPr>
          </a:br>
          <a:r>
            <a:rPr lang="en-US" sz="1000" b="0" kern="1200">
              <a:solidFill>
                <a:sysClr val="windowText" lastClr="000000"/>
              </a:solidFill>
            </a:rPr>
            <a:t>111371</a:t>
          </a:r>
          <a:endParaRPr lang="en-US" sz="1050" b="0" kern="1200">
            <a:solidFill>
              <a:sysClr val="windowText" lastClr="000000"/>
            </a:solidFill>
          </a:endParaRPr>
        </a:p>
      </dsp:txBody>
      <dsp:txXfrm>
        <a:off x="4494458" y="15538548"/>
        <a:ext cx="1087632" cy="543816"/>
      </dsp:txXfrm>
    </dsp:sp>
    <dsp:sp modelId="{22658707-FC77-4702-B7D3-0A2F67FC2D6D}">
      <dsp:nvSpPr>
        <dsp:cNvPr id="0" name=""/>
        <dsp:cNvSpPr/>
      </dsp:nvSpPr>
      <dsp:spPr>
        <a:xfrm>
          <a:off x="4494458" y="16310767"/>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Basic oxygen steel furnace gas</a:t>
          </a:r>
          <a:br>
            <a:rPr lang="en-US" sz="1050" b="1" kern="1200">
              <a:solidFill>
                <a:sysClr val="windowText" lastClr="000000"/>
              </a:solidFill>
            </a:rPr>
          </a:br>
          <a:r>
            <a:rPr lang="en-US" sz="1000" b="0" kern="1200">
              <a:solidFill>
                <a:sysClr val="windowText" lastClr="000000"/>
              </a:solidFill>
            </a:rPr>
            <a:t>111372</a:t>
          </a:r>
          <a:endParaRPr lang="en-US" sz="1050" b="0" kern="1200">
            <a:solidFill>
              <a:sysClr val="windowText" lastClr="000000"/>
            </a:solidFill>
          </a:endParaRPr>
        </a:p>
      </dsp:txBody>
      <dsp:txXfrm>
        <a:off x="4494458" y="16310767"/>
        <a:ext cx="1087632" cy="543816"/>
      </dsp:txXfrm>
    </dsp:sp>
    <dsp:sp modelId="{D9D539C2-11F3-4715-A2AF-8B810BA17F64}">
      <dsp:nvSpPr>
        <dsp:cNvPr id="0" name=""/>
        <dsp:cNvSpPr/>
      </dsp:nvSpPr>
      <dsp:spPr>
        <a:xfrm>
          <a:off x="4494458" y="17082986"/>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recovered gases</a:t>
          </a:r>
          <a:br>
            <a:rPr lang="en-US" sz="1050" b="1" kern="1200">
              <a:solidFill>
                <a:sysClr val="windowText" lastClr="000000"/>
              </a:solidFill>
            </a:rPr>
          </a:br>
          <a:r>
            <a:rPr lang="en-US" sz="1000" b="0" kern="1200">
              <a:solidFill>
                <a:sysClr val="windowText" lastClr="000000"/>
              </a:solidFill>
            </a:rPr>
            <a:t>111373</a:t>
          </a:r>
          <a:endParaRPr lang="en-US" sz="1050" b="0" kern="1200">
            <a:solidFill>
              <a:sysClr val="windowText" lastClr="000000"/>
            </a:solidFill>
          </a:endParaRPr>
        </a:p>
      </dsp:txBody>
      <dsp:txXfrm>
        <a:off x="4494458" y="17082986"/>
        <a:ext cx="1087632" cy="543816"/>
      </dsp:txXfrm>
    </dsp:sp>
    <dsp:sp modelId="{5304541A-2CFF-48F7-BF1C-5AAD70B1C524}">
      <dsp:nvSpPr>
        <dsp:cNvPr id="0" name=""/>
        <dsp:cNvSpPr/>
      </dsp:nvSpPr>
      <dsp:spPr>
        <a:xfrm>
          <a:off x="4222549" y="17855205"/>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coal products</a:t>
          </a:r>
          <a:br>
            <a:rPr lang="en-US" sz="1050" b="1" kern="1200">
              <a:solidFill>
                <a:sysClr val="windowText" lastClr="000000"/>
              </a:solidFill>
            </a:rPr>
          </a:br>
          <a:r>
            <a:rPr lang="en-US" sz="1000" b="0" kern="1200">
              <a:solidFill>
                <a:sysClr val="windowText" lastClr="000000"/>
              </a:solidFill>
            </a:rPr>
            <a:t>111390</a:t>
          </a:r>
          <a:endParaRPr lang="en-US" sz="1050" b="0" kern="1200">
            <a:solidFill>
              <a:sysClr val="windowText" lastClr="000000"/>
            </a:solidFill>
          </a:endParaRPr>
        </a:p>
      </dsp:txBody>
      <dsp:txXfrm>
        <a:off x="4222549" y="17855205"/>
        <a:ext cx="1087632" cy="543816"/>
      </dsp:txXfrm>
    </dsp:sp>
    <dsp:sp modelId="{796820A9-3C8B-478E-BAC4-1C14F7600B14}">
      <dsp:nvSpPr>
        <dsp:cNvPr id="0" name=""/>
        <dsp:cNvSpPr/>
      </dsp:nvSpPr>
      <dsp:spPr>
        <a:xfrm>
          <a:off x="4494458" y="18627424"/>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Coal-based hydrogen</a:t>
          </a:r>
          <a:br>
            <a:rPr lang="en-US" sz="1050" b="1" kern="1200">
              <a:solidFill>
                <a:sysClr val="windowText" lastClr="000000"/>
              </a:solidFill>
            </a:rPr>
          </a:br>
          <a:r>
            <a:rPr lang="en-US" sz="1000" b="0" kern="1200">
              <a:solidFill>
                <a:sysClr val="windowText" lastClr="000000"/>
              </a:solidFill>
            </a:rPr>
            <a:t>111391</a:t>
          </a:r>
          <a:endParaRPr lang="en-US" sz="1050" b="0" kern="1200">
            <a:solidFill>
              <a:sysClr val="windowText" lastClr="000000"/>
            </a:solidFill>
          </a:endParaRPr>
        </a:p>
      </dsp:txBody>
      <dsp:txXfrm>
        <a:off x="4494458" y="18627424"/>
        <a:ext cx="1087632" cy="543816"/>
      </dsp:txXfrm>
    </dsp:sp>
    <dsp:sp modelId="{4AA1B075-4F36-482F-BDE4-B4123BFDFA4A}">
      <dsp:nvSpPr>
        <dsp:cNvPr id="0" name=""/>
        <dsp:cNvSpPr/>
      </dsp:nvSpPr>
      <dsp:spPr>
        <a:xfrm>
          <a:off x="4494458" y="19399643"/>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Coal-based ammonia</a:t>
          </a:r>
          <a:br>
            <a:rPr lang="en-US" sz="1050" b="1" kern="1200">
              <a:solidFill>
                <a:sysClr val="windowText" lastClr="000000"/>
              </a:solidFill>
            </a:rPr>
          </a:br>
          <a:r>
            <a:rPr lang="en-US" sz="1000" b="0" kern="1200">
              <a:solidFill>
                <a:sysClr val="windowText" lastClr="000000"/>
              </a:solidFill>
            </a:rPr>
            <a:t>111392</a:t>
          </a:r>
          <a:endParaRPr lang="en-US" sz="1050" b="0" kern="1200">
            <a:solidFill>
              <a:sysClr val="windowText" lastClr="000000"/>
            </a:solidFill>
          </a:endParaRPr>
        </a:p>
      </dsp:txBody>
      <dsp:txXfrm>
        <a:off x="4494458" y="19399643"/>
        <a:ext cx="1087632" cy="543816"/>
      </dsp:txXfrm>
    </dsp:sp>
    <dsp:sp modelId="{6793C568-2D01-41FE-A5FC-93FF121A5BB9}">
      <dsp:nvSpPr>
        <dsp:cNvPr id="0" name=""/>
        <dsp:cNvSpPr/>
      </dsp:nvSpPr>
      <dsp:spPr>
        <a:xfrm>
          <a:off x="4494458" y="20171862"/>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coal products n.e.s.</a:t>
          </a:r>
          <a:br>
            <a:rPr lang="en-US" sz="1050" b="1" kern="1200">
              <a:solidFill>
                <a:sysClr val="windowText" lastClr="000000"/>
              </a:solidFill>
            </a:rPr>
          </a:br>
          <a:r>
            <a:rPr lang="en-US" sz="1000" b="0" kern="1200">
              <a:solidFill>
                <a:sysClr val="windowText" lastClr="000000"/>
              </a:solidFill>
            </a:rPr>
            <a:t>111399</a:t>
          </a:r>
        </a:p>
      </dsp:txBody>
      <dsp:txXfrm>
        <a:off x="4494458" y="20171862"/>
        <a:ext cx="1087632" cy="543816"/>
      </dsp:txXfrm>
    </dsp:sp>
    <dsp:sp modelId="{716787AA-5CB6-4C05-A687-B9340853CC52}">
      <dsp:nvSpPr>
        <dsp:cNvPr id="0" name=""/>
        <dsp:cNvSpPr/>
      </dsp:nvSpPr>
      <dsp:spPr>
        <a:xfrm>
          <a:off x="6196603"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 and peat products</a:t>
          </a:r>
          <a:br>
            <a:rPr lang="en-US" sz="1050" b="1" kern="1200">
              <a:solidFill>
                <a:sysClr val="windowText" lastClr="000000"/>
              </a:solidFill>
            </a:rPr>
          </a:br>
          <a:r>
            <a:rPr lang="en-US" sz="1000" b="0" kern="1200">
              <a:solidFill>
                <a:sysClr val="windowText" lastClr="000000"/>
              </a:solidFill>
            </a:rPr>
            <a:t>112000</a:t>
          </a:r>
          <a:endParaRPr lang="en-US" sz="1050" b="0" kern="1200">
            <a:solidFill>
              <a:sysClr val="windowText" lastClr="000000"/>
            </a:solidFill>
          </a:endParaRPr>
        </a:p>
      </dsp:txBody>
      <dsp:txXfrm>
        <a:off x="6196603" y="5499700"/>
        <a:ext cx="1087632" cy="543816"/>
      </dsp:txXfrm>
    </dsp:sp>
    <dsp:sp modelId="{3C4190D3-F4FC-4810-8940-5F073A1EE88B}">
      <dsp:nvSpPr>
        <dsp:cNvPr id="0" name=""/>
        <dsp:cNvSpPr/>
      </dsp:nvSpPr>
      <dsp:spPr>
        <a:xfrm>
          <a:off x="5538585"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a:t>
          </a:r>
          <a:br>
            <a:rPr lang="en-US" sz="1050" b="1" kern="1200">
              <a:solidFill>
                <a:sysClr val="windowText" lastClr="000000"/>
              </a:solidFill>
            </a:rPr>
          </a:br>
          <a:r>
            <a:rPr lang="en-US" sz="1000" b="0" kern="1200">
              <a:solidFill>
                <a:sysClr val="windowText" lastClr="000000"/>
              </a:solidFill>
            </a:rPr>
            <a:t>112100</a:t>
          </a:r>
          <a:endParaRPr lang="en-US" sz="1050" b="0" kern="1200">
            <a:solidFill>
              <a:sysClr val="windowText" lastClr="000000"/>
            </a:solidFill>
          </a:endParaRPr>
        </a:p>
      </dsp:txBody>
      <dsp:txXfrm>
        <a:off x="5538585" y="6271919"/>
        <a:ext cx="1087632" cy="543816"/>
      </dsp:txXfrm>
    </dsp:sp>
    <dsp:sp modelId="{C1DA4007-A360-43BA-AA7D-F65192007956}">
      <dsp:nvSpPr>
        <dsp:cNvPr id="0" name=""/>
        <dsp:cNvSpPr/>
      </dsp:nvSpPr>
      <dsp:spPr>
        <a:xfrm>
          <a:off x="5810493"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Sod peat</a:t>
          </a:r>
          <a:br>
            <a:rPr lang="en-US" sz="1050" b="1" kern="1200">
              <a:solidFill>
                <a:sysClr val="windowText" lastClr="000000"/>
              </a:solidFill>
            </a:rPr>
          </a:br>
          <a:r>
            <a:rPr lang="en-US" sz="1000" b="0" kern="1200">
              <a:solidFill>
                <a:sysClr val="windowText" lastClr="000000"/>
              </a:solidFill>
            </a:rPr>
            <a:t>112110</a:t>
          </a:r>
          <a:endParaRPr lang="en-US" sz="1050" b="0" kern="1200">
            <a:solidFill>
              <a:sysClr val="windowText" lastClr="000000"/>
            </a:solidFill>
          </a:endParaRPr>
        </a:p>
      </dsp:txBody>
      <dsp:txXfrm>
        <a:off x="5810493" y="7044138"/>
        <a:ext cx="1087632" cy="543816"/>
      </dsp:txXfrm>
    </dsp:sp>
    <dsp:sp modelId="{1FAEC8B9-1620-40CD-AF0A-81014B81F591}">
      <dsp:nvSpPr>
        <dsp:cNvPr id="0" name=""/>
        <dsp:cNvSpPr/>
      </dsp:nvSpPr>
      <dsp:spPr>
        <a:xfrm>
          <a:off x="5810493" y="7816357"/>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Milled peat</a:t>
          </a:r>
          <a:br>
            <a:rPr lang="en-US" sz="1050" b="1" kern="1200">
              <a:solidFill>
                <a:sysClr val="windowText" lastClr="000000"/>
              </a:solidFill>
            </a:rPr>
          </a:br>
          <a:r>
            <a:rPr lang="en-US" sz="1000" b="0" kern="1200">
              <a:solidFill>
                <a:sysClr val="windowText" lastClr="000000"/>
              </a:solidFill>
            </a:rPr>
            <a:t>112120</a:t>
          </a:r>
          <a:endParaRPr lang="en-US" sz="1050" b="0" kern="1200">
            <a:solidFill>
              <a:sysClr val="windowText" lastClr="000000"/>
            </a:solidFill>
          </a:endParaRPr>
        </a:p>
      </dsp:txBody>
      <dsp:txXfrm>
        <a:off x="5810493" y="7816357"/>
        <a:ext cx="1087632" cy="543816"/>
      </dsp:txXfrm>
    </dsp:sp>
    <dsp:sp modelId="{866E4FC1-3CF3-45B7-BE60-37F9C053A188}">
      <dsp:nvSpPr>
        <dsp:cNvPr id="0" name=""/>
        <dsp:cNvSpPr/>
      </dsp:nvSpPr>
      <dsp:spPr>
        <a:xfrm>
          <a:off x="6854620" y="6271919"/>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 products</a:t>
          </a:r>
          <a:br>
            <a:rPr lang="en-US" sz="1050" b="1" kern="1200">
              <a:solidFill>
                <a:sysClr val="windowText" lastClr="000000"/>
              </a:solidFill>
            </a:rPr>
          </a:br>
          <a:r>
            <a:rPr lang="en-US" sz="1000" b="0" kern="1200">
              <a:solidFill>
                <a:sysClr val="windowText" lastClr="000000"/>
              </a:solidFill>
            </a:rPr>
            <a:t>112200</a:t>
          </a:r>
          <a:endParaRPr lang="en-US" sz="1050" b="0" kern="1200">
            <a:solidFill>
              <a:sysClr val="windowText" lastClr="000000"/>
            </a:solidFill>
          </a:endParaRPr>
        </a:p>
      </dsp:txBody>
      <dsp:txXfrm>
        <a:off x="6854620" y="6271919"/>
        <a:ext cx="1087632" cy="543816"/>
      </dsp:txXfrm>
    </dsp:sp>
    <dsp:sp modelId="{EF00520E-C4AB-436E-A7B2-609885E8348D}">
      <dsp:nvSpPr>
        <dsp:cNvPr id="0" name=""/>
        <dsp:cNvSpPr/>
      </dsp:nvSpPr>
      <dsp:spPr>
        <a:xfrm>
          <a:off x="7126528" y="7044138"/>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 briquettes</a:t>
          </a:r>
          <a:br>
            <a:rPr lang="en-US" sz="1050" b="1" kern="1200">
              <a:solidFill>
                <a:sysClr val="windowText" lastClr="000000"/>
              </a:solidFill>
            </a:rPr>
          </a:br>
          <a:r>
            <a:rPr lang="en-US" sz="1000" b="0" kern="1200">
              <a:solidFill>
                <a:sysClr val="windowText" lastClr="000000"/>
              </a:solidFill>
            </a:rPr>
            <a:t>112210</a:t>
          </a:r>
          <a:endParaRPr lang="en-US" sz="1050" b="0" kern="1200">
            <a:solidFill>
              <a:sysClr val="windowText" lastClr="000000"/>
            </a:solidFill>
          </a:endParaRPr>
        </a:p>
      </dsp:txBody>
      <dsp:txXfrm>
        <a:off x="7126528" y="7044138"/>
        <a:ext cx="1087632" cy="543816"/>
      </dsp:txXfrm>
    </dsp:sp>
    <dsp:sp modelId="{EED603B7-ACC2-4021-B121-8AF5A83DA528}">
      <dsp:nvSpPr>
        <dsp:cNvPr id="0" name=""/>
        <dsp:cNvSpPr/>
      </dsp:nvSpPr>
      <dsp:spPr>
        <a:xfrm>
          <a:off x="7126528" y="7816357"/>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Peat-based hydrogen</a:t>
          </a:r>
          <a:br>
            <a:rPr lang="en-US" sz="1050" b="1" kern="1200">
              <a:solidFill>
                <a:sysClr val="windowText" lastClr="000000"/>
              </a:solidFill>
            </a:rPr>
          </a:br>
          <a:r>
            <a:rPr lang="en-US" sz="1000" b="0" kern="1200">
              <a:solidFill>
                <a:sysClr val="windowText" lastClr="000000"/>
              </a:solidFill>
            </a:rPr>
            <a:t>112220</a:t>
          </a:r>
          <a:endParaRPr lang="en-US" sz="1050" b="0" kern="1200">
            <a:solidFill>
              <a:sysClr val="windowText" lastClr="000000"/>
            </a:solidFill>
          </a:endParaRPr>
        </a:p>
      </dsp:txBody>
      <dsp:txXfrm>
        <a:off x="7126528" y="7816357"/>
        <a:ext cx="1087632" cy="543816"/>
      </dsp:txXfrm>
    </dsp:sp>
    <dsp:sp modelId="{622E5712-87DF-4A84-90A7-4D094C8084E7}">
      <dsp:nvSpPr>
        <dsp:cNvPr id="0" name=""/>
        <dsp:cNvSpPr/>
      </dsp:nvSpPr>
      <dsp:spPr>
        <a:xfrm>
          <a:off x="7126528" y="8588576"/>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Peat-based ammonia</a:t>
          </a:r>
          <a:br>
            <a:rPr lang="en-US" sz="1050" b="0" kern="1200">
              <a:solidFill>
                <a:sysClr val="windowText" lastClr="000000"/>
              </a:solidFill>
            </a:rPr>
          </a:br>
          <a:r>
            <a:rPr lang="en-US" sz="1000" b="0" kern="1200">
              <a:solidFill>
                <a:sysClr val="windowText" lastClr="000000"/>
              </a:solidFill>
            </a:rPr>
            <a:t>112230</a:t>
          </a:r>
          <a:endParaRPr lang="en-US" sz="1050" b="0" kern="1200">
            <a:solidFill>
              <a:sysClr val="windowText" lastClr="000000"/>
            </a:solidFill>
          </a:endParaRPr>
        </a:p>
      </dsp:txBody>
      <dsp:txXfrm>
        <a:off x="7126528" y="8588576"/>
        <a:ext cx="1087632" cy="543816"/>
      </dsp:txXfrm>
    </dsp:sp>
    <dsp:sp modelId="{D266B9AF-6D48-40E3-8EBD-AF588DFA91CC}">
      <dsp:nvSpPr>
        <dsp:cNvPr id="0" name=""/>
        <dsp:cNvSpPr/>
      </dsp:nvSpPr>
      <dsp:spPr>
        <a:xfrm>
          <a:off x="7126528" y="9360795"/>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peat products</a:t>
          </a:r>
          <a:br>
            <a:rPr lang="en-US" sz="1050" b="1" kern="1200">
              <a:solidFill>
                <a:sysClr val="windowText" lastClr="000000"/>
              </a:solidFill>
            </a:rPr>
          </a:br>
          <a:r>
            <a:rPr lang="en-US" sz="1000" b="0" kern="1200">
              <a:solidFill>
                <a:sysClr val="windowText" lastClr="000000"/>
              </a:solidFill>
            </a:rPr>
            <a:t>112290</a:t>
          </a:r>
          <a:endParaRPr lang="en-US" sz="1050" b="0" kern="1200">
            <a:solidFill>
              <a:sysClr val="windowText" lastClr="000000"/>
            </a:solidFill>
          </a:endParaRPr>
        </a:p>
      </dsp:txBody>
      <dsp:txXfrm>
        <a:off x="7126528" y="9360795"/>
        <a:ext cx="1087632" cy="543816"/>
      </dsp:txXfrm>
    </dsp:sp>
    <dsp:sp modelId="{B5ADB9EC-6355-4105-96AE-5B792D7945D4}">
      <dsp:nvSpPr>
        <dsp:cNvPr id="0" name=""/>
        <dsp:cNvSpPr/>
      </dsp:nvSpPr>
      <dsp:spPr>
        <a:xfrm>
          <a:off x="8170656"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Natural gas </a:t>
          </a:r>
          <a:br>
            <a:rPr lang="en-US" sz="1050" b="1" kern="1200">
              <a:solidFill>
                <a:sysClr val="windowText" lastClr="000000"/>
              </a:solidFill>
            </a:rPr>
          </a:br>
          <a:r>
            <a:rPr lang="en-US" sz="1000" b="0" kern="1200">
              <a:solidFill>
                <a:sysClr val="windowText" lastClr="000000"/>
              </a:solidFill>
            </a:rPr>
            <a:t>113000</a:t>
          </a:r>
          <a:endParaRPr lang="en-US" sz="1050" b="0" kern="1200">
            <a:solidFill>
              <a:sysClr val="windowText" lastClr="000000"/>
            </a:solidFill>
          </a:endParaRPr>
        </a:p>
      </dsp:txBody>
      <dsp:txXfrm>
        <a:off x="8170656" y="5499700"/>
        <a:ext cx="1087632" cy="543816"/>
      </dsp:txXfrm>
    </dsp:sp>
    <dsp:sp modelId="{1929155A-0BBF-47A9-A824-BAE16E2A3636}">
      <dsp:nvSpPr>
        <dsp:cNvPr id="0" name=""/>
        <dsp:cNvSpPr/>
      </dsp:nvSpPr>
      <dsp:spPr>
        <a:xfrm>
          <a:off x="8442564"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Wet natural gas</a:t>
          </a:r>
          <a:br>
            <a:rPr lang="en-US" sz="1050" b="1" kern="1200">
              <a:solidFill>
                <a:sysClr val="windowText" lastClr="000000"/>
              </a:solidFill>
            </a:rPr>
          </a:br>
          <a:r>
            <a:rPr lang="en-US" sz="1000" b="0" kern="1200">
              <a:solidFill>
                <a:sysClr val="windowText" lastClr="000000"/>
              </a:solidFill>
            </a:rPr>
            <a:t>113100</a:t>
          </a:r>
          <a:endParaRPr lang="en-US" sz="1050" b="0" kern="1200">
            <a:solidFill>
              <a:sysClr val="windowText" lastClr="000000"/>
            </a:solidFill>
          </a:endParaRPr>
        </a:p>
      </dsp:txBody>
      <dsp:txXfrm>
        <a:off x="8442564" y="6271919"/>
        <a:ext cx="1087632" cy="543816"/>
      </dsp:txXfrm>
    </dsp:sp>
    <dsp:sp modelId="{EE20F720-F98C-43E8-A1D6-56D586AC6531}">
      <dsp:nvSpPr>
        <dsp:cNvPr id="0" name=""/>
        <dsp:cNvSpPr/>
      </dsp:nvSpPr>
      <dsp:spPr>
        <a:xfrm>
          <a:off x="8442564"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Dry natural gas</a:t>
          </a:r>
          <a:br>
            <a:rPr lang="en-US" sz="1050" b="0" kern="1200">
              <a:solidFill>
                <a:sysClr val="windowText" lastClr="000000"/>
              </a:solidFill>
            </a:rPr>
          </a:br>
          <a:r>
            <a:rPr lang="en-US" sz="1000" b="0" kern="1200">
              <a:solidFill>
                <a:sysClr val="windowText" lastClr="000000"/>
              </a:solidFill>
            </a:rPr>
            <a:t>113200</a:t>
          </a:r>
          <a:endParaRPr lang="en-US" sz="1050" b="0" kern="1200">
            <a:solidFill>
              <a:sysClr val="windowText" lastClr="000000"/>
            </a:solidFill>
          </a:endParaRPr>
        </a:p>
      </dsp:txBody>
      <dsp:txXfrm>
        <a:off x="8442564" y="7044138"/>
        <a:ext cx="1087632" cy="543816"/>
      </dsp:txXfrm>
    </dsp:sp>
    <dsp:sp modelId="{740781A4-1045-4587-8403-BFCE6A13CC68}">
      <dsp:nvSpPr>
        <dsp:cNvPr id="0" name=""/>
        <dsp:cNvSpPr/>
      </dsp:nvSpPr>
      <dsp:spPr>
        <a:xfrm>
          <a:off x="8714472" y="7816357"/>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Liquefied natural gas</a:t>
          </a:r>
          <a:br>
            <a:rPr lang="en-US" sz="1050" b="1" kern="1200">
              <a:solidFill>
                <a:sysClr val="windowText" lastClr="000000"/>
              </a:solidFill>
            </a:rPr>
          </a:br>
          <a:r>
            <a:rPr lang="en-US" sz="1000" b="0" kern="1200">
              <a:solidFill>
                <a:sysClr val="windowText" lastClr="000000"/>
              </a:solidFill>
            </a:rPr>
            <a:t>113200</a:t>
          </a:r>
          <a:endParaRPr lang="en-US" sz="1050" b="0" kern="1200">
            <a:solidFill>
              <a:sysClr val="windowText" lastClr="000000"/>
            </a:solidFill>
          </a:endParaRPr>
        </a:p>
      </dsp:txBody>
      <dsp:txXfrm>
        <a:off x="8714472" y="7816357"/>
        <a:ext cx="1087632" cy="543816"/>
      </dsp:txXfrm>
    </dsp:sp>
    <dsp:sp modelId="{5B6359D7-85BC-4AE5-BD27-A2DBF588A62E}">
      <dsp:nvSpPr>
        <dsp:cNvPr id="0" name=""/>
        <dsp:cNvSpPr/>
      </dsp:nvSpPr>
      <dsp:spPr>
        <a:xfrm>
          <a:off x="8714472" y="8588576"/>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Compressed natural gas </a:t>
          </a:r>
          <a:br>
            <a:rPr lang="en-US" sz="1050" b="1" kern="1200">
              <a:solidFill>
                <a:sysClr val="windowText" lastClr="000000"/>
              </a:solidFill>
            </a:rPr>
          </a:br>
          <a:r>
            <a:rPr lang="en-US" sz="1000" b="0" kern="1200">
              <a:solidFill>
                <a:sysClr val="windowText" lastClr="000000"/>
              </a:solidFill>
            </a:rPr>
            <a:t>113300</a:t>
          </a:r>
          <a:endParaRPr lang="en-US" sz="1050" b="0" kern="1200">
            <a:solidFill>
              <a:sysClr val="windowText" lastClr="000000"/>
            </a:solidFill>
          </a:endParaRPr>
        </a:p>
      </dsp:txBody>
      <dsp:txXfrm>
        <a:off x="8714472" y="8588576"/>
        <a:ext cx="1087632" cy="543816"/>
      </dsp:txXfrm>
    </dsp:sp>
    <dsp:sp modelId="{E76DB6DD-5738-4DA5-9270-E0A1C20DCEF1}">
      <dsp:nvSpPr>
        <dsp:cNvPr id="0" name=""/>
        <dsp:cNvSpPr/>
      </dsp:nvSpPr>
      <dsp:spPr>
        <a:xfrm>
          <a:off x="8442564" y="9360795"/>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Natural gas products</a:t>
          </a:r>
          <a:br>
            <a:rPr lang="en-US" sz="1050" b="1" kern="1200">
              <a:solidFill>
                <a:sysClr val="windowText" lastClr="000000"/>
              </a:solidFill>
            </a:rPr>
          </a:br>
          <a:r>
            <a:rPr lang="en-US" sz="1000" b="0" kern="1200">
              <a:solidFill>
                <a:sysClr val="windowText" lastClr="000000"/>
              </a:solidFill>
            </a:rPr>
            <a:t>113300</a:t>
          </a:r>
          <a:endParaRPr lang="en-US" sz="1050" b="0" kern="1200">
            <a:solidFill>
              <a:sysClr val="windowText" lastClr="000000"/>
            </a:solidFill>
          </a:endParaRPr>
        </a:p>
      </dsp:txBody>
      <dsp:txXfrm>
        <a:off x="8442564" y="9360795"/>
        <a:ext cx="1087632" cy="543816"/>
      </dsp:txXfrm>
    </dsp:sp>
    <dsp:sp modelId="{C74F5F62-AE16-41C5-B2C2-E5C0720672B6}">
      <dsp:nvSpPr>
        <dsp:cNvPr id="0" name=""/>
        <dsp:cNvSpPr/>
      </dsp:nvSpPr>
      <dsp:spPr>
        <a:xfrm>
          <a:off x="8714472"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Natural gas-based hydrogen</a:t>
          </a:r>
          <a:br>
            <a:rPr lang="en-US" sz="1050" b="1" kern="1200">
              <a:solidFill>
                <a:sysClr val="windowText" lastClr="000000"/>
              </a:solidFill>
            </a:rPr>
          </a:br>
          <a:r>
            <a:rPr lang="en-US" sz="1000" b="0" kern="1200">
              <a:solidFill>
                <a:sysClr val="windowText" lastClr="000000"/>
              </a:solidFill>
            </a:rPr>
            <a:t>113310</a:t>
          </a:r>
          <a:endParaRPr lang="en-US" sz="1050" b="0" kern="1200">
            <a:solidFill>
              <a:sysClr val="windowText" lastClr="000000"/>
            </a:solidFill>
          </a:endParaRPr>
        </a:p>
      </dsp:txBody>
      <dsp:txXfrm>
        <a:off x="8714472" y="10133014"/>
        <a:ext cx="1087632" cy="543816"/>
      </dsp:txXfrm>
    </dsp:sp>
    <dsp:sp modelId="{6C7531BB-14B7-4720-8827-772B6BF4762C}">
      <dsp:nvSpPr>
        <dsp:cNvPr id="0" name=""/>
        <dsp:cNvSpPr/>
      </dsp:nvSpPr>
      <dsp:spPr>
        <a:xfrm>
          <a:off x="8714472" y="10905233"/>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Natural gas-based ammonia</a:t>
          </a:r>
          <a:br>
            <a:rPr lang="en-US" sz="1050" b="1" kern="1200">
              <a:solidFill>
                <a:sysClr val="windowText" lastClr="000000"/>
              </a:solidFill>
            </a:rPr>
          </a:br>
          <a:r>
            <a:rPr lang="en-US" sz="1000" b="0" kern="1200">
              <a:solidFill>
                <a:sysClr val="windowText" lastClr="000000"/>
              </a:solidFill>
            </a:rPr>
            <a:t>113320</a:t>
          </a:r>
          <a:endParaRPr lang="en-US" sz="1050" b="0" kern="1200">
            <a:solidFill>
              <a:sysClr val="windowText" lastClr="000000"/>
            </a:solidFill>
          </a:endParaRPr>
        </a:p>
      </dsp:txBody>
      <dsp:txXfrm>
        <a:off x="8714472" y="10905233"/>
        <a:ext cx="1087632" cy="543816"/>
      </dsp:txXfrm>
    </dsp:sp>
    <dsp:sp modelId="{BF4FDDE6-6C81-4C1D-B009-A98C55D59C4B}">
      <dsp:nvSpPr>
        <dsp:cNvPr id="0" name=""/>
        <dsp:cNvSpPr/>
      </dsp:nvSpPr>
      <dsp:spPr>
        <a:xfrm>
          <a:off x="8714472" y="11677452"/>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natural gas products</a:t>
          </a:r>
          <a:br>
            <a:rPr lang="en-US" sz="1050" b="1" kern="1200">
              <a:solidFill>
                <a:sysClr val="windowText" lastClr="000000"/>
              </a:solidFill>
            </a:rPr>
          </a:br>
          <a:r>
            <a:rPr lang="en-US" sz="1000" b="0" kern="1200">
              <a:solidFill>
                <a:sysClr val="windowText" lastClr="000000"/>
              </a:solidFill>
            </a:rPr>
            <a:t>113390</a:t>
          </a:r>
          <a:endParaRPr lang="en-US" sz="1050" b="0" kern="1200">
            <a:solidFill>
              <a:sysClr val="windowText" lastClr="000000"/>
            </a:solidFill>
          </a:endParaRPr>
        </a:p>
      </dsp:txBody>
      <dsp:txXfrm>
        <a:off x="8714472" y="11677452"/>
        <a:ext cx="1087632" cy="543816"/>
      </dsp:txXfrm>
    </dsp:sp>
    <dsp:sp modelId="{963999D0-8A82-44A6-88A7-9037D5F5430E}">
      <dsp:nvSpPr>
        <dsp:cNvPr id="0" name=""/>
        <dsp:cNvSpPr/>
      </dsp:nvSpPr>
      <dsp:spPr>
        <a:xfrm>
          <a:off x="9758599"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Oil </a:t>
          </a:r>
          <a:br>
            <a:rPr lang="en-US" sz="1050" b="1" kern="1200">
              <a:solidFill>
                <a:sysClr val="windowText" lastClr="000000"/>
              </a:solidFill>
            </a:rPr>
          </a:br>
          <a:r>
            <a:rPr lang="en-US" sz="1000" b="0" kern="1200">
              <a:solidFill>
                <a:sysClr val="windowText" lastClr="000000"/>
              </a:solidFill>
            </a:rPr>
            <a:t>114000</a:t>
          </a:r>
          <a:endParaRPr lang="en-US" sz="1050" b="0" kern="1200">
            <a:solidFill>
              <a:sysClr val="windowText" lastClr="000000"/>
            </a:solidFill>
          </a:endParaRPr>
        </a:p>
      </dsp:txBody>
      <dsp:txXfrm>
        <a:off x="9758599" y="5499700"/>
        <a:ext cx="1087632" cy="543816"/>
      </dsp:txXfrm>
    </dsp:sp>
    <dsp:sp modelId="{03ECD038-3D71-4585-A24D-73F871F9CFB8}">
      <dsp:nvSpPr>
        <dsp:cNvPr id="0" name=""/>
        <dsp:cNvSpPr/>
      </dsp:nvSpPr>
      <dsp:spPr>
        <a:xfrm>
          <a:off x="10030507"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Conventional crude oil</a:t>
          </a:r>
          <a:br>
            <a:rPr lang="en-US" sz="1050" b="1" kern="1200">
              <a:solidFill>
                <a:sysClr val="windowText" lastClr="000000"/>
              </a:solidFill>
            </a:rPr>
          </a:br>
          <a:r>
            <a:rPr lang="en-US" sz="1000" b="0" kern="1200">
              <a:solidFill>
                <a:sysClr val="windowText" lastClr="000000"/>
              </a:solidFill>
            </a:rPr>
            <a:t>114100</a:t>
          </a:r>
          <a:endParaRPr lang="en-US" sz="1050" b="0" kern="1200">
            <a:solidFill>
              <a:sysClr val="windowText" lastClr="000000"/>
            </a:solidFill>
          </a:endParaRPr>
        </a:p>
      </dsp:txBody>
      <dsp:txXfrm>
        <a:off x="10030507" y="6271919"/>
        <a:ext cx="1087632" cy="543816"/>
      </dsp:txXfrm>
    </dsp:sp>
    <dsp:sp modelId="{F2E7B534-942E-4E74-93EC-3280C2D23683}">
      <dsp:nvSpPr>
        <dsp:cNvPr id="0" name=""/>
        <dsp:cNvSpPr/>
      </dsp:nvSpPr>
      <dsp:spPr>
        <a:xfrm>
          <a:off x="10030507" y="7044138"/>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Natural gas liquids </a:t>
          </a:r>
          <a:br>
            <a:rPr lang="en-US" sz="1050" b="1" kern="1200">
              <a:solidFill>
                <a:sysClr val="windowText" lastClr="000000"/>
              </a:solidFill>
            </a:rPr>
          </a:br>
          <a:r>
            <a:rPr lang="en-US" sz="1000" b="0" kern="1200">
              <a:solidFill>
                <a:sysClr val="windowText" lastClr="000000"/>
              </a:solidFill>
            </a:rPr>
            <a:t>114200</a:t>
          </a:r>
          <a:endParaRPr lang="en-US" sz="1050" b="0" kern="1200">
            <a:solidFill>
              <a:sysClr val="windowText" lastClr="000000"/>
            </a:solidFill>
          </a:endParaRPr>
        </a:p>
      </dsp:txBody>
      <dsp:txXfrm>
        <a:off x="10030507" y="7044138"/>
        <a:ext cx="1087632" cy="543816"/>
      </dsp:txXfrm>
    </dsp:sp>
    <dsp:sp modelId="{14AF2319-7B60-4F13-A350-8D87A6C067D2}">
      <dsp:nvSpPr>
        <dsp:cNvPr id="0" name=""/>
        <dsp:cNvSpPr/>
      </dsp:nvSpPr>
      <dsp:spPr>
        <a:xfrm>
          <a:off x="10030507" y="7816357"/>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Refinery feedstocks</a:t>
          </a:r>
          <a:br>
            <a:rPr lang="en-US" sz="1050" b="1" kern="1200">
              <a:solidFill>
                <a:sysClr val="windowText" lastClr="000000"/>
              </a:solidFill>
            </a:rPr>
          </a:br>
          <a:r>
            <a:rPr lang="en-US" sz="1000" b="0" kern="1200">
              <a:solidFill>
                <a:sysClr val="windowText" lastClr="000000"/>
              </a:solidFill>
            </a:rPr>
            <a:t>114300</a:t>
          </a:r>
          <a:endParaRPr lang="en-US" sz="1050" b="0" kern="1200">
            <a:solidFill>
              <a:sysClr val="windowText" lastClr="000000"/>
            </a:solidFill>
          </a:endParaRPr>
        </a:p>
      </dsp:txBody>
      <dsp:txXfrm>
        <a:off x="10030507" y="7816357"/>
        <a:ext cx="1087632" cy="543816"/>
      </dsp:txXfrm>
    </dsp:sp>
    <dsp:sp modelId="{B0BC50D9-2FC5-488B-90DE-8CF1B4A04380}">
      <dsp:nvSpPr>
        <dsp:cNvPr id="0" name=""/>
        <dsp:cNvSpPr/>
      </dsp:nvSpPr>
      <dsp:spPr>
        <a:xfrm>
          <a:off x="10030507" y="8588576"/>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Additives and oxygenates</a:t>
          </a:r>
          <a:br>
            <a:rPr lang="en-US" sz="1050" b="1" kern="1200">
              <a:solidFill>
                <a:sysClr val="windowText" lastClr="000000"/>
              </a:solidFill>
            </a:rPr>
          </a:br>
          <a:r>
            <a:rPr lang="en-US" sz="1000" b="0" kern="1200">
              <a:solidFill>
                <a:sysClr val="windowText" lastClr="000000"/>
              </a:solidFill>
            </a:rPr>
            <a:t>114400</a:t>
          </a:r>
          <a:endParaRPr lang="en-US" sz="1050" b="0" kern="1200">
            <a:solidFill>
              <a:sysClr val="windowText" lastClr="000000"/>
            </a:solidFill>
          </a:endParaRPr>
        </a:p>
      </dsp:txBody>
      <dsp:txXfrm>
        <a:off x="10030507" y="8588576"/>
        <a:ext cx="1087632" cy="543816"/>
      </dsp:txXfrm>
    </dsp:sp>
    <dsp:sp modelId="{E4F653B3-A56D-440C-9F03-356AB52D119F}">
      <dsp:nvSpPr>
        <dsp:cNvPr id="0" name=""/>
        <dsp:cNvSpPr/>
      </dsp:nvSpPr>
      <dsp:spPr>
        <a:xfrm>
          <a:off x="15294649" y="9360795"/>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Oil products</a:t>
          </a:r>
          <a:br>
            <a:rPr lang="en-US" sz="1050" b="1" kern="1200">
              <a:solidFill>
                <a:sysClr val="windowText" lastClr="000000"/>
              </a:solidFill>
            </a:rPr>
          </a:br>
          <a:r>
            <a:rPr lang="en-US" sz="1000" b="0" kern="1200">
              <a:solidFill>
                <a:sysClr val="windowText" lastClr="000000"/>
              </a:solidFill>
            </a:rPr>
            <a:t>114500</a:t>
          </a:r>
          <a:endParaRPr lang="en-US" sz="1050" b="0" kern="1200">
            <a:solidFill>
              <a:sysClr val="windowText" lastClr="000000"/>
            </a:solidFill>
          </a:endParaRPr>
        </a:p>
      </dsp:txBody>
      <dsp:txXfrm>
        <a:off x="15294649" y="9360795"/>
        <a:ext cx="1087632" cy="543816"/>
      </dsp:txXfrm>
    </dsp:sp>
    <dsp:sp modelId="{EB8C3B39-46FC-414B-87CB-D96CDBC30F3F}">
      <dsp:nvSpPr>
        <dsp:cNvPr id="0" name=""/>
        <dsp:cNvSpPr/>
      </dsp:nvSpPr>
      <dsp:spPr>
        <a:xfrm>
          <a:off x="10030507"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Refinery gas</a:t>
          </a:r>
          <a:br>
            <a:rPr lang="en-US" sz="1050" b="1" kern="1200">
              <a:solidFill>
                <a:sysClr val="windowText" lastClr="000000"/>
              </a:solidFill>
            </a:rPr>
          </a:br>
          <a:r>
            <a:rPr lang="en-US" sz="1000" b="0" kern="1200">
              <a:solidFill>
                <a:sysClr val="windowText" lastClr="000000"/>
              </a:solidFill>
            </a:rPr>
            <a:t>114510</a:t>
          </a:r>
          <a:endParaRPr lang="en-US" sz="1050" b="0" kern="1200">
            <a:solidFill>
              <a:sysClr val="windowText" lastClr="000000"/>
            </a:solidFill>
          </a:endParaRPr>
        </a:p>
      </dsp:txBody>
      <dsp:txXfrm>
        <a:off x="10030507" y="10133014"/>
        <a:ext cx="1087632" cy="543816"/>
      </dsp:txXfrm>
    </dsp:sp>
    <dsp:sp modelId="{D630BBC2-CCC4-4A76-BC02-32B1CC269F97}">
      <dsp:nvSpPr>
        <dsp:cNvPr id="0" name=""/>
        <dsp:cNvSpPr/>
      </dsp:nvSpPr>
      <dsp:spPr>
        <a:xfrm>
          <a:off x="11346543"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Ethane</a:t>
          </a:r>
          <a:br>
            <a:rPr lang="en-US" sz="1050" b="1" kern="1200">
              <a:solidFill>
                <a:sysClr val="windowText" lastClr="000000"/>
              </a:solidFill>
            </a:rPr>
          </a:br>
          <a:r>
            <a:rPr lang="en-US" sz="1000" b="0" kern="1200">
              <a:solidFill>
                <a:sysClr val="windowText" lastClr="000000"/>
              </a:solidFill>
            </a:rPr>
            <a:t>114520</a:t>
          </a:r>
        </a:p>
      </dsp:txBody>
      <dsp:txXfrm>
        <a:off x="11346543" y="10133014"/>
        <a:ext cx="1087632" cy="543816"/>
      </dsp:txXfrm>
    </dsp:sp>
    <dsp:sp modelId="{2C83A144-91E0-44FF-9575-68A00228C791}">
      <dsp:nvSpPr>
        <dsp:cNvPr id="0" name=""/>
        <dsp:cNvSpPr/>
      </dsp:nvSpPr>
      <dsp:spPr>
        <a:xfrm>
          <a:off x="12662578"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Liquefied Petroleum Gases</a:t>
          </a:r>
          <a:br>
            <a:rPr lang="en-US" sz="1050" b="1" kern="1200">
              <a:solidFill>
                <a:sysClr val="windowText" lastClr="000000"/>
              </a:solidFill>
            </a:rPr>
          </a:br>
          <a:r>
            <a:rPr lang="en-US" sz="1000" b="0" kern="1200">
              <a:solidFill>
                <a:sysClr val="windowText" lastClr="000000"/>
              </a:solidFill>
            </a:rPr>
            <a:t>114530</a:t>
          </a:r>
          <a:endParaRPr lang="en-US" sz="1050" b="0" kern="1200">
            <a:solidFill>
              <a:sysClr val="windowText" lastClr="000000"/>
            </a:solidFill>
          </a:endParaRPr>
        </a:p>
      </dsp:txBody>
      <dsp:txXfrm>
        <a:off x="12662578" y="10133014"/>
        <a:ext cx="1087632" cy="543816"/>
      </dsp:txXfrm>
    </dsp:sp>
    <dsp:sp modelId="{08D2F5F4-829F-4FF6-86BA-6C0091B7D631}">
      <dsp:nvSpPr>
        <dsp:cNvPr id="0" name=""/>
        <dsp:cNvSpPr/>
      </dsp:nvSpPr>
      <dsp:spPr>
        <a:xfrm>
          <a:off x="13978613"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Naphtha</a:t>
          </a:r>
          <a:br>
            <a:rPr lang="en-US" sz="1050" b="1" kern="1200">
              <a:solidFill>
                <a:sysClr val="windowText" lastClr="000000"/>
              </a:solidFill>
            </a:rPr>
          </a:br>
          <a:r>
            <a:rPr lang="en-US" sz="1000" b="0" kern="1200">
              <a:solidFill>
                <a:sysClr val="windowText" lastClr="000000"/>
              </a:solidFill>
            </a:rPr>
            <a:t>114540</a:t>
          </a:r>
          <a:endParaRPr lang="en-US" sz="1050" b="0" kern="1200">
            <a:solidFill>
              <a:sysClr val="windowText" lastClr="000000"/>
            </a:solidFill>
          </a:endParaRPr>
        </a:p>
      </dsp:txBody>
      <dsp:txXfrm>
        <a:off x="13978613" y="10133014"/>
        <a:ext cx="1087632" cy="543816"/>
      </dsp:txXfrm>
    </dsp:sp>
    <dsp:sp modelId="{59C4773B-136B-4811-AD8C-968B2FA12770}">
      <dsp:nvSpPr>
        <dsp:cNvPr id="0" name=""/>
        <dsp:cNvSpPr/>
      </dsp:nvSpPr>
      <dsp:spPr>
        <a:xfrm>
          <a:off x="15294649"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Gasolines</a:t>
          </a:r>
          <a:br>
            <a:rPr lang="en-US" sz="1050" b="1" kern="1200">
              <a:solidFill>
                <a:sysClr val="windowText" lastClr="000000"/>
              </a:solidFill>
            </a:rPr>
          </a:br>
          <a:r>
            <a:rPr lang="en-US" sz="1000" b="0" kern="1200">
              <a:solidFill>
                <a:sysClr val="windowText" lastClr="000000"/>
              </a:solidFill>
            </a:rPr>
            <a:t>114550</a:t>
          </a:r>
        </a:p>
      </dsp:txBody>
      <dsp:txXfrm>
        <a:off x="15294649" y="10133014"/>
        <a:ext cx="1087632" cy="543816"/>
      </dsp:txXfrm>
    </dsp:sp>
    <dsp:sp modelId="{5068A80C-9ACB-402A-88D0-68588455724C}">
      <dsp:nvSpPr>
        <dsp:cNvPr id="0" name=""/>
        <dsp:cNvSpPr/>
      </dsp:nvSpPr>
      <dsp:spPr>
        <a:xfrm>
          <a:off x="15566557" y="10905233"/>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Aviation gasoline</a:t>
          </a:r>
          <a:br>
            <a:rPr lang="en-US" sz="1050" b="1" kern="1200">
              <a:solidFill>
                <a:sysClr val="windowText" lastClr="000000"/>
              </a:solidFill>
            </a:rPr>
          </a:br>
          <a:r>
            <a:rPr lang="en-US" sz="1000" b="0" kern="1200">
              <a:solidFill>
                <a:sysClr val="windowText" lastClr="000000"/>
              </a:solidFill>
            </a:rPr>
            <a:t>114551</a:t>
          </a:r>
          <a:endParaRPr lang="en-US" sz="1050" b="0" kern="1200">
            <a:solidFill>
              <a:sysClr val="windowText" lastClr="000000"/>
            </a:solidFill>
          </a:endParaRPr>
        </a:p>
      </dsp:txBody>
      <dsp:txXfrm>
        <a:off x="15566557" y="10905233"/>
        <a:ext cx="1087632" cy="543816"/>
      </dsp:txXfrm>
    </dsp:sp>
    <dsp:sp modelId="{0EA95D05-731C-456A-A18E-C4AE6B2F71AF}">
      <dsp:nvSpPr>
        <dsp:cNvPr id="0" name=""/>
        <dsp:cNvSpPr/>
      </dsp:nvSpPr>
      <dsp:spPr>
        <a:xfrm>
          <a:off x="15566557" y="11677452"/>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Motor gasoline</a:t>
          </a:r>
          <a:br>
            <a:rPr lang="en-US" sz="1050" b="1" kern="1200">
              <a:solidFill>
                <a:sysClr val="windowText" lastClr="000000"/>
              </a:solidFill>
            </a:rPr>
          </a:br>
          <a:r>
            <a:rPr lang="en-US" sz="1000" b="0" kern="1200">
              <a:solidFill>
                <a:sysClr val="windowText" lastClr="000000"/>
              </a:solidFill>
            </a:rPr>
            <a:t>114552</a:t>
          </a:r>
          <a:endParaRPr lang="en-US" sz="1050" b="0" kern="1200">
            <a:solidFill>
              <a:sysClr val="windowText" lastClr="000000"/>
            </a:solidFill>
          </a:endParaRPr>
        </a:p>
      </dsp:txBody>
      <dsp:txXfrm>
        <a:off x="15566557" y="11677452"/>
        <a:ext cx="1087632" cy="543816"/>
      </dsp:txXfrm>
    </dsp:sp>
    <dsp:sp modelId="{5D0A83D7-241C-4529-B137-C9E9CED70E3B}">
      <dsp:nvSpPr>
        <dsp:cNvPr id="0" name=""/>
        <dsp:cNvSpPr/>
      </dsp:nvSpPr>
      <dsp:spPr>
        <a:xfrm>
          <a:off x="15566557" y="12449671"/>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Gasoline-type jet fuel</a:t>
          </a:r>
          <a:br>
            <a:rPr lang="en-US" sz="1050" b="1" kern="1200">
              <a:solidFill>
                <a:sysClr val="windowText" lastClr="000000"/>
              </a:solidFill>
            </a:rPr>
          </a:br>
          <a:r>
            <a:rPr lang="en-US" sz="1000" b="0" kern="1200">
              <a:solidFill>
                <a:sysClr val="windowText" lastClr="000000"/>
              </a:solidFill>
            </a:rPr>
            <a:t>114553</a:t>
          </a:r>
          <a:endParaRPr lang="en-US" sz="1050" b="0" kern="1200">
            <a:solidFill>
              <a:sysClr val="windowText" lastClr="000000"/>
            </a:solidFill>
          </a:endParaRPr>
        </a:p>
      </dsp:txBody>
      <dsp:txXfrm>
        <a:off x="15566557" y="12449671"/>
        <a:ext cx="1087632" cy="543816"/>
      </dsp:txXfrm>
    </dsp:sp>
    <dsp:sp modelId="{54FCEB1D-23E3-4D95-8A6F-292A80CE3454}">
      <dsp:nvSpPr>
        <dsp:cNvPr id="0" name=""/>
        <dsp:cNvSpPr/>
      </dsp:nvSpPr>
      <dsp:spPr>
        <a:xfrm>
          <a:off x="16610684"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Kerosenes</a:t>
          </a:r>
          <a:br>
            <a:rPr lang="en-US" sz="1050" b="1" kern="1200">
              <a:solidFill>
                <a:sysClr val="windowText" lastClr="000000"/>
              </a:solidFill>
            </a:rPr>
          </a:br>
          <a:r>
            <a:rPr lang="en-US" sz="1000" b="0" kern="1200">
              <a:solidFill>
                <a:sysClr val="windowText" lastClr="000000"/>
              </a:solidFill>
            </a:rPr>
            <a:t>114560</a:t>
          </a:r>
          <a:endParaRPr lang="en-US" sz="1050" b="0" kern="1200">
            <a:solidFill>
              <a:sysClr val="windowText" lastClr="000000"/>
            </a:solidFill>
          </a:endParaRPr>
        </a:p>
      </dsp:txBody>
      <dsp:txXfrm>
        <a:off x="16610684" y="10133014"/>
        <a:ext cx="1087632" cy="543816"/>
      </dsp:txXfrm>
    </dsp:sp>
    <dsp:sp modelId="{5461838E-4AAE-4F72-AE50-A34407FA06FC}">
      <dsp:nvSpPr>
        <dsp:cNvPr id="0" name=""/>
        <dsp:cNvSpPr/>
      </dsp:nvSpPr>
      <dsp:spPr>
        <a:xfrm>
          <a:off x="16882592" y="10905233"/>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Kerosene-type jet fuel</a:t>
          </a:r>
          <a:br>
            <a:rPr lang="en-US" sz="1050" b="1" kern="1200">
              <a:solidFill>
                <a:sysClr val="windowText" lastClr="000000"/>
              </a:solidFill>
            </a:rPr>
          </a:br>
          <a:r>
            <a:rPr lang="en-US" sz="1000" b="0" kern="1200">
              <a:solidFill>
                <a:sysClr val="windowText" lastClr="000000"/>
              </a:solidFill>
            </a:rPr>
            <a:t>114561</a:t>
          </a:r>
          <a:endParaRPr lang="en-US" sz="1050" b="0" kern="1200">
            <a:solidFill>
              <a:sysClr val="windowText" lastClr="000000"/>
            </a:solidFill>
          </a:endParaRPr>
        </a:p>
      </dsp:txBody>
      <dsp:txXfrm>
        <a:off x="16882592" y="10905233"/>
        <a:ext cx="1087632" cy="543816"/>
      </dsp:txXfrm>
    </dsp:sp>
    <dsp:sp modelId="{87FA8020-DE3B-4014-A44C-4FEC5266F220}">
      <dsp:nvSpPr>
        <dsp:cNvPr id="0" name=""/>
        <dsp:cNvSpPr/>
      </dsp:nvSpPr>
      <dsp:spPr>
        <a:xfrm>
          <a:off x="16882592" y="11677452"/>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kerosene</a:t>
          </a:r>
          <a:br>
            <a:rPr lang="en-US" sz="1050" b="1" kern="1200">
              <a:solidFill>
                <a:sysClr val="windowText" lastClr="000000"/>
              </a:solidFill>
            </a:rPr>
          </a:br>
          <a:r>
            <a:rPr lang="en-US" sz="1000" b="0" kern="1200">
              <a:solidFill>
                <a:sysClr val="windowText" lastClr="000000"/>
              </a:solidFill>
            </a:rPr>
            <a:t>114569</a:t>
          </a:r>
          <a:endParaRPr lang="en-US" sz="1050" b="0" kern="1200">
            <a:solidFill>
              <a:sysClr val="windowText" lastClr="000000"/>
            </a:solidFill>
          </a:endParaRPr>
        </a:p>
      </dsp:txBody>
      <dsp:txXfrm>
        <a:off x="16882592" y="11677452"/>
        <a:ext cx="1087632" cy="543816"/>
      </dsp:txXfrm>
    </dsp:sp>
    <dsp:sp modelId="{E9E86EF2-8FF2-40F8-A575-C8E722C5D611}">
      <dsp:nvSpPr>
        <dsp:cNvPr id="0" name=""/>
        <dsp:cNvSpPr/>
      </dsp:nvSpPr>
      <dsp:spPr>
        <a:xfrm>
          <a:off x="17926719"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 oil/diesel oil and heavy gas oil</a:t>
          </a:r>
          <a:br>
            <a:rPr lang="en-US" sz="1050" b="1" kern="1200">
              <a:solidFill>
                <a:sysClr val="windowText" lastClr="000000"/>
              </a:solidFill>
            </a:rPr>
          </a:br>
          <a:r>
            <a:rPr lang="en-US" sz="1000" b="0" kern="1200">
              <a:solidFill>
                <a:sysClr val="windowText" lastClr="000000"/>
              </a:solidFill>
            </a:rPr>
            <a:t>114570</a:t>
          </a:r>
        </a:p>
      </dsp:txBody>
      <dsp:txXfrm>
        <a:off x="17926719" y="10133014"/>
        <a:ext cx="1087632" cy="543816"/>
      </dsp:txXfrm>
    </dsp:sp>
    <dsp:sp modelId="{678D9895-FFDA-4276-AF1F-B8CB4AF89043}">
      <dsp:nvSpPr>
        <dsp:cNvPr id="0" name=""/>
        <dsp:cNvSpPr/>
      </dsp:nvSpPr>
      <dsp:spPr>
        <a:xfrm>
          <a:off x="18198628" y="10905233"/>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Gas oil/diesel oil</a:t>
          </a:r>
          <a:br>
            <a:rPr lang="en-US" sz="1050" b="1" kern="1200">
              <a:solidFill>
                <a:sysClr val="windowText" lastClr="000000"/>
              </a:solidFill>
            </a:rPr>
          </a:br>
          <a:r>
            <a:rPr lang="en-US" sz="1000" b="0" kern="1200">
              <a:solidFill>
                <a:sysClr val="windowText" lastClr="000000"/>
              </a:solidFill>
            </a:rPr>
            <a:t>114571</a:t>
          </a:r>
          <a:endParaRPr lang="en-US" sz="1050" b="0" kern="1200">
            <a:solidFill>
              <a:sysClr val="windowText" lastClr="000000"/>
            </a:solidFill>
          </a:endParaRPr>
        </a:p>
      </dsp:txBody>
      <dsp:txXfrm>
        <a:off x="18198628" y="10905233"/>
        <a:ext cx="1087632" cy="543816"/>
      </dsp:txXfrm>
    </dsp:sp>
    <dsp:sp modelId="{1243D1D1-6CE8-4072-BAF5-D5616BE29114}">
      <dsp:nvSpPr>
        <dsp:cNvPr id="0" name=""/>
        <dsp:cNvSpPr/>
      </dsp:nvSpPr>
      <dsp:spPr>
        <a:xfrm>
          <a:off x="18198628" y="11677452"/>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Heavy gas oil</a:t>
          </a:r>
          <a:br>
            <a:rPr lang="en-US" sz="1050" b="1" kern="1200">
              <a:solidFill>
                <a:sysClr val="windowText" lastClr="000000"/>
              </a:solidFill>
            </a:rPr>
          </a:br>
          <a:r>
            <a:rPr lang="en-US" sz="1000" b="0" kern="1200">
              <a:solidFill>
                <a:sysClr val="windowText" lastClr="000000"/>
              </a:solidFill>
            </a:rPr>
            <a:t>114572</a:t>
          </a:r>
          <a:endParaRPr lang="en-US" sz="1050" b="0" kern="1200">
            <a:solidFill>
              <a:sysClr val="windowText" lastClr="000000"/>
            </a:solidFill>
          </a:endParaRPr>
        </a:p>
      </dsp:txBody>
      <dsp:txXfrm>
        <a:off x="18198628" y="11677452"/>
        <a:ext cx="1087632" cy="543816"/>
      </dsp:txXfrm>
    </dsp:sp>
    <dsp:sp modelId="{00414A84-BE3F-419D-86C3-0CBBCB77744F}">
      <dsp:nvSpPr>
        <dsp:cNvPr id="0" name=""/>
        <dsp:cNvSpPr/>
      </dsp:nvSpPr>
      <dsp:spPr>
        <a:xfrm>
          <a:off x="19242755"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Fuel oil</a:t>
          </a:r>
          <a:br>
            <a:rPr lang="en-US" sz="1050" b="1" kern="1200">
              <a:solidFill>
                <a:sysClr val="windowText" lastClr="000000"/>
              </a:solidFill>
            </a:rPr>
          </a:br>
          <a:r>
            <a:rPr lang="en-US" sz="1000" b="0" kern="1200">
              <a:solidFill>
                <a:sysClr val="windowText" lastClr="000000"/>
              </a:solidFill>
            </a:rPr>
            <a:t>114580</a:t>
          </a:r>
          <a:endParaRPr lang="en-US" sz="1050" b="0" kern="1200">
            <a:solidFill>
              <a:sysClr val="windowText" lastClr="000000"/>
            </a:solidFill>
          </a:endParaRPr>
        </a:p>
      </dsp:txBody>
      <dsp:txXfrm>
        <a:off x="19242755" y="10133014"/>
        <a:ext cx="1087632" cy="543816"/>
      </dsp:txXfrm>
    </dsp:sp>
    <dsp:sp modelId="{2C1A7F41-62FD-4C3B-B8A5-AAEB4601BB61}">
      <dsp:nvSpPr>
        <dsp:cNvPr id="0" name=""/>
        <dsp:cNvSpPr/>
      </dsp:nvSpPr>
      <dsp:spPr>
        <a:xfrm>
          <a:off x="20558790" y="10133014"/>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oil products</a:t>
          </a:r>
          <a:br>
            <a:rPr lang="en-US" sz="1050" b="1" kern="1200">
              <a:solidFill>
                <a:sysClr val="windowText" lastClr="000000"/>
              </a:solidFill>
            </a:rPr>
          </a:br>
          <a:r>
            <a:rPr lang="en-US" sz="1000" b="0" kern="1200">
              <a:solidFill>
                <a:sysClr val="windowText" lastClr="000000"/>
              </a:solidFill>
            </a:rPr>
            <a:t>114590</a:t>
          </a:r>
          <a:endParaRPr lang="en-US" sz="1050" b="0" kern="1200">
            <a:solidFill>
              <a:sysClr val="windowText" lastClr="000000"/>
            </a:solidFill>
          </a:endParaRPr>
        </a:p>
      </dsp:txBody>
      <dsp:txXfrm>
        <a:off x="20558790" y="10133014"/>
        <a:ext cx="1087632" cy="543816"/>
      </dsp:txXfrm>
    </dsp:sp>
    <dsp:sp modelId="{E7736C80-1CCB-4CBB-9403-8C1092E7241B}">
      <dsp:nvSpPr>
        <dsp:cNvPr id="0" name=""/>
        <dsp:cNvSpPr/>
      </dsp:nvSpPr>
      <dsp:spPr>
        <a:xfrm>
          <a:off x="20830698" y="10905233"/>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White spirit</a:t>
          </a:r>
          <a:br>
            <a:rPr lang="en-US" sz="1050" b="1" kern="1200">
              <a:solidFill>
                <a:sysClr val="windowText" lastClr="000000"/>
              </a:solidFill>
            </a:rPr>
          </a:br>
          <a:r>
            <a:rPr lang="en-US" sz="1000" b="0" kern="1200">
              <a:solidFill>
                <a:sysClr val="windowText" lastClr="000000"/>
              </a:solidFill>
            </a:rPr>
            <a:t>114591</a:t>
          </a:r>
          <a:endParaRPr lang="en-US" sz="1050" b="0" kern="1200">
            <a:solidFill>
              <a:sysClr val="windowText" lastClr="000000"/>
            </a:solidFill>
          </a:endParaRPr>
        </a:p>
      </dsp:txBody>
      <dsp:txXfrm>
        <a:off x="20830698" y="10905233"/>
        <a:ext cx="1087632" cy="543816"/>
      </dsp:txXfrm>
    </dsp:sp>
    <dsp:sp modelId="{1CF66548-87FD-4ACD-899B-BA01808BB437}">
      <dsp:nvSpPr>
        <dsp:cNvPr id="0" name=""/>
        <dsp:cNvSpPr/>
      </dsp:nvSpPr>
      <dsp:spPr>
        <a:xfrm>
          <a:off x="20830698" y="11677452"/>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Lubricants</a:t>
          </a:r>
          <a:br>
            <a:rPr lang="en-US" sz="1050" b="1" kern="1200">
              <a:solidFill>
                <a:sysClr val="windowText" lastClr="000000"/>
              </a:solidFill>
            </a:rPr>
          </a:br>
          <a:r>
            <a:rPr lang="en-US" sz="1000" b="0" kern="1200">
              <a:solidFill>
                <a:sysClr val="windowText" lastClr="000000"/>
              </a:solidFill>
            </a:rPr>
            <a:t>114592</a:t>
          </a:r>
          <a:endParaRPr lang="en-US" sz="1050" b="0" kern="1200">
            <a:solidFill>
              <a:sysClr val="windowText" lastClr="000000"/>
            </a:solidFill>
          </a:endParaRPr>
        </a:p>
      </dsp:txBody>
      <dsp:txXfrm>
        <a:off x="20830698" y="11677452"/>
        <a:ext cx="1087632" cy="543816"/>
      </dsp:txXfrm>
    </dsp:sp>
    <dsp:sp modelId="{C2D54325-2494-4482-BD61-36C75228C61C}">
      <dsp:nvSpPr>
        <dsp:cNvPr id="0" name=""/>
        <dsp:cNvSpPr/>
      </dsp:nvSpPr>
      <dsp:spPr>
        <a:xfrm>
          <a:off x="20830698" y="12449671"/>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Paraffin waxes</a:t>
          </a:r>
          <a:br>
            <a:rPr lang="en-US" sz="1050" b="1" kern="1200">
              <a:solidFill>
                <a:sysClr val="windowText" lastClr="000000"/>
              </a:solidFill>
            </a:rPr>
          </a:br>
          <a:r>
            <a:rPr lang="en-US" sz="1000" b="0" kern="1200">
              <a:solidFill>
                <a:sysClr val="windowText" lastClr="000000"/>
              </a:solidFill>
            </a:rPr>
            <a:t>114593</a:t>
          </a:r>
          <a:endParaRPr lang="en-US" sz="1050" b="0" kern="1200">
            <a:solidFill>
              <a:sysClr val="windowText" lastClr="000000"/>
            </a:solidFill>
          </a:endParaRPr>
        </a:p>
      </dsp:txBody>
      <dsp:txXfrm>
        <a:off x="20830698" y="12449671"/>
        <a:ext cx="1087632" cy="543816"/>
      </dsp:txXfrm>
    </dsp:sp>
    <dsp:sp modelId="{56DB4668-946F-4A5A-957C-5E151A790B6E}">
      <dsp:nvSpPr>
        <dsp:cNvPr id="0" name=""/>
        <dsp:cNvSpPr/>
      </dsp:nvSpPr>
      <dsp:spPr>
        <a:xfrm>
          <a:off x="20830698" y="13221891"/>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Petroleoum coke</a:t>
          </a:r>
          <a:br>
            <a:rPr lang="en-US" sz="1050" b="1" kern="1200">
              <a:solidFill>
                <a:sysClr val="windowText" lastClr="000000"/>
              </a:solidFill>
            </a:rPr>
          </a:br>
          <a:r>
            <a:rPr lang="en-US" sz="1000" b="0" kern="1200">
              <a:solidFill>
                <a:sysClr val="windowText" lastClr="000000"/>
              </a:solidFill>
            </a:rPr>
            <a:t>114594</a:t>
          </a:r>
          <a:endParaRPr lang="en-US" sz="1050" b="0" kern="1200">
            <a:solidFill>
              <a:sysClr val="windowText" lastClr="000000"/>
            </a:solidFill>
          </a:endParaRPr>
        </a:p>
      </dsp:txBody>
      <dsp:txXfrm>
        <a:off x="20830698" y="13221891"/>
        <a:ext cx="1087632" cy="543816"/>
      </dsp:txXfrm>
    </dsp:sp>
    <dsp:sp modelId="{16C1F812-4891-4D2F-BED7-F1A084D6BFBA}">
      <dsp:nvSpPr>
        <dsp:cNvPr id="0" name=""/>
        <dsp:cNvSpPr/>
      </dsp:nvSpPr>
      <dsp:spPr>
        <a:xfrm>
          <a:off x="20830698" y="13994110"/>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Bitumen</a:t>
          </a:r>
          <a:br>
            <a:rPr lang="en-US" sz="1050" b="1" kern="1200">
              <a:solidFill>
                <a:sysClr val="windowText" lastClr="000000"/>
              </a:solidFill>
            </a:rPr>
          </a:br>
          <a:r>
            <a:rPr lang="en-US" sz="1000" b="0" kern="1200">
              <a:solidFill>
                <a:sysClr val="windowText" lastClr="000000"/>
              </a:solidFill>
            </a:rPr>
            <a:t>114595</a:t>
          </a:r>
          <a:endParaRPr lang="en-US" sz="1050" b="0" kern="1200">
            <a:solidFill>
              <a:sysClr val="windowText" lastClr="000000"/>
            </a:solidFill>
          </a:endParaRPr>
        </a:p>
      </dsp:txBody>
      <dsp:txXfrm>
        <a:off x="20830698" y="13994110"/>
        <a:ext cx="1087632" cy="543816"/>
      </dsp:txXfrm>
    </dsp:sp>
    <dsp:sp modelId="{58487AF8-4202-4BD0-B2AC-22885F83C43F}">
      <dsp:nvSpPr>
        <dsp:cNvPr id="0" name=""/>
        <dsp:cNvSpPr/>
      </dsp:nvSpPr>
      <dsp:spPr>
        <a:xfrm>
          <a:off x="20830698" y="14766329"/>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Oil-based hydrogen</a:t>
          </a:r>
          <a:br>
            <a:rPr lang="en-US" sz="1050" b="1" kern="1200">
              <a:solidFill>
                <a:sysClr val="windowText" lastClr="000000"/>
              </a:solidFill>
            </a:rPr>
          </a:br>
          <a:r>
            <a:rPr lang="en-US" sz="1000" b="0" kern="1200">
              <a:solidFill>
                <a:sysClr val="windowText" lastClr="000000"/>
              </a:solidFill>
            </a:rPr>
            <a:t>114596</a:t>
          </a:r>
          <a:endParaRPr lang="en-US" sz="1050" b="0" kern="1200">
            <a:solidFill>
              <a:sysClr val="windowText" lastClr="000000"/>
            </a:solidFill>
          </a:endParaRPr>
        </a:p>
      </dsp:txBody>
      <dsp:txXfrm>
        <a:off x="20830698" y="14766329"/>
        <a:ext cx="1087632" cy="543816"/>
      </dsp:txXfrm>
    </dsp:sp>
    <dsp:sp modelId="{9105889D-BD14-43AA-A28D-9A7684D28A5A}">
      <dsp:nvSpPr>
        <dsp:cNvPr id="0" name=""/>
        <dsp:cNvSpPr/>
      </dsp:nvSpPr>
      <dsp:spPr>
        <a:xfrm>
          <a:off x="20830698" y="15538548"/>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Oil-based ammonia</a:t>
          </a:r>
          <a:br>
            <a:rPr lang="en-US" sz="1050" b="1" kern="1200">
              <a:solidFill>
                <a:sysClr val="windowText" lastClr="000000"/>
              </a:solidFill>
            </a:rPr>
          </a:br>
          <a:r>
            <a:rPr lang="en-US" sz="1000" b="0" kern="1200">
              <a:solidFill>
                <a:sysClr val="windowText" lastClr="000000"/>
              </a:solidFill>
            </a:rPr>
            <a:t>114597</a:t>
          </a:r>
          <a:endParaRPr lang="en-US" sz="1050" b="0" kern="1200">
            <a:solidFill>
              <a:sysClr val="windowText" lastClr="000000"/>
            </a:solidFill>
          </a:endParaRPr>
        </a:p>
      </dsp:txBody>
      <dsp:txXfrm>
        <a:off x="20830698" y="15538548"/>
        <a:ext cx="1087632" cy="543816"/>
      </dsp:txXfrm>
    </dsp:sp>
    <dsp:sp modelId="{1F56D8DA-CEB2-44D4-9F74-29D6E216AAA3}">
      <dsp:nvSpPr>
        <dsp:cNvPr id="0" name=""/>
        <dsp:cNvSpPr/>
      </dsp:nvSpPr>
      <dsp:spPr>
        <a:xfrm>
          <a:off x="20830698" y="16310767"/>
          <a:ext cx="1087632" cy="543816"/>
        </a:xfrm>
        <a:prstGeom prst="rect">
          <a:avLst/>
        </a:prstGeom>
        <a:pattFill prst="ltDnDiag">
          <a:fgClr>
            <a:schemeClr val="bg1">
              <a:lumMod val="85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oil products n.e.s.</a:t>
          </a:r>
          <a:br>
            <a:rPr lang="en-US" sz="1050" b="1" kern="1200">
              <a:solidFill>
                <a:sysClr val="windowText" lastClr="000000"/>
              </a:solidFill>
            </a:rPr>
          </a:br>
          <a:r>
            <a:rPr lang="en-US" sz="1000" b="0" kern="1200">
              <a:solidFill>
                <a:sysClr val="windowText" lastClr="000000"/>
              </a:solidFill>
            </a:rPr>
            <a:t>114599</a:t>
          </a:r>
          <a:endParaRPr lang="en-US" sz="1050" b="0" kern="1200">
            <a:solidFill>
              <a:sysClr val="windowText" lastClr="000000"/>
            </a:solidFill>
          </a:endParaRPr>
        </a:p>
      </dsp:txBody>
      <dsp:txXfrm>
        <a:off x="20830698" y="16310767"/>
        <a:ext cx="1087632" cy="543816"/>
      </dsp:txXfrm>
    </dsp:sp>
    <dsp:sp modelId="{468120F5-31FE-43D8-ABC5-6BFA855612D5}">
      <dsp:nvSpPr>
        <dsp:cNvPr id="0" name=""/>
        <dsp:cNvSpPr/>
      </dsp:nvSpPr>
      <dsp:spPr>
        <a:xfrm>
          <a:off x="11074634"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Oil shale/sands</a:t>
          </a:r>
          <a:br>
            <a:rPr lang="en-US" sz="1050" b="1" kern="1200">
              <a:solidFill>
                <a:sysClr val="windowText" lastClr="000000"/>
              </a:solidFill>
            </a:rPr>
          </a:br>
          <a:r>
            <a:rPr lang="en-US" sz="1000" b="0" kern="1200">
              <a:solidFill>
                <a:sysClr val="windowText" lastClr="000000"/>
              </a:solidFill>
            </a:rPr>
            <a:t>115000</a:t>
          </a:r>
          <a:endParaRPr lang="en-US" sz="1050" b="0" kern="1200">
            <a:solidFill>
              <a:sysClr val="windowText" lastClr="000000"/>
            </a:solidFill>
          </a:endParaRPr>
        </a:p>
      </dsp:txBody>
      <dsp:txXfrm>
        <a:off x="11074634" y="5499700"/>
        <a:ext cx="1087632" cy="543816"/>
      </dsp:txXfrm>
    </dsp:sp>
    <dsp:sp modelId="{F54FFB28-BC49-4EC1-A9E7-45140768EC25}">
      <dsp:nvSpPr>
        <dsp:cNvPr id="0" name=""/>
        <dsp:cNvSpPr/>
      </dsp:nvSpPr>
      <dsp:spPr>
        <a:xfrm>
          <a:off x="12390670"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fossil fuels</a:t>
          </a:r>
          <a:br>
            <a:rPr lang="en-US" sz="1050" b="1" kern="1200">
              <a:solidFill>
                <a:sysClr val="windowText" lastClr="000000"/>
              </a:solidFill>
            </a:rPr>
          </a:br>
          <a:r>
            <a:rPr lang="en-US" sz="1000" b="0" kern="1200">
              <a:solidFill>
                <a:sysClr val="windowText" lastClr="000000"/>
              </a:solidFill>
            </a:rPr>
            <a:t>119000</a:t>
          </a:r>
          <a:endParaRPr lang="en-US" sz="1050" b="0" kern="1200">
            <a:solidFill>
              <a:sysClr val="windowText" lastClr="000000"/>
            </a:solidFill>
          </a:endParaRPr>
        </a:p>
      </dsp:txBody>
      <dsp:txXfrm>
        <a:off x="12390670" y="5499700"/>
        <a:ext cx="1087632" cy="543816"/>
      </dsp:txXfrm>
    </dsp:sp>
    <dsp:sp modelId="{AC107559-6EEC-467B-9CE0-CE65F7BD6562}">
      <dsp:nvSpPr>
        <dsp:cNvPr id="0" name=""/>
        <dsp:cNvSpPr/>
      </dsp:nvSpPr>
      <dsp:spPr>
        <a:xfrm>
          <a:off x="12662578"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primary fossil fuels</a:t>
          </a:r>
          <a:br>
            <a:rPr lang="en-US" sz="1050" b="1" kern="1200">
              <a:solidFill>
                <a:sysClr val="windowText" lastClr="000000"/>
              </a:solidFill>
            </a:rPr>
          </a:br>
          <a:r>
            <a:rPr lang="en-US" sz="1000" b="0" kern="1200">
              <a:solidFill>
                <a:sysClr val="windowText" lastClr="000000"/>
              </a:solidFill>
            </a:rPr>
            <a:t>119100</a:t>
          </a:r>
          <a:endParaRPr lang="en-US" sz="1050" b="0" kern="1200">
            <a:solidFill>
              <a:sysClr val="windowText" lastClr="000000"/>
            </a:solidFill>
          </a:endParaRPr>
        </a:p>
      </dsp:txBody>
      <dsp:txXfrm>
        <a:off x="12662578" y="6271919"/>
        <a:ext cx="1087632" cy="543816"/>
      </dsp:txXfrm>
    </dsp:sp>
    <dsp:sp modelId="{A301AD95-78BE-424A-B579-8B2078E5BE2A}">
      <dsp:nvSpPr>
        <dsp:cNvPr id="0" name=""/>
        <dsp:cNvSpPr/>
      </dsp:nvSpPr>
      <dsp:spPr>
        <a:xfrm>
          <a:off x="12662578" y="7044138"/>
          <a:ext cx="1087632" cy="543816"/>
        </a:xfrm>
        <a:prstGeom prst="rect">
          <a:avLst/>
        </a:prstGeom>
        <a:pattFill prst="ltDnDiag">
          <a:fgClr>
            <a:schemeClr val="bg2"/>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fossil fuel products </a:t>
          </a:r>
          <a:br>
            <a:rPr lang="en-US" sz="1050" b="1" kern="1200">
              <a:solidFill>
                <a:sysClr val="windowText" lastClr="000000"/>
              </a:solidFill>
            </a:rPr>
          </a:br>
          <a:r>
            <a:rPr lang="en-US" sz="1000" b="0" kern="1200">
              <a:solidFill>
                <a:sysClr val="windowText" lastClr="000000"/>
              </a:solidFill>
            </a:rPr>
            <a:t>119200</a:t>
          </a:r>
          <a:endParaRPr lang="en-US" sz="1050" b="0" kern="1200">
            <a:solidFill>
              <a:sysClr val="windowText" lastClr="000000"/>
            </a:solidFill>
          </a:endParaRPr>
        </a:p>
      </dsp:txBody>
      <dsp:txXfrm>
        <a:off x="12662578" y="7044138"/>
        <a:ext cx="1087632" cy="543816"/>
      </dsp:txXfrm>
    </dsp:sp>
    <dsp:sp modelId="{0E445BF5-F65E-46AE-B651-047A9656F004}">
      <dsp:nvSpPr>
        <dsp:cNvPr id="0" name=""/>
        <dsp:cNvSpPr/>
      </dsp:nvSpPr>
      <dsp:spPr>
        <a:xfrm>
          <a:off x="12662578" y="7816357"/>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fossil fuels n.e.s.</a:t>
          </a:r>
          <a:br>
            <a:rPr lang="en-US" sz="1050" b="1" kern="1200">
              <a:solidFill>
                <a:sysClr val="windowText" lastClr="000000"/>
              </a:solidFill>
            </a:rPr>
          </a:br>
          <a:r>
            <a:rPr lang="en-US" sz="1000" b="0" kern="1200">
              <a:solidFill>
                <a:sysClr val="windowText" lastClr="000000"/>
              </a:solidFill>
            </a:rPr>
            <a:t>119900</a:t>
          </a:r>
          <a:endParaRPr lang="en-US" sz="1050" b="0" kern="1200">
            <a:solidFill>
              <a:sysClr val="windowText" lastClr="000000"/>
            </a:solidFill>
          </a:endParaRPr>
        </a:p>
      </dsp:txBody>
      <dsp:txXfrm>
        <a:off x="12662578" y="7816357"/>
        <a:ext cx="1087632" cy="543816"/>
      </dsp:txXfrm>
    </dsp:sp>
    <dsp:sp modelId="{DE31D261-FA92-43EF-B370-01BBD6523310}">
      <dsp:nvSpPr>
        <dsp:cNvPr id="0" name=""/>
        <dsp:cNvSpPr/>
      </dsp:nvSpPr>
      <dsp:spPr>
        <a:xfrm>
          <a:off x="13706705" y="472748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Nuclear fission</a:t>
          </a:r>
          <a:br>
            <a:rPr lang="en-US" sz="1050" b="1" kern="1200">
              <a:solidFill>
                <a:sysClr val="windowText" lastClr="000000"/>
              </a:solidFill>
            </a:rPr>
          </a:br>
          <a:r>
            <a:rPr lang="en-US" sz="1000" b="0" kern="1200">
              <a:solidFill>
                <a:sysClr val="windowText" lastClr="000000"/>
              </a:solidFill>
            </a:rPr>
            <a:t>120000</a:t>
          </a:r>
          <a:endParaRPr lang="en-US" sz="1050" b="0" kern="1200">
            <a:solidFill>
              <a:sysClr val="windowText" lastClr="000000"/>
            </a:solidFill>
          </a:endParaRPr>
        </a:p>
      </dsp:txBody>
      <dsp:txXfrm>
        <a:off x="13706705" y="4727480"/>
        <a:ext cx="1087632" cy="543816"/>
      </dsp:txXfrm>
    </dsp:sp>
    <dsp:sp modelId="{E7CF372C-F6B3-40CB-98CB-4650DDA7A3A3}">
      <dsp:nvSpPr>
        <dsp:cNvPr id="0" name=""/>
        <dsp:cNvSpPr/>
      </dsp:nvSpPr>
      <dsp:spPr>
        <a:xfrm>
          <a:off x="13978613"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Uranium and plutonium</a:t>
          </a:r>
          <a:br>
            <a:rPr lang="en-US" sz="1050" b="1" kern="1200">
              <a:solidFill>
                <a:sysClr val="windowText" lastClr="000000"/>
              </a:solidFill>
            </a:rPr>
          </a:br>
          <a:r>
            <a:rPr lang="en-US" sz="1000" b="0" kern="1200">
              <a:solidFill>
                <a:sysClr val="windowText" lastClr="000000"/>
              </a:solidFill>
            </a:rPr>
            <a:t>121000</a:t>
          </a:r>
          <a:endParaRPr lang="en-US" sz="1050" b="0" kern="1200">
            <a:solidFill>
              <a:sysClr val="windowText" lastClr="000000"/>
            </a:solidFill>
          </a:endParaRPr>
        </a:p>
      </dsp:txBody>
      <dsp:txXfrm>
        <a:off x="13978613" y="5499700"/>
        <a:ext cx="1087632" cy="543816"/>
      </dsp:txXfrm>
    </dsp:sp>
    <dsp:sp modelId="{4364A7CA-294E-483D-B46E-1D4EE51A9232}">
      <dsp:nvSpPr>
        <dsp:cNvPr id="0" name=""/>
        <dsp:cNvSpPr/>
      </dsp:nvSpPr>
      <dsp:spPr>
        <a:xfrm>
          <a:off x="13978613"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nuclear fuels</a:t>
          </a:r>
          <a:br>
            <a:rPr lang="en-US" sz="1050" b="1" kern="1200">
              <a:solidFill>
                <a:sysClr val="windowText" lastClr="000000"/>
              </a:solidFill>
            </a:rPr>
          </a:br>
          <a:r>
            <a:rPr lang="en-US" sz="1000" b="0" kern="1200">
              <a:solidFill>
                <a:sysClr val="windowText" lastClr="000000"/>
              </a:solidFill>
            </a:rPr>
            <a:t>129000</a:t>
          </a:r>
          <a:endParaRPr lang="en-US" sz="1050" b="0" kern="1200">
            <a:solidFill>
              <a:sysClr val="windowText" lastClr="000000"/>
            </a:solidFill>
          </a:endParaRPr>
        </a:p>
      </dsp:txBody>
      <dsp:txXfrm>
        <a:off x="13978613" y="6271919"/>
        <a:ext cx="1087632" cy="543816"/>
      </dsp:txXfrm>
    </dsp:sp>
    <dsp:sp modelId="{674ECC1B-D15E-4E07-BBB4-B246350F35C8}">
      <dsp:nvSpPr>
        <dsp:cNvPr id="0" name=""/>
        <dsp:cNvSpPr/>
      </dsp:nvSpPr>
      <dsp:spPr>
        <a:xfrm>
          <a:off x="15022741" y="4727480"/>
          <a:ext cx="1087632" cy="543816"/>
        </a:xfrm>
        <a:prstGeom prst="rect">
          <a:avLst/>
        </a:prstGeom>
        <a:solidFill>
          <a:schemeClr val="bg2"/>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Non-renewable waste</a:t>
          </a:r>
          <a:br>
            <a:rPr lang="en-US" sz="1050" b="1" kern="1200">
              <a:solidFill>
                <a:sysClr val="windowText" lastClr="000000"/>
              </a:solidFill>
            </a:rPr>
          </a:br>
          <a:r>
            <a:rPr lang="en-US" sz="1000" b="0" kern="1200">
              <a:solidFill>
                <a:sysClr val="windowText" lastClr="000000"/>
              </a:solidFill>
            </a:rPr>
            <a:t>130000</a:t>
          </a:r>
          <a:endParaRPr lang="en-US" sz="1050" b="0" kern="1200">
            <a:solidFill>
              <a:sysClr val="windowText" lastClr="000000"/>
            </a:solidFill>
          </a:endParaRPr>
        </a:p>
      </dsp:txBody>
      <dsp:txXfrm>
        <a:off x="15022741" y="4727480"/>
        <a:ext cx="1087632" cy="543816"/>
      </dsp:txXfrm>
    </dsp:sp>
    <dsp:sp modelId="{925437CC-A9C2-417E-89E8-25912A1B32A7}">
      <dsp:nvSpPr>
        <dsp:cNvPr id="0" name=""/>
        <dsp:cNvSpPr/>
      </dsp:nvSpPr>
      <dsp:spPr>
        <a:xfrm>
          <a:off x="15294649"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Non-renewable industrial waste</a:t>
          </a:r>
          <a:br>
            <a:rPr lang="en-US" sz="1050" b="1" kern="1200">
              <a:solidFill>
                <a:sysClr val="windowText" lastClr="000000"/>
              </a:solidFill>
            </a:rPr>
          </a:br>
          <a:r>
            <a:rPr lang="en-US" sz="1000" b="0" kern="1200">
              <a:solidFill>
                <a:sysClr val="windowText" lastClr="000000"/>
              </a:solidFill>
            </a:rPr>
            <a:t>131000</a:t>
          </a:r>
          <a:endParaRPr lang="en-US" sz="1050" b="0" kern="1200">
            <a:solidFill>
              <a:sysClr val="windowText" lastClr="000000"/>
            </a:solidFill>
          </a:endParaRPr>
        </a:p>
      </dsp:txBody>
      <dsp:txXfrm>
        <a:off x="15294649" y="5499700"/>
        <a:ext cx="1087632" cy="543816"/>
      </dsp:txXfrm>
    </dsp:sp>
    <dsp:sp modelId="{49F06308-5CA5-4899-830D-93398B0FEE18}">
      <dsp:nvSpPr>
        <dsp:cNvPr id="0" name=""/>
        <dsp:cNvSpPr/>
      </dsp:nvSpPr>
      <dsp:spPr>
        <a:xfrm>
          <a:off x="15294649" y="6271919"/>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Non-renewable municipal waste</a:t>
          </a:r>
          <a:br>
            <a:rPr lang="en-US" sz="1050" b="1" kern="1200">
              <a:solidFill>
                <a:sysClr val="windowText" lastClr="000000"/>
              </a:solidFill>
            </a:rPr>
          </a:br>
          <a:r>
            <a:rPr lang="en-US" sz="1000" b="0" kern="1200">
              <a:solidFill>
                <a:sysClr val="windowText" lastClr="000000"/>
              </a:solidFill>
            </a:rPr>
            <a:t>132000</a:t>
          </a:r>
          <a:endParaRPr lang="en-US" sz="1050" b="0" kern="1200">
            <a:solidFill>
              <a:sysClr val="windowText" lastClr="000000"/>
            </a:solidFill>
          </a:endParaRPr>
        </a:p>
      </dsp:txBody>
      <dsp:txXfrm>
        <a:off x="15294649" y="6271919"/>
        <a:ext cx="1087632" cy="543816"/>
      </dsp:txXfrm>
    </dsp:sp>
    <dsp:sp modelId="{94F1A0E4-3EE2-4593-B21A-C5FA70BBAF35}">
      <dsp:nvSpPr>
        <dsp:cNvPr id="0" name=""/>
        <dsp:cNvSpPr/>
      </dsp:nvSpPr>
      <dsp:spPr>
        <a:xfrm>
          <a:off x="16338776" y="4727480"/>
          <a:ext cx="1087632" cy="543816"/>
        </a:xfrm>
        <a:prstGeom prst="rect">
          <a:avLst/>
        </a:prstGeom>
        <a:solidFill>
          <a:schemeClr val="bg2"/>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non-renewable energy</a:t>
          </a:r>
          <a:br>
            <a:rPr lang="en-US" sz="1000" b="1" kern="1200">
              <a:solidFill>
                <a:sysClr val="windowText" lastClr="000000"/>
              </a:solidFill>
            </a:rPr>
          </a:br>
          <a:r>
            <a:rPr lang="en-US" sz="1000" b="0" kern="1200">
              <a:solidFill>
                <a:sysClr val="windowText" lastClr="000000"/>
              </a:solidFill>
            </a:rPr>
            <a:t>140000</a:t>
          </a:r>
        </a:p>
      </dsp:txBody>
      <dsp:txXfrm>
        <a:off x="16338776" y="4727480"/>
        <a:ext cx="1087632" cy="543816"/>
      </dsp:txXfrm>
    </dsp:sp>
    <dsp:sp modelId="{40C48953-76C4-404D-838A-E957A48B551C}">
      <dsp:nvSpPr>
        <dsp:cNvPr id="0" name=""/>
        <dsp:cNvSpPr/>
      </dsp:nvSpPr>
      <dsp:spPr>
        <a:xfrm>
          <a:off x="16610684" y="5499700"/>
          <a:ext cx="1087632"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Chemical heat</a:t>
          </a:r>
          <a:br>
            <a:rPr lang="en-US" sz="1050" b="1" kern="1200">
              <a:solidFill>
                <a:sysClr val="windowText" lastClr="000000"/>
              </a:solidFill>
            </a:rPr>
          </a:br>
          <a:r>
            <a:rPr lang="en-US" sz="1000" b="0" kern="1200">
              <a:solidFill>
                <a:sysClr val="windowText" lastClr="000000"/>
              </a:solidFill>
            </a:rPr>
            <a:t>141000</a:t>
          </a:r>
          <a:endParaRPr lang="en-US" sz="1050" b="0" kern="1200">
            <a:solidFill>
              <a:sysClr val="windowText" lastClr="000000"/>
            </a:solidFill>
          </a:endParaRPr>
        </a:p>
      </dsp:txBody>
      <dsp:txXfrm>
        <a:off x="16610684" y="5499700"/>
        <a:ext cx="1087632" cy="543816"/>
      </dsp:txXfrm>
    </dsp:sp>
    <dsp:sp modelId="{046F88B6-0A6F-44B2-8EEA-B852E4A1D76D}">
      <dsp:nvSpPr>
        <dsp:cNvPr id="0" name=""/>
        <dsp:cNvSpPr/>
      </dsp:nvSpPr>
      <dsp:spPr>
        <a:xfrm>
          <a:off x="16610684" y="6271919"/>
          <a:ext cx="1316035" cy="658017"/>
        </a:xfrm>
        <a:prstGeom prst="rect">
          <a:avLst/>
        </a:prstGeom>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latin typeface="Calibri" panose="020F0502020204030204"/>
              <a:ea typeface="+mn-ea"/>
              <a:cs typeface="+mn-cs"/>
            </a:rPr>
            <a:t>Other non-renewable electrolytic hydrogen</a:t>
          </a:r>
          <a:br>
            <a:rPr lang="en-US" sz="1050" b="1" kern="1200">
              <a:solidFill>
                <a:sysClr val="windowText" lastClr="000000"/>
              </a:solidFill>
              <a:latin typeface="Calibri" panose="020F0502020204030204"/>
              <a:ea typeface="+mn-ea"/>
              <a:cs typeface="+mn-cs"/>
            </a:rPr>
          </a:br>
          <a:r>
            <a:rPr lang="en-US" sz="1000" b="0" kern="1200">
              <a:solidFill>
                <a:sysClr val="windowText" lastClr="000000"/>
              </a:solidFill>
              <a:latin typeface="Calibri" panose="020F0502020204030204"/>
              <a:ea typeface="+mn-ea"/>
              <a:cs typeface="+mn-cs"/>
            </a:rPr>
            <a:t>142000</a:t>
          </a:r>
          <a:endParaRPr lang="en-US" sz="1050" b="0" kern="1200">
            <a:solidFill>
              <a:sysClr val="windowText" lastClr="000000"/>
            </a:solidFill>
            <a:latin typeface="Calibri" panose="020F0502020204030204"/>
            <a:ea typeface="+mn-ea"/>
            <a:cs typeface="+mn-cs"/>
          </a:endParaRPr>
        </a:p>
      </dsp:txBody>
      <dsp:txXfrm>
        <a:off x="16610684" y="6271919"/>
        <a:ext cx="1316035" cy="658017"/>
      </dsp:txXfrm>
    </dsp:sp>
    <dsp:sp modelId="{9554BC3F-32CF-427D-95D5-FB340778AF6D}">
      <dsp:nvSpPr>
        <dsp:cNvPr id="0" name=""/>
        <dsp:cNvSpPr/>
      </dsp:nvSpPr>
      <dsp:spPr>
        <a:xfrm>
          <a:off x="16610684" y="7158339"/>
          <a:ext cx="1316035" cy="658017"/>
        </a:xfrm>
        <a:prstGeom prst="rect">
          <a:avLst/>
        </a:prstGeom>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latin typeface="Calibri" panose="020F0502020204030204"/>
              <a:ea typeface="+mn-ea"/>
              <a:cs typeface="+mn-cs"/>
            </a:rPr>
            <a:t>Other</a:t>
          </a:r>
          <a:r>
            <a:rPr lang="en-US" sz="1050" b="1" kern="1200">
              <a:solidFill>
                <a:sysClr val="windowText" lastClr="000000"/>
              </a:solidFill>
            </a:rPr>
            <a:t> non-renewable thermolytic hydrogen</a:t>
          </a:r>
          <a:br>
            <a:rPr lang="en-US" sz="1050" b="1" kern="1200">
              <a:solidFill>
                <a:sysClr val="windowText" lastClr="000000"/>
              </a:solidFill>
            </a:rPr>
          </a:br>
          <a:r>
            <a:rPr lang="en-US" sz="1000" b="0" kern="1200">
              <a:solidFill>
                <a:sysClr val="windowText" lastClr="000000"/>
              </a:solidFill>
            </a:rPr>
            <a:t>143000</a:t>
          </a:r>
          <a:endParaRPr lang="en-US" sz="1050" b="0" kern="1200">
            <a:solidFill>
              <a:sysClr val="windowText" lastClr="000000"/>
            </a:solidFill>
          </a:endParaRPr>
        </a:p>
      </dsp:txBody>
      <dsp:txXfrm>
        <a:off x="16610684" y="7158339"/>
        <a:ext cx="1316035" cy="658017"/>
      </dsp:txXfrm>
    </dsp:sp>
    <dsp:sp modelId="{055BDCD4-D8D0-4265-9155-6C56B6771C11}">
      <dsp:nvSpPr>
        <dsp:cNvPr id="0" name=""/>
        <dsp:cNvSpPr/>
      </dsp:nvSpPr>
      <dsp:spPr>
        <a:xfrm>
          <a:off x="16610684" y="8044760"/>
          <a:ext cx="1196395" cy="598197"/>
        </a:xfrm>
        <a:prstGeom prst="rect">
          <a:avLst/>
        </a:prstGeom>
        <a:pattFill prst="ltDnDiag">
          <a:fgClr>
            <a:srgbClr val="E7E6E6"/>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non-renewable ammonia</a:t>
          </a:r>
          <a:br>
            <a:rPr lang="en-US" sz="1050" b="1" kern="1200">
              <a:solidFill>
                <a:sysClr val="windowText" lastClr="000000"/>
              </a:solidFill>
            </a:rPr>
          </a:br>
          <a:r>
            <a:rPr lang="en-US" sz="1000" b="0" kern="1200">
              <a:solidFill>
                <a:sysClr val="windowText" lastClr="000000"/>
              </a:solidFill>
            </a:rPr>
            <a:t>144000</a:t>
          </a:r>
        </a:p>
      </dsp:txBody>
      <dsp:txXfrm>
        <a:off x="16610684" y="8044760"/>
        <a:ext cx="1196395" cy="598197"/>
      </dsp:txXfrm>
    </dsp:sp>
    <dsp:sp modelId="{6E12A845-F93A-4F18-8787-0C788456A0E0}">
      <dsp:nvSpPr>
        <dsp:cNvPr id="0" name=""/>
        <dsp:cNvSpPr/>
      </dsp:nvSpPr>
      <dsp:spPr>
        <a:xfrm>
          <a:off x="16610684" y="8871360"/>
          <a:ext cx="1346423" cy="543816"/>
        </a:xfrm>
        <a:prstGeom prst="rect">
          <a:avLst/>
        </a:prstGeom>
        <a:solidFill>
          <a:schemeClr val="bg2"/>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solidFill>
            </a:rPr>
            <a:t>Other non-renewable energy n.e.s. </a:t>
          </a:r>
          <a:br>
            <a:rPr lang="en-US" sz="1050" b="1" kern="1200">
              <a:solidFill>
                <a:sysClr val="windowText" lastClr="000000"/>
              </a:solidFill>
            </a:rPr>
          </a:br>
          <a:r>
            <a:rPr lang="en-US" sz="1000" b="0" kern="1200">
              <a:solidFill>
                <a:sysClr val="windowText" lastClr="000000"/>
              </a:solidFill>
            </a:rPr>
            <a:t>149000</a:t>
          </a:r>
          <a:endParaRPr lang="en-US" sz="1050" b="0" kern="1200">
            <a:solidFill>
              <a:sysClr val="windowText" lastClr="000000"/>
            </a:solidFill>
          </a:endParaRPr>
        </a:p>
      </dsp:txBody>
      <dsp:txXfrm>
        <a:off x="16610684" y="8871360"/>
        <a:ext cx="1346423" cy="543816"/>
      </dsp:txXfrm>
    </dsp:sp>
    <dsp:sp modelId="{FD281182-B3BB-48D1-9281-A2F9DAB078B5}">
      <dsp:nvSpPr>
        <dsp:cNvPr id="0" name=""/>
        <dsp:cNvSpPr/>
      </dsp:nvSpPr>
      <dsp:spPr>
        <a:xfrm>
          <a:off x="38963515" y="3955261"/>
          <a:ext cx="1087632" cy="543816"/>
        </a:xfrm>
        <a:prstGeom prst="rect">
          <a:avLst/>
        </a:prstGeom>
        <a:solidFill>
          <a:schemeClr val="accent1"/>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b="1" kern="1200">
              <a:solidFill>
                <a:schemeClr val="bg1"/>
              </a:solidFill>
            </a:rPr>
            <a:t>Renewable Energy</a:t>
          </a:r>
          <a:br>
            <a:rPr lang="en-US" sz="1200" b="1" kern="1200">
              <a:solidFill>
                <a:schemeClr val="bg1"/>
              </a:solidFill>
            </a:rPr>
          </a:br>
          <a:r>
            <a:rPr lang="en-US" sz="1100" b="0" kern="1200">
              <a:solidFill>
                <a:schemeClr val="bg1"/>
              </a:solidFill>
            </a:rPr>
            <a:t>200000</a:t>
          </a:r>
          <a:endParaRPr lang="en-US" sz="1200" b="0" kern="1200">
            <a:solidFill>
              <a:schemeClr val="bg1"/>
            </a:solidFill>
          </a:endParaRPr>
        </a:p>
      </dsp:txBody>
      <dsp:txXfrm>
        <a:off x="38963515" y="3955261"/>
        <a:ext cx="1087632" cy="543816"/>
      </dsp:txXfrm>
    </dsp:sp>
    <dsp:sp modelId="{AE26D402-F7C2-429E-A766-FA3F3B04E164}">
      <dsp:nvSpPr>
        <dsp:cNvPr id="0" name=""/>
        <dsp:cNvSpPr/>
      </dsp:nvSpPr>
      <dsp:spPr>
        <a:xfrm>
          <a:off x="18584737" y="4727480"/>
          <a:ext cx="1087632" cy="543816"/>
        </a:xfrm>
        <a:prstGeom prst="rect">
          <a:avLst/>
        </a:prstGeom>
        <a:solidFill>
          <a:schemeClr val="accent5">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hydropower</a:t>
          </a:r>
          <a:br>
            <a:rPr lang="en-US" sz="1050" b="1" kern="1200"/>
          </a:br>
          <a:r>
            <a:rPr lang="en-US" sz="1000" b="0" kern="1200"/>
            <a:t>210000</a:t>
          </a:r>
          <a:endParaRPr lang="en-US" sz="1050" b="0" kern="1200"/>
        </a:p>
      </dsp:txBody>
      <dsp:txXfrm>
        <a:off x="18584737" y="4727480"/>
        <a:ext cx="1087632" cy="543816"/>
      </dsp:txXfrm>
    </dsp:sp>
    <dsp:sp modelId="{E2728EA9-BCA3-493D-845A-77E3B0CFBF6E}">
      <dsp:nvSpPr>
        <dsp:cNvPr id="0" name=""/>
        <dsp:cNvSpPr/>
      </dsp:nvSpPr>
      <dsp:spPr>
        <a:xfrm>
          <a:off x="17926719" y="5499700"/>
          <a:ext cx="1087632" cy="543816"/>
        </a:xfrm>
        <a:prstGeom prst="rect">
          <a:avLst/>
        </a:prstGeom>
        <a:solidFill>
          <a:schemeClr val="accent5">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Pure hydropower</a:t>
          </a:r>
          <a:br>
            <a:rPr lang="en-US" sz="1050" b="1" kern="1200"/>
          </a:br>
          <a:r>
            <a:rPr lang="en-US" sz="1000" b="0" kern="1200"/>
            <a:t>211000</a:t>
          </a:r>
          <a:endParaRPr lang="en-US" sz="1050" b="0" kern="1200"/>
        </a:p>
      </dsp:txBody>
      <dsp:txXfrm>
        <a:off x="17926719" y="5499700"/>
        <a:ext cx="1087632" cy="543816"/>
      </dsp:txXfrm>
    </dsp:sp>
    <dsp:sp modelId="{18030DCA-1D30-4C78-9BD5-E0C6BC21538C}">
      <dsp:nvSpPr>
        <dsp:cNvPr id="0" name=""/>
        <dsp:cNvSpPr/>
      </dsp:nvSpPr>
      <dsp:spPr>
        <a:xfrm>
          <a:off x="18198628" y="6271919"/>
          <a:ext cx="1087632" cy="543816"/>
        </a:xfrm>
        <a:prstGeom prst="rect">
          <a:avLst/>
        </a:prstGeom>
        <a:solidFill>
          <a:schemeClr val="accent5">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Reservoir hydropower</a:t>
          </a:r>
          <a:br>
            <a:rPr lang="en-US" sz="1050" b="0" kern="1200"/>
          </a:br>
          <a:r>
            <a:rPr lang="en-US" sz="1000" b="0" kern="1200"/>
            <a:t>211100</a:t>
          </a:r>
          <a:endParaRPr lang="en-US" sz="1050" b="0" kern="1200"/>
        </a:p>
      </dsp:txBody>
      <dsp:txXfrm>
        <a:off x="18198628" y="6271919"/>
        <a:ext cx="1087632" cy="543816"/>
      </dsp:txXfrm>
    </dsp:sp>
    <dsp:sp modelId="{068EA1E2-E0A6-49BE-9F4B-6F28F451E3C2}">
      <dsp:nvSpPr>
        <dsp:cNvPr id="0" name=""/>
        <dsp:cNvSpPr/>
      </dsp:nvSpPr>
      <dsp:spPr>
        <a:xfrm>
          <a:off x="18198628" y="7044138"/>
          <a:ext cx="1087632" cy="543816"/>
        </a:xfrm>
        <a:prstGeom prst="rect">
          <a:avLst/>
        </a:prstGeom>
        <a:solidFill>
          <a:schemeClr val="accent5">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Run-of-river hydropower</a:t>
          </a:r>
          <a:br>
            <a:rPr lang="en-US" sz="1050" b="0" kern="1200"/>
          </a:br>
          <a:r>
            <a:rPr lang="en-US" sz="1000" b="0" kern="1200"/>
            <a:t>211200</a:t>
          </a:r>
          <a:endParaRPr lang="en-US" sz="1050" b="0" kern="1200"/>
        </a:p>
      </dsp:txBody>
      <dsp:txXfrm>
        <a:off x="18198628" y="7044138"/>
        <a:ext cx="1087632" cy="543816"/>
      </dsp:txXfrm>
    </dsp:sp>
    <dsp:sp modelId="{D06D6200-3867-4B76-A1AD-6D4D1ABAADB1}">
      <dsp:nvSpPr>
        <dsp:cNvPr id="0" name=""/>
        <dsp:cNvSpPr/>
      </dsp:nvSpPr>
      <dsp:spPr>
        <a:xfrm>
          <a:off x="19242755" y="5499700"/>
          <a:ext cx="1087632" cy="543816"/>
        </a:xfrm>
        <a:prstGeom prst="rect">
          <a:avLst/>
        </a:prstGeom>
        <a:solidFill>
          <a:schemeClr val="accent5">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Mixed hydropower</a:t>
          </a:r>
          <a:br>
            <a:rPr lang="en-US" sz="1050" b="1" kern="1200"/>
          </a:br>
          <a:r>
            <a:rPr lang="en-US" sz="1000" b="0" kern="1200"/>
            <a:t>212000</a:t>
          </a:r>
          <a:endParaRPr lang="en-US" sz="1050" b="0" kern="1200"/>
        </a:p>
      </dsp:txBody>
      <dsp:txXfrm>
        <a:off x="19242755" y="5499700"/>
        <a:ext cx="1087632" cy="543816"/>
      </dsp:txXfrm>
    </dsp:sp>
    <dsp:sp modelId="{7D16964D-88F4-4CEB-A14A-799F2DA059D0}">
      <dsp:nvSpPr>
        <dsp:cNvPr id="0" name=""/>
        <dsp:cNvSpPr/>
      </dsp:nvSpPr>
      <dsp:spPr>
        <a:xfrm>
          <a:off x="20286882" y="4727480"/>
          <a:ext cx="1087632" cy="543816"/>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Marine energy</a:t>
          </a:r>
          <a:br>
            <a:rPr lang="en-US" sz="1050" b="1" kern="1200"/>
          </a:br>
          <a:r>
            <a:rPr lang="en-US" sz="1000" b="0" kern="1200"/>
            <a:t>220000</a:t>
          </a:r>
          <a:endParaRPr lang="en-US" sz="1050" b="0" kern="1200"/>
        </a:p>
      </dsp:txBody>
      <dsp:txXfrm>
        <a:off x="20286882" y="4727480"/>
        <a:ext cx="1087632" cy="543816"/>
      </dsp:txXfrm>
    </dsp:sp>
    <dsp:sp modelId="{EBC13BA5-55D4-4757-83C3-163149F20BA5}">
      <dsp:nvSpPr>
        <dsp:cNvPr id="0" name=""/>
        <dsp:cNvSpPr/>
      </dsp:nvSpPr>
      <dsp:spPr>
        <a:xfrm>
          <a:off x="20558790" y="5499700"/>
          <a:ext cx="988755" cy="494377"/>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Wave energy</a:t>
          </a:r>
          <a:br>
            <a:rPr lang="en-US" sz="1050" b="1" kern="1200"/>
          </a:br>
          <a:r>
            <a:rPr lang="en-US" sz="1000" b="0" kern="1200"/>
            <a:t>221000</a:t>
          </a:r>
          <a:endParaRPr lang="en-US" sz="1050" b="0" kern="1200"/>
        </a:p>
      </dsp:txBody>
      <dsp:txXfrm>
        <a:off x="20558790" y="5499700"/>
        <a:ext cx="988755" cy="494377"/>
      </dsp:txXfrm>
    </dsp:sp>
    <dsp:sp modelId="{2E2F18DF-47D4-4D8C-A727-147EEA1C5220}">
      <dsp:nvSpPr>
        <dsp:cNvPr id="0" name=""/>
        <dsp:cNvSpPr/>
      </dsp:nvSpPr>
      <dsp:spPr>
        <a:xfrm>
          <a:off x="20558790" y="6222480"/>
          <a:ext cx="988755" cy="494377"/>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Tidal energy</a:t>
          </a:r>
          <a:br>
            <a:rPr lang="en-US" sz="1050" b="1" kern="1200"/>
          </a:br>
          <a:r>
            <a:rPr lang="en-US" sz="1000" b="0" kern="1200"/>
            <a:t>222000</a:t>
          </a:r>
          <a:endParaRPr lang="en-US" sz="1050" b="0" kern="1200"/>
        </a:p>
      </dsp:txBody>
      <dsp:txXfrm>
        <a:off x="20558790" y="6222480"/>
        <a:ext cx="988755" cy="494377"/>
      </dsp:txXfrm>
    </dsp:sp>
    <dsp:sp modelId="{4889A419-7A00-4A58-AB1F-F2D2D66976E3}">
      <dsp:nvSpPr>
        <dsp:cNvPr id="0" name=""/>
        <dsp:cNvSpPr/>
      </dsp:nvSpPr>
      <dsp:spPr>
        <a:xfrm>
          <a:off x="20558790" y="6945261"/>
          <a:ext cx="988755" cy="494377"/>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Ocean current</a:t>
          </a:r>
          <a:br>
            <a:rPr lang="en-US" sz="1050" b="1" kern="1200"/>
          </a:br>
          <a:r>
            <a:rPr lang="en-US" sz="1000" b="0" kern="1200"/>
            <a:t>223000</a:t>
          </a:r>
          <a:endParaRPr lang="en-US" sz="1050" b="0" kern="1200"/>
        </a:p>
      </dsp:txBody>
      <dsp:txXfrm>
        <a:off x="20558790" y="6945261"/>
        <a:ext cx="988755" cy="494377"/>
      </dsp:txXfrm>
    </dsp:sp>
    <dsp:sp modelId="{6F35C804-9019-49BB-8ACB-2A0A2EC48C60}">
      <dsp:nvSpPr>
        <dsp:cNvPr id="0" name=""/>
        <dsp:cNvSpPr/>
      </dsp:nvSpPr>
      <dsp:spPr>
        <a:xfrm>
          <a:off x="20558790" y="7668042"/>
          <a:ext cx="988755" cy="494377"/>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Salinity gradient</a:t>
          </a:r>
          <a:br>
            <a:rPr lang="en-US" sz="1050" b="1" kern="1200"/>
          </a:br>
          <a:r>
            <a:rPr lang="en-US" sz="1000" b="0" kern="1200"/>
            <a:t>224000</a:t>
          </a:r>
          <a:endParaRPr lang="en-US" sz="1050" b="0" kern="1200"/>
        </a:p>
      </dsp:txBody>
      <dsp:txXfrm>
        <a:off x="20558790" y="7668042"/>
        <a:ext cx="988755" cy="494377"/>
      </dsp:txXfrm>
    </dsp:sp>
    <dsp:sp modelId="{052DF1F5-4967-46E8-9760-3D36E23CB8C6}">
      <dsp:nvSpPr>
        <dsp:cNvPr id="0" name=""/>
        <dsp:cNvSpPr/>
      </dsp:nvSpPr>
      <dsp:spPr>
        <a:xfrm>
          <a:off x="20558790" y="8390823"/>
          <a:ext cx="988755" cy="494377"/>
        </a:xfrm>
        <a:prstGeom prst="rect">
          <a:avLst/>
        </a:prstGeom>
        <a:solidFill>
          <a:srgbClr val="EADCF4"/>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Thermal gradient</a:t>
          </a:r>
          <a:br>
            <a:rPr lang="en-US" sz="1050" b="1" kern="1200"/>
          </a:br>
          <a:r>
            <a:rPr lang="en-US" sz="1000" b="0" kern="1200"/>
            <a:t>225000</a:t>
          </a:r>
          <a:endParaRPr lang="en-US" sz="1050" b="0" kern="1200"/>
        </a:p>
      </dsp:txBody>
      <dsp:txXfrm>
        <a:off x="20558790" y="8390823"/>
        <a:ext cx="988755" cy="494377"/>
      </dsp:txXfrm>
    </dsp:sp>
    <dsp:sp modelId="{9ED724B5-D96D-4094-AA85-754FA7B73CEC}">
      <dsp:nvSpPr>
        <dsp:cNvPr id="0" name=""/>
        <dsp:cNvSpPr/>
      </dsp:nvSpPr>
      <dsp:spPr>
        <a:xfrm>
          <a:off x="22433967" y="4727480"/>
          <a:ext cx="1087632" cy="543816"/>
        </a:xfrm>
        <a:prstGeom prst="rect">
          <a:avLst/>
        </a:prstGeom>
        <a:solidFill>
          <a:schemeClr val="bg1">
            <a:lumMod val="95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Wind energy</a:t>
          </a:r>
          <a:br>
            <a:rPr lang="en-US" sz="1050" b="1" kern="1200"/>
          </a:br>
          <a:r>
            <a:rPr lang="en-US" sz="1000" b="0" kern="1200"/>
            <a:t>230000</a:t>
          </a:r>
          <a:endParaRPr lang="en-US" sz="1050" b="0" kern="1200"/>
        </a:p>
      </dsp:txBody>
      <dsp:txXfrm>
        <a:off x="22433967" y="4727480"/>
        <a:ext cx="1087632" cy="543816"/>
      </dsp:txXfrm>
    </dsp:sp>
    <dsp:sp modelId="{4E5DD5EF-BC9B-48C9-93F8-3D8790BEB0A2}">
      <dsp:nvSpPr>
        <dsp:cNvPr id="0" name=""/>
        <dsp:cNvSpPr/>
      </dsp:nvSpPr>
      <dsp:spPr>
        <a:xfrm>
          <a:off x="21775949" y="5499700"/>
          <a:ext cx="1087632" cy="543816"/>
        </a:xfrm>
        <a:prstGeom prst="rect">
          <a:avLst/>
        </a:prstGeom>
        <a:solidFill>
          <a:schemeClr val="bg1">
            <a:lumMod val="95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Onshore wind energy</a:t>
          </a:r>
          <a:br>
            <a:rPr lang="en-US" sz="1050" b="1" kern="1200"/>
          </a:br>
          <a:r>
            <a:rPr lang="en-US" sz="1000" b="0" kern="1200"/>
            <a:t>231000</a:t>
          </a:r>
          <a:endParaRPr lang="en-US" sz="1050" b="0" kern="1200"/>
        </a:p>
      </dsp:txBody>
      <dsp:txXfrm>
        <a:off x="21775949" y="5499700"/>
        <a:ext cx="1087632" cy="543816"/>
      </dsp:txXfrm>
    </dsp:sp>
    <dsp:sp modelId="{E9B40E47-7D4D-47FD-9D3E-85C94CE28460}">
      <dsp:nvSpPr>
        <dsp:cNvPr id="0" name=""/>
        <dsp:cNvSpPr/>
      </dsp:nvSpPr>
      <dsp:spPr>
        <a:xfrm>
          <a:off x="23091984" y="5499700"/>
          <a:ext cx="1087632" cy="543816"/>
        </a:xfrm>
        <a:prstGeom prst="rect">
          <a:avLst/>
        </a:prstGeom>
        <a:solidFill>
          <a:schemeClr val="bg1">
            <a:lumMod val="95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Offshore wind energy</a:t>
          </a:r>
          <a:br>
            <a:rPr lang="en-US" sz="1050" b="1" kern="1200"/>
          </a:br>
          <a:r>
            <a:rPr lang="en-US" sz="1000" b="0" kern="1200"/>
            <a:t>232000</a:t>
          </a:r>
          <a:endParaRPr lang="en-US" sz="1050" b="0" kern="1200"/>
        </a:p>
      </dsp:txBody>
      <dsp:txXfrm>
        <a:off x="23091984" y="5499700"/>
        <a:ext cx="1087632" cy="543816"/>
      </dsp:txXfrm>
    </dsp:sp>
    <dsp:sp modelId="{E7273EE2-C757-48BA-83F7-7C4A5BA264CA}">
      <dsp:nvSpPr>
        <dsp:cNvPr id="0" name=""/>
        <dsp:cNvSpPr/>
      </dsp:nvSpPr>
      <dsp:spPr>
        <a:xfrm>
          <a:off x="26398145" y="4727480"/>
          <a:ext cx="1087632" cy="543816"/>
        </a:xfrm>
        <a:prstGeom prst="rect">
          <a:avLst/>
        </a:prstGeom>
        <a:solidFill>
          <a:schemeClr val="accent4">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energy</a:t>
          </a:r>
          <a:br>
            <a:rPr lang="en-US" sz="1050" b="1" kern="1200"/>
          </a:br>
          <a:r>
            <a:rPr lang="en-US" sz="1000" b="0" kern="1200"/>
            <a:t>240000</a:t>
          </a:r>
          <a:endParaRPr lang="en-US" sz="1050" b="0" kern="1200"/>
        </a:p>
      </dsp:txBody>
      <dsp:txXfrm>
        <a:off x="26398145" y="4727480"/>
        <a:ext cx="1087632" cy="543816"/>
      </dsp:txXfrm>
    </dsp:sp>
    <dsp:sp modelId="{0047251F-1735-463D-A2D6-317777470FA8}">
      <dsp:nvSpPr>
        <dsp:cNvPr id="0" name=""/>
        <dsp:cNvSpPr/>
      </dsp:nvSpPr>
      <dsp:spPr>
        <a:xfrm>
          <a:off x="24408020" y="5499700"/>
          <a:ext cx="1087632" cy="543816"/>
        </a:xfrm>
        <a:prstGeom prst="rect">
          <a:avLst/>
        </a:prstGeom>
        <a:solidFill>
          <a:schemeClr val="accent4">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photovoltaic</a:t>
          </a:r>
          <a:br>
            <a:rPr lang="en-US" sz="1050" b="1" kern="1200"/>
          </a:br>
          <a:r>
            <a:rPr lang="en-US" sz="1000" b="0" kern="1200"/>
            <a:t>241000</a:t>
          </a:r>
          <a:endParaRPr lang="en-US" sz="1050" b="0" kern="1200"/>
        </a:p>
      </dsp:txBody>
      <dsp:txXfrm>
        <a:off x="24408020" y="5499700"/>
        <a:ext cx="1087632" cy="543816"/>
      </dsp:txXfrm>
    </dsp:sp>
    <dsp:sp modelId="{BD1AF7C0-FC62-43FF-91D7-5BF60856C71C}">
      <dsp:nvSpPr>
        <dsp:cNvPr id="0" name=""/>
        <dsp:cNvSpPr/>
      </dsp:nvSpPr>
      <dsp:spPr>
        <a:xfrm>
          <a:off x="23717857"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On-grid solar photovoltaic</a:t>
          </a:r>
          <a:br>
            <a:rPr lang="en-US" sz="1050" b="1" kern="1200"/>
          </a:br>
          <a:r>
            <a:rPr lang="en-US" sz="1000" b="0" kern="1200"/>
            <a:t>241100</a:t>
          </a:r>
          <a:endParaRPr lang="en-US" sz="1050" b="0" kern="1200"/>
        </a:p>
      </dsp:txBody>
      <dsp:txXfrm>
        <a:off x="23717857" y="6271919"/>
        <a:ext cx="1087632" cy="543816"/>
      </dsp:txXfrm>
    </dsp:sp>
    <dsp:sp modelId="{A103A6A9-302F-48F2-96A0-E461C7ACF6EF}">
      <dsp:nvSpPr>
        <dsp:cNvPr id="0" name=""/>
        <dsp:cNvSpPr/>
      </dsp:nvSpPr>
      <dsp:spPr>
        <a:xfrm>
          <a:off x="23989765" y="7044138"/>
          <a:ext cx="1151922" cy="690815"/>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On-grid utility-scale photovoltaic </a:t>
          </a:r>
          <a:br>
            <a:rPr lang="en-US" sz="1050" b="1" kern="1200"/>
          </a:br>
          <a:r>
            <a:rPr lang="en-US" sz="1050" b="1" kern="1200"/>
            <a:t>(&gt;1 000 kW)</a:t>
          </a:r>
          <a:br>
            <a:rPr lang="en-US" sz="1050" b="1" kern="1200"/>
          </a:br>
          <a:r>
            <a:rPr lang="en-US" sz="1000" b="0" kern="1200"/>
            <a:t>241110</a:t>
          </a:r>
          <a:endParaRPr lang="en-US" sz="1050" b="0" kern="1200"/>
        </a:p>
      </dsp:txBody>
      <dsp:txXfrm>
        <a:off x="23989765" y="7044138"/>
        <a:ext cx="1151922" cy="690815"/>
      </dsp:txXfrm>
    </dsp:sp>
    <dsp:sp modelId="{CF9B6409-A2A4-4CAC-8899-76D522B0DF0C}">
      <dsp:nvSpPr>
        <dsp:cNvPr id="0" name=""/>
        <dsp:cNvSpPr/>
      </dsp:nvSpPr>
      <dsp:spPr>
        <a:xfrm>
          <a:off x="23989765" y="7963356"/>
          <a:ext cx="1151922" cy="690815"/>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On-grid distributed photovoltaic </a:t>
          </a:r>
          <a:br>
            <a:rPr lang="en-US" sz="1050" b="1" kern="1200"/>
          </a:br>
          <a:r>
            <a:rPr lang="en-US" sz="1050" b="1" kern="1200"/>
            <a:t>(30-1 000 kW)</a:t>
          </a:r>
          <a:br>
            <a:rPr lang="en-US" sz="1050" b="1" kern="1200"/>
          </a:br>
          <a:r>
            <a:rPr lang="en-US" sz="1000" b="0" kern="1200"/>
            <a:t>241120</a:t>
          </a:r>
          <a:endParaRPr lang="en-US" sz="1050" b="0" kern="1200"/>
        </a:p>
      </dsp:txBody>
      <dsp:txXfrm>
        <a:off x="23989765" y="7963356"/>
        <a:ext cx="1151922" cy="690815"/>
      </dsp:txXfrm>
    </dsp:sp>
    <dsp:sp modelId="{3C4BE630-0435-4FCE-94E6-23F02C389B9F}">
      <dsp:nvSpPr>
        <dsp:cNvPr id="0" name=""/>
        <dsp:cNvSpPr/>
      </dsp:nvSpPr>
      <dsp:spPr>
        <a:xfrm>
          <a:off x="23989765" y="8882574"/>
          <a:ext cx="1151922" cy="690815"/>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On-grid distributed photovoltaic </a:t>
          </a:r>
          <a:br>
            <a:rPr lang="en-US" sz="1050" b="1" kern="1200"/>
          </a:br>
          <a:r>
            <a:rPr lang="en-US" sz="1050" b="1" kern="1200"/>
            <a:t>(&lt;30 kW)</a:t>
          </a:r>
          <a:br>
            <a:rPr lang="en-US" sz="1050" b="1" kern="1200"/>
          </a:br>
          <a:r>
            <a:rPr lang="en-US" sz="1000" b="0" kern="1200"/>
            <a:t>241130</a:t>
          </a:r>
          <a:endParaRPr lang="en-US" sz="1050" b="0" kern="1200"/>
        </a:p>
      </dsp:txBody>
      <dsp:txXfrm>
        <a:off x="23989765" y="8882574"/>
        <a:ext cx="1151922" cy="690815"/>
      </dsp:txXfrm>
    </dsp:sp>
    <dsp:sp modelId="{4025C9CC-6E57-439D-AD22-B4EA8D793355}">
      <dsp:nvSpPr>
        <dsp:cNvPr id="0" name=""/>
        <dsp:cNvSpPr/>
      </dsp:nvSpPr>
      <dsp:spPr>
        <a:xfrm>
          <a:off x="25098182"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Off-grid solar photovoltaic</a:t>
          </a:r>
          <a:br>
            <a:rPr lang="en-US" sz="1050" b="1" kern="1200"/>
          </a:br>
          <a:r>
            <a:rPr lang="en-US" sz="1000" b="0" kern="1200"/>
            <a:t>241200</a:t>
          </a:r>
          <a:endParaRPr lang="en-US" sz="1050" b="0" kern="1200"/>
        </a:p>
      </dsp:txBody>
      <dsp:txXfrm>
        <a:off x="25098182" y="6271919"/>
        <a:ext cx="1087632" cy="543816"/>
      </dsp:txXfrm>
    </dsp:sp>
    <dsp:sp modelId="{ABF570EC-C4A3-42ED-A11F-F7C08C0F9AFD}">
      <dsp:nvSpPr>
        <dsp:cNvPr id="0" name=""/>
        <dsp:cNvSpPr/>
      </dsp:nvSpPr>
      <dsp:spPr>
        <a:xfrm>
          <a:off x="25370090" y="7044138"/>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lights</a:t>
          </a:r>
          <a:br>
            <a:rPr lang="en-US" sz="1050" b="1" kern="1200"/>
          </a:br>
          <a:r>
            <a:rPr lang="en-US" sz="1000" b="0" kern="1200"/>
            <a:t>241210</a:t>
          </a:r>
          <a:endParaRPr lang="en-US" sz="1050" b="0" kern="1200"/>
        </a:p>
      </dsp:txBody>
      <dsp:txXfrm>
        <a:off x="25370090" y="7044138"/>
        <a:ext cx="1087632" cy="543816"/>
      </dsp:txXfrm>
    </dsp:sp>
    <dsp:sp modelId="{902C422D-34A7-4CF2-9027-2E42354CDFBA}">
      <dsp:nvSpPr>
        <dsp:cNvPr id="0" name=""/>
        <dsp:cNvSpPr/>
      </dsp:nvSpPr>
      <dsp:spPr>
        <a:xfrm>
          <a:off x="25370090" y="7816357"/>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Small solar home systems</a:t>
          </a:r>
          <a:br>
            <a:rPr lang="en-US" sz="1050" b="1" kern="1200"/>
          </a:br>
          <a:r>
            <a:rPr lang="en-US" sz="1000" b="0" kern="1200"/>
            <a:t>241220</a:t>
          </a:r>
          <a:endParaRPr lang="en-US" sz="1050" b="0" kern="1200"/>
        </a:p>
      </dsp:txBody>
      <dsp:txXfrm>
        <a:off x="25370090" y="7816357"/>
        <a:ext cx="1087632" cy="543816"/>
      </dsp:txXfrm>
    </dsp:sp>
    <dsp:sp modelId="{D871CE47-E695-494E-BC76-77D3DF26597F}">
      <dsp:nvSpPr>
        <dsp:cNvPr id="0" name=""/>
        <dsp:cNvSpPr/>
      </dsp:nvSpPr>
      <dsp:spPr>
        <a:xfrm>
          <a:off x="25370090" y="8588576"/>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Large solar home systems</a:t>
          </a:r>
          <a:br>
            <a:rPr lang="en-US" sz="1050" b="1" kern="1200"/>
          </a:br>
          <a:r>
            <a:rPr lang="en-US" sz="1000" b="0" kern="1200"/>
            <a:t>241230</a:t>
          </a:r>
          <a:endParaRPr lang="en-US" sz="1050" b="0" kern="1200"/>
        </a:p>
      </dsp:txBody>
      <dsp:txXfrm>
        <a:off x="25370090" y="8588576"/>
        <a:ext cx="1087632" cy="543816"/>
      </dsp:txXfrm>
    </dsp:sp>
    <dsp:sp modelId="{EA3F6B06-69E6-4DC9-BF03-21D4664B6336}">
      <dsp:nvSpPr>
        <dsp:cNvPr id="0" name=""/>
        <dsp:cNvSpPr/>
      </dsp:nvSpPr>
      <dsp:spPr>
        <a:xfrm>
          <a:off x="25370090" y="9360795"/>
          <a:ext cx="1087632" cy="543816"/>
        </a:xfrm>
        <a:prstGeom prst="rect">
          <a:avLst/>
        </a:prstGeom>
        <a:solidFill>
          <a:srgbClr val="FFC000">
            <a:lumMod val="20000"/>
            <a:lumOff val="80000"/>
          </a:srgbClr>
        </a:solid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hueOff val="0"/>
                  <a:satOff val="0"/>
                  <a:lumOff val="0"/>
                  <a:alphaOff val="0"/>
                </a:sysClr>
              </a:solidFill>
              <a:latin typeface="Calibri" panose="020F0502020204030204"/>
              <a:ea typeface="+mn-ea"/>
              <a:cs typeface="+mn-cs"/>
            </a:rPr>
            <a:t>Solar</a:t>
          </a:r>
          <a:r>
            <a:rPr lang="en-US" sz="1050" b="1" kern="1200"/>
            <a:t> telecom towers</a:t>
          </a:r>
          <a:br>
            <a:rPr lang="en-US" sz="1050" b="1" kern="1200"/>
          </a:br>
          <a:r>
            <a:rPr lang="en-US" sz="1000" b="0" kern="1200"/>
            <a:t>241240</a:t>
          </a:r>
          <a:endParaRPr lang="en-US" sz="1050" b="0" kern="1200"/>
        </a:p>
      </dsp:txBody>
      <dsp:txXfrm>
        <a:off x="25370090" y="9360795"/>
        <a:ext cx="1087632" cy="543816"/>
      </dsp:txXfrm>
    </dsp:sp>
    <dsp:sp modelId="{2D92B018-C820-4F19-B0A6-C046ABFDA915}">
      <dsp:nvSpPr>
        <dsp:cNvPr id="0" name=""/>
        <dsp:cNvSpPr/>
      </dsp:nvSpPr>
      <dsp:spPr>
        <a:xfrm>
          <a:off x="25370090" y="10133014"/>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water pumps</a:t>
          </a:r>
          <a:br>
            <a:rPr lang="en-US" sz="1050" b="1" kern="1200"/>
          </a:br>
          <a:r>
            <a:rPr lang="en-US" sz="1000" b="0" kern="1200"/>
            <a:t>241250</a:t>
          </a:r>
          <a:endParaRPr lang="en-US" sz="1050" b="0" kern="1200"/>
        </a:p>
      </dsp:txBody>
      <dsp:txXfrm>
        <a:off x="25370090" y="10133014"/>
        <a:ext cx="1087632" cy="543816"/>
      </dsp:txXfrm>
    </dsp:sp>
    <dsp:sp modelId="{D8675DE7-6331-4CF7-A0A4-0068150F0BD7}">
      <dsp:nvSpPr>
        <dsp:cNvPr id="0" name=""/>
        <dsp:cNvSpPr/>
      </dsp:nvSpPr>
      <dsp:spPr>
        <a:xfrm>
          <a:off x="25370090" y="10905233"/>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mini-grids</a:t>
          </a:r>
          <a:br>
            <a:rPr lang="en-US" sz="1050" b="1" kern="1200"/>
          </a:br>
          <a:r>
            <a:rPr lang="en-US" sz="1000" b="0" kern="1200"/>
            <a:t>241260</a:t>
          </a:r>
          <a:endParaRPr lang="en-US" sz="1050" b="0" kern="1200"/>
        </a:p>
      </dsp:txBody>
      <dsp:txXfrm>
        <a:off x="25370090" y="10905233"/>
        <a:ext cx="1087632" cy="543816"/>
      </dsp:txXfrm>
    </dsp:sp>
    <dsp:sp modelId="{B1348718-0D09-475C-8C12-13BB71072914}">
      <dsp:nvSpPr>
        <dsp:cNvPr id="0" name=""/>
        <dsp:cNvSpPr/>
      </dsp:nvSpPr>
      <dsp:spPr>
        <a:xfrm>
          <a:off x="25370090" y="11677452"/>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street lamps</a:t>
          </a:r>
          <a:br>
            <a:rPr lang="en-US" sz="1200" b="1" kern="1200"/>
          </a:br>
          <a:r>
            <a:rPr lang="en-US" sz="1000" b="0" kern="1200"/>
            <a:t>241270</a:t>
          </a:r>
          <a:endParaRPr lang="en-US" sz="1200" b="0" kern="1200"/>
        </a:p>
      </dsp:txBody>
      <dsp:txXfrm>
        <a:off x="25370090" y="11677452"/>
        <a:ext cx="1087632" cy="543816"/>
      </dsp:txXfrm>
    </dsp:sp>
    <dsp:sp modelId="{DA8DE3DC-BC53-447E-A944-B99AFA74E160}">
      <dsp:nvSpPr>
        <dsp:cNvPr id="0" name=""/>
        <dsp:cNvSpPr/>
      </dsp:nvSpPr>
      <dsp:spPr>
        <a:xfrm>
          <a:off x="25370090" y="12449671"/>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off-grid solar photovoltaic</a:t>
          </a:r>
          <a:br>
            <a:rPr lang="en-US" sz="1050" b="1" kern="1200"/>
          </a:br>
          <a:r>
            <a:rPr lang="en-US" sz="1000" b="0" kern="1200"/>
            <a:t>241290</a:t>
          </a:r>
          <a:endParaRPr lang="en-US" sz="1050" b="0" kern="1200"/>
        </a:p>
      </dsp:txBody>
      <dsp:txXfrm>
        <a:off x="25370090" y="12449671"/>
        <a:ext cx="1087632" cy="543816"/>
      </dsp:txXfrm>
    </dsp:sp>
    <dsp:sp modelId="{239CF275-2FB5-4985-861E-C8683A834D82}">
      <dsp:nvSpPr>
        <dsp:cNvPr id="0" name=""/>
        <dsp:cNvSpPr/>
      </dsp:nvSpPr>
      <dsp:spPr>
        <a:xfrm>
          <a:off x="28388271" y="5499700"/>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thermal energy</a:t>
          </a:r>
          <a:br>
            <a:rPr lang="en-US" sz="1050" b="1" kern="1200"/>
          </a:br>
          <a:r>
            <a:rPr lang="en-US" sz="1000" b="0" kern="1200"/>
            <a:t>242000</a:t>
          </a:r>
          <a:endParaRPr lang="en-US" sz="1050" b="0" kern="1200"/>
        </a:p>
      </dsp:txBody>
      <dsp:txXfrm>
        <a:off x="28388271" y="5499700"/>
        <a:ext cx="1087632" cy="543816"/>
      </dsp:txXfrm>
    </dsp:sp>
    <dsp:sp modelId="{292477DA-CCA4-4B6C-8175-D94709715924}">
      <dsp:nvSpPr>
        <dsp:cNvPr id="0" name=""/>
        <dsp:cNvSpPr/>
      </dsp:nvSpPr>
      <dsp:spPr>
        <a:xfrm>
          <a:off x="26414218"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Concentrated solar power</a:t>
          </a:r>
          <a:br>
            <a:rPr lang="en-US" sz="1000" b="1" kern="1200"/>
          </a:br>
          <a:r>
            <a:rPr lang="en-US" sz="1000" b="0" kern="1200"/>
            <a:t>242100</a:t>
          </a:r>
          <a:endParaRPr lang="en-US" sz="1050" b="0" kern="1200"/>
        </a:p>
      </dsp:txBody>
      <dsp:txXfrm>
        <a:off x="26414218" y="6271919"/>
        <a:ext cx="1087632" cy="543816"/>
      </dsp:txXfrm>
    </dsp:sp>
    <dsp:sp modelId="{B62265C3-5024-4DD0-9FCE-EDCCBE24F18F}">
      <dsp:nvSpPr>
        <dsp:cNvPr id="0" name=""/>
        <dsp:cNvSpPr/>
      </dsp:nvSpPr>
      <dsp:spPr>
        <a:xfrm>
          <a:off x="26686126" y="7044138"/>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Heliostat field collector</a:t>
          </a:r>
          <a:br>
            <a:rPr lang="en-US" sz="1050" b="0" kern="1200"/>
          </a:br>
          <a:r>
            <a:rPr lang="en-US" sz="1000" b="0" kern="1200"/>
            <a:t>242110</a:t>
          </a:r>
          <a:endParaRPr lang="en-US" sz="1050" b="0" kern="1200"/>
        </a:p>
      </dsp:txBody>
      <dsp:txXfrm>
        <a:off x="26686126" y="7044138"/>
        <a:ext cx="1087632" cy="543816"/>
      </dsp:txXfrm>
    </dsp:sp>
    <dsp:sp modelId="{B226A9EF-DAF1-4EB3-BB25-91083842B4B9}">
      <dsp:nvSpPr>
        <dsp:cNvPr id="0" name=""/>
        <dsp:cNvSpPr/>
      </dsp:nvSpPr>
      <dsp:spPr>
        <a:xfrm>
          <a:off x="26686126" y="7816357"/>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Linear Fresnel reflector</a:t>
          </a:r>
          <a:br>
            <a:rPr lang="en-US" sz="1050" b="0" kern="1200"/>
          </a:br>
          <a:r>
            <a:rPr lang="en-US" sz="1000" b="0" kern="1200"/>
            <a:t>242120</a:t>
          </a:r>
          <a:endParaRPr lang="en-US" sz="1050" b="1" kern="1200"/>
        </a:p>
      </dsp:txBody>
      <dsp:txXfrm>
        <a:off x="26686126" y="7816357"/>
        <a:ext cx="1087632" cy="543816"/>
      </dsp:txXfrm>
    </dsp:sp>
    <dsp:sp modelId="{2165CE48-B7B5-4A77-9F19-7AFFF6CA42B9}">
      <dsp:nvSpPr>
        <dsp:cNvPr id="0" name=""/>
        <dsp:cNvSpPr/>
      </dsp:nvSpPr>
      <dsp:spPr>
        <a:xfrm>
          <a:off x="26686126" y="8588576"/>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Parabolic dish</a:t>
          </a:r>
          <a:br>
            <a:rPr lang="en-US" sz="1050" b="0" kern="1200"/>
          </a:br>
          <a:r>
            <a:rPr lang="en-US" sz="1000" b="0" kern="1200"/>
            <a:t>242130</a:t>
          </a:r>
          <a:endParaRPr lang="en-US" sz="1050" b="1" kern="1200"/>
        </a:p>
      </dsp:txBody>
      <dsp:txXfrm>
        <a:off x="26686126" y="8588576"/>
        <a:ext cx="1087632" cy="543816"/>
      </dsp:txXfrm>
    </dsp:sp>
    <dsp:sp modelId="{8B2B3686-B885-49FE-8539-514E4BF890F9}">
      <dsp:nvSpPr>
        <dsp:cNvPr id="0" name=""/>
        <dsp:cNvSpPr/>
      </dsp:nvSpPr>
      <dsp:spPr>
        <a:xfrm>
          <a:off x="26686126" y="9360795"/>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Parabolic trough</a:t>
          </a:r>
          <a:br>
            <a:rPr lang="en-US" sz="1050" b="1" kern="1200"/>
          </a:br>
          <a:r>
            <a:rPr lang="en-US" sz="1000" b="0" kern="1200"/>
            <a:t>242140</a:t>
          </a:r>
          <a:endParaRPr lang="en-US" sz="1050" b="1" kern="1200"/>
        </a:p>
      </dsp:txBody>
      <dsp:txXfrm>
        <a:off x="26686126" y="9360795"/>
        <a:ext cx="1087632" cy="543816"/>
      </dsp:txXfrm>
    </dsp:sp>
    <dsp:sp modelId="{099B9FBB-6A7C-4106-872E-B66187370215}">
      <dsp:nvSpPr>
        <dsp:cNvPr id="0" name=""/>
        <dsp:cNvSpPr/>
      </dsp:nvSpPr>
      <dsp:spPr>
        <a:xfrm>
          <a:off x="26686126" y="10133014"/>
          <a:ext cx="1087632" cy="593934"/>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concentrated solar power</a:t>
          </a:r>
          <a:br>
            <a:rPr lang="en-US" sz="1050" b="1" kern="1200"/>
          </a:br>
          <a:r>
            <a:rPr lang="en-US" sz="1000" b="0" kern="1200"/>
            <a:t>242190</a:t>
          </a:r>
          <a:endParaRPr lang="en-US" sz="1100" b="1" kern="1200"/>
        </a:p>
      </dsp:txBody>
      <dsp:txXfrm>
        <a:off x="26686126" y="10133014"/>
        <a:ext cx="1087632" cy="593934"/>
      </dsp:txXfrm>
    </dsp:sp>
    <dsp:sp modelId="{ABE27A08-F86F-4B35-84EB-89852B1AD93C}">
      <dsp:nvSpPr>
        <dsp:cNvPr id="0" name=""/>
        <dsp:cNvSpPr/>
      </dsp:nvSpPr>
      <dsp:spPr>
        <a:xfrm>
          <a:off x="27730253"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water heating</a:t>
          </a:r>
          <a:br>
            <a:rPr lang="en-US" sz="1050" b="1" kern="1200"/>
          </a:br>
          <a:r>
            <a:rPr lang="en-US" sz="1000" b="0" kern="1200"/>
            <a:t>242200</a:t>
          </a:r>
          <a:endParaRPr lang="en-US" sz="1050" b="0" kern="1200"/>
        </a:p>
      </dsp:txBody>
      <dsp:txXfrm>
        <a:off x="27730253" y="6271919"/>
        <a:ext cx="1087632" cy="543816"/>
      </dsp:txXfrm>
    </dsp:sp>
    <dsp:sp modelId="{6044BA6F-91C1-4AB5-965F-F3C26AC623E7}">
      <dsp:nvSpPr>
        <dsp:cNvPr id="0" name=""/>
        <dsp:cNvSpPr/>
      </dsp:nvSpPr>
      <dsp:spPr>
        <a:xfrm>
          <a:off x="28002161" y="7044138"/>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Unglazed solar water heaters</a:t>
          </a:r>
          <a:br>
            <a:rPr lang="en-US" sz="1050" b="1" kern="1200"/>
          </a:br>
          <a:r>
            <a:rPr lang="en-US" sz="1000" b="0" kern="1200"/>
            <a:t>242210</a:t>
          </a:r>
          <a:endParaRPr lang="en-US" sz="1050" b="0" kern="1200"/>
        </a:p>
      </dsp:txBody>
      <dsp:txXfrm>
        <a:off x="28002161" y="7044138"/>
        <a:ext cx="1087632" cy="543816"/>
      </dsp:txXfrm>
    </dsp:sp>
    <dsp:sp modelId="{0FB05D83-540C-4C4C-88BE-AC9D496F89FE}">
      <dsp:nvSpPr>
        <dsp:cNvPr id="0" name=""/>
        <dsp:cNvSpPr/>
      </dsp:nvSpPr>
      <dsp:spPr>
        <a:xfrm>
          <a:off x="28002161" y="7816357"/>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Glazed single solar water heaters</a:t>
          </a:r>
          <a:br>
            <a:rPr lang="en-US" sz="1050" b="1" kern="1200"/>
          </a:br>
          <a:r>
            <a:rPr lang="en-US" sz="1000" b="0" kern="1200"/>
            <a:t>242220</a:t>
          </a:r>
        </a:p>
      </dsp:txBody>
      <dsp:txXfrm>
        <a:off x="28002161" y="7816357"/>
        <a:ext cx="1087632" cy="543816"/>
      </dsp:txXfrm>
    </dsp:sp>
    <dsp:sp modelId="{AFAFC85B-BDC5-492F-9072-4D948A449B73}">
      <dsp:nvSpPr>
        <dsp:cNvPr id="0" name=""/>
        <dsp:cNvSpPr/>
      </dsp:nvSpPr>
      <dsp:spPr>
        <a:xfrm>
          <a:off x="28002161" y="8588576"/>
          <a:ext cx="1087632" cy="671194"/>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Glazed combined solar water heaters</a:t>
          </a:r>
          <a:br>
            <a:rPr lang="en-US" sz="1050" b="1" kern="1200"/>
          </a:br>
          <a:r>
            <a:rPr lang="en-US" sz="1000" b="0" kern="1200"/>
            <a:t>242230</a:t>
          </a:r>
          <a:endParaRPr lang="en-US" sz="1050" b="0" kern="1200"/>
        </a:p>
      </dsp:txBody>
      <dsp:txXfrm>
        <a:off x="28002161" y="8588576"/>
        <a:ext cx="1087632" cy="671194"/>
      </dsp:txXfrm>
    </dsp:sp>
    <dsp:sp modelId="{008F17D4-EA0E-4EC6-9572-F2060D45BB61}">
      <dsp:nvSpPr>
        <dsp:cNvPr id="0" name=""/>
        <dsp:cNvSpPr/>
      </dsp:nvSpPr>
      <dsp:spPr>
        <a:xfrm>
          <a:off x="28002161" y="9488173"/>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Concentrated solar water heaters</a:t>
          </a:r>
          <a:br>
            <a:rPr lang="en-US" sz="1050" b="1" kern="1200"/>
          </a:br>
          <a:r>
            <a:rPr lang="en-US" sz="1000" b="0" kern="1200"/>
            <a:t>242240</a:t>
          </a:r>
          <a:endParaRPr lang="en-US" sz="1050" b="0" kern="1200"/>
        </a:p>
      </dsp:txBody>
      <dsp:txXfrm>
        <a:off x="28002161" y="9488173"/>
        <a:ext cx="1087632" cy="543816"/>
      </dsp:txXfrm>
    </dsp:sp>
    <dsp:sp modelId="{324D4F47-5426-4CA0-95B5-4DFBDDCE62DF}">
      <dsp:nvSpPr>
        <dsp:cNvPr id="0" name=""/>
        <dsp:cNvSpPr/>
      </dsp:nvSpPr>
      <dsp:spPr>
        <a:xfrm>
          <a:off x="29046288"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air heating</a:t>
          </a:r>
          <a:br>
            <a:rPr lang="en-US" sz="1050" b="1" kern="1200"/>
          </a:br>
          <a:r>
            <a:rPr lang="en-US" sz="1000" b="0" kern="1200"/>
            <a:t>242300</a:t>
          </a:r>
          <a:endParaRPr lang="en-US" sz="1050" b="0" kern="1200"/>
        </a:p>
      </dsp:txBody>
      <dsp:txXfrm>
        <a:off x="29046288" y="6271919"/>
        <a:ext cx="1087632" cy="543816"/>
      </dsp:txXfrm>
    </dsp:sp>
    <dsp:sp modelId="{5894794E-4AB0-4FDE-93FD-C6DCE9587CBF}">
      <dsp:nvSpPr>
        <dsp:cNvPr id="0" name=""/>
        <dsp:cNvSpPr/>
      </dsp:nvSpPr>
      <dsp:spPr>
        <a:xfrm>
          <a:off x="29318197" y="7044138"/>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air natural convection heating</a:t>
          </a:r>
          <a:br>
            <a:rPr lang="en-US" sz="1050" b="1" kern="1200"/>
          </a:br>
          <a:r>
            <a:rPr lang="en-US" sz="1000" b="0" kern="1200"/>
            <a:t>242310</a:t>
          </a:r>
          <a:endParaRPr lang="en-US" sz="1050" b="0" kern="1200"/>
        </a:p>
      </dsp:txBody>
      <dsp:txXfrm>
        <a:off x="29318197" y="7044138"/>
        <a:ext cx="1087632" cy="543816"/>
      </dsp:txXfrm>
    </dsp:sp>
    <dsp:sp modelId="{F56FEAC4-8046-41D1-97B6-694ABA121D08}">
      <dsp:nvSpPr>
        <dsp:cNvPr id="0" name=""/>
        <dsp:cNvSpPr/>
      </dsp:nvSpPr>
      <dsp:spPr>
        <a:xfrm>
          <a:off x="29318197" y="7816357"/>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air forced convection heating</a:t>
          </a:r>
          <a:br>
            <a:rPr lang="en-US" sz="1050" b="1" kern="1200"/>
          </a:br>
          <a:r>
            <a:rPr lang="en-US" sz="1000" b="0" kern="1200"/>
            <a:t>242320</a:t>
          </a:r>
          <a:endParaRPr lang="en-US" sz="1050" b="0" kern="1200"/>
        </a:p>
      </dsp:txBody>
      <dsp:txXfrm>
        <a:off x="29318197" y="7816357"/>
        <a:ext cx="1087632" cy="543816"/>
      </dsp:txXfrm>
    </dsp:sp>
    <dsp:sp modelId="{BDA23108-4B0C-4CEE-B5EF-8B1D84DE041A}">
      <dsp:nvSpPr>
        <dsp:cNvPr id="0" name=""/>
        <dsp:cNvSpPr/>
      </dsp:nvSpPr>
      <dsp:spPr>
        <a:xfrm>
          <a:off x="29318197" y="8588576"/>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Solar air radiative heating</a:t>
          </a:r>
          <a:br>
            <a:rPr lang="en-US" sz="1050" b="1" kern="1200"/>
          </a:br>
          <a:r>
            <a:rPr lang="en-US" sz="1000" b="0" kern="1200"/>
            <a:t>242330</a:t>
          </a:r>
          <a:endParaRPr lang="en-US" sz="1050" b="0" kern="1200"/>
        </a:p>
      </dsp:txBody>
      <dsp:txXfrm>
        <a:off x="29318197" y="8588576"/>
        <a:ext cx="1087632" cy="543816"/>
      </dsp:txXfrm>
    </dsp:sp>
    <dsp:sp modelId="{1C2A4E46-F6B6-4E4A-8AED-8BD2CFE0BEA4}">
      <dsp:nvSpPr>
        <dsp:cNvPr id="0" name=""/>
        <dsp:cNvSpPr/>
      </dsp:nvSpPr>
      <dsp:spPr>
        <a:xfrm>
          <a:off x="30362324" y="6271919"/>
          <a:ext cx="1087632" cy="543816"/>
        </a:xfrm>
        <a:prstGeom prst="rect">
          <a:avLst/>
        </a:prstGeom>
        <a:solidFill>
          <a:schemeClr val="accent4">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solar thermal energy</a:t>
          </a:r>
          <a:br>
            <a:rPr lang="en-US" sz="1050" b="0" kern="1200"/>
          </a:br>
          <a:r>
            <a:rPr lang="en-US" sz="1000" b="0" kern="1200"/>
            <a:t>242900</a:t>
          </a:r>
          <a:endParaRPr lang="en-US" sz="1050" b="1" kern="1200"/>
        </a:p>
      </dsp:txBody>
      <dsp:txXfrm>
        <a:off x="30362324" y="6271919"/>
        <a:ext cx="1087632" cy="543816"/>
      </dsp:txXfrm>
    </dsp:sp>
    <dsp:sp modelId="{A4294F96-B7E0-4F0F-881A-7A0A677A68AB}">
      <dsp:nvSpPr>
        <dsp:cNvPr id="0" name=""/>
        <dsp:cNvSpPr/>
      </dsp:nvSpPr>
      <dsp:spPr>
        <a:xfrm>
          <a:off x="31406451" y="4727480"/>
          <a:ext cx="1087632" cy="543816"/>
        </a:xfrm>
        <a:prstGeom prst="rect">
          <a:avLst/>
        </a:prstGeom>
        <a:solidFill>
          <a:srgbClr val="FFC7CE"/>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Geothermal energy</a:t>
          </a:r>
          <a:br>
            <a:rPr lang="en-US" sz="1050" b="1" kern="1200"/>
          </a:br>
          <a:r>
            <a:rPr lang="en-US" sz="1000" b="0" kern="1200"/>
            <a:t>250000</a:t>
          </a:r>
          <a:endParaRPr lang="en-US" sz="1050" b="0" kern="1200"/>
        </a:p>
      </dsp:txBody>
      <dsp:txXfrm>
        <a:off x="31406451" y="4727480"/>
        <a:ext cx="1087632" cy="543816"/>
      </dsp:txXfrm>
    </dsp:sp>
    <dsp:sp modelId="{AFF7F8E8-F9C7-44FD-B160-6B0BC3D2E458}">
      <dsp:nvSpPr>
        <dsp:cNvPr id="0" name=""/>
        <dsp:cNvSpPr/>
      </dsp:nvSpPr>
      <dsp:spPr>
        <a:xfrm>
          <a:off x="31678359" y="5499700"/>
          <a:ext cx="1087632" cy="543816"/>
        </a:xfrm>
        <a:prstGeom prst="rect">
          <a:avLst/>
        </a:prstGeom>
        <a:solidFill>
          <a:srgbClr val="FFC7CE"/>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Geothermal heat and power</a:t>
          </a:r>
          <a:br>
            <a:rPr lang="en-US" sz="1050" b="1" kern="1200"/>
          </a:br>
          <a:r>
            <a:rPr lang="en-US" sz="1000" b="0" kern="1200"/>
            <a:t>251000</a:t>
          </a:r>
          <a:endParaRPr lang="en-US" sz="1050" b="1" kern="1200"/>
        </a:p>
      </dsp:txBody>
      <dsp:txXfrm>
        <a:off x="31678359" y="5499700"/>
        <a:ext cx="1087632" cy="543816"/>
      </dsp:txXfrm>
    </dsp:sp>
    <dsp:sp modelId="{8155F833-BAEA-4CB2-B50B-985232B8519A}">
      <dsp:nvSpPr>
        <dsp:cNvPr id="0" name=""/>
        <dsp:cNvSpPr/>
      </dsp:nvSpPr>
      <dsp:spPr>
        <a:xfrm>
          <a:off x="31678359" y="6271919"/>
          <a:ext cx="1087632" cy="543816"/>
        </a:xfrm>
        <a:prstGeom prst="rect">
          <a:avLst/>
        </a:prstGeom>
        <a:solidFill>
          <a:srgbClr val="FFC7CE"/>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Direct use of geothermal heat</a:t>
          </a:r>
          <a:br>
            <a:rPr lang="en-US" sz="1050" b="1" kern="1200"/>
          </a:br>
          <a:r>
            <a:rPr lang="en-US" sz="1000" b="0" kern="1200"/>
            <a:t>252000</a:t>
          </a:r>
          <a:endParaRPr lang="en-US" sz="1050" b="0" kern="1200"/>
        </a:p>
      </dsp:txBody>
      <dsp:txXfrm>
        <a:off x="31678359" y="6271919"/>
        <a:ext cx="1087632" cy="543816"/>
      </dsp:txXfrm>
    </dsp:sp>
    <dsp:sp modelId="{3C965F4F-C493-4C8A-8CFE-0AA3F09B555E}">
      <dsp:nvSpPr>
        <dsp:cNvPr id="0" name=""/>
        <dsp:cNvSpPr/>
      </dsp:nvSpPr>
      <dsp:spPr>
        <a:xfrm>
          <a:off x="45510326" y="4727480"/>
          <a:ext cx="1087632" cy="543816"/>
        </a:xfrm>
        <a:prstGeom prst="rect">
          <a:avLst/>
        </a:prstGeom>
        <a:solidFill>
          <a:schemeClr val="accent6">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Bioenergy</a:t>
          </a:r>
          <a:br>
            <a:rPr lang="en-US" sz="1050" b="1" kern="1200"/>
          </a:br>
          <a:r>
            <a:rPr lang="en-US" sz="1000" b="0" kern="1200"/>
            <a:t>260000</a:t>
          </a:r>
          <a:endParaRPr lang="en-US" sz="1050" b="0" kern="1200"/>
        </a:p>
      </dsp:txBody>
      <dsp:txXfrm>
        <a:off x="45510326" y="4727480"/>
        <a:ext cx="1087632" cy="543816"/>
      </dsp:txXfrm>
    </dsp:sp>
    <dsp:sp modelId="{8AD47393-E850-47FD-ACBD-A5D235867EE1}">
      <dsp:nvSpPr>
        <dsp:cNvPr id="0" name=""/>
        <dsp:cNvSpPr/>
      </dsp:nvSpPr>
      <dsp:spPr>
        <a:xfrm>
          <a:off x="36942501" y="5499700"/>
          <a:ext cx="1087632" cy="543816"/>
        </a:xfrm>
        <a:prstGeom prst="rect">
          <a:avLst/>
        </a:prstGeom>
        <a:solidFill>
          <a:schemeClr val="accent6">
            <a:lumMod val="20000"/>
            <a:lumOff val="8000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Solid biofuels </a:t>
          </a:r>
          <a:br>
            <a:rPr lang="en-US" sz="1050" b="1" kern="1200"/>
          </a:br>
          <a:r>
            <a:rPr lang="en-US" sz="1000" b="0" kern="1200"/>
            <a:t>261000</a:t>
          </a:r>
          <a:endParaRPr lang="en-US" sz="1050" b="0" kern="1200"/>
        </a:p>
      </dsp:txBody>
      <dsp:txXfrm>
        <a:off x="36942501" y="5499700"/>
        <a:ext cx="1087632" cy="543816"/>
      </dsp:txXfrm>
    </dsp:sp>
    <dsp:sp modelId="{F34F29B9-ADD9-471E-937C-A46776D339C5}">
      <dsp:nvSpPr>
        <dsp:cNvPr id="0" name=""/>
        <dsp:cNvSpPr/>
      </dsp:nvSpPr>
      <dsp:spPr>
        <a:xfrm>
          <a:off x="32994395" y="62719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Harvested biomass</a:t>
          </a:r>
          <a:br>
            <a:rPr lang="en-US" sz="1050" b="1" kern="1200"/>
          </a:br>
          <a:r>
            <a:rPr lang="en-US" sz="1000" b="0" kern="1200"/>
            <a:t>261100</a:t>
          </a:r>
          <a:endParaRPr lang="en-US" sz="1050" b="0" kern="1200"/>
        </a:p>
      </dsp:txBody>
      <dsp:txXfrm>
        <a:off x="32994395" y="6271919"/>
        <a:ext cx="1087632" cy="543816"/>
      </dsp:txXfrm>
    </dsp:sp>
    <dsp:sp modelId="{FAA6E948-D2FA-4FDA-BD8A-F42C0C9F761A}">
      <dsp:nvSpPr>
        <dsp:cNvPr id="0" name=""/>
        <dsp:cNvSpPr/>
      </dsp:nvSpPr>
      <dsp:spPr>
        <a:xfrm>
          <a:off x="33266303" y="70441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Wood fuel</a:t>
          </a:r>
          <a:br>
            <a:rPr lang="en-US" sz="1050" b="1" kern="1200"/>
          </a:br>
          <a:r>
            <a:rPr lang="en-US" sz="1000" b="0" kern="1200"/>
            <a:t>261110</a:t>
          </a:r>
          <a:endParaRPr lang="en-US" sz="1050" b="0" kern="1200"/>
        </a:p>
      </dsp:txBody>
      <dsp:txXfrm>
        <a:off x="33266303" y="7044138"/>
        <a:ext cx="1087632" cy="543816"/>
      </dsp:txXfrm>
    </dsp:sp>
    <dsp:sp modelId="{87531960-CF51-486A-BD5B-506868557043}">
      <dsp:nvSpPr>
        <dsp:cNvPr id="0" name=""/>
        <dsp:cNvSpPr/>
      </dsp:nvSpPr>
      <dsp:spPr>
        <a:xfrm>
          <a:off x="33266303" y="7816357"/>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Energy crops</a:t>
          </a:r>
          <a:br>
            <a:rPr lang="en-US" sz="1050" b="1" kern="1200"/>
          </a:br>
          <a:r>
            <a:rPr lang="en-US" sz="1000" b="0" kern="1200"/>
            <a:t>261120</a:t>
          </a:r>
          <a:endParaRPr lang="en-US" sz="1050" b="0" kern="1200"/>
        </a:p>
      </dsp:txBody>
      <dsp:txXfrm>
        <a:off x="33266303" y="7816357"/>
        <a:ext cx="1087632" cy="543816"/>
      </dsp:txXfrm>
    </dsp:sp>
    <dsp:sp modelId="{434E52D3-95F1-453A-8CD5-8D9E359E2940}">
      <dsp:nvSpPr>
        <dsp:cNvPr id="0" name=""/>
        <dsp:cNvSpPr/>
      </dsp:nvSpPr>
      <dsp:spPr>
        <a:xfrm>
          <a:off x="33266303" y="8588576"/>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harvested biomass</a:t>
          </a:r>
          <a:br>
            <a:rPr lang="en-US" sz="1050" b="1" kern="1200"/>
          </a:br>
          <a:r>
            <a:rPr lang="en-US" sz="1000" b="0" kern="1200"/>
            <a:t>261190</a:t>
          </a:r>
          <a:endParaRPr lang="en-US" sz="1050" b="0" kern="1200"/>
        </a:p>
      </dsp:txBody>
      <dsp:txXfrm>
        <a:off x="33266303" y="8588576"/>
        <a:ext cx="1087632" cy="543816"/>
      </dsp:txXfrm>
    </dsp:sp>
    <dsp:sp modelId="{FB744925-7B49-4769-B78E-7EE64CE512A4}">
      <dsp:nvSpPr>
        <dsp:cNvPr id="0" name=""/>
        <dsp:cNvSpPr/>
      </dsp:nvSpPr>
      <dsp:spPr>
        <a:xfrm>
          <a:off x="34310430" y="62719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Harvest residues</a:t>
          </a:r>
          <a:br>
            <a:rPr lang="en-US" sz="1050" b="1" kern="1200"/>
          </a:br>
          <a:r>
            <a:rPr lang="en-US" sz="1000" b="0" kern="1200"/>
            <a:t>261200</a:t>
          </a:r>
          <a:endParaRPr lang="en-US" sz="1050" b="0" kern="1200"/>
        </a:p>
      </dsp:txBody>
      <dsp:txXfrm>
        <a:off x="34310430" y="6271919"/>
        <a:ext cx="1087632" cy="543816"/>
      </dsp:txXfrm>
    </dsp:sp>
    <dsp:sp modelId="{56783023-A3E6-44CC-A7FE-CC4B86C3BA97}">
      <dsp:nvSpPr>
        <dsp:cNvPr id="0" name=""/>
        <dsp:cNvSpPr/>
      </dsp:nvSpPr>
      <dsp:spPr>
        <a:xfrm>
          <a:off x="34582338" y="70441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Logging residues</a:t>
          </a:r>
          <a:br>
            <a:rPr lang="en-US" sz="1050" b="1" kern="1200"/>
          </a:br>
          <a:r>
            <a:rPr lang="en-US" sz="1000" b="0" kern="1200"/>
            <a:t>261210</a:t>
          </a:r>
          <a:endParaRPr lang="en-US" sz="1050" b="0" kern="1200"/>
        </a:p>
      </dsp:txBody>
      <dsp:txXfrm>
        <a:off x="34582338" y="7044138"/>
        <a:ext cx="1087632" cy="543816"/>
      </dsp:txXfrm>
    </dsp:sp>
    <dsp:sp modelId="{21C66ED4-A6A5-4A28-B14D-A37ADF64BDFE}">
      <dsp:nvSpPr>
        <dsp:cNvPr id="0" name=""/>
        <dsp:cNvSpPr/>
      </dsp:nvSpPr>
      <dsp:spPr>
        <a:xfrm>
          <a:off x="34582338" y="7816357"/>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Straw</a:t>
          </a:r>
          <a:br>
            <a:rPr lang="en-US" sz="1050" b="1" kern="1200"/>
          </a:br>
          <a:r>
            <a:rPr lang="en-US" sz="1000" b="0" kern="1200"/>
            <a:t>261220</a:t>
          </a:r>
          <a:endParaRPr lang="en-US" sz="1050" b="0" kern="1200"/>
        </a:p>
      </dsp:txBody>
      <dsp:txXfrm>
        <a:off x="34582338" y="7816357"/>
        <a:ext cx="1087632" cy="543816"/>
      </dsp:txXfrm>
    </dsp:sp>
    <dsp:sp modelId="{81FC9632-9928-4373-A92A-C5D94C715680}">
      <dsp:nvSpPr>
        <dsp:cNvPr id="0" name=""/>
        <dsp:cNvSpPr/>
      </dsp:nvSpPr>
      <dsp:spPr>
        <a:xfrm>
          <a:off x="34582338" y="8588576"/>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harvest residues</a:t>
          </a:r>
          <a:br>
            <a:rPr lang="en-US" sz="1050" b="1" kern="1200"/>
          </a:br>
          <a:r>
            <a:rPr lang="en-US" sz="1000" b="0" kern="1200"/>
            <a:t>261290</a:t>
          </a:r>
          <a:endParaRPr lang="en-US" sz="1050" b="0" kern="1200"/>
        </a:p>
      </dsp:txBody>
      <dsp:txXfrm>
        <a:off x="34582338" y="8588576"/>
        <a:ext cx="1087632" cy="543816"/>
      </dsp:txXfrm>
    </dsp:sp>
    <dsp:sp modelId="{E2E2D302-F18D-41F9-8014-848A6392D4CF}">
      <dsp:nvSpPr>
        <dsp:cNvPr id="0" name=""/>
        <dsp:cNvSpPr/>
      </dsp:nvSpPr>
      <dsp:spPr>
        <a:xfrm>
          <a:off x="35626465" y="62719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Biomass processing residues</a:t>
          </a:r>
          <a:br>
            <a:rPr lang="en-US" sz="1050" b="1" kern="1200"/>
          </a:br>
          <a:r>
            <a:rPr lang="en-US" sz="1000" b="0" kern="1200"/>
            <a:t>261300</a:t>
          </a:r>
        </a:p>
      </dsp:txBody>
      <dsp:txXfrm>
        <a:off x="35626465" y="6271919"/>
        <a:ext cx="1087632" cy="543816"/>
      </dsp:txXfrm>
    </dsp:sp>
    <dsp:sp modelId="{E6555810-0560-4CFA-A6C7-0AF06AF05077}">
      <dsp:nvSpPr>
        <dsp:cNvPr id="0" name=""/>
        <dsp:cNvSpPr/>
      </dsp:nvSpPr>
      <dsp:spPr>
        <a:xfrm>
          <a:off x="35898373" y="70441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Bagasse</a:t>
          </a:r>
          <a:br>
            <a:rPr lang="en-US" sz="1050" b="1" kern="1200"/>
          </a:br>
          <a:r>
            <a:rPr lang="en-US" sz="1000" b="0" kern="1200"/>
            <a:t>261310</a:t>
          </a:r>
          <a:endParaRPr lang="en-US" sz="1050" b="0" kern="1200"/>
        </a:p>
      </dsp:txBody>
      <dsp:txXfrm>
        <a:off x="35898373" y="7044138"/>
        <a:ext cx="1087632" cy="543816"/>
      </dsp:txXfrm>
    </dsp:sp>
    <dsp:sp modelId="{90970F8F-5F00-4274-8053-DC65F91FE32F}">
      <dsp:nvSpPr>
        <dsp:cNvPr id="0" name=""/>
        <dsp:cNvSpPr/>
      </dsp:nvSpPr>
      <dsp:spPr>
        <a:xfrm>
          <a:off x="35898373" y="7816357"/>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Black liquor</a:t>
          </a:r>
          <a:br>
            <a:rPr lang="en-US" sz="1050" b="1" kern="1200"/>
          </a:br>
          <a:r>
            <a:rPr lang="en-US" sz="1000" b="0" kern="1200"/>
            <a:t>261320</a:t>
          </a:r>
          <a:endParaRPr lang="en-US" sz="1050" b="0" kern="1200"/>
        </a:p>
      </dsp:txBody>
      <dsp:txXfrm>
        <a:off x="35898373" y="7816357"/>
        <a:ext cx="1087632" cy="543816"/>
      </dsp:txXfrm>
    </dsp:sp>
    <dsp:sp modelId="{27D88163-592D-4467-AD0C-295C15CF041D}">
      <dsp:nvSpPr>
        <dsp:cNvPr id="0" name=""/>
        <dsp:cNvSpPr/>
      </dsp:nvSpPr>
      <dsp:spPr>
        <a:xfrm>
          <a:off x="35898373" y="8588576"/>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Plant husks</a:t>
          </a:r>
          <a:br>
            <a:rPr lang="en-US" sz="1050" b="1" kern="1200"/>
          </a:br>
          <a:r>
            <a:rPr lang="en-US" sz="1000" b="0" kern="1200"/>
            <a:t>261330</a:t>
          </a:r>
          <a:endParaRPr lang="en-US" sz="1050" b="0" kern="1200"/>
        </a:p>
      </dsp:txBody>
      <dsp:txXfrm>
        <a:off x="35898373" y="8588576"/>
        <a:ext cx="1087632" cy="543816"/>
      </dsp:txXfrm>
    </dsp:sp>
    <dsp:sp modelId="{1AD2CC55-F5A9-4D3F-A2A7-A473391D5853}">
      <dsp:nvSpPr>
        <dsp:cNvPr id="0" name=""/>
        <dsp:cNvSpPr/>
      </dsp:nvSpPr>
      <dsp:spPr>
        <a:xfrm>
          <a:off x="35898373" y="9360795"/>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Plant shells</a:t>
          </a:r>
          <a:br>
            <a:rPr lang="en-US" sz="1050" b="0" kern="1200"/>
          </a:br>
          <a:r>
            <a:rPr lang="en-US" sz="1000" b="0" kern="1200"/>
            <a:t>261340</a:t>
          </a:r>
          <a:endParaRPr lang="en-US" sz="1050" b="0" kern="1200"/>
        </a:p>
      </dsp:txBody>
      <dsp:txXfrm>
        <a:off x="35898373" y="9360795"/>
        <a:ext cx="1087632" cy="543816"/>
      </dsp:txXfrm>
    </dsp:sp>
    <dsp:sp modelId="{BD038A28-8922-485F-B631-C87A08CD3520}">
      <dsp:nvSpPr>
        <dsp:cNvPr id="0" name=""/>
        <dsp:cNvSpPr/>
      </dsp:nvSpPr>
      <dsp:spPr>
        <a:xfrm>
          <a:off x="35898373" y="10133014"/>
          <a:ext cx="1087632" cy="650360"/>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Solid wood processing residues</a:t>
          </a:r>
          <a:br>
            <a:rPr lang="en-US" sz="1050" b="0" kern="1200"/>
          </a:br>
          <a:r>
            <a:rPr lang="en-US" sz="1000" b="0" kern="1200"/>
            <a:t>261350</a:t>
          </a:r>
          <a:endParaRPr lang="en-US" sz="1050" b="0" kern="1200"/>
        </a:p>
      </dsp:txBody>
      <dsp:txXfrm>
        <a:off x="35898373" y="10133014"/>
        <a:ext cx="1087632" cy="650360"/>
      </dsp:txXfrm>
    </dsp:sp>
    <dsp:sp modelId="{930C44FD-23D7-4F58-B850-532295E27637}">
      <dsp:nvSpPr>
        <dsp:cNvPr id="0" name=""/>
        <dsp:cNvSpPr/>
      </dsp:nvSpPr>
      <dsp:spPr>
        <a:xfrm>
          <a:off x="35898373" y="1101177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Oil plant residues</a:t>
          </a:r>
          <a:br>
            <a:rPr lang="en-US" sz="1050" b="1" kern="1200"/>
          </a:br>
          <a:r>
            <a:rPr lang="en-US" sz="1000" b="0" kern="1200"/>
            <a:t>261360</a:t>
          </a:r>
          <a:endParaRPr lang="en-US" sz="1050" b="0" kern="1200"/>
        </a:p>
      </dsp:txBody>
      <dsp:txXfrm>
        <a:off x="35898373" y="11011778"/>
        <a:ext cx="1087632" cy="543816"/>
      </dsp:txXfrm>
    </dsp:sp>
    <dsp:sp modelId="{DD1D3071-4421-4334-8928-B89389C51334}">
      <dsp:nvSpPr>
        <dsp:cNvPr id="0" name=""/>
        <dsp:cNvSpPr/>
      </dsp:nvSpPr>
      <dsp:spPr>
        <a:xfrm>
          <a:off x="35898373" y="11783997"/>
          <a:ext cx="1087632" cy="667561"/>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biomass processing residues</a:t>
          </a:r>
          <a:br>
            <a:rPr lang="en-US" sz="1050" b="0" kern="1200"/>
          </a:br>
          <a:r>
            <a:rPr lang="en-US" sz="1000" b="0" kern="1200"/>
            <a:t>261390</a:t>
          </a:r>
          <a:endParaRPr lang="en-US" sz="1050" b="0" kern="1200"/>
        </a:p>
      </dsp:txBody>
      <dsp:txXfrm>
        <a:off x="35898373" y="11783997"/>
        <a:ext cx="1087632" cy="667561"/>
      </dsp:txXfrm>
    </dsp:sp>
    <dsp:sp modelId="{4009D03B-837A-46EF-A93B-D714548531E3}">
      <dsp:nvSpPr>
        <dsp:cNvPr id="0" name=""/>
        <dsp:cNvSpPr/>
      </dsp:nvSpPr>
      <dsp:spPr>
        <a:xfrm>
          <a:off x="36942501" y="62719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Animal residues</a:t>
          </a:r>
          <a:br>
            <a:rPr lang="en-US" sz="1050" b="1" kern="1200"/>
          </a:br>
          <a:r>
            <a:rPr lang="en-US" sz="1000" b="0" kern="1200"/>
            <a:t>261400</a:t>
          </a:r>
          <a:endParaRPr lang="en-US" sz="1050" b="0" kern="1200"/>
        </a:p>
      </dsp:txBody>
      <dsp:txXfrm>
        <a:off x="36942501" y="6271919"/>
        <a:ext cx="1087632" cy="543816"/>
      </dsp:txXfrm>
    </dsp:sp>
    <dsp:sp modelId="{9FD72A61-FB68-48BE-8507-DE1B0F4CA34B}">
      <dsp:nvSpPr>
        <dsp:cNvPr id="0" name=""/>
        <dsp:cNvSpPr/>
      </dsp:nvSpPr>
      <dsp:spPr>
        <a:xfrm>
          <a:off x="37214409" y="70441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Manure/dung</a:t>
          </a:r>
          <a:br>
            <a:rPr lang="en-US" sz="1050" b="1" kern="1200"/>
          </a:br>
          <a:r>
            <a:rPr lang="en-US" sz="1000" b="0" kern="1200"/>
            <a:t>261410</a:t>
          </a:r>
          <a:endParaRPr lang="en-US" sz="1050" b="0" kern="1200"/>
        </a:p>
      </dsp:txBody>
      <dsp:txXfrm>
        <a:off x="37214409" y="7044138"/>
        <a:ext cx="1087632" cy="543816"/>
      </dsp:txXfrm>
    </dsp:sp>
    <dsp:sp modelId="{AA1626BE-9187-46CD-AE6B-D4E6FEAB176D}">
      <dsp:nvSpPr>
        <dsp:cNvPr id="0" name=""/>
        <dsp:cNvSpPr/>
      </dsp:nvSpPr>
      <dsp:spPr>
        <a:xfrm>
          <a:off x="37214409" y="7816357"/>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Animal processing residues</a:t>
          </a:r>
          <a:br>
            <a:rPr lang="en-US" sz="1050" b="1" kern="1200"/>
          </a:br>
          <a:r>
            <a:rPr lang="en-US" sz="1000" b="0" kern="1200"/>
            <a:t>261420</a:t>
          </a:r>
          <a:endParaRPr lang="en-US" sz="1050" b="0" kern="1200"/>
        </a:p>
      </dsp:txBody>
      <dsp:txXfrm>
        <a:off x="37214409" y="7816357"/>
        <a:ext cx="1087632" cy="543816"/>
      </dsp:txXfrm>
    </dsp:sp>
    <dsp:sp modelId="{CDC98CCF-A9C4-4191-852D-0BDA9247A9A2}">
      <dsp:nvSpPr>
        <dsp:cNvPr id="0" name=""/>
        <dsp:cNvSpPr/>
      </dsp:nvSpPr>
      <dsp:spPr>
        <a:xfrm>
          <a:off x="37214409" y="8588576"/>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animal residues</a:t>
          </a:r>
          <a:br>
            <a:rPr lang="en-US" sz="1050" b="1" kern="1200"/>
          </a:br>
          <a:r>
            <a:rPr lang="en-US" sz="1000" b="0" kern="1200"/>
            <a:t>261490</a:t>
          </a:r>
          <a:endParaRPr lang="en-US" sz="1050" b="0" kern="1200"/>
        </a:p>
      </dsp:txBody>
      <dsp:txXfrm>
        <a:off x="37214409" y="8588576"/>
        <a:ext cx="1087632" cy="543816"/>
      </dsp:txXfrm>
    </dsp:sp>
    <dsp:sp modelId="{104DA63A-501C-4707-B15F-8F4CAA415353}">
      <dsp:nvSpPr>
        <dsp:cNvPr id="0" name=""/>
        <dsp:cNvSpPr/>
      </dsp:nvSpPr>
      <dsp:spPr>
        <a:xfrm>
          <a:off x="38258536" y="6271919"/>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Biomass pellets and briquettes</a:t>
          </a:r>
          <a:br>
            <a:rPr lang="en-US" sz="1050" b="1" kern="1200"/>
          </a:br>
          <a:r>
            <a:rPr lang="en-US" sz="1000" b="0" kern="1200"/>
            <a:t>261500</a:t>
          </a:r>
          <a:endParaRPr lang="en-US" sz="1050" b="0" kern="1200"/>
        </a:p>
      </dsp:txBody>
      <dsp:txXfrm>
        <a:off x="38258536" y="6271919"/>
        <a:ext cx="1087632" cy="543816"/>
      </dsp:txXfrm>
    </dsp:sp>
    <dsp:sp modelId="{3804521D-DEE9-4D07-92F9-44A6A7C9E53A}">
      <dsp:nvSpPr>
        <dsp:cNvPr id="0" name=""/>
        <dsp:cNvSpPr/>
      </dsp:nvSpPr>
      <dsp:spPr>
        <a:xfrm>
          <a:off x="38530444" y="7044138"/>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Wood pellets and briquettes</a:t>
          </a:r>
          <a:br>
            <a:rPr lang="en-US" sz="1050" b="1" kern="1200"/>
          </a:br>
          <a:r>
            <a:rPr lang="en-US" sz="1000" b="0" kern="1200"/>
            <a:t>261510</a:t>
          </a:r>
          <a:endParaRPr lang="en-US" sz="1050" b="0" kern="1200"/>
        </a:p>
      </dsp:txBody>
      <dsp:txXfrm>
        <a:off x="38530444" y="7044138"/>
        <a:ext cx="1087632" cy="543816"/>
      </dsp:txXfrm>
    </dsp:sp>
    <dsp:sp modelId="{7B9093F3-87E6-40ED-AB18-B5B05515D707}">
      <dsp:nvSpPr>
        <dsp:cNvPr id="0" name=""/>
        <dsp:cNvSpPr/>
      </dsp:nvSpPr>
      <dsp:spPr>
        <a:xfrm>
          <a:off x="38530444" y="7816357"/>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Oil cakes</a:t>
          </a:r>
          <a:br>
            <a:rPr lang="en-US" sz="1050" b="0" kern="1200"/>
          </a:br>
          <a:r>
            <a:rPr lang="en-US" sz="1000" b="0" kern="1200"/>
            <a:t>261520</a:t>
          </a:r>
        </a:p>
      </dsp:txBody>
      <dsp:txXfrm>
        <a:off x="38530444" y="7816357"/>
        <a:ext cx="1087632" cy="543816"/>
      </dsp:txXfrm>
    </dsp:sp>
    <dsp:sp modelId="{7460B2FA-E554-4A46-806E-4CB157EE513B}">
      <dsp:nvSpPr>
        <dsp:cNvPr id="0" name=""/>
        <dsp:cNvSpPr/>
      </dsp:nvSpPr>
      <dsp:spPr>
        <a:xfrm>
          <a:off x="38530444" y="8588576"/>
          <a:ext cx="1087632" cy="635231"/>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biomass pellets and briquettes</a:t>
          </a:r>
          <a:br>
            <a:rPr lang="en-US" sz="1050" b="1" kern="1200"/>
          </a:br>
          <a:r>
            <a:rPr lang="en-US" sz="1000" b="0" kern="1200"/>
            <a:t>261590</a:t>
          </a:r>
          <a:endParaRPr lang="en-US" sz="1050" b="0" kern="1200"/>
        </a:p>
      </dsp:txBody>
      <dsp:txXfrm>
        <a:off x="38530444" y="8588576"/>
        <a:ext cx="1087632" cy="635231"/>
      </dsp:txXfrm>
    </dsp:sp>
    <dsp:sp modelId="{0C7A7BBF-3F62-4ACD-A12C-8C082E47C98E}">
      <dsp:nvSpPr>
        <dsp:cNvPr id="0" name=""/>
        <dsp:cNvSpPr/>
      </dsp:nvSpPr>
      <dsp:spPr>
        <a:xfrm>
          <a:off x="39574571" y="6271919"/>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Charcoal</a:t>
          </a:r>
          <a:br>
            <a:rPr lang="en-US" sz="1200" b="1" kern="1200"/>
          </a:br>
          <a:r>
            <a:rPr lang="en-US" sz="1000" b="0" kern="1200"/>
            <a:t>261600</a:t>
          </a:r>
          <a:endParaRPr lang="en-US" sz="1200" b="0" kern="1200"/>
        </a:p>
      </dsp:txBody>
      <dsp:txXfrm>
        <a:off x="39574571" y="6271919"/>
        <a:ext cx="1087632" cy="543816"/>
      </dsp:txXfrm>
    </dsp:sp>
    <dsp:sp modelId="{7BD3537E-12BC-4463-B76F-AB644948906C}">
      <dsp:nvSpPr>
        <dsp:cNvPr id="0" name=""/>
        <dsp:cNvSpPr/>
      </dsp:nvSpPr>
      <dsp:spPr>
        <a:xfrm>
          <a:off x="40890607" y="6271919"/>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solid biofuels</a:t>
          </a:r>
          <a:br>
            <a:rPr lang="en-US" sz="1050" b="1" kern="1200"/>
          </a:br>
          <a:r>
            <a:rPr lang="en-US" sz="1000" b="0" kern="1200"/>
            <a:t>261900</a:t>
          </a:r>
          <a:endParaRPr lang="en-US" sz="1050" b="0" kern="1200"/>
        </a:p>
      </dsp:txBody>
      <dsp:txXfrm>
        <a:off x="40890607" y="6271919"/>
        <a:ext cx="1087632" cy="543816"/>
      </dsp:txXfrm>
    </dsp:sp>
    <dsp:sp modelId="{336F8731-07A5-4580-9C55-19E0A8C6D2D2}">
      <dsp:nvSpPr>
        <dsp:cNvPr id="0" name=""/>
        <dsp:cNvSpPr/>
      </dsp:nvSpPr>
      <dsp:spPr>
        <a:xfrm>
          <a:off x="44172310" y="5499836"/>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Liquid biofuels</a:t>
          </a:r>
          <a:br>
            <a:rPr lang="en-US" sz="1050" b="1" kern="1200"/>
          </a:br>
          <a:r>
            <a:rPr lang="en-US" sz="1000" b="0" kern="1200"/>
            <a:t>262000</a:t>
          </a:r>
          <a:endParaRPr lang="en-US" sz="1050" b="0" kern="1200"/>
        </a:p>
      </dsp:txBody>
      <dsp:txXfrm>
        <a:off x="44172310" y="5499836"/>
        <a:ext cx="1087632" cy="543816"/>
      </dsp:txXfrm>
    </dsp:sp>
    <dsp:sp modelId="{2345063D-B7D9-413B-B5BD-457E85BA1AB4}">
      <dsp:nvSpPr>
        <dsp:cNvPr id="0" name=""/>
        <dsp:cNvSpPr/>
      </dsp:nvSpPr>
      <dsp:spPr>
        <a:xfrm>
          <a:off x="42206642" y="6271919"/>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Biogasolines</a:t>
          </a:r>
          <a:br>
            <a:rPr lang="en-US" sz="1050" b="1" kern="1200"/>
          </a:br>
          <a:r>
            <a:rPr lang="en-US" sz="1000" b="0" kern="1200"/>
            <a:t>262100</a:t>
          </a:r>
          <a:endParaRPr lang="en-US" sz="1050" b="0" kern="1200"/>
        </a:p>
      </dsp:txBody>
      <dsp:txXfrm>
        <a:off x="42206642" y="6271919"/>
        <a:ext cx="1087632" cy="543816"/>
      </dsp:txXfrm>
    </dsp:sp>
    <dsp:sp modelId="{E60CB9C9-A214-492F-A1CE-53114F1A3A22}">
      <dsp:nvSpPr>
        <dsp:cNvPr id="0" name=""/>
        <dsp:cNvSpPr/>
      </dsp:nvSpPr>
      <dsp:spPr>
        <a:xfrm>
          <a:off x="42478550" y="7044138"/>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Biomethanol</a:t>
          </a:r>
          <a:br>
            <a:rPr lang="en-US" sz="1050" b="1" kern="1200"/>
          </a:br>
          <a:r>
            <a:rPr lang="en-US" sz="1000" b="0" kern="1200"/>
            <a:t>262110</a:t>
          </a:r>
          <a:endParaRPr lang="en-US" sz="1050" b="0" kern="1200"/>
        </a:p>
      </dsp:txBody>
      <dsp:txXfrm>
        <a:off x="42478550" y="7044138"/>
        <a:ext cx="1087632" cy="543816"/>
      </dsp:txXfrm>
    </dsp:sp>
    <dsp:sp modelId="{B35C6DCE-CAF8-47E9-948A-841654FBAC2C}">
      <dsp:nvSpPr>
        <dsp:cNvPr id="0" name=""/>
        <dsp:cNvSpPr/>
      </dsp:nvSpPr>
      <dsp:spPr>
        <a:xfrm>
          <a:off x="42478550" y="7816357"/>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Bioethanol</a:t>
          </a:r>
          <a:br>
            <a:rPr lang="en-US" sz="1050" b="1" kern="1200"/>
          </a:br>
          <a:r>
            <a:rPr lang="en-US" sz="1000" b="0" kern="1200"/>
            <a:t>262120</a:t>
          </a:r>
          <a:endParaRPr lang="en-US" sz="1050" b="0" kern="1200"/>
        </a:p>
      </dsp:txBody>
      <dsp:txXfrm>
        <a:off x="42478550" y="7816357"/>
        <a:ext cx="1087632" cy="543816"/>
      </dsp:txXfrm>
    </dsp:sp>
    <dsp:sp modelId="{FB193415-F47D-4AE8-A9EE-80D06D20D917}">
      <dsp:nvSpPr>
        <dsp:cNvPr id="0" name=""/>
        <dsp:cNvSpPr/>
      </dsp:nvSpPr>
      <dsp:spPr>
        <a:xfrm>
          <a:off x="42478550" y="8588576"/>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Biobutanol</a:t>
          </a:r>
          <a:br>
            <a:rPr lang="en-US" sz="1050" b="0" kern="1200"/>
          </a:br>
          <a:r>
            <a:rPr lang="en-US" sz="1000" b="0" kern="1200"/>
            <a:t>262130</a:t>
          </a:r>
          <a:endParaRPr lang="en-US" sz="1050" b="0" kern="1200"/>
        </a:p>
      </dsp:txBody>
      <dsp:txXfrm>
        <a:off x="42478550" y="8588576"/>
        <a:ext cx="1087632" cy="543816"/>
      </dsp:txXfrm>
    </dsp:sp>
    <dsp:sp modelId="{0A6011F9-311C-45BF-9F94-1C2B488C3D30}">
      <dsp:nvSpPr>
        <dsp:cNvPr id="0" name=""/>
        <dsp:cNvSpPr/>
      </dsp:nvSpPr>
      <dsp:spPr>
        <a:xfrm>
          <a:off x="42478550" y="9360795"/>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Bio-MTBE</a:t>
          </a:r>
          <a:br>
            <a:rPr lang="en-US" sz="1050" b="1" kern="1200"/>
          </a:br>
          <a:r>
            <a:rPr lang="en-US" sz="1000" b="0" kern="1200"/>
            <a:t>262140</a:t>
          </a:r>
          <a:endParaRPr lang="en-US" sz="1050" b="0" kern="1200"/>
        </a:p>
      </dsp:txBody>
      <dsp:txXfrm>
        <a:off x="42478550" y="9360795"/>
        <a:ext cx="1087632" cy="543816"/>
      </dsp:txXfrm>
    </dsp:sp>
    <dsp:sp modelId="{18A772E2-306E-4293-AE9F-E9D0B634F60E}">
      <dsp:nvSpPr>
        <dsp:cNvPr id="0" name=""/>
        <dsp:cNvSpPr/>
      </dsp:nvSpPr>
      <dsp:spPr>
        <a:xfrm>
          <a:off x="42478550" y="10133014"/>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Bio-ETBE</a:t>
          </a:r>
          <a:br>
            <a:rPr lang="en-US" sz="1050" b="1" kern="1200"/>
          </a:br>
          <a:r>
            <a:rPr lang="en-US" sz="1000" b="0" kern="1200"/>
            <a:t>262150</a:t>
          </a:r>
          <a:endParaRPr lang="en-US" sz="1050" b="0" kern="1200"/>
        </a:p>
      </dsp:txBody>
      <dsp:txXfrm>
        <a:off x="42478550" y="10133014"/>
        <a:ext cx="1087632" cy="543816"/>
      </dsp:txXfrm>
    </dsp:sp>
    <dsp:sp modelId="{FE5EA351-6513-470A-9732-F75F35A1F54C}">
      <dsp:nvSpPr>
        <dsp:cNvPr id="0" name=""/>
        <dsp:cNvSpPr/>
      </dsp:nvSpPr>
      <dsp:spPr>
        <a:xfrm>
          <a:off x="42478550" y="10905233"/>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biogasolines</a:t>
          </a:r>
          <a:br>
            <a:rPr lang="en-US" sz="1050" b="1" kern="1200"/>
          </a:br>
          <a:r>
            <a:rPr lang="en-US" sz="1000" b="0" kern="1200"/>
            <a:t>262190</a:t>
          </a:r>
          <a:endParaRPr lang="en-US" sz="1050" b="0" kern="1200"/>
        </a:p>
      </dsp:txBody>
      <dsp:txXfrm>
        <a:off x="42478550" y="10905233"/>
        <a:ext cx="1087632" cy="543816"/>
      </dsp:txXfrm>
    </dsp:sp>
    <dsp:sp modelId="{EE9AA351-FC0A-4B21-9A44-0DF7CF9D0AC2}">
      <dsp:nvSpPr>
        <dsp:cNvPr id="0" name=""/>
        <dsp:cNvSpPr/>
      </dsp:nvSpPr>
      <dsp:spPr>
        <a:xfrm>
          <a:off x="43522677" y="6271919"/>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Biodiesels</a:t>
          </a:r>
          <a:br>
            <a:rPr lang="en-US" sz="1050" b="1" kern="1200"/>
          </a:br>
          <a:r>
            <a:rPr lang="en-US" sz="1000" b="0" kern="1200"/>
            <a:t>262200</a:t>
          </a:r>
          <a:endParaRPr lang="en-US" sz="1050" b="0" kern="1200"/>
        </a:p>
      </dsp:txBody>
      <dsp:txXfrm>
        <a:off x="43522677" y="6271919"/>
        <a:ext cx="1087632" cy="543816"/>
      </dsp:txXfrm>
    </dsp:sp>
    <dsp:sp modelId="{E14B7D4E-DC3F-4D52-B9AB-A1B052695C17}">
      <dsp:nvSpPr>
        <dsp:cNvPr id="0" name=""/>
        <dsp:cNvSpPr/>
      </dsp:nvSpPr>
      <dsp:spPr>
        <a:xfrm>
          <a:off x="43794586" y="7044138"/>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Transesterified biodiesel</a:t>
          </a:r>
          <a:br>
            <a:rPr lang="en-US" sz="1050" b="1" kern="1200"/>
          </a:br>
          <a:r>
            <a:rPr lang="en-US" sz="1000" b="0" kern="1200"/>
            <a:t>262210</a:t>
          </a:r>
          <a:endParaRPr lang="en-US" sz="1050" b="0" kern="1200"/>
        </a:p>
      </dsp:txBody>
      <dsp:txXfrm>
        <a:off x="43794586" y="7044138"/>
        <a:ext cx="1087632" cy="543816"/>
      </dsp:txXfrm>
    </dsp:sp>
    <dsp:sp modelId="{64191A2F-034F-4A34-A777-1B76C141376F}">
      <dsp:nvSpPr>
        <dsp:cNvPr id="0" name=""/>
        <dsp:cNvSpPr/>
      </dsp:nvSpPr>
      <dsp:spPr>
        <a:xfrm>
          <a:off x="43794586" y="7816357"/>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Thermal process biodiesel</a:t>
          </a:r>
          <a:br>
            <a:rPr lang="en-US" sz="1050" b="1" kern="1200"/>
          </a:br>
          <a:r>
            <a:rPr lang="en-US" sz="1000" b="0" kern="1200"/>
            <a:t>262220</a:t>
          </a:r>
          <a:endParaRPr lang="en-US" sz="1050" b="0" kern="1200"/>
        </a:p>
      </dsp:txBody>
      <dsp:txXfrm>
        <a:off x="43794586" y="7816357"/>
        <a:ext cx="1087632" cy="543816"/>
      </dsp:txXfrm>
    </dsp:sp>
    <dsp:sp modelId="{8ED356A5-15A8-4889-94FC-AFD2DBAE743D}">
      <dsp:nvSpPr>
        <dsp:cNvPr id="0" name=""/>
        <dsp:cNvSpPr/>
      </dsp:nvSpPr>
      <dsp:spPr>
        <a:xfrm>
          <a:off x="43794586" y="8588576"/>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Microalgal biodiesel</a:t>
          </a:r>
          <a:br>
            <a:rPr lang="en-US" sz="1200" b="1" kern="1200"/>
          </a:br>
          <a:r>
            <a:rPr lang="en-US" sz="1000" b="0" kern="1200"/>
            <a:t>262230</a:t>
          </a:r>
          <a:endParaRPr lang="en-US" sz="1200" b="0" kern="1200"/>
        </a:p>
      </dsp:txBody>
      <dsp:txXfrm>
        <a:off x="43794586" y="8588576"/>
        <a:ext cx="1087632" cy="543816"/>
      </dsp:txXfrm>
    </dsp:sp>
    <dsp:sp modelId="{3077F8F5-5DBD-44DA-850B-081EA96C9BAC}">
      <dsp:nvSpPr>
        <dsp:cNvPr id="0" name=""/>
        <dsp:cNvSpPr/>
      </dsp:nvSpPr>
      <dsp:spPr>
        <a:xfrm>
          <a:off x="43794586" y="9360795"/>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Straight vegetable oil</a:t>
          </a:r>
          <a:br>
            <a:rPr lang="en-US" sz="1050" b="1" kern="1200"/>
          </a:br>
          <a:r>
            <a:rPr lang="en-US" sz="1000" b="0" kern="1200"/>
            <a:t>262240</a:t>
          </a:r>
          <a:endParaRPr lang="en-US" sz="1050" b="0" kern="1200"/>
        </a:p>
      </dsp:txBody>
      <dsp:txXfrm>
        <a:off x="43794586" y="9360795"/>
        <a:ext cx="1087632" cy="543816"/>
      </dsp:txXfrm>
    </dsp:sp>
    <dsp:sp modelId="{B2BEAA03-2155-47CD-90D7-A532315C2EF3}">
      <dsp:nvSpPr>
        <dsp:cNvPr id="0" name=""/>
        <dsp:cNvSpPr/>
      </dsp:nvSpPr>
      <dsp:spPr>
        <a:xfrm>
          <a:off x="43794586" y="10133014"/>
          <a:ext cx="1087632" cy="620728"/>
        </a:xfrm>
        <a:prstGeom prst="rect">
          <a:avLst/>
        </a:prstGeom>
        <a:pattFill prst="ltHorz">
          <a:fgClr>
            <a:schemeClr val="accent6">
              <a:lumMod val="20000"/>
              <a:lumOff val="80000"/>
            </a:schemeClr>
          </a:fgClr>
          <a:bgClr>
            <a:schemeClr val="bg1"/>
          </a:bgClr>
        </a:patt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solidFill>
                <a:sysClr val="windowText" lastClr="000000">
                  <a:hueOff val="0"/>
                  <a:satOff val="0"/>
                  <a:lumOff val="0"/>
                  <a:alphaOff val="0"/>
                </a:sysClr>
              </a:solidFill>
              <a:latin typeface="Calibri" panose="020F0502020204030204"/>
              <a:ea typeface="+mn-ea"/>
              <a:cs typeface="+mn-cs"/>
            </a:rPr>
            <a:t>Hydrogenated vegetable oil diesel</a:t>
          </a:r>
          <a:br>
            <a:rPr lang="en-US" sz="1050" b="1" kern="1200">
              <a:solidFill>
                <a:sysClr val="windowText" lastClr="000000">
                  <a:hueOff val="0"/>
                  <a:satOff val="0"/>
                  <a:lumOff val="0"/>
                  <a:alphaOff val="0"/>
                </a:sysClr>
              </a:solidFill>
              <a:latin typeface="Calibri" panose="020F0502020204030204"/>
              <a:ea typeface="+mn-ea"/>
              <a:cs typeface="+mn-cs"/>
            </a:rPr>
          </a:br>
          <a:r>
            <a:rPr lang="en-US" sz="1000" b="0" kern="1200">
              <a:solidFill>
                <a:sysClr val="windowText" lastClr="000000">
                  <a:hueOff val="0"/>
                  <a:satOff val="0"/>
                  <a:lumOff val="0"/>
                  <a:alphaOff val="0"/>
                </a:sysClr>
              </a:solidFill>
              <a:latin typeface="Calibri" panose="020F0502020204030204"/>
              <a:ea typeface="+mn-ea"/>
              <a:cs typeface="+mn-cs"/>
            </a:rPr>
            <a:t>262250</a:t>
          </a:r>
          <a:endParaRPr lang="en-US" sz="1050" b="0" kern="1200">
            <a:solidFill>
              <a:sysClr val="windowText" lastClr="000000">
                <a:hueOff val="0"/>
                <a:satOff val="0"/>
                <a:lumOff val="0"/>
                <a:alphaOff val="0"/>
              </a:sysClr>
            </a:solidFill>
            <a:latin typeface="Calibri" panose="020F0502020204030204"/>
            <a:ea typeface="+mn-ea"/>
            <a:cs typeface="+mn-cs"/>
          </a:endParaRPr>
        </a:p>
      </dsp:txBody>
      <dsp:txXfrm>
        <a:off x="43794586" y="10133014"/>
        <a:ext cx="1087632" cy="620728"/>
      </dsp:txXfrm>
    </dsp:sp>
    <dsp:sp modelId="{1EBC92C9-2C92-4686-A9FA-2C643F9D0B40}">
      <dsp:nvSpPr>
        <dsp:cNvPr id="0" name=""/>
        <dsp:cNvSpPr/>
      </dsp:nvSpPr>
      <dsp:spPr>
        <a:xfrm>
          <a:off x="43794586" y="10982145"/>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biodiesels</a:t>
          </a:r>
          <a:br>
            <a:rPr lang="en-US" sz="1050" b="1" kern="1200"/>
          </a:br>
          <a:r>
            <a:rPr lang="en-US" sz="1000" b="0" kern="1200"/>
            <a:t>262290</a:t>
          </a:r>
          <a:endParaRPr lang="en-US" sz="1050" b="0" kern="1200"/>
        </a:p>
      </dsp:txBody>
      <dsp:txXfrm>
        <a:off x="43794586" y="10982145"/>
        <a:ext cx="1087632" cy="543816"/>
      </dsp:txXfrm>
    </dsp:sp>
    <dsp:sp modelId="{48FFB5AE-64AE-472C-8B51-AFDA75E6CD4C}">
      <dsp:nvSpPr>
        <dsp:cNvPr id="0" name=""/>
        <dsp:cNvSpPr/>
      </dsp:nvSpPr>
      <dsp:spPr>
        <a:xfrm>
          <a:off x="44838713" y="6271919"/>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Bio-jet kerosenes</a:t>
          </a:r>
          <a:br>
            <a:rPr lang="en-US" sz="1050" b="1" kern="1200"/>
          </a:br>
          <a:r>
            <a:rPr lang="en-US" sz="1000" b="0" kern="1200"/>
            <a:t>262300</a:t>
          </a:r>
          <a:endParaRPr lang="en-US" sz="1050" b="0" kern="1200"/>
        </a:p>
      </dsp:txBody>
      <dsp:txXfrm>
        <a:off x="44838713" y="6271919"/>
        <a:ext cx="1087632" cy="543816"/>
      </dsp:txXfrm>
    </dsp:sp>
    <dsp:sp modelId="{94B7A8B4-826E-42F9-864B-3CC2A177AD96}">
      <dsp:nvSpPr>
        <dsp:cNvPr id="0" name=""/>
        <dsp:cNvSpPr/>
      </dsp:nvSpPr>
      <dsp:spPr>
        <a:xfrm>
          <a:off x="46154748" y="6271919"/>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liquid biofuels</a:t>
          </a:r>
          <a:br>
            <a:rPr lang="en-US" sz="1050" b="1" kern="1200"/>
          </a:br>
          <a:r>
            <a:rPr lang="en-US" sz="1000" b="0" kern="1200"/>
            <a:t>262900</a:t>
          </a:r>
          <a:endParaRPr lang="en-US" sz="1050" b="0" kern="1200"/>
        </a:p>
      </dsp:txBody>
      <dsp:txXfrm>
        <a:off x="46154748" y="6271919"/>
        <a:ext cx="1087632" cy="543816"/>
      </dsp:txXfrm>
    </dsp:sp>
    <dsp:sp modelId="{4715A737-3C74-46B3-886C-1AE8E3032671}">
      <dsp:nvSpPr>
        <dsp:cNvPr id="0" name=""/>
        <dsp:cNvSpPr/>
      </dsp:nvSpPr>
      <dsp:spPr>
        <a:xfrm>
          <a:off x="46426656" y="7044138"/>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Bio-LPG</a:t>
          </a:r>
          <a:br>
            <a:rPr lang="en-US" sz="1050" b="1" kern="1200"/>
          </a:br>
          <a:r>
            <a:rPr lang="en-US" sz="1000" b="0" kern="1200"/>
            <a:t>262910</a:t>
          </a:r>
          <a:endParaRPr lang="en-US" sz="1050" b="0" kern="1200"/>
        </a:p>
      </dsp:txBody>
      <dsp:txXfrm>
        <a:off x="46426656" y="7044138"/>
        <a:ext cx="1087632" cy="543816"/>
      </dsp:txXfrm>
    </dsp:sp>
    <dsp:sp modelId="{69626798-BB19-4416-9BC6-A5C34E47A045}">
      <dsp:nvSpPr>
        <dsp:cNvPr id="0" name=""/>
        <dsp:cNvSpPr/>
      </dsp:nvSpPr>
      <dsp:spPr>
        <a:xfrm>
          <a:off x="46426656" y="7816357"/>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liquid biofuels n.e.s.</a:t>
          </a:r>
          <a:br>
            <a:rPr lang="en-US" sz="1050" b="1" kern="1200"/>
          </a:br>
          <a:r>
            <a:rPr lang="en-US" sz="1000" b="0" kern="1200"/>
            <a:t>262990</a:t>
          </a:r>
          <a:endParaRPr lang="en-US" sz="1050" b="0" kern="1200"/>
        </a:p>
      </dsp:txBody>
      <dsp:txXfrm>
        <a:off x="46426656" y="7816357"/>
        <a:ext cx="1087632" cy="543816"/>
      </dsp:txXfrm>
    </dsp:sp>
    <dsp:sp modelId="{A196D8C2-92DA-4126-A26E-FAE0A42745C0}">
      <dsp:nvSpPr>
        <dsp:cNvPr id="0" name=""/>
        <dsp:cNvSpPr/>
      </dsp:nvSpPr>
      <dsp:spPr>
        <a:xfrm>
          <a:off x="49265377" y="5499700"/>
          <a:ext cx="1087632" cy="543816"/>
        </a:xfrm>
        <a:prstGeom prst="rect">
          <a:avLst/>
        </a:prstGeom>
        <a:pattFill prst="ltHorz">
          <a:fgClr>
            <a:schemeClr val="accent6">
              <a:lumMod val="20000"/>
              <a:lumOff val="8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Gas biofuels</a:t>
          </a:r>
          <a:br>
            <a:rPr lang="en-US" sz="1050" b="1" kern="1200"/>
          </a:br>
          <a:r>
            <a:rPr lang="en-US" sz="1000" b="0" kern="1200"/>
            <a:t>263000</a:t>
          </a:r>
          <a:endParaRPr lang="en-US" sz="1050" b="0" kern="1200"/>
        </a:p>
      </dsp:txBody>
      <dsp:txXfrm>
        <a:off x="49265377" y="5499700"/>
        <a:ext cx="1087632" cy="543816"/>
      </dsp:txXfrm>
    </dsp:sp>
    <dsp:sp modelId="{4009ACA6-5BD1-4D26-B069-29608CE81DFD}">
      <dsp:nvSpPr>
        <dsp:cNvPr id="0" name=""/>
        <dsp:cNvSpPr/>
      </dsp:nvSpPr>
      <dsp:spPr>
        <a:xfrm>
          <a:off x="47470784" y="6271919"/>
          <a:ext cx="1196395" cy="598197"/>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Biogas from anaerobic digestion</a:t>
          </a:r>
          <a:br>
            <a:rPr lang="en-US" sz="1050" b="1" kern="1200"/>
          </a:br>
          <a:r>
            <a:rPr lang="en-US" sz="1000" b="0" kern="1200"/>
            <a:t>263100</a:t>
          </a:r>
          <a:endParaRPr lang="en-US" sz="1050" b="0" kern="1200"/>
        </a:p>
      </dsp:txBody>
      <dsp:txXfrm>
        <a:off x="47470784" y="6271919"/>
        <a:ext cx="1196395" cy="598197"/>
      </dsp:txXfrm>
    </dsp:sp>
    <dsp:sp modelId="{C68ADD5B-0FCF-4C55-B709-F929BBC065A0}">
      <dsp:nvSpPr>
        <dsp:cNvPr id="0" name=""/>
        <dsp:cNvSpPr/>
      </dsp:nvSpPr>
      <dsp:spPr>
        <a:xfrm>
          <a:off x="47769883" y="70985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Landfill biogas</a:t>
          </a:r>
          <a:br>
            <a:rPr lang="en-US" sz="1050" b="1" kern="1200"/>
          </a:br>
          <a:r>
            <a:rPr lang="en-US" sz="1000" b="0" kern="1200"/>
            <a:t>263110</a:t>
          </a:r>
          <a:endParaRPr lang="en-US" sz="1050" b="0" kern="1200"/>
        </a:p>
      </dsp:txBody>
      <dsp:txXfrm>
        <a:off x="47769883" y="7098519"/>
        <a:ext cx="1087632" cy="543816"/>
      </dsp:txXfrm>
    </dsp:sp>
    <dsp:sp modelId="{65D49952-5328-487C-A782-CC31AC50DEE1}">
      <dsp:nvSpPr>
        <dsp:cNvPr id="0" name=""/>
        <dsp:cNvSpPr/>
      </dsp:nvSpPr>
      <dsp:spPr>
        <a:xfrm>
          <a:off x="47769883" y="78707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Wastewater sludge biogas</a:t>
          </a:r>
          <a:br>
            <a:rPr lang="en-US" sz="1050" b="1" kern="1200"/>
          </a:br>
          <a:r>
            <a:rPr lang="en-US" sz="1000" b="0" kern="1200"/>
            <a:t>263120</a:t>
          </a:r>
          <a:endParaRPr lang="en-US" sz="1050" b="0" kern="1200"/>
        </a:p>
      </dsp:txBody>
      <dsp:txXfrm>
        <a:off x="47769883" y="7870738"/>
        <a:ext cx="1087632" cy="543816"/>
      </dsp:txXfrm>
    </dsp:sp>
    <dsp:sp modelId="{E2C95335-6D4D-4231-909B-A5D702BE5A84}">
      <dsp:nvSpPr>
        <dsp:cNvPr id="0" name=""/>
        <dsp:cNvSpPr/>
      </dsp:nvSpPr>
      <dsp:spPr>
        <a:xfrm>
          <a:off x="47769883" y="864295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Animal residue biogas</a:t>
          </a:r>
          <a:br>
            <a:rPr lang="en-US" sz="1050" b="1" kern="1200"/>
          </a:br>
          <a:r>
            <a:rPr lang="en-US" sz="1000" b="0" kern="1200"/>
            <a:t>263130</a:t>
          </a:r>
          <a:endParaRPr lang="en-US" sz="1050" b="0" kern="1200"/>
        </a:p>
      </dsp:txBody>
      <dsp:txXfrm>
        <a:off x="47769883" y="8642958"/>
        <a:ext cx="1087632" cy="543816"/>
      </dsp:txXfrm>
    </dsp:sp>
    <dsp:sp modelId="{8B50836B-0D4A-4E13-9CF1-E56AC99DF090}">
      <dsp:nvSpPr>
        <dsp:cNvPr id="0" name=""/>
        <dsp:cNvSpPr/>
      </dsp:nvSpPr>
      <dsp:spPr>
        <a:xfrm>
          <a:off x="47769883" y="9415177"/>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Vegetal residue biogas</a:t>
          </a:r>
          <a:br>
            <a:rPr lang="en-US" sz="1050" b="1" kern="1200"/>
          </a:br>
          <a:r>
            <a:rPr lang="en-US" sz="1000" b="0" kern="1200"/>
            <a:t>263140</a:t>
          </a:r>
          <a:endParaRPr lang="en-US" sz="1050" b="0" kern="1200"/>
        </a:p>
      </dsp:txBody>
      <dsp:txXfrm>
        <a:off x="47769883" y="9415177"/>
        <a:ext cx="1087632" cy="543816"/>
      </dsp:txXfrm>
    </dsp:sp>
    <dsp:sp modelId="{775932C0-756B-4376-86DE-61DF5F1CF407}">
      <dsp:nvSpPr>
        <dsp:cNvPr id="0" name=""/>
        <dsp:cNvSpPr/>
      </dsp:nvSpPr>
      <dsp:spPr>
        <a:xfrm>
          <a:off x="47769883" y="10187396"/>
          <a:ext cx="1087632" cy="650110"/>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GB" sz="1050" b="1" kern="1200"/>
            <a:t>Other biogas from anaerobic digestion</a:t>
          </a:r>
          <a:br>
            <a:rPr lang="en-GB" sz="1050" b="1" kern="1200"/>
          </a:br>
          <a:r>
            <a:rPr lang="en-US" sz="1000" b="0" kern="1200"/>
            <a:t>263190</a:t>
          </a:r>
          <a:endParaRPr lang="en-US" sz="1050" b="0" kern="1200"/>
        </a:p>
      </dsp:txBody>
      <dsp:txXfrm>
        <a:off x="47769883" y="10187396"/>
        <a:ext cx="1087632" cy="650110"/>
      </dsp:txXfrm>
    </dsp:sp>
    <dsp:sp modelId="{E870913D-33A6-49E2-9B53-BBF71E0036BF}">
      <dsp:nvSpPr>
        <dsp:cNvPr id="0" name=""/>
        <dsp:cNvSpPr/>
      </dsp:nvSpPr>
      <dsp:spPr>
        <a:xfrm>
          <a:off x="48895582" y="6271919"/>
          <a:ext cx="1087632" cy="543816"/>
        </a:xfrm>
        <a:prstGeom prst="rect">
          <a:avLst/>
        </a:prstGeom>
        <a:pattFill prst="ltHorz">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Biogas from thermal processes</a:t>
          </a:r>
          <a:br>
            <a:rPr lang="en-US" sz="1050" b="1" kern="1200"/>
          </a:br>
          <a:r>
            <a:rPr lang="en-US" sz="1000" b="0" kern="1200"/>
            <a:t>263200</a:t>
          </a:r>
          <a:endParaRPr lang="en-US" sz="1050" b="0" kern="1200"/>
        </a:p>
      </dsp:txBody>
      <dsp:txXfrm>
        <a:off x="48895582" y="6271919"/>
        <a:ext cx="1087632" cy="543816"/>
      </dsp:txXfrm>
    </dsp:sp>
    <dsp:sp modelId="{792F4827-CBDD-439E-9E1B-54F4E5322A00}">
      <dsp:nvSpPr>
        <dsp:cNvPr id="0" name=""/>
        <dsp:cNvSpPr/>
      </dsp:nvSpPr>
      <dsp:spPr>
        <a:xfrm>
          <a:off x="51059971" y="6271919"/>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Gas biofuels products</a:t>
          </a:r>
          <a:br>
            <a:rPr lang="en-US" sz="1050" b="1" kern="1200"/>
          </a:br>
          <a:r>
            <a:rPr lang="en-US" sz="1000" b="0" kern="1200"/>
            <a:t>263300</a:t>
          </a:r>
          <a:endParaRPr lang="en-US" sz="1050" b="0" kern="1200"/>
        </a:p>
      </dsp:txBody>
      <dsp:txXfrm>
        <a:off x="51059971" y="6271919"/>
        <a:ext cx="1087632" cy="543816"/>
      </dsp:txXfrm>
    </dsp:sp>
    <dsp:sp modelId="{5CCC50B0-8B80-4582-A6B4-A3545A106EEC}">
      <dsp:nvSpPr>
        <dsp:cNvPr id="0" name=""/>
        <dsp:cNvSpPr/>
      </dsp:nvSpPr>
      <dsp:spPr>
        <a:xfrm>
          <a:off x="49085918" y="7044138"/>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Biomethane</a:t>
          </a:r>
          <a:br>
            <a:rPr lang="en-US" sz="1050" b="1" kern="1200"/>
          </a:br>
          <a:r>
            <a:rPr lang="en-US" sz="1000" b="0" kern="1200"/>
            <a:t>263310</a:t>
          </a:r>
          <a:endParaRPr lang="en-US" sz="1050" b="0" kern="1200"/>
        </a:p>
      </dsp:txBody>
      <dsp:txXfrm>
        <a:off x="49085918" y="7044138"/>
        <a:ext cx="1087632" cy="543816"/>
      </dsp:txXfrm>
    </dsp:sp>
    <dsp:sp modelId="{65D227DA-CBB2-41F1-B2EE-56E515AB50C2}">
      <dsp:nvSpPr>
        <dsp:cNvPr id="0" name=""/>
        <dsp:cNvSpPr/>
      </dsp:nvSpPr>
      <dsp:spPr>
        <a:xfrm>
          <a:off x="50401953" y="7044138"/>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Biohydrogen</a:t>
          </a:r>
          <a:br>
            <a:rPr lang="en-US" sz="1050" b="1" kern="1200"/>
          </a:br>
          <a:r>
            <a:rPr lang="en-US" sz="1000" b="0" kern="1200"/>
            <a:t>263320</a:t>
          </a:r>
          <a:endParaRPr lang="en-US" sz="1050" b="0" kern="1200"/>
        </a:p>
      </dsp:txBody>
      <dsp:txXfrm>
        <a:off x="50401953" y="7044138"/>
        <a:ext cx="1087632" cy="543816"/>
      </dsp:txXfrm>
    </dsp:sp>
    <dsp:sp modelId="{A474E2F2-4D66-420A-8313-5F10F474F7BE}">
      <dsp:nvSpPr>
        <dsp:cNvPr id="0" name=""/>
        <dsp:cNvSpPr/>
      </dsp:nvSpPr>
      <dsp:spPr>
        <a:xfrm>
          <a:off x="50673861" y="7816357"/>
          <a:ext cx="1087632" cy="543816"/>
        </a:xfrm>
        <a:prstGeom prst="rect">
          <a:avLst/>
        </a:prstGeom>
        <a:pattFill prst="ltDnDiag">
          <a:fgClr>
            <a:srgbClr val="70AD47">
              <a:lumMod val="20000"/>
              <a:lumOff val="80000"/>
            </a:srgbClr>
          </a:fgClr>
          <a:bgClr>
            <a:sysClr val="window" lastClr="FFFFFF"/>
          </a:bgClr>
        </a:pattFill>
        <a:ln w="12700" cap="flat" cmpd="sng" algn="ctr">
          <a:solidFill>
            <a:sysClr val="windowText" lastClr="000000">
              <a:shade val="80000"/>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Biological hydrogen</a:t>
          </a:r>
          <a:br>
            <a:rPr lang="en-US" sz="1050" b="1" kern="1200"/>
          </a:br>
          <a:r>
            <a:rPr lang="en-US" sz="1000" b="0" kern="1200">
              <a:solidFill>
                <a:sysClr val="windowText" lastClr="000000">
                  <a:hueOff val="0"/>
                  <a:satOff val="0"/>
                  <a:lumOff val="0"/>
                  <a:alphaOff val="0"/>
                </a:sysClr>
              </a:solidFill>
              <a:latin typeface="Calibri" panose="020F0502020204030204"/>
              <a:ea typeface="+mn-ea"/>
              <a:cs typeface="+mn-cs"/>
            </a:rPr>
            <a:t>263321</a:t>
          </a:r>
          <a:endParaRPr lang="en-US" sz="1050" b="0" kern="1200">
            <a:solidFill>
              <a:sysClr val="windowText" lastClr="000000">
                <a:hueOff val="0"/>
                <a:satOff val="0"/>
                <a:lumOff val="0"/>
                <a:alphaOff val="0"/>
              </a:sysClr>
            </a:solidFill>
            <a:latin typeface="Calibri" panose="020F0502020204030204"/>
            <a:ea typeface="+mn-ea"/>
            <a:cs typeface="+mn-cs"/>
          </a:endParaRPr>
        </a:p>
      </dsp:txBody>
      <dsp:txXfrm>
        <a:off x="50673861" y="7816357"/>
        <a:ext cx="1087632" cy="543816"/>
      </dsp:txXfrm>
    </dsp:sp>
    <dsp:sp modelId="{37C74948-BB6B-47CC-9E2C-56A358E7C14F}">
      <dsp:nvSpPr>
        <dsp:cNvPr id="0" name=""/>
        <dsp:cNvSpPr/>
      </dsp:nvSpPr>
      <dsp:spPr>
        <a:xfrm>
          <a:off x="50673861" y="8588576"/>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Biothermal hydrogen</a:t>
          </a:r>
          <a:br>
            <a:rPr lang="en-US" sz="1050" b="1" kern="1200"/>
          </a:br>
          <a:r>
            <a:rPr lang="en-US" sz="1000" b="0" kern="1200"/>
            <a:t>263322</a:t>
          </a:r>
          <a:endParaRPr lang="en-US" sz="1050" b="0" kern="1200"/>
        </a:p>
      </dsp:txBody>
      <dsp:txXfrm>
        <a:off x="50673861" y="8588576"/>
        <a:ext cx="1087632" cy="543816"/>
      </dsp:txXfrm>
    </dsp:sp>
    <dsp:sp modelId="{AF75FCF7-9CB3-4912-B9A3-854F7725C66E}">
      <dsp:nvSpPr>
        <dsp:cNvPr id="0" name=""/>
        <dsp:cNvSpPr/>
      </dsp:nvSpPr>
      <dsp:spPr>
        <a:xfrm>
          <a:off x="51717989" y="7044138"/>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Bio-DME</a:t>
          </a:r>
          <a:br>
            <a:rPr lang="en-US" sz="1050" b="1" kern="1200"/>
          </a:br>
          <a:r>
            <a:rPr lang="en-US" sz="1000" b="0" kern="1200"/>
            <a:t>263330</a:t>
          </a:r>
          <a:endParaRPr lang="en-US" sz="1050" b="0" kern="1200"/>
        </a:p>
      </dsp:txBody>
      <dsp:txXfrm>
        <a:off x="51717989" y="7044138"/>
        <a:ext cx="1087632" cy="543816"/>
      </dsp:txXfrm>
    </dsp:sp>
    <dsp:sp modelId="{5B79159B-A6B1-44EC-9EF8-A54DD8D67891}">
      <dsp:nvSpPr>
        <dsp:cNvPr id="0" name=""/>
        <dsp:cNvSpPr/>
      </dsp:nvSpPr>
      <dsp:spPr>
        <a:xfrm>
          <a:off x="53034024" y="7044138"/>
          <a:ext cx="1087632" cy="543816"/>
        </a:xfrm>
        <a:prstGeom prst="rect">
          <a:avLst/>
        </a:prstGeom>
        <a:pattFill prst="ltDnDiag">
          <a:fgClr>
            <a:schemeClr val="accent6">
              <a:lumMod val="20000"/>
              <a:lumOff val="80000"/>
            </a:schemeClr>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gas biofuels products</a:t>
          </a:r>
          <a:br>
            <a:rPr lang="en-US" sz="1050" b="1" kern="1200"/>
          </a:br>
          <a:r>
            <a:rPr lang="en-US" sz="1000" b="0" kern="1200"/>
            <a:t>263390</a:t>
          </a:r>
          <a:endParaRPr lang="en-US" sz="1050" b="0" kern="1200"/>
        </a:p>
      </dsp:txBody>
      <dsp:txXfrm>
        <a:off x="53034024" y="7044138"/>
        <a:ext cx="1087632" cy="543816"/>
      </dsp:txXfrm>
    </dsp:sp>
    <dsp:sp modelId="{7C7C7D1E-23BA-4F8F-AB7A-F410F12AA9FD}">
      <dsp:nvSpPr>
        <dsp:cNvPr id="0" name=""/>
        <dsp:cNvSpPr/>
      </dsp:nvSpPr>
      <dsp:spPr>
        <a:xfrm>
          <a:off x="54078151" y="5499700"/>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waste</a:t>
          </a:r>
          <a:br>
            <a:rPr lang="en-US" sz="1050" b="1" kern="1200"/>
          </a:br>
          <a:r>
            <a:rPr lang="en-US" sz="1000" b="0" kern="1200"/>
            <a:t>264000</a:t>
          </a:r>
          <a:endParaRPr lang="en-US" sz="1050" b="0" kern="1200"/>
        </a:p>
      </dsp:txBody>
      <dsp:txXfrm>
        <a:off x="54078151" y="5499700"/>
        <a:ext cx="1087632" cy="543816"/>
      </dsp:txXfrm>
    </dsp:sp>
    <dsp:sp modelId="{8D0E2691-EB04-4C52-A21B-E05280BACD94}">
      <dsp:nvSpPr>
        <dsp:cNvPr id="0" name=""/>
        <dsp:cNvSpPr/>
      </dsp:nvSpPr>
      <dsp:spPr>
        <a:xfrm>
          <a:off x="54350059" y="6271919"/>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municipal waste</a:t>
          </a:r>
          <a:br>
            <a:rPr lang="en-US" sz="1050" b="0" kern="1200"/>
          </a:br>
          <a:r>
            <a:rPr lang="en-US" sz="1000" b="0" kern="1200"/>
            <a:t>264100</a:t>
          </a:r>
          <a:endParaRPr lang="en-US" sz="1050" b="0" kern="1200"/>
        </a:p>
      </dsp:txBody>
      <dsp:txXfrm>
        <a:off x="54350059" y="6271919"/>
        <a:ext cx="1087632" cy="543816"/>
      </dsp:txXfrm>
    </dsp:sp>
    <dsp:sp modelId="{30FC068F-8389-441D-914B-E0EECD00BB4F}">
      <dsp:nvSpPr>
        <dsp:cNvPr id="0" name=""/>
        <dsp:cNvSpPr/>
      </dsp:nvSpPr>
      <dsp:spPr>
        <a:xfrm>
          <a:off x="54350059" y="7044138"/>
          <a:ext cx="1087632" cy="543816"/>
        </a:xfrm>
        <a:prstGeom prst="rect">
          <a:avLst/>
        </a:prstGeom>
        <a:solidFill>
          <a:schemeClr val="accent6">
            <a:lumMod val="20000"/>
            <a:lumOff val="8000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industrial waste</a:t>
          </a:r>
          <a:br>
            <a:rPr lang="en-US" sz="1050" b="0" kern="1200"/>
          </a:br>
          <a:r>
            <a:rPr lang="en-US" sz="1000" b="0" kern="1200"/>
            <a:t>264200</a:t>
          </a:r>
          <a:endParaRPr lang="en-US" sz="1050" b="0" kern="1200"/>
        </a:p>
      </dsp:txBody>
      <dsp:txXfrm>
        <a:off x="54350059" y="7044138"/>
        <a:ext cx="1087632" cy="543816"/>
      </dsp:txXfrm>
    </dsp:sp>
    <dsp:sp modelId="{017844EE-014A-4382-94DD-1FFC4466DE90}">
      <dsp:nvSpPr>
        <dsp:cNvPr id="0" name=""/>
        <dsp:cNvSpPr/>
      </dsp:nvSpPr>
      <dsp:spPr>
        <a:xfrm>
          <a:off x="56710222" y="4727480"/>
          <a:ext cx="1087632" cy="543816"/>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fuels</a:t>
          </a:r>
          <a:br>
            <a:rPr lang="en-US" sz="1050" b="1" kern="1200"/>
          </a:br>
          <a:r>
            <a:rPr lang="en-US" sz="1000" b="0" kern="1200"/>
            <a:t>270000</a:t>
          </a:r>
          <a:endParaRPr lang="en-US" sz="1050" b="0" kern="1200"/>
        </a:p>
      </dsp:txBody>
      <dsp:txXfrm>
        <a:off x="56710222" y="4727480"/>
        <a:ext cx="1087632" cy="543816"/>
      </dsp:txXfrm>
    </dsp:sp>
    <dsp:sp modelId="{6EC7C5DA-90D3-4977-A1FE-67D3C3099769}">
      <dsp:nvSpPr>
        <dsp:cNvPr id="0" name=""/>
        <dsp:cNvSpPr/>
      </dsp:nvSpPr>
      <dsp:spPr>
        <a:xfrm>
          <a:off x="55394187" y="5499700"/>
          <a:ext cx="1087632" cy="655304"/>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solid fuels</a:t>
          </a:r>
          <a:br>
            <a:rPr lang="en-US" sz="1050" b="0" kern="1200"/>
          </a:br>
          <a:r>
            <a:rPr lang="en-US" sz="1000" b="0" kern="1200"/>
            <a:t>271000</a:t>
          </a:r>
        </a:p>
      </dsp:txBody>
      <dsp:txXfrm>
        <a:off x="55394187" y="5499700"/>
        <a:ext cx="1087632" cy="655304"/>
      </dsp:txXfrm>
    </dsp:sp>
    <dsp:sp modelId="{25F8C15A-BFC1-4EAE-B7C9-C355DFF1A0D9}">
      <dsp:nvSpPr>
        <dsp:cNvPr id="0" name=""/>
        <dsp:cNvSpPr/>
      </dsp:nvSpPr>
      <dsp:spPr>
        <a:xfrm>
          <a:off x="55666095" y="6383406"/>
          <a:ext cx="1087632" cy="543816"/>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b="1" kern="1200"/>
            <a:t>Non-bio renewable carbon</a:t>
          </a:r>
          <a:br>
            <a:rPr lang="en-US" sz="1000" b="0" kern="1200"/>
          </a:br>
          <a:r>
            <a:rPr lang="en-US" sz="900" b="0" kern="1200"/>
            <a:t>271100</a:t>
          </a:r>
          <a:endParaRPr lang="en-US" sz="1000" b="0" kern="1200"/>
        </a:p>
      </dsp:txBody>
      <dsp:txXfrm>
        <a:off x="55666095" y="6383406"/>
        <a:ext cx="1087632" cy="543816"/>
      </dsp:txXfrm>
    </dsp:sp>
    <dsp:sp modelId="{839CEBC8-927A-48FF-BDA4-5DAD7898844C}">
      <dsp:nvSpPr>
        <dsp:cNvPr id="0" name=""/>
        <dsp:cNvSpPr/>
      </dsp:nvSpPr>
      <dsp:spPr>
        <a:xfrm>
          <a:off x="55666095" y="7155626"/>
          <a:ext cx="1087632" cy="652606"/>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b="1" kern="1200"/>
            <a:t>Other non-bio renewable solid fuels</a:t>
          </a:r>
          <a:br>
            <a:rPr lang="en-US" sz="1000" b="0" kern="1200"/>
          </a:br>
          <a:r>
            <a:rPr lang="en-US" sz="900" b="0" kern="1200"/>
            <a:t>271900</a:t>
          </a:r>
          <a:endParaRPr lang="en-US" sz="1000" b="0" kern="1200"/>
        </a:p>
      </dsp:txBody>
      <dsp:txXfrm>
        <a:off x="55666095" y="7155626"/>
        <a:ext cx="1087632" cy="652606"/>
      </dsp:txXfrm>
    </dsp:sp>
    <dsp:sp modelId="{0427C18A-9B12-43D2-BF12-85471B29601D}">
      <dsp:nvSpPr>
        <dsp:cNvPr id="0" name=""/>
        <dsp:cNvSpPr/>
      </dsp:nvSpPr>
      <dsp:spPr>
        <a:xfrm>
          <a:off x="56710222" y="5499700"/>
          <a:ext cx="1087632" cy="679280"/>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liquid fuels</a:t>
          </a:r>
          <a:br>
            <a:rPr lang="en-US" sz="1050" b="0" kern="1200"/>
          </a:br>
          <a:r>
            <a:rPr lang="en-US" sz="1000" b="0" kern="1200"/>
            <a:t>272000</a:t>
          </a:r>
          <a:endParaRPr lang="en-US" sz="1050" b="0" kern="1200"/>
        </a:p>
      </dsp:txBody>
      <dsp:txXfrm>
        <a:off x="56710222" y="5499700"/>
        <a:ext cx="1087632" cy="679280"/>
      </dsp:txXfrm>
    </dsp:sp>
    <dsp:sp modelId="{010BA9F0-6A0F-40DC-ADCD-E979F028D9D6}">
      <dsp:nvSpPr>
        <dsp:cNvPr id="0" name=""/>
        <dsp:cNvSpPr/>
      </dsp:nvSpPr>
      <dsp:spPr>
        <a:xfrm>
          <a:off x="56982130" y="6407383"/>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gasolines</a:t>
          </a:r>
          <a:br>
            <a:rPr lang="en-US" sz="1050" b="0" kern="1200"/>
          </a:br>
          <a:r>
            <a:rPr lang="en-US" sz="1000" b="0" kern="1200"/>
            <a:t>272100</a:t>
          </a:r>
          <a:endParaRPr lang="en-US" sz="1050" b="0" kern="1200"/>
        </a:p>
      </dsp:txBody>
      <dsp:txXfrm>
        <a:off x="56982130" y="6407383"/>
        <a:ext cx="1087632" cy="598197"/>
      </dsp:txXfrm>
    </dsp:sp>
    <dsp:sp modelId="{58BC565A-7446-488A-9767-458E93248F70}">
      <dsp:nvSpPr>
        <dsp:cNvPr id="0" name=""/>
        <dsp:cNvSpPr/>
      </dsp:nvSpPr>
      <dsp:spPr>
        <a:xfrm>
          <a:off x="56982130" y="7233984"/>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diesels</a:t>
          </a:r>
          <a:br>
            <a:rPr lang="en-US" sz="1100" b="0" kern="1200"/>
          </a:br>
          <a:r>
            <a:rPr lang="en-US" sz="1000" b="0" kern="1200"/>
            <a:t>272200</a:t>
          </a:r>
          <a:endParaRPr lang="en-US" sz="1100" b="0" kern="1200"/>
        </a:p>
      </dsp:txBody>
      <dsp:txXfrm>
        <a:off x="56982130" y="7233984"/>
        <a:ext cx="1087632" cy="598197"/>
      </dsp:txXfrm>
    </dsp:sp>
    <dsp:sp modelId="{02CE6448-8ECB-49F2-87DF-A4B88DC56735}">
      <dsp:nvSpPr>
        <dsp:cNvPr id="0" name=""/>
        <dsp:cNvSpPr/>
      </dsp:nvSpPr>
      <dsp:spPr>
        <a:xfrm>
          <a:off x="56982130" y="8060585"/>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kerosenes</a:t>
          </a:r>
          <a:br>
            <a:rPr lang="en-US" sz="1100" b="0" kern="1200"/>
          </a:br>
          <a:r>
            <a:rPr lang="en-US" sz="1000" b="0" kern="1200"/>
            <a:t>272300</a:t>
          </a:r>
          <a:endParaRPr lang="en-US" sz="1100" b="0" kern="1200"/>
        </a:p>
      </dsp:txBody>
      <dsp:txXfrm>
        <a:off x="56982130" y="8060585"/>
        <a:ext cx="1087632" cy="598197"/>
      </dsp:txXfrm>
    </dsp:sp>
    <dsp:sp modelId="{BDA72F02-4730-4C0C-B50B-3279ECA8C088}">
      <dsp:nvSpPr>
        <dsp:cNvPr id="0" name=""/>
        <dsp:cNvSpPr/>
      </dsp:nvSpPr>
      <dsp:spPr>
        <a:xfrm>
          <a:off x="56982130" y="8887185"/>
          <a:ext cx="1087632" cy="65801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non-bio renewable liquid fuels</a:t>
          </a:r>
          <a:br>
            <a:rPr lang="en-US" sz="1050" b="0" kern="1200"/>
          </a:br>
          <a:r>
            <a:rPr lang="en-US" sz="1000" b="0" kern="1200"/>
            <a:t>272900</a:t>
          </a:r>
          <a:endParaRPr lang="en-US" sz="1050" b="0" kern="1200"/>
        </a:p>
      </dsp:txBody>
      <dsp:txXfrm>
        <a:off x="56982130" y="8887185"/>
        <a:ext cx="1087632" cy="658017"/>
      </dsp:txXfrm>
    </dsp:sp>
    <dsp:sp modelId="{ED0D2389-5A30-45B5-B4E4-07C77A87B256}">
      <dsp:nvSpPr>
        <dsp:cNvPr id="0" name=""/>
        <dsp:cNvSpPr/>
      </dsp:nvSpPr>
      <dsp:spPr>
        <a:xfrm>
          <a:off x="58026257" y="5499700"/>
          <a:ext cx="1087632" cy="679280"/>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gas fuels</a:t>
          </a:r>
          <a:br>
            <a:rPr lang="en-US" sz="1050" b="0" kern="1200"/>
          </a:br>
          <a:r>
            <a:rPr lang="en-US" sz="1000" b="0" kern="1200"/>
            <a:t>273000</a:t>
          </a:r>
          <a:endParaRPr lang="en-US" sz="1050" b="0" kern="1200"/>
        </a:p>
      </dsp:txBody>
      <dsp:txXfrm>
        <a:off x="58026257" y="5499700"/>
        <a:ext cx="1087632" cy="679280"/>
      </dsp:txXfrm>
    </dsp:sp>
    <dsp:sp modelId="{6B2BE031-E65B-4552-96D5-51E76B2C20A8}">
      <dsp:nvSpPr>
        <dsp:cNvPr id="0" name=""/>
        <dsp:cNvSpPr/>
      </dsp:nvSpPr>
      <dsp:spPr>
        <a:xfrm>
          <a:off x="58298166" y="6407383"/>
          <a:ext cx="1087632" cy="65801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electrolytic hydrogen</a:t>
          </a:r>
          <a:br>
            <a:rPr lang="en-US" sz="1050" b="0" kern="1200"/>
          </a:br>
          <a:r>
            <a:rPr lang="en-US" sz="1000" b="0" kern="1200"/>
            <a:t>273100</a:t>
          </a:r>
          <a:endParaRPr lang="en-US" sz="1050" b="0" kern="1200"/>
        </a:p>
      </dsp:txBody>
      <dsp:txXfrm>
        <a:off x="58298166" y="6407383"/>
        <a:ext cx="1087632" cy="658017"/>
      </dsp:txXfrm>
    </dsp:sp>
    <dsp:sp modelId="{E0C1EAC6-A466-462F-9DC7-E1C44E66A1E0}">
      <dsp:nvSpPr>
        <dsp:cNvPr id="0" name=""/>
        <dsp:cNvSpPr/>
      </dsp:nvSpPr>
      <dsp:spPr>
        <a:xfrm>
          <a:off x="58298166" y="7293804"/>
          <a:ext cx="1087632" cy="65801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photolytic hydrogen</a:t>
          </a:r>
          <a:br>
            <a:rPr lang="en-US" sz="1100" b="0" kern="1200"/>
          </a:br>
          <a:r>
            <a:rPr lang="en-US" sz="1000" b="0" kern="1200"/>
            <a:t>273200</a:t>
          </a:r>
          <a:endParaRPr lang="en-US" sz="1100" b="0" kern="1200"/>
        </a:p>
      </dsp:txBody>
      <dsp:txXfrm>
        <a:off x="58298166" y="7293804"/>
        <a:ext cx="1087632" cy="658017"/>
      </dsp:txXfrm>
    </dsp:sp>
    <dsp:sp modelId="{5BF93A2D-2F5E-43A0-B579-9B9680253C10}">
      <dsp:nvSpPr>
        <dsp:cNvPr id="0" name=""/>
        <dsp:cNvSpPr/>
      </dsp:nvSpPr>
      <dsp:spPr>
        <a:xfrm>
          <a:off x="58298166" y="8180224"/>
          <a:ext cx="1087632" cy="65801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Renewable thermolytic hydrogen</a:t>
          </a:r>
          <a:br>
            <a:rPr lang="en-US" sz="1100" b="0" kern="1200"/>
          </a:br>
          <a:r>
            <a:rPr lang="en-US" sz="1000" b="0" kern="1200"/>
            <a:t>273300</a:t>
          </a:r>
          <a:endParaRPr lang="en-US" sz="1050" b="0" kern="1200"/>
        </a:p>
      </dsp:txBody>
      <dsp:txXfrm>
        <a:off x="58298166" y="8180224"/>
        <a:ext cx="1087632" cy="658017"/>
      </dsp:txXfrm>
    </dsp:sp>
    <dsp:sp modelId="{529D0FE1-C059-4ED6-95C3-AEDD2882EA6B}">
      <dsp:nvSpPr>
        <dsp:cNvPr id="0" name=""/>
        <dsp:cNvSpPr/>
      </dsp:nvSpPr>
      <dsp:spPr>
        <a:xfrm>
          <a:off x="58298166" y="9066645"/>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ammonia</a:t>
          </a:r>
          <a:br>
            <a:rPr lang="en-US" sz="1050" b="0" kern="1200"/>
          </a:br>
          <a:r>
            <a:rPr lang="en-US" sz="1000" b="0" kern="1200"/>
            <a:t>273400</a:t>
          </a:r>
          <a:endParaRPr lang="en-US" sz="1050" b="0" kern="1200"/>
        </a:p>
      </dsp:txBody>
      <dsp:txXfrm>
        <a:off x="58298166" y="9066645"/>
        <a:ext cx="1087632" cy="598197"/>
      </dsp:txXfrm>
    </dsp:sp>
    <dsp:sp modelId="{F86F30BE-A908-4502-B7A8-F799D4E0E611}">
      <dsp:nvSpPr>
        <dsp:cNvPr id="0" name=""/>
        <dsp:cNvSpPr/>
      </dsp:nvSpPr>
      <dsp:spPr>
        <a:xfrm>
          <a:off x="58298166" y="9893246"/>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DME</a:t>
          </a:r>
          <a:br>
            <a:rPr lang="en-US" sz="1050" b="0" kern="1200"/>
          </a:br>
          <a:r>
            <a:rPr lang="en-US" sz="1000" b="0" kern="1200"/>
            <a:t>273500</a:t>
          </a:r>
          <a:endParaRPr lang="en-US" sz="1050" b="0" kern="1200"/>
        </a:p>
      </dsp:txBody>
      <dsp:txXfrm>
        <a:off x="58298166" y="9893246"/>
        <a:ext cx="1087632" cy="598197"/>
      </dsp:txXfrm>
    </dsp:sp>
    <dsp:sp modelId="{0329BBE0-DA1D-416A-810D-62C8621B0360}">
      <dsp:nvSpPr>
        <dsp:cNvPr id="0" name=""/>
        <dsp:cNvSpPr/>
      </dsp:nvSpPr>
      <dsp:spPr>
        <a:xfrm>
          <a:off x="58298166" y="10719846"/>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Non-bio renewable methane</a:t>
          </a:r>
          <a:br>
            <a:rPr lang="en-US" sz="1050" b="0" kern="1200"/>
          </a:br>
          <a:r>
            <a:rPr lang="en-US" sz="1000" b="0" kern="1200"/>
            <a:t>273600</a:t>
          </a:r>
          <a:endParaRPr lang="en-US" sz="1050" b="0" kern="1200"/>
        </a:p>
      </dsp:txBody>
      <dsp:txXfrm>
        <a:off x="58298166" y="10719846"/>
        <a:ext cx="1087632" cy="598197"/>
      </dsp:txXfrm>
    </dsp:sp>
    <dsp:sp modelId="{15F8D780-F01C-4791-A2CC-0982BBD099F2}">
      <dsp:nvSpPr>
        <dsp:cNvPr id="0" name=""/>
        <dsp:cNvSpPr/>
      </dsp:nvSpPr>
      <dsp:spPr>
        <a:xfrm>
          <a:off x="58298166" y="11546447"/>
          <a:ext cx="1087632" cy="598197"/>
        </a:xfrm>
        <a:prstGeom prst="rect">
          <a:avLst/>
        </a:prstGeom>
        <a:pattFill prst="ltDnDiag">
          <a:fgClr>
            <a:schemeClr val="accent2">
              <a:lumMod val="40000"/>
              <a:lumOff val="60000"/>
            </a:schemeClr>
          </a:fgClr>
          <a:bgClr>
            <a:schemeClr val="bg1"/>
          </a:bgClr>
        </a:patt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non-bio renewable gas fuels</a:t>
          </a:r>
          <a:br>
            <a:rPr lang="en-US" sz="1050" b="0" kern="1200"/>
          </a:br>
          <a:r>
            <a:rPr lang="en-US" sz="1000" b="0" kern="1200"/>
            <a:t>273900</a:t>
          </a:r>
          <a:endParaRPr lang="en-US" sz="1050" b="0" kern="1200"/>
        </a:p>
      </dsp:txBody>
      <dsp:txXfrm>
        <a:off x="58298166" y="11546447"/>
        <a:ext cx="1087632" cy="598197"/>
      </dsp:txXfrm>
    </dsp:sp>
    <dsp:sp modelId="{309F7D41-ED17-46D8-B2DD-74D6EDCB20D7}">
      <dsp:nvSpPr>
        <dsp:cNvPr id="0" name=""/>
        <dsp:cNvSpPr/>
      </dsp:nvSpPr>
      <dsp:spPr>
        <a:xfrm>
          <a:off x="58026257" y="4727480"/>
          <a:ext cx="1087632" cy="543816"/>
        </a:xfrm>
        <a:prstGeom prst="rect">
          <a:avLst/>
        </a:prstGeom>
        <a:solidFill>
          <a:srgbClr val="FFCCFF"/>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Multiple renewables</a:t>
          </a:r>
          <a:br>
            <a:rPr lang="en-US" sz="1050" b="0" kern="1200"/>
          </a:br>
          <a:r>
            <a:rPr lang="en-US" sz="1000" b="0" kern="1200"/>
            <a:t>280000</a:t>
          </a:r>
          <a:endParaRPr lang="en-US" sz="1050" b="0" kern="1200"/>
        </a:p>
      </dsp:txBody>
      <dsp:txXfrm>
        <a:off x="58026257" y="4727480"/>
        <a:ext cx="1087632" cy="543816"/>
      </dsp:txXfrm>
    </dsp:sp>
    <dsp:sp modelId="{70877DF0-B5AF-4E8B-97BD-C4ED4C3B7894}">
      <dsp:nvSpPr>
        <dsp:cNvPr id="0" name=""/>
        <dsp:cNvSpPr/>
      </dsp:nvSpPr>
      <dsp:spPr>
        <a:xfrm>
          <a:off x="59342293" y="4727480"/>
          <a:ext cx="1087632" cy="543816"/>
        </a:xfrm>
        <a:prstGeom prst="rect">
          <a:avLst/>
        </a:prstGeom>
        <a:solidFill>
          <a:schemeClr val="lt1">
            <a:hueOff val="0"/>
            <a:satOff val="0"/>
            <a:lumOff val="0"/>
            <a:alphaOff val="0"/>
          </a:schemeClr>
        </a:solidFill>
        <a:ln w="12700" cap="flat" cmpd="sng" algn="ctr">
          <a:solidFill>
            <a:scrgbClr r="0" g="0" b="0"/>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renewable energy</a:t>
          </a:r>
          <a:br>
            <a:rPr lang="en-US" sz="1050" b="1" kern="1200"/>
          </a:br>
          <a:r>
            <a:rPr lang="en-US" sz="1000" b="0" kern="1200"/>
            <a:t>290000</a:t>
          </a:r>
          <a:endParaRPr lang="en-US" sz="1050" b="0" kern="1200"/>
        </a:p>
      </dsp:txBody>
      <dsp:txXfrm>
        <a:off x="59342293" y="4727480"/>
        <a:ext cx="1087632" cy="543816"/>
      </dsp:txXfrm>
    </dsp:sp>
    <dsp:sp modelId="{98EA16AC-1971-40B1-BFB8-7AEA53569DD7}">
      <dsp:nvSpPr>
        <dsp:cNvPr id="0" name=""/>
        <dsp:cNvSpPr/>
      </dsp:nvSpPr>
      <dsp:spPr>
        <a:xfrm>
          <a:off x="59614201" y="5499700"/>
          <a:ext cx="1087632" cy="5438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Air-source heat pump</a:t>
          </a:r>
          <a:br>
            <a:rPr lang="en-US" sz="1050" b="1" kern="1200"/>
          </a:br>
          <a:r>
            <a:rPr lang="en-US" sz="1000" b="0" kern="1200"/>
            <a:t>291000</a:t>
          </a:r>
          <a:endParaRPr lang="en-US" sz="1050" b="0" kern="1200"/>
        </a:p>
      </dsp:txBody>
      <dsp:txXfrm>
        <a:off x="59614201" y="5499700"/>
        <a:ext cx="1087632" cy="543816"/>
      </dsp:txXfrm>
    </dsp:sp>
    <dsp:sp modelId="{81B8930D-AB8E-4114-ADFF-7614EB2255EA}">
      <dsp:nvSpPr>
        <dsp:cNvPr id="0" name=""/>
        <dsp:cNvSpPr/>
      </dsp:nvSpPr>
      <dsp:spPr>
        <a:xfrm>
          <a:off x="59614201" y="6271919"/>
          <a:ext cx="1087632" cy="5438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Water-source heat pump</a:t>
          </a:r>
          <a:br>
            <a:rPr lang="en-US" sz="1050" b="1" kern="1200"/>
          </a:br>
          <a:r>
            <a:rPr lang="en-US" sz="1000" b="0" kern="1200"/>
            <a:t>292000</a:t>
          </a:r>
          <a:endParaRPr lang="en-US" sz="1050" b="0" kern="1200"/>
        </a:p>
      </dsp:txBody>
      <dsp:txXfrm>
        <a:off x="59614201" y="6271919"/>
        <a:ext cx="1087632" cy="543816"/>
      </dsp:txXfrm>
    </dsp:sp>
    <dsp:sp modelId="{15F7B5F8-8193-4364-95D7-8537DF3D69F1}">
      <dsp:nvSpPr>
        <dsp:cNvPr id="0" name=""/>
        <dsp:cNvSpPr/>
      </dsp:nvSpPr>
      <dsp:spPr>
        <a:xfrm>
          <a:off x="59614201" y="7044138"/>
          <a:ext cx="1087632" cy="5438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Ground-source heat pump</a:t>
          </a:r>
          <a:br>
            <a:rPr lang="en-US" sz="1050" b="1" kern="1200"/>
          </a:br>
          <a:r>
            <a:rPr lang="en-US" sz="1050" b="0" kern="1200"/>
            <a:t>293000</a:t>
          </a:r>
        </a:p>
      </dsp:txBody>
      <dsp:txXfrm>
        <a:off x="59614201" y="7044138"/>
        <a:ext cx="1087632" cy="543816"/>
      </dsp:txXfrm>
    </dsp:sp>
    <dsp:sp modelId="{F68157D7-AB1C-4138-A76F-52EF500BF81B}">
      <dsp:nvSpPr>
        <dsp:cNvPr id="0" name=""/>
        <dsp:cNvSpPr/>
      </dsp:nvSpPr>
      <dsp:spPr>
        <a:xfrm>
          <a:off x="59614201" y="7816357"/>
          <a:ext cx="1087632" cy="5438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Nuclear fusion</a:t>
          </a:r>
          <a:br>
            <a:rPr lang="en-US" sz="1050" b="0" kern="1200"/>
          </a:br>
          <a:r>
            <a:rPr lang="en-US" sz="1000" b="0" kern="1200"/>
            <a:t>294000</a:t>
          </a:r>
          <a:endParaRPr lang="en-US" sz="1050" b="0" kern="1200"/>
        </a:p>
      </dsp:txBody>
      <dsp:txXfrm>
        <a:off x="59614201" y="7816357"/>
        <a:ext cx="1087632" cy="543816"/>
      </dsp:txXfrm>
    </dsp:sp>
    <dsp:sp modelId="{0D534F07-FEE3-4227-BF1E-E249EFB747D6}">
      <dsp:nvSpPr>
        <dsp:cNvPr id="0" name=""/>
        <dsp:cNvSpPr/>
      </dsp:nvSpPr>
      <dsp:spPr>
        <a:xfrm>
          <a:off x="59614201" y="8588576"/>
          <a:ext cx="1087632" cy="5438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renewable energy n.e.s.</a:t>
          </a:r>
          <a:br>
            <a:rPr lang="en-US" sz="1050" b="1" kern="1200"/>
          </a:br>
          <a:r>
            <a:rPr lang="en-US" sz="1000" b="0" kern="1200"/>
            <a:t>299000</a:t>
          </a:r>
          <a:endParaRPr lang="en-US" sz="1050" b="0" kern="1200"/>
        </a:p>
      </dsp:txBody>
      <dsp:txXfrm>
        <a:off x="59614201" y="8588576"/>
        <a:ext cx="1087632" cy="543816"/>
      </dsp:txXfrm>
    </dsp:sp>
    <dsp:sp modelId="{57325640-87E6-4071-99A7-541A386B5987}">
      <dsp:nvSpPr>
        <dsp:cNvPr id="0" name=""/>
        <dsp:cNvSpPr/>
      </dsp:nvSpPr>
      <dsp:spPr>
        <a:xfrm>
          <a:off x="65400406" y="3955261"/>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b="1" kern="1200"/>
            <a:t>Energy storage</a:t>
          </a:r>
          <a:br>
            <a:rPr lang="en-US" sz="1100" b="1" kern="1200"/>
          </a:br>
          <a:r>
            <a:rPr lang="en-US" sz="1100" b="0" kern="1200"/>
            <a:t>300000</a:t>
          </a:r>
        </a:p>
      </dsp:txBody>
      <dsp:txXfrm>
        <a:off x="65400406" y="3955261"/>
        <a:ext cx="1087632" cy="543816"/>
      </dsp:txXfrm>
    </dsp:sp>
    <dsp:sp modelId="{965B537E-914E-493B-8220-0540899B7D90}">
      <dsp:nvSpPr>
        <dsp:cNvPr id="0" name=""/>
        <dsp:cNvSpPr/>
      </dsp:nvSpPr>
      <dsp:spPr>
        <a:xfrm>
          <a:off x="60658328"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Electric storage</a:t>
          </a:r>
          <a:br>
            <a:rPr lang="en-US" sz="1050" b="1" kern="1200"/>
          </a:br>
          <a:r>
            <a:rPr lang="en-US" sz="1000" b="0" kern="1200"/>
            <a:t>310000</a:t>
          </a:r>
          <a:endParaRPr lang="en-US" sz="1050" b="0" kern="1200"/>
        </a:p>
      </dsp:txBody>
      <dsp:txXfrm>
        <a:off x="60658328" y="4727480"/>
        <a:ext cx="1087632" cy="543816"/>
      </dsp:txXfrm>
    </dsp:sp>
    <dsp:sp modelId="{78371917-E69F-4D19-8A67-FFFBD44FE0FE}">
      <dsp:nvSpPr>
        <dsp:cNvPr id="0" name=""/>
        <dsp:cNvSpPr/>
      </dsp:nvSpPr>
      <dsp:spPr>
        <a:xfrm>
          <a:off x="60930236"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Supercapacitors</a:t>
          </a:r>
          <a:br>
            <a:rPr lang="en-US" sz="1050" b="1" kern="1200"/>
          </a:br>
          <a:r>
            <a:rPr lang="en-US" sz="1000" b="0" kern="1200"/>
            <a:t>311000</a:t>
          </a:r>
          <a:endParaRPr lang="en-US" sz="1050" b="0" kern="1200"/>
        </a:p>
      </dsp:txBody>
      <dsp:txXfrm>
        <a:off x="60930236" y="5499700"/>
        <a:ext cx="1087632" cy="543816"/>
      </dsp:txXfrm>
    </dsp:sp>
    <dsp:sp modelId="{EB3DBC66-913F-42A4-AB15-A84C3767F987}">
      <dsp:nvSpPr>
        <dsp:cNvPr id="0" name=""/>
        <dsp:cNvSpPr/>
      </dsp:nvSpPr>
      <dsp:spPr>
        <a:xfrm>
          <a:off x="60930236"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electric storage</a:t>
          </a:r>
          <a:br>
            <a:rPr lang="en-US" sz="1050" b="1" kern="1200"/>
          </a:br>
          <a:r>
            <a:rPr lang="en-US" sz="1000" b="0" kern="1200"/>
            <a:t>319000</a:t>
          </a:r>
          <a:endParaRPr lang="en-US" sz="1050" b="0" kern="1200"/>
        </a:p>
      </dsp:txBody>
      <dsp:txXfrm>
        <a:off x="60930236" y="6271919"/>
        <a:ext cx="1087632" cy="543816"/>
      </dsp:txXfrm>
    </dsp:sp>
    <dsp:sp modelId="{DED4CC31-2F44-426E-8BD5-803C2C317C36}">
      <dsp:nvSpPr>
        <dsp:cNvPr id="0" name=""/>
        <dsp:cNvSpPr/>
      </dsp:nvSpPr>
      <dsp:spPr>
        <a:xfrm>
          <a:off x="61974363"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Electrochemical storage</a:t>
          </a:r>
          <a:br>
            <a:rPr lang="en-US" sz="1050" b="1" kern="1200"/>
          </a:br>
          <a:r>
            <a:rPr lang="en-US" sz="1000" b="0" kern="1200"/>
            <a:t>320000</a:t>
          </a:r>
          <a:endParaRPr lang="en-US" sz="1050" b="0" kern="1200"/>
        </a:p>
      </dsp:txBody>
      <dsp:txXfrm>
        <a:off x="61974363" y="4727480"/>
        <a:ext cx="1087632" cy="543816"/>
      </dsp:txXfrm>
    </dsp:sp>
    <dsp:sp modelId="{CA27CE8D-7B51-47E8-9E66-DAE8C324D38F}">
      <dsp:nvSpPr>
        <dsp:cNvPr id="0" name=""/>
        <dsp:cNvSpPr/>
      </dsp:nvSpPr>
      <dsp:spPr>
        <a:xfrm>
          <a:off x="62246272"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Stationary electric batteries</a:t>
          </a:r>
          <a:br>
            <a:rPr lang="en-US" sz="1050" b="1" kern="1200"/>
          </a:br>
          <a:r>
            <a:rPr lang="en-US" sz="1000" b="0" kern="1200"/>
            <a:t>321000</a:t>
          </a:r>
          <a:endParaRPr lang="en-US" sz="1050" b="0" kern="1200"/>
        </a:p>
      </dsp:txBody>
      <dsp:txXfrm>
        <a:off x="62246272" y="5499700"/>
        <a:ext cx="1087632" cy="543816"/>
      </dsp:txXfrm>
    </dsp:sp>
    <dsp:sp modelId="{2B470A79-D21B-4FCE-A2CC-8737F006BF43}">
      <dsp:nvSpPr>
        <dsp:cNvPr id="0" name=""/>
        <dsp:cNvSpPr/>
      </dsp:nvSpPr>
      <dsp:spPr>
        <a:xfrm>
          <a:off x="62246272"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Mobile electric batteries</a:t>
          </a:r>
          <a:br>
            <a:rPr lang="en-US" sz="1050" b="1" kern="1200"/>
          </a:br>
          <a:r>
            <a:rPr lang="en-US" sz="1000" b="0" kern="1200"/>
            <a:t>322000</a:t>
          </a:r>
          <a:endParaRPr lang="en-US" sz="1050" b="0" kern="1200"/>
        </a:p>
      </dsp:txBody>
      <dsp:txXfrm>
        <a:off x="62246272" y="6271919"/>
        <a:ext cx="1087632" cy="543816"/>
      </dsp:txXfrm>
    </dsp:sp>
    <dsp:sp modelId="{2655CD1F-8719-4186-A59A-7B74ECC56D1E}">
      <dsp:nvSpPr>
        <dsp:cNvPr id="0" name=""/>
        <dsp:cNvSpPr/>
      </dsp:nvSpPr>
      <dsp:spPr>
        <a:xfrm>
          <a:off x="62246272" y="7044138"/>
          <a:ext cx="1087632" cy="614941"/>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electrochemical storage</a:t>
          </a:r>
          <a:br>
            <a:rPr lang="en-US" sz="1050" b="1" kern="1200"/>
          </a:br>
          <a:r>
            <a:rPr lang="en-US" sz="1000" b="0" kern="1200"/>
            <a:t>329000</a:t>
          </a:r>
          <a:endParaRPr lang="en-US" sz="1050" b="0" kern="1200"/>
        </a:p>
      </dsp:txBody>
      <dsp:txXfrm>
        <a:off x="62246272" y="7044138"/>
        <a:ext cx="1087632" cy="614941"/>
      </dsp:txXfrm>
    </dsp:sp>
    <dsp:sp modelId="{E27822A6-A491-4A6A-915C-758FEA99915D}">
      <dsp:nvSpPr>
        <dsp:cNvPr id="0" name=""/>
        <dsp:cNvSpPr/>
      </dsp:nvSpPr>
      <dsp:spPr>
        <a:xfrm>
          <a:off x="63290399"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Electromagnetic storage</a:t>
          </a:r>
          <a:br>
            <a:rPr lang="en-US" sz="1050" b="1" kern="1200"/>
          </a:br>
          <a:r>
            <a:rPr lang="en-US" sz="1000" b="0" kern="1200"/>
            <a:t>330000</a:t>
          </a:r>
          <a:endParaRPr lang="en-US" sz="1050" b="0" kern="1200"/>
        </a:p>
      </dsp:txBody>
      <dsp:txXfrm>
        <a:off x="63290399" y="4727480"/>
        <a:ext cx="1087632" cy="543816"/>
      </dsp:txXfrm>
    </dsp:sp>
    <dsp:sp modelId="{3CE90B64-99FD-4229-A588-ED3912A34282}">
      <dsp:nvSpPr>
        <dsp:cNvPr id="0" name=""/>
        <dsp:cNvSpPr/>
      </dsp:nvSpPr>
      <dsp:spPr>
        <a:xfrm>
          <a:off x="63562307"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Superconducting magnetic storage</a:t>
          </a:r>
          <a:br>
            <a:rPr lang="en-US" sz="1050" b="1" kern="1200"/>
          </a:br>
          <a:r>
            <a:rPr lang="en-US" sz="1000" b="0" kern="1200"/>
            <a:t>331000</a:t>
          </a:r>
          <a:endParaRPr lang="en-US" sz="1050" b="0" kern="1200"/>
        </a:p>
      </dsp:txBody>
      <dsp:txXfrm>
        <a:off x="63562307" y="5499700"/>
        <a:ext cx="1087632" cy="543816"/>
      </dsp:txXfrm>
    </dsp:sp>
    <dsp:sp modelId="{74744B42-BA0F-49DA-A595-C4BA7E965D56}">
      <dsp:nvSpPr>
        <dsp:cNvPr id="0" name=""/>
        <dsp:cNvSpPr/>
      </dsp:nvSpPr>
      <dsp:spPr>
        <a:xfrm>
          <a:off x="63562307" y="6271919"/>
          <a:ext cx="1087632" cy="631359"/>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electromagnetic storage</a:t>
          </a:r>
          <a:br>
            <a:rPr lang="en-US" sz="1050" b="1" kern="1200"/>
          </a:br>
          <a:r>
            <a:rPr lang="en-US" sz="1000" b="0" kern="1200"/>
            <a:t>339000</a:t>
          </a:r>
          <a:endParaRPr lang="en-US" sz="1050" b="0" kern="1200"/>
        </a:p>
      </dsp:txBody>
      <dsp:txXfrm>
        <a:off x="63562307" y="6271919"/>
        <a:ext cx="1087632" cy="631359"/>
      </dsp:txXfrm>
    </dsp:sp>
    <dsp:sp modelId="{E5F3CF3C-E9B5-4980-A4B8-D0AA1925D7E8}">
      <dsp:nvSpPr>
        <dsp:cNvPr id="0" name=""/>
        <dsp:cNvSpPr/>
      </dsp:nvSpPr>
      <dsp:spPr>
        <a:xfrm>
          <a:off x="64606434"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Mechanical storage</a:t>
          </a:r>
          <a:br>
            <a:rPr lang="en-US" sz="1050" b="1" kern="1200"/>
          </a:br>
          <a:r>
            <a:rPr lang="en-US" sz="1000" b="0" kern="1200"/>
            <a:t>340000</a:t>
          </a:r>
          <a:endParaRPr lang="en-US" sz="1050" b="0" kern="1200"/>
        </a:p>
      </dsp:txBody>
      <dsp:txXfrm>
        <a:off x="64606434" y="4727480"/>
        <a:ext cx="1087632" cy="543816"/>
      </dsp:txXfrm>
    </dsp:sp>
    <dsp:sp modelId="{0346B74D-0711-4C32-A1B6-069D2900BD65}">
      <dsp:nvSpPr>
        <dsp:cNvPr id="0" name=""/>
        <dsp:cNvSpPr/>
      </dsp:nvSpPr>
      <dsp:spPr>
        <a:xfrm>
          <a:off x="64878342"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Pumped hydro</a:t>
          </a:r>
          <a:br>
            <a:rPr lang="en-US" sz="1050" b="1" kern="1200"/>
          </a:br>
          <a:r>
            <a:rPr lang="en-US" sz="1000" b="0" kern="1200"/>
            <a:t>341000</a:t>
          </a:r>
          <a:endParaRPr lang="en-US" sz="1050" b="0" kern="1200"/>
        </a:p>
      </dsp:txBody>
      <dsp:txXfrm>
        <a:off x="64878342" y="5499700"/>
        <a:ext cx="1087632" cy="543816"/>
      </dsp:txXfrm>
    </dsp:sp>
    <dsp:sp modelId="{7BEF5639-3385-4E9A-9AE9-F48AE1DC5BE8}">
      <dsp:nvSpPr>
        <dsp:cNvPr id="0" name=""/>
        <dsp:cNvSpPr/>
      </dsp:nvSpPr>
      <dsp:spPr>
        <a:xfrm>
          <a:off x="64878342"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Compressed fluids</a:t>
          </a:r>
          <a:br>
            <a:rPr lang="en-US" sz="1050" b="1" kern="1200"/>
          </a:br>
          <a:r>
            <a:rPr lang="en-US" sz="1000" b="0" kern="1200"/>
            <a:t>342000</a:t>
          </a:r>
          <a:endParaRPr lang="en-US" sz="1050" b="0" kern="1200"/>
        </a:p>
      </dsp:txBody>
      <dsp:txXfrm>
        <a:off x="64878342" y="6271919"/>
        <a:ext cx="1087632" cy="543816"/>
      </dsp:txXfrm>
    </dsp:sp>
    <dsp:sp modelId="{F58F3CF3-5C27-48B8-8DF8-BE09B7454D27}">
      <dsp:nvSpPr>
        <dsp:cNvPr id="0" name=""/>
        <dsp:cNvSpPr/>
      </dsp:nvSpPr>
      <dsp:spPr>
        <a:xfrm>
          <a:off x="64878342" y="7044138"/>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Flywheels</a:t>
          </a:r>
          <a:br>
            <a:rPr lang="en-US" sz="1050" b="1" kern="1200"/>
          </a:br>
          <a:r>
            <a:rPr lang="en-US" sz="1000" b="0" kern="1200"/>
            <a:t>343000</a:t>
          </a:r>
          <a:endParaRPr lang="en-US" sz="1050" b="0" kern="1200"/>
        </a:p>
      </dsp:txBody>
      <dsp:txXfrm>
        <a:off x="64878342" y="7044138"/>
        <a:ext cx="1087632" cy="543816"/>
      </dsp:txXfrm>
    </dsp:sp>
    <dsp:sp modelId="{24713480-EB01-4DF6-BF88-72157C8E9C25}">
      <dsp:nvSpPr>
        <dsp:cNvPr id="0" name=""/>
        <dsp:cNvSpPr/>
      </dsp:nvSpPr>
      <dsp:spPr>
        <a:xfrm>
          <a:off x="64878342" y="7816357"/>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Gravitational storage</a:t>
          </a:r>
          <a:br>
            <a:rPr lang="en-US" sz="1050" b="1" kern="1200"/>
          </a:br>
          <a:r>
            <a:rPr lang="en-US" sz="1000" b="0" kern="1200"/>
            <a:t>344000</a:t>
          </a:r>
          <a:endParaRPr lang="en-US" sz="1050" b="0" kern="1200"/>
        </a:p>
      </dsp:txBody>
      <dsp:txXfrm>
        <a:off x="64878342" y="7816357"/>
        <a:ext cx="1087632" cy="543816"/>
      </dsp:txXfrm>
    </dsp:sp>
    <dsp:sp modelId="{58191E0C-1E48-4684-B0DA-DD5CAD81AC57}">
      <dsp:nvSpPr>
        <dsp:cNvPr id="0" name=""/>
        <dsp:cNvSpPr/>
      </dsp:nvSpPr>
      <dsp:spPr>
        <a:xfrm>
          <a:off x="64878342" y="8588576"/>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mechanical storage</a:t>
          </a:r>
          <a:br>
            <a:rPr lang="en-US" sz="1050" b="1" kern="1200"/>
          </a:br>
          <a:r>
            <a:rPr lang="en-US" sz="1000" b="0" kern="1200"/>
            <a:t>349000</a:t>
          </a:r>
          <a:endParaRPr lang="en-US" sz="1050" b="0" kern="1200"/>
        </a:p>
      </dsp:txBody>
      <dsp:txXfrm>
        <a:off x="64878342" y="8588576"/>
        <a:ext cx="1087632" cy="543816"/>
      </dsp:txXfrm>
    </dsp:sp>
    <dsp:sp modelId="{22302856-D687-415C-8694-BD203E144085}">
      <dsp:nvSpPr>
        <dsp:cNvPr id="0" name=""/>
        <dsp:cNvSpPr/>
      </dsp:nvSpPr>
      <dsp:spPr>
        <a:xfrm>
          <a:off x="65922470"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Thermal storage</a:t>
          </a:r>
          <a:br>
            <a:rPr lang="en-US" sz="1050" b="1" kern="1200"/>
          </a:br>
          <a:r>
            <a:rPr lang="en-US" sz="1000" b="0" kern="1200"/>
            <a:t>350000</a:t>
          </a:r>
          <a:endParaRPr lang="en-US" sz="1050" b="0" kern="1200"/>
        </a:p>
      </dsp:txBody>
      <dsp:txXfrm>
        <a:off x="65922470" y="4727480"/>
        <a:ext cx="1087632" cy="543816"/>
      </dsp:txXfrm>
    </dsp:sp>
    <dsp:sp modelId="{ECD40821-47D6-4284-94BE-64CB66FE0F7B}">
      <dsp:nvSpPr>
        <dsp:cNvPr id="0" name=""/>
        <dsp:cNvSpPr/>
      </dsp:nvSpPr>
      <dsp:spPr>
        <a:xfrm>
          <a:off x="66194378"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Latent heat storage </a:t>
          </a:r>
          <a:br>
            <a:rPr lang="en-US" sz="1050" b="1" kern="1200"/>
          </a:br>
          <a:r>
            <a:rPr lang="en-US" sz="1000" b="0" kern="1200"/>
            <a:t>351000</a:t>
          </a:r>
          <a:endParaRPr lang="en-US" sz="1050" b="0" kern="1200"/>
        </a:p>
      </dsp:txBody>
      <dsp:txXfrm>
        <a:off x="66194378" y="5499700"/>
        <a:ext cx="1087632" cy="543816"/>
      </dsp:txXfrm>
    </dsp:sp>
    <dsp:sp modelId="{335CFEA8-5B08-4C90-B4B3-34E79C35E25E}">
      <dsp:nvSpPr>
        <dsp:cNvPr id="0" name=""/>
        <dsp:cNvSpPr/>
      </dsp:nvSpPr>
      <dsp:spPr>
        <a:xfrm>
          <a:off x="66194378"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Sensible heat storage</a:t>
          </a:r>
          <a:br>
            <a:rPr lang="en-US" sz="1050" b="1" kern="1200"/>
          </a:br>
          <a:r>
            <a:rPr lang="en-US" sz="1000" b="0" kern="1200"/>
            <a:t>352000</a:t>
          </a:r>
          <a:endParaRPr lang="en-US" sz="1050" b="0" kern="1200"/>
        </a:p>
      </dsp:txBody>
      <dsp:txXfrm>
        <a:off x="66194378" y="6271919"/>
        <a:ext cx="1087632" cy="543816"/>
      </dsp:txXfrm>
    </dsp:sp>
    <dsp:sp modelId="{92F0175B-B40F-4850-9105-0DADA18E1CA9}">
      <dsp:nvSpPr>
        <dsp:cNvPr id="0" name=""/>
        <dsp:cNvSpPr/>
      </dsp:nvSpPr>
      <dsp:spPr>
        <a:xfrm>
          <a:off x="66194378" y="7044138"/>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thermal storage</a:t>
          </a:r>
          <a:br>
            <a:rPr lang="en-US" sz="1050" b="1" kern="1200"/>
          </a:br>
          <a:r>
            <a:rPr lang="en-US" sz="1000" b="0" kern="1200"/>
            <a:t>359000</a:t>
          </a:r>
          <a:endParaRPr lang="en-US" sz="1050" b="0" kern="1200"/>
        </a:p>
      </dsp:txBody>
      <dsp:txXfrm>
        <a:off x="66194378" y="7044138"/>
        <a:ext cx="1087632" cy="543816"/>
      </dsp:txXfrm>
    </dsp:sp>
    <dsp:sp modelId="{BCBF385E-16BD-4AAC-A54C-F6718B75FB2F}">
      <dsp:nvSpPr>
        <dsp:cNvPr id="0" name=""/>
        <dsp:cNvSpPr/>
      </dsp:nvSpPr>
      <dsp:spPr>
        <a:xfrm>
          <a:off x="70142484" y="472748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Chemical fuels storage</a:t>
          </a:r>
          <a:br>
            <a:rPr lang="en-US" sz="1050" b="1" kern="1200"/>
          </a:br>
          <a:r>
            <a:rPr lang="en-US" sz="1000" b="0" kern="1200"/>
            <a:t>360000</a:t>
          </a:r>
          <a:endParaRPr lang="en-US" sz="1050" b="0" kern="1200"/>
        </a:p>
      </dsp:txBody>
      <dsp:txXfrm>
        <a:off x="70142484" y="4727480"/>
        <a:ext cx="1087632" cy="543816"/>
      </dsp:txXfrm>
    </dsp:sp>
    <dsp:sp modelId="{ED4A4078-167E-4A16-A4A9-FA6F45C1A41F}">
      <dsp:nvSpPr>
        <dsp:cNvPr id="0" name=""/>
        <dsp:cNvSpPr/>
      </dsp:nvSpPr>
      <dsp:spPr>
        <a:xfrm>
          <a:off x="68826448"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Hydrogen storage</a:t>
          </a:r>
          <a:br>
            <a:rPr lang="en-US" sz="1050" b="1" kern="1200"/>
          </a:br>
          <a:r>
            <a:rPr lang="en-US" sz="1000" b="0" kern="1200"/>
            <a:t>361000</a:t>
          </a:r>
          <a:endParaRPr lang="en-US" sz="1050" b="0" kern="1200"/>
        </a:p>
      </dsp:txBody>
      <dsp:txXfrm>
        <a:off x="68826448" y="5499700"/>
        <a:ext cx="1087632" cy="543816"/>
      </dsp:txXfrm>
    </dsp:sp>
    <dsp:sp modelId="{E6B19E2C-CCEC-47AC-ACB1-CEF07DA4EEAA}">
      <dsp:nvSpPr>
        <dsp:cNvPr id="0" name=""/>
        <dsp:cNvSpPr/>
      </dsp:nvSpPr>
      <dsp:spPr>
        <a:xfrm>
          <a:off x="67510413"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Gas hydrogen storage</a:t>
          </a:r>
          <a:br>
            <a:rPr lang="en-US" sz="1050" b="1" kern="1200"/>
          </a:br>
          <a:r>
            <a:rPr lang="en-US" sz="1000" b="0" kern="1200"/>
            <a:t>361100</a:t>
          </a:r>
          <a:endParaRPr lang="en-US" sz="1050" b="0" kern="1200"/>
        </a:p>
      </dsp:txBody>
      <dsp:txXfrm>
        <a:off x="67510413" y="6271919"/>
        <a:ext cx="1087632" cy="543816"/>
      </dsp:txXfrm>
    </dsp:sp>
    <dsp:sp modelId="{AE55C48F-9CE5-427E-8DC3-EC1400B35EFB}">
      <dsp:nvSpPr>
        <dsp:cNvPr id="0" name=""/>
        <dsp:cNvSpPr/>
      </dsp:nvSpPr>
      <dsp:spPr>
        <a:xfrm>
          <a:off x="68826448"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Liquid hydrogen storage</a:t>
          </a:r>
          <a:br>
            <a:rPr lang="en-US" sz="1050" b="1" kern="1200"/>
          </a:br>
          <a:r>
            <a:rPr lang="en-US" sz="1000" b="0" kern="1200"/>
            <a:t>361200</a:t>
          </a:r>
          <a:endParaRPr lang="en-US" sz="1050" b="0" kern="1200"/>
        </a:p>
      </dsp:txBody>
      <dsp:txXfrm>
        <a:off x="68826448" y="6271919"/>
        <a:ext cx="1087632" cy="543816"/>
      </dsp:txXfrm>
    </dsp:sp>
    <dsp:sp modelId="{DF368F48-B16C-49DC-A94A-74F71D4AB48D}">
      <dsp:nvSpPr>
        <dsp:cNvPr id="0" name=""/>
        <dsp:cNvSpPr/>
      </dsp:nvSpPr>
      <dsp:spPr>
        <a:xfrm>
          <a:off x="70142484" y="6271919"/>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Solid hydrogen storage</a:t>
          </a:r>
          <a:br>
            <a:rPr lang="en-US" sz="1050" b="1" kern="1200"/>
          </a:br>
          <a:r>
            <a:rPr lang="en-US" sz="1000" b="0" kern="1200"/>
            <a:t>361300</a:t>
          </a:r>
          <a:endParaRPr lang="en-US" sz="1050" b="0" kern="1200"/>
        </a:p>
      </dsp:txBody>
      <dsp:txXfrm>
        <a:off x="70142484" y="6271919"/>
        <a:ext cx="1087632" cy="543816"/>
      </dsp:txXfrm>
    </dsp:sp>
    <dsp:sp modelId="{54171430-8154-43DA-9016-4EEBD22ECFE3}">
      <dsp:nvSpPr>
        <dsp:cNvPr id="0" name=""/>
        <dsp:cNvSpPr/>
      </dsp:nvSpPr>
      <dsp:spPr>
        <a:xfrm>
          <a:off x="70414392" y="7044138"/>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Metal hydride hydrogen storage</a:t>
          </a:r>
          <a:br>
            <a:rPr lang="en-US" sz="1050" b="1" kern="1200"/>
          </a:br>
          <a:r>
            <a:rPr lang="en-US" sz="1000" b="0" kern="1200"/>
            <a:t>361310</a:t>
          </a:r>
          <a:endParaRPr lang="en-US" sz="1050" b="0" kern="1200"/>
        </a:p>
      </dsp:txBody>
      <dsp:txXfrm>
        <a:off x="70414392" y="7044138"/>
        <a:ext cx="1087632" cy="543816"/>
      </dsp:txXfrm>
    </dsp:sp>
    <dsp:sp modelId="{638B5575-8510-45A8-B2D9-BF0F321A076F}">
      <dsp:nvSpPr>
        <dsp:cNvPr id="0" name=""/>
        <dsp:cNvSpPr/>
      </dsp:nvSpPr>
      <dsp:spPr>
        <a:xfrm>
          <a:off x="70414392" y="7816357"/>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Adsorbent hydrogen storage</a:t>
          </a:r>
          <a:br>
            <a:rPr lang="en-US" sz="1050" b="1" kern="1200"/>
          </a:br>
          <a:r>
            <a:rPr lang="en-US" sz="1000" b="0" kern="1200"/>
            <a:t>361320</a:t>
          </a:r>
          <a:endParaRPr lang="en-US" sz="1050" b="0" kern="1200"/>
        </a:p>
      </dsp:txBody>
      <dsp:txXfrm>
        <a:off x="70414392" y="7816357"/>
        <a:ext cx="1087632" cy="543816"/>
      </dsp:txXfrm>
    </dsp:sp>
    <dsp:sp modelId="{19033C3E-B9FA-4863-9180-BB9800E00DBB}">
      <dsp:nvSpPr>
        <dsp:cNvPr id="0" name=""/>
        <dsp:cNvSpPr/>
      </dsp:nvSpPr>
      <dsp:spPr>
        <a:xfrm>
          <a:off x="70414392" y="8588576"/>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solid hydrogen storage</a:t>
          </a:r>
          <a:br>
            <a:rPr lang="en-US" sz="1050" b="0" kern="1200"/>
          </a:br>
          <a:r>
            <a:rPr lang="en-US" sz="1000" b="0" kern="1200"/>
            <a:t>361390</a:t>
          </a:r>
          <a:endParaRPr lang="en-US" sz="1050" b="0" kern="1200"/>
        </a:p>
      </dsp:txBody>
      <dsp:txXfrm>
        <a:off x="70414392" y="8588576"/>
        <a:ext cx="1087632" cy="543816"/>
      </dsp:txXfrm>
    </dsp:sp>
    <dsp:sp modelId="{192F4858-3366-4590-A59A-565465D13786}">
      <dsp:nvSpPr>
        <dsp:cNvPr id="0" name=""/>
        <dsp:cNvSpPr/>
      </dsp:nvSpPr>
      <dsp:spPr>
        <a:xfrm>
          <a:off x="70142484"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Ammonia storage</a:t>
          </a:r>
          <a:br>
            <a:rPr lang="en-US" sz="1050" b="1" kern="1200"/>
          </a:br>
          <a:r>
            <a:rPr lang="en-US" sz="1000" b="0" kern="1200"/>
            <a:t>362000</a:t>
          </a:r>
          <a:endParaRPr lang="en-US" sz="1050" b="0" kern="1200"/>
        </a:p>
      </dsp:txBody>
      <dsp:txXfrm>
        <a:off x="70142484" y="5499700"/>
        <a:ext cx="1087632" cy="543816"/>
      </dsp:txXfrm>
    </dsp:sp>
    <dsp:sp modelId="{421764DB-A460-4259-A9C6-DD3683E57819}">
      <dsp:nvSpPr>
        <dsp:cNvPr id="0" name=""/>
        <dsp:cNvSpPr/>
      </dsp:nvSpPr>
      <dsp:spPr>
        <a:xfrm>
          <a:off x="71458519" y="5499700"/>
          <a:ext cx="1087632" cy="543816"/>
        </a:xfrm>
        <a:prstGeom prst="rect">
          <a:avLst/>
        </a:prstGeom>
        <a:pattFill prst="ltUpDiag">
          <a:fgClr>
            <a:srgbClr val="FFFF00"/>
          </a:fgClr>
          <a:bgClr>
            <a:schemeClr val="bg1"/>
          </a:bgClr>
        </a:patt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en-US" sz="1050" b="1" kern="1200"/>
            <a:t>Other chemical fuels storage</a:t>
          </a:r>
          <a:br>
            <a:rPr lang="en-US" sz="1050" b="1" kern="1200"/>
          </a:br>
          <a:r>
            <a:rPr lang="en-US" sz="1000" b="0" kern="1200"/>
            <a:t>369000</a:t>
          </a:r>
          <a:endParaRPr lang="en-US" sz="1050" b="0" kern="1200"/>
        </a:p>
      </dsp:txBody>
      <dsp:txXfrm>
        <a:off x="71458519" y="5499700"/>
        <a:ext cx="1087632" cy="543816"/>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png"/><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29796</xdr:colOff>
      <xdr:row>0</xdr:row>
      <xdr:rowOff>-1072667</xdr:rowOff>
    </xdr:from>
    <xdr:to>
      <xdr:col>111</xdr:col>
      <xdr:colOff>302784</xdr:colOff>
      <xdr:row>126</xdr:row>
      <xdr:rowOff>142268</xdr:rowOff>
    </xdr:to>
    <xdr:graphicFrame macro="">
      <xdr:nvGraphicFramePr>
        <xdr:cNvPr id="4" name="Diagram 3">
          <a:extLst>
            <a:ext uri="{FF2B5EF4-FFF2-40B4-BE49-F238E27FC236}">
              <a16:creationId xmlns:a16="http://schemas.microsoft.com/office/drawing/2014/main" id="{66E46512-D0EB-4F98-89C5-37AA56E750A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109</xdr:col>
      <xdr:colOff>213103</xdr:colOff>
      <xdr:row>1</xdr:row>
      <xdr:rowOff>0</xdr:rowOff>
    </xdr:from>
    <xdr:to>
      <xdr:col>111</xdr:col>
      <xdr:colOff>464277</xdr:colOff>
      <xdr:row>3</xdr:row>
      <xdr:rowOff>18597</xdr:rowOff>
    </xdr:to>
    <xdr:pic>
      <xdr:nvPicPr>
        <xdr:cNvPr id="2" name="Picture 1">
          <a:extLst>
            <a:ext uri="{FF2B5EF4-FFF2-40B4-BE49-F238E27FC236}">
              <a16:creationId xmlns:a16="http://schemas.microsoft.com/office/drawing/2014/main" id="{8D3B39E4-89D3-49F8-A89B-0012D0B252EA}"/>
            </a:ext>
          </a:extLst>
        </xdr:cNvPr>
        <xdr:cNvPicPr>
          <a:picLocks noChangeAspect="1"/>
        </xdr:cNvPicPr>
      </xdr:nvPicPr>
      <xdr:blipFill>
        <a:blip xmlns:r="http://schemas.openxmlformats.org/officeDocument/2006/relationships" r:embed="rId6"/>
        <a:stretch>
          <a:fillRect/>
        </a:stretch>
      </xdr:blipFill>
      <xdr:spPr>
        <a:xfrm>
          <a:off x="71717278" y="57150"/>
          <a:ext cx="1556099" cy="380547"/>
        </a:xfrm>
        <a:prstGeom prst="rect">
          <a:avLst/>
        </a:prstGeom>
      </xdr:spPr>
    </xdr:pic>
    <xdr:clientData/>
  </xdr:twoCellAnchor>
  <xdr:twoCellAnchor>
    <xdr:from>
      <xdr:col>0</xdr:col>
      <xdr:colOff>0</xdr:colOff>
      <xdr:row>0</xdr:row>
      <xdr:rowOff>55417</xdr:rowOff>
    </xdr:from>
    <xdr:to>
      <xdr:col>4</xdr:col>
      <xdr:colOff>290945</xdr:colOff>
      <xdr:row>3</xdr:row>
      <xdr:rowOff>34636</xdr:rowOff>
    </xdr:to>
    <xdr:sp macro="" textlink="">
      <xdr:nvSpPr>
        <xdr:cNvPr id="3" name="TextBox 8">
          <a:extLst>
            <a:ext uri="{FF2B5EF4-FFF2-40B4-BE49-F238E27FC236}">
              <a16:creationId xmlns:a16="http://schemas.microsoft.com/office/drawing/2014/main" id="{1C586E2F-7B7B-4993-8265-5A6E570CB546}"/>
            </a:ext>
          </a:extLst>
        </xdr:cNvPr>
        <xdr:cNvSpPr txBox="1"/>
      </xdr:nvSpPr>
      <xdr:spPr>
        <a:xfrm>
          <a:off x="0" y="55417"/>
          <a:ext cx="2923309" cy="394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chemeClr val="bg1"/>
              </a:solidFill>
            </a:rPr>
            <a:t>IRENA Energy Taxonomy</a:t>
          </a:r>
        </a:p>
      </xdr:txBody>
    </xdr:sp>
    <xdr:clientData/>
  </xdr:twoCellAnchor>
  <xdr:twoCellAnchor>
    <xdr:from>
      <xdr:col>0</xdr:col>
      <xdr:colOff>238791</xdr:colOff>
      <xdr:row>7</xdr:row>
      <xdr:rowOff>49699</xdr:rowOff>
    </xdr:from>
    <xdr:to>
      <xdr:col>1</xdr:col>
      <xdr:colOff>475929</xdr:colOff>
      <xdr:row>10</xdr:row>
      <xdr:rowOff>781</xdr:rowOff>
    </xdr:to>
    <xdr:sp macro="" textlink="">
      <xdr:nvSpPr>
        <xdr:cNvPr id="9" name="Rectangle 8">
          <a:extLst>
            <a:ext uri="{FF2B5EF4-FFF2-40B4-BE49-F238E27FC236}">
              <a16:creationId xmlns:a16="http://schemas.microsoft.com/office/drawing/2014/main" id="{AD657624-BC69-40BE-98FC-E46542302731}"/>
            </a:ext>
          </a:extLst>
        </xdr:cNvPr>
        <xdr:cNvSpPr/>
      </xdr:nvSpPr>
      <xdr:spPr>
        <a:xfrm>
          <a:off x="238791" y="1192699"/>
          <a:ext cx="884838" cy="494007"/>
        </a:xfrm>
        <a:prstGeom prst="rect">
          <a:avLst/>
        </a:prstGeom>
        <a:pattFill prst="wdDnDiag">
          <a:fgClr>
            <a:schemeClr val="bg1">
              <a:lumMod val="85000"/>
            </a:schemeClr>
          </a:fgClr>
          <a:bgClr>
            <a:schemeClr val="bg1"/>
          </a:bgClr>
        </a:patt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Secondary</a:t>
          </a:r>
        </a:p>
      </xdr:txBody>
    </xdr:sp>
    <xdr:clientData/>
  </xdr:twoCellAnchor>
  <xdr:twoCellAnchor>
    <xdr:from>
      <xdr:col>0</xdr:col>
      <xdr:colOff>238791</xdr:colOff>
      <xdr:row>4</xdr:row>
      <xdr:rowOff>50642</xdr:rowOff>
    </xdr:from>
    <xdr:to>
      <xdr:col>1</xdr:col>
      <xdr:colOff>464814</xdr:colOff>
      <xdr:row>6</xdr:row>
      <xdr:rowOff>165306</xdr:rowOff>
    </xdr:to>
    <xdr:sp macro="" textlink="">
      <xdr:nvSpPr>
        <xdr:cNvPr id="11" name="Rectangle 10">
          <a:extLst>
            <a:ext uri="{FF2B5EF4-FFF2-40B4-BE49-F238E27FC236}">
              <a16:creationId xmlns:a16="http://schemas.microsoft.com/office/drawing/2014/main" id="{5E9E5427-D46A-42BD-92D8-75F811503319}"/>
            </a:ext>
          </a:extLst>
        </xdr:cNvPr>
        <xdr:cNvSpPr/>
      </xdr:nvSpPr>
      <xdr:spPr>
        <a:xfrm>
          <a:off x="238791" y="650717"/>
          <a:ext cx="873723" cy="476614"/>
        </a:xfrm>
        <a:prstGeom prst="rect">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Primary</a:t>
          </a:r>
        </a:p>
      </xdr:txBody>
    </xdr:sp>
    <xdr:clientData/>
  </xdr:twoCellAnchor>
  <xdr:twoCellAnchor>
    <xdr:from>
      <xdr:col>1</xdr:col>
      <xdr:colOff>643234</xdr:colOff>
      <xdr:row>3</xdr:row>
      <xdr:rowOff>153696</xdr:rowOff>
    </xdr:from>
    <xdr:to>
      <xdr:col>6</xdr:col>
      <xdr:colOff>488085</xdr:colOff>
      <xdr:row>14</xdr:row>
      <xdr:rowOff>154765</xdr:rowOff>
    </xdr:to>
    <xdr:sp macro="" textlink="">
      <xdr:nvSpPr>
        <xdr:cNvPr id="12" name="Rectangle 11">
          <a:extLst>
            <a:ext uri="{FF2B5EF4-FFF2-40B4-BE49-F238E27FC236}">
              <a16:creationId xmlns:a16="http://schemas.microsoft.com/office/drawing/2014/main" id="{F2486403-8D90-459E-A097-C6F1155206D0}"/>
            </a:ext>
          </a:extLst>
        </xdr:cNvPr>
        <xdr:cNvSpPr/>
      </xdr:nvSpPr>
      <xdr:spPr>
        <a:xfrm>
          <a:off x="1293175" y="568314"/>
          <a:ext cx="3094557" cy="197330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Updated: Nov </a:t>
          </a:r>
          <a:r>
            <a:rPr lang="en-US" sz="1100" baseline="0">
              <a:solidFill>
                <a:sysClr val="windowText" lastClr="000000"/>
              </a:solidFill>
            </a:rPr>
            <a:t>2023</a:t>
          </a:r>
        </a:p>
        <a:p>
          <a:pPr algn="l"/>
          <a:endParaRPr lang="en-US" sz="1100" baseline="0">
            <a:solidFill>
              <a:sysClr val="windowText" lastClr="000000"/>
            </a:solidFill>
          </a:endParaRPr>
        </a:p>
        <a:p>
          <a:pPr algn="l"/>
          <a:r>
            <a:rPr lang="en-US" sz="1100" baseline="0">
              <a:solidFill>
                <a:sysClr val="windowText" lastClr="000000"/>
              </a:solidFill>
            </a:rPr>
            <a:t>For electricity generation, all these technologies could be installed on-grid or off-grid.</a:t>
          </a:r>
        </a:p>
        <a:p>
          <a:pPr algn="l"/>
          <a:endParaRPr lang="en-US" sz="1100" baseline="0">
            <a:solidFill>
              <a:sysClr val="windowText" lastClr="000000"/>
            </a:solidFill>
          </a:endParaRPr>
        </a:p>
        <a:p>
          <a:pPr algn="l"/>
          <a:r>
            <a:rPr lang="en-US" sz="1100" baseline="0">
              <a:solidFill>
                <a:sysClr val="windowText" lastClr="000000"/>
              </a:solidFill>
            </a:rPr>
            <a:t>Where possible, electricity and heat are considered as their own energy carrier but can be attributed to the technologies here.</a:t>
          </a:r>
        </a:p>
        <a:p>
          <a:pPr algn="l"/>
          <a:endParaRPr lang="en-US" sz="1100" baseline="0">
            <a:solidFill>
              <a:sysClr val="windowText" lastClr="000000"/>
            </a:solidFill>
          </a:endParaRPr>
        </a:p>
        <a:p>
          <a:pPr algn="l"/>
          <a:r>
            <a:rPr lang="en-US" sz="1100" baseline="0">
              <a:solidFill>
                <a:sysClr val="windowText" lastClr="000000"/>
              </a:solidFill>
            </a:rPr>
            <a:t>*Relevant when used as energy carriers</a:t>
          </a:r>
          <a:endParaRPr lang="en-US" sz="1100">
            <a:solidFill>
              <a:sysClr val="windowText" lastClr="000000"/>
            </a:solidFill>
          </a:endParaRPr>
        </a:p>
      </xdr:txBody>
    </xdr:sp>
    <xdr:clientData/>
  </xdr:twoCellAnchor>
  <xdr:twoCellAnchor>
    <xdr:from>
      <xdr:col>102</xdr:col>
      <xdr:colOff>313416</xdr:colOff>
      <xdr:row>16</xdr:row>
      <xdr:rowOff>134409</xdr:rowOff>
    </xdr:from>
    <xdr:to>
      <xdr:col>105</xdr:col>
      <xdr:colOff>563787</xdr:colOff>
      <xdr:row>19</xdr:row>
      <xdr:rowOff>47020</xdr:rowOff>
    </xdr:to>
    <xdr:sp macro="" textlink="">
      <xdr:nvSpPr>
        <xdr:cNvPr id="5" name="TextBox 4">
          <a:extLst>
            <a:ext uri="{FF2B5EF4-FFF2-40B4-BE49-F238E27FC236}">
              <a16:creationId xmlns:a16="http://schemas.microsoft.com/office/drawing/2014/main" id="{A129749B-35A9-5123-3EA0-51250C8359BD}"/>
            </a:ext>
          </a:extLst>
        </xdr:cNvPr>
        <xdr:cNvSpPr txBox="1"/>
      </xdr:nvSpPr>
      <xdr:spPr>
        <a:xfrm>
          <a:off x="66554500" y="2886075"/>
          <a:ext cx="2187121" cy="452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i="1"/>
            <a:t>Storage can be traced back</a:t>
          </a:r>
          <a:r>
            <a:rPr lang="en-GB" sz="1000" i="1" baseline="0"/>
            <a:t> to specific renewable or non-renewable sources.</a:t>
          </a:r>
          <a:endParaRPr lang="en-GB" sz="1000" i="1"/>
        </a:p>
      </xdr:txBody>
    </xdr:sp>
    <xdr:clientData/>
  </xdr:twoCellAnchor>
  <xdr:twoCellAnchor>
    <xdr:from>
      <xdr:col>0</xdr:col>
      <xdr:colOff>238791</xdr:colOff>
      <xdr:row>10</xdr:row>
      <xdr:rowOff>80798</xdr:rowOff>
    </xdr:from>
    <xdr:to>
      <xdr:col>1</xdr:col>
      <xdr:colOff>475929</xdr:colOff>
      <xdr:row>13</xdr:row>
      <xdr:rowOff>31881</xdr:rowOff>
    </xdr:to>
    <xdr:sp macro="" textlink="">
      <xdr:nvSpPr>
        <xdr:cNvPr id="6" name="Rectangle 5">
          <a:extLst>
            <a:ext uri="{FF2B5EF4-FFF2-40B4-BE49-F238E27FC236}">
              <a16:creationId xmlns:a16="http://schemas.microsoft.com/office/drawing/2014/main" id="{78277236-6E76-488D-949A-DA8CFF4ADC54}"/>
            </a:ext>
          </a:extLst>
        </xdr:cNvPr>
        <xdr:cNvSpPr/>
      </xdr:nvSpPr>
      <xdr:spPr>
        <a:xfrm>
          <a:off x="238791" y="1814737"/>
          <a:ext cx="874729" cy="510920"/>
        </a:xfrm>
        <a:prstGeom prst="rect">
          <a:avLst/>
        </a:prstGeom>
        <a:pattFill prst="ltHorz">
          <a:fgClr>
            <a:schemeClr val="bg1">
              <a:lumMod val="85000"/>
            </a:schemeClr>
          </a:fgClr>
          <a:bgClr>
            <a:schemeClr val="bg1"/>
          </a:bgClr>
        </a:patt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Primary or secondary</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untry%20sources/EUROPE/United%20Kingdom/UK%2020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upply and consumption 2012"/>
      <sheetName val="Supply and consumption 2013"/>
      <sheetName val="Electricity generation"/>
      <sheetName val="Heat production"/>
      <sheetName val="Capacity"/>
      <sheetName val="Small-scale systems "/>
      <sheetName val="Electricity prices"/>
      <sheetName val="Definitions"/>
      <sheetName val="Reporting instructions"/>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Gerardo Alonso" id="{4DD8B64F-EBF5-4CE8-912A-F96B724B92D2}" userId="a78be932dc34cd99" providerId="Windows Live"/>
  <person displayName="Gerardo Escamilla" id="{34F8EAA4-A3AD-4774-8A49-DDC2F2C8BF5B}" userId="Gerardo Escamilla" providerId="None"/>
  <person displayName="Dennis Akande" id="{610CABF8-8E66-472A-93FD-8C2C7F797EC2}" userId="S::DAkande@irena.org::cbaf2dda-1de6-4531-88db-19bec6ddae5f" providerId="AD"/>
  <person displayName="Gerardo Escamilla" id="{FE06A136-A4EF-48F8-9956-7429FFF40594}" userId="S::GEscamilla@irena.org::899ae2ac-aa65-424b-84a3-d703cb23f4c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FED4DAC-A26A-4D30-B5F9-1E0EC6569245}" name="Products" displayName="Products" ref="B3:AI298" totalsRowShown="0">
  <autoFilter ref="B3:AI298" xr:uid="{0FED4DAC-A26A-4D30-B5F9-1E0EC6569245}"/>
  <sortState xmlns:xlrd2="http://schemas.microsoft.com/office/spreadsheetml/2017/richdata2" ref="B4:AI290">
    <sortCondition ref="B3:B290"/>
  </sortState>
  <tableColumns count="34">
    <tableColumn id="1" xr3:uid="{8C99850F-4F00-4B0E-B9D3-5384F6BC9D08}" name="ProdCode" dataDxfId="114"/>
    <tableColumn id="2" xr3:uid="{ED91FD18-C2C6-4F27-8C6D-3C534D13B78D}" name="Product"/>
    <tableColumn id="3" xr3:uid="{97B17265-BF36-4B28-A306-9CE2F8059929}" name="Parent" dataDxfId="113"/>
    <tableColumn id="20" xr3:uid="{6B61F016-FA88-4F2F-834A-60B183C7F28A}" name="Energy type" dataDxfId="112"/>
    <tableColumn id="22" xr3:uid="{5B760CB7-3110-4473-8903-3140ADA6B8BC}" name="Source type" dataDxfId="111"/>
    <tableColumn id="21" xr3:uid="{D5AD8D81-D9BA-4BC7-AF30-7914B56451D4}" name="Level" dataDxfId="110"/>
    <tableColumn id="23" xr3:uid="{B3125238-D8B4-41A4-9AAF-9350E2EC7AD8}" name="Data entry" dataDxfId="109"/>
    <tableColumn id="27" xr3:uid="{F809C1EE-0A9E-4E8E-910D-927E02FF8174}" name="DNI UNSD product" dataDxfId="108"/>
    <tableColumn id="28" xr3:uid="{13149D0E-67FB-4FBF-8D19-168085446F0A}" name="DNI UNSD Production" dataDxfId="107"/>
    <tableColumn id="25" xr3:uid="{D96B9C05-CDC2-48D5-96B2-D6F56D1CED35}" name="TextCode" dataDxfId="106"/>
    <tableColumn id="34" xr3:uid="{79109044-1E22-46DD-91C3-6DA48F6166BA}" name="UNSD EnergyCode" dataDxfId="45"/>
    <tableColumn id="26" xr3:uid="{002726D3-5F16-41AE-AE99-EE609A812961}" name="UNSD NCV (TJ/kt)" dataDxfId="105"/>
    <tableColumn id="29" xr3:uid="{9248B11F-8FCC-4EA8-B27F-400A32BA4A1F}" name="Carbon content wet (%wt)" dataDxfId="104" dataCellStyle="Per cent"/>
    <tableColumn id="30" xr3:uid="{4E43D1D8-5BEC-432B-BDC8-746526182EC2}" name="Carbon content dry (%wt)" dataDxfId="103" dataCellStyle="Per cent"/>
    <tableColumn id="24" xr3:uid="{58418F21-80BE-49DA-9A74-470F95E1F44F}" name="Same molecule" dataDxfId="102"/>
    <tableColumn id="31" xr3:uid="{0F046119-5E71-4457-BBC9-32B6EF2145B4}" name="UNSD category" dataDxfId="101"/>
    <tableColumn id="32" xr3:uid="{99ECB46F-6A13-4D47-8F5F-B268028DE8F0}" name="UNSD production recoding" dataDxfId="100"/>
    <tableColumn id="33" xr3:uid="{053601D3-9F2A-45E1-B230-18C45EEAE66E}" name="UNSD receipts recoding" dataDxfId="99"/>
    <tableColumn id="4" xr3:uid="{D177041E-39EC-4320-9010-50014FDDCD67}" name="L1N" dataDxfId="98">
      <calculatedColumnFormula array="1">IFERROR(INDEX(Products[[ProdCode]:[Product]],_xlfn.XMATCH(Products[[#This Row],[Parent]],Products[Product],0),2),Products[[#This Row],[Product]])</calculatedColumnFormula>
    </tableColumn>
    <tableColumn id="5" xr3:uid="{9D054550-E448-422A-8152-F805ABB971F0}" name="L2N" dataDxfId="97">
      <calculatedColumnFormula array="1">IFERROR(INDEX(Products[[ProdCode]:[Product]],_xlfn.XMATCH(INDEX(Products[[Product]:[Parent]],_xlfn.XMATCH(Products[[#This Row],[L1N]],Products[Product],0),2),Products[ProdCode],0),2),Products[[#This Row],[L1N]])</calculatedColumnFormula>
    </tableColumn>
    <tableColumn id="6" xr3:uid="{6FBC813D-BAEB-4243-85A3-472D4C9BA8C6}" name="L3N" dataDxfId="96">
      <calculatedColumnFormula array="1">IFERROR(INDEX(Products[[ProdCode]:[Product]],_xlfn.XMATCH(INDEX(Products[[Product]:[Parent]],_xlfn.XMATCH(Products[[#This Row],[L2N]],Products[Product],0),2),Products[ProdCode],0),2),Products[[#This Row],[L2N]])</calculatedColumnFormula>
    </tableColumn>
    <tableColumn id="7" xr3:uid="{840DEA0C-5DB1-4549-97F9-32AFDE17D69C}" name="L4N" dataDxfId="95">
      <calculatedColumnFormula array="1">IFERROR(INDEX(Products[[ProdCode]:[Product]],_xlfn.XMATCH(INDEX(Products[[Product]:[Parent]],_xlfn.XMATCH(Products[[#This Row],[L3N]],Products[Product],0),2),Products[ProdCode],0),2),Products[[#This Row],[L3N]])</calculatedColumnFormula>
    </tableColumn>
    <tableColumn id="8" xr3:uid="{80373869-785E-4167-B0A1-E116A99DCC8A}" name="L5N" dataDxfId="94">
      <calculatedColumnFormula array="1">IFERROR(INDEX(Products[[ProdCode]:[Product]],_xlfn.XMATCH(INDEX(Products[[Product]:[Parent]],_xlfn.XMATCH(Products[[#This Row],[L4N]],Products[Product],0),2),Products[ProdCode],0),2),Products[[#This Row],[L4N]])</calculatedColumnFormula>
    </tableColumn>
    <tableColumn id="9" xr3:uid="{CF165BB8-3C2A-43B4-8CF5-BE80F9787DCE}" name="L6N" dataDxfId="93">
      <calculatedColumnFormula array="1">IFERROR(INDEX(Products[[ProdCode]:[Product]],_xlfn.XMATCH(INDEX(Products[[Product]:[Parent]],_xlfn.XMATCH(Products[[#This Row],[L5N]],Products[Product],0),2),Products[ProdCode],0),2),Products[[#This Row],[L5N]])</calculatedColumnFormula>
    </tableColumn>
    <tableColumn id="16" xr3:uid="{DF12795B-49E2-453C-B4AD-ACECE4112D04}" name="L7N" dataDxfId="92">
      <calculatedColumnFormula array="1">IFERROR(INDEX(Products[[ProdCode]:[Product]],_xlfn.XMATCH(INDEX(Products[[Product]:[Parent]],_xlfn.XMATCH(Products[[#This Row],[L6N]],Products[Product],0),2),Products[ProdCode],0),2),Products[[#This Row],[L6N]])</calculatedColumnFormula>
    </tableColumn>
    <tableColumn id="19" xr3:uid="{6FF77570-90E0-416C-8CCE-9523366167E7}" name="L8N" dataDxfId="91">
      <calculatedColumnFormula array="1">IFERROR(INDEX(Products[[ProdCode]:[Product]],_xlfn.XMATCH(INDEX(Products[[Product]:[Parent]],_xlfn.XMATCH(Products[[#This Row],[L7N]],Products[Product],0),2),Products[ProdCode],0),2),Products[[#This Row],[L7N]])</calculatedColumnFormula>
    </tableColumn>
    <tableColumn id="10" xr3:uid="{BF7CB122-7B81-4B4C-819B-FF0B963F6B9A}" name="Level 0" dataDxfId="90">
      <calculatedColumnFormula>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calculatedColumnFormula>
    </tableColumn>
    <tableColumn id="11" xr3:uid="{7C9AE1B1-6E28-4D29-BC25-807A6D2F4310}" name="Level 1" dataDxfId="89">
      <calculatedColumnFormula>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calculatedColumnFormula>
    </tableColumn>
    <tableColumn id="12" xr3:uid="{28757595-D8F2-4151-91EA-20DC6B49695D}" name="Level 2" dataDxfId="88">
      <calculatedColumnFormula>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calculatedColumnFormula>
    </tableColumn>
    <tableColumn id="13" xr3:uid="{5420B7FB-5A43-4BBC-A66E-EF4EF39B5E1B}" name="Level 3" dataDxfId="87">
      <calculatedColumnFormula>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calculatedColumnFormula>
    </tableColumn>
    <tableColumn id="14" xr3:uid="{4F6A1A08-DF4C-487F-B3DA-500DBE130443}" name="Level 4" dataDxfId="86">
      <calculatedColumnFormula>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calculatedColumnFormula>
    </tableColumn>
    <tableColumn id="15" xr3:uid="{67D1D231-5B39-41DB-9B76-E8C4A5B621F5}" name="Level 5" dataDxfId="85">
      <calculatedColumnFormula>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calculatedColumnFormula>
    </tableColumn>
    <tableColumn id="17" xr3:uid="{6624E416-3CBB-4879-A9C2-D64CB6B3079E}" name="Level 6" dataDxfId="84">
      <calculatedColumnFormula>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calculatedColumnFormula>
    </tableColumn>
    <tableColumn id="18" xr3:uid="{B1B4CCF6-AEAF-41DF-976B-D14F42D4218C}" name="Level 7" dataDxfId="83">
      <calculatedColumnFormula>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960692-E593-4C8A-AF7F-0FBD9074EB6B}" name="PlantCodes" displayName="PlantCodes" ref="BC3:BH13" totalsRowShown="0">
  <autoFilter ref="BC3:BH13" xr:uid="{A58FBB81-B920-49FF-9DE4-7E32E0F54277}"/>
  <tableColumns count="6">
    <tableColumn id="2" xr3:uid="{B469ED84-339C-49A5-AFE4-8663FB116191}" name="code"/>
    <tableColumn id="5" xr3:uid="{18502745-73FA-4CEC-9046-32ADDEBBEF3C}" name="PType"/>
    <tableColumn id="9" xr3:uid="{B57CCE08-D3F9-4658-87EE-D21ABA90D6D0}" name="Level N"/>
    <tableColumn id="6" xr3:uid="{5AD042B9-21AC-488A-B0B3-2D8189283907}" name="L1N"/>
    <tableColumn id="7" xr3:uid="{95779F30-33A2-417A-951B-706BD5FEB8E2}" name="L2N"/>
    <tableColumn id="8" xr3:uid="{B10F2FB2-5A17-4F54-9118-DF44492B9260}" name="L3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91DA2B-85F9-4A01-9792-308592F1524E}" name="TargetTypes" displayName="TargetTypes" ref="AZ3:BA7" totalsRowShown="0">
  <autoFilter ref="AZ3:BA7" xr:uid="{3125C0A1-E83A-4B8B-B1C7-CDFBA1231E7E}"/>
  <tableColumns count="2">
    <tableColumn id="1" xr3:uid="{8650996C-6271-4278-ACE7-719C5238F113}" name="Target type"/>
    <tableColumn id="2" xr3:uid="{3D9FB3FF-7452-4727-8731-55CC436C2032}" name="Priority"/>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449F02-3F6B-4F19-8290-92DC957EF7AB}" name="TechCodes" displayName="TechCodes" ref="C3:AA104" totalsRowShown="0">
  <autoFilter ref="C3:AA104" xr:uid="{401FBC81-33CF-4117-A558-B7D93026AC96}"/>
  <tableColumns count="25">
    <tableColumn id="2" xr3:uid="{81DD5BCA-B1D4-41FE-96F7-31867E4B7291}" name="IRENA code"/>
    <tableColumn id="17" xr3:uid="{269B2794-8CE4-42F8-A4F0-B43B2B67F26B}" name="Technology" dataDxfId="82"/>
    <tableColumn id="23" xr3:uid="{FC8A1F1E-0A6C-42C6-A1BE-B80500B5CAE0}" name="TechES"/>
    <tableColumn id="22" xr3:uid="{FBB319D2-BE83-45F9-97F2-A26C954C8144}" name="TechFR"/>
    <tableColumn id="1" xr3:uid="{7814C708-50E3-4241-B60F-7A7946A8A1BD}" name="Parent" dataDxfId="81"/>
    <tableColumn id="10" xr3:uid="{AED3BE6C-502D-4651-99B2-D91D981E0EF6}" name="Data entry" dataDxfId="80"/>
    <tableColumn id="16" xr3:uid="{4D10E192-C86D-441B-8C39-2067E8B81CD6}" name="Stats Tool Filter" dataDxfId="79"/>
    <tableColumn id="20" xr3:uid="{B8C6A934-04DC-4E39-A7E7-43A9EE1FC0B1}" name="RE Parts" dataDxfId="78"/>
    <tableColumn id="19" xr3:uid="{8865079D-1435-4943-851A-8F4363F92A59}" name="Include" dataDxfId="77"/>
    <tableColumn id="3" xr3:uid="{9E45C5CF-2C40-42E0-90D3-244F1CEB5876}" name="Special Grouping" dataDxfId="76"/>
    <tableColumn id="21" xr3:uid="{75C0CE24-0F2B-4B58-84EF-69F72579A25A}" name="Standard Reference" dataDxfId="75"/>
    <tableColumn id="24" xr3:uid="{F75A7DD9-84E7-497C-92E4-B2432EEC165B}" name="SDG Groups"/>
    <tableColumn id="8" xr3:uid="{A6AE8B47-5371-48CB-83CB-126D45836165}" name="L1N" dataDxfId="74">
      <calculatedColumnFormula>IFERROR(INDEX(TechCodes[[IRENA code]:[Technology]],MATCH(TechCodes[[#This Row],[Parent]],TechCodes[IRENA code],0),2),TechCodes[[#This Row],[Technology]])</calculatedColumnFormula>
    </tableColumn>
    <tableColumn id="11" xr3:uid="{FA44F8C9-8FED-45E3-A284-AD21CBC17558}" name="L2N" dataDxfId="73">
      <calculatedColumnFormula>IFERROR(INDEX(TechCodes[[IRENA code]:[Technology]],MATCH(INDEX(TechCodes[[Technology]:[Parent]],MATCH(TechCodes[[#This Row],[L1N]],TechCodes[Technology],0),4),TechCodes[IRENA code],0),2),TechCodes[[#This Row],[L1N]])</calculatedColumnFormula>
    </tableColumn>
    <tableColumn id="12" xr3:uid="{EF9A0E23-D763-48CB-81B2-7145D959B99D}" name="L3N" dataDxfId="72">
      <calculatedColumnFormula>IFERROR(INDEX(TechCodes[[IRENA code]:[Technology]],MATCH(INDEX(TechCodes[[Technology]:[Parent]],MATCH(TechCodes[[#This Row],[L2N]],TechCodes[Technology],0),4),TechCodes[IRENA code],0),2),TechCodes[[#This Row],[L2N]])</calculatedColumnFormula>
    </tableColumn>
    <tableColumn id="13" xr3:uid="{0604A56A-758D-4F5B-880A-7B16F1B3C119}" name="L4N" dataDxfId="71">
      <calculatedColumnFormula>IFERROR(INDEX(TechCodes[[IRENA code]:[Technology]],MATCH(INDEX(TechCodes[[Technology]:[Parent]],MATCH(TechCodes[[#This Row],[L3N]],TechCodes[Technology],0),4),TechCodes[IRENA code],0),2),TechCodes[[#This Row],[L3N]])</calculatedColumnFormula>
    </tableColumn>
    <tableColumn id="14" xr3:uid="{05F3746B-5DA3-411D-B52E-F2EBEB65E750}" name="L5N" dataDxfId="70">
      <calculatedColumnFormula>IFERROR(INDEX(TechCodes[[IRENA code]:[Technology]],MATCH(INDEX(TechCodes[[Technology]:[Parent]],MATCH(TechCodes[[#This Row],[L4N]],TechCodes[Technology],0),4),TechCodes[IRENA code],0),2),TechCodes[[#This Row],[L4N]])</calculatedColumnFormula>
    </tableColumn>
    <tableColumn id="15" xr3:uid="{E0D84371-ECEC-4770-ACFD-4FCD1FF4F901}" name="L6N" dataDxfId="69">
      <calculatedColumnFormula>IFERROR(INDEX(TechCodes[[IRENA code]:[Technology]],MATCH(INDEX(TechCodes[[Technology]:[Parent]],MATCH(TechCodes[[#This Row],[L5N]],TechCodes[Technology],0),4),TechCodes[IRENA code],0),2),TechCodes[[#This Row],[L5N]])</calculatedColumnFormula>
    </tableColumn>
    <tableColumn id="4" xr3:uid="{1853566C-AFDB-45D4-B079-72CF724C25DC}" name="Level 0" dataDxfId="68">
      <calculatedColumnFormula>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calculatedColumnFormula>
    </tableColumn>
    <tableColumn id="5" xr3:uid="{65584BEC-EEE7-400D-88F3-876A685EDE64}" name="Level 1" dataDxfId="67">
      <calculatedColumnFormula>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calculatedColumnFormula>
    </tableColumn>
    <tableColumn id="6" xr3:uid="{EE46369E-D600-43B5-9B3C-DC70EF086FD3}" name="Level 2" dataDxfId="66">
      <calculatedColumnFormula>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calculatedColumnFormula>
    </tableColumn>
    <tableColumn id="7" xr3:uid="{724A37A2-7135-48F6-AFA1-40C2C4BF64FA}" name="Level 3" dataDxfId="65">
      <calculatedColumnFormula>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calculatedColumnFormula>
    </tableColumn>
    <tableColumn id="9" xr3:uid="{C32A1A08-E440-4CF7-80C9-138642A7D7E8}" name="Level 4" dataDxfId="64">
      <calculatedColumnFormula>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calculatedColumnFormula>
    </tableColumn>
    <tableColumn id="18" xr3:uid="{A3490746-1882-4817-8422-2F1E0A4DCE8A}" name="Level 5" dataDxfId="63">
      <calculatedColumnFormula>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calculatedColumnFormula>
    </tableColumn>
    <tableColumn id="27" xr3:uid="{AF7CCAB9-EBD1-41E1-B116-E4A0A909D17B}" name="SIEC" dataDxfId="62">
      <calculatedColumnFormula>VLOOKUP(TechCodes[[#This Row],[IRENA code]],SIEC[],6,0)</calculatedColumnFormula>
    </tableColumn>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1A0680-2D9C-47B6-BB48-11C6F33C2EEB}" name="Table8" displayName="Table8" ref="AO3:AV150" totalsRowShown="0">
  <autoFilter ref="AO3:AV150" xr:uid="{BAA673C8-DB76-4FE6-848B-01615575AA70}"/>
  <tableColumns count="8">
    <tableColumn id="1" xr3:uid="{969A91C7-0656-4945-BA34-28C0641E7A8A}" name="Section"/>
    <tableColumn id="2" xr3:uid="{F1A0D4DC-AF7F-4BB7-9D0D-0D26982E1AD1}" name="Division"/>
    <tableColumn id="3" xr3:uid="{4378A120-5642-4024-BD3A-AD5522321731}" name="Group"/>
    <tableColumn id="4" xr3:uid="{680E0C9B-DDA5-4BE7-A326-D9CFA1F6274D}" name="Class"/>
    <tableColumn id="5" xr3:uid="{CBE890CA-D1BF-48E8-95D7-ECE98B5CB6F0}" name="ID" dataDxfId="61"/>
    <tableColumn id="6" xr3:uid="{FB5069A6-555F-42A1-A53F-6275FB3C3C7D}" name="Parent" dataDxfId="60"/>
    <tableColumn id="7" xr3:uid="{A19A6F96-E3FF-42CC-899A-0D5343800C0A}" name="Data entry"/>
    <tableColumn id="8" xr3:uid="{8665D145-4A75-4C23-BC34-1B2B4B57F465}" name="Column1"/>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E6D9D-3CA6-4C2F-B93F-8D90EC01620E}" name="EnergyCodes" displayName="EnergyCodes" ref="BJ3:BT70" totalsRowShown="0">
  <autoFilter ref="BJ3:BT70" xr:uid="{2B9EEDAD-EB50-468D-B3CA-5C5058D0DB02}"/>
  <sortState xmlns:xlrd2="http://schemas.microsoft.com/office/spreadsheetml/2017/richdata2" ref="BJ4:BR70">
    <sortCondition ref="BK3:BK70"/>
  </sortState>
  <tableColumns count="11">
    <tableColumn id="1" xr3:uid="{087CAED6-6DAF-464B-A35E-D4A7110FDD1E}" name="IRENA code"/>
    <tableColumn id="3" xr3:uid="{CCA76E19-0955-4680-AC72-E58DF4D12C4A}" name="Type"/>
    <tableColumn id="9" xr3:uid="{04D56D5D-EC18-4227-B329-D5B6D1E6EE24}" name="L4"/>
    <tableColumn id="8" xr3:uid="{1EF6D138-18A8-4267-BEEF-06078F6B2FA6}" name="L3" dataDxfId="59"/>
    <tableColumn id="7" xr3:uid="{37EABFF8-936B-4F82-9933-F0F92E156B57}" name="L2" dataDxfId="58"/>
    <tableColumn id="6" xr3:uid="{7C84E367-2F33-4627-B527-5F24910A5D98}" name="FlowID" dataDxfId="57"/>
    <tableColumn id="2" xr3:uid="{259409CD-4C4B-4FBA-A883-B180CECE74BF}" name="CommBal Name"/>
    <tableColumn id="10" xr3:uid="{9259034C-962F-4A4D-B243-C51FA65DC23A}" name="EnerBal Name" dataDxfId="56"/>
    <tableColumn id="4" xr3:uid="{9ED794B1-B11E-43AA-B398-047BE511788A}" name="Parent"/>
    <tableColumn id="11" xr3:uid="{92B30226-1438-4690-B330-5B5F7B32A214}" name="Detail"/>
    <tableColumn id="12" xr3:uid="{3921B8CD-98C2-4D2F-83DE-5DE75E913FCC}" name="Status"/>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44C31F-2B9B-4FF8-A7FF-97679CB0E59E}" name="SIEC" displayName="SIEC" ref="AD3:AM98" totalsRowShown="0">
  <autoFilter ref="AD3:AM98" xr:uid="{0C2D7B17-7BE6-45D5-96C5-2BFCA1D3305E}"/>
  <tableColumns count="10">
    <tableColumn id="1" xr3:uid="{FC1F9714-D12C-488B-89F5-67E5BC50D73A}" name="Section" dataDxfId="55"/>
    <tableColumn id="2" xr3:uid="{E99377FA-7705-4BA9-A5CA-2D9FFC35FDC8}" name="Division" dataDxfId="54"/>
    <tableColumn id="3" xr3:uid="{B87A457E-7901-420E-A8CC-6256F1F7A2A2}" name="Group" dataDxfId="53"/>
    <tableColumn id="4" xr3:uid="{1FD821EC-603E-4BBF-B1E4-13E6599EE1FD}" name="Class" dataDxfId="52"/>
    <tableColumn id="11" xr3:uid="{6BE14305-DE50-4767-AEEE-5AC309E27272}" name="IRENA" dataDxfId="51"/>
    <tableColumn id="10" xr3:uid="{7C21E51F-FBA4-406A-B084-963B322E9AD8}" name="SIEC" dataDxfId="50"/>
    <tableColumn id="5" xr3:uid="{07913A7B-4416-4C52-A2D0-85FD4D24F1C1}" name="Title"/>
    <tableColumn id="9" xr3:uid="{35437911-2E5E-460C-8A48-BB0EFEF7850C}" name="Parent" dataDxfId="49"/>
    <tableColumn id="7" xr3:uid="{EE19787F-175E-4C7A-A2BD-BE5816C642D1}" name="CPC v2"/>
    <tableColumn id="8" xr3:uid="{1E8FF18F-40F0-4BCC-B8F1-C48BEAA66F4A}" name="HS 2007"/>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0BDFE7-7C44-4B98-BFBA-BE56643553CE}" name="TechCleanup" displayName="TechCleanup" ref="I2:K890" totalsRowShown="0">
  <autoFilter ref="I2:K890" xr:uid="{250748F2-53D6-4AE6-83D6-FD138F14A009}"/>
  <sortState xmlns:xlrd2="http://schemas.microsoft.com/office/spreadsheetml/2017/richdata2" ref="I3:K890">
    <sortCondition ref="I2:I890"/>
  </sortState>
  <tableColumns count="3">
    <tableColumn id="1" xr3:uid="{12F9ACF4-C2DC-488B-BF35-12214533664E}" name="Product Messy" dataDxfId="48"/>
    <tableColumn id="2" xr3:uid="{6269BD4F-E868-41EB-831B-5F6F3F28B12F}" name="ProdCode" dataDxfId="47"/>
    <tableColumn id="3" xr3:uid="{7572E291-B946-4BF0-8ABE-634FB479D4AE}" name="Product" dataDxfId="46">
      <calculatedColumnFormula>_xlfn.XLOOKUP(TechCleanup[[#This Row],[ProdCode]],Products[ProdCode],Products[Product],,0,)</calculatedColumnFormula>
    </tableColumn>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2C73FC-DE17-4E23-A243-608B0D8C302E}" name="FlowCleanup" displayName="FlowCleanup" ref="F2:G48" totalsRowShown="0">
  <autoFilter ref="F2:G48" xr:uid="{5E5BDC20-83F0-4C0E-8D98-E6C2051D244A}"/>
  <tableColumns count="2">
    <tableColumn id="2" xr3:uid="{21D88AA0-EBB9-43D2-93C0-2180B277CDF0}" name="Flow"/>
    <tableColumn id="5" xr3:uid="{331FD611-99BA-4911-BE2D-AD704524BCB5}" name="IRENA code"/>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0C63A9-0DD6-48CA-9F1D-8916114026F1}" name="PlantCleanup" displayName="PlantCleanup" ref="B2:C12" totalsRowShown="0">
  <autoFilter ref="B2:C12" xr:uid="{0FA27497-8BAE-4768-8559-DA67D82D850B}"/>
  <tableColumns count="2">
    <tableColumn id="1" xr3:uid="{979D5E7F-D6E4-4626-AD96-AB624B4DA936}" name="PType"/>
    <tableColumn id="2" xr3:uid="{8F6AF7AA-5422-4AA2-AE31-B95F81302C68}" name="code"/>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3" dT="2022-08-23T07:39:32.99" personId="{610CABF8-8E66-472A-93FD-8C2C7F797EC2}" id="{DB1BEADB-A8AB-4E0E-B2A3-73BEAE366FA7}">
    <text>1. Change name from "Heliostat field" to "Power tower". The latter is the standard name used even by big players in the solar industry.
2. There are 4 main types of CSP: power tower, linear fresnel reflector, parabolic trough and parabolic dish or dish/engine. Because of the cylindrical shape of the reflectors, parabolic trough is at times (quite uncommonly) referred to as cylindrical trough. Remove "Cylindrical trough".
3. Under direct use of solar thermal heat create sub-classifications called "Solar heating" and Solar cooling".
4. List the following technologies under solar heating:
a. Solar domestic hot water heater
b. Solar space heater
c. Solar district heater
d. Solar process heater
under solar cooling:
a. Absorption chiller
b. Adsorption chiller
c. Dessicant cooler
i.e. these will replace all technologies currently listed under tier 3 (2422x). However maintain "other solar heaters" to enable us capture missing or unclassfiable technologies.
5. Create another category at the second tier level (24xxx) called "Hybrid solar PV + Thermal" to cater for new development where hybrid solar PV and solar thermal are integrated into one panel system.</text>
  </threadedComment>
</ThreadedComments>
</file>

<file path=xl/threadedComments/threadedComment2.xml><?xml version="1.0" encoding="utf-8"?>
<ThreadedComments xmlns="http://schemas.microsoft.com/office/spreadsheetml/2018/threadedcomments" xmlns:x="http://schemas.openxmlformats.org/spreadsheetml/2006/main">
  <threadedComment ref="M3" dT="2025-06-04T10:16:28.88" personId="{34F8EAA4-A3AD-4774-8A49-DDC2F2C8BF5B}" id="{F889EDAF-4EC8-4885-B7EC-A36B11FBB215}">
    <text>UN Energy Statistics
MJ/kg, GJ/t, PJ/Mt</text>
  </threadedComment>
  <threadedComment ref="M159" dT="2025-11-03T17:52:10.11" personId="{34F8EAA4-A3AD-4774-8A49-DDC2F2C8BF5B}" id="{13AB488B-20FB-4B65-9198-6FCD367157D6}">
    <text>GJ/m3
and around 1.39t/m3
https://www.fao.org/4/q1085e/q1085e0c.htm</text>
    <extLst>
      <x:ext xmlns:xltc2="http://schemas.microsoft.com/office/spreadsheetml/2020/threadedcomments2" uri="{F7C98A9C-CBB3-438F-8F68-D28B6AF4A901}">
        <xltc2:checksum>1906324124</xltc2:checksum>
        <xltc2:hyperlink startIndex="26" length="41" url="https://www.fao.org/4/q1085e/q1085e0c.htm"/>
      </x:ext>
    </extLst>
  </threadedComment>
  <threadedComment ref="N159" dT="2025-11-05T14:41:50.73" personId="{34F8EAA4-A3AD-4774-8A49-DDC2F2C8BF5B}" id="{E2E434C0-DC9D-4FE0-98B2-2E77589B9E55}">
    <text>lamlom2003</text>
  </threadedComment>
  <threadedComment ref="C161" dT="2025-11-04T21:50:34.81" personId="{34F8EAA4-A3AD-4774-8A49-DDC2F2C8BF5B}" id="{B3D4763B-8CE0-4491-9BAB-05B4BDBFA974}">
    <text>Miscanthus (elephant grass), switchgrass, reeds</text>
  </threadedComment>
  <threadedComment ref="C162" dT="2025-11-04T21:50:41.09" personId="{34F8EAA4-A3AD-4774-8A49-DDC2F2C8BF5B}" id="{4FD24968-8DE7-4F45-AE5F-DB04FB908C56}">
    <text>Willows, poplars</text>
  </threadedComment>
  <threadedComment ref="C163" dT="2025-11-04T21:53:43.22" personId="{34F8EAA4-A3AD-4774-8A49-DDC2F2C8BF5B}" id="{5B669416-EAB3-486B-876A-F1DCEB8AD0FB}">
    <text>phytoplankton, microphytes, planktonic algae</text>
  </threadedComment>
  <threadedComment ref="C164" dT="2025-11-04T21:53:50.93" personId="{34F8EAA4-A3AD-4774-8A49-DDC2F2C8BF5B}" id="{5A9C2C1B-A759-47E9-AFF1-36731D36FE94}">
    <text>seaweed</text>
  </threadedComment>
  <threadedComment ref="C165" dT="2025-11-04T21:52:47.71" personId="{34F8EAA4-A3AD-4774-8A49-DDC2F2C8BF5B}" id="{2C82C71B-324B-4F02-BF0D-9B856CD78641}">
    <text>Precedes energy products. Not part of the RES. 
Sugarcane, sugar beet, sweet sorghum</text>
  </threadedComment>
  <threadedComment ref="C166" dT="2025-11-04T21:51:51.56" personId="{34F8EAA4-A3AD-4774-8A49-DDC2F2C8BF5B}" id="{B1837877-C362-4059-B451-C9F419F11A31}">
    <text>Precedes energy products. Not part of the RES. 
Normally used for biodiesel.
Jatropha, soybean, oilseed rape, pongamia, sunflower, babassu palm, peanut, olive</text>
  </threadedComment>
  <threadedComment ref="M170" dT="2025-11-03T17:52:10.11" personId="{34F8EAA4-A3AD-4774-8A49-DDC2F2C8BF5B}" id="{085CD7FA-700F-48A4-A6F8-51F13A6703A8}">
    <text>GJ/m3
and around 1.39t/m3
https://www.fao.org/4/q1085e/q1085e0c.htm</text>
    <extLst>
      <x:ext xmlns:xltc2="http://schemas.microsoft.com/office/spreadsheetml/2020/threadedcomments2" uri="{F7C98A9C-CBB3-438F-8F68-D28B6AF4A901}">
        <xltc2:checksum>1906324124</xltc2:checksum>
        <xltc2:hyperlink startIndex="26" length="41" url="https://www.fao.org/4/q1085e/q1085e0c.htm"/>
      </x:ext>
    </extLst>
  </threadedComment>
  <threadedComment ref="N170" dT="2025-11-05T14:41:50.73" personId="{34F8EAA4-A3AD-4774-8A49-DDC2F2C8BF5B}" id="{E1ABC4EA-228A-4E5D-ACA9-9198554E42FE}">
    <text>lamlom2003</text>
  </threadedComment>
  <threadedComment ref="M171" dT="2025-11-04T12:51:26.42" personId="{34F8EAA4-A3AD-4774-8A49-DDC2F2C8BF5B}" id="{A8407689-EA65-4F8E-BB83-7612FF611953}">
    <text>garba2014</text>
  </threadedComment>
  <threadedComment ref="M179" dT="2026-02-17T23:14:25.42" personId="{34F8EAA4-A3AD-4774-8A49-DDC2F2C8BF5B}" id="{A9496144-D2A0-471A-A079-AC18AB4DBD7F}">
    <text>estimate</text>
  </threadedComment>
  <threadedComment ref="O179" dT="2026-02-17T23:12:28.36" personId="{34F8EAA4-A3AD-4774-8A49-DDC2F2C8BF5B}" id="{D21AD1FF-E4FA-4EFD-8156-2050709B94E0}">
    <text>estimate</text>
  </threadedComment>
  <threadedComment ref="M180" dT="2026-02-18T00:16:49.23" personId="{34F8EAA4-A3AD-4774-8A49-DDC2F2C8BF5B}" id="{7EAB4EAA-3CC0-41A0-BB6F-0399517C2F13}">
    <text>estimate</text>
  </threadedComment>
  <threadedComment ref="M182" dT="2026-01-16T11:37:43.04" personId="{34F8EAA4-A3AD-4774-8A49-DDC2F2C8BF5B}" id="{9EA33558-8823-43AE-B2E0-893F231B2509}">
    <text>Guesstimate</text>
  </threadedComment>
</ThreadedComments>
</file>

<file path=xl/threadedComments/threadedComment3.xml><?xml version="1.0" encoding="utf-8"?>
<ThreadedComments xmlns="http://schemas.microsoft.com/office/spreadsheetml/2018/threadedcomments" xmlns:x="http://schemas.openxmlformats.org/spreadsheetml/2006/main">
  <threadedComment ref="G8" dT="2024-08-16T13:56:43.95" personId="{4DD8B64F-EBF5-4CE8-912A-F96B724B92D2}" id="{59CD2BC3-1A41-4B68-B19C-4F226686CDB6}">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9" dT="2024-08-16T13:56:43.95" personId="{4DD8B64F-EBF5-4CE8-912A-F96B724B92D2}" id="{7462769E-3E03-4157-9248-155CB72CCD28}">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0" dT="2024-08-16T13:56:43.95" personId="{4DD8B64F-EBF5-4CE8-912A-F96B724B92D2}" id="{88983E74-119B-4169-8F9D-8E489B53A0B2}">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1" dT="2024-08-16T13:56:43.95" personId="{4DD8B64F-EBF5-4CE8-912A-F96B724B92D2}" id="{12D24F0C-2688-4026-A30F-C8B907A04691}">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2" dT="2024-08-16T13:56:43.95" personId="{4DD8B64F-EBF5-4CE8-912A-F96B724B92D2}" id="{3665202E-083B-42C8-8C3A-4C8C9726C9BE}">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3" dT="2024-08-16T13:56:43.95" personId="{4DD8B64F-EBF5-4CE8-912A-F96B724B92D2}" id="{33A93EC8-FDC3-4860-BD8C-CCF6B5DFE98C}">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4" dT="2024-08-16T13:56:43.95" personId="{4DD8B64F-EBF5-4CE8-912A-F96B724B92D2}" id="{89DDC653-FD1B-4C79-A74A-2E3F14D5E8F6}">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5" dT="2024-08-16T13:56:43.95" personId="{4DD8B64F-EBF5-4CE8-912A-F96B724B92D2}" id="{4B8E185B-9A7B-4E82-BC1A-57B725F4CB7B}">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6" dT="2024-08-16T13:56:43.95" personId="{4DD8B64F-EBF5-4CE8-912A-F96B724B92D2}" id="{C9FDDF3C-2146-40DE-ABEE-A51D0E341727}">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7" dT="2024-08-16T13:56:43.95" personId="{4DD8B64F-EBF5-4CE8-912A-F96B724B92D2}" id="{FEE01098-A1CB-4D94-8798-13FCF1CBD7D3}">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 ref="G18" dT="2024-08-16T13:56:43.95" personId="{4DD8B64F-EBF5-4CE8-912A-F96B724B92D2}" id="{B52A3E4F-1C71-49C4-B1CB-3F96114F0E36}">
    <text xml:space="preserve">Cost-Effective Locations for Producing Fuels and Chemicals from Carbon Dioxide and Low-Carbon Hydrogen in the Future (acs.org) </text>
    <extLst>
      <x:ext xmlns:xltc2="http://schemas.microsoft.com/office/spreadsheetml/2020/threadedcomments2" uri="{F7C98A9C-CBB3-438F-8F68-D28B6AF4A901}">
        <xltc2:checksum>3182166811</xltc2:checksum>
        <xltc2:hyperlink startIndex="0" length="126" url="https://pubs.acs.org/doi/epdf/10.1021/acs.iecr.4c01287"/>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BP5" dT="2020-08-11T12:03:08.21" personId="{FE06A136-A4EF-48F8-9956-7429FFF40594}" id="{9A2FD7BB-9286-4548-9727-6926B9E173AA}">
    <text>Capture or extraction of fuels or energy from natural energy flows, the biosphere and natural reserves of fossil fuels within the national territory in a form suitable for use
Excludes:
1. inert matter removed from fuels
2. reinjected quantities
3. flared or vented quantities</text>
  </threadedComment>
  <threadedComment ref="BQ5" dT="2020-08-11T12:03:08.21" personId="{FE06A136-A4EF-48F8-9956-7429FFF40594}" id="{99E654A3-70D6-4ACC-B53F-AED49770B89C}">
    <text>Capture or extraction of fuels or energy from natural energy flows, the biosphere and natural reserves of fossil fuels within the national territory in a form suitable for use
Excludes:
1. inert matter removed from fuels
2. reinjected quantities
3. flared or vented quantities</text>
  </threadedComment>
  <threadedComment ref="BP6" dT="2020-08-13T05:00:11.54" personId="{FE06A136-A4EF-48F8-9956-7429FFF40594}" id="{0FFC58A4-7345-4DCE-8513-E134663F25D1}">
    <text>Secondary products. For each energy product, this are reflected by a lighter shade of the column header.
Secondary products do not exist in energy balances. Instead, they are shown in the Transformation block.</text>
  </threadedComment>
  <threadedComment ref="BQ6" dT="2020-08-11T12:05:31.71" personId="{FE06A136-A4EF-48F8-9956-7429FFF40594}" id="{61D289C3-E4DC-4D27-90AA-1EDF75EA2343}">
    <text>Covers primary and secondary energy products</text>
  </threadedComment>
  <threadedComment ref="BP7" dT="2020-08-11T12:05:31.71" personId="{FE06A136-A4EF-48F8-9956-7429FFF40594}" id="{D37E5C1E-6254-49A2-8C59-49724F47D65F}">
    <text>Covers primary and secondary energy products</text>
  </threadedComment>
  <threadedComment ref="BQ7" dT="2020-08-11T12:05:31.71" personId="{FE06A136-A4EF-48F8-9956-7429FFF40594}" id="{2075119E-8DBF-4B97-BE4E-10B1AE3BD051}">
    <text>Covers primary and secondary energy products</text>
  </threadedComment>
  <threadedComment ref="BP8" dT="2020-08-11T12:05:31.71" personId="{FE06A136-A4EF-48F8-9956-7429FFF40594}" id="{943C1BE5-5FD9-4BC5-9504-E294333BB4BA}">
    <text>Covers primary and secondary energy products</text>
  </threadedComment>
  <threadedComment ref="BQ8" dT="2020-08-11T12:05:31.71" personId="{FE06A136-A4EF-48F8-9956-7429FFF40594}" id="{45806ECB-DB6E-4CC1-8017-E763644D3475}">
    <text>Covers primary and secondary energy products</text>
  </threadedComment>
  <threadedComment ref="BP12" dT="2020-08-12T14:07:09.48" personId="{FE06A136-A4EF-48F8-9956-7429FFF40594}" id="{45525E37-A0B6-4716-82C3-0020111212FD}">
    <text>Stock at year-end - stock at year-start</text>
  </threadedComment>
  <threadedComment ref="BQ12" dT="2020-08-12T14:07:09.48" personId="{FE06A136-A4EF-48F8-9956-7429FFF40594}" id="{EF953AB9-8DCB-4FB4-9313-F748581C30A9}">
    <text>Stock at year-end - stock at year-start</text>
  </threadedComment>
  <threadedComment ref="BP39" dT="2020-08-11T12:18:00.70" personId="{FE06A136-A4EF-48F8-9956-7429FFF40594}" id="{1E82BD1D-8E3E-4087-A7E1-CAE42862D4AE}">
    <text>Consumption of fuels, electricity and heat for the direct support of the production and preparation for use of fuels and energy, except heat not sold</text>
  </threadedComment>
  <threadedComment ref="BQ39" dT="2020-08-11T12:18:00.70" personId="{FE06A136-A4EF-48F8-9956-7429FFF40594}" id="{415394F6-4E19-40DA-BB39-8CC658860977}">
    <text>Consumption of fuels, electricity and heat for the direct support of the production and preparation for use of fuels and energy, except heat not sold</text>
  </threadedComment>
  <threadedComment ref="BP40" dT="2020-08-11T12:21:17.69" personId="{FE06A136-A4EF-48F8-9956-7429FFF40594}" id="{A8B78B4A-6FE9-4348-8615-877C5D429323}">
    <text>Losses during during:
1. transmission
2. distribution
3. transport
Losses also include:
1. venting and flaring of manufactured gases
2. losses of geothermal heat after production
3. pilferage of fuels or electricity (sometimes referred to as non-technical losses)</text>
  </threadedComment>
  <threadedComment ref="BQ40" dT="2020-08-11T12:21:17.69" personId="{FE06A136-A4EF-48F8-9956-7429FFF40594}" id="{D6FF8DB1-CFFF-46D5-AC82-DEDBDDD29110}">
    <text>Losses during during:
1. transmission
2. distribution
3. transport
Losses also include:
1. venting and flaring of manufactured gases
2. losses of geothermal heat after production
3. pilferage of fuels or electricity (sometimes referred to as non-technical losses)</text>
  </threadedComment>
  <threadedComment ref="BP64" dT="2020-08-11T12:29:58.42" personId="{FE06A136-A4EF-48F8-9956-7429FFF40594}" id="{8DEFE60B-75BC-4CBB-82B3-880411BB1F44}">
    <text>IRES recommends subdividing even more these sectors where needed (8.42)</text>
  </threadedComment>
  <threadedComment ref="BQ64" dT="2020-08-11T12:29:58.42" personId="{FE06A136-A4EF-48F8-9956-7429FFF40594}" id="{428D2A63-1503-440D-90F7-9EAB1E8AE222}">
    <text>IRES recommends subdividing even more these sectors where needed (8.42)</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vmlDrawing" Target="../drawings/vmlDrawing4.vml"/><Relationship Id="rId7" Type="http://schemas.openxmlformats.org/officeDocument/2006/relationships/table" Target="../tables/table5.xml"/><Relationship Id="rId2" Type="http://schemas.openxmlformats.org/officeDocument/2006/relationships/printerSettings" Target="../printerSettings/printerSettings3.bin"/><Relationship Id="rId1" Type="http://schemas.openxmlformats.org/officeDocument/2006/relationships/hyperlink" Target="https://unstats.un.org/unsd/publication/SeriesM/seriesm_4rev4e.pdf" TargetMode="External"/><Relationship Id="rId6" Type="http://schemas.openxmlformats.org/officeDocument/2006/relationships/table" Target="../tables/table4.xml"/><Relationship Id="rId11" Type="http://schemas.microsoft.com/office/2017/10/relationships/threadedComment" Target="../threadedComments/threadedComment4.xml"/><Relationship Id="rId5" Type="http://schemas.openxmlformats.org/officeDocument/2006/relationships/table" Target="../tables/table3.xml"/><Relationship Id="rId10" Type="http://schemas.openxmlformats.org/officeDocument/2006/relationships/comments" Target="../comments4.xml"/><Relationship Id="rId4" Type="http://schemas.openxmlformats.org/officeDocument/2006/relationships/table" Target="../tables/table2.xml"/><Relationship Id="rId9" Type="http://schemas.openxmlformats.org/officeDocument/2006/relationships/table" Target="../tables/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4.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361A-B27C-4286-B876-4BD68AE0228A}">
  <sheetPr codeName="Sheet3">
    <pageSetUpPr fitToPage="1"/>
  </sheetPr>
  <dimension ref="A1:DG48"/>
  <sheetViews>
    <sheetView workbookViewId="0"/>
  </sheetViews>
  <sheetFormatPr defaultColWidth="9" defaultRowHeight="14.25" x14ac:dyDescent="0.45"/>
  <cols>
    <col min="1" max="6" width="9" customWidth="1"/>
    <col min="7" max="7" width="12.73046875" customWidth="1"/>
    <col min="8" max="8" width="1.73046875" customWidth="1"/>
    <col min="9" max="13" width="9" customWidth="1"/>
    <col min="14" max="14" width="17.73046875" customWidth="1"/>
    <col min="15" max="18" width="9" customWidth="1"/>
    <col min="19" max="19" width="9.265625" customWidth="1"/>
    <col min="20" max="36" width="9" customWidth="1"/>
    <col min="68" max="68" width="9" customWidth="1"/>
    <col min="112" max="112" width="7.73046875" customWidth="1"/>
  </cols>
  <sheetData>
    <row r="1" spans="1:111" ht="4.5" customHeight="1" x14ac:dyDescent="0.45">
      <c r="A1" s="12"/>
    </row>
    <row r="2" spans="1:111" x14ac:dyDescent="0.45">
      <c r="A2" s="13"/>
      <c r="B2" s="14"/>
      <c r="C2" s="14"/>
      <c r="D2" s="13"/>
      <c r="E2" s="15"/>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row>
    <row r="3" spans="1:111" x14ac:dyDescent="0.45">
      <c r="A3" s="13"/>
      <c r="B3" s="14"/>
      <c r="C3" s="17"/>
      <c r="D3" s="18"/>
      <c r="E3" s="17"/>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row>
    <row r="4" spans="1:111" x14ac:dyDescent="0.45">
      <c r="B4" s="21"/>
      <c r="C4" s="22"/>
      <c r="D4" s="23"/>
      <c r="E4" s="22"/>
    </row>
    <row r="48" spans="22:23" x14ac:dyDescent="0.45">
      <c r="V48" s="19"/>
      <c r="W48" s="20"/>
    </row>
  </sheetData>
  <pageMargins left="0" right="0" top="0" bottom="0" header="0" footer="0"/>
  <pageSetup paperSize="137" scale="13"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AC2DC-74DF-48A4-8110-6FA52922C86D}">
  <sheetPr codeName="Sheet4"/>
  <dimension ref="B3:AI298"/>
  <sheetViews>
    <sheetView showGridLines="0" tabSelected="1" zoomScaleNormal="100" workbookViewId="0">
      <selection activeCell="I4" sqref="I4"/>
    </sheetView>
  </sheetViews>
  <sheetFormatPr defaultColWidth="8.73046875" defaultRowHeight="14.25" outlineLevelCol="1" x14ac:dyDescent="0.45"/>
  <cols>
    <col min="2" max="2" width="10.73046875" bestFit="1" customWidth="1"/>
    <col min="3" max="3" width="43.86328125" customWidth="1"/>
    <col min="4" max="4" width="9" customWidth="1"/>
    <col min="5" max="5" width="14.59765625" customWidth="1"/>
    <col min="6" max="6" width="14.73046875" customWidth="1"/>
    <col min="7" max="10" width="5.73046875" customWidth="1"/>
    <col min="11" max="12" width="13" customWidth="1"/>
    <col min="13" max="13" width="8" customWidth="1"/>
    <col min="14" max="14" width="7.3984375" customWidth="1"/>
    <col min="15" max="15" width="7.265625" customWidth="1"/>
    <col min="16" max="16" width="11.73046875" customWidth="1"/>
    <col min="17" max="17" width="20.06640625" bestFit="1" customWidth="1"/>
    <col min="18" max="19" width="10.06640625" customWidth="1"/>
    <col min="20" max="35" width="8.73046875" customWidth="1" outlineLevel="1"/>
  </cols>
  <sheetData>
    <row r="3" spans="2:35" x14ac:dyDescent="0.45">
      <c r="B3" t="s">
        <v>1239</v>
      </c>
      <c r="C3" t="s">
        <v>1217</v>
      </c>
      <c r="D3" t="s">
        <v>17</v>
      </c>
      <c r="E3" t="s">
        <v>1091</v>
      </c>
      <c r="F3" t="s">
        <v>1190</v>
      </c>
      <c r="G3" t="s">
        <v>1103</v>
      </c>
      <c r="H3" t="s">
        <v>18</v>
      </c>
      <c r="I3" t="s">
        <v>1965</v>
      </c>
      <c r="J3" t="s">
        <v>1467</v>
      </c>
      <c r="K3" t="s">
        <v>1373</v>
      </c>
      <c r="L3" t="s">
        <v>1895</v>
      </c>
      <c r="M3" t="s">
        <v>1464</v>
      </c>
      <c r="N3" t="s">
        <v>1806</v>
      </c>
      <c r="O3" t="s">
        <v>1807</v>
      </c>
      <c r="P3" t="s">
        <v>1840</v>
      </c>
      <c r="Q3" t="s">
        <v>1858</v>
      </c>
      <c r="R3" t="s">
        <v>1864</v>
      </c>
      <c r="S3" t="s">
        <v>1865</v>
      </c>
      <c r="T3" t="s">
        <v>24</v>
      </c>
      <c r="U3" t="s">
        <v>25</v>
      </c>
      <c r="V3" t="s">
        <v>26</v>
      </c>
      <c r="W3" t="s">
        <v>27</v>
      </c>
      <c r="X3" t="s">
        <v>28</v>
      </c>
      <c r="Y3" t="s">
        <v>29</v>
      </c>
      <c r="Z3" t="s">
        <v>1087</v>
      </c>
      <c r="AA3" t="s">
        <v>1090</v>
      </c>
      <c r="AB3" t="s">
        <v>30</v>
      </c>
      <c r="AC3" t="s">
        <v>31</v>
      </c>
      <c r="AD3" t="s">
        <v>32</v>
      </c>
      <c r="AE3" t="s">
        <v>33</v>
      </c>
      <c r="AF3" t="s">
        <v>34</v>
      </c>
      <c r="AG3" t="s">
        <v>35</v>
      </c>
      <c r="AH3" t="s">
        <v>1088</v>
      </c>
      <c r="AI3" t="s">
        <v>1089</v>
      </c>
    </row>
    <row r="4" spans="2:35" ht="15.75" customHeight="1" x14ac:dyDescent="0.5">
      <c r="B4" s="97">
        <v>100000</v>
      </c>
      <c r="C4" s="73" t="s">
        <v>1147</v>
      </c>
      <c r="D4" s="97">
        <v>900000</v>
      </c>
      <c r="E4" s="92" t="s">
        <v>1148</v>
      </c>
      <c r="F4" s="19" t="s">
        <v>1188</v>
      </c>
      <c r="G4" s="69" t="s">
        <v>1198</v>
      </c>
      <c r="H4" s="69" t="s">
        <v>65</v>
      </c>
      <c r="I4" s="69"/>
      <c r="J4" s="69"/>
      <c r="K4" s="69" t="s">
        <v>1713</v>
      </c>
      <c r="L4" s="69"/>
      <c r="M4" s="69"/>
      <c r="N4" s="118"/>
      <c r="O4" s="118"/>
      <c r="P4" s="69"/>
      <c r="Q4" s="69"/>
      <c r="R4" s="69"/>
      <c r="S4" s="69"/>
      <c r="T4" s="71" t="str" cm="1">
        <f t="array" ref="T4">IFERROR(INDEX(Products[[ProdCode]:[Product]],_xlfn.XMATCH(Products[[#This Row],[Parent]],Products[Product],0),2),Products[[#This Row],[Product]])</f>
        <v>Non-renewable energy</v>
      </c>
      <c r="U4" s="71" t="str" cm="1">
        <f t="array" ref="U4">IFERROR(INDEX(Products[[ProdCode]:[Product]],_xlfn.XMATCH(INDEX(Products[[Product]:[Parent]],_xlfn.XMATCH(Products[[#This Row],[L1N]],Products[Product],0),2),Products[ProdCode],0),2),Products[[#This Row],[L1N]])</f>
        <v>Energy</v>
      </c>
      <c r="V4" s="71" t="str" cm="1">
        <f t="array" ref="V4">IFERROR(INDEX(Products[[ProdCode]:[Product]],_xlfn.XMATCH(INDEX(Products[[Product]:[Parent]],_xlfn.XMATCH(Products[[#This Row],[L2N]],Products[Product],0),2),Products[ProdCode],0),2),Products[[#This Row],[L2N]])</f>
        <v>Energy</v>
      </c>
      <c r="W4" s="71" t="str" cm="1">
        <f t="array" ref="W4">IFERROR(INDEX(Products[[ProdCode]:[Product]],_xlfn.XMATCH(INDEX(Products[[Product]:[Parent]],_xlfn.XMATCH(Products[[#This Row],[L3N]],Products[Product],0),2),Products[ProdCode],0),2),Products[[#This Row],[L3N]])</f>
        <v>Energy</v>
      </c>
      <c r="X4" s="71" t="str" cm="1">
        <f t="array" ref="X4">IFERROR(INDEX(Products[[ProdCode]:[Product]],_xlfn.XMATCH(INDEX(Products[[Product]:[Parent]],_xlfn.XMATCH(Products[[#This Row],[L4N]],Products[Product],0),2),Products[ProdCode],0),2),Products[[#This Row],[L4N]])</f>
        <v>Energy</v>
      </c>
      <c r="Y4" s="71" t="str" cm="1">
        <f t="array" ref="Y4">IFERROR(INDEX(Products[[ProdCode]:[Product]],_xlfn.XMATCH(INDEX(Products[[Product]:[Parent]],_xlfn.XMATCH(Products[[#This Row],[L5N]],Products[Product],0),2),Products[ProdCode],0),2),Products[[#This Row],[L5N]])</f>
        <v>Energy</v>
      </c>
      <c r="Z4" s="71" t="str" cm="1">
        <f t="array" ref="Z4">IFERROR(INDEX(Products[[ProdCode]:[Product]],_xlfn.XMATCH(INDEX(Products[[Product]:[Parent]],_xlfn.XMATCH(Products[[#This Row],[L6N]],Products[Product],0),2),Products[ProdCode],0),2),Products[[#This Row],[L6N]])</f>
        <v>Energy</v>
      </c>
      <c r="AA4" s="71" t="str" cm="1">
        <f t="array" ref="AA4">IFERROR(INDEX(Products[[ProdCode]:[Product]],_xlfn.XMATCH(INDEX(Products[[Product]:[Parent]],_xlfn.XMATCH(Products[[#This Row],[L7N]],Products[Product],0),2),Products[ProdCode],0),2),Products[[#This Row],[L7N]])</f>
        <v>Energy</v>
      </c>
      <c r="AB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Non-renewable energy</v>
      </c>
      <c r="AE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energy</v>
      </c>
      <c r="AF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energy</v>
      </c>
      <c r="AG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energy</v>
      </c>
      <c r="AH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energy</v>
      </c>
      <c r="AI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energy</v>
      </c>
    </row>
    <row r="5" spans="2:35" x14ac:dyDescent="0.45">
      <c r="B5" s="98">
        <v>110000</v>
      </c>
      <c r="C5" s="75" t="s">
        <v>80</v>
      </c>
      <c r="D5" s="98">
        <v>100000</v>
      </c>
      <c r="E5" s="92" t="s">
        <v>1148</v>
      </c>
      <c r="F5" s="19" t="s">
        <v>1188</v>
      </c>
      <c r="G5" s="69" t="s">
        <v>55</v>
      </c>
      <c r="H5" s="69" t="s">
        <v>65</v>
      </c>
      <c r="I5" s="69"/>
      <c r="J5" s="69"/>
      <c r="K5" s="69" t="s">
        <v>1714</v>
      </c>
      <c r="L5" s="69"/>
      <c r="M5" s="69"/>
      <c r="N5" s="118"/>
      <c r="O5" s="118"/>
      <c r="P5" s="69"/>
      <c r="Q5" s="69"/>
      <c r="R5" s="69"/>
      <c r="S5" s="69"/>
      <c r="T5" s="71" t="str" cm="1">
        <f t="array" ref="T5">IFERROR(INDEX(Products[[ProdCode]:[Product]],_xlfn.XMATCH(Products[[#This Row],[Parent]],Products[Product],0),2),Products[[#This Row],[Product]])</f>
        <v>Fossil fuels</v>
      </c>
      <c r="U5" s="71" t="str" cm="1">
        <f t="array" ref="U5">IFERROR(INDEX(Products[[ProdCode]:[Product]],_xlfn.XMATCH(INDEX(Products[[Product]:[Parent]],_xlfn.XMATCH(Products[[#This Row],[L1N]],Products[Product],0),2),Products[ProdCode],0),2),Products[[#This Row],[L1N]])</f>
        <v>Non-renewable energy</v>
      </c>
      <c r="V5" s="71" t="str" cm="1">
        <f t="array" ref="V5">IFERROR(INDEX(Products[[ProdCode]:[Product]],_xlfn.XMATCH(INDEX(Products[[Product]:[Parent]],_xlfn.XMATCH(Products[[#This Row],[L2N]],Products[Product],0),2),Products[ProdCode],0),2),Products[[#This Row],[L2N]])</f>
        <v>Energy</v>
      </c>
      <c r="W5" s="71" t="str" cm="1">
        <f t="array" ref="W5">IFERROR(INDEX(Products[[ProdCode]:[Product]],_xlfn.XMATCH(INDEX(Products[[Product]:[Parent]],_xlfn.XMATCH(Products[[#This Row],[L3N]],Products[Product],0),2),Products[ProdCode],0),2),Products[[#This Row],[L3N]])</f>
        <v>Energy</v>
      </c>
      <c r="X5" s="71" t="str" cm="1">
        <f t="array" ref="X5">IFERROR(INDEX(Products[[ProdCode]:[Product]],_xlfn.XMATCH(INDEX(Products[[Product]:[Parent]],_xlfn.XMATCH(Products[[#This Row],[L4N]],Products[Product],0),2),Products[ProdCode],0),2),Products[[#This Row],[L4N]])</f>
        <v>Energy</v>
      </c>
      <c r="Y5" s="71" t="str" cm="1">
        <f t="array" ref="Y5">IFERROR(INDEX(Products[[ProdCode]:[Product]],_xlfn.XMATCH(INDEX(Products[[Product]:[Parent]],_xlfn.XMATCH(Products[[#This Row],[L5N]],Products[Product],0),2),Products[ProdCode],0),2),Products[[#This Row],[L5N]])</f>
        <v>Energy</v>
      </c>
      <c r="Z5" s="71" t="str" cm="1">
        <f t="array" ref="Z5">IFERROR(INDEX(Products[[ProdCode]:[Product]],_xlfn.XMATCH(INDEX(Products[[Product]:[Parent]],_xlfn.XMATCH(Products[[#This Row],[L6N]],Products[Product],0),2),Products[ProdCode],0),2),Products[[#This Row],[L6N]])</f>
        <v>Energy</v>
      </c>
      <c r="AA5" s="71" t="str" cm="1">
        <f t="array" ref="AA5">IFERROR(INDEX(Products[[ProdCode]:[Product]],_xlfn.XMATCH(INDEX(Products[[Product]:[Parent]],_xlfn.XMATCH(Products[[#This Row],[L7N]],Products[Product],0),2),Products[ProdCode],0),2),Products[[#This Row],[L7N]])</f>
        <v>Energy</v>
      </c>
      <c r="AB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Fossil fuels</v>
      </c>
      <c r="AF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Fossil fuels</v>
      </c>
      <c r="AG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Fossil fuels</v>
      </c>
      <c r="AH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Fossil fuels</v>
      </c>
      <c r="AI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Fossil fuels</v>
      </c>
    </row>
    <row r="6" spans="2:35" x14ac:dyDescent="0.45">
      <c r="B6" s="99">
        <v>111000</v>
      </c>
      <c r="C6" s="78" t="s">
        <v>68</v>
      </c>
      <c r="D6" s="99">
        <v>110000</v>
      </c>
      <c r="E6" s="92" t="s">
        <v>1148</v>
      </c>
      <c r="F6" s="19" t="s">
        <v>1188</v>
      </c>
      <c r="G6" s="69" t="s">
        <v>54</v>
      </c>
      <c r="H6" s="69" t="s">
        <v>65</v>
      </c>
      <c r="I6" s="69"/>
      <c r="J6" s="69"/>
      <c r="K6" s="69" t="s">
        <v>1020</v>
      </c>
      <c r="L6" s="69"/>
      <c r="M6" s="69"/>
      <c r="N6" s="118"/>
      <c r="O6" s="118"/>
      <c r="P6" s="69"/>
      <c r="Q6" s="69" t="s">
        <v>1240</v>
      </c>
      <c r="R6" s="69"/>
      <c r="S6" s="69"/>
      <c r="T6" s="71" t="str" cm="1">
        <f t="array" ref="T6">IFERROR(INDEX(Products[[ProdCode]:[Product]],_xlfn.XMATCH(Products[[#This Row],[Parent]],Products[Product],0),2),Products[[#This Row],[Product]])</f>
        <v>Coal</v>
      </c>
      <c r="U6" s="71" t="str" cm="1">
        <f t="array" ref="U6">IFERROR(INDEX(Products[[ProdCode]:[Product]],_xlfn.XMATCH(INDEX(Products[[Product]:[Parent]],_xlfn.XMATCH(Products[[#This Row],[L1N]],Products[Product],0),2),Products[ProdCode],0),2),Products[[#This Row],[L1N]])</f>
        <v>Fossil fuels</v>
      </c>
      <c r="V6" s="71" t="str" cm="1">
        <f t="array" ref="V6">IFERROR(INDEX(Products[[ProdCode]:[Product]],_xlfn.XMATCH(INDEX(Products[[Product]:[Parent]],_xlfn.XMATCH(Products[[#This Row],[L2N]],Products[Product],0),2),Products[ProdCode],0),2),Products[[#This Row],[L2N]])</f>
        <v>Non-renewable energy</v>
      </c>
      <c r="W6" s="71" t="str" cm="1">
        <f t="array" ref="W6">IFERROR(INDEX(Products[[ProdCode]:[Product]],_xlfn.XMATCH(INDEX(Products[[Product]:[Parent]],_xlfn.XMATCH(Products[[#This Row],[L3N]],Products[Product],0),2),Products[ProdCode],0),2),Products[[#This Row],[L3N]])</f>
        <v>Energy</v>
      </c>
      <c r="X6" s="71" t="str" cm="1">
        <f t="array" ref="X6">IFERROR(INDEX(Products[[ProdCode]:[Product]],_xlfn.XMATCH(INDEX(Products[[Product]:[Parent]],_xlfn.XMATCH(Products[[#This Row],[L4N]],Products[Product],0),2),Products[ProdCode],0),2),Products[[#This Row],[L4N]])</f>
        <v>Energy</v>
      </c>
      <c r="Y6" s="71" t="str" cm="1">
        <f t="array" ref="Y6">IFERROR(INDEX(Products[[ProdCode]:[Product]],_xlfn.XMATCH(INDEX(Products[[Product]:[Parent]],_xlfn.XMATCH(Products[[#This Row],[L5N]],Products[Product],0),2),Products[ProdCode],0),2),Products[[#This Row],[L5N]])</f>
        <v>Energy</v>
      </c>
      <c r="Z6" s="71" t="str" cm="1">
        <f t="array" ref="Z6">IFERROR(INDEX(Products[[ProdCode]:[Product]],_xlfn.XMATCH(INDEX(Products[[Product]:[Parent]],_xlfn.XMATCH(Products[[#This Row],[L6N]],Products[Product],0),2),Products[ProdCode],0),2),Products[[#This Row],[L6N]])</f>
        <v>Energy</v>
      </c>
      <c r="AA6" s="71" t="str" cm="1">
        <f t="array" ref="AA6">IFERROR(INDEX(Products[[ProdCode]:[Product]],_xlfn.XMATCH(INDEX(Products[[Product]:[Parent]],_xlfn.XMATCH(Products[[#This Row],[L7N]],Products[Product],0),2),Products[ProdCode],0),2),Products[[#This Row],[L7N]])</f>
        <v>Energy</v>
      </c>
      <c r="AB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v>
      </c>
      <c r="AG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v>
      </c>
      <c r="AH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v>
      </c>
      <c r="AI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v>
      </c>
    </row>
    <row r="7" spans="2:35" x14ac:dyDescent="0.45">
      <c r="B7" s="100">
        <v>111100</v>
      </c>
      <c r="C7" s="84" t="s">
        <v>87</v>
      </c>
      <c r="D7" s="100">
        <v>111000</v>
      </c>
      <c r="E7" s="92" t="s">
        <v>1148</v>
      </c>
      <c r="F7" s="19" t="s">
        <v>1188</v>
      </c>
      <c r="G7" s="69" t="s">
        <v>53</v>
      </c>
      <c r="H7" s="69" t="s">
        <v>65</v>
      </c>
      <c r="I7" s="69"/>
      <c r="J7" s="69"/>
      <c r="K7" s="69" t="s">
        <v>1715</v>
      </c>
      <c r="L7" s="69" t="s">
        <v>1896</v>
      </c>
      <c r="M7" s="69">
        <v>25.8</v>
      </c>
      <c r="N7" s="118"/>
      <c r="O7" s="118"/>
      <c r="P7" s="69"/>
      <c r="Q7" s="69" t="s">
        <v>1240</v>
      </c>
      <c r="R7" s="69"/>
      <c r="S7" s="69"/>
      <c r="T7" s="71" t="str" cm="1">
        <f t="array" ref="T7">IFERROR(INDEX(Products[[ProdCode]:[Product]],_xlfn.XMATCH(Products[[#This Row],[Parent]],Products[Product],0),2),Products[[#This Row],[Product]])</f>
        <v>Hard coal</v>
      </c>
      <c r="U7" s="71" t="str" cm="1">
        <f t="array" ref="U7">IFERROR(INDEX(Products[[ProdCode]:[Product]],_xlfn.XMATCH(INDEX(Products[[Product]:[Parent]],_xlfn.XMATCH(Products[[#This Row],[L1N]],Products[Product],0),2),Products[ProdCode],0),2),Products[[#This Row],[L1N]])</f>
        <v>Coal</v>
      </c>
      <c r="V7" s="71" t="str" cm="1">
        <f t="array" ref="V7">IFERROR(INDEX(Products[[ProdCode]:[Product]],_xlfn.XMATCH(INDEX(Products[[Product]:[Parent]],_xlfn.XMATCH(Products[[#This Row],[L2N]],Products[Product],0),2),Products[ProdCode],0),2),Products[[#This Row],[L2N]])</f>
        <v>Fossil fuels</v>
      </c>
      <c r="W7" s="71" t="str" cm="1">
        <f t="array" ref="W7">IFERROR(INDEX(Products[[ProdCode]:[Product]],_xlfn.XMATCH(INDEX(Products[[Product]:[Parent]],_xlfn.XMATCH(Products[[#This Row],[L3N]],Products[Product],0),2),Products[ProdCode],0),2),Products[[#This Row],[L3N]])</f>
        <v>Non-renewable energy</v>
      </c>
      <c r="X7" s="71" t="str" cm="1">
        <f t="array" ref="X7">IFERROR(INDEX(Products[[ProdCode]:[Product]],_xlfn.XMATCH(INDEX(Products[[Product]:[Parent]],_xlfn.XMATCH(Products[[#This Row],[L4N]],Products[Product],0),2),Products[ProdCode],0),2),Products[[#This Row],[L4N]])</f>
        <v>Energy</v>
      </c>
      <c r="Y7" s="71" t="str" cm="1">
        <f t="array" ref="Y7">IFERROR(INDEX(Products[[ProdCode]:[Product]],_xlfn.XMATCH(INDEX(Products[[Product]:[Parent]],_xlfn.XMATCH(Products[[#This Row],[L5N]],Products[Product],0),2),Products[ProdCode],0),2),Products[[#This Row],[L5N]])</f>
        <v>Energy</v>
      </c>
      <c r="Z7" s="71" t="str" cm="1">
        <f t="array" ref="Z7">IFERROR(INDEX(Products[[ProdCode]:[Product]],_xlfn.XMATCH(INDEX(Products[[Product]:[Parent]],_xlfn.XMATCH(Products[[#This Row],[L6N]],Products[Product],0),2),Products[ProdCode],0),2),Products[[#This Row],[L6N]])</f>
        <v>Energy</v>
      </c>
      <c r="AA7" s="71" t="str" cm="1">
        <f t="array" ref="AA7">IFERROR(INDEX(Products[[ProdCode]:[Product]],_xlfn.XMATCH(INDEX(Products[[Product]:[Parent]],_xlfn.XMATCH(Products[[#This Row],[L7N]],Products[Product],0),2),Products[ProdCode],0),2),Products[[#This Row],[L7N]])</f>
        <v>Energy</v>
      </c>
      <c r="AB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Hard coal</v>
      </c>
      <c r="AG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Hard coal</v>
      </c>
      <c r="AH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Hard coal</v>
      </c>
      <c r="AI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Hard coal</v>
      </c>
    </row>
    <row r="8" spans="2:35" x14ac:dyDescent="0.45">
      <c r="B8" s="101">
        <v>111110</v>
      </c>
      <c r="C8" s="87" t="s">
        <v>99</v>
      </c>
      <c r="D8" s="101">
        <v>111100</v>
      </c>
      <c r="E8" s="92" t="s">
        <v>1148</v>
      </c>
      <c r="F8" s="19" t="s">
        <v>1188</v>
      </c>
      <c r="G8" s="69" t="s">
        <v>1199</v>
      </c>
      <c r="H8" s="69" t="s">
        <v>65</v>
      </c>
      <c r="I8" s="69" t="s">
        <v>107</v>
      </c>
      <c r="J8" s="69"/>
      <c r="K8" s="69" t="s">
        <v>1716</v>
      </c>
      <c r="L8" s="69" t="s">
        <v>1897</v>
      </c>
      <c r="M8" s="69">
        <v>26.7</v>
      </c>
      <c r="N8" s="118"/>
      <c r="O8" s="118"/>
      <c r="P8" s="69"/>
      <c r="Q8" s="69" t="s">
        <v>1240</v>
      </c>
      <c r="R8" s="69"/>
      <c r="S8" s="69"/>
      <c r="T8" s="72" t="str" cm="1">
        <f t="array" ref="T8">IFERROR(INDEX(Products[[ProdCode]:[Product]],_xlfn.XMATCH(Products[[#This Row],[Parent]],Products[Product],0),2),Products[[#This Row],[Product]])</f>
        <v>Anthracite</v>
      </c>
      <c r="U8" s="72" t="str" cm="1">
        <f t="array" ref="U8">IFERROR(INDEX(Products[[ProdCode]:[Product]],_xlfn.XMATCH(INDEX(Products[[Product]:[Parent]],_xlfn.XMATCH(Products[[#This Row],[L1N]],Products[Product],0),2),Products[ProdCode],0),2),Products[[#This Row],[L1N]])</f>
        <v>Hard coal</v>
      </c>
      <c r="V8" s="72" t="str" cm="1">
        <f t="array" ref="V8">IFERROR(INDEX(Products[[ProdCode]:[Product]],_xlfn.XMATCH(INDEX(Products[[Product]:[Parent]],_xlfn.XMATCH(Products[[#This Row],[L2N]],Products[Product],0),2),Products[ProdCode],0),2),Products[[#This Row],[L2N]])</f>
        <v>Coal</v>
      </c>
      <c r="W8" s="72" t="str" cm="1">
        <f t="array" ref="W8">IFERROR(INDEX(Products[[ProdCode]:[Product]],_xlfn.XMATCH(INDEX(Products[[Product]:[Parent]],_xlfn.XMATCH(Products[[#This Row],[L3N]],Products[Product],0),2),Products[ProdCode],0),2),Products[[#This Row],[L3N]])</f>
        <v>Fossil fuels</v>
      </c>
      <c r="X8" s="72" t="str" cm="1">
        <f t="array" ref="X8">IFERROR(INDEX(Products[[ProdCode]:[Product]],_xlfn.XMATCH(INDEX(Products[[Product]:[Parent]],_xlfn.XMATCH(Products[[#This Row],[L4N]],Products[Product],0),2),Products[ProdCode],0),2),Products[[#This Row],[L4N]])</f>
        <v>Non-renewable energy</v>
      </c>
      <c r="Y8" s="72" t="str" cm="1">
        <f t="array" ref="Y8">IFERROR(INDEX(Products[[ProdCode]:[Product]],_xlfn.XMATCH(INDEX(Products[[Product]:[Parent]],_xlfn.XMATCH(Products[[#This Row],[L5N]],Products[Product],0),2),Products[ProdCode],0),2),Products[[#This Row],[L5N]])</f>
        <v>Energy</v>
      </c>
      <c r="Z8" s="72" t="str" cm="1">
        <f t="array" ref="Z8">IFERROR(INDEX(Products[[ProdCode]:[Product]],_xlfn.XMATCH(INDEX(Products[[Product]:[Parent]],_xlfn.XMATCH(Products[[#This Row],[L6N]],Products[Product],0),2),Products[ProdCode],0),2),Products[[#This Row],[L6N]])</f>
        <v>Energy</v>
      </c>
      <c r="AA8" s="72" t="str" cm="1">
        <f t="array" ref="AA8">IFERROR(INDEX(Products[[ProdCode]:[Product]],_xlfn.XMATCH(INDEX(Products[[Product]:[Parent]],_xlfn.XMATCH(Products[[#This Row],[L7N]],Products[Product],0),2),Products[ProdCode],0),2),Products[[#This Row],[L7N]])</f>
        <v>Energy</v>
      </c>
      <c r="AB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Hard coal</v>
      </c>
      <c r="AG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Anthracite</v>
      </c>
      <c r="AH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Anthracite</v>
      </c>
      <c r="AI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Anthracite</v>
      </c>
    </row>
    <row r="9" spans="2:35" x14ac:dyDescent="0.45">
      <c r="B9" s="101">
        <v>111120</v>
      </c>
      <c r="C9" s="87" t="s">
        <v>111</v>
      </c>
      <c r="D9" s="101">
        <v>111100</v>
      </c>
      <c r="E9" s="92" t="s">
        <v>1148</v>
      </c>
      <c r="F9" s="19" t="s">
        <v>1188</v>
      </c>
      <c r="G9" s="69" t="s">
        <v>1199</v>
      </c>
      <c r="H9" s="69" t="s">
        <v>65</v>
      </c>
      <c r="I9" s="69" t="s">
        <v>107</v>
      </c>
      <c r="J9" s="69"/>
      <c r="K9" s="69" t="s">
        <v>1717</v>
      </c>
      <c r="L9" s="69"/>
      <c r="M9" s="69"/>
      <c r="N9" s="118"/>
      <c r="O9" s="118"/>
      <c r="P9" s="69"/>
      <c r="Q9" s="69" t="s">
        <v>1240</v>
      </c>
      <c r="R9" s="69"/>
      <c r="S9" s="69"/>
      <c r="T9" s="72" t="str" cm="1">
        <f t="array" ref="T9">IFERROR(INDEX(Products[[ProdCode]:[Product]],_xlfn.XMATCH(Products[[#This Row],[Parent]],Products[Product],0),2),Products[[#This Row],[Product]])</f>
        <v>Bituminous coal</v>
      </c>
      <c r="U9" s="72" t="str" cm="1">
        <f t="array" ref="U9">IFERROR(INDEX(Products[[ProdCode]:[Product]],_xlfn.XMATCH(INDEX(Products[[Product]:[Parent]],_xlfn.XMATCH(Products[[#This Row],[L1N]],Products[Product],0),2),Products[ProdCode],0),2),Products[[#This Row],[L1N]])</f>
        <v>Hard coal</v>
      </c>
      <c r="V9" s="72" t="str" cm="1">
        <f t="array" ref="V9">IFERROR(INDEX(Products[[ProdCode]:[Product]],_xlfn.XMATCH(INDEX(Products[[Product]:[Parent]],_xlfn.XMATCH(Products[[#This Row],[L2N]],Products[Product],0),2),Products[ProdCode],0),2),Products[[#This Row],[L2N]])</f>
        <v>Coal</v>
      </c>
      <c r="W9" s="72" t="str" cm="1">
        <f t="array" ref="W9">IFERROR(INDEX(Products[[ProdCode]:[Product]],_xlfn.XMATCH(INDEX(Products[[Product]:[Parent]],_xlfn.XMATCH(Products[[#This Row],[L3N]],Products[Product],0),2),Products[ProdCode],0),2),Products[[#This Row],[L3N]])</f>
        <v>Fossil fuels</v>
      </c>
      <c r="X9" s="72" t="str" cm="1">
        <f t="array" ref="X9">IFERROR(INDEX(Products[[ProdCode]:[Product]],_xlfn.XMATCH(INDEX(Products[[Product]:[Parent]],_xlfn.XMATCH(Products[[#This Row],[L4N]],Products[Product],0),2),Products[ProdCode],0),2),Products[[#This Row],[L4N]])</f>
        <v>Non-renewable energy</v>
      </c>
      <c r="Y9" s="72" t="str" cm="1">
        <f t="array" ref="Y9">IFERROR(INDEX(Products[[ProdCode]:[Product]],_xlfn.XMATCH(INDEX(Products[[Product]:[Parent]],_xlfn.XMATCH(Products[[#This Row],[L5N]],Products[Product],0),2),Products[ProdCode],0),2),Products[[#This Row],[L5N]])</f>
        <v>Energy</v>
      </c>
      <c r="Z9" s="72" t="str" cm="1">
        <f t="array" ref="Z9">IFERROR(INDEX(Products[[ProdCode]:[Product]],_xlfn.XMATCH(INDEX(Products[[Product]:[Parent]],_xlfn.XMATCH(Products[[#This Row],[L6N]],Products[Product],0),2),Products[ProdCode],0),2),Products[[#This Row],[L6N]])</f>
        <v>Energy</v>
      </c>
      <c r="AA9" s="72" t="str" cm="1">
        <f t="array" ref="AA9">IFERROR(INDEX(Products[[ProdCode]:[Product]],_xlfn.XMATCH(INDEX(Products[[Product]:[Parent]],_xlfn.XMATCH(Products[[#This Row],[L7N]],Products[Product],0),2),Products[ProdCode],0),2),Products[[#This Row],[L7N]])</f>
        <v>Energy</v>
      </c>
      <c r="AB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Hard coal</v>
      </c>
      <c r="AG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Bituminous coal</v>
      </c>
      <c r="AH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Bituminous coal</v>
      </c>
      <c r="AI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Bituminous coal</v>
      </c>
    </row>
    <row r="10" spans="2:35" x14ac:dyDescent="0.45">
      <c r="B10" s="102">
        <v>111121</v>
      </c>
      <c r="C10" s="90" t="s">
        <v>121</v>
      </c>
      <c r="D10" s="102">
        <v>111120</v>
      </c>
      <c r="E10" s="92" t="s">
        <v>1148</v>
      </c>
      <c r="F10" s="19" t="s">
        <v>1188</v>
      </c>
      <c r="G10" s="69" t="s">
        <v>1200</v>
      </c>
      <c r="H10" s="69" t="s">
        <v>83</v>
      </c>
      <c r="I10" s="69" t="s">
        <v>107</v>
      </c>
      <c r="J10" s="69"/>
      <c r="K10" s="69" t="s">
        <v>1718</v>
      </c>
      <c r="L10" s="69"/>
      <c r="M10" s="69">
        <v>28.2</v>
      </c>
      <c r="N10" s="118"/>
      <c r="O10" s="118"/>
      <c r="P10" s="69"/>
      <c r="Q10" s="69" t="s">
        <v>1240</v>
      </c>
      <c r="R10" s="69"/>
      <c r="S10" s="69"/>
      <c r="T10" s="72" t="str" cm="1">
        <f t="array" ref="T10">IFERROR(INDEX(Products[[ProdCode]:[Product]],_xlfn.XMATCH(Products[[#This Row],[Parent]],Products[Product],0),2),Products[[#This Row],[Product]])</f>
        <v>Coking coal</v>
      </c>
      <c r="U10" s="72" t="str" cm="1">
        <f t="array" ref="U10">IFERROR(INDEX(Products[[ProdCode]:[Product]],_xlfn.XMATCH(INDEX(Products[[Product]:[Parent]],_xlfn.XMATCH(Products[[#This Row],[L1N]],Products[Product],0),2),Products[ProdCode],0),2),Products[[#This Row],[L1N]])</f>
        <v>Bituminous coal</v>
      </c>
      <c r="V10" s="72" t="str" cm="1">
        <f t="array" ref="V10">IFERROR(INDEX(Products[[ProdCode]:[Product]],_xlfn.XMATCH(INDEX(Products[[Product]:[Parent]],_xlfn.XMATCH(Products[[#This Row],[L2N]],Products[Product],0),2),Products[ProdCode],0),2),Products[[#This Row],[L2N]])</f>
        <v>Hard coal</v>
      </c>
      <c r="W10" s="72" t="str" cm="1">
        <f t="array" ref="W10">IFERROR(INDEX(Products[[ProdCode]:[Product]],_xlfn.XMATCH(INDEX(Products[[Product]:[Parent]],_xlfn.XMATCH(Products[[#This Row],[L3N]],Products[Product],0),2),Products[ProdCode],0),2),Products[[#This Row],[L3N]])</f>
        <v>Coal</v>
      </c>
      <c r="X10" s="72" t="str" cm="1">
        <f t="array" ref="X10">IFERROR(INDEX(Products[[ProdCode]:[Product]],_xlfn.XMATCH(INDEX(Products[[Product]:[Parent]],_xlfn.XMATCH(Products[[#This Row],[L4N]],Products[Product],0),2),Products[ProdCode],0),2),Products[[#This Row],[L4N]])</f>
        <v>Fossil fuels</v>
      </c>
      <c r="Y10" s="72" t="str" cm="1">
        <f t="array" ref="Y10">IFERROR(INDEX(Products[[ProdCode]:[Product]],_xlfn.XMATCH(INDEX(Products[[Product]:[Parent]],_xlfn.XMATCH(Products[[#This Row],[L5N]],Products[Product],0),2),Products[ProdCode],0),2),Products[[#This Row],[L5N]])</f>
        <v>Non-renewable energy</v>
      </c>
      <c r="Z10" s="72" t="str" cm="1">
        <f t="array" ref="Z10">IFERROR(INDEX(Products[[ProdCode]:[Product]],_xlfn.XMATCH(INDEX(Products[[Product]:[Parent]],_xlfn.XMATCH(Products[[#This Row],[L6N]],Products[Product],0),2),Products[ProdCode],0),2),Products[[#This Row],[L6N]])</f>
        <v>Energy</v>
      </c>
      <c r="AA10" s="72" t="str" cm="1">
        <f t="array" ref="AA10">IFERROR(INDEX(Products[[ProdCode]:[Product]],_xlfn.XMATCH(INDEX(Products[[Product]:[Parent]],_xlfn.XMATCH(Products[[#This Row],[L7N]],Products[Product],0),2),Products[ProdCode],0),2),Products[[#This Row],[L7N]])</f>
        <v>Energy</v>
      </c>
      <c r="AB1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Hard coal</v>
      </c>
      <c r="AG1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Bituminous coal</v>
      </c>
      <c r="AH1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Coking coal</v>
      </c>
      <c r="AI1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Coking coal</v>
      </c>
    </row>
    <row r="11" spans="2:35" x14ac:dyDescent="0.45">
      <c r="B11" s="102">
        <v>111129</v>
      </c>
      <c r="C11" s="90" t="s">
        <v>130</v>
      </c>
      <c r="D11" s="102">
        <v>111120</v>
      </c>
      <c r="E11" s="92" t="s">
        <v>1148</v>
      </c>
      <c r="F11" s="19" t="s">
        <v>1188</v>
      </c>
      <c r="G11" s="69" t="s">
        <v>1200</v>
      </c>
      <c r="H11" s="69" t="s">
        <v>83</v>
      </c>
      <c r="I11" s="69" t="s">
        <v>107</v>
      </c>
      <c r="J11" s="69"/>
      <c r="K11" s="69" t="s">
        <v>1719</v>
      </c>
      <c r="L11" s="69" t="s">
        <v>1898</v>
      </c>
      <c r="M11" s="69">
        <v>25.8</v>
      </c>
      <c r="N11" s="118"/>
      <c r="O11" s="118"/>
      <c r="P11" s="69"/>
      <c r="Q11" s="69" t="s">
        <v>1240</v>
      </c>
      <c r="R11" s="69"/>
      <c r="S11" s="69"/>
      <c r="T11" s="72" t="str" cm="1">
        <f t="array" ref="T11">IFERROR(INDEX(Products[[ProdCode]:[Product]],_xlfn.XMATCH(Products[[#This Row],[Parent]],Products[Product],0),2),Products[[#This Row],[Product]])</f>
        <v>Other bituminous coal</v>
      </c>
      <c r="U11" s="72" t="str" cm="1">
        <f t="array" ref="U11">IFERROR(INDEX(Products[[ProdCode]:[Product]],_xlfn.XMATCH(INDEX(Products[[Product]:[Parent]],_xlfn.XMATCH(Products[[#This Row],[L1N]],Products[Product],0),2),Products[ProdCode],0),2),Products[[#This Row],[L1N]])</f>
        <v>Bituminous coal</v>
      </c>
      <c r="V11" s="72" t="str" cm="1">
        <f t="array" ref="V11">IFERROR(INDEX(Products[[ProdCode]:[Product]],_xlfn.XMATCH(INDEX(Products[[Product]:[Parent]],_xlfn.XMATCH(Products[[#This Row],[L2N]],Products[Product],0),2),Products[ProdCode],0),2),Products[[#This Row],[L2N]])</f>
        <v>Hard coal</v>
      </c>
      <c r="W11" s="72" t="str" cm="1">
        <f t="array" ref="W11">IFERROR(INDEX(Products[[ProdCode]:[Product]],_xlfn.XMATCH(INDEX(Products[[Product]:[Parent]],_xlfn.XMATCH(Products[[#This Row],[L3N]],Products[Product],0),2),Products[ProdCode],0),2),Products[[#This Row],[L3N]])</f>
        <v>Coal</v>
      </c>
      <c r="X11" s="72" t="str" cm="1">
        <f t="array" ref="X11">IFERROR(INDEX(Products[[ProdCode]:[Product]],_xlfn.XMATCH(INDEX(Products[[Product]:[Parent]],_xlfn.XMATCH(Products[[#This Row],[L4N]],Products[Product],0),2),Products[ProdCode],0),2),Products[[#This Row],[L4N]])</f>
        <v>Fossil fuels</v>
      </c>
      <c r="Y11" s="72" t="str" cm="1">
        <f t="array" ref="Y11">IFERROR(INDEX(Products[[ProdCode]:[Product]],_xlfn.XMATCH(INDEX(Products[[Product]:[Parent]],_xlfn.XMATCH(Products[[#This Row],[L5N]],Products[Product],0),2),Products[ProdCode],0),2),Products[[#This Row],[L5N]])</f>
        <v>Non-renewable energy</v>
      </c>
      <c r="Z11" s="72" t="str" cm="1">
        <f t="array" ref="Z11">IFERROR(INDEX(Products[[ProdCode]:[Product]],_xlfn.XMATCH(INDEX(Products[[Product]:[Parent]],_xlfn.XMATCH(Products[[#This Row],[L6N]],Products[Product],0),2),Products[ProdCode],0),2),Products[[#This Row],[L6N]])</f>
        <v>Energy</v>
      </c>
      <c r="AA11" s="72" t="str" cm="1">
        <f t="array" ref="AA11">IFERROR(INDEX(Products[[ProdCode]:[Product]],_xlfn.XMATCH(INDEX(Products[[Product]:[Parent]],_xlfn.XMATCH(Products[[#This Row],[L7N]],Products[Product],0),2),Products[ProdCode],0),2),Products[[#This Row],[L7N]])</f>
        <v>Energy</v>
      </c>
      <c r="AB1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Hard coal</v>
      </c>
      <c r="AG1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Bituminous coal</v>
      </c>
      <c r="AH1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bituminous coal</v>
      </c>
      <c r="AI1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bituminous coal</v>
      </c>
    </row>
    <row r="12" spans="2:35" x14ac:dyDescent="0.45">
      <c r="B12" s="100">
        <v>111200</v>
      </c>
      <c r="C12" s="84" t="s">
        <v>140</v>
      </c>
      <c r="D12" s="100">
        <v>111000</v>
      </c>
      <c r="E12" s="92" t="s">
        <v>1148</v>
      </c>
      <c r="F12" s="19" t="s">
        <v>1188</v>
      </c>
      <c r="G12" s="69" t="s">
        <v>53</v>
      </c>
      <c r="H12" s="69" t="s">
        <v>65</v>
      </c>
      <c r="I12" s="69"/>
      <c r="J12" s="69"/>
      <c r="K12" s="69" t="s">
        <v>1720</v>
      </c>
      <c r="L12" s="69" t="s">
        <v>1899</v>
      </c>
      <c r="M12" s="69">
        <v>14</v>
      </c>
      <c r="N12" s="118"/>
      <c r="O12" s="118"/>
      <c r="P12" s="69"/>
      <c r="Q12" s="69" t="s">
        <v>1240</v>
      </c>
      <c r="R12" s="69"/>
      <c r="S12" s="69"/>
      <c r="T12" s="71" t="str" cm="1">
        <f t="array" ref="T12">IFERROR(INDEX(Products[[ProdCode]:[Product]],_xlfn.XMATCH(Products[[#This Row],[Parent]],Products[Product],0),2),Products[[#This Row],[Product]])</f>
        <v>Brown coal</v>
      </c>
      <c r="U12" s="71" t="str" cm="1">
        <f t="array" ref="U12">IFERROR(INDEX(Products[[ProdCode]:[Product]],_xlfn.XMATCH(INDEX(Products[[Product]:[Parent]],_xlfn.XMATCH(Products[[#This Row],[L1N]],Products[Product],0),2),Products[ProdCode],0),2),Products[[#This Row],[L1N]])</f>
        <v>Coal</v>
      </c>
      <c r="V12" s="71" t="str" cm="1">
        <f t="array" ref="V12">IFERROR(INDEX(Products[[ProdCode]:[Product]],_xlfn.XMATCH(INDEX(Products[[Product]:[Parent]],_xlfn.XMATCH(Products[[#This Row],[L2N]],Products[Product],0),2),Products[ProdCode],0),2),Products[[#This Row],[L2N]])</f>
        <v>Fossil fuels</v>
      </c>
      <c r="W12" s="71" t="str" cm="1">
        <f t="array" ref="W12">IFERROR(INDEX(Products[[ProdCode]:[Product]],_xlfn.XMATCH(INDEX(Products[[Product]:[Parent]],_xlfn.XMATCH(Products[[#This Row],[L3N]],Products[Product],0),2),Products[ProdCode],0),2),Products[[#This Row],[L3N]])</f>
        <v>Non-renewable energy</v>
      </c>
      <c r="X12" s="71" t="str" cm="1">
        <f t="array" ref="X12">IFERROR(INDEX(Products[[ProdCode]:[Product]],_xlfn.XMATCH(INDEX(Products[[Product]:[Parent]],_xlfn.XMATCH(Products[[#This Row],[L4N]],Products[Product],0),2),Products[ProdCode],0),2),Products[[#This Row],[L4N]])</f>
        <v>Energy</v>
      </c>
      <c r="Y12" s="71" t="str" cm="1">
        <f t="array" ref="Y12">IFERROR(INDEX(Products[[ProdCode]:[Product]],_xlfn.XMATCH(INDEX(Products[[Product]:[Parent]],_xlfn.XMATCH(Products[[#This Row],[L5N]],Products[Product],0),2),Products[ProdCode],0),2),Products[[#This Row],[L5N]])</f>
        <v>Energy</v>
      </c>
      <c r="Z12" s="71" t="str" cm="1">
        <f t="array" ref="Z12">IFERROR(INDEX(Products[[ProdCode]:[Product]],_xlfn.XMATCH(INDEX(Products[[Product]:[Parent]],_xlfn.XMATCH(Products[[#This Row],[L6N]],Products[Product],0),2),Products[ProdCode],0),2),Products[[#This Row],[L6N]])</f>
        <v>Energy</v>
      </c>
      <c r="AA12" s="71" t="str" cm="1">
        <f t="array" ref="AA12">IFERROR(INDEX(Products[[ProdCode]:[Product]],_xlfn.XMATCH(INDEX(Products[[Product]:[Parent]],_xlfn.XMATCH(Products[[#This Row],[L7N]],Products[Product],0),2),Products[ProdCode],0),2),Products[[#This Row],[L7N]])</f>
        <v>Energy</v>
      </c>
      <c r="AB1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Brown coal</v>
      </c>
      <c r="AG1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Brown coal</v>
      </c>
      <c r="AH1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Brown coal</v>
      </c>
      <c r="AI1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Brown coal</v>
      </c>
    </row>
    <row r="13" spans="2:35" x14ac:dyDescent="0.45">
      <c r="B13" s="101">
        <v>111210</v>
      </c>
      <c r="C13" s="87" t="s">
        <v>149</v>
      </c>
      <c r="D13" s="101">
        <v>111200</v>
      </c>
      <c r="E13" s="92" t="s">
        <v>1148</v>
      </c>
      <c r="F13" s="19" t="s">
        <v>1188</v>
      </c>
      <c r="G13" s="69" t="s">
        <v>1199</v>
      </c>
      <c r="H13" s="69" t="s">
        <v>83</v>
      </c>
      <c r="I13" s="69" t="s">
        <v>107</v>
      </c>
      <c r="J13" s="69"/>
      <c r="K13" s="69" t="s">
        <v>1721</v>
      </c>
      <c r="L13" s="69" t="s">
        <v>1900</v>
      </c>
      <c r="M13" s="69">
        <v>18.899999999999999</v>
      </c>
      <c r="N13" s="118"/>
      <c r="O13" s="118"/>
      <c r="P13" s="69"/>
      <c r="Q13" s="69" t="s">
        <v>1240</v>
      </c>
      <c r="R13" s="69"/>
      <c r="S13" s="69"/>
      <c r="T13" s="72" t="str" cm="1">
        <f t="array" ref="T13">IFERROR(INDEX(Products[[ProdCode]:[Product]],_xlfn.XMATCH(Products[[#This Row],[Parent]],Products[Product],0),2),Products[[#This Row],[Product]])</f>
        <v>Sub-bituminous coal</v>
      </c>
      <c r="U13" s="72" t="str" cm="1">
        <f t="array" ref="U13">IFERROR(INDEX(Products[[ProdCode]:[Product]],_xlfn.XMATCH(INDEX(Products[[Product]:[Parent]],_xlfn.XMATCH(Products[[#This Row],[L1N]],Products[Product],0),2),Products[ProdCode],0),2),Products[[#This Row],[L1N]])</f>
        <v>Brown coal</v>
      </c>
      <c r="V13" s="72" t="str" cm="1">
        <f t="array" ref="V13">IFERROR(INDEX(Products[[ProdCode]:[Product]],_xlfn.XMATCH(INDEX(Products[[Product]:[Parent]],_xlfn.XMATCH(Products[[#This Row],[L2N]],Products[Product],0),2),Products[ProdCode],0),2),Products[[#This Row],[L2N]])</f>
        <v>Coal</v>
      </c>
      <c r="W13" s="72" t="str" cm="1">
        <f t="array" ref="W13">IFERROR(INDEX(Products[[ProdCode]:[Product]],_xlfn.XMATCH(INDEX(Products[[Product]:[Parent]],_xlfn.XMATCH(Products[[#This Row],[L3N]],Products[Product],0),2),Products[ProdCode],0),2),Products[[#This Row],[L3N]])</f>
        <v>Fossil fuels</v>
      </c>
      <c r="X13" s="72" t="str" cm="1">
        <f t="array" ref="X13">IFERROR(INDEX(Products[[ProdCode]:[Product]],_xlfn.XMATCH(INDEX(Products[[Product]:[Parent]],_xlfn.XMATCH(Products[[#This Row],[L4N]],Products[Product],0),2),Products[ProdCode],0),2),Products[[#This Row],[L4N]])</f>
        <v>Non-renewable energy</v>
      </c>
      <c r="Y13" s="72" t="str" cm="1">
        <f t="array" ref="Y13">IFERROR(INDEX(Products[[ProdCode]:[Product]],_xlfn.XMATCH(INDEX(Products[[Product]:[Parent]],_xlfn.XMATCH(Products[[#This Row],[L5N]],Products[Product],0),2),Products[ProdCode],0),2),Products[[#This Row],[L5N]])</f>
        <v>Energy</v>
      </c>
      <c r="Z13" s="72" t="str" cm="1">
        <f t="array" ref="Z13">IFERROR(INDEX(Products[[ProdCode]:[Product]],_xlfn.XMATCH(INDEX(Products[[Product]:[Parent]],_xlfn.XMATCH(Products[[#This Row],[L6N]],Products[Product],0),2),Products[ProdCode],0),2),Products[[#This Row],[L6N]])</f>
        <v>Energy</v>
      </c>
      <c r="AA13" s="72" t="str" cm="1">
        <f t="array" ref="AA13">IFERROR(INDEX(Products[[ProdCode]:[Product]],_xlfn.XMATCH(INDEX(Products[[Product]:[Parent]],_xlfn.XMATCH(Products[[#This Row],[L7N]],Products[Product],0),2),Products[ProdCode],0),2),Products[[#This Row],[L7N]])</f>
        <v>Energy</v>
      </c>
      <c r="AB1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Brown coal</v>
      </c>
      <c r="AG1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Sub-bituminous coal</v>
      </c>
      <c r="AH1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Sub-bituminous coal</v>
      </c>
      <c r="AI1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Sub-bituminous coal</v>
      </c>
    </row>
    <row r="14" spans="2:35" x14ac:dyDescent="0.45">
      <c r="B14" s="101">
        <v>111220</v>
      </c>
      <c r="C14" s="87" t="s">
        <v>158</v>
      </c>
      <c r="D14" s="101">
        <v>111200</v>
      </c>
      <c r="E14" s="92" t="s">
        <v>1148</v>
      </c>
      <c r="F14" s="19" t="s">
        <v>1188</v>
      </c>
      <c r="G14" s="69" t="s">
        <v>1199</v>
      </c>
      <c r="H14" s="69" t="s">
        <v>83</v>
      </c>
      <c r="I14" s="69" t="s">
        <v>107</v>
      </c>
      <c r="J14" s="69"/>
      <c r="K14" s="69" t="s">
        <v>1053</v>
      </c>
      <c r="L14" s="69" t="s">
        <v>1901</v>
      </c>
      <c r="M14" s="69">
        <v>11.9</v>
      </c>
      <c r="N14" s="118"/>
      <c r="O14" s="118"/>
      <c r="P14" s="69"/>
      <c r="Q14" s="69" t="s">
        <v>1240</v>
      </c>
      <c r="R14" s="69"/>
      <c r="S14" s="69"/>
      <c r="T14" s="72" t="str" cm="1">
        <f t="array" ref="T14">IFERROR(INDEX(Products[[ProdCode]:[Product]],_xlfn.XMATCH(Products[[#This Row],[Parent]],Products[Product],0),2),Products[[#This Row],[Product]])</f>
        <v>Lignite</v>
      </c>
      <c r="U14" s="72" t="str" cm="1">
        <f t="array" ref="U14">IFERROR(INDEX(Products[[ProdCode]:[Product]],_xlfn.XMATCH(INDEX(Products[[Product]:[Parent]],_xlfn.XMATCH(Products[[#This Row],[L1N]],Products[Product],0),2),Products[ProdCode],0),2),Products[[#This Row],[L1N]])</f>
        <v>Brown coal</v>
      </c>
      <c r="V14" s="72" t="str" cm="1">
        <f t="array" ref="V14">IFERROR(INDEX(Products[[ProdCode]:[Product]],_xlfn.XMATCH(INDEX(Products[[Product]:[Parent]],_xlfn.XMATCH(Products[[#This Row],[L2N]],Products[Product],0),2),Products[ProdCode],0),2),Products[[#This Row],[L2N]])</f>
        <v>Coal</v>
      </c>
      <c r="W14" s="72" t="str" cm="1">
        <f t="array" ref="W14">IFERROR(INDEX(Products[[ProdCode]:[Product]],_xlfn.XMATCH(INDEX(Products[[Product]:[Parent]],_xlfn.XMATCH(Products[[#This Row],[L3N]],Products[Product],0),2),Products[ProdCode],0),2),Products[[#This Row],[L3N]])</f>
        <v>Fossil fuels</v>
      </c>
      <c r="X14" s="72" t="str" cm="1">
        <f t="array" ref="X14">IFERROR(INDEX(Products[[ProdCode]:[Product]],_xlfn.XMATCH(INDEX(Products[[Product]:[Parent]],_xlfn.XMATCH(Products[[#This Row],[L4N]],Products[Product],0),2),Products[ProdCode],0),2),Products[[#This Row],[L4N]])</f>
        <v>Non-renewable energy</v>
      </c>
      <c r="Y14" s="72" t="str" cm="1">
        <f t="array" ref="Y14">IFERROR(INDEX(Products[[ProdCode]:[Product]],_xlfn.XMATCH(INDEX(Products[[Product]:[Parent]],_xlfn.XMATCH(Products[[#This Row],[L5N]],Products[Product],0),2),Products[ProdCode],0),2),Products[[#This Row],[L5N]])</f>
        <v>Energy</v>
      </c>
      <c r="Z14" s="72" t="str" cm="1">
        <f t="array" ref="Z14">IFERROR(INDEX(Products[[ProdCode]:[Product]],_xlfn.XMATCH(INDEX(Products[[Product]:[Parent]],_xlfn.XMATCH(Products[[#This Row],[L6N]],Products[Product],0),2),Products[ProdCode],0),2),Products[[#This Row],[L6N]])</f>
        <v>Energy</v>
      </c>
      <c r="AA14" s="72" t="str" cm="1">
        <f t="array" ref="AA14">IFERROR(INDEX(Products[[ProdCode]:[Product]],_xlfn.XMATCH(INDEX(Products[[Product]:[Parent]],_xlfn.XMATCH(Products[[#This Row],[L7N]],Products[Product],0),2),Products[ProdCode],0),2),Products[[#This Row],[L7N]])</f>
        <v>Energy</v>
      </c>
      <c r="AB1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Brown coal</v>
      </c>
      <c r="AG1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Lignite</v>
      </c>
      <c r="AH1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Lignite</v>
      </c>
      <c r="AI1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Lignite</v>
      </c>
    </row>
    <row r="15" spans="2:35" x14ac:dyDescent="0.45">
      <c r="B15" s="100">
        <v>111300</v>
      </c>
      <c r="C15" s="84" t="s">
        <v>117</v>
      </c>
      <c r="D15" s="100">
        <v>111000</v>
      </c>
      <c r="E15" s="92" t="s">
        <v>1148</v>
      </c>
      <c r="F15" s="19" t="s">
        <v>1189</v>
      </c>
      <c r="G15" s="69" t="s">
        <v>53</v>
      </c>
      <c r="H15" s="69" t="s">
        <v>65</v>
      </c>
      <c r="I15" s="69"/>
      <c r="J15" s="69"/>
      <c r="K15" s="69" t="s">
        <v>1722</v>
      </c>
      <c r="L15" s="69"/>
      <c r="M15" s="69"/>
      <c r="N15" s="118"/>
      <c r="O15" s="118"/>
      <c r="P15" s="69"/>
      <c r="Q15" s="69" t="s">
        <v>1241</v>
      </c>
      <c r="R15" s="69"/>
      <c r="S15" s="69"/>
      <c r="T15" s="71" t="str" cm="1">
        <f t="array" ref="T15">IFERROR(INDEX(Products[[ProdCode]:[Product]],_xlfn.XMATCH(Products[[#This Row],[Parent]],Products[Product],0),2),Products[[#This Row],[Product]])</f>
        <v>Coal products</v>
      </c>
      <c r="U15" s="71" t="str" cm="1">
        <f t="array" ref="U15">IFERROR(INDEX(Products[[ProdCode]:[Product]],_xlfn.XMATCH(INDEX(Products[[Product]:[Parent]],_xlfn.XMATCH(Products[[#This Row],[L1N]],Products[Product],0),2),Products[ProdCode],0),2),Products[[#This Row],[L1N]])</f>
        <v>Coal</v>
      </c>
      <c r="V15" s="71" t="str" cm="1">
        <f t="array" ref="V15">IFERROR(INDEX(Products[[ProdCode]:[Product]],_xlfn.XMATCH(INDEX(Products[[Product]:[Parent]],_xlfn.XMATCH(Products[[#This Row],[L2N]],Products[Product],0),2),Products[ProdCode],0),2),Products[[#This Row],[L2N]])</f>
        <v>Fossil fuels</v>
      </c>
      <c r="W15" s="71" t="str" cm="1">
        <f t="array" ref="W15">IFERROR(INDEX(Products[[ProdCode]:[Product]],_xlfn.XMATCH(INDEX(Products[[Product]:[Parent]],_xlfn.XMATCH(Products[[#This Row],[L3N]],Products[Product],0),2),Products[ProdCode],0),2),Products[[#This Row],[L3N]])</f>
        <v>Non-renewable energy</v>
      </c>
      <c r="X15" s="71" t="str" cm="1">
        <f t="array" ref="X15">IFERROR(INDEX(Products[[ProdCode]:[Product]],_xlfn.XMATCH(INDEX(Products[[Product]:[Parent]],_xlfn.XMATCH(Products[[#This Row],[L4N]],Products[Product],0),2),Products[ProdCode],0),2),Products[[#This Row],[L4N]])</f>
        <v>Energy</v>
      </c>
      <c r="Y15" s="71" t="str" cm="1">
        <f t="array" ref="Y15">IFERROR(INDEX(Products[[ProdCode]:[Product]],_xlfn.XMATCH(INDEX(Products[[Product]:[Parent]],_xlfn.XMATCH(Products[[#This Row],[L5N]],Products[Product],0),2),Products[ProdCode],0),2),Products[[#This Row],[L5N]])</f>
        <v>Energy</v>
      </c>
      <c r="Z15" s="71" t="str" cm="1">
        <f t="array" ref="Z15">IFERROR(INDEX(Products[[ProdCode]:[Product]],_xlfn.XMATCH(INDEX(Products[[Product]:[Parent]],_xlfn.XMATCH(Products[[#This Row],[L6N]],Products[Product],0),2),Products[ProdCode],0),2),Products[[#This Row],[L6N]])</f>
        <v>Energy</v>
      </c>
      <c r="AA15" s="71" t="str" cm="1">
        <f t="array" ref="AA15">IFERROR(INDEX(Products[[ProdCode]:[Product]],_xlfn.XMATCH(INDEX(Products[[Product]:[Parent]],_xlfn.XMATCH(Products[[#This Row],[L7N]],Products[Product],0),2),Products[ProdCode],0),2),Products[[#This Row],[L7N]])</f>
        <v>Energy</v>
      </c>
      <c r="AB1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1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products</v>
      </c>
      <c r="AH1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 products</v>
      </c>
      <c r="AI1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 products</v>
      </c>
    </row>
    <row r="16" spans="2:35" x14ac:dyDescent="0.45">
      <c r="B16" s="101">
        <v>111310</v>
      </c>
      <c r="C16" s="87" t="s">
        <v>176</v>
      </c>
      <c r="D16" s="101">
        <v>111300</v>
      </c>
      <c r="E16" s="92" t="s">
        <v>1148</v>
      </c>
      <c r="F16" s="19" t="s">
        <v>1189</v>
      </c>
      <c r="G16" s="69" t="s">
        <v>1199</v>
      </c>
      <c r="H16" s="69" t="s">
        <v>65</v>
      </c>
      <c r="I16" s="69"/>
      <c r="J16" s="69"/>
      <c r="K16" s="69" t="s">
        <v>1723</v>
      </c>
      <c r="L16" s="69"/>
      <c r="M16" s="69">
        <v>28.2</v>
      </c>
      <c r="N16" s="118"/>
      <c r="O16" s="118"/>
      <c r="P16" s="69"/>
      <c r="Q16" s="69" t="s">
        <v>1241</v>
      </c>
      <c r="R16" s="69"/>
      <c r="S16" s="69"/>
      <c r="T16" s="72" t="str" cm="1">
        <f t="array" ref="T16">IFERROR(INDEX(Products[[ProdCode]:[Product]],_xlfn.XMATCH(Products[[#This Row],[Parent]],Products[Product],0),2),Products[[#This Row],[Product]])</f>
        <v>Coal coke</v>
      </c>
      <c r="U16" s="72" t="str" cm="1">
        <f t="array" ref="U16">IFERROR(INDEX(Products[[ProdCode]:[Product]],_xlfn.XMATCH(INDEX(Products[[Product]:[Parent]],_xlfn.XMATCH(Products[[#This Row],[L1N]],Products[Product],0),2),Products[ProdCode],0),2),Products[[#This Row],[L1N]])</f>
        <v>Coal products</v>
      </c>
      <c r="V16" s="72" t="str" cm="1">
        <f t="array" ref="V16">IFERROR(INDEX(Products[[ProdCode]:[Product]],_xlfn.XMATCH(INDEX(Products[[Product]:[Parent]],_xlfn.XMATCH(Products[[#This Row],[L2N]],Products[Product],0),2),Products[ProdCode],0),2),Products[[#This Row],[L2N]])</f>
        <v>Coal</v>
      </c>
      <c r="W16" s="72" t="str" cm="1">
        <f t="array" ref="W16">IFERROR(INDEX(Products[[ProdCode]:[Product]],_xlfn.XMATCH(INDEX(Products[[Product]:[Parent]],_xlfn.XMATCH(Products[[#This Row],[L3N]],Products[Product],0),2),Products[ProdCode],0),2),Products[[#This Row],[L3N]])</f>
        <v>Fossil fuels</v>
      </c>
      <c r="X16" s="72" t="str" cm="1">
        <f t="array" ref="X16">IFERROR(INDEX(Products[[ProdCode]:[Product]],_xlfn.XMATCH(INDEX(Products[[Product]:[Parent]],_xlfn.XMATCH(Products[[#This Row],[L4N]],Products[Product],0),2),Products[ProdCode],0),2),Products[[#This Row],[L4N]])</f>
        <v>Non-renewable energy</v>
      </c>
      <c r="Y16" s="72" t="str" cm="1">
        <f t="array" ref="Y16">IFERROR(INDEX(Products[[ProdCode]:[Product]],_xlfn.XMATCH(INDEX(Products[[Product]:[Parent]],_xlfn.XMATCH(Products[[#This Row],[L5N]],Products[Product],0),2),Products[ProdCode],0),2),Products[[#This Row],[L5N]])</f>
        <v>Energy</v>
      </c>
      <c r="Z16" s="72" t="str" cm="1">
        <f t="array" ref="Z16">IFERROR(INDEX(Products[[ProdCode]:[Product]],_xlfn.XMATCH(INDEX(Products[[Product]:[Parent]],_xlfn.XMATCH(Products[[#This Row],[L6N]],Products[Product],0),2),Products[ProdCode],0),2),Products[[#This Row],[L6N]])</f>
        <v>Energy</v>
      </c>
      <c r="AA16" s="72" t="str" cm="1">
        <f t="array" ref="AA16">IFERROR(INDEX(Products[[ProdCode]:[Product]],_xlfn.XMATCH(INDEX(Products[[Product]:[Parent]],_xlfn.XMATCH(Products[[#This Row],[L7N]],Products[Product],0),2),Products[ProdCode],0),2),Products[[#This Row],[L7N]])</f>
        <v>Energy</v>
      </c>
      <c r="AB1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1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coke</v>
      </c>
      <c r="AH1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 coke</v>
      </c>
      <c r="AI1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 coke</v>
      </c>
    </row>
    <row r="17" spans="2:35" x14ac:dyDescent="0.45">
      <c r="B17" s="102">
        <v>111311</v>
      </c>
      <c r="C17" s="90" t="s">
        <v>185</v>
      </c>
      <c r="D17" s="102">
        <v>111310</v>
      </c>
      <c r="E17" s="92" t="s">
        <v>1148</v>
      </c>
      <c r="F17" s="19" t="s">
        <v>1189</v>
      </c>
      <c r="G17" s="69" t="s">
        <v>1200</v>
      </c>
      <c r="H17" s="69" t="s">
        <v>83</v>
      </c>
      <c r="I17" s="69"/>
      <c r="J17" s="69"/>
      <c r="K17" s="69" t="s">
        <v>1724</v>
      </c>
      <c r="L17" s="69" t="s">
        <v>1902</v>
      </c>
      <c r="M17" s="69">
        <v>28.2</v>
      </c>
      <c r="N17" s="118"/>
      <c r="O17" s="118"/>
      <c r="P17" s="69"/>
      <c r="Q17" s="69" t="s">
        <v>1241</v>
      </c>
      <c r="R17" s="69"/>
      <c r="S17" s="69"/>
      <c r="T17" s="72" t="str" cm="1">
        <f t="array" ref="T17">IFERROR(INDEX(Products[[ProdCode]:[Product]],_xlfn.XMATCH(Products[[#This Row],[Parent]],Products[Product],0),2),Products[[#This Row],[Product]])</f>
        <v>Coke oven coke</v>
      </c>
      <c r="U17" s="72" t="str" cm="1">
        <f t="array" ref="U17">IFERROR(INDEX(Products[[ProdCode]:[Product]],_xlfn.XMATCH(INDEX(Products[[Product]:[Parent]],_xlfn.XMATCH(Products[[#This Row],[L1N]],Products[Product],0),2),Products[ProdCode],0),2),Products[[#This Row],[L1N]])</f>
        <v>Coal coke</v>
      </c>
      <c r="V17" s="72" t="str" cm="1">
        <f t="array" ref="V17">IFERROR(INDEX(Products[[ProdCode]:[Product]],_xlfn.XMATCH(INDEX(Products[[Product]:[Parent]],_xlfn.XMATCH(Products[[#This Row],[L2N]],Products[Product],0),2),Products[ProdCode],0),2),Products[[#This Row],[L2N]])</f>
        <v>Coal products</v>
      </c>
      <c r="W17" s="72" t="str" cm="1">
        <f t="array" ref="W17">IFERROR(INDEX(Products[[ProdCode]:[Product]],_xlfn.XMATCH(INDEX(Products[[Product]:[Parent]],_xlfn.XMATCH(Products[[#This Row],[L3N]],Products[Product],0),2),Products[ProdCode],0),2),Products[[#This Row],[L3N]])</f>
        <v>Coal</v>
      </c>
      <c r="X17" s="72" t="str" cm="1">
        <f t="array" ref="X17">IFERROR(INDEX(Products[[ProdCode]:[Product]],_xlfn.XMATCH(INDEX(Products[[Product]:[Parent]],_xlfn.XMATCH(Products[[#This Row],[L4N]],Products[Product],0),2),Products[ProdCode],0),2),Products[[#This Row],[L4N]])</f>
        <v>Fossil fuels</v>
      </c>
      <c r="Y17" s="72" t="str" cm="1">
        <f t="array" ref="Y17">IFERROR(INDEX(Products[[ProdCode]:[Product]],_xlfn.XMATCH(INDEX(Products[[Product]:[Parent]],_xlfn.XMATCH(Products[[#This Row],[L5N]],Products[Product],0),2),Products[ProdCode],0),2),Products[[#This Row],[L5N]])</f>
        <v>Non-renewable energy</v>
      </c>
      <c r="Z17" s="72" t="str" cm="1">
        <f t="array" ref="Z17">IFERROR(INDEX(Products[[ProdCode]:[Product]],_xlfn.XMATCH(INDEX(Products[[Product]:[Parent]],_xlfn.XMATCH(Products[[#This Row],[L6N]],Products[Product],0),2),Products[ProdCode],0),2),Products[[#This Row],[L6N]])</f>
        <v>Energy</v>
      </c>
      <c r="AA17" s="72" t="str" cm="1">
        <f t="array" ref="AA17">IFERROR(INDEX(Products[[ProdCode]:[Product]],_xlfn.XMATCH(INDEX(Products[[Product]:[Parent]],_xlfn.XMATCH(Products[[#This Row],[L7N]],Products[Product],0),2),Products[ProdCode],0),2),Products[[#This Row],[L7N]])</f>
        <v>Energy</v>
      </c>
      <c r="AB1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1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coke</v>
      </c>
      <c r="AH1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Coke oven coke</v>
      </c>
      <c r="AI1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Coke oven coke</v>
      </c>
    </row>
    <row r="18" spans="2:35" x14ac:dyDescent="0.45">
      <c r="B18" s="102">
        <v>111312</v>
      </c>
      <c r="C18" s="90" t="s">
        <v>192</v>
      </c>
      <c r="D18" s="102">
        <v>111310</v>
      </c>
      <c r="E18" s="92" t="s">
        <v>1148</v>
      </c>
      <c r="F18" s="19" t="s">
        <v>1189</v>
      </c>
      <c r="G18" s="69" t="s">
        <v>1200</v>
      </c>
      <c r="H18" s="69" t="s">
        <v>83</v>
      </c>
      <c r="I18" s="69"/>
      <c r="J18" s="69"/>
      <c r="K18" s="69" t="s">
        <v>1120</v>
      </c>
      <c r="L18" s="69" t="s">
        <v>1964</v>
      </c>
      <c r="M18" s="69">
        <v>28.2</v>
      </c>
      <c r="N18" s="118"/>
      <c r="O18" s="118"/>
      <c r="P18" s="69"/>
      <c r="Q18" s="69" t="s">
        <v>1241</v>
      </c>
      <c r="R18" s="69"/>
      <c r="S18" s="69"/>
      <c r="T18" s="72" t="str" cm="1">
        <f t="array" ref="T18">IFERROR(INDEX(Products[[ProdCode]:[Product]],_xlfn.XMATCH(Products[[#This Row],[Parent]],Products[Product],0),2),Products[[#This Row],[Product]])</f>
        <v>Gas coke</v>
      </c>
      <c r="U18" s="72" t="str" cm="1">
        <f t="array" ref="U18">IFERROR(INDEX(Products[[ProdCode]:[Product]],_xlfn.XMATCH(INDEX(Products[[Product]:[Parent]],_xlfn.XMATCH(Products[[#This Row],[L1N]],Products[Product],0),2),Products[ProdCode],0),2),Products[[#This Row],[L1N]])</f>
        <v>Coal coke</v>
      </c>
      <c r="V18" s="72" t="str" cm="1">
        <f t="array" ref="V18">IFERROR(INDEX(Products[[ProdCode]:[Product]],_xlfn.XMATCH(INDEX(Products[[Product]:[Parent]],_xlfn.XMATCH(Products[[#This Row],[L2N]],Products[Product],0),2),Products[ProdCode],0),2),Products[[#This Row],[L2N]])</f>
        <v>Coal products</v>
      </c>
      <c r="W18" s="72" t="str" cm="1">
        <f t="array" ref="W18">IFERROR(INDEX(Products[[ProdCode]:[Product]],_xlfn.XMATCH(INDEX(Products[[Product]:[Parent]],_xlfn.XMATCH(Products[[#This Row],[L3N]],Products[Product],0),2),Products[ProdCode],0),2),Products[[#This Row],[L3N]])</f>
        <v>Coal</v>
      </c>
      <c r="X18" s="72" t="str" cm="1">
        <f t="array" ref="X18">IFERROR(INDEX(Products[[ProdCode]:[Product]],_xlfn.XMATCH(INDEX(Products[[Product]:[Parent]],_xlfn.XMATCH(Products[[#This Row],[L4N]],Products[Product],0),2),Products[ProdCode],0),2),Products[[#This Row],[L4N]])</f>
        <v>Fossil fuels</v>
      </c>
      <c r="Y18" s="72" t="str" cm="1">
        <f t="array" ref="Y18">IFERROR(INDEX(Products[[ProdCode]:[Product]],_xlfn.XMATCH(INDEX(Products[[Product]:[Parent]],_xlfn.XMATCH(Products[[#This Row],[L5N]],Products[Product],0),2),Products[ProdCode],0),2),Products[[#This Row],[L5N]])</f>
        <v>Non-renewable energy</v>
      </c>
      <c r="Z18" s="72" t="str" cm="1">
        <f t="array" ref="Z18">IFERROR(INDEX(Products[[ProdCode]:[Product]],_xlfn.XMATCH(INDEX(Products[[Product]:[Parent]],_xlfn.XMATCH(Products[[#This Row],[L6N]],Products[Product],0),2),Products[ProdCode],0),2),Products[[#This Row],[L6N]])</f>
        <v>Energy</v>
      </c>
      <c r="AA18" s="72" t="str" cm="1">
        <f t="array" ref="AA18">IFERROR(INDEX(Products[[ProdCode]:[Product]],_xlfn.XMATCH(INDEX(Products[[Product]:[Parent]],_xlfn.XMATCH(Products[[#This Row],[L7N]],Products[Product],0),2),Products[ProdCode],0),2),Products[[#This Row],[L7N]])</f>
        <v>Energy</v>
      </c>
      <c r="AB1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1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coke</v>
      </c>
      <c r="AH1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coke</v>
      </c>
      <c r="AI1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coke</v>
      </c>
    </row>
    <row r="19" spans="2:35" x14ac:dyDescent="0.45">
      <c r="B19" s="102">
        <v>111313</v>
      </c>
      <c r="C19" s="90" t="s">
        <v>200</v>
      </c>
      <c r="D19" s="102">
        <v>111310</v>
      </c>
      <c r="E19" s="92" t="s">
        <v>1148</v>
      </c>
      <c r="F19" s="19" t="s">
        <v>1189</v>
      </c>
      <c r="G19" s="69" t="s">
        <v>1200</v>
      </c>
      <c r="H19" s="69" t="s">
        <v>83</v>
      </c>
      <c r="I19" s="69"/>
      <c r="J19" s="69"/>
      <c r="K19" s="69" t="s">
        <v>1725</v>
      </c>
      <c r="L19" s="69"/>
      <c r="M19" s="69">
        <v>20</v>
      </c>
      <c r="N19" s="118"/>
      <c r="O19" s="118"/>
      <c r="P19" s="69"/>
      <c r="Q19" s="69" t="s">
        <v>1241</v>
      </c>
      <c r="R19" s="69"/>
      <c r="S19" s="69"/>
      <c r="T19" s="72" t="str" cm="1">
        <f t="array" ref="T19">IFERROR(INDEX(Products[[ProdCode]:[Product]],_xlfn.XMATCH(Products[[#This Row],[Parent]],Products[Product],0),2),Products[[#This Row],[Product]])</f>
        <v>Coke breeze</v>
      </c>
      <c r="U19" s="72" t="str" cm="1">
        <f t="array" ref="U19">IFERROR(INDEX(Products[[ProdCode]:[Product]],_xlfn.XMATCH(INDEX(Products[[Product]:[Parent]],_xlfn.XMATCH(Products[[#This Row],[L1N]],Products[Product],0),2),Products[ProdCode],0),2),Products[[#This Row],[L1N]])</f>
        <v>Coal coke</v>
      </c>
      <c r="V19" s="72" t="str" cm="1">
        <f t="array" ref="V19">IFERROR(INDEX(Products[[ProdCode]:[Product]],_xlfn.XMATCH(INDEX(Products[[Product]:[Parent]],_xlfn.XMATCH(Products[[#This Row],[L2N]],Products[Product],0),2),Products[ProdCode],0),2),Products[[#This Row],[L2N]])</f>
        <v>Coal products</v>
      </c>
      <c r="W19" s="72" t="str" cm="1">
        <f t="array" ref="W19">IFERROR(INDEX(Products[[ProdCode]:[Product]],_xlfn.XMATCH(INDEX(Products[[Product]:[Parent]],_xlfn.XMATCH(Products[[#This Row],[L3N]],Products[Product],0),2),Products[ProdCode],0),2),Products[[#This Row],[L3N]])</f>
        <v>Coal</v>
      </c>
      <c r="X19" s="72" t="str" cm="1">
        <f t="array" ref="X19">IFERROR(INDEX(Products[[ProdCode]:[Product]],_xlfn.XMATCH(INDEX(Products[[Product]:[Parent]],_xlfn.XMATCH(Products[[#This Row],[L4N]],Products[Product],0),2),Products[ProdCode],0),2),Products[[#This Row],[L4N]])</f>
        <v>Fossil fuels</v>
      </c>
      <c r="Y19" s="72" t="str" cm="1">
        <f t="array" ref="Y19">IFERROR(INDEX(Products[[ProdCode]:[Product]],_xlfn.XMATCH(INDEX(Products[[Product]:[Parent]],_xlfn.XMATCH(Products[[#This Row],[L5N]],Products[Product],0),2),Products[ProdCode],0),2),Products[[#This Row],[L5N]])</f>
        <v>Non-renewable energy</v>
      </c>
      <c r="Z19" s="72" t="str" cm="1">
        <f t="array" ref="Z19">IFERROR(INDEX(Products[[ProdCode]:[Product]],_xlfn.XMATCH(INDEX(Products[[Product]:[Parent]],_xlfn.XMATCH(Products[[#This Row],[L6N]],Products[Product],0),2),Products[ProdCode],0),2),Products[[#This Row],[L6N]])</f>
        <v>Energy</v>
      </c>
      <c r="AA19" s="72" t="str" cm="1">
        <f t="array" ref="AA19">IFERROR(INDEX(Products[[ProdCode]:[Product]],_xlfn.XMATCH(INDEX(Products[[Product]:[Parent]],_xlfn.XMATCH(Products[[#This Row],[L7N]],Products[Product],0),2),Products[ProdCode],0),2),Products[[#This Row],[L7N]])</f>
        <v>Energy</v>
      </c>
      <c r="AB1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1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1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1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coke</v>
      </c>
      <c r="AH1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Coke breeze</v>
      </c>
      <c r="AI1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Coke breeze</v>
      </c>
    </row>
    <row r="20" spans="2:35" x14ac:dyDescent="0.45">
      <c r="B20" s="102">
        <v>111314</v>
      </c>
      <c r="C20" s="90" t="s">
        <v>208</v>
      </c>
      <c r="D20" s="102">
        <v>111310</v>
      </c>
      <c r="E20" s="92" t="s">
        <v>1148</v>
      </c>
      <c r="F20" s="19" t="s">
        <v>1189</v>
      </c>
      <c r="G20" s="69" t="s">
        <v>1200</v>
      </c>
      <c r="H20" s="69" t="s">
        <v>83</v>
      </c>
      <c r="I20" s="69"/>
      <c r="J20" s="69"/>
      <c r="K20" s="69" t="s">
        <v>1726</v>
      </c>
      <c r="L20" s="69"/>
      <c r="M20" s="69">
        <v>20</v>
      </c>
      <c r="N20" s="118"/>
      <c r="O20" s="118"/>
      <c r="P20" s="69"/>
      <c r="Q20" s="69" t="s">
        <v>1241</v>
      </c>
      <c r="R20" s="69"/>
      <c r="S20" s="69"/>
      <c r="T20" s="72" t="str" cm="1">
        <f t="array" ref="T20">IFERROR(INDEX(Products[[ProdCode]:[Product]],_xlfn.XMATCH(Products[[#This Row],[Parent]],Products[Product],0),2),Products[[#This Row],[Product]])</f>
        <v>Semi cokes</v>
      </c>
      <c r="U20" s="72" t="str" cm="1">
        <f t="array" ref="U20">IFERROR(INDEX(Products[[ProdCode]:[Product]],_xlfn.XMATCH(INDEX(Products[[Product]:[Parent]],_xlfn.XMATCH(Products[[#This Row],[L1N]],Products[Product],0),2),Products[ProdCode],0),2),Products[[#This Row],[L1N]])</f>
        <v>Coal coke</v>
      </c>
      <c r="V20" s="72" t="str" cm="1">
        <f t="array" ref="V20">IFERROR(INDEX(Products[[ProdCode]:[Product]],_xlfn.XMATCH(INDEX(Products[[Product]:[Parent]],_xlfn.XMATCH(Products[[#This Row],[L2N]],Products[Product],0),2),Products[ProdCode],0),2),Products[[#This Row],[L2N]])</f>
        <v>Coal products</v>
      </c>
      <c r="W20" s="72" t="str" cm="1">
        <f t="array" ref="W20">IFERROR(INDEX(Products[[ProdCode]:[Product]],_xlfn.XMATCH(INDEX(Products[[Product]:[Parent]],_xlfn.XMATCH(Products[[#This Row],[L3N]],Products[Product],0),2),Products[ProdCode],0),2),Products[[#This Row],[L3N]])</f>
        <v>Coal</v>
      </c>
      <c r="X20" s="72" t="str" cm="1">
        <f t="array" ref="X20">IFERROR(INDEX(Products[[ProdCode]:[Product]],_xlfn.XMATCH(INDEX(Products[[Product]:[Parent]],_xlfn.XMATCH(Products[[#This Row],[L4N]],Products[Product],0),2),Products[ProdCode],0),2),Products[[#This Row],[L4N]])</f>
        <v>Fossil fuels</v>
      </c>
      <c r="Y20" s="72" t="str" cm="1">
        <f t="array" ref="Y20">IFERROR(INDEX(Products[[ProdCode]:[Product]],_xlfn.XMATCH(INDEX(Products[[Product]:[Parent]],_xlfn.XMATCH(Products[[#This Row],[L5N]],Products[Product],0),2),Products[ProdCode],0),2),Products[[#This Row],[L5N]])</f>
        <v>Non-renewable energy</v>
      </c>
      <c r="Z20" s="72" t="str" cm="1">
        <f t="array" ref="Z20">IFERROR(INDEX(Products[[ProdCode]:[Product]],_xlfn.XMATCH(INDEX(Products[[Product]:[Parent]],_xlfn.XMATCH(Products[[#This Row],[L6N]],Products[Product],0),2),Products[ProdCode],0),2),Products[[#This Row],[L6N]])</f>
        <v>Energy</v>
      </c>
      <c r="AA20" s="72" t="str" cm="1">
        <f t="array" ref="AA20">IFERROR(INDEX(Products[[ProdCode]:[Product]],_xlfn.XMATCH(INDEX(Products[[Product]:[Parent]],_xlfn.XMATCH(Products[[#This Row],[L7N]],Products[Product],0),2),Products[ProdCode],0),2),Products[[#This Row],[L7N]])</f>
        <v>Energy</v>
      </c>
      <c r="AB2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coke</v>
      </c>
      <c r="AH2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Semi cokes</v>
      </c>
      <c r="AI2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Semi cokes</v>
      </c>
    </row>
    <row r="21" spans="2:35" x14ac:dyDescent="0.45">
      <c r="B21" s="101">
        <v>111320</v>
      </c>
      <c r="C21" s="87" t="s">
        <v>215</v>
      </c>
      <c r="D21" s="101">
        <v>111300</v>
      </c>
      <c r="E21" s="92" t="s">
        <v>1148</v>
      </c>
      <c r="F21" s="19" t="s">
        <v>1189</v>
      </c>
      <c r="G21" s="69" t="s">
        <v>1199</v>
      </c>
      <c r="H21" s="69" t="s">
        <v>83</v>
      </c>
      <c r="I21" s="69"/>
      <c r="J21" s="69"/>
      <c r="K21" s="69" t="s">
        <v>1727</v>
      </c>
      <c r="L21" s="69" t="s">
        <v>1903</v>
      </c>
      <c r="M21" s="69">
        <v>20.7</v>
      </c>
      <c r="N21" s="118"/>
      <c r="O21" s="118"/>
      <c r="P21" s="69"/>
      <c r="Q21" s="69" t="s">
        <v>1241</v>
      </c>
      <c r="R21" s="69"/>
      <c r="S21" s="69" t="s">
        <v>1862</v>
      </c>
      <c r="T21" s="72" t="str" cm="1">
        <f t="array" ref="T21">IFERROR(INDEX(Products[[ProdCode]:[Product]],_xlfn.XMATCH(Products[[#This Row],[Parent]],Products[Product],0),2),Products[[#This Row],[Product]])</f>
        <v>Patent fuel</v>
      </c>
      <c r="U21" s="72" t="str" cm="1">
        <f t="array" ref="U21">IFERROR(INDEX(Products[[ProdCode]:[Product]],_xlfn.XMATCH(INDEX(Products[[Product]:[Parent]],_xlfn.XMATCH(Products[[#This Row],[L1N]],Products[Product],0),2),Products[ProdCode],0),2),Products[[#This Row],[L1N]])</f>
        <v>Coal products</v>
      </c>
      <c r="V21" s="72" t="str" cm="1">
        <f t="array" ref="V21">IFERROR(INDEX(Products[[ProdCode]:[Product]],_xlfn.XMATCH(INDEX(Products[[Product]:[Parent]],_xlfn.XMATCH(Products[[#This Row],[L2N]],Products[Product],0),2),Products[ProdCode],0),2),Products[[#This Row],[L2N]])</f>
        <v>Coal</v>
      </c>
      <c r="W21" s="72" t="str" cm="1">
        <f t="array" ref="W21">IFERROR(INDEX(Products[[ProdCode]:[Product]],_xlfn.XMATCH(INDEX(Products[[Product]:[Parent]],_xlfn.XMATCH(Products[[#This Row],[L3N]],Products[Product],0),2),Products[ProdCode],0),2),Products[[#This Row],[L3N]])</f>
        <v>Fossil fuels</v>
      </c>
      <c r="X21" s="72" t="str" cm="1">
        <f t="array" ref="X21">IFERROR(INDEX(Products[[ProdCode]:[Product]],_xlfn.XMATCH(INDEX(Products[[Product]:[Parent]],_xlfn.XMATCH(Products[[#This Row],[L4N]],Products[Product],0),2),Products[ProdCode],0),2),Products[[#This Row],[L4N]])</f>
        <v>Non-renewable energy</v>
      </c>
      <c r="Y21" s="72" t="str" cm="1">
        <f t="array" ref="Y21">IFERROR(INDEX(Products[[ProdCode]:[Product]],_xlfn.XMATCH(INDEX(Products[[Product]:[Parent]],_xlfn.XMATCH(Products[[#This Row],[L5N]],Products[Product],0),2),Products[ProdCode],0),2),Products[[#This Row],[L5N]])</f>
        <v>Energy</v>
      </c>
      <c r="Z21" s="72" t="str" cm="1">
        <f t="array" ref="Z21">IFERROR(INDEX(Products[[ProdCode]:[Product]],_xlfn.XMATCH(INDEX(Products[[Product]:[Parent]],_xlfn.XMATCH(Products[[#This Row],[L6N]],Products[Product],0),2),Products[ProdCode],0),2),Products[[#This Row],[L6N]])</f>
        <v>Energy</v>
      </c>
      <c r="AA21" s="72" t="str" cm="1">
        <f t="array" ref="AA21">IFERROR(INDEX(Products[[ProdCode]:[Product]],_xlfn.XMATCH(INDEX(Products[[Product]:[Parent]],_xlfn.XMATCH(Products[[#This Row],[L7N]],Products[Product],0),2),Products[ProdCode],0),2),Products[[#This Row],[L7N]])</f>
        <v>Energy</v>
      </c>
      <c r="AB2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Patent fuel</v>
      </c>
      <c r="AH2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Patent fuel</v>
      </c>
      <c r="AI2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Patent fuel</v>
      </c>
    </row>
    <row r="22" spans="2:35" x14ac:dyDescent="0.45">
      <c r="B22" s="101">
        <v>111330</v>
      </c>
      <c r="C22" s="87" t="s">
        <v>222</v>
      </c>
      <c r="D22" s="101">
        <v>111300</v>
      </c>
      <c r="E22" s="92" t="s">
        <v>1148</v>
      </c>
      <c r="F22" s="19" t="s">
        <v>1189</v>
      </c>
      <c r="G22" s="69" t="s">
        <v>1199</v>
      </c>
      <c r="H22" s="69" t="s">
        <v>83</v>
      </c>
      <c r="I22" s="69"/>
      <c r="J22" s="69"/>
      <c r="K22" s="69" t="s">
        <v>1038</v>
      </c>
      <c r="L22" s="69" t="s">
        <v>1904</v>
      </c>
      <c r="M22" s="69">
        <v>20.7</v>
      </c>
      <c r="N22" s="118"/>
      <c r="O22" s="118"/>
      <c r="P22" s="69"/>
      <c r="Q22" s="69" t="s">
        <v>1241</v>
      </c>
      <c r="R22" s="69"/>
      <c r="S22" s="69" t="s">
        <v>1862</v>
      </c>
      <c r="T22" s="72" t="str" cm="1">
        <f t="array" ref="T22">IFERROR(INDEX(Products[[ProdCode]:[Product]],_xlfn.XMATCH(Products[[#This Row],[Parent]],Products[Product],0),2),Products[[#This Row],[Product]])</f>
        <v>Brown coal briquettes (BKB)</v>
      </c>
      <c r="U22" s="72" t="str" cm="1">
        <f t="array" ref="U22">IFERROR(INDEX(Products[[ProdCode]:[Product]],_xlfn.XMATCH(INDEX(Products[[Product]:[Parent]],_xlfn.XMATCH(Products[[#This Row],[L1N]],Products[Product],0),2),Products[ProdCode],0),2),Products[[#This Row],[L1N]])</f>
        <v>Coal products</v>
      </c>
      <c r="V22" s="72" t="str" cm="1">
        <f t="array" ref="V22">IFERROR(INDEX(Products[[ProdCode]:[Product]],_xlfn.XMATCH(INDEX(Products[[Product]:[Parent]],_xlfn.XMATCH(Products[[#This Row],[L2N]],Products[Product],0),2),Products[ProdCode],0),2),Products[[#This Row],[L2N]])</f>
        <v>Coal</v>
      </c>
      <c r="W22" s="72" t="str" cm="1">
        <f t="array" ref="W22">IFERROR(INDEX(Products[[ProdCode]:[Product]],_xlfn.XMATCH(INDEX(Products[[Product]:[Parent]],_xlfn.XMATCH(Products[[#This Row],[L3N]],Products[Product],0),2),Products[ProdCode],0),2),Products[[#This Row],[L3N]])</f>
        <v>Fossil fuels</v>
      </c>
      <c r="X22" s="72" t="str" cm="1">
        <f t="array" ref="X22">IFERROR(INDEX(Products[[ProdCode]:[Product]],_xlfn.XMATCH(INDEX(Products[[Product]:[Parent]],_xlfn.XMATCH(Products[[#This Row],[L4N]],Products[Product],0),2),Products[ProdCode],0),2),Products[[#This Row],[L4N]])</f>
        <v>Non-renewable energy</v>
      </c>
      <c r="Y22" s="72" t="str" cm="1">
        <f t="array" ref="Y22">IFERROR(INDEX(Products[[ProdCode]:[Product]],_xlfn.XMATCH(INDEX(Products[[Product]:[Parent]],_xlfn.XMATCH(Products[[#This Row],[L5N]],Products[Product],0),2),Products[ProdCode],0),2),Products[[#This Row],[L5N]])</f>
        <v>Energy</v>
      </c>
      <c r="Z22" s="72" t="str" cm="1">
        <f t="array" ref="Z22">IFERROR(INDEX(Products[[ProdCode]:[Product]],_xlfn.XMATCH(INDEX(Products[[Product]:[Parent]],_xlfn.XMATCH(Products[[#This Row],[L6N]],Products[Product],0),2),Products[ProdCode],0),2),Products[[#This Row],[L6N]])</f>
        <v>Energy</v>
      </c>
      <c r="AA22" s="72" t="str" cm="1">
        <f t="array" ref="AA22">IFERROR(INDEX(Products[[ProdCode]:[Product]],_xlfn.XMATCH(INDEX(Products[[Product]:[Parent]],_xlfn.XMATCH(Products[[#This Row],[L7N]],Products[Product],0),2),Products[ProdCode],0),2),Products[[#This Row],[L7N]])</f>
        <v>Energy</v>
      </c>
      <c r="AB2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Brown coal briquettes (BKB)</v>
      </c>
      <c r="AH2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Brown coal briquettes (BKB)</v>
      </c>
      <c r="AI2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Brown coal briquettes (BKB)</v>
      </c>
    </row>
    <row r="23" spans="2:35" x14ac:dyDescent="0.45">
      <c r="B23" s="101">
        <v>111340</v>
      </c>
      <c r="C23" s="87" t="s">
        <v>229</v>
      </c>
      <c r="D23" s="101">
        <v>111300</v>
      </c>
      <c r="E23" s="92" t="s">
        <v>1148</v>
      </c>
      <c r="F23" s="19" t="s">
        <v>1189</v>
      </c>
      <c r="G23" s="69" t="s">
        <v>1199</v>
      </c>
      <c r="H23" s="69" t="s">
        <v>83</v>
      </c>
      <c r="I23" s="69"/>
      <c r="J23" s="69"/>
      <c r="K23" s="69" t="s">
        <v>1042</v>
      </c>
      <c r="L23" s="69" t="s">
        <v>1905</v>
      </c>
      <c r="M23" s="69">
        <v>28</v>
      </c>
      <c r="N23" s="118"/>
      <c r="O23" s="118"/>
      <c r="P23" s="69"/>
      <c r="Q23" s="69" t="s">
        <v>1241</v>
      </c>
      <c r="R23" s="69"/>
      <c r="S23" s="69"/>
      <c r="T23" s="72" t="str" cm="1">
        <f t="array" ref="T23">IFERROR(INDEX(Products[[ProdCode]:[Product]],_xlfn.XMATCH(Products[[#This Row],[Parent]],Products[Product],0),2),Products[[#This Row],[Product]])</f>
        <v>Coal tar</v>
      </c>
      <c r="U23" s="72" t="str" cm="1">
        <f t="array" ref="U23">IFERROR(INDEX(Products[[ProdCode]:[Product]],_xlfn.XMATCH(INDEX(Products[[Product]:[Parent]],_xlfn.XMATCH(Products[[#This Row],[L1N]],Products[Product],0),2),Products[ProdCode],0),2),Products[[#This Row],[L1N]])</f>
        <v>Coal products</v>
      </c>
      <c r="V23" s="72" t="str" cm="1">
        <f t="array" ref="V23">IFERROR(INDEX(Products[[ProdCode]:[Product]],_xlfn.XMATCH(INDEX(Products[[Product]:[Parent]],_xlfn.XMATCH(Products[[#This Row],[L2N]],Products[Product],0),2),Products[ProdCode],0),2),Products[[#This Row],[L2N]])</f>
        <v>Coal</v>
      </c>
      <c r="W23" s="72" t="str" cm="1">
        <f t="array" ref="W23">IFERROR(INDEX(Products[[ProdCode]:[Product]],_xlfn.XMATCH(INDEX(Products[[Product]:[Parent]],_xlfn.XMATCH(Products[[#This Row],[L3N]],Products[Product],0),2),Products[ProdCode],0),2),Products[[#This Row],[L3N]])</f>
        <v>Fossil fuels</v>
      </c>
      <c r="X23" s="72" t="str" cm="1">
        <f t="array" ref="X23">IFERROR(INDEX(Products[[ProdCode]:[Product]],_xlfn.XMATCH(INDEX(Products[[Product]:[Parent]],_xlfn.XMATCH(Products[[#This Row],[L4N]],Products[Product],0),2),Products[ProdCode],0),2),Products[[#This Row],[L4N]])</f>
        <v>Non-renewable energy</v>
      </c>
      <c r="Y23" s="72" t="str" cm="1">
        <f t="array" ref="Y23">IFERROR(INDEX(Products[[ProdCode]:[Product]],_xlfn.XMATCH(INDEX(Products[[Product]:[Parent]],_xlfn.XMATCH(Products[[#This Row],[L5N]],Products[Product],0),2),Products[ProdCode],0),2),Products[[#This Row],[L5N]])</f>
        <v>Energy</v>
      </c>
      <c r="Z23" s="72" t="str" cm="1">
        <f t="array" ref="Z23">IFERROR(INDEX(Products[[ProdCode]:[Product]],_xlfn.XMATCH(INDEX(Products[[Product]:[Parent]],_xlfn.XMATCH(Products[[#This Row],[L6N]],Products[Product],0),2),Products[ProdCode],0),2),Products[[#This Row],[L6N]])</f>
        <v>Energy</v>
      </c>
      <c r="AA23" s="72" t="str" cm="1">
        <f t="array" ref="AA23">IFERROR(INDEX(Products[[ProdCode]:[Product]],_xlfn.XMATCH(INDEX(Products[[Product]:[Parent]],_xlfn.XMATCH(Products[[#This Row],[L7N]],Products[Product],0),2),Products[ProdCode],0),2),Products[[#This Row],[L7N]])</f>
        <v>Energy</v>
      </c>
      <c r="AB2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Coal tar</v>
      </c>
      <c r="AH2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 tar</v>
      </c>
      <c r="AI2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 tar</v>
      </c>
    </row>
    <row r="24" spans="2:35" x14ac:dyDescent="0.45">
      <c r="B24" s="101">
        <v>111350</v>
      </c>
      <c r="C24" s="87" t="s">
        <v>236</v>
      </c>
      <c r="D24" s="101">
        <v>111300</v>
      </c>
      <c r="E24" s="92" t="s">
        <v>1148</v>
      </c>
      <c r="F24" s="19" t="s">
        <v>1189</v>
      </c>
      <c r="G24" s="69" t="s">
        <v>1199</v>
      </c>
      <c r="H24" s="69" t="s">
        <v>83</v>
      </c>
      <c r="I24" s="69"/>
      <c r="J24" s="69"/>
      <c r="K24" s="69" t="s">
        <v>1728</v>
      </c>
      <c r="L24" s="69" t="s">
        <v>1906</v>
      </c>
      <c r="M24" s="69">
        <v>1</v>
      </c>
      <c r="N24" s="118"/>
      <c r="O24" s="118"/>
      <c r="P24" s="69"/>
      <c r="Q24" s="69" t="s">
        <v>1241</v>
      </c>
      <c r="R24" s="69"/>
      <c r="S24" s="69"/>
      <c r="T24" s="72" t="str" cm="1">
        <f t="array" ref="T24">IFERROR(INDEX(Products[[ProdCode]:[Product]],_xlfn.XMATCH(Products[[#This Row],[Parent]],Products[Product],0),2),Products[[#This Row],[Product]])</f>
        <v>Coke oven gas</v>
      </c>
      <c r="U24" s="72" t="str" cm="1">
        <f t="array" ref="U24">IFERROR(INDEX(Products[[ProdCode]:[Product]],_xlfn.XMATCH(INDEX(Products[[Product]:[Parent]],_xlfn.XMATCH(Products[[#This Row],[L1N]],Products[Product],0),2),Products[ProdCode],0),2),Products[[#This Row],[L1N]])</f>
        <v>Coal products</v>
      </c>
      <c r="V24" s="72" t="str" cm="1">
        <f t="array" ref="V24">IFERROR(INDEX(Products[[ProdCode]:[Product]],_xlfn.XMATCH(INDEX(Products[[Product]:[Parent]],_xlfn.XMATCH(Products[[#This Row],[L2N]],Products[Product],0),2),Products[ProdCode],0),2),Products[[#This Row],[L2N]])</f>
        <v>Coal</v>
      </c>
      <c r="W24" s="72" t="str" cm="1">
        <f t="array" ref="W24">IFERROR(INDEX(Products[[ProdCode]:[Product]],_xlfn.XMATCH(INDEX(Products[[Product]:[Parent]],_xlfn.XMATCH(Products[[#This Row],[L3N]],Products[Product],0),2),Products[ProdCode],0),2),Products[[#This Row],[L3N]])</f>
        <v>Fossil fuels</v>
      </c>
      <c r="X24" s="72" t="str" cm="1">
        <f t="array" ref="X24">IFERROR(INDEX(Products[[ProdCode]:[Product]],_xlfn.XMATCH(INDEX(Products[[Product]:[Parent]],_xlfn.XMATCH(Products[[#This Row],[L4N]],Products[Product],0),2),Products[ProdCode],0),2),Products[[#This Row],[L4N]])</f>
        <v>Non-renewable energy</v>
      </c>
      <c r="Y24" s="72" t="str" cm="1">
        <f t="array" ref="Y24">IFERROR(INDEX(Products[[ProdCode]:[Product]],_xlfn.XMATCH(INDEX(Products[[Product]:[Parent]],_xlfn.XMATCH(Products[[#This Row],[L5N]],Products[Product],0),2),Products[ProdCode],0),2),Products[[#This Row],[L5N]])</f>
        <v>Energy</v>
      </c>
      <c r="Z24" s="72" t="str" cm="1">
        <f t="array" ref="Z24">IFERROR(INDEX(Products[[ProdCode]:[Product]],_xlfn.XMATCH(INDEX(Products[[Product]:[Parent]],_xlfn.XMATCH(Products[[#This Row],[L6N]],Products[Product],0),2),Products[ProdCode],0),2),Products[[#This Row],[L6N]])</f>
        <v>Energy</v>
      </c>
      <c r="AA24" s="72" t="str" cm="1">
        <f t="array" ref="AA24">IFERROR(INDEX(Products[[ProdCode]:[Product]],_xlfn.XMATCH(INDEX(Products[[Product]:[Parent]],_xlfn.XMATCH(Products[[#This Row],[L7N]],Products[Product],0),2),Products[ProdCode],0),2),Products[[#This Row],[L7N]])</f>
        <v>Energy</v>
      </c>
      <c r="AB2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Coke oven gas</v>
      </c>
      <c r="AH2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Coke oven gas</v>
      </c>
      <c r="AI2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Coke oven gas</v>
      </c>
    </row>
    <row r="25" spans="2:35" x14ac:dyDescent="0.45">
      <c r="B25" s="101">
        <v>111360</v>
      </c>
      <c r="C25" s="87" t="s">
        <v>244</v>
      </c>
      <c r="D25" s="101">
        <v>111300</v>
      </c>
      <c r="E25" s="92" t="s">
        <v>1148</v>
      </c>
      <c r="F25" s="19" t="s">
        <v>1189</v>
      </c>
      <c r="G25" s="69" t="s">
        <v>1199</v>
      </c>
      <c r="H25" s="69" t="s">
        <v>83</v>
      </c>
      <c r="I25" s="69"/>
      <c r="J25" s="69"/>
      <c r="K25" s="69" t="s">
        <v>1374</v>
      </c>
      <c r="L25" s="69" t="s">
        <v>1907</v>
      </c>
      <c r="M25" s="69">
        <v>1</v>
      </c>
      <c r="N25" s="118"/>
      <c r="O25" s="118"/>
      <c r="P25" s="69"/>
      <c r="Q25" s="69" t="s">
        <v>1241</v>
      </c>
      <c r="R25" s="69"/>
      <c r="S25" s="69" t="s">
        <v>1861</v>
      </c>
      <c r="T25" s="72" t="str" cm="1">
        <f t="array" ref="T25">IFERROR(INDEX(Products[[ProdCode]:[Product]],_xlfn.XMATCH(Products[[#This Row],[Parent]],Products[Product],0),2),Products[[#This Row],[Product]])</f>
        <v>Gas works gas</v>
      </c>
      <c r="U25" s="72" t="str" cm="1">
        <f t="array" ref="U25">IFERROR(INDEX(Products[[ProdCode]:[Product]],_xlfn.XMATCH(INDEX(Products[[Product]:[Parent]],_xlfn.XMATCH(Products[[#This Row],[L1N]],Products[Product],0),2),Products[ProdCode],0),2),Products[[#This Row],[L1N]])</f>
        <v>Coal products</v>
      </c>
      <c r="V25" s="72" t="str" cm="1">
        <f t="array" ref="V25">IFERROR(INDEX(Products[[ProdCode]:[Product]],_xlfn.XMATCH(INDEX(Products[[Product]:[Parent]],_xlfn.XMATCH(Products[[#This Row],[L2N]],Products[Product],0),2),Products[ProdCode],0),2),Products[[#This Row],[L2N]])</f>
        <v>Coal</v>
      </c>
      <c r="W25" s="72" t="str" cm="1">
        <f t="array" ref="W25">IFERROR(INDEX(Products[[ProdCode]:[Product]],_xlfn.XMATCH(INDEX(Products[[Product]:[Parent]],_xlfn.XMATCH(Products[[#This Row],[L3N]],Products[Product],0),2),Products[ProdCode],0),2),Products[[#This Row],[L3N]])</f>
        <v>Fossil fuels</v>
      </c>
      <c r="X25" s="72" t="str" cm="1">
        <f t="array" ref="X25">IFERROR(INDEX(Products[[ProdCode]:[Product]],_xlfn.XMATCH(INDEX(Products[[Product]:[Parent]],_xlfn.XMATCH(Products[[#This Row],[L4N]],Products[Product],0),2),Products[ProdCode],0),2),Products[[#This Row],[L4N]])</f>
        <v>Non-renewable energy</v>
      </c>
      <c r="Y25" s="72" t="str" cm="1">
        <f t="array" ref="Y25">IFERROR(INDEX(Products[[ProdCode]:[Product]],_xlfn.XMATCH(INDEX(Products[[Product]:[Parent]],_xlfn.XMATCH(Products[[#This Row],[L5N]],Products[Product],0),2),Products[ProdCode],0),2),Products[[#This Row],[L5N]])</f>
        <v>Energy</v>
      </c>
      <c r="Z25" s="72" t="str" cm="1">
        <f t="array" ref="Z25">IFERROR(INDEX(Products[[ProdCode]:[Product]],_xlfn.XMATCH(INDEX(Products[[Product]:[Parent]],_xlfn.XMATCH(Products[[#This Row],[L6N]],Products[Product],0),2),Products[ProdCode],0),2),Products[[#This Row],[L6N]])</f>
        <v>Energy</v>
      </c>
      <c r="AA25" s="72" t="str" cm="1">
        <f t="array" ref="AA25">IFERROR(INDEX(Products[[ProdCode]:[Product]],_xlfn.XMATCH(INDEX(Products[[Product]:[Parent]],_xlfn.XMATCH(Products[[#This Row],[L7N]],Products[Product],0),2),Products[ProdCode],0),2),Products[[#This Row],[L7N]])</f>
        <v>Energy</v>
      </c>
      <c r="AB2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works gas</v>
      </c>
      <c r="AH2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works gas</v>
      </c>
      <c r="AI2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works gas</v>
      </c>
    </row>
    <row r="26" spans="2:35" x14ac:dyDescent="0.45">
      <c r="B26" s="101">
        <v>111370</v>
      </c>
      <c r="C26" s="87" t="s">
        <v>252</v>
      </c>
      <c r="D26" s="101">
        <v>111300</v>
      </c>
      <c r="E26" s="92" t="s">
        <v>1148</v>
      </c>
      <c r="F26" s="19" t="s">
        <v>1189</v>
      </c>
      <c r="G26" s="69" t="s">
        <v>1199</v>
      </c>
      <c r="H26" s="69" t="s">
        <v>65</v>
      </c>
      <c r="I26" s="69"/>
      <c r="J26" s="69"/>
      <c r="K26" s="69" t="s">
        <v>1729</v>
      </c>
      <c r="L26" s="69"/>
      <c r="M26" s="69">
        <v>1</v>
      </c>
      <c r="N26" s="118"/>
      <c r="O26" s="118"/>
      <c r="P26" s="69"/>
      <c r="Q26" s="69" t="s">
        <v>1241</v>
      </c>
      <c r="R26" s="69"/>
      <c r="S26" s="69"/>
      <c r="T26" s="72" t="str" cm="1">
        <f t="array" ref="T26">IFERROR(INDEX(Products[[ProdCode]:[Product]],_xlfn.XMATCH(Products[[#This Row],[Parent]],Products[Product],0),2),Products[[#This Row],[Product]])</f>
        <v>Recovered gases</v>
      </c>
      <c r="U26" s="72" t="str" cm="1">
        <f t="array" ref="U26">IFERROR(INDEX(Products[[ProdCode]:[Product]],_xlfn.XMATCH(INDEX(Products[[Product]:[Parent]],_xlfn.XMATCH(Products[[#This Row],[L1N]],Products[Product],0),2),Products[ProdCode],0),2),Products[[#This Row],[L1N]])</f>
        <v>Coal products</v>
      </c>
      <c r="V26" s="72" t="str" cm="1">
        <f t="array" ref="V26">IFERROR(INDEX(Products[[ProdCode]:[Product]],_xlfn.XMATCH(INDEX(Products[[Product]:[Parent]],_xlfn.XMATCH(Products[[#This Row],[L2N]],Products[Product],0),2),Products[ProdCode],0),2),Products[[#This Row],[L2N]])</f>
        <v>Coal</v>
      </c>
      <c r="W26" s="72" t="str" cm="1">
        <f t="array" ref="W26">IFERROR(INDEX(Products[[ProdCode]:[Product]],_xlfn.XMATCH(INDEX(Products[[Product]:[Parent]],_xlfn.XMATCH(Products[[#This Row],[L3N]],Products[Product],0),2),Products[ProdCode],0),2),Products[[#This Row],[L3N]])</f>
        <v>Fossil fuels</v>
      </c>
      <c r="X26" s="72" t="str" cm="1">
        <f t="array" ref="X26">IFERROR(INDEX(Products[[ProdCode]:[Product]],_xlfn.XMATCH(INDEX(Products[[Product]:[Parent]],_xlfn.XMATCH(Products[[#This Row],[L4N]],Products[Product],0),2),Products[ProdCode],0),2),Products[[#This Row],[L4N]])</f>
        <v>Non-renewable energy</v>
      </c>
      <c r="Y26" s="72" t="str" cm="1">
        <f t="array" ref="Y26">IFERROR(INDEX(Products[[ProdCode]:[Product]],_xlfn.XMATCH(INDEX(Products[[Product]:[Parent]],_xlfn.XMATCH(Products[[#This Row],[L5N]],Products[Product],0),2),Products[ProdCode],0),2),Products[[#This Row],[L5N]])</f>
        <v>Energy</v>
      </c>
      <c r="Z26" s="72" t="str" cm="1">
        <f t="array" ref="Z26">IFERROR(INDEX(Products[[ProdCode]:[Product]],_xlfn.XMATCH(INDEX(Products[[Product]:[Parent]],_xlfn.XMATCH(Products[[#This Row],[L6N]],Products[Product],0),2),Products[ProdCode],0),2),Products[[#This Row],[L6N]])</f>
        <v>Energy</v>
      </c>
      <c r="AA26" s="72" t="str" cm="1">
        <f t="array" ref="AA26">IFERROR(INDEX(Products[[ProdCode]:[Product]],_xlfn.XMATCH(INDEX(Products[[Product]:[Parent]],_xlfn.XMATCH(Products[[#This Row],[L7N]],Products[Product],0),2),Products[ProdCode],0),2),Products[[#This Row],[L7N]])</f>
        <v>Energy</v>
      </c>
      <c r="AB2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Recovered gases</v>
      </c>
      <c r="AH2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Recovered gases</v>
      </c>
      <c r="AI2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Recovered gases</v>
      </c>
    </row>
    <row r="27" spans="2:35" x14ac:dyDescent="0.45">
      <c r="B27" s="102">
        <v>111371</v>
      </c>
      <c r="C27" s="90" t="s">
        <v>260</v>
      </c>
      <c r="D27" s="102">
        <v>111370</v>
      </c>
      <c r="E27" s="92" t="s">
        <v>1148</v>
      </c>
      <c r="F27" s="19" t="s">
        <v>1189</v>
      </c>
      <c r="G27" s="69" t="s">
        <v>1200</v>
      </c>
      <c r="H27" s="69" t="s">
        <v>83</v>
      </c>
      <c r="I27" s="69"/>
      <c r="J27" s="69"/>
      <c r="K27" s="69" t="s">
        <v>1730</v>
      </c>
      <c r="L27" s="69" t="s">
        <v>1908</v>
      </c>
      <c r="M27" s="69">
        <v>1</v>
      </c>
      <c r="N27" s="118"/>
      <c r="O27" s="118"/>
      <c r="P27" s="69"/>
      <c r="Q27" s="69" t="s">
        <v>1241</v>
      </c>
      <c r="R27" s="69"/>
      <c r="S27" s="69" t="s">
        <v>1860</v>
      </c>
      <c r="T27" s="72" t="str" cm="1">
        <f t="array" ref="T27">IFERROR(INDEX(Products[[ProdCode]:[Product]],_xlfn.XMATCH(Products[[#This Row],[Parent]],Products[Product],0),2),Products[[#This Row],[Product]])</f>
        <v>Blast furnace gas</v>
      </c>
      <c r="U27" s="72" t="str" cm="1">
        <f t="array" ref="U27">IFERROR(INDEX(Products[[ProdCode]:[Product]],_xlfn.XMATCH(INDEX(Products[[Product]:[Parent]],_xlfn.XMATCH(Products[[#This Row],[L1N]],Products[Product],0),2),Products[ProdCode],0),2),Products[[#This Row],[L1N]])</f>
        <v>Recovered gases</v>
      </c>
      <c r="V27" s="72" t="str" cm="1">
        <f t="array" ref="V27">IFERROR(INDEX(Products[[ProdCode]:[Product]],_xlfn.XMATCH(INDEX(Products[[Product]:[Parent]],_xlfn.XMATCH(Products[[#This Row],[L2N]],Products[Product],0),2),Products[ProdCode],0),2),Products[[#This Row],[L2N]])</f>
        <v>Coal products</v>
      </c>
      <c r="W27" s="72" t="str" cm="1">
        <f t="array" ref="W27">IFERROR(INDEX(Products[[ProdCode]:[Product]],_xlfn.XMATCH(INDEX(Products[[Product]:[Parent]],_xlfn.XMATCH(Products[[#This Row],[L3N]],Products[Product],0),2),Products[ProdCode],0),2),Products[[#This Row],[L3N]])</f>
        <v>Coal</v>
      </c>
      <c r="X27" s="72" t="str" cm="1">
        <f t="array" ref="X27">IFERROR(INDEX(Products[[ProdCode]:[Product]],_xlfn.XMATCH(INDEX(Products[[Product]:[Parent]],_xlfn.XMATCH(Products[[#This Row],[L4N]],Products[Product],0),2),Products[ProdCode],0),2),Products[[#This Row],[L4N]])</f>
        <v>Fossil fuels</v>
      </c>
      <c r="Y27" s="72" t="str" cm="1">
        <f t="array" ref="Y27">IFERROR(INDEX(Products[[ProdCode]:[Product]],_xlfn.XMATCH(INDEX(Products[[Product]:[Parent]],_xlfn.XMATCH(Products[[#This Row],[L5N]],Products[Product],0),2),Products[ProdCode],0),2),Products[[#This Row],[L5N]])</f>
        <v>Non-renewable energy</v>
      </c>
      <c r="Z27" s="72" t="str" cm="1">
        <f t="array" ref="Z27">IFERROR(INDEX(Products[[ProdCode]:[Product]],_xlfn.XMATCH(INDEX(Products[[Product]:[Parent]],_xlfn.XMATCH(Products[[#This Row],[L6N]],Products[Product],0),2),Products[ProdCode],0),2),Products[[#This Row],[L6N]])</f>
        <v>Energy</v>
      </c>
      <c r="AA27" s="72" t="str" cm="1">
        <f t="array" ref="AA27">IFERROR(INDEX(Products[[ProdCode]:[Product]],_xlfn.XMATCH(INDEX(Products[[Product]:[Parent]],_xlfn.XMATCH(Products[[#This Row],[L7N]],Products[Product],0),2),Products[ProdCode],0),2),Products[[#This Row],[L7N]])</f>
        <v>Energy</v>
      </c>
      <c r="AB2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Recovered gases</v>
      </c>
      <c r="AH2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Blast furnace gas</v>
      </c>
      <c r="AI2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Blast furnace gas</v>
      </c>
    </row>
    <row r="28" spans="2:35" x14ac:dyDescent="0.45">
      <c r="B28" s="102">
        <v>111372</v>
      </c>
      <c r="C28" s="90" t="s">
        <v>270</v>
      </c>
      <c r="D28" s="102">
        <v>111370</v>
      </c>
      <c r="E28" s="92" t="s">
        <v>1148</v>
      </c>
      <c r="F28" s="19" t="s">
        <v>1189</v>
      </c>
      <c r="G28" s="69" t="s">
        <v>1200</v>
      </c>
      <c r="H28" s="69" t="s">
        <v>83</v>
      </c>
      <c r="I28" s="69"/>
      <c r="J28" s="69"/>
      <c r="K28" s="69" t="s">
        <v>1375</v>
      </c>
      <c r="L28" s="69"/>
      <c r="M28" s="69">
        <v>1</v>
      </c>
      <c r="N28" s="118"/>
      <c r="O28" s="118"/>
      <c r="P28" s="69"/>
      <c r="Q28" s="69" t="s">
        <v>1241</v>
      </c>
      <c r="R28" s="69"/>
      <c r="S28" s="69"/>
      <c r="T28" s="72" t="str" cm="1">
        <f t="array" ref="T28">IFERROR(INDEX(Products[[ProdCode]:[Product]],_xlfn.XMATCH(Products[[#This Row],[Parent]],Products[Product],0),2),Products[[#This Row],[Product]])</f>
        <v>Basic oxygen steel furnace gas</v>
      </c>
      <c r="U28" s="72" t="str" cm="1">
        <f t="array" ref="U28">IFERROR(INDEX(Products[[ProdCode]:[Product]],_xlfn.XMATCH(INDEX(Products[[Product]:[Parent]],_xlfn.XMATCH(Products[[#This Row],[L1N]],Products[Product],0),2),Products[ProdCode],0),2),Products[[#This Row],[L1N]])</f>
        <v>Recovered gases</v>
      </c>
      <c r="V28" s="72" t="str" cm="1">
        <f t="array" ref="V28">IFERROR(INDEX(Products[[ProdCode]:[Product]],_xlfn.XMATCH(INDEX(Products[[Product]:[Parent]],_xlfn.XMATCH(Products[[#This Row],[L2N]],Products[Product],0),2),Products[ProdCode],0),2),Products[[#This Row],[L2N]])</f>
        <v>Coal products</v>
      </c>
      <c r="W28" s="72" t="str" cm="1">
        <f t="array" ref="W28">IFERROR(INDEX(Products[[ProdCode]:[Product]],_xlfn.XMATCH(INDEX(Products[[Product]:[Parent]],_xlfn.XMATCH(Products[[#This Row],[L3N]],Products[Product],0),2),Products[ProdCode],0),2),Products[[#This Row],[L3N]])</f>
        <v>Coal</v>
      </c>
      <c r="X28" s="72" t="str" cm="1">
        <f t="array" ref="X28">IFERROR(INDEX(Products[[ProdCode]:[Product]],_xlfn.XMATCH(INDEX(Products[[Product]:[Parent]],_xlfn.XMATCH(Products[[#This Row],[L4N]],Products[Product],0),2),Products[ProdCode],0),2),Products[[#This Row],[L4N]])</f>
        <v>Fossil fuels</v>
      </c>
      <c r="Y28" s="72" t="str" cm="1">
        <f t="array" ref="Y28">IFERROR(INDEX(Products[[ProdCode]:[Product]],_xlfn.XMATCH(INDEX(Products[[Product]:[Parent]],_xlfn.XMATCH(Products[[#This Row],[L5N]],Products[Product],0),2),Products[ProdCode],0),2),Products[[#This Row],[L5N]])</f>
        <v>Non-renewable energy</v>
      </c>
      <c r="Z28" s="72" t="str" cm="1">
        <f t="array" ref="Z28">IFERROR(INDEX(Products[[ProdCode]:[Product]],_xlfn.XMATCH(INDEX(Products[[Product]:[Parent]],_xlfn.XMATCH(Products[[#This Row],[L6N]],Products[Product],0),2),Products[ProdCode],0),2),Products[[#This Row],[L6N]])</f>
        <v>Energy</v>
      </c>
      <c r="AA28" s="72" t="str" cm="1">
        <f t="array" ref="AA28">IFERROR(INDEX(Products[[ProdCode]:[Product]],_xlfn.XMATCH(INDEX(Products[[Product]:[Parent]],_xlfn.XMATCH(Products[[#This Row],[L7N]],Products[Product],0),2),Products[ProdCode],0),2),Products[[#This Row],[L7N]])</f>
        <v>Energy</v>
      </c>
      <c r="AB2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Recovered gases</v>
      </c>
      <c r="AH2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Basic oxygen steel furnace gas</v>
      </c>
      <c r="AI2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Basic oxygen steel furnace gas</v>
      </c>
    </row>
    <row r="29" spans="2:35" x14ac:dyDescent="0.45">
      <c r="B29" s="102">
        <v>111373</v>
      </c>
      <c r="C29" s="90" t="s">
        <v>277</v>
      </c>
      <c r="D29" s="102">
        <v>111370</v>
      </c>
      <c r="E29" s="92" t="s">
        <v>1148</v>
      </c>
      <c r="F29" s="19" t="s">
        <v>1189</v>
      </c>
      <c r="G29" s="69" t="s">
        <v>1200</v>
      </c>
      <c r="H29" s="69" t="s">
        <v>83</v>
      </c>
      <c r="I29" s="69"/>
      <c r="J29" s="69"/>
      <c r="K29" s="69" t="s">
        <v>1731</v>
      </c>
      <c r="L29" s="69" t="s">
        <v>1909</v>
      </c>
      <c r="M29" s="69">
        <v>1</v>
      </c>
      <c r="N29" s="118"/>
      <c r="O29" s="118"/>
      <c r="P29" s="69"/>
      <c r="Q29" s="69" t="s">
        <v>1241</v>
      </c>
      <c r="R29" s="123" t="s">
        <v>1863</v>
      </c>
      <c r="S29" s="123" t="s">
        <v>1863</v>
      </c>
      <c r="T29" s="72" t="str" cm="1">
        <f t="array" ref="T29">IFERROR(INDEX(Products[[ProdCode]:[Product]],_xlfn.XMATCH(Products[[#This Row],[Parent]],Products[Product],0),2),Products[[#This Row],[Product]])</f>
        <v>Other recovered gases</v>
      </c>
      <c r="U29" s="72" t="str" cm="1">
        <f t="array" ref="U29">IFERROR(INDEX(Products[[ProdCode]:[Product]],_xlfn.XMATCH(INDEX(Products[[Product]:[Parent]],_xlfn.XMATCH(Products[[#This Row],[L1N]],Products[Product],0),2),Products[ProdCode],0),2),Products[[#This Row],[L1N]])</f>
        <v>Recovered gases</v>
      </c>
      <c r="V29" s="72" t="str" cm="1">
        <f t="array" ref="V29">IFERROR(INDEX(Products[[ProdCode]:[Product]],_xlfn.XMATCH(INDEX(Products[[Product]:[Parent]],_xlfn.XMATCH(Products[[#This Row],[L2N]],Products[Product],0),2),Products[ProdCode],0),2),Products[[#This Row],[L2N]])</f>
        <v>Coal products</v>
      </c>
      <c r="W29" s="72" t="str" cm="1">
        <f t="array" ref="W29">IFERROR(INDEX(Products[[ProdCode]:[Product]],_xlfn.XMATCH(INDEX(Products[[Product]:[Parent]],_xlfn.XMATCH(Products[[#This Row],[L3N]],Products[Product],0),2),Products[ProdCode],0),2),Products[[#This Row],[L3N]])</f>
        <v>Coal</v>
      </c>
      <c r="X29" s="72" t="str" cm="1">
        <f t="array" ref="X29">IFERROR(INDEX(Products[[ProdCode]:[Product]],_xlfn.XMATCH(INDEX(Products[[Product]:[Parent]],_xlfn.XMATCH(Products[[#This Row],[L4N]],Products[Product],0),2),Products[ProdCode],0),2),Products[[#This Row],[L4N]])</f>
        <v>Fossil fuels</v>
      </c>
      <c r="Y29" s="72" t="str" cm="1">
        <f t="array" ref="Y29">IFERROR(INDEX(Products[[ProdCode]:[Product]],_xlfn.XMATCH(INDEX(Products[[Product]:[Parent]],_xlfn.XMATCH(Products[[#This Row],[L5N]],Products[Product],0),2),Products[ProdCode],0),2),Products[[#This Row],[L5N]])</f>
        <v>Non-renewable energy</v>
      </c>
      <c r="Z29" s="72" t="str" cm="1">
        <f t="array" ref="Z29">IFERROR(INDEX(Products[[ProdCode]:[Product]],_xlfn.XMATCH(INDEX(Products[[Product]:[Parent]],_xlfn.XMATCH(Products[[#This Row],[L6N]],Products[Product],0),2),Products[ProdCode],0),2),Products[[#This Row],[L6N]])</f>
        <v>Energy</v>
      </c>
      <c r="AA29" s="72" t="str" cm="1">
        <f t="array" ref="AA29">IFERROR(INDEX(Products[[ProdCode]:[Product]],_xlfn.XMATCH(INDEX(Products[[Product]:[Parent]],_xlfn.XMATCH(Products[[#This Row],[L7N]],Products[Product],0),2),Products[ProdCode],0),2),Products[[#This Row],[L7N]])</f>
        <v>Energy</v>
      </c>
      <c r="AB2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2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2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2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2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Recovered gases</v>
      </c>
      <c r="AH2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recovered gases</v>
      </c>
      <c r="AI2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recovered gases</v>
      </c>
    </row>
    <row r="30" spans="2:35" x14ac:dyDescent="0.45">
      <c r="B30" s="101">
        <v>111390</v>
      </c>
      <c r="C30" s="87" t="s">
        <v>284</v>
      </c>
      <c r="D30" s="101">
        <v>111300</v>
      </c>
      <c r="E30" s="92" t="s">
        <v>1148</v>
      </c>
      <c r="F30" s="19" t="s">
        <v>1189</v>
      </c>
      <c r="G30" s="69" t="s">
        <v>1199</v>
      </c>
      <c r="H30" s="69" t="s">
        <v>65</v>
      </c>
      <c r="I30" s="69"/>
      <c r="J30" s="69"/>
      <c r="K30" s="69" t="s">
        <v>1732</v>
      </c>
      <c r="L30" s="69"/>
      <c r="M30" s="69"/>
      <c r="N30" s="118"/>
      <c r="O30" s="118"/>
      <c r="P30" s="69"/>
      <c r="Q30" s="69" t="s">
        <v>1241</v>
      </c>
      <c r="R30" s="69"/>
      <c r="S30" s="69"/>
      <c r="T30" s="72" t="str" cm="1">
        <f t="array" ref="T30">IFERROR(INDEX(Products[[ProdCode]:[Product]],_xlfn.XMATCH(Products[[#This Row],[Parent]],Products[Product],0),2),Products[[#This Row],[Product]])</f>
        <v>Other coal products</v>
      </c>
      <c r="U30" s="72" t="str" cm="1">
        <f t="array" ref="U30">IFERROR(INDEX(Products[[ProdCode]:[Product]],_xlfn.XMATCH(INDEX(Products[[Product]:[Parent]],_xlfn.XMATCH(Products[[#This Row],[L1N]],Products[Product],0),2),Products[ProdCode],0),2),Products[[#This Row],[L1N]])</f>
        <v>Coal products</v>
      </c>
      <c r="V30" s="72" t="str" cm="1">
        <f t="array" ref="V30">IFERROR(INDEX(Products[[ProdCode]:[Product]],_xlfn.XMATCH(INDEX(Products[[Product]:[Parent]],_xlfn.XMATCH(Products[[#This Row],[L2N]],Products[Product],0),2),Products[ProdCode],0),2),Products[[#This Row],[L2N]])</f>
        <v>Coal</v>
      </c>
      <c r="W30" s="72" t="str" cm="1">
        <f t="array" ref="W30">IFERROR(INDEX(Products[[ProdCode]:[Product]],_xlfn.XMATCH(INDEX(Products[[Product]:[Parent]],_xlfn.XMATCH(Products[[#This Row],[L3N]],Products[Product],0),2),Products[ProdCode],0),2),Products[[#This Row],[L3N]])</f>
        <v>Fossil fuels</v>
      </c>
      <c r="X30" s="72" t="str" cm="1">
        <f t="array" ref="X30">IFERROR(INDEX(Products[[ProdCode]:[Product]],_xlfn.XMATCH(INDEX(Products[[Product]:[Parent]],_xlfn.XMATCH(Products[[#This Row],[L4N]],Products[Product],0),2),Products[ProdCode],0),2),Products[[#This Row],[L4N]])</f>
        <v>Non-renewable energy</v>
      </c>
      <c r="Y30" s="72" t="str" cm="1">
        <f t="array" ref="Y30">IFERROR(INDEX(Products[[ProdCode]:[Product]],_xlfn.XMATCH(INDEX(Products[[Product]:[Parent]],_xlfn.XMATCH(Products[[#This Row],[L5N]],Products[Product],0),2),Products[ProdCode],0),2),Products[[#This Row],[L5N]])</f>
        <v>Energy</v>
      </c>
      <c r="Z30" s="72" t="str" cm="1">
        <f t="array" ref="Z30">IFERROR(INDEX(Products[[ProdCode]:[Product]],_xlfn.XMATCH(INDEX(Products[[Product]:[Parent]],_xlfn.XMATCH(Products[[#This Row],[L6N]],Products[Product],0),2),Products[ProdCode],0),2),Products[[#This Row],[L6N]])</f>
        <v>Energy</v>
      </c>
      <c r="AA30" s="72" t="str" cm="1">
        <f t="array" ref="AA30">IFERROR(INDEX(Products[[ProdCode]:[Product]],_xlfn.XMATCH(INDEX(Products[[Product]:[Parent]],_xlfn.XMATCH(Products[[#This Row],[L7N]],Products[Product],0),2),Products[ProdCode],0),2),Products[[#This Row],[L7N]])</f>
        <v>Energy</v>
      </c>
      <c r="AB3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3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3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coal products</v>
      </c>
      <c r="AH3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coal products</v>
      </c>
      <c r="AI3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coal products</v>
      </c>
    </row>
    <row r="31" spans="2:35" x14ac:dyDescent="0.45">
      <c r="B31" s="102">
        <v>111391</v>
      </c>
      <c r="C31" s="90" t="s">
        <v>926</v>
      </c>
      <c r="D31" s="102">
        <v>111390</v>
      </c>
      <c r="E31" s="92" t="s">
        <v>1148</v>
      </c>
      <c r="F31" s="19" t="s">
        <v>1189</v>
      </c>
      <c r="G31" s="69" t="s">
        <v>1200</v>
      </c>
      <c r="H31" s="69" t="s">
        <v>83</v>
      </c>
      <c r="I31" s="69"/>
      <c r="J31" s="69"/>
      <c r="K31" s="69" t="s">
        <v>1376</v>
      </c>
      <c r="L31" s="69"/>
      <c r="M31" s="69"/>
      <c r="N31" s="118"/>
      <c r="O31" s="118"/>
      <c r="P31" s="69" t="s">
        <v>1310</v>
      </c>
      <c r="Q31" s="69" t="s">
        <v>1241</v>
      </c>
      <c r="R31" s="69"/>
      <c r="S31" s="69"/>
      <c r="T31" s="72" t="str" cm="1">
        <f t="array" ref="T31">IFERROR(INDEX(Products[[ProdCode]:[Product]],_xlfn.XMATCH(Products[[#This Row],[Parent]],Products[Product],0),2),Products[[#This Row],[Product]])</f>
        <v>Coal-based hydrogen</v>
      </c>
      <c r="U31" s="72" t="str" cm="1">
        <f t="array" ref="U31">IFERROR(INDEX(Products[[ProdCode]:[Product]],_xlfn.XMATCH(INDEX(Products[[Product]:[Parent]],_xlfn.XMATCH(Products[[#This Row],[L1N]],Products[Product],0),2),Products[ProdCode],0),2),Products[[#This Row],[L1N]])</f>
        <v>Other coal products</v>
      </c>
      <c r="V31" s="72" t="str" cm="1">
        <f t="array" ref="V31">IFERROR(INDEX(Products[[ProdCode]:[Product]],_xlfn.XMATCH(INDEX(Products[[Product]:[Parent]],_xlfn.XMATCH(Products[[#This Row],[L2N]],Products[Product],0),2),Products[ProdCode],0),2),Products[[#This Row],[L2N]])</f>
        <v>Coal products</v>
      </c>
      <c r="W31" s="72" t="str" cm="1">
        <f t="array" ref="W31">IFERROR(INDEX(Products[[ProdCode]:[Product]],_xlfn.XMATCH(INDEX(Products[[Product]:[Parent]],_xlfn.XMATCH(Products[[#This Row],[L3N]],Products[Product],0),2),Products[ProdCode],0),2),Products[[#This Row],[L3N]])</f>
        <v>Coal</v>
      </c>
      <c r="X31" s="72" t="str" cm="1">
        <f t="array" ref="X31">IFERROR(INDEX(Products[[ProdCode]:[Product]],_xlfn.XMATCH(INDEX(Products[[Product]:[Parent]],_xlfn.XMATCH(Products[[#This Row],[L4N]],Products[Product],0),2),Products[ProdCode],0),2),Products[[#This Row],[L4N]])</f>
        <v>Fossil fuels</v>
      </c>
      <c r="Y31" s="72" t="str" cm="1">
        <f t="array" ref="Y31">IFERROR(INDEX(Products[[ProdCode]:[Product]],_xlfn.XMATCH(INDEX(Products[[Product]:[Parent]],_xlfn.XMATCH(Products[[#This Row],[L5N]],Products[Product],0),2),Products[ProdCode],0),2),Products[[#This Row],[L5N]])</f>
        <v>Non-renewable energy</v>
      </c>
      <c r="Z31" s="72" t="str" cm="1">
        <f t="array" ref="Z31">IFERROR(INDEX(Products[[ProdCode]:[Product]],_xlfn.XMATCH(INDEX(Products[[Product]:[Parent]],_xlfn.XMATCH(Products[[#This Row],[L6N]],Products[Product],0),2),Products[ProdCode],0),2),Products[[#This Row],[L6N]])</f>
        <v>Energy</v>
      </c>
      <c r="AA31" s="72" t="str" cm="1">
        <f t="array" ref="AA31">IFERROR(INDEX(Products[[ProdCode]:[Product]],_xlfn.XMATCH(INDEX(Products[[Product]:[Parent]],_xlfn.XMATCH(Products[[#This Row],[L7N]],Products[Product],0),2),Products[ProdCode],0),2),Products[[#This Row],[L7N]])</f>
        <v>Energy</v>
      </c>
      <c r="AB3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3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3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coal products</v>
      </c>
      <c r="AH3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Coal-based hydrogen</v>
      </c>
      <c r="AI3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Coal-based hydrogen</v>
      </c>
    </row>
    <row r="32" spans="2:35" x14ac:dyDescent="0.45">
      <c r="B32" s="102">
        <v>111392</v>
      </c>
      <c r="C32" s="90" t="s">
        <v>927</v>
      </c>
      <c r="D32" s="102">
        <v>111390</v>
      </c>
      <c r="E32" s="92" t="s">
        <v>1148</v>
      </c>
      <c r="F32" s="19" t="s">
        <v>1189</v>
      </c>
      <c r="G32" s="69" t="s">
        <v>1200</v>
      </c>
      <c r="H32" s="69" t="s">
        <v>83</v>
      </c>
      <c r="I32" s="69"/>
      <c r="J32" s="69"/>
      <c r="K32" s="69" t="s">
        <v>1733</v>
      </c>
      <c r="L32" s="69"/>
      <c r="M32" s="69"/>
      <c r="N32" s="118"/>
      <c r="O32" s="118"/>
      <c r="P32" s="69" t="s">
        <v>1229</v>
      </c>
      <c r="Q32" s="69" t="s">
        <v>1241</v>
      </c>
      <c r="R32" s="69"/>
      <c r="S32" s="69"/>
      <c r="T32" s="72" t="str" cm="1">
        <f t="array" ref="T32">IFERROR(INDEX(Products[[ProdCode]:[Product]],_xlfn.XMATCH(Products[[#This Row],[Parent]],Products[Product],0),2),Products[[#This Row],[Product]])</f>
        <v>Coal-based ammonia</v>
      </c>
      <c r="U32" s="72" t="str" cm="1">
        <f t="array" ref="U32">IFERROR(INDEX(Products[[ProdCode]:[Product]],_xlfn.XMATCH(INDEX(Products[[Product]:[Parent]],_xlfn.XMATCH(Products[[#This Row],[L1N]],Products[Product],0),2),Products[ProdCode],0),2),Products[[#This Row],[L1N]])</f>
        <v>Other coal products</v>
      </c>
      <c r="V32" s="72" t="str" cm="1">
        <f t="array" ref="V32">IFERROR(INDEX(Products[[ProdCode]:[Product]],_xlfn.XMATCH(INDEX(Products[[Product]:[Parent]],_xlfn.XMATCH(Products[[#This Row],[L2N]],Products[Product],0),2),Products[ProdCode],0),2),Products[[#This Row],[L2N]])</f>
        <v>Coal products</v>
      </c>
      <c r="W32" s="72" t="str" cm="1">
        <f t="array" ref="W32">IFERROR(INDEX(Products[[ProdCode]:[Product]],_xlfn.XMATCH(INDEX(Products[[Product]:[Parent]],_xlfn.XMATCH(Products[[#This Row],[L3N]],Products[Product],0),2),Products[ProdCode],0),2),Products[[#This Row],[L3N]])</f>
        <v>Coal</v>
      </c>
      <c r="X32" s="72" t="str" cm="1">
        <f t="array" ref="X32">IFERROR(INDEX(Products[[ProdCode]:[Product]],_xlfn.XMATCH(INDEX(Products[[Product]:[Parent]],_xlfn.XMATCH(Products[[#This Row],[L4N]],Products[Product],0),2),Products[ProdCode],0),2),Products[[#This Row],[L4N]])</f>
        <v>Fossil fuels</v>
      </c>
      <c r="Y32" s="72" t="str" cm="1">
        <f t="array" ref="Y32">IFERROR(INDEX(Products[[ProdCode]:[Product]],_xlfn.XMATCH(INDEX(Products[[Product]:[Parent]],_xlfn.XMATCH(Products[[#This Row],[L5N]],Products[Product],0),2),Products[ProdCode],0),2),Products[[#This Row],[L5N]])</f>
        <v>Non-renewable energy</v>
      </c>
      <c r="Z32" s="72" t="str" cm="1">
        <f t="array" ref="Z32">IFERROR(INDEX(Products[[ProdCode]:[Product]],_xlfn.XMATCH(INDEX(Products[[Product]:[Parent]],_xlfn.XMATCH(Products[[#This Row],[L6N]],Products[Product],0),2),Products[ProdCode],0),2),Products[[#This Row],[L6N]])</f>
        <v>Energy</v>
      </c>
      <c r="AA32" s="72" t="str" cm="1">
        <f t="array" ref="AA32">IFERROR(INDEX(Products[[ProdCode]:[Product]],_xlfn.XMATCH(INDEX(Products[[Product]:[Parent]],_xlfn.XMATCH(Products[[#This Row],[L7N]],Products[Product],0),2),Products[ProdCode],0),2),Products[[#This Row],[L7N]])</f>
        <v>Energy</v>
      </c>
      <c r="AB3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3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3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coal products</v>
      </c>
      <c r="AH3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Coal-based ammonia</v>
      </c>
      <c r="AI3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Coal-based ammonia</v>
      </c>
    </row>
    <row r="33" spans="2:35" x14ac:dyDescent="0.45">
      <c r="B33" s="102">
        <v>111399</v>
      </c>
      <c r="C33" s="90" t="s">
        <v>928</v>
      </c>
      <c r="D33" s="102">
        <v>111390</v>
      </c>
      <c r="E33" s="92" t="s">
        <v>1148</v>
      </c>
      <c r="F33" s="19" t="s">
        <v>1189</v>
      </c>
      <c r="G33" s="69" t="s">
        <v>1200</v>
      </c>
      <c r="H33" s="69" t="s">
        <v>83</v>
      </c>
      <c r="I33" s="69"/>
      <c r="J33" s="69"/>
      <c r="K33" s="69" t="s">
        <v>1734</v>
      </c>
      <c r="L33" s="69" t="s">
        <v>1877</v>
      </c>
      <c r="M33" s="69">
        <v>20</v>
      </c>
      <c r="N33" s="118"/>
      <c r="O33" s="118"/>
      <c r="P33" s="69"/>
      <c r="Q33" s="69" t="s">
        <v>1241</v>
      </c>
      <c r="R33" s="69"/>
      <c r="S33" s="69"/>
      <c r="T33" s="72" t="str" cm="1">
        <f t="array" ref="T33">IFERROR(INDEX(Products[[ProdCode]:[Product]],_xlfn.XMATCH(Products[[#This Row],[Parent]],Products[Product],0),2),Products[[#This Row],[Product]])</f>
        <v>Other coal products n.e.s.</v>
      </c>
      <c r="U33" s="72" t="str" cm="1">
        <f t="array" ref="U33">IFERROR(INDEX(Products[[ProdCode]:[Product]],_xlfn.XMATCH(INDEX(Products[[Product]:[Parent]],_xlfn.XMATCH(Products[[#This Row],[L1N]],Products[Product],0),2),Products[ProdCode],0),2),Products[[#This Row],[L1N]])</f>
        <v>Other coal products</v>
      </c>
      <c r="V33" s="72" t="str" cm="1">
        <f t="array" ref="V33">IFERROR(INDEX(Products[[ProdCode]:[Product]],_xlfn.XMATCH(INDEX(Products[[Product]:[Parent]],_xlfn.XMATCH(Products[[#This Row],[L2N]],Products[Product],0),2),Products[ProdCode],0),2),Products[[#This Row],[L2N]])</f>
        <v>Coal products</v>
      </c>
      <c r="W33" s="72" t="str" cm="1">
        <f t="array" ref="W33">IFERROR(INDEX(Products[[ProdCode]:[Product]],_xlfn.XMATCH(INDEX(Products[[Product]:[Parent]],_xlfn.XMATCH(Products[[#This Row],[L3N]],Products[Product],0),2),Products[ProdCode],0),2),Products[[#This Row],[L3N]])</f>
        <v>Coal</v>
      </c>
      <c r="X33" s="72" t="str" cm="1">
        <f t="array" ref="X33">IFERROR(INDEX(Products[[ProdCode]:[Product]],_xlfn.XMATCH(INDEX(Products[[Product]:[Parent]],_xlfn.XMATCH(Products[[#This Row],[L4N]],Products[Product],0),2),Products[ProdCode],0),2),Products[[#This Row],[L4N]])</f>
        <v>Fossil fuels</v>
      </c>
      <c r="Y33" s="72" t="str" cm="1">
        <f t="array" ref="Y33">IFERROR(INDEX(Products[[ProdCode]:[Product]],_xlfn.XMATCH(INDEX(Products[[Product]:[Parent]],_xlfn.XMATCH(Products[[#This Row],[L5N]],Products[Product],0),2),Products[ProdCode],0),2),Products[[#This Row],[L5N]])</f>
        <v>Non-renewable energy</v>
      </c>
      <c r="Z33" s="72" t="str" cm="1">
        <f t="array" ref="Z33">IFERROR(INDEX(Products[[ProdCode]:[Product]],_xlfn.XMATCH(INDEX(Products[[Product]:[Parent]],_xlfn.XMATCH(Products[[#This Row],[L6N]],Products[Product],0),2),Products[ProdCode],0),2),Products[[#This Row],[L6N]])</f>
        <v>Energy</v>
      </c>
      <c r="AA33" s="72" t="str" cm="1">
        <f t="array" ref="AA33">IFERROR(INDEX(Products[[ProdCode]:[Product]],_xlfn.XMATCH(INDEX(Products[[Product]:[Parent]],_xlfn.XMATCH(Products[[#This Row],[L7N]],Products[Product],0),2),Products[ProdCode],0),2),Products[[#This Row],[L7N]])</f>
        <v>Energy</v>
      </c>
      <c r="AB3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Coal</v>
      </c>
      <c r="AF3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Coal products</v>
      </c>
      <c r="AG3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coal products</v>
      </c>
      <c r="AH3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coal products n.e.s.</v>
      </c>
      <c r="AI3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coal products n.e.s.</v>
      </c>
    </row>
    <row r="34" spans="2:35" x14ac:dyDescent="0.45">
      <c r="B34" s="99">
        <v>112000</v>
      </c>
      <c r="C34" s="78" t="s">
        <v>291</v>
      </c>
      <c r="D34" s="99">
        <v>110000</v>
      </c>
      <c r="E34" s="92" t="s">
        <v>1148</v>
      </c>
      <c r="F34" s="19" t="s">
        <v>1188</v>
      </c>
      <c r="G34" s="69" t="s">
        <v>54</v>
      </c>
      <c r="H34" s="69" t="s">
        <v>65</v>
      </c>
      <c r="I34" s="69"/>
      <c r="J34" s="69"/>
      <c r="K34" s="69" t="s">
        <v>1735</v>
      </c>
      <c r="L34" s="69"/>
      <c r="M34" s="69"/>
      <c r="N34" s="118"/>
      <c r="O34" s="118"/>
      <c r="P34" s="69"/>
      <c r="Q34" s="69" t="s">
        <v>1240</v>
      </c>
      <c r="R34" s="69"/>
      <c r="S34" s="69"/>
      <c r="T34" s="71" t="str" cm="1">
        <f t="array" ref="T34">IFERROR(INDEX(Products[[ProdCode]:[Product]],_xlfn.XMATCH(Products[[#This Row],[Parent]],Products[Product],0),2),Products[[#This Row],[Product]])</f>
        <v>Peat and peat products</v>
      </c>
      <c r="U34" s="71" t="str" cm="1">
        <f t="array" ref="U34">IFERROR(INDEX(Products[[ProdCode]:[Product]],_xlfn.XMATCH(INDEX(Products[[Product]:[Parent]],_xlfn.XMATCH(Products[[#This Row],[L1N]],Products[Product],0),2),Products[ProdCode],0),2),Products[[#This Row],[L1N]])</f>
        <v>Fossil fuels</v>
      </c>
      <c r="V34" s="71" t="str" cm="1">
        <f t="array" ref="V34">IFERROR(INDEX(Products[[ProdCode]:[Product]],_xlfn.XMATCH(INDEX(Products[[Product]:[Parent]],_xlfn.XMATCH(Products[[#This Row],[L2N]],Products[Product],0),2),Products[ProdCode],0),2),Products[[#This Row],[L2N]])</f>
        <v>Non-renewable energy</v>
      </c>
      <c r="W34" s="71" t="str" cm="1">
        <f t="array" ref="W34">IFERROR(INDEX(Products[[ProdCode]:[Product]],_xlfn.XMATCH(INDEX(Products[[Product]:[Parent]],_xlfn.XMATCH(Products[[#This Row],[L3N]],Products[Product],0),2),Products[ProdCode],0),2),Products[[#This Row],[L3N]])</f>
        <v>Energy</v>
      </c>
      <c r="X34" s="71" t="str" cm="1">
        <f t="array" ref="X34">IFERROR(INDEX(Products[[ProdCode]:[Product]],_xlfn.XMATCH(INDEX(Products[[Product]:[Parent]],_xlfn.XMATCH(Products[[#This Row],[L4N]],Products[Product],0),2),Products[ProdCode],0),2),Products[[#This Row],[L4N]])</f>
        <v>Energy</v>
      </c>
      <c r="Y34" s="71" t="str" cm="1">
        <f t="array" ref="Y34">IFERROR(INDEX(Products[[ProdCode]:[Product]],_xlfn.XMATCH(INDEX(Products[[Product]:[Parent]],_xlfn.XMATCH(Products[[#This Row],[L5N]],Products[Product],0),2),Products[ProdCode],0),2),Products[[#This Row],[L5N]])</f>
        <v>Energy</v>
      </c>
      <c r="Z34" s="71" t="str" cm="1">
        <f t="array" ref="Z34">IFERROR(INDEX(Products[[ProdCode]:[Product]],_xlfn.XMATCH(INDEX(Products[[Product]:[Parent]],_xlfn.XMATCH(Products[[#This Row],[L6N]],Products[Product],0),2),Products[ProdCode],0),2),Products[[#This Row],[L6N]])</f>
        <v>Energy</v>
      </c>
      <c r="AA34" s="71" t="str" cm="1">
        <f t="array" ref="AA34">IFERROR(INDEX(Products[[ProdCode]:[Product]],_xlfn.XMATCH(INDEX(Products[[Product]:[Parent]],_xlfn.XMATCH(Products[[#This Row],[L7N]],Products[Product],0),2),Products[ProdCode],0),2),Products[[#This Row],[L7N]])</f>
        <v>Energy</v>
      </c>
      <c r="AB3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and peat products</v>
      </c>
      <c r="AG3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 and peat products</v>
      </c>
      <c r="AH3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 and peat products</v>
      </c>
      <c r="AI3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 and peat products</v>
      </c>
    </row>
    <row r="35" spans="2:35" x14ac:dyDescent="0.45">
      <c r="B35" s="100">
        <v>112100</v>
      </c>
      <c r="C35" s="84" t="s">
        <v>298</v>
      </c>
      <c r="D35" s="100">
        <v>112000</v>
      </c>
      <c r="E35" s="92" t="s">
        <v>1148</v>
      </c>
      <c r="F35" s="19" t="s">
        <v>1188</v>
      </c>
      <c r="G35" s="69" t="s">
        <v>53</v>
      </c>
      <c r="H35" s="69" t="s">
        <v>65</v>
      </c>
      <c r="I35" s="69"/>
      <c r="J35" s="69"/>
      <c r="K35" s="69" t="s">
        <v>1067</v>
      </c>
      <c r="L35" s="69" t="s">
        <v>1910</v>
      </c>
      <c r="M35" s="69">
        <v>9.76</v>
      </c>
      <c r="N35" s="118"/>
      <c r="O35" s="118"/>
      <c r="P35" s="69"/>
      <c r="Q35" s="69" t="s">
        <v>1240</v>
      </c>
      <c r="R35" s="69"/>
      <c r="S35" s="69"/>
      <c r="T35" s="71" t="str" cm="1">
        <f t="array" ref="T35">IFERROR(INDEX(Products[[ProdCode]:[Product]],_xlfn.XMATCH(Products[[#This Row],[Parent]],Products[Product],0),2),Products[[#This Row],[Product]])</f>
        <v>Peat</v>
      </c>
      <c r="U35" s="71" t="str" cm="1">
        <f t="array" ref="U35">IFERROR(INDEX(Products[[ProdCode]:[Product]],_xlfn.XMATCH(INDEX(Products[[Product]:[Parent]],_xlfn.XMATCH(Products[[#This Row],[L1N]],Products[Product],0),2),Products[ProdCode],0),2),Products[[#This Row],[L1N]])</f>
        <v>Peat and peat products</v>
      </c>
      <c r="V35" s="71" t="str" cm="1">
        <f t="array" ref="V35">IFERROR(INDEX(Products[[ProdCode]:[Product]],_xlfn.XMATCH(INDEX(Products[[Product]:[Parent]],_xlfn.XMATCH(Products[[#This Row],[L2N]],Products[Product],0),2),Products[ProdCode],0),2),Products[[#This Row],[L2N]])</f>
        <v>Fossil fuels</v>
      </c>
      <c r="W35" s="71" t="str" cm="1">
        <f t="array" ref="W35">IFERROR(INDEX(Products[[ProdCode]:[Product]],_xlfn.XMATCH(INDEX(Products[[Product]:[Parent]],_xlfn.XMATCH(Products[[#This Row],[L3N]],Products[Product],0),2),Products[ProdCode],0),2),Products[[#This Row],[L3N]])</f>
        <v>Non-renewable energy</v>
      </c>
      <c r="X35" s="71" t="str" cm="1">
        <f t="array" ref="X35">IFERROR(INDEX(Products[[ProdCode]:[Product]],_xlfn.XMATCH(INDEX(Products[[Product]:[Parent]],_xlfn.XMATCH(Products[[#This Row],[L4N]],Products[Product],0),2),Products[ProdCode],0),2),Products[[#This Row],[L4N]])</f>
        <v>Energy</v>
      </c>
      <c r="Y35" s="71" t="str" cm="1">
        <f t="array" ref="Y35">IFERROR(INDEX(Products[[ProdCode]:[Product]],_xlfn.XMATCH(INDEX(Products[[Product]:[Parent]],_xlfn.XMATCH(Products[[#This Row],[L5N]],Products[Product],0),2),Products[ProdCode],0),2),Products[[#This Row],[L5N]])</f>
        <v>Energy</v>
      </c>
      <c r="Z35" s="71" t="str" cm="1">
        <f t="array" ref="Z35">IFERROR(INDEX(Products[[ProdCode]:[Product]],_xlfn.XMATCH(INDEX(Products[[Product]:[Parent]],_xlfn.XMATCH(Products[[#This Row],[L6N]],Products[Product],0),2),Products[ProdCode],0),2),Products[[#This Row],[L6N]])</f>
        <v>Energy</v>
      </c>
      <c r="AA35" s="71" t="str" cm="1">
        <f t="array" ref="AA35">IFERROR(INDEX(Products[[ProdCode]:[Product]],_xlfn.XMATCH(INDEX(Products[[Product]:[Parent]],_xlfn.XMATCH(Products[[#This Row],[L7N]],Products[Product],0),2),Products[ProdCode],0),2),Products[[#This Row],[L7N]])</f>
        <v>Energy</v>
      </c>
      <c r="AB3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v>
      </c>
      <c r="AG3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v>
      </c>
      <c r="AH3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v>
      </c>
      <c r="AI3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v>
      </c>
    </row>
    <row r="36" spans="2:35" x14ac:dyDescent="0.45">
      <c r="B36" s="101">
        <v>112110</v>
      </c>
      <c r="C36" s="87" t="s">
        <v>305</v>
      </c>
      <c r="D36" s="101">
        <v>112100</v>
      </c>
      <c r="E36" s="92" t="s">
        <v>1148</v>
      </c>
      <c r="F36" s="19" t="s">
        <v>1188</v>
      </c>
      <c r="G36" s="69" t="s">
        <v>1199</v>
      </c>
      <c r="H36" s="69" t="s">
        <v>83</v>
      </c>
      <c r="I36" s="69"/>
      <c r="J36" s="69"/>
      <c r="K36" s="69" t="s">
        <v>1736</v>
      </c>
      <c r="L36" s="69"/>
      <c r="M36" s="69">
        <v>9.76</v>
      </c>
      <c r="N36" s="118"/>
      <c r="O36" s="118"/>
      <c r="P36" s="69"/>
      <c r="Q36" s="69" t="s">
        <v>1240</v>
      </c>
      <c r="R36" s="69"/>
      <c r="S36" s="69"/>
      <c r="T36" s="72" t="str" cm="1">
        <f t="array" ref="T36">IFERROR(INDEX(Products[[ProdCode]:[Product]],_xlfn.XMATCH(Products[[#This Row],[Parent]],Products[Product],0),2),Products[[#This Row],[Product]])</f>
        <v>Sod peat</v>
      </c>
      <c r="U36" s="72" t="str" cm="1">
        <f t="array" ref="U36">IFERROR(INDEX(Products[[ProdCode]:[Product]],_xlfn.XMATCH(INDEX(Products[[Product]:[Parent]],_xlfn.XMATCH(Products[[#This Row],[L1N]],Products[Product],0),2),Products[ProdCode],0),2),Products[[#This Row],[L1N]])</f>
        <v>Peat</v>
      </c>
      <c r="V36" s="72" t="str" cm="1">
        <f t="array" ref="V36">IFERROR(INDEX(Products[[ProdCode]:[Product]],_xlfn.XMATCH(INDEX(Products[[Product]:[Parent]],_xlfn.XMATCH(Products[[#This Row],[L2N]],Products[Product],0),2),Products[ProdCode],0),2),Products[[#This Row],[L2N]])</f>
        <v>Peat and peat products</v>
      </c>
      <c r="W36" s="72" t="str" cm="1">
        <f t="array" ref="W36">IFERROR(INDEX(Products[[ProdCode]:[Product]],_xlfn.XMATCH(INDEX(Products[[Product]:[Parent]],_xlfn.XMATCH(Products[[#This Row],[L3N]],Products[Product],0),2),Products[ProdCode],0),2),Products[[#This Row],[L3N]])</f>
        <v>Fossil fuels</v>
      </c>
      <c r="X36" s="72" t="str" cm="1">
        <f t="array" ref="X36">IFERROR(INDEX(Products[[ProdCode]:[Product]],_xlfn.XMATCH(INDEX(Products[[Product]:[Parent]],_xlfn.XMATCH(Products[[#This Row],[L4N]],Products[Product],0),2),Products[ProdCode],0),2),Products[[#This Row],[L4N]])</f>
        <v>Non-renewable energy</v>
      </c>
      <c r="Y36" s="72" t="str" cm="1">
        <f t="array" ref="Y36">IFERROR(INDEX(Products[[ProdCode]:[Product]],_xlfn.XMATCH(INDEX(Products[[Product]:[Parent]],_xlfn.XMATCH(Products[[#This Row],[L5N]],Products[Product],0),2),Products[ProdCode],0),2),Products[[#This Row],[L5N]])</f>
        <v>Energy</v>
      </c>
      <c r="Z36" s="72" t="str" cm="1">
        <f t="array" ref="Z36">IFERROR(INDEX(Products[[ProdCode]:[Product]],_xlfn.XMATCH(INDEX(Products[[Product]:[Parent]],_xlfn.XMATCH(Products[[#This Row],[L6N]],Products[Product],0),2),Products[ProdCode],0),2),Products[[#This Row],[L6N]])</f>
        <v>Energy</v>
      </c>
      <c r="AA36" s="72" t="str" cm="1">
        <f t="array" ref="AA36">IFERROR(INDEX(Products[[ProdCode]:[Product]],_xlfn.XMATCH(INDEX(Products[[Product]:[Parent]],_xlfn.XMATCH(Products[[#This Row],[L7N]],Products[Product],0),2),Products[ProdCode],0),2),Products[[#This Row],[L7N]])</f>
        <v>Energy</v>
      </c>
      <c r="AB3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v>
      </c>
      <c r="AG3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Sod peat</v>
      </c>
      <c r="AH3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Sod peat</v>
      </c>
      <c r="AI3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Sod peat</v>
      </c>
    </row>
    <row r="37" spans="2:35" x14ac:dyDescent="0.45">
      <c r="B37" s="101">
        <v>112120</v>
      </c>
      <c r="C37" s="87" t="s">
        <v>312</v>
      </c>
      <c r="D37" s="101">
        <v>112100</v>
      </c>
      <c r="E37" s="92" t="s">
        <v>1148</v>
      </c>
      <c r="F37" s="19" t="s">
        <v>1188</v>
      </c>
      <c r="G37" s="69" t="s">
        <v>1199</v>
      </c>
      <c r="H37" s="69" t="s">
        <v>83</v>
      </c>
      <c r="I37" s="69"/>
      <c r="J37" s="69"/>
      <c r="K37" s="69" t="s">
        <v>1737</v>
      </c>
      <c r="L37" s="69"/>
      <c r="M37" s="69">
        <v>9.76</v>
      </c>
      <c r="N37" s="118"/>
      <c r="O37" s="118"/>
      <c r="P37" s="69"/>
      <c r="Q37" s="69" t="s">
        <v>1240</v>
      </c>
      <c r="R37" s="69"/>
      <c r="S37" s="69"/>
      <c r="T37" s="72" t="str" cm="1">
        <f t="array" ref="T37">IFERROR(INDEX(Products[[ProdCode]:[Product]],_xlfn.XMATCH(Products[[#This Row],[Parent]],Products[Product],0),2),Products[[#This Row],[Product]])</f>
        <v>Milled peat</v>
      </c>
      <c r="U37" s="72" t="str" cm="1">
        <f t="array" ref="U37">IFERROR(INDEX(Products[[ProdCode]:[Product]],_xlfn.XMATCH(INDEX(Products[[Product]:[Parent]],_xlfn.XMATCH(Products[[#This Row],[L1N]],Products[Product],0),2),Products[ProdCode],0),2),Products[[#This Row],[L1N]])</f>
        <v>Peat</v>
      </c>
      <c r="V37" s="72" t="str" cm="1">
        <f t="array" ref="V37">IFERROR(INDEX(Products[[ProdCode]:[Product]],_xlfn.XMATCH(INDEX(Products[[Product]:[Parent]],_xlfn.XMATCH(Products[[#This Row],[L2N]],Products[Product],0),2),Products[ProdCode],0),2),Products[[#This Row],[L2N]])</f>
        <v>Peat and peat products</v>
      </c>
      <c r="W37" s="72" t="str" cm="1">
        <f t="array" ref="W37">IFERROR(INDEX(Products[[ProdCode]:[Product]],_xlfn.XMATCH(INDEX(Products[[Product]:[Parent]],_xlfn.XMATCH(Products[[#This Row],[L3N]],Products[Product],0),2),Products[ProdCode],0),2),Products[[#This Row],[L3N]])</f>
        <v>Fossil fuels</v>
      </c>
      <c r="X37" s="72" t="str" cm="1">
        <f t="array" ref="X37">IFERROR(INDEX(Products[[ProdCode]:[Product]],_xlfn.XMATCH(INDEX(Products[[Product]:[Parent]],_xlfn.XMATCH(Products[[#This Row],[L4N]],Products[Product],0),2),Products[ProdCode],0),2),Products[[#This Row],[L4N]])</f>
        <v>Non-renewable energy</v>
      </c>
      <c r="Y37" s="72" t="str" cm="1">
        <f t="array" ref="Y37">IFERROR(INDEX(Products[[ProdCode]:[Product]],_xlfn.XMATCH(INDEX(Products[[Product]:[Parent]],_xlfn.XMATCH(Products[[#This Row],[L5N]],Products[Product],0),2),Products[ProdCode],0),2),Products[[#This Row],[L5N]])</f>
        <v>Energy</v>
      </c>
      <c r="Z37" s="72" t="str" cm="1">
        <f t="array" ref="Z37">IFERROR(INDEX(Products[[ProdCode]:[Product]],_xlfn.XMATCH(INDEX(Products[[Product]:[Parent]],_xlfn.XMATCH(Products[[#This Row],[L6N]],Products[Product],0),2),Products[ProdCode],0),2),Products[[#This Row],[L6N]])</f>
        <v>Energy</v>
      </c>
      <c r="AA37" s="72" t="str" cm="1">
        <f t="array" ref="AA37">IFERROR(INDEX(Products[[ProdCode]:[Product]],_xlfn.XMATCH(INDEX(Products[[Product]:[Parent]],_xlfn.XMATCH(Products[[#This Row],[L7N]],Products[Product],0),2),Products[ProdCode],0),2),Products[[#This Row],[L7N]])</f>
        <v>Energy</v>
      </c>
      <c r="AB3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v>
      </c>
      <c r="AG3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Milled peat</v>
      </c>
      <c r="AH3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Milled peat</v>
      </c>
      <c r="AI3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Milled peat</v>
      </c>
    </row>
    <row r="38" spans="2:35" x14ac:dyDescent="0.45">
      <c r="B38" s="100">
        <v>112200</v>
      </c>
      <c r="C38" s="84" t="s">
        <v>320</v>
      </c>
      <c r="D38" s="100">
        <v>112000</v>
      </c>
      <c r="E38" s="92" t="s">
        <v>1148</v>
      </c>
      <c r="F38" s="19" t="s">
        <v>1189</v>
      </c>
      <c r="G38" s="69" t="s">
        <v>53</v>
      </c>
      <c r="H38" s="69" t="s">
        <v>65</v>
      </c>
      <c r="I38" s="69"/>
      <c r="J38" s="69"/>
      <c r="K38" s="69" t="s">
        <v>1068</v>
      </c>
      <c r="L38" s="69"/>
      <c r="M38" s="69"/>
      <c r="N38" s="118"/>
      <c r="O38" s="118"/>
      <c r="P38" s="69"/>
      <c r="Q38" s="69" t="s">
        <v>1241</v>
      </c>
      <c r="R38" s="69"/>
      <c r="S38" s="69"/>
      <c r="T38" s="71" t="str" cm="1">
        <f t="array" ref="T38">IFERROR(INDEX(Products[[ProdCode]:[Product]],_xlfn.XMATCH(Products[[#This Row],[Parent]],Products[Product],0),2),Products[[#This Row],[Product]])</f>
        <v>Peat products</v>
      </c>
      <c r="U38" s="71" t="str" cm="1">
        <f t="array" ref="U38">IFERROR(INDEX(Products[[ProdCode]:[Product]],_xlfn.XMATCH(INDEX(Products[[Product]:[Parent]],_xlfn.XMATCH(Products[[#This Row],[L1N]],Products[Product],0),2),Products[ProdCode],0),2),Products[[#This Row],[L1N]])</f>
        <v>Peat and peat products</v>
      </c>
      <c r="V38" s="71" t="str" cm="1">
        <f t="array" ref="V38">IFERROR(INDEX(Products[[ProdCode]:[Product]],_xlfn.XMATCH(INDEX(Products[[Product]:[Parent]],_xlfn.XMATCH(Products[[#This Row],[L2N]],Products[Product],0),2),Products[ProdCode],0),2),Products[[#This Row],[L2N]])</f>
        <v>Fossil fuels</v>
      </c>
      <c r="W38" s="71" t="str" cm="1">
        <f t="array" ref="W38">IFERROR(INDEX(Products[[ProdCode]:[Product]],_xlfn.XMATCH(INDEX(Products[[Product]:[Parent]],_xlfn.XMATCH(Products[[#This Row],[L3N]],Products[Product],0),2),Products[ProdCode],0),2),Products[[#This Row],[L3N]])</f>
        <v>Non-renewable energy</v>
      </c>
      <c r="X38" s="71" t="str" cm="1">
        <f t="array" ref="X38">IFERROR(INDEX(Products[[ProdCode]:[Product]],_xlfn.XMATCH(INDEX(Products[[Product]:[Parent]],_xlfn.XMATCH(Products[[#This Row],[L4N]],Products[Product],0),2),Products[ProdCode],0),2),Products[[#This Row],[L4N]])</f>
        <v>Energy</v>
      </c>
      <c r="Y38" s="71" t="str" cm="1">
        <f t="array" ref="Y38">IFERROR(INDEX(Products[[ProdCode]:[Product]],_xlfn.XMATCH(INDEX(Products[[Product]:[Parent]],_xlfn.XMATCH(Products[[#This Row],[L5N]],Products[Product],0),2),Products[ProdCode],0),2),Products[[#This Row],[L5N]])</f>
        <v>Energy</v>
      </c>
      <c r="Z38" s="71" t="str" cm="1">
        <f t="array" ref="Z38">IFERROR(INDEX(Products[[ProdCode]:[Product]],_xlfn.XMATCH(INDEX(Products[[Product]:[Parent]],_xlfn.XMATCH(Products[[#This Row],[L6N]],Products[Product],0),2),Products[ProdCode],0),2),Products[[#This Row],[L6N]])</f>
        <v>Energy</v>
      </c>
      <c r="AA38" s="71" t="str" cm="1">
        <f t="array" ref="AA38">IFERROR(INDEX(Products[[ProdCode]:[Product]],_xlfn.XMATCH(INDEX(Products[[Product]:[Parent]],_xlfn.XMATCH(Products[[#This Row],[L7N]],Products[Product],0),2),Products[ProdCode],0),2),Products[[#This Row],[L7N]])</f>
        <v>Energy</v>
      </c>
      <c r="AB3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products</v>
      </c>
      <c r="AG3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 products</v>
      </c>
      <c r="AH3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 products</v>
      </c>
      <c r="AI3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 products</v>
      </c>
    </row>
    <row r="39" spans="2:35" x14ac:dyDescent="0.45">
      <c r="B39" s="101">
        <v>112210</v>
      </c>
      <c r="C39" s="87" t="s">
        <v>328</v>
      </c>
      <c r="D39" s="101">
        <v>112200</v>
      </c>
      <c r="E39" s="92" t="s">
        <v>1148</v>
      </c>
      <c r="F39" s="19" t="s">
        <v>1189</v>
      </c>
      <c r="G39" s="69" t="s">
        <v>1199</v>
      </c>
      <c r="H39" s="69" t="s">
        <v>83</v>
      </c>
      <c r="I39" s="69"/>
      <c r="J39" s="69"/>
      <c r="K39" s="69" t="s">
        <v>1738</v>
      </c>
      <c r="L39" s="69" t="s">
        <v>1911</v>
      </c>
      <c r="M39" s="69">
        <v>9.76</v>
      </c>
      <c r="N39" s="118"/>
      <c r="O39" s="118"/>
      <c r="P39" s="69"/>
      <c r="Q39" s="69" t="s">
        <v>1241</v>
      </c>
      <c r="R39" s="69"/>
      <c r="S39" s="69"/>
      <c r="T39" s="72" t="str" cm="1">
        <f t="array" ref="T39">IFERROR(INDEX(Products[[ProdCode]:[Product]],_xlfn.XMATCH(Products[[#This Row],[Parent]],Products[Product],0),2),Products[[#This Row],[Product]])</f>
        <v>Peat briquettes</v>
      </c>
      <c r="U39" s="72" t="str" cm="1">
        <f t="array" ref="U39">IFERROR(INDEX(Products[[ProdCode]:[Product]],_xlfn.XMATCH(INDEX(Products[[Product]:[Parent]],_xlfn.XMATCH(Products[[#This Row],[L1N]],Products[Product],0),2),Products[ProdCode],0),2),Products[[#This Row],[L1N]])</f>
        <v>Peat products</v>
      </c>
      <c r="V39" s="72" t="str" cm="1">
        <f t="array" ref="V39">IFERROR(INDEX(Products[[ProdCode]:[Product]],_xlfn.XMATCH(INDEX(Products[[Product]:[Parent]],_xlfn.XMATCH(Products[[#This Row],[L2N]],Products[Product],0),2),Products[ProdCode],0),2),Products[[#This Row],[L2N]])</f>
        <v>Peat and peat products</v>
      </c>
      <c r="W39" s="72" t="str" cm="1">
        <f t="array" ref="W39">IFERROR(INDEX(Products[[ProdCode]:[Product]],_xlfn.XMATCH(INDEX(Products[[Product]:[Parent]],_xlfn.XMATCH(Products[[#This Row],[L3N]],Products[Product],0),2),Products[ProdCode],0),2),Products[[#This Row],[L3N]])</f>
        <v>Fossil fuels</v>
      </c>
      <c r="X39" s="72" t="str" cm="1">
        <f t="array" ref="X39">IFERROR(INDEX(Products[[ProdCode]:[Product]],_xlfn.XMATCH(INDEX(Products[[Product]:[Parent]],_xlfn.XMATCH(Products[[#This Row],[L4N]],Products[Product],0),2),Products[ProdCode],0),2),Products[[#This Row],[L4N]])</f>
        <v>Non-renewable energy</v>
      </c>
      <c r="Y39" s="72" t="str" cm="1">
        <f t="array" ref="Y39">IFERROR(INDEX(Products[[ProdCode]:[Product]],_xlfn.XMATCH(INDEX(Products[[Product]:[Parent]],_xlfn.XMATCH(Products[[#This Row],[L5N]],Products[Product],0),2),Products[ProdCode],0),2),Products[[#This Row],[L5N]])</f>
        <v>Energy</v>
      </c>
      <c r="Z39" s="72" t="str" cm="1">
        <f t="array" ref="Z39">IFERROR(INDEX(Products[[ProdCode]:[Product]],_xlfn.XMATCH(INDEX(Products[[Product]:[Parent]],_xlfn.XMATCH(Products[[#This Row],[L6N]],Products[Product],0),2),Products[ProdCode],0),2),Products[[#This Row],[L6N]])</f>
        <v>Energy</v>
      </c>
      <c r="AA39" s="72" t="str" cm="1">
        <f t="array" ref="AA39">IFERROR(INDEX(Products[[ProdCode]:[Product]],_xlfn.XMATCH(INDEX(Products[[Product]:[Parent]],_xlfn.XMATCH(Products[[#This Row],[L7N]],Products[Product],0),2),Products[ProdCode],0),2),Products[[#This Row],[L7N]])</f>
        <v>Energy</v>
      </c>
      <c r="AB3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3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3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3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3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products</v>
      </c>
      <c r="AG3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 briquettes</v>
      </c>
      <c r="AH3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 briquettes</v>
      </c>
      <c r="AI3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 briquettes</v>
      </c>
    </row>
    <row r="40" spans="2:35" x14ac:dyDescent="0.45">
      <c r="B40" s="101">
        <v>112220</v>
      </c>
      <c r="C40" s="87" t="s">
        <v>1126</v>
      </c>
      <c r="D40" s="101">
        <v>112200</v>
      </c>
      <c r="E40" s="92" t="s">
        <v>1148</v>
      </c>
      <c r="F40" s="19" t="s">
        <v>1189</v>
      </c>
      <c r="G40" s="69" t="s">
        <v>1199</v>
      </c>
      <c r="H40" s="69" t="s">
        <v>83</v>
      </c>
      <c r="I40" s="69"/>
      <c r="J40" s="69"/>
      <c r="K40" s="69" t="s">
        <v>1387</v>
      </c>
      <c r="L40" s="69"/>
      <c r="M40" s="69"/>
      <c r="N40" s="118"/>
      <c r="O40" s="118"/>
      <c r="P40" s="69" t="s">
        <v>1310</v>
      </c>
      <c r="Q40" s="69" t="s">
        <v>1241</v>
      </c>
      <c r="R40" s="69"/>
      <c r="S40" s="69"/>
      <c r="T40" s="72" t="str" cm="1">
        <f t="array" ref="T40">IFERROR(INDEX(Products[[ProdCode]:[Product]],_xlfn.XMATCH(Products[[#This Row],[Parent]],Products[Product],0),2),Products[[#This Row],[Product]])</f>
        <v>Peat-based hydrogen</v>
      </c>
      <c r="U40" s="72" t="str" cm="1">
        <f t="array" ref="U40">IFERROR(INDEX(Products[[ProdCode]:[Product]],_xlfn.XMATCH(INDEX(Products[[Product]:[Parent]],_xlfn.XMATCH(Products[[#This Row],[L1N]],Products[Product],0),2),Products[ProdCode],0),2),Products[[#This Row],[L1N]])</f>
        <v>Peat products</v>
      </c>
      <c r="V40" s="72" t="str" cm="1">
        <f t="array" ref="V40">IFERROR(INDEX(Products[[ProdCode]:[Product]],_xlfn.XMATCH(INDEX(Products[[Product]:[Parent]],_xlfn.XMATCH(Products[[#This Row],[L2N]],Products[Product],0),2),Products[ProdCode],0),2),Products[[#This Row],[L2N]])</f>
        <v>Peat and peat products</v>
      </c>
      <c r="W40" s="72" t="str" cm="1">
        <f t="array" ref="W40">IFERROR(INDEX(Products[[ProdCode]:[Product]],_xlfn.XMATCH(INDEX(Products[[Product]:[Parent]],_xlfn.XMATCH(Products[[#This Row],[L3N]],Products[Product],0),2),Products[ProdCode],0),2),Products[[#This Row],[L3N]])</f>
        <v>Fossil fuels</v>
      </c>
      <c r="X40" s="72" t="str" cm="1">
        <f t="array" ref="X40">IFERROR(INDEX(Products[[ProdCode]:[Product]],_xlfn.XMATCH(INDEX(Products[[Product]:[Parent]],_xlfn.XMATCH(Products[[#This Row],[L4N]],Products[Product],0),2),Products[ProdCode],0),2),Products[[#This Row],[L4N]])</f>
        <v>Non-renewable energy</v>
      </c>
      <c r="Y40" s="72" t="str" cm="1">
        <f t="array" ref="Y40">IFERROR(INDEX(Products[[ProdCode]:[Product]],_xlfn.XMATCH(INDEX(Products[[Product]:[Parent]],_xlfn.XMATCH(Products[[#This Row],[L5N]],Products[Product],0),2),Products[ProdCode],0),2),Products[[#This Row],[L5N]])</f>
        <v>Energy</v>
      </c>
      <c r="Z40" s="71" t="str" cm="1">
        <f t="array" ref="Z40">IFERROR(INDEX(Products[[ProdCode]:[Product]],_xlfn.XMATCH(INDEX(Products[[Product]:[Parent]],_xlfn.XMATCH(Products[[#This Row],[L6N]],Products[Product],0),2),Products[ProdCode],0),2),Products[[#This Row],[L6N]])</f>
        <v>Energy</v>
      </c>
      <c r="AA40" s="71" t="str" cm="1">
        <f t="array" ref="AA40">IFERROR(INDEX(Products[[ProdCode]:[Product]],_xlfn.XMATCH(INDEX(Products[[Product]:[Parent]],_xlfn.XMATCH(Products[[#This Row],[L7N]],Products[Product],0),2),Products[ProdCode],0),2),Products[[#This Row],[L7N]])</f>
        <v>Energy</v>
      </c>
      <c r="AB4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4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products</v>
      </c>
      <c r="AG4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Peat-based hydrogen</v>
      </c>
      <c r="AH4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Peat-based hydrogen</v>
      </c>
      <c r="AI4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Peat-based hydrogen</v>
      </c>
    </row>
    <row r="41" spans="2:35" x14ac:dyDescent="0.45">
      <c r="B41" s="101">
        <v>112230</v>
      </c>
      <c r="C41" s="87" t="s">
        <v>1127</v>
      </c>
      <c r="D41" s="101">
        <v>112200</v>
      </c>
      <c r="E41" s="92" t="s">
        <v>1148</v>
      </c>
      <c r="F41" s="19" t="s">
        <v>1189</v>
      </c>
      <c r="G41" s="69" t="s">
        <v>1199</v>
      </c>
      <c r="H41" s="69" t="s">
        <v>83</v>
      </c>
      <c r="I41" s="69"/>
      <c r="J41" s="69"/>
      <c r="K41" s="69" t="s">
        <v>1739</v>
      </c>
      <c r="L41" s="69"/>
      <c r="M41" s="69"/>
      <c r="N41" s="118"/>
      <c r="O41" s="118"/>
      <c r="P41" s="69" t="s">
        <v>1229</v>
      </c>
      <c r="Q41" s="69" t="s">
        <v>1241</v>
      </c>
      <c r="R41" s="69"/>
      <c r="S41" s="69"/>
      <c r="T41" s="72" t="str" cm="1">
        <f t="array" ref="T41">IFERROR(INDEX(Products[[ProdCode]:[Product]],_xlfn.XMATCH(Products[[#This Row],[Parent]],Products[Product],0),2),Products[[#This Row],[Product]])</f>
        <v>Peat-based ammonia</v>
      </c>
      <c r="U41" s="72" t="str" cm="1">
        <f t="array" ref="U41">IFERROR(INDEX(Products[[ProdCode]:[Product]],_xlfn.XMATCH(INDEX(Products[[Product]:[Parent]],_xlfn.XMATCH(Products[[#This Row],[L1N]],Products[Product],0),2),Products[ProdCode],0),2),Products[[#This Row],[L1N]])</f>
        <v>Peat products</v>
      </c>
      <c r="V41" s="72" t="str" cm="1">
        <f t="array" ref="V41">IFERROR(INDEX(Products[[ProdCode]:[Product]],_xlfn.XMATCH(INDEX(Products[[Product]:[Parent]],_xlfn.XMATCH(Products[[#This Row],[L2N]],Products[Product],0),2),Products[ProdCode],0),2),Products[[#This Row],[L2N]])</f>
        <v>Peat and peat products</v>
      </c>
      <c r="W41" s="72" t="str" cm="1">
        <f t="array" ref="W41">IFERROR(INDEX(Products[[ProdCode]:[Product]],_xlfn.XMATCH(INDEX(Products[[Product]:[Parent]],_xlfn.XMATCH(Products[[#This Row],[L3N]],Products[Product],0),2),Products[ProdCode],0),2),Products[[#This Row],[L3N]])</f>
        <v>Fossil fuels</v>
      </c>
      <c r="X41" s="72" t="str" cm="1">
        <f t="array" ref="X41">IFERROR(INDEX(Products[[ProdCode]:[Product]],_xlfn.XMATCH(INDEX(Products[[Product]:[Parent]],_xlfn.XMATCH(Products[[#This Row],[L4N]],Products[Product],0),2),Products[ProdCode],0),2),Products[[#This Row],[L4N]])</f>
        <v>Non-renewable energy</v>
      </c>
      <c r="Y41" s="72" t="str" cm="1">
        <f t="array" ref="Y41">IFERROR(INDEX(Products[[ProdCode]:[Product]],_xlfn.XMATCH(INDEX(Products[[Product]:[Parent]],_xlfn.XMATCH(Products[[#This Row],[L5N]],Products[Product],0),2),Products[ProdCode],0),2),Products[[#This Row],[L5N]])</f>
        <v>Energy</v>
      </c>
      <c r="Z41" s="71" t="str" cm="1">
        <f t="array" ref="Z41">IFERROR(INDEX(Products[[ProdCode]:[Product]],_xlfn.XMATCH(INDEX(Products[[Product]:[Parent]],_xlfn.XMATCH(Products[[#This Row],[L6N]],Products[Product],0),2),Products[ProdCode],0),2),Products[[#This Row],[L6N]])</f>
        <v>Energy</v>
      </c>
      <c r="AA41" s="71" t="str" cm="1">
        <f t="array" ref="AA41">IFERROR(INDEX(Products[[ProdCode]:[Product]],_xlfn.XMATCH(INDEX(Products[[Product]:[Parent]],_xlfn.XMATCH(Products[[#This Row],[L7N]],Products[Product],0),2),Products[ProdCode],0),2),Products[[#This Row],[L7N]])</f>
        <v>Energy</v>
      </c>
      <c r="AB4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4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products</v>
      </c>
      <c r="AG4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Peat-based ammonia</v>
      </c>
      <c r="AH4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Peat-based ammonia</v>
      </c>
      <c r="AI4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Peat-based ammonia</v>
      </c>
    </row>
    <row r="42" spans="2:35" x14ac:dyDescent="0.45">
      <c r="B42" s="101">
        <v>112290</v>
      </c>
      <c r="C42" s="87" t="s">
        <v>336</v>
      </c>
      <c r="D42" s="101">
        <v>112200</v>
      </c>
      <c r="E42" s="92" t="s">
        <v>1148</v>
      </c>
      <c r="F42" s="19" t="s">
        <v>1189</v>
      </c>
      <c r="G42" s="69" t="s">
        <v>1199</v>
      </c>
      <c r="H42" s="69" t="s">
        <v>83</v>
      </c>
      <c r="I42" s="69"/>
      <c r="J42" s="69"/>
      <c r="K42" s="69" t="s">
        <v>1740</v>
      </c>
      <c r="L42" s="69"/>
      <c r="M42" s="69">
        <v>9.76</v>
      </c>
      <c r="N42" s="118"/>
      <c r="O42" s="118"/>
      <c r="P42" s="69"/>
      <c r="Q42" s="69" t="s">
        <v>1241</v>
      </c>
      <c r="R42" s="69"/>
      <c r="S42" s="69"/>
      <c r="T42" s="72" t="str" cm="1">
        <f t="array" ref="T42">IFERROR(INDEX(Products[[ProdCode]:[Product]],_xlfn.XMATCH(Products[[#This Row],[Parent]],Products[Product],0),2),Products[[#This Row],[Product]])</f>
        <v>Other peat products</v>
      </c>
      <c r="U42" s="72" t="str" cm="1">
        <f t="array" ref="U42">IFERROR(INDEX(Products[[ProdCode]:[Product]],_xlfn.XMATCH(INDEX(Products[[Product]:[Parent]],_xlfn.XMATCH(Products[[#This Row],[L1N]],Products[Product],0),2),Products[ProdCode],0),2),Products[[#This Row],[L1N]])</f>
        <v>Peat products</v>
      </c>
      <c r="V42" s="72" t="str" cm="1">
        <f t="array" ref="V42">IFERROR(INDEX(Products[[ProdCode]:[Product]],_xlfn.XMATCH(INDEX(Products[[Product]:[Parent]],_xlfn.XMATCH(Products[[#This Row],[L2N]],Products[Product],0),2),Products[ProdCode],0),2),Products[[#This Row],[L2N]])</f>
        <v>Peat and peat products</v>
      </c>
      <c r="W42" s="72" t="str" cm="1">
        <f t="array" ref="W42">IFERROR(INDEX(Products[[ProdCode]:[Product]],_xlfn.XMATCH(INDEX(Products[[Product]:[Parent]],_xlfn.XMATCH(Products[[#This Row],[L3N]],Products[Product],0),2),Products[ProdCode],0),2),Products[[#This Row],[L3N]])</f>
        <v>Fossil fuels</v>
      </c>
      <c r="X42" s="72" t="str" cm="1">
        <f t="array" ref="X42">IFERROR(INDEX(Products[[ProdCode]:[Product]],_xlfn.XMATCH(INDEX(Products[[Product]:[Parent]],_xlfn.XMATCH(Products[[#This Row],[L4N]],Products[Product],0),2),Products[ProdCode],0),2),Products[[#This Row],[L4N]])</f>
        <v>Non-renewable energy</v>
      </c>
      <c r="Y42" s="72" t="str" cm="1">
        <f t="array" ref="Y42">IFERROR(INDEX(Products[[ProdCode]:[Product]],_xlfn.XMATCH(INDEX(Products[[Product]:[Parent]],_xlfn.XMATCH(Products[[#This Row],[L5N]],Products[Product],0),2),Products[ProdCode],0),2),Products[[#This Row],[L5N]])</f>
        <v>Energy</v>
      </c>
      <c r="Z42" s="72" t="str" cm="1">
        <f t="array" ref="Z42">IFERROR(INDEX(Products[[ProdCode]:[Product]],_xlfn.XMATCH(INDEX(Products[[Product]:[Parent]],_xlfn.XMATCH(Products[[#This Row],[L6N]],Products[Product],0),2),Products[ProdCode],0),2),Products[[#This Row],[L6N]])</f>
        <v>Energy</v>
      </c>
      <c r="AA42" s="72" t="str" cm="1">
        <f t="array" ref="AA42">IFERROR(INDEX(Products[[ProdCode]:[Product]],_xlfn.XMATCH(INDEX(Products[[Product]:[Parent]],_xlfn.XMATCH(Products[[#This Row],[L7N]],Products[Product],0),2),Products[ProdCode],0),2),Products[[#This Row],[L7N]])</f>
        <v>Energy</v>
      </c>
      <c r="AB4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Peat and peat products</v>
      </c>
      <c r="AF4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Peat products</v>
      </c>
      <c r="AG4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peat products</v>
      </c>
      <c r="AH4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peat products</v>
      </c>
      <c r="AI4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peat products</v>
      </c>
    </row>
    <row r="43" spans="2:35" x14ac:dyDescent="0.45">
      <c r="B43" s="99">
        <v>113000</v>
      </c>
      <c r="C43" s="78" t="s">
        <v>154</v>
      </c>
      <c r="D43" s="99">
        <v>110000</v>
      </c>
      <c r="E43" s="92" t="s">
        <v>1148</v>
      </c>
      <c r="F43" s="19" t="s">
        <v>1188</v>
      </c>
      <c r="G43" s="69" t="s">
        <v>54</v>
      </c>
      <c r="H43" s="69" t="s">
        <v>65</v>
      </c>
      <c r="I43" s="69"/>
      <c r="J43" s="69"/>
      <c r="K43" s="69" t="s">
        <v>1390</v>
      </c>
      <c r="L43" s="69"/>
      <c r="M43" s="69"/>
      <c r="N43" s="118"/>
      <c r="O43" s="118"/>
      <c r="P43" s="69" t="s">
        <v>1224</v>
      </c>
      <c r="Q43" s="69" t="s">
        <v>154</v>
      </c>
      <c r="R43" s="69"/>
      <c r="S43" s="69"/>
      <c r="T43" s="71" t="str" cm="1">
        <f t="array" ref="T43">IFERROR(INDEX(Products[[ProdCode]:[Product]],_xlfn.XMATCH(Products[[#This Row],[Parent]],Products[Product],0),2),Products[[#This Row],[Product]])</f>
        <v>Natural gas</v>
      </c>
      <c r="U43" s="71" t="str" cm="1">
        <f t="array" ref="U43">IFERROR(INDEX(Products[[ProdCode]:[Product]],_xlfn.XMATCH(INDEX(Products[[Product]:[Parent]],_xlfn.XMATCH(Products[[#This Row],[L1N]],Products[Product],0),2),Products[ProdCode],0),2),Products[[#This Row],[L1N]])</f>
        <v>Fossil fuels</v>
      </c>
      <c r="V43" s="71" t="str" cm="1">
        <f t="array" ref="V43">IFERROR(INDEX(Products[[ProdCode]:[Product]],_xlfn.XMATCH(INDEX(Products[[Product]:[Parent]],_xlfn.XMATCH(Products[[#This Row],[L2N]],Products[Product],0),2),Products[ProdCode],0),2),Products[[#This Row],[L2N]])</f>
        <v>Non-renewable energy</v>
      </c>
      <c r="W43" s="71" t="str" cm="1">
        <f t="array" ref="W43">IFERROR(INDEX(Products[[ProdCode]:[Product]],_xlfn.XMATCH(INDEX(Products[[Product]:[Parent]],_xlfn.XMATCH(Products[[#This Row],[L3N]],Products[Product],0),2),Products[ProdCode],0),2),Products[[#This Row],[L3N]])</f>
        <v>Energy</v>
      </c>
      <c r="X43" s="71" t="str" cm="1">
        <f t="array" ref="X43">IFERROR(INDEX(Products[[ProdCode]:[Product]],_xlfn.XMATCH(INDEX(Products[[Product]:[Parent]],_xlfn.XMATCH(Products[[#This Row],[L4N]],Products[Product],0),2),Products[ProdCode],0),2),Products[[#This Row],[L4N]])</f>
        <v>Energy</v>
      </c>
      <c r="Y43" s="71" t="str" cm="1">
        <f t="array" ref="Y43">IFERROR(INDEX(Products[[ProdCode]:[Product]],_xlfn.XMATCH(INDEX(Products[[Product]:[Parent]],_xlfn.XMATCH(Products[[#This Row],[L5N]],Products[Product],0),2),Products[ProdCode],0),2),Products[[#This Row],[L5N]])</f>
        <v>Energy</v>
      </c>
      <c r="Z43" s="71" t="str" cm="1">
        <f t="array" ref="Z43">IFERROR(INDEX(Products[[ProdCode]:[Product]],_xlfn.XMATCH(INDEX(Products[[Product]:[Parent]],_xlfn.XMATCH(Products[[#This Row],[L6N]],Products[Product],0),2),Products[ProdCode],0),2),Products[[#This Row],[L6N]])</f>
        <v>Energy</v>
      </c>
      <c r="AA43" s="71" t="str" cm="1">
        <f t="array" ref="AA43">IFERROR(INDEX(Products[[ProdCode]:[Product]],_xlfn.XMATCH(INDEX(Products[[Product]:[Parent]],_xlfn.XMATCH(Products[[#This Row],[L7N]],Products[Product],0),2),Products[ProdCode],0),2),Products[[#This Row],[L7N]])</f>
        <v>Energy</v>
      </c>
      <c r="AB4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v>
      </c>
      <c r="AG4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Natural gas</v>
      </c>
      <c r="AH4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Natural gas</v>
      </c>
      <c r="AI4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Natural gas</v>
      </c>
    </row>
    <row r="44" spans="2:35" x14ac:dyDescent="0.45">
      <c r="B44" s="100">
        <v>113100</v>
      </c>
      <c r="C44" s="84" t="s">
        <v>1130</v>
      </c>
      <c r="D44" s="100">
        <v>113000</v>
      </c>
      <c r="E44" s="92" t="s">
        <v>1148</v>
      </c>
      <c r="F44" s="19" t="s">
        <v>1188</v>
      </c>
      <c r="G44" s="69" t="s">
        <v>53</v>
      </c>
      <c r="H44" s="69" t="s">
        <v>83</v>
      </c>
      <c r="I44" s="69"/>
      <c r="J44" s="69"/>
      <c r="K44" s="69" t="s">
        <v>1391</v>
      </c>
      <c r="L44" s="69"/>
      <c r="M44" s="69"/>
      <c r="N44" s="118"/>
      <c r="O44" s="118"/>
      <c r="P44" s="69" t="s">
        <v>1224</v>
      </c>
      <c r="Q44" s="69" t="s">
        <v>154</v>
      </c>
      <c r="R44" s="69"/>
      <c r="S44" s="69"/>
      <c r="T44" s="71" t="str" cm="1">
        <f t="array" ref="T44">IFERROR(INDEX(Products[[ProdCode]:[Product]],_xlfn.XMATCH(Products[[#This Row],[Parent]],Products[Product],0),2),Products[[#This Row],[Product]])</f>
        <v>Wet natural gas</v>
      </c>
      <c r="U44" s="71" t="str" cm="1">
        <f t="array" ref="U44">IFERROR(INDEX(Products[[ProdCode]:[Product]],_xlfn.XMATCH(INDEX(Products[[Product]:[Parent]],_xlfn.XMATCH(Products[[#This Row],[L1N]],Products[Product],0),2),Products[ProdCode],0),2),Products[[#This Row],[L1N]])</f>
        <v>Natural gas</v>
      </c>
      <c r="V44" s="71" t="str" cm="1">
        <f t="array" ref="V44">IFERROR(INDEX(Products[[ProdCode]:[Product]],_xlfn.XMATCH(INDEX(Products[[Product]:[Parent]],_xlfn.XMATCH(Products[[#This Row],[L2N]],Products[Product],0),2),Products[ProdCode],0),2),Products[[#This Row],[L2N]])</f>
        <v>Fossil fuels</v>
      </c>
      <c r="W44" s="71" t="str" cm="1">
        <f t="array" ref="W44">IFERROR(INDEX(Products[[ProdCode]:[Product]],_xlfn.XMATCH(INDEX(Products[[Product]:[Parent]],_xlfn.XMATCH(Products[[#This Row],[L3N]],Products[Product],0),2),Products[ProdCode],0),2),Products[[#This Row],[L3N]])</f>
        <v>Non-renewable energy</v>
      </c>
      <c r="X44" s="71" t="str" cm="1">
        <f t="array" ref="X44">IFERROR(INDEX(Products[[ProdCode]:[Product]],_xlfn.XMATCH(INDEX(Products[[Product]:[Parent]],_xlfn.XMATCH(Products[[#This Row],[L4N]],Products[Product],0),2),Products[ProdCode],0),2),Products[[#This Row],[L4N]])</f>
        <v>Energy</v>
      </c>
      <c r="Y44" s="71" t="str" cm="1">
        <f t="array" ref="Y44">IFERROR(INDEX(Products[[ProdCode]:[Product]],_xlfn.XMATCH(INDEX(Products[[Product]:[Parent]],_xlfn.XMATCH(Products[[#This Row],[L5N]],Products[Product],0),2),Products[ProdCode],0),2),Products[[#This Row],[L5N]])</f>
        <v>Energy</v>
      </c>
      <c r="Z44" s="71" t="str" cm="1">
        <f t="array" ref="Z44">IFERROR(INDEX(Products[[ProdCode]:[Product]],_xlfn.XMATCH(INDEX(Products[[Product]:[Parent]],_xlfn.XMATCH(Products[[#This Row],[L6N]],Products[Product],0),2),Products[ProdCode],0),2),Products[[#This Row],[L6N]])</f>
        <v>Energy</v>
      </c>
      <c r="AA44" s="71" t="str" cm="1">
        <f t="array" ref="AA44">IFERROR(INDEX(Products[[ProdCode]:[Product]],_xlfn.XMATCH(INDEX(Products[[Product]:[Parent]],_xlfn.XMATCH(Products[[#This Row],[L7N]],Products[Product],0),2),Products[ProdCode],0),2),Products[[#This Row],[L7N]])</f>
        <v>Energy</v>
      </c>
      <c r="AB4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Wet natural gas</v>
      </c>
      <c r="AG4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Wet natural gas</v>
      </c>
      <c r="AH4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Wet natural gas</v>
      </c>
      <c r="AI4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Wet natural gas</v>
      </c>
    </row>
    <row r="45" spans="2:35" x14ac:dyDescent="0.45">
      <c r="B45" s="100">
        <v>113200</v>
      </c>
      <c r="C45" s="84" t="s">
        <v>1131</v>
      </c>
      <c r="D45" s="100">
        <v>113000</v>
      </c>
      <c r="E45" s="92" t="s">
        <v>1148</v>
      </c>
      <c r="F45" s="19" t="s">
        <v>1188</v>
      </c>
      <c r="G45" s="69" t="s">
        <v>53</v>
      </c>
      <c r="H45" s="69" t="s">
        <v>65</v>
      </c>
      <c r="I45" s="69"/>
      <c r="J45" s="69"/>
      <c r="K45" s="69" t="s">
        <v>1392</v>
      </c>
      <c r="L45" s="69"/>
      <c r="M45" s="69">
        <v>0.9</v>
      </c>
      <c r="N45" s="118"/>
      <c r="O45" s="118"/>
      <c r="P45" s="69" t="s">
        <v>1224</v>
      </c>
      <c r="Q45" s="69" t="s">
        <v>154</v>
      </c>
      <c r="R45" s="69"/>
      <c r="S45" s="69"/>
      <c r="T45" s="71" t="str" cm="1">
        <f t="array" ref="T45">IFERROR(INDEX(Products[[ProdCode]:[Product]],_xlfn.XMATCH(Products[[#This Row],[Parent]],Products[Product],0),2),Products[[#This Row],[Product]])</f>
        <v>Dry natural gas</v>
      </c>
      <c r="U45" s="71" t="str" cm="1">
        <f t="array" ref="U45">IFERROR(INDEX(Products[[ProdCode]:[Product]],_xlfn.XMATCH(INDEX(Products[[Product]:[Parent]],_xlfn.XMATCH(Products[[#This Row],[L1N]],Products[Product],0),2),Products[ProdCode],0),2),Products[[#This Row],[L1N]])</f>
        <v>Natural gas</v>
      </c>
      <c r="V45" s="71" t="str" cm="1">
        <f t="array" ref="V45">IFERROR(INDEX(Products[[ProdCode]:[Product]],_xlfn.XMATCH(INDEX(Products[[Product]:[Parent]],_xlfn.XMATCH(Products[[#This Row],[L2N]],Products[Product],0),2),Products[ProdCode],0),2),Products[[#This Row],[L2N]])</f>
        <v>Fossil fuels</v>
      </c>
      <c r="W45" s="71" t="str" cm="1">
        <f t="array" ref="W45">IFERROR(INDEX(Products[[ProdCode]:[Product]],_xlfn.XMATCH(INDEX(Products[[Product]:[Parent]],_xlfn.XMATCH(Products[[#This Row],[L3N]],Products[Product],0),2),Products[ProdCode],0),2),Products[[#This Row],[L3N]])</f>
        <v>Non-renewable energy</v>
      </c>
      <c r="X45" s="71" t="str" cm="1">
        <f t="array" ref="X45">IFERROR(INDEX(Products[[ProdCode]:[Product]],_xlfn.XMATCH(INDEX(Products[[Product]:[Parent]],_xlfn.XMATCH(Products[[#This Row],[L4N]],Products[Product],0),2),Products[ProdCode],0),2),Products[[#This Row],[L4N]])</f>
        <v>Energy</v>
      </c>
      <c r="Y45" s="71" t="str" cm="1">
        <f t="array" ref="Y45">IFERROR(INDEX(Products[[ProdCode]:[Product]],_xlfn.XMATCH(INDEX(Products[[Product]:[Parent]],_xlfn.XMATCH(Products[[#This Row],[L5N]],Products[Product],0),2),Products[ProdCode],0),2),Products[[#This Row],[L5N]])</f>
        <v>Energy</v>
      </c>
      <c r="Z45" s="71" t="str" cm="1">
        <f t="array" ref="Z45">IFERROR(INDEX(Products[[ProdCode]:[Product]],_xlfn.XMATCH(INDEX(Products[[Product]:[Parent]],_xlfn.XMATCH(Products[[#This Row],[L6N]],Products[Product],0),2),Products[ProdCode],0),2),Products[[#This Row],[L6N]])</f>
        <v>Energy</v>
      </c>
      <c r="AA45" s="71" t="str" cm="1">
        <f t="array" ref="AA45">IFERROR(INDEX(Products[[ProdCode]:[Product]],_xlfn.XMATCH(INDEX(Products[[Product]:[Parent]],_xlfn.XMATCH(Products[[#This Row],[L7N]],Products[Product],0),2),Products[ProdCode],0),2),Products[[#This Row],[L7N]])</f>
        <v>Energy</v>
      </c>
      <c r="AB4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Dry natural gas</v>
      </c>
      <c r="AG4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Dry natural gas</v>
      </c>
      <c r="AH4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Dry natural gas</v>
      </c>
      <c r="AI4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Dry natural gas</v>
      </c>
    </row>
    <row r="46" spans="2:35" x14ac:dyDescent="0.45">
      <c r="B46" s="101">
        <v>113210</v>
      </c>
      <c r="C46" s="87" t="s">
        <v>930</v>
      </c>
      <c r="D46" s="101">
        <v>113200</v>
      </c>
      <c r="E46" s="92" t="s">
        <v>1148</v>
      </c>
      <c r="F46" s="19" t="s">
        <v>1188</v>
      </c>
      <c r="G46" s="69" t="s">
        <v>1199</v>
      </c>
      <c r="H46" s="69" t="s">
        <v>83</v>
      </c>
      <c r="I46" s="69"/>
      <c r="J46" s="69"/>
      <c r="K46" s="69" t="s">
        <v>1388</v>
      </c>
      <c r="L46" s="69"/>
      <c r="M46" s="69"/>
      <c r="N46" s="118"/>
      <c r="O46" s="118"/>
      <c r="P46" s="69" t="s">
        <v>1224</v>
      </c>
      <c r="Q46" s="69" t="s">
        <v>154</v>
      </c>
      <c r="R46" s="69"/>
      <c r="S46" s="69"/>
      <c r="T46" s="71" t="str" cm="1">
        <f t="array" ref="T46">IFERROR(INDEX(Products[[ProdCode]:[Product]],_xlfn.XMATCH(Products[[#This Row],[Parent]],Products[Product],0),2),Products[[#This Row],[Product]])</f>
        <v>Liquefied natural gas</v>
      </c>
      <c r="U46" s="71" t="str" cm="1">
        <f t="array" ref="U46">IFERROR(INDEX(Products[[ProdCode]:[Product]],_xlfn.XMATCH(INDEX(Products[[Product]:[Parent]],_xlfn.XMATCH(Products[[#This Row],[L1N]],Products[Product],0),2),Products[ProdCode],0),2),Products[[#This Row],[L1N]])</f>
        <v>Dry natural gas</v>
      </c>
      <c r="V46" s="71" t="str" cm="1">
        <f t="array" ref="V46">IFERROR(INDEX(Products[[ProdCode]:[Product]],_xlfn.XMATCH(INDEX(Products[[Product]:[Parent]],_xlfn.XMATCH(Products[[#This Row],[L2N]],Products[Product],0),2),Products[ProdCode],0),2),Products[[#This Row],[L2N]])</f>
        <v>Natural gas</v>
      </c>
      <c r="W46" s="71" t="str" cm="1">
        <f t="array" ref="W46">IFERROR(INDEX(Products[[ProdCode]:[Product]],_xlfn.XMATCH(INDEX(Products[[Product]:[Parent]],_xlfn.XMATCH(Products[[#This Row],[L3N]],Products[Product],0),2),Products[ProdCode],0),2),Products[[#This Row],[L3N]])</f>
        <v>Fossil fuels</v>
      </c>
      <c r="X46" s="71" t="str" cm="1">
        <f t="array" ref="X46">IFERROR(INDEX(Products[[ProdCode]:[Product]],_xlfn.XMATCH(INDEX(Products[[Product]:[Parent]],_xlfn.XMATCH(Products[[#This Row],[L4N]],Products[Product],0),2),Products[ProdCode],0),2),Products[[#This Row],[L4N]])</f>
        <v>Non-renewable energy</v>
      </c>
      <c r="Y46" s="71" t="str" cm="1">
        <f t="array" ref="Y46">IFERROR(INDEX(Products[[ProdCode]:[Product]],_xlfn.XMATCH(INDEX(Products[[Product]:[Parent]],_xlfn.XMATCH(Products[[#This Row],[L5N]],Products[Product],0),2),Products[ProdCode],0),2),Products[[#This Row],[L5N]])</f>
        <v>Energy</v>
      </c>
      <c r="Z46" s="71" t="str" cm="1">
        <f t="array" ref="Z46">IFERROR(INDEX(Products[[ProdCode]:[Product]],_xlfn.XMATCH(INDEX(Products[[Product]:[Parent]],_xlfn.XMATCH(Products[[#This Row],[L6N]],Products[Product],0),2),Products[ProdCode],0),2),Products[[#This Row],[L6N]])</f>
        <v>Energy</v>
      </c>
      <c r="AA46" s="71" t="str" cm="1">
        <f t="array" ref="AA46">IFERROR(INDEX(Products[[ProdCode]:[Product]],_xlfn.XMATCH(INDEX(Products[[Product]:[Parent]],_xlfn.XMATCH(Products[[#This Row],[L7N]],Products[Product],0),2),Products[ProdCode],0),2),Products[[#This Row],[L7N]])</f>
        <v>Energy</v>
      </c>
      <c r="AB4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Dry natural gas</v>
      </c>
      <c r="AG4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Liquefied natural gas</v>
      </c>
      <c r="AH4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Liquefied natural gas</v>
      </c>
      <c r="AI4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Liquefied natural gas</v>
      </c>
    </row>
    <row r="47" spans="2:35" x14ac:dyDescent="0.45">
      <c r="B47" s="101">
        <v>113220</v>
      </c>
      <c r="C47" s="87" t="s">
        <v>1476</v>
      </c>
      <c r="D47" s="101">
        <v>113200</v>
      </c>
      <c r="E47" s="92" t="s">
        <v>1148</v>
      </c>
      <c r="F47" s="19" t="s">
        <v>1188</v>
      </c>
      <c r="G47" s="69" t="s">
        <v>1199</v>
      </c>
      <c r="H47" s="69" t="s">
        <v>83</v>
      </c>
      <c r="I47" s="69"/>
      <c r="J47" s="69"/>
      <c r="K47" s="69" t="s">
        <v>1389</v>
      </c>
      <c r="L47" s="69" t="s">
        <v>1390</v>
      </c>
      <c r="M47" s="69">
        <v>0.9</v>
      </c>
      <c r="N47" s="118"/>
      <c r="O47" s="118"/>
      <c r="P47" s="69" t="s">
        <v>1224</v>
      </c>
      <c r="Q47" s="69" t="s">
        <v>154</v>
      </c>
      <c r="R47" s="69"/>
      <c r="S47" s="69"/>
      <c r="T47" s="71" t="str" cm="1">
        <f t="array" ref="T47">IFERROR(INDEX(Products[[ProdCode]:[Product]],_xlfn.XMATCH(Products[[#This Row],[Parent]],Products[Product],0),2),Products[[#This Row],[Product]])</f>
        <v>Compressed natural gas</v>
      </c>
      <c r="U47" s="71" t="str" cm="1">
        <f t="array" ref="U47">IFERROR(INDEX(Products[[ProdCode]:[Product]],_xlfn.XMATCH(INDEX(Products[[Product]:[Parent]],_xlfn.XMATCH(Products[[#This Row],[L1N]],Products[Product],0),2),Products[ProdCode],0),2),Products[[#This Row],[L1N]])</f>
        <v>Dry natural gas</v>
      </c>
      <c r="V47" s="71" t="str" cm="1">
        <f t="array" ref="V47">IFERROR(INDEX(Products[[ProdCode]:[Product]],_xlfn.XMATCH(INDEX(Products[[Product]:[Parent]],_xlfn.XMATCH(Products[[#This Row],[L2N]],Products[Product],0),2),Products[ProdCode],0),2),Products[[#This Row],[L2N]])</f>
        <v>Natural gas</v>
      </c>
      <c r="W47" s="71" t="str" cm="1">
        <f t="array" ref="W47">IFERROR(INDEX(Products[[ProdCode]:[Product]],_xlfn.XMATCH(INDEX(Products[[Product]:[Parent]],_xlfn.XMATCH(Products[[#This Row],[L3N]],Products[Product],0),2),Products[ProdCode],0),2),Products[[#This Row],[L3N]])</f>
        <v>Fossil fuels</v>
      </c>
      <c r="X47" s="71" t="str" cm="1">
        <f t="array" ref="X47">IFERROR(INDEX(Products[[ProdCode]:[Product]],_xlfn.XMATCH(INDEX(Products[[Product]:[Parent]],_xlfn.XMATCH(Products[[#This Row],[L4N]],Products[Product],0),2),Products[ProdCode],0),2),Products[[#This Row],[L4N]])</f>
        <v>Non-renewable energy</v>
      </c>
      <c r="Y47" s="71" t="str" cm="1">
        <f t="array" ref="Y47">IFERROR(INDEX(Products[[ProdCode]:[Product]],_xlfn.XMATCH(INDEX(Products[[Product]:[Parent]],_xlfn.XMATCH(Products[[#This Row],[L5N]],Products[Product],0),2),Products[ProdCode],0),2),Products[[#This Row],[L5N]])</f>
        <v>Energy</v>
      </c>
      <c r="Z47" s="71" t="str" cm="1">
        <f t="array" ref="Z47">IFERROR(INDEX(Products[[ProdCode]:[Product]],_xlfn.XMATCH(INDEX(Products[[Product]:[Parent]],_xlfn.XMATCH(Products[[#This Row],[L6N]],Products[Product],0),2),Products[ProdCode],0),2),Products[[#This Row],[L6N]])</f>
        <v>Energy</v>
      </c>
      <c r="AA47" s="71" t="str" cm="1">
        <f t="array" ref="AA47">IFERROR(INDEX(Products[[ProdCode]:[Product]],_xlfn.XMATCH(INDEX(Products[[Product]:[Parent]],_xlfn.XMATCH(Products[[#This Row],[L7N]],Products[Product],0),2),Products[ProdCode],0),2),Products[[#This Row],[L7N]])</f>
        <v>Energy</v>
      </c>
      <c r="AB4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Dry natural gas</v>
      </c>
      <c r="AG4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Compressed natural gas</v>
      </c>
      <c r="AH4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Compressed natural gas</v>
      </c>
      <c r="AI4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Compressed natural gas</v>
      </c>
    </row>
    <row r="48" spans="2:35" x14ac:dyDescent="0.45">
      <c r="B48" s="100">
        <v>113300</v>
      </c>
      <c r="C48" s="84" t="s">
        <v>931</v>
      </c>
      <c r="D48" s="100">
        <v>113000</v>
      </c>
      <c r="E48" s="92" t="s">
        <v>1148</v>
      </c>
      <c r="F48" s="19" t="s">
        <v>1189</v>
      </c>
      <c r="G48" s="69" t="s">
        <v>53</v>
      </c>
      <c r="H48" s="69" t="s">
        <v>65</v>
      </c>
      <c r="I48" s="69"/>
      <c r="J48" s="69"/>
      <c r="K48" s="69" t="s">
        <v>1741</v>
      </c>
      <c r="L48" s="69"/>
      <c r="M48" s="69"/>
      <c r="N48" s="118"/>
      <c r="O48" s="118"/>
      <c r="P48" s="69"/>
      <c r="Q48" s="69" t="s">
        <v>154</v>
      </c>
      <c r="R48" s="69"/>
      <c r="S48" s="69"/>
      <c r="T48" s="71" t="str" cm="1">
        <f t="array" ref="T48">IFERROR(INDEX(Products[[ProdCode]:[Product]],_xlfn.XMATCH(Products[[#This Row],[Parent]],Products[Product],0),2),Products[[#This Row],[Product]])</f>
        <v>Natural gas products</v>
      </c>
      <c r="U48" s="71" t="str" cm="1">
        <f t="array" ref="U48">IFERROR(INDEX(Products[[ProdCode]:[Product]],_xlfn.XMATCH(INDEX(Products[[Product]:[Parent]],_xlfn.XMATCH(Products[[#This Row],[L1N]],Products[Product],0),2),Products[ProdCode],0),2),Products[[#This Row],[L1N]])</f>
        <v>Natural gas</v>
      </c>
      <c r="V48" s="71" t="str" cm="1">
        <f t="array" ref="V48">IFERROR(INDEX(Products[[ProdCode]:[Product]],_xlfn.XMATCH(INDEX(Products[[Product]:[Parent]],_xlfn.XMATCH(Products[[#This Row],[L2N]],Products[Product],0),2),Products[ProdCode],0),2),Products[[#This Row],[L2N]])</f>
        <v>Fossil fuels</v>
      </c>
      <c r="W48" s="71" t="str" cm="1">
        <f t="array" ref="W48">IFERROR(INDEX(Products[[ProdCode]:[Product]],_xlfn.XMATCH(INDEX(Products[[Product]:[Parent]],_xlfn.XMATCH(Products[[#This Row],[L3N]],Products[Product],0),2),Products[ProdCode],0),2),Products[[#This Row],[L3N]])</f>
        <v>Non-renewable energy</v>
      </c>
      <c r="X48" s="71" t="str" cm="1">
        <f t="array" ref="X48">IFERROR(INDEX(Products[[ProdCode]:[Product]],_xlfn.XMATCH(INDEX(Products[[Product]:[Parent]],_xlfn.XMATCH(Products[[#This Row],[L4N]],Products[Product],0),2),Products[ProdCode],0),2),Products[[#This Row],[L4N]])</f>
        <v>Energy</v>
      </c>
      <c r="Y48" s="71" t="str" cm="1">
        <f t="array" ref="Y48">IFERROR(INDEX(Products[[ProdCode]:[Product]],_xlfn.XMATCH(INDEX(Products[[Product]:[Parent]],_xlfn.XMATCH(Products[[#This Row],[L5N]],Products[Product],0),2),Products[ProdCode],0),2),Products[[#This Row],[L5N]])</f>
        <v>Energy</v>
      </c>
      <c r="Z48" s="71" t="str" cm="1">
        <f t="array" ref="Z48">IFERROR(INDEX(Products[[ProdCode]:[Product]],_xlfn.XMATCH(INDEX(Products[[Product]:[Parent]],_xlfn.XMATCH(Products[[#This Row],[L6N]],Products[Product],0),2),Products[ProdCode],0),2),Products[[#This Row],[L6N]])</f>
        <v>Energy</v>
      </c>
      <c r="AA48" s="71" t="str" cm="1">
        <f t="array" ref="AA48">IFERROR(INDEX(Products[[ProdCode]:[Product]],_xlfn.XMATCH(INDEX(Products[[Product]:[Parent]],_xlfn.XMATCH(Products[[#This Row],[L7N]],Products[Product],0),2),Products[ProdCode],0),2),Products[[#This Row],[L7N]])</f>
        <v>Energy</v>
      </c>
      <c r="AB4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 products</v>
      </c>
      <c r="AG4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Natural gas products</v>
      </c>
      <c r="AH4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Natural gas products</v>
      </c>
      <c r="AI4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Natural gas products</v>
      </c>
    </row>
    <row r="49" spans="2:35" x14ac:dyDescent="0.45">
      <c r="B49" s="101">
        <v>113310</v>
      </c>
      <c r="C49" s="87" t="s">
        <v>932</v>
      </c>
      <c r="D49" s="101">
        <v>113300</v>
      </c>
      <c r="E49" s="92" t="s">
        <v>1148</v>
      </c>
      <c r="F49" s="19" t="s">
        <v>1189</v>
      </c>
      <c r="G49" s="69" t="s">
        <v>1199</v>
      </c>
      <c r="H49" s="69" t="s">
        <v>83</v>
      </c>
      <c r="I49" s="69"/>
      <c r="J49" s="69"/>
      <c r="K49" s="69" t="s">
        <v>1393</v>
      </c>
      <c r="L49" s="69"/>
      <c r="M49" s="69"/>
      <c r="N49" s="118"/>
      <c r="O49" s="118"/>
      <c r="P49" s="69" t="s">
        <v>1310</v>
      </c>
      <c r="Q49" s="69" t="s">
        <v>154</v>
      </c>
      <c r="R49" s="69"/>
      <c r="S49" s="69"/>
      <c r="T49" s="72" t="str" cm="1">
        <f t="array" ref="T49">IFERROR(INDEX(Products[[ProdCode]:[Product]],_xlfn.XMATCH(Products[[#This Row],[Parent]],Products[Product],0),2),Products[[#This Row],[Product]])</f>
        <v>Natural gas-based hydrogen</v>
      </c>
      <c r="U49" s="72" t="str" cm="1">
        <f t="array" ref="U49">IFERROR(INDEX(Products[[ProdCode]:[Product]],_xlfn.XMATCH(INDEX(Products[[Product]:[Parent]],_xlfn.XMATCH(Products[[#This Row],[L1N]],Products[Product],0),2),Products[ProdCode],0),2),Products[[#This Row],[L1N]])</f>
        <v>Natural gas products</v>
      </c>
      <c r="V49" s="72" t="str" cm="1">
        <f t="array" ref="V49">IFERROR(INDEX(Products[[ProdCode]:[Product]],_xlfn.XMATCH(INDEX(Products[[Product]:[Parent]],_xlfn.XMATCH(Products[[#This Row],[L2N]],Products[Product],0),2),Products[ProdCode],0),2),Products[[#This Row],[L2N]])</f>
        <v>Natural gas</v>
      </c>
      <c r="W49" s="72" t="str" cm="1">
        <f t="array" ref="W49">IFERROR(INDEX(Products[[ProdCode]:[Product]],_xlfn.XMATCH(INDEX(Products[[Product]:[Parent]],_xlfn.XMATCH(Products[[#This Row],[L3N]],Products[Product],0),2),Products[ProdCode],0),2),Products[[#This Row],[L3N]])</f>
        <v>Fossil fuels</v>
      </c>
      <c r="X49" s="72" t="str" cm="1">
        <f t="array" ref="X49">IFERROR(INDEX(Products[[ProdCode]:[Product]],_xlfn.XMATCH(INDEX(Products[[Product]:[Parent]],_xlfn.XMATCH(Products[[#This Row],[L4N]],Products[Product],0),2),Products[ProdCode],0),2),Products[[#This Row],[L4N]])</f>
        <v>Non-renewable energy</v>
      </c>
      <c r="Y49" s="72" t="str" cm="1">
        <f t="array" ref="Y49">IFERROR(INDEX(Products[[ProdCode]:[Product]],_xlfn.XMATCH(INDEX(Products[[Product]:[Parent]],_xlfn.XMATCH(Products[[#This Row],[L5N]],Products[Product],0),2),Products[ProdCode],0),2),Products[[#This Row],[L5N]])</f>
        <v>Energy</v>
      </c>
      <c r="Z49" s="72" t="str" cm="1">
        <f t="array" ref="Z49">IFERROR(INDEX(Products[[ProdCode]:[Product]],_xlfn.XMATCH(INDEX(Products[[Product]:[Parent]],_xlfn.XMATCH(Products[[#This Row],[L6N]],Products[Product],0),2),Products[ProdCode],0),2),Products[[#This Row],[L6N]])</f>
        <v>Energy</v>
      </c>
      <c r="AA49" s="72" t="str" cm="1">
        <f t="array" ref="AA49">IFERROR(INDEX(Products[[ProdCode]:[Product]],_xlfn.XMATCH(INDEX(Products[[Product]:[Parent]],_xlfn.XMATCH(Products[[#This Row],[L7N]],Products[Product],0),2),Products[ProdCode],0),2),Products[[#This Row],[L7N]])</f>
        <v>Energy</v>
      </c>
      <c r="AB4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4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4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4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4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 products</v>
      </c>
      <c r="AG4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Natural gas-based hydrogen</v>
      </c>
      <c r="AH4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Natural gas-based hydrogen</v>
      </c>
      <c r="AI4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Natural gas-based hydrogen</v>
      </c>
    </row>
    <row r="50" spans="2:35" x14ac:dyDescent="0.45">
      <c r="B50" s="101">
        <v>113320</v>
      </c>
      <c r="C50" s="87" t="s">
        <v>933</v>
      </c>
      <c r="D50" s="101">
        <v>113300</v>
      </c>
      <c r="E50" s="92" t="s">
        <v>1148</v>
      </c>
      <c r="F50" s="19" t="s">
        <v>1189</v>
      </c>
      <c r="G50" s="69" t="s">
        <v>1199</v>
      </c>
      <c r="H50" s="69" t="s">
        <v>83</v>
      </c>
      <c r="I50" s="69"/>
      <c r="J50" s="69"/>
      <c r="K50" s="69" t="s">
        <v>1742</v>
      </c>
      <c r="L50" s="69"/>
      <c r="M50" s="69"/>
      <c r="N50" s="118"/>
      <c r="O50" s="118"/>
      <c r="P50" s="69" t="s">
        <v>1229</v>
      </c>
      <c r="Q50" s="69" t="s">
        <v>154</v>
      </c>
      <c r="R50" s="69"/>
      <c r="S50" s="69"/>
      <c r="T50" s="72" t="str" cm="1">
        <f t="array" ref="T50">IFERROR(INDEX(Products[[ProdCode]:[Product]],_xlfn.XMATCH(Products[[#This Row],[Parent]],Products[Product],0),2),Products[[#This Row],[Product]])</f>
        <v>Natural gas-based ammonia</v>
      </c>
      <c r="U50" s="72" t="str" cm="1">
        <f t="array" ref="U50">IFERROR(INDEX(Products[[ProdCode]:[Product]],_xlfn.XMATCH(INDEX(Products[[Product]:[Parent]],_xlfn.XMATCH(Products[[#This Row],[L1N]],Products[Product],0),2),Products[ProdCode],0),2),Products[[#This Row],[L1N]])</f>
        <v>Natural gas products</v>
      </c>
      <c r="V50" s="72" t="str" cm="1">
        <f t="array" ref="V50">IFERROR(INDEX(Products[[ProdCode]:[Product]],_xlfn.XMATCH(INDEX(Products[[Product]:[Parent]],_xlfn.XMATCH(Products[[#This Row],[L2N]],Products[Product],0),2),Products[ProdCode],0),2),Products[[#This Row],[L2N]])</f>
        <v>Natural gas</v>
      </c>
      <c r="W50" s="72" t="str" cm="1">
        <f t="array" ref="W50">IFERROR(INDEX(Products[[ProdCode]:[Product]],_xlfn.XMATCH(INDEX(Products[[Product]:[Parent]],_xlfn.XMATCH(Products[[#This Row],[L3N]],Products[Product],0),2),Products[ProdCode],0),2),Products[[#This Row],[L3N]])</f>
        <v>Fossil fuels</v>
      </c>
      <c r="X50" s="72" t="str" cm="1">
        <f t="array" ref="X50">IFERROR(INDEX(Products[[ProdCode]:[Product]],_xlfn.XMATCH(INDEX(Products[[Product]:[Parent]],_xlfn.XMATCH(Products[[#This Row],[L4N]],Products[Product],0),2),Products[ProdCode],0),2),Products[[#This Row],[L4N]])</f>
        <v>Non-renewable energy</v>
      </c>
      <c r="Y50" s="72" t="str" cm="1">
        <f t="array" ref="Y50">IFERROR(INDEX(Products[[ProdCode]:[Product]],_xlfn.XMATCH(INDEX(Products[[Product]:[Parent]],_xlfn.XMATCH(Products[[#This Row],[L5N]],Products[Product],0),2),Products[ProdCode],0),2),Products[[#This Row],[L5N]])</f>
        <v>Energy</v>
      </c>
      <c r="Z50" s="72" t="str" cm="1">
        <f t="array" ref="Z50">IFERROR(INDEX(Products[[ProdCode]:[Product]],_xlfn.XMATCH(INDEX(Products[[Product]:[Parent]],_xlfn.XMATCH(Products[[#This Row],[L6N]],Products[Product],0),2),Products[ProdCode],0),2),Products[[#This Row],[L6N]])</f>
        <v>Energy</v>
      </c>
      <c r="AA50" s="72" t="str" cm="1">
        <f t="array" ref="AA50">IFERROR(INDEX(Products[[ProdCode]:[Product]],_xlfn.XMATCH(INDEX(Products[[Product]:[Parent]],_xlfn.XMATCH(Products[[#This Row],[L7N]],Products[Product],0),2),Products[ProdCode],0),2),Products[[#This Row],[L7N]])</f>
        <v>Energy</v>
      </c>
      <c r="AB5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5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 products</v>
      </c>
      <c r="AG5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Natural gas-based ammonia</v>
      </c>
      <c r="AH5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Natural gas-based ammonia</v>
      </c>
      <c r="AI5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Natural gas-based ammonia</v>
      </c>
    </row>
    <row r="51" spans="2:35" x14ac:dyDescent="0.45">
      <c r="B51" s="101">
        <v>113390</v>
      </c>
      <c r="C51" s="87" t="s">
        <v>1206</v>
      </c>
      <c r="D51" s="101">
        <v>113300</v>
      </c>
      <c r="E51" s="92" t="s">
        <v>1148</v>
      </c>
      <c r="F51" s="19" t="s">
        <v>1189</v>
      </c>
      <c r="G51" s="69" t="s">
        <v>1199</v>
      </c>
      <c r="H51" s="69" t="s">
        <v>83</v>
      </c>
      <c r="I51" s="69"/>
      <c r="J51" s="69"/>
      <c r="K51" s="69" t="s">
        <v>1743</v>
      </c>
      <c r="L51" s="69"/>
      <c r="M51" s="69"/>
      <c r="N51" s="118"/>
      <c r="O51" s="118"/>
      <c r="P51" s="69"/>
      <c r="Q51" s="69" t="s">
        <v>154</v>
      </c>
      <c r="R51" s="69"/>
      <c r="S51" s="69"/>
      <c r="T51" s="72" t="str" cm="1">
        <f t="array" ref="T51">IFERROR(INDEX(Products[[ProdCode]:[Product]],_xlfn.XMATCH(Products[[#This Row],[Parent]],Products[Product],0),2),Products[[#This Row],[Product]])</f>
        <v>Other natural gas products</v>
      </c>
      <c r="U51" s="72" t="str" cm="1">
        <f t="array" ref="U51">IFERROR(INDEX(Products[[ProdCode]:[Product]],_xlfn.XMATCH(INDEX(Products[[Product]:[Parent]],_xlfn.XMATCH(Products[[#This Row],[L1N]],Products[Product],0),2),Products[ProdCode],0),2),Products[[#This Row],[L1N]])</f>
        <v>Natural gas products</v>
      </c>
      <c r="V51" s="72" t="str" cm="1">
        <f t="array" ref="V51">IFERROR(INDEX(Products[[ProdCode]:[Product]],_xlfn.XMATCH(INDEX(Products[[Product]:[Parent]],_xlfn.XMATCH(Products[[#This Row],[L2N]],Products[Product],0),2),Products[ProdCode],0),2),Products[[#This Row],[L2N]])</f>
        <v>Natural gas</v>
      </c>
      <c r="W51" s="72" t="str" cm="1">
        <f t="array" ref="W51">IFERROR(INDEX(Products[[ProdCode]:[Product]],_xlfn.XMATCH(INDEX(Products[[Product]:[Parent]],_xlfn.XMATCH(Products[[#This Row],[L3N]],Products[Product],0),2),Products[ProdCode],0),2),Products[[#This Row],[L3N]])</f>
        <v>Fossil fuels</v>
      </c>
      <c r="X51" s="72" t="str" cm="1">
        <f t="array" ref="X51">IFERROR(INDEX(Products[[ProdCode]:[Product]],_xlfn.XMATCH(INDEX(Products[[Product]:[Parent]],_xlfn.XMATCH(Products[[#This Row],[L4N]],Products[Product],0),2),Products[ProdCode],0),2),Products[[#This Row],[L4N]])</f>
        <v>Non-renewable energy</v>
      </c>
      <c r="Y51" s="72" t="str" cm="1">
        <f t="array" ref="Y51">IFERROR(INDEX(Products[[ProdCode]:[Product]],_xlfn.XMATCH(INDEX(Products[[Product]:[Parent]],_xlfn.XMATCH(Products[[#This Row],[L5N]],Products[Product],0),2),Products[ProdCode],0),2),Products[[#This Row],[L5N]])</f>
        <v>Energy</v>
      </c>
      <c r="Z51" s="72" t="str" cm="1">
        <f t="array" ref="Z51">IFERROR(INDEX(Products[[ProdCode]:[Product]],_xlfn.XMATCH(INDEX(Products[[Product]:[Parent]],_xlfn.XMATCH(Products[[#This Row],[L6N]],Products[Product],0),2),Products[ProdCode],0),2),Products[[#This Row],[L6N]])</f>
        <v>Energy</v>
      </c>
      <c r="AA51" s="72" t="str" cm="1">
        <f t="array" ref="AA51">IFERROR(INDEX(Products[[ProdCode]:[Product]],_xlfn.XMATCH(INDEX(Products[[Product]:[Parent]],_xlfn.XMATCH(Products[[#This Row],[L7N]],Products[Product],0),2),Products[ProdCode],0),2),Products[[#This Row],[L7N]])</f>
        <v>Energy</v>
      </c>
      <c r="AB5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Natural gas</v>
      </c>
      <c r="AF5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 products</v>
      </c>
      <c r="AG5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natural gas products</v>
      </c>
      <c r="AH5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natural gas products</v>
      </c>
      <c r="AI5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natural gas products</v>
      </c>
    </row>
    <row r="52" spans="2:35" x14ac:dyDescent="0.45">
      <c r="B52" s="99">
        <v>114000</v>
      </c>
      <c r="C52" s="78" t="s">
        <v>126</v>
      </c>
      <c r="D52" s="99">
        <v>110000</v>
      </c>
      <c r="E52" s="92" t="s">
        <v>1148</v>
      </c>
      <c r="F52" s="19" t="s">
        <v>1188</v>
      </c>
      <c r="G52" s="69" t="s">
        <v>54</v>
      </c>
      <c r="H52" s="69" t="s">
        <v>65</v>
      </c>
      <c r="I52" s="69"/>
      <c r="J52" s="69"/>
      <c r="K52" s="69" t="s">
        <v>1030</v>
      </c>
      <c r="L52" s="69"/>
      <c r="M52" s="69"/>
      <c r="N52" s="118"/>
      <c r="O52" s="118"/>
      <c r="P52" s="69"/>
      <c r="Q52" s="69"/>
      <c r="R52" s="69"/>
      <c r="S52" s="69"/>
      <c r="T52" s="71" t="str" cm="1">
        <f t="array" ref="T52">IFERROR(INDEX(Products[[ProdCode]:[Product]],_xlfn.XMATCH(Products[[#This Row],[Parent]],Products[Product],0),2),Products[[#This Row],[Product]])</f>
        <v>Oil</v>
      </c>
      <c r="U52" s="71" t="str" cm="1">
        <f t="array" ref="U52">IFERROR(INDEX(Products[[ProdCode]:[Product]],_xlfn.XMATCH(INDEX(Products[[Product]:[Parent]],_xlfn.XMATCH(Products[[#This Row],[L1N]],Products[Product],0),2),Products[ProdCode],0),2),Products[[#This Row],[L1N]])</f>
        <v>Fossil fuels</v>
      </c>
      <c r="V52" s="71" t="str" cm="1">
        <f t="array" ref="V52">IFERROR(INDEX(Products[[ProdCode]:[Product]],_xlfn.XMATCH(INDEX(Products[[Product]:[Parent]],_xlfn.XMATCH(Products[[#This Row],[L2N]],Products[Product],0),2),Products[ProdCode],0),2),Products[[#This Row],[L2N]])</f>
        <v>Non-renewable energy</v>
      </c>
      <c r="W52" s="71" t="str" cm="1">
        <f t="array" ref="W52">IFERROR(INDEX(Products[[ProdCode]:[Product]],_xlfn.XMATCH(INDEX(Products[[Product]:[Parent]],_xlfn.XMATCH(Products[[#This Row],[L3N]],Products[Product],0),2),Products[ProdCode],0),2),Products[[#This Row],[L3N]])</f>
        <v>Energy</v>
      </c>
      <c r="X52" s="71" t="str" cm="1">
        <f t="array" ref="X52">IFERROR(INDEX(Products[[ProdCode]:[Product]],_xlfn.XMATCH(INDEX(Products[[Product]:[Parent]],_xlfn.XMATCH(Products[[#This Row],[L4N]],Products[Product],0),2),Products[ProdCode],0),2),Products[[#This Row],[L4N]])</f>
        <v>Energy</v>
      </c>
      <c r="Y52" s="71" t="str" cm="1">
        <f t="array" ref="Y52">IFERROR(INDEX(Products[[ProdCode]:[Product]],_xlfn.XMATCH(INDEX(Products[[Product]:[Parent]],_xlfn.XMATCH(Products[[#This Row],[L5N]],Products[Product],0),2),Products[ProdCode],0),2),Products[[#This Row],[L5N]])</f>
        <v>Energy</v>
      </c>
      <c r="Z52" s="71" t="str" cm="1">
        <f t="array" ref="Z52">IFERROR(INDEX(Products[[ProdCode]:[Product]],_xlfn.XMATCH(INDEX(Products[[Product]:[Parent]],_xlfn.XMATCH(Products[[#This Row],[L6N]],Products[Product],0),2),Products[ProdCode],0),2),Products[[#This Row],[L6N]])</f>
        <v>Energy</v>
      </c>
      <c r="AA52" s="71" t="str" cm="1">
        <f t="array" ref="AA52">IFERROR(INDEX(Products[[ProdCode]:[Product]],_xlfn.XMATCH(INDEX(Products[[Product]:[Parent]],_xlfn.XMATCH(Products[[#This Row],[L7N]],Products[Product],0),2),Products[ProdCode],0),2),Products[[#This Row],[L7N]])</f>
        <v>Energy</v>
      </c>
      <c r="AB5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v>
      </c>
      <c r="AG5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Oil</v>
      </c>
      <c r="AH5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v>
      </c>
      <c r="AI5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v>
      </c>
    </row>
    <row r="53" spans="2:35" x14ac:dyDescent="0.45">
      <c r="B53" s="100">
        <v>114100</v>
      </c>
      <c r="C53" s="84" t="s">
        <v>362</v>
      </c>
      <c r="D53" s="100">
        <v>114000</v>
      </c>
      <c r="E53" s="92" t="s">
        <v>1148</v>
      </c>
      <c r="F53" s="19" t="s">
        <v>1188</v>
      </c>
      <c r="G53" s="69" t="s">
        <v>53</v>
      </c>
      <c r="H53" s="69" t="s">
        <v>83</v>
      </c>
      <c r="I53" s="69"/>
      <c r="J53" s="69"/>
      <c r="K53" s="69" t="s">
        <v>1394</v>
      </c>
      <c r="L53" s="69" t="s">
        <v>1912</v>
      </c>
      <c r="M53" s="69">
        <v>42.3</v>
      </c>
      <c r="N53" s="118"/>
      <c r="O53" s="118"/>
      <c r="P53" s="69"/>
      <c r="Q53" s="69" t="s">
        <v>1859</v>
      </c>
      <c r="R53" s="69"/>
      <c r="S53" s="69"/>
      <c r="T53" s="71" t="str" cm="1">
        <f t="array" ref="T53">IFERROR(INDEX(Products[[ProdCode]:[Product]],_xlfn.XMATCH(Products[[#This Row],[Parent]],Products[Product],0),2),Products[[#This Row],[Product]])</f>
        <v>Conventional crude oil</v>
      </c>
      <c r="U53" s="71" t="str" cm="1">
        <f t="array" ref="U53">IFERROR(INDEX(Products[[ProdCode]:[Product]],_xlfn.XMATCH(INDEX(Products[[Product]:[Parent]],_xlfn.XMATCH(Products[[#This Row],[L1N]],Products[Product],0),2),Products[ProdCode],0),2),Products[[#This Row],[L1N]])</f>
        <v>Oil</v>
      </c>
      <c r="V53" s="71" t="str" cm="1">
        <f t="array" ref="V53">IFERROR(INDEX(Products[[ProdCode]:[Product]],_xlfn.XMATCH(INDEX(Products[[Product]:[Parent]],_xlfn.XMATCH(Products[[#This Row],[L2N]],Products[Product],0),2),Products[ProdCode],0),2),Products[[#This Row],[L2N]])</f>
        <v>Fossil fuels</v>
      </c>
      <c r="W53" s="71" t="str" cm="1">
        <f t="array" ref="W53">IFERROR(INDEX(Products[[ProdCode]:[Product]],_xlfn.XMATCH(INDEX(Products[[Product]:[Parent]],_xlfn.XMATCH(Products[[#This Row],[L3N]],Products[Product],0),2),Products[ProdCode],0),2),Products[[#This Row],[L3N]])</f>
        <v>Non-renewable energy</v>
      </c>
      <c r="X53" s="71" t="str" cm="1">
        <f t="array" ref="X53">IFERROR(INDEX(Products[[ProdCode]:[Product]],_xlfn.XMATCH(INDEX(Products[[Product]:[Parent]],_xlfn.XMATCH(Products[[#This Row],[L4N]],Products[Product],0),2),Products[ProdCode],0),2),Products[[#This Row],[L4N]])</f>
        <v>Energy</v>
      </c>
      <c r="Y53" s="71" t="str" cm="1">
        <f t="array" ref="Y53">IFERROR(INDEX(Products[[ProdCode]:[Product]],_xlfn.XMATCH(INDEX(Products[[Product]:[Parent]],_xlfn.XMATCH(Products[[#This Row],[L5N]],Products[Product],0),2),Products[ProdCode],0),2),Products[[#This Row],[L5N]])</f>
        <v>Energy</v>
      </c>
      <c r="Z53" s="71" t="str" cm="1">
        <f t="array" ref="Z53">IFERROR(INDEX(Products[[ProdCode]:[Product]],_xlfn.XMATCH(INDEX(Products[[Product]:[Parent]],_xlfn.XMATCH(Products[[#This Row],[L6N]],Products[Product],0),2),Products[ProdCode],0),2),Products[[#This Row],[L6N]])</f>
        <v>Energy</v>
      </c>
      <c r="AA53" s="71" t="str" cm="1">
        <f t="array" ref="AA53">IFERROR(INDEX(Products[[ProdCode]:[Product]],_xlfn.XMATCH(INDEX(Products[[Product]:[Parent]],_xlfn.XMATCH(Products[[#This Row],[L7N]],Products[Product],0),2),Products[ProdCode],0),2),Products[[#This Row],[L7N]])</f>
        <v>Energy</v>
      </c>
      <c r="AB5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Conventional crude oil</v>
      </c>
      <c r="AG5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Conventional crude oil</v>
      </c>
      <c r="AH5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Conventional crude oil</v>
      </c>
      <c r="AI5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Conventional crude oil</v>
      </c>
    </row>
    <row r="54" spans="2:35" x14ac:dyDescent="0.45">
      <c r="B54" s="100">
        <v>114200</v>
      </c>
      <c r="C54" s="84" t="s">
        <v>370</v>
      </c>
      <c r="D54" s="100">
        <v>114000</v>
      </c>
      <c r="E54" s="92" t="s">
        <v>1148</v>
      </c>
      <c r="F54" s="19" t="s">
        <v>1188</v>
      </c>
      <c r="G54" s="69" t="s">
        <v>53</v>
      </c>
      <c r="H54" s="69" t="s">
        <v>83</v>
      </c>
      <c r="I54" s="69"/>
      <c r="J54" s="69"/>
      <c r="K54" s="69" t="s">
        <v>1058</v>
      </c>
      <c r="L54" s="69" t="s">
        <v>1913</v>
      </c>
      <c r="M54" s="69">
        <v>44.2</v>
      </c>
      <c r="N54" s="118"/>
      <c r="O54" s="118"/>
      <c r="P54" s="69"/>
      <c r="Q54" s="69" t="s">
        <v>1859</v>
      </c>
      <c r="R54" s="69"/>
      <c r="S54" s="69"/>
      <c r="T54" s="71" t="str" cm="1">
        <f t="array" ref="T54">IFERROR(INDEX(Products[[ProdCode]:[Product]],_xlfn.XMATCH(Products[[#This Row],[Parent]],Products[Product],0),2),Products[[#This Row],[Product]])</f>
        <v>Natural gas liquids (NGL)</v>
      </c>
      <c r="U54" s="71" t="str" cm="1">
        <f t="array" ref="U54">IFERROR(INDEX(Products[[ProdCode]:[Product]],_xlfn.XMATCH(INDEX(Products[[Product]:[Parent]],_xlfn.XMATCH(Products[[#This Row],[L1N]],Products[Product],0),2),Products[ProdCode],0),2),Products[[#This Row],[L1N]])</f>
        <v>Oil</v>
      </c>
      <c r="V54" s="71" t="str" cm="1">
        <f t="array" ref="V54">IFERROR(INDEX(Products[[ProdCode]:[Product]],_xlfn.XMATCH(INDEX(Products[[Product]:[Parent]],_xlfn.XMATCH(Products[[#This Row],[L2N]],Products[Product],0),2),Products[ProdCode],0),2),Products[[#This Row],[L2N]])</f>
        <v>Fossil fuels</v>
      </c>
      <c r="W54" s="71" t="str" cm="1">
        <f t="array" ref="W54">IFERROR(INDEX(Products[[ProdCode]:[Product]],_xlfn.XMATCH(INDEX(Products[[Product]:[Parent]],_xlfn.XMATCH(Products[[#This Row],[L3N]],Products[Product],0),2),Products[ProdCode],0),2),Products[[#This Row],[L3N]])</f>
        <v>Non-renewable energy</v>
      </c>
      <c r="X54" s="71" t="str" cm="1">
        <f t="array" ref="X54">IFERROR(INDEX(Products[[ProdCode]:[Product]],_xlfn.XMATCH(INDEX(Products[[Product]:[Parent]],_xlfn.XMATCH(Products[[#This Row],[L4N]],Products[Product],0),2),Products[ProdCode],0),2),Products[[#This Row],[L4N]])</f>
        <v>Energy</v>
      </c>
      <c r="Y54" s="71" t="str" cm="1">
        <f t="array" ref="Y54">IFERROR(INDEX(Products[[ProdCode]:[Product]],_xlfn.XMATCH(INDEX(Products[[Product]:[Parent]],_xlfn.XMATCH(Products[[#This Row],[L5N]],Products[Product],0),2),Products[ProdCode],0),2),Products[[#This Row],[L5N]])</f>
        <v>Energy</v>
      </c>
      <c r="Z54" s="71" t="str" cm="1">
        <f t="array" ref="Z54">IFERROR(INDEX(Products[[ProdCode]:[Product]],_xlfn.XMATCH(INDEX(Products[[Product]:[Parent]],_xlfn.XMATCH(Products[[#This Row],[L6N]],Products[Product],0),2),Products[ProdCode],0),2),Products[[#This Row],[L6N]])</f>
        <v>Energy</v>
      </c>
      <c r="AA54" s="71" t="str" cm="1">
        <f t="array" ref="AA54">IFERROR(INDEX(Products[[ProdCode]:[Product]],_xlfn.XMATCH(INDEX(Products[[Product]:[Parent]],_xlfn.XMATCH(Products[[#This Row],[L7N]],Products[Product],0),2),Products[ProdCode],0),2),Products[[#This Row],[L7N]])</f>
        <v>Energy</v>
      </c>
      <c r="AB5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Natural gas liquids (NGL)</v>
      </c>
      <c r="AG5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Natural gas liquids (NGL)</v>
      </c>
      <c r="AH5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Natural gas liquids (NGL)</v>
      </c>
      <c r="AI5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Natural gas liquids (NGL)</v>
      </c>
    </row>
    <row r="55" spans="2:35" x14ac:dyDescent="0.45">
      <c r="B55" s="100">
        <v>114300</v>
      </c>
      <c r="C55" s="84" t="s">
        <v>377</v>
      </c>
      <c r="D55" s="100">
        <v>114000</v>
      </c>
      <c r="E55" s="92" t="s">
        <v>1148</v>
      </c>
      <c r="F55" s="19" t="s">
        <v>1188</v>
      </c>
      <c r="G55" s="69" t="s">
        <v>53</v>
      </c>
      <c r="H55" s="69" t="s">
        <v>83</v>
      </c>
      <c r="I55" s="69"/>
      <c r="J55" s="69"/>
      <c r="K55" s="69" t="s">
        <v>1396</v>
      </c>
      <c r="L55" s="69" t="s">
        <v>1914</v>
      </c>
      <c r="M55" s="69">
        <v>43</v>
      </c>
      <c r="N55" s="118"/>
      <c r="O55" s="118"/>
      <c r="P55" s="69"/>
      <c r="Q55" s="69" t="s">
        <v>145</v>
      </c>
      <c r="R55" s="69"/>
      <c r="S55" s="69"/>
      <c r="T55" s="71" t="str" cm="1">
        <f t="array" ref="T55">IFERROR(INDEX(Products[[ProdCode]:[Product]],_xlfn.XMATCH(Products[[#This Row],[Parent]],Products[Product],0),2),Products[[#This Row],[Product]])</f>
        <v>Refinery feedstocks</v>
      </c>
      <c r="U55" s="71" t="str" cm="1">
        <f t="array" ref="U55">IFERROR(INDEX(Products[[ProdCode]:[Product]],_xlfn.XMATCH(INDEX(Products[[Product]:[Parent]],_xlfn.XMATCH(Products[[#This Row],[L1N]],Products[Product],0),2),Products[ProdCode],0),2),Products[[#This Row],[L1N]])</f>
        <v>Oil</v>
      </c>
      <c r="V55" s="71" t="str" cm="1">
        <f t="array" ref="V55">IFERROR(INDEX(Products[[ProdCode]:[Product]],_xlfn.XMATCH(INDEX(Products[[Product]:[Parent]],_xlfn.XMATCH(Products[[#This Row],[L2N]],Products[Product],0),2),Products[ProdCode],0),2),Products[[#This Row],[L2N]])</f>
        <v>Fossil fuels</v>
      </c>
      <c r="W55" s="71" t="str" cm="1">
        <f t="array" ref="W55">IFERROR(INDEX(Products[[ProdCode]:[Product]],_xlfn.XMATCH(INDEX(Products[[Product]:[Parent]],_xlfn.XMATCH(Products[[#This Row],[L3N]],Products[Product],0),2),Products[ProdCode],0),2),Products[[#This Row],[L3N]])</f>
        <v>Non-renewable energy</v>
      </c>
      <c r="X55" s="71" t="str" cm="1">
        <f t="array" ref="X55">IFERROR(INDEX(Products[[ProdCode]:[Product]],_xlfn.XMATCH(INDEX(Products[[Product]:[Parent]],_xlfn.XMATCH(Products[[#This Row],[L4N]],Products[Product],0),2),Products[ProdCode],0),2),Products[[#This Row],[L4N]])</f>
        <v>Energy</v>
      </c>
      <c r="Y55" s="71" t="str" cm="1">
        <f t="array" ref="Y55">IFERROR(INDEX(Products[[ProdCode]:[Product]],_xlfn.XMATCH(INDEX(Products[[Product]:[Parent]],_xlfn.XMATCH(Products[[#This Row],[L5N]],Products[Product],0),2),Products[ProdCode],0),2),Products[[#This Row],[L5N]])</f>
        <v>Energy</v>
      </c>
      <c r="Z55" s="71" t="str" cm="1">
        <f t="array" ref="Z55">IFERROR(INDEX(Products[[ProdCode]:[Product]],_xlfn.XMATCH(INDEX(Products[[Product]:[Parent]],_xlfn.XMATCH(Products[[#This Row],[L6N]],Products[Product],0),2),Products[ProdCode],0),2),Products[[#This Row],[L6N]])</f>
        <v>Energy</v>
      </c>
      <c r="AA55" s="71" t="str" cm="1">
        <f t="array" ref="AA55">IFERROR(INDEX(Products[[ProdCode]:[Product]],_xlfn.XMATCH(INDEX(Products[[Product]:[Parent]],_xlfn.XMATCH(Products[[#This Row],[L7N]],Products[Product],0),2),Products[ProdCode],0),2),Products[[#This Row],[L7N]])</f>
        <v>Energy</v>
      </c>
      <c r="AB5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Refinery feedstocks</v>
      </c>
      <c r="AG5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Refinery feedstocks</v>
      </c>
      <c r="AH5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Refinery feedstocks</v>
      </c>
      <c r="AI5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Refinery feedstocks</v>
      </c>
    </row>
    <row r="56" spans="2:35" x14ac:dyDescent="0.45">
      <c r="B56" s="100">
        <v>114400</v>
      </c>
      <c r="C56" s="84" t="s">
        <v>385</v>
      </c>
      <c r="D56" s="100">
        <v>114000</v>
      </c>
      <c r="E56" s="92" t="s">
        <v>1148</v>
      </c>
      <c r="F56" s="19" t="s">
        <v>1188</v>
      </c>
      <c r="G56" s="69" t="s">
        <v>53</v>
      </c>
      <c r="H56" s="69" t="s">
        <v>83</v>
      </c>
      <c r="I56" s="69"/>
      <c r="J56" s="69"/>
      <c r="K56" s="69" t="s">
        <v>1744</v>
      </c>
      <c r="L56" s="69" t="s">
        <v>1915</v>
      </c>
      <c r="M56" s="69">
        <v>30</v>
      </c>
      <c r="N56" s="118"/>
      <c r="O56" s="118"/>
      <c r="P56" s="69" t="s">
        <v>1842</v>
      </c>
      <c r="Q56" s="69" t="s">
        <v>1859</v>
      </c>
      <c r="R56" s="69"/>
      <c r="S56" s="69"/>
      <c r="T56" s="71" t="str" cm="1">
        <f t="array" ref="T56">IFERROR(INDEX(Products[[ProdCode]:[Product]],_xlfn.XMATCH(Products[[#This Row],[Parent]],Products[Product],0),2),Products[[#This Row],[Product]])</f>
        <v>Additives and oxygenates</v>
      </c>
      <c r="U56" s="71" t="str" cm="1">
        <f t="array" ref="U56">IFERROR(INDEX(Products[[ProdCode]:[Product]],_xlfn.XMATCH(INDEX(Products[[Product]:[Parent]],_xlfn.XMATCH(Products[[#This Row],[L1N]],Products[Product],0),2),Products[ProdCode],0),2),Products[[#This Row],[L1N]])</f>
        <v>Oil</v>
      </c>
      <c r="V56" s="71" t="str" cm="1">
        <f t="array" ref="V56">IFERROR(INDEX(Products[[ProdCode]:[Product]],_xlfn.XMATCH(INDEX(Products[[Product]:[Parent]],_xlfn.XMATCH(Products[[#This Row],[L2N]],Products[Product],0),2),Products[ProdCode],0),2),Products[[#This Row],[L2N]])</f>
        <v>Fossil fuels</v>
      </c>
      <c r="W56" s="71" t="str" cm="1">
        <f t="array" ref="W56">IFERROR(INDEX(Products[[ProdCode]:[Product]],_xlfn.XMATCH(INDEX(Products[[Product]:[Parent]],_xlfn.XMATCH(Products[[#This Row],[L3N]],Products[Product],0),2),Products[ProdCode],0),2),Products[[#This Row],[L3N]])</f>
        <v>Non-renewable energy</v>
      </c>
      <c r="X56" s="71" t="str" cm="1">
        <f t="array" ref="X56">IFERROR(INDEX(Products[[ProdCode]:[Product]],_xlfn.XMATCH(INDEX(Products[[Product]:[Parent]],_xlfn.XMATCH(Products[[#This Row],[L4N]],Products[Product],0),2),Products[ProdCode],0),2),Products[[#This Row],[L4N]])</f>
        <v>Energy</v>
      </c>
      <c r="Y56" s="71" t="str" cm="1">
        <f t="array" ref="Y56">IFERROR(INDEX(Products[[ProdCode]:[Product]],_xlfn.XMATCH(INDEX(Products[[Product]:[Parent]],_xlfn.XMATCH(Products[[#This Row],[L5N]],Products[Product],0),2),Products[ProdCode],0),2),Products[[#This Row],[L5N]])</f>
        <v>Energy</v>
      </c>
      <c r="Z56" s="71" t="str" cm="1">
        <f t="array" ref="Z56">IFERROR(INDEX(Products[[ProdCode]:[Product]],_xlfn.XMATCH(INDEX(Products[[Product]:[Parent]],_xlfn.XMATCH(Products[[#This Row],[L6N]],Products[Product],0),2),Products[ProdCode],0),2),Products[[#This Row],[L6N]])</f>
        <v>Energy</v>
      </c>
      <c r="AA56" s="71" t="str" cm="1">
        <f t="array" ref="AA56">IFERROR(INDEX(Products[[ProdCode]:[Product]],_xlfn.XMATCH(INDEX(Products[[Product]:[Parent]],_xlfn.XMATCH(Products[[#This Row],[L7N]],Products[Product],0),2),Products[ProdCode],0),2),Products[[#This Row],[L7N]])</f>
        <v>Energy</v>
      </c>
      <c r="AB5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Additives and oxygenates</v>
      </c>
      <c r="AG5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Additives and oxygenates</v>
      </c>
      <c r="AH5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Additives and oxygenates</v>
      </c>
      <c r="AI5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Additives and oxygenates</v>
      </c>
    </row>
    <row r="57" spans="2:35" x14ac:dyDescent="0.45">
      <c r="B57" s="100">
        <v>114600</v>
      </c>
      <c r="C57" s="84" t="s">
        <v>392</v>
      </c>
      <c r="D57" s="100">
        <v>114000</v>
      </c>
      <c r="E57" s="92" t="s">
        <v>1148</v>
      </c>
      <c r="F57" s="19" t="s">
        <v>1188</v>
      </c>
      <c r="G57" s="69" t="s">
        <v>53</v>
      </c>
      <c r="H57" s="69" t="s">
        <v>83</v>
      </c>
      <c r="I57" s="69"/>
      <c r="J57" s="69"/>
      <c r="K57" s="69" t="s">
        <v>1760</v>
      </c>
      <c r="L57" s="69" t="s">
        <v>1932</v>
      </c>
      <c r="M57" s="69">
        <v>36</v>
      </c>
      <c r="N57" s="118"/>
      <c r="O57" s="118"/>
      <c r="P57" s="69"/>
      <c r="Q57" s="69" t="s">
        <v>1859</v>
      </c>
      <c r="R57" s="69"/>
      <c r="S57" s="69"/>
      <c r="T57" s="71" t="str" cm="1">
        <f t="array" ref="T57">IFERROR(INDEX(Products[[ProdCode]:[Product]],_xlfn.XMATCH(Products[[#This Row],[Parent]],Products[Product],0),2),Products[[#This Row],[Product]])</f>
        <v>Other hydrocarbons</v>
      </c>
      <c r="U57" s="71" t="str" cm="1">
        <f t="array" ref="U57">IFERROR(INDEX(Products[[ProdCode]:[Product]],_xlfn.XMATCH(INDEX(Products[[Product]:[Parent]],_xlfn.XMATCH(Products[[#This Row],[L1N]],Products[Product],0),2),Products[ProdCode],0),2),Products[[#This Row],[L1N]])</f>
        <v>Oil</v>
      </c>
      <c r="V57" s="71" t="str" cm="1">
        <f t="array" ref="V57">IFERROR(INDEX(Products[[ProdCode]:[Product]],_xlfn.XMATCH(INDEX(Products[[Product]:[Parent]],_xlfn.XMATCH(Products[[#This Row],[L2N]],Products[Product],0),2),Products[ProdCode],0),2),Products[[#This Row],[L2N]])</f>
        <v>Fossil fuels</v>
      </c>
      <c r="W57" s="71" t="str" cm="1">
        <f t="array" ref="W57">IFERROR(INDEX(Products[[ProdCode]:[Product]],_xlfn.XMATCH(INDEX(Products[[Product]:[Parent]],_xlfn.XMATCH(Products[[#This Row],[L3N]],Products[Product],0),2),Products[ProdCode],0),2),Products[[#This Row],[L3N]])</f>
        <v>Non-renewable energy</v>
      </c>
      <c r="X57" s="71" t="str" cm="1">
        <f t="array" ref="X57">IFERROR(INDEX(Products[[ProdCode]:[Product]],_xlfn.XMATCH(INDEX(Products[[Product]:[Parent]],_xlfn.XMATCH(Products[[#This Row],[L4N]],Products[Product],0),2),Products[ProdCode],0),2),Products[[#This Row],[L4N]])</f>
        <v>Energy</v>
      </c>
      <c r="Y57" s="71" t="str" cm="1">
        <f t="array" ref="Y57">IFERROR(INDEX(Products[[ProdCode]:[Product]],_xlfn.XMATCH(INDEX(Products[[Product]:[Parent]],_xlfn.XMATCH(Products[[#This Row],[L5N]],Products[Product],0),2),Products[ProdCode],0),2),Products[[#This Row],[L5N]])</f>
        <v>Energy</v>
      </c>
      <c r="Z57" s="71" t="str" cm="1">
        <f t="array" ref="Z57">IFERROR(INDEX(Products[[ProdCode]:[Product]],_xlfn.XMATCH(INDEX(Products[[Product]:[Parent]],_xlfn.XMATCH(Products[[#This Row],[L6N]],Products[Product],0),2),Products[ProdCode],0),2),Products[[#This Row],[L6N]])</f>
        <v>Energy</v>
      </c>
      <c r="AA57" s="71" t="str" cm="1">
        <f t="array" ref="AA57">IFERROR(INDEX(Products[[ProdCode]:[Product]],_xlfn.XMATCH(INDEX(Products[[Product]:[Parent]],_xlfn.XMATCH(Products[[#This Row],[L7N]],Products[Product],0),2),Products[ProdCode],0),2),Products[[#This Row],[L7N]])</f>
        <v>Energy</v>
      </c>
      <c r="AB5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hydrocarbons</v>
      </c>
      <c r="AG5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hydrocarbons</v>
      </c>
      <c r="AH5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hydrocarbons</v>
      </c>
      <c r="AI5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hydrocarbons</v>
      </c>
    </row>
    <row r="58" spans="2:35" x14ac:dyDescent="0.45">
      <c r="B58" s="100">
        <v>114500</v>
      </c>
      <c r="C58" s="84" t="s">
        <v>145</v>
      </c>
      <c r="D58" s="100">
        <v>114000</v>
      </c>
      <c r="E58" s="92" t="s">
        <v>1148</v>
      </c>
      <c r="F58" s="19" t="s">
        <v>1189</v>
      </c>
      <c r="G58" s="69" t="s">
        <v>53</v>
      </c>
      <c r="H58" s="69" t="s">
        <v>65</v>
      </c>
      <c r="I58" s="69" t="s">
        <v>107</v>
      </c>
      <c r="J58" s="69"/>
      <c r="K58" s="69" t="s">
        <v>1745</v>
      </c>
      <c r="L58" s="69" t="s">
        <v>1456</v>
      </c>
      <c r="M58" s="69"/>
      <c r="N58" s="118"/>
      <c r="O58" s="118"/>
      <c r="P58" s="69"/>
      <c r="Q58" s="69" t="s">
        <v>145</v>
      </c>
      <c r="R58" s="69"/>
      <c r="S58" s="69"/>
      <c r="T58" s="71" t="str" cm="1">
        <f t="array" ref="T58">IFERROR(INDEX(Products[[ProdCode]:[Product]],_xlfn.XMATCH(Products[[#This Row],[Parent]],Products[Product],0),2),Products[[#This Row],[Product]])</f>
        <v>Oil products</v>
      </c>
      <c r="U58" s="71" t="str" cm="1">
        <f t="array" ref="U58">IFERROR(INDEX(Products[[ProdCode]:[Product]],_xlfn.XMATCH(INDEX(Products[[Product]:[Parent]],_xlfn.XMATCH(Products[[#This Row],[L1N]],Products[Product],0),2),Products[ProdCode],0),2),Products[[#This Row],[L1N]])</f>
        <v>Oil</v>
      </c>
      <c r="V58" s="71" t="str" cm="1">
        <f t="array" ref="V58">IFERROR(INDEX(Products[[ProdCode]:[Product]],_xlfn.XMATCH(INDEX(Products[[Product]:[Parent]],_xlfn.XMATCH(Products[[#This Row],[L2N]],Products[Product],0),2),Products[ProdCode],0),2),Products[[#This Row],[L2N]])</f>
        <v>Fossil fuels</v>
      </c>
      <c r="W58" s="71" t="str" cm="1">
        <f t="array" ref="W58">IFERROR(INDEX(Products[[ProdCode]:[Product]],_xlfn.XMATCH(INDEX(Products[[Product]:[Parent]],_xlfn.XMATCH(Products[[#This Row],[L3N]],Products[Product],0),2),Products[ProdCode],0),2),Products[[#This Row],[L3N]])</f>
        <v>Non-renewable energy</v>
      </c>
      <c r="X58" s="71" t="str" cm="1">
        <f t="array" ref="X58">IFERROR(INDEX(Products[[ProdCode]:[Product]],_xlfn.XMATCH(INDEX(Products[[Product]:[Parent]],_xlfn.XMATCH(Products[[#This Row],[L4N]],Products[Product],0),2),Products[ProdCode],0),2),Products[[#This Row],[L4N]])</f>
        <v>Energy</v>
      </c>
      <c r="Y58" s="71" t="str" cm="1">
        <f t="array" ref="Y58">IFERROR(INDEX(Products[[ProdCode]:[Product]],_xlfn.XMATCH(INDEX(Products[[Product]:[Parent]],_xlfn.XMATCH(Products[[#This Row],[L5N]],Products[Product],0),2),Products[ProdCode],0),2),Products[[#This Row],[L5N]])</f>
        <v>Energy</v>
      </c>
      <c r="Z58" s="71" t="str" cm="1">
        <f t="array" ref="Z58">IFERROR(INDEX(Products[[ProdCode]:[Product]],_xlfn.XMATCH(INDEX(Products[[Product]:[Parent]],_xlfn.XMATCH(Products[[#This Row],[L6N]],Products[Product],0),2),Products[ProdCode],0),2),Products[[#This Row],[L6N]])</f>
        <v>Energy</v>
      </c>
      <c r="AA58" s="71" t="str" cm="1">
        <f t="array" ref="AA58">IFERROR(INDEX(Products[[ProdCode]:[Product]],_xlfn.XMATCH(INDEX(Products[[Product]:[Parent]],_xlfn.XMATCH(Products[[#This Row],[L7N]],Products[Product],0),2),Products[ProdCode],0),2),Products[[#This Row],[L7N]])</f>
        <v>Energy</v>
      </c>
      <c r="AB5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5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Oil products</v>
      </c>
      <c r="AH5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 products</v>
      </c>
      <c r="AI5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 products</v>
      </c>
    </row>
    <row r="59" spans="2:35" x14ac:dyDescent="0.45">
      <c r="B59" s="101">
        <v>114510</v>
      </c>
      <c r="C59" s="87" t="s">
        <v>408</v>
      </c>
      <c r="D59" s="101">
        <v>114500</v>
      </c>
      <c r="E59" s="92" t="s">
        <v>1148</v>
      </c>
      <c r="F59" s="19" t="s">
        <v>1189</v>
      </c>
      <c r="G59" s="69" t="s">
        <v>1199</v>
      </c>
      <c r="H59" s="69" t="s">
        <v>83</v>
      </c>
      <c r="I59" s="69"/>
      <c r="J59" s="69" t="s">
        <v>107</v>
      </c>
      <c r="K59" s="69" t="s">
        <v>1395</v>
      </c>
      <c r="L59" s="69" t="s">
        <v>1916</v>
      </c>
      <c r="M59" s="69">
        <v>49.5</v>
      </c>
      <c r="N59" s="118"/>
      <c r="O59" s="118"/>
      <c r="P59" s="69"/>
      <c r="Q59" s="69" t="s">
        <v>145</v>
      </c>
      <c r="R59" s="69"/>
      <c r="S59" s="69"/>
      <c r="T59" s="72" t="str" cm="1">
        <f t="array" ref="T59">IFERROR(INDEX(Products[[ProdCode]:[Product]],_xlfn.XMATCH(Products[[#This Row],[Parent]],Products[Product],0),2),Products[[#This Row],[Product]])</f>
        <v>Refinery gas</v>
      </c>
      <c r="U59" s="72" t="str" cm="1">
        <f t="array" ref="U59">IFERROR(INDEX(Products[[ProdCode]:[Product]],_xlfn.XMATCH(INDEX(Products[[Product]:[Parent]],_xlfn.XMATCH(Products[[#This Row],[L1N]],Products[Product],0),2),Products[ProdCode],0),2),Products[[#This Row],[L1N]])</f>
        <v>Oil products</v>
      </c>
      <c r="V59" s="72" t="str" cm="1">
        <f t="array" ref="V59">IFERROR(INDEX(Products[[ProdCode]:[Product]],_xlfn.XMATCH(INDEX(Products[[Product]:[Parent]],_xlfn.XMATCH(Products[[#This Row],[L2N]],Products[Product],0),2),Products[ProdCode],0),2),Products[[#This Row],[L2N]])</f>
        <v>Oil</v>
      </c>
      <c r="W59" s="72" t="str" cm="1">
        <f t="array" ref="W59">IFERROR(INDEX(Products[[ProdCode]:[Product]],_xlfn.XMATCH(INDEX(Products[[Product]:[Parent]],_xlfn.XMATCH(Products[[#This Row],[L3N]],Products[Product],0),2),Products[ProdCode],0),2),Products[[#This Row],[L3N]])</f>
        <v>Fossil fuels</v>
      </c>
      <c r="X59" s="72" t="str" cm="1">
        <f t="array" ref="X59">IFERROR(INDEX(Products[[ProdCode]:[Product]],_xlfn.XMATCH(INDEX(Products[[Product]:[Parent]],_xlfn.XMATCH(Products[[#This Row],[L4N]],Products[Product],0),2),Products[ProdCode],0),2),Products[[#This Row],[L4N]])</f>
        <v>Non-renewable energy</v>
      </c>
      <c r="Y59" s="72" t="str" cm="1">
        <f t="array" ref="Y59">IFERROR(INDEX(Products[[ProdCode]:[Product]],_xlfn.XMATCH(INDEX(Products[[Product]:[Parent]],_xlfn.XMATCH(Products[[#This Row],[L5N]],Products[Product],0),2),Products[ProdCode],0),2),Products[[#This Row],[L5N]])</f>
        <v>Energy</v>
      </c>
      <c r="Z59" s="72" t="str" cm="1">
        <f t="array" ref="Z59">IFERROR(INDEX(Products[[ProdCode]:[Product]],_xlfn.XMATCH(INDEX(Products[[Product]:[Parent]],_xlfn.XMATCH(Products[[#This Row],[L6N]],Products[Product],0),2),Products[ProdCode],0),2),Products[[#This Row],[L6N]])</f>
        <v>Energy</v>
      </c>
      <c r="AA59" s="72" t="str" cm="1">
        <f t="array" ref="AA59">IFERROR(INDEX(Products[[ProdCode]:[Product]],_xlfn.XMATCH(INDEX(Products[[Product]:[Parent]],_xlfn.XMATCH(Products[[#This Row],[L7N]],Products[Product],0),2),Products[ProdCode],0),2),Products[[#This Row],[L7N]])</f>
        <v>Energy</v>
      </c>
      <c r="AB5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5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5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5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5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5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Refinery gas</v>
      </c>
      <c r="AH5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Refinery gas</v>
      </c>
      <c r="AI5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Refinery gas</v>
      </c>
    </row>
    <row r="60" spans="2:35" x14ac:dyDescent="0.45">
      <c r="B60" s="101">
        <v>114520</v>
      </c>
      <c r="C60" s="87" t="s">
        <v>415</v>
      </c>
      <c r="D60" s="101">
        <v>114500</v>
      </c>
      <c r="E60" s="92" t="s">
        <v>1148</v>
      </c>
      <c r="F60" s="19" t="s">
        <v>1189</v>
      </c>
      <c r="G60" s="69" t="s">
        <v>1199</v>
      </c>
      <c r="H60" s="69" t="s">
        <v>83</v>
      </c>
      <c r="I60" s="69"/>
      <c r="J60" s="69" t="s">
        <v>107</v>
      </c>
      <c r="K60" s="69" t="s">
        <v>1112</v>
      </c>
      <c r="L60" s="69" t="s">
        <v>1917</v>
      </c>
      <c r="M60" s="69">
        <v>46.4</v>
      </c>
      <c r="N60" s="118"/>
      <c r="O60" s="118"/>
      <c r="P60" s="69" t="s">
        <v>415</v>
      </c>
      <c r="Q60" s="69" t="s">
        <v>145</v>
      </c>
      <c r="R60" s="69"/>
      <c r="S60" s="69"/>
      <c r="T60" s="72" t="str" cm="1">
        <f t="array" ref="T60">IFERROR(INDEX(Products[[ProdCode]:[Product]],_xlfn.XMATCH(Products[[#This Row],[Parent]],Products[Product],0),2),Products[[#This Row],[Product]])</f>
        <v>Ethane</v>
      </c>
      <c r="U60" s="72" t="str" cm="1">
        <f t="array" ref="U60">IFERROR(INDEX(Products[[ProdCode]:[Product]],_xlfn.XMATCH(INDEX(Products[[Product]:[Parent]],_xlfn.XMATCH(Products[[#This Row],[L1N]],Products[Product],0),2),Products[ProdCode],0),2),Products[[#This Row],[L1N]])</f>
        <v>Oil products</v>
      </c>
      <c r="V60" s="72" t="str" cm="1">
        <f t="array" ref="V60">IFERROR(INDEX(Products[[ProdCode]:[Product]],_xlfn.XMATCH(INDEX(Products[[Product]:[Parent]],_xlfn.XMATCH(Products[[#This Row],[L2N]],Products[Product],0),2),Products[ProdCode],0),2),Products[[#This Row],[L2N]])</f>
        <v>Oil</v>
      </c>
      <c r="W60" s="72" t="str" cm="1">
        <f t="array" ref="W60">IFERROR(INDEX(Products[[ProdCode]:[Product]],_xlfn.XMATCH(INDEX(Products[[Product]:[Parent]],_xlfn.XMATCH(Products[[#This Row],[L3N]],Products[Product],0),2),Products[ProdCode],0),2),Products[[#This Row],[L3N]])</f>
        <v>Fossil fuels</v>
      </c>
      <c r="X60" s="72" t="str" cm="1">
        <f t="array" ref="X60">IFERROR(INDEX(Products[[ProdCode]:[Product]],_xlfn.XMATCH(INDEX(Products[[Product]:[Parent]],_xlfn.XMATCH(Products[[#This Row],[L4N]],Products[Product],0),2),Products[ProdCode],0),2),Products[[#This Row],[L4N]])</f>
        <v>Non-renewable energy</v>
      </c>
      <c r="Y60" s="72" t="str" cm="1">
        <f t="array" ref="Y60">IFERROR(INDEX(Products[[ProdCode]:[Product]],_xlfn.XMATCH(INDEX(Products[[Product]:[Parent]],_xlfn.XMATCH(Products[[#This Row],[L5N]],Products[Product],0),2),Products[ProdCode],0),2),Products[[#This Row],[L5N]])</f>
        <v>Energy</v>
      </c>
      <c r="Z60" s="72" t="str" cm="1">
        <f t="array" ref="Z60">IFERROR(INDEX(Products[[ProdCode]:[Product]],_xlfn.XMATCH(INDEX(Products[[Product]:[Parent]],_xlfn.XMATCH(Products[[#This Row],[L6N]],Products[Product],0),2),Products[ProdCode],0),2),Products[[#This Row],[L6N]])</f>
        <v>Energy</v>
      </c>
      <c r="AA60" s="72" t="str" cm="1">
        <f t="array" ref="AA60">IFERROR(INDEX(Products[[ProdCode]:[Product]],_xlfn.XMATCH(INDEX(Products[[Product]:[Parent]],_xlfn.XMATCH(Products[[#This Row],[L7N]],Products[Product],0),2),Products[ProdCode],0),2),Products[[#This Row],[L7N]])</f>
        <v>Energy</v>
      </c>
      <c r="AB6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Ethane</v>
      </c>
      <c r="AH6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Ethane</v>
      </c>
      <c r="AI6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Ethane</v>
      </c>
    </row>
    <row r="61" spans="2:35" x14ac:dyDescent="0.45">
      <c r="B61" s="101">
        <v>114530</v>
      </c>
      <c r="C61" s="87" t="s">
        <v>934</v>
      </c>
      <c r="D61" s="101">
        <v>114500</v>
      </c>
      <c r="E61" s="92" t="s">
        <v>1148</v>
      </c>
      <c r="F61" s="19" t="s">
        <v>1189</v>
      </c>
      <c r="G61" s="69" t="s">
        <v>1199</v>
      </c>
      <c r="H61" s="69" t="s">
        <v>83</v>
      </c>
      <c r="I61" s="69"/>
      <c r="J61" s="69" t="s">
        <v>107</v>
      </c>
      <c r="K61" s="69" t="s">
        <v>1054</v>
      </c>
      <c r="L61" s="69" t="s">
        <v>1918</v>
      </c>
      <c r="M61" s="69">
        <v>47.3</v>
      </c>
      <c r="N61" s="118"/>
      <c r="O61" s="118"/>
      <c r="P61" s="69" t="s">
        <v>1054</v>
      </c>
      <c r="Q61" s="69" t="s">
        <v>145</v>
      </c>
      <c r="R61" s="69"/>
      <c r="S61" s="69"/>
      <c r="T61" s="72" t="str" cm="1">
        <f t="array" ref="T61">IFERROR(INDEX(Products[[ProdCode]:[Product]],_xlfn.XMATCH(Products[[#This Row],[Parent]],Products[Product],0),2),Products[[#This Row],[Product]])</f>
        <v>Liquefied Petroleum Gases (LPG)</v>
      </c>
      <c r="U61" s="72" t="str" cm="1">
        <f t="array" ref="U61">IFERROR(INDEX(Products[[ProdCode]:[Product]],_xlfn.XMATCH(INDEX(Products[[Product]:[Parent]],_xlfn.XMATCH(Products[[#This Row],[L1N]],Products[Product],0),2),Products[ProdCode],0),2),Products[[#This Row],[L1N]])</f>
        <v>Oil products</v>
      </c>
      <c r="V61" s="72" t="str" cm="1">
        <f t="array" ref="V61">IFERROR(INDEX(Products[[ProdCode]:[Product]],_xlfn.XMATCH(INDEX(Products[[Product]:[Parent]],_xlfn.XMATCH(Products[[#This Row],[L2N]],Products[Product],0),2),Products[ProdCode],0),2),Products[[#This Row],[L2N]])</f>
        <v>Oil</v>
      </c>
      <c r="W61" s="72" t="str" cm="1">
        <f t="array" ref="W61">IFERROR(INDEX(Products[[ProdCode]:[Product]],_xlfn.XMATCH(INDEX(Products[[Product]:[Parent]],_xlfn.XMATCH(Products[[#This Row],[L3N]],Products[Product],0),2),Products[ProdCode],0),2),Products[[#This Row],[L3N]])</f>
        <v>Fossil fuels</v>
      </c>
      <c r="X61" s="72" t="str" cm="1">
        <f t="array" ref="X61">IFERROR(INDEX(Products[[ProdCode]:[Product]],_xlfn.XMATCH(INDEX(Products[[Product]:[Parent]],_xlfn.XMATCH(Products[[#This Row],[L4N]],Products[Product],0),2),Products[ProdCode],0),2),Products[[#This Row],[L4N]])</f>
        <v>Non-renewable energy</v>
      </c>
      <c r="Y61" s="72" t="str" cm="1">
        <f t="array" ref="Y61">IFERROR(INDEX(Products[[ProdCode]:[Product]],_xlfn.XMATCH(INDEX(Products[[Product]:[Parent]],_xlfn.XMATCH(Products[[#This Row],[L5N]],Products[Product],0),2),Products[ProdCode],0),2),Products[[#This Row],[L5N]])</f>
        <v>Energy</v>
      </c>
      <c r="Z61" s="72" t="str" cm="1">
        <f t="array" ref="Z61">IFERROR(INDEX(Products[[ProdCode]:[Product]],_xlfn.XMATCH(INDEX(Products[[Product]:[Parent]],_xlfn.XMATCH(Products[[#This Row],[L6N]],Products[Product],0),2),Products[ProdCode],0),2),Products[[#This Row],[L6N]])</f>
        <v>Energy</v>
      </c>
      <c r="AA61" s="72" t="str" cm="1">
        <f t="array" ref="AA61">IFERROR(INDEX(Products[[ProdCode]:[Product]],_xlfn.XMATCH(INDEX(Products[[Product]:[Parent]],_xlfn.XMATCH(Products[[#This Row],[L7N]],Products[Product],0),2),Products[ProdCode],0),2),Products[[#This Row],[L7N]])</f>
        <v>Energy</v>
      </c>
      <c r="AB6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Liquefied Petroleum Gases (LPG)</v>
      </c>
      <c r="AH6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Liquefied Petroleum Gases (LPG)</v>
      </c>
      <c r="AI6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Liquefied Petroleum Gases (LPG)</v>
      </c>
    </row>
    <row r="62" spans="2:35" x14ac:dyDescent="0.45">
      <c r="B62" s="101">
        <v>114540</v>
      </c>
      <c r="C62" s="87" t="s">
        <v>1078</v>
      </c>
      <c r="D62" s="101">
        <v>114500</v>
      </c>
      <c r="E62" s="92" t="s">
        <v>1148</v>
      </c>
      <c r="F62" s="19" t="s">
        <v>1189</v>
      </c>
      <c r="G62" s="69" t="s">
        <v>1199</v>
      </c>
      <c r="H62" s="69" t="s">
        <v>83</v>
      </c>
      <c r="I62" s="69"/>
      <c r="J62" s="69" t="s">
        <v>107</v>
      </c>
      <c r="K62" s="69" t="s">
        <v>1057</v>
      </c>
      <c r="L62" s="69" t="s">
        <v>1919</v>
      </c>
      <c r="M62" s="69">
        <v>44.5</v>
      </c>
      <c r="N62" s="118"/>
      <c r="O62" s="118"/>
      <c r="P62" s="69" t="s">
        <v>1078</v>
      </c>
      <c r="Q62" s="69" t="s">
        <v>145</v>
      </c>
      <c r="R62" s="69"/>
      <c r="S62" s="69"/>
      <c r="T62" s="72" t="str" cm="1">
        <f t="array" ref="T62">IFERROR(INDEX(Products[[ProdCode]:[Product]],_xlfn.XMATCH(Products[[#This Row],[Parent]],Products[Product],0),2),Products[[#This Row],[Product]])</f>
        <v>Naphtha</v>
      </c>
      <c r="U62" s="72" t="str" cm="1">
        <f t="array" ref="U62">IFERROR(INDEX(Products[[ProdCode]:[Product]],_xlfn.XMATCH(INDEX(Products[[Product]:[Parent]],_xlfn.XMATCH(Products[[#This Row],[L1N]],Products[Product],0),2),Products[ProdCode],0),2),Products[[#This Row],[L1N]])</f>
        <v>Oil products</v>
      </c>
      <c r="V62" s="72" t="str" cm="1">
        <f t="array" ref="V62">IFERROR(INDEX(Products[[ProdCode]:[Product]],_xlfn.XMATCH(INDEX(Products[[Product]:[Parent]],_xlfn.XMATCH(Products[[#This Row],[L2N]],Products[Product],0),2),Products[ProdCode],0),2),Products[[#This Row],[L2N]])</f>
        <v>Oil</v>
      </c>
      <c r="W62" s="72" t="str" cm="1">
        <f t="array" ref="W62">IFERROR(INDEX(Products[[ProdCode]:[Product]],_xlfn.XMATCH(INDEX(Products[[Product]:[Parent]],_xlfn.XMATCH(Products[[#This Row],[L3N]],Products[Product],0),2),Products[ProdCode],0),2),Products[[#This Row],[L3N]])</f>
        <v>Fossil fuels</v>
      </c>
      <c r="X62" s="72" t="str" cm="1">
        <f t="array" ref="X62">IFERROR(INDEX(Products[[ProdCode]:[Product]],_xlfn.XMATCH(INDEX(Products[[Product]:[Parent]],_xlfn.XMATCH(Products[[#This Row],[L4N]],Products[Product],0),2),Products[ProdCode],0),2),Products[[#This Row],[L4N]])</f>
        <v>Non-renewable energy</v>
      </c>
      <c r="Y62" s="72" t="str" cm="1">
        <f t="array" ref="Y62">IFERROR(INDEX(Products[[ProdCode]:[Product]],_xlfn.XMATCH(INDEX(Products[[Product]:[Parent]],_xlfn.XMATCH(Products[[#This Row],[L5N]],Products[Product],0),2),Products[ProdCode],0),2),Products[[#This Row],[L5N]])</f>
        <v>Energy</v>
      </c>
      <c r="Z62" s="72" t="str" cm="1">
        <f t="array" ref="Z62">IFERROR(INDEX(Products[[ProdCode]:[Product]],_xlfn.XMATCH(INDEX(Products[[Product]:[Parent]],_xlfn.XMATCH(Products[[#This Row],[L6N]],Products[Product],0),2),Products[ProdCode],0),2),Products[[#This Row],[L6N]])</f>
        <v>Energy</v>
      </c>
      <c r="AA62" s="72" t="str" cm="1">
        <f t="array" ref="AA62">IFERROR(INDEX(Products[[ProdCode]:[Product]],_xlfn.XMATCH(INDEX(Products[[Product]:[Parent]],_xlfn.XMATCH(Products[[#This Row],[L7N]],Products[Product],0),2),Products[ProdCode],0),2),Products[[#This Row],[L7N]])</f>
        <v>Energy</v>
      </c>
      <c r="AB6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Naphtha</v>
      </c>
      <c r="AH6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Naphtha</v>
      </c>
      <c r="AI6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Naphtha</v>
      </c>
    </row>
    <row r="63" spans="2:35" x14ac:dyDescent="0.45">
      <c r="B63" s="101">
        <v>114550</v>
      </c>
      <c r="C63" s="87" t="s">
        <v>436</v>
      </c>
      <c r="D63" s="101">
        <v>114500</v>
      </c>
      <c r="E63" s="92" t="s">
        <v>1148</v>
      </c>
      <c r="F63" s="19" t="s">
        <v>1189</v>
      </c>
      <c r="G63" s="69" t="s">
        <v>1199</v>
      </c>
      <c r="H63" s="69" t="s">
        <v>65</v>
      </c>
      <c r="I63" s="69"/>
      <c r="J63" s="69"/>
      <c r="K63" s="69" t="s">
        <v>1377</v>
      </c>
      <c r="L63" s="69"/>
      <c r="M63" s="69">
        <v>44.3</v>
      </c>
      <c r="N63" s="118"/>
      <c r="O63" s="118"/>
      <c r="P63" s="69"/>
      <c r="Q63" s="69" t="s">
        <v>145</v>
      </c>
      <c r="R63" s="69"/>
      <c r="S63" s="69"/>
      <c r="T63" s="72" t="str" cm="1">
        <f t="array" ref="T63">IFERROR(INDEX(Products[[ProdCode]:[Product]],_xlfn.XMATCH(Products[[#This Row],[Parent]],Products[Product],0),2),Products[[#This Row],[Product]])</f>
        <v>Gasolines</v>
      </c>
      <c r="U63" s="72" t="str" cm="1">
        <f t="array" ref="U63">IFERROR(INDEX(Products[[ProdCode]:[Product]],_xlfn.XMATCH(INDEX(Products[[Product]:[Parent]],_xlfn.XMATCH(Products[[#This Row],[L1N]],Products[Product],0),2),Products[ProdCode],0),2),Products[[#This Row],[L1N]])</f>
        <v>Oil products</v>
      </c>
      <c r="V63" s="72" t="str" cm="1">
        <f t="array" ref="V63">IFERROR(INDEX(Products[[ProdCode]:[Product]],_xlfn.XMATCH(INDEX(Products[[Product]:[Parent]],_xlfn.XMATCH(Products[[#This Row],[L2N]],Products[Product],0),2),Products[ProdCode],0),2),Products[[#This Row],[L2N]])</f>
        <v>Oil</v>
      </c>
      <c r="W63" s="72" t="str" cm="1">
        <f t="array" ref="W63">IFERROR(INDEX(Products[[ProdCode]:[Product]],_xlfn.XMATCH(INDEX(Products[[Product]:[Parent]],_xlfn.XMATCH(Products[[#This Row],[L3N]],Products[Product],0),2),Products[ProdCode],0),2),Products[[#This Row],[L3N]])</f>
        <v>Fossil fuels</v>
      </c>
      <c r="X63" s="72" t="str" cm="1">
        <f t="array" ref="X63">IFERROR(INDEX(Products[[ProdCode]:[Product]],_xlfn.XMATCH(INDEX(Products[[Product]:[Parent]],_xlfn.XMATCH(Products[[#This Row],[L4N]],Products[Product],0),2),Products[ProdCode],0),2),Products[[#This Row],[L4N]])</f>
        <v>Non-renewable energy</v>
      </c>
      <c r="Y63" s="72" t="str" cm="1">
        <f t="array" ref="Y63">IFERROR(INDEX(Products[[ProdCode]:[Product]],_xlfn.XMATCH(INDEX(Products[[Product]:[Parent]],_xlfn.XMATCH(Products[[#This Row],[L5N]],Products[Product],0),2),Products[ProdCode],0),2),Products[[#This Row],[L5N]])</f>
        <v>Energy</v>
      </c>
      <c r="Z63" s="72" t="str" cm="1">
        <f t="array" ref="Z63">IFERROR(INDEX(Products[[ProdCode]:[Product]],_xlfn.XMATCH(INDEX(Products[[Product]:[Parent]],_xlfn.XMATCH(Products[[#This Row],[L6N]],Products[Product],0),2),Products[ProdCode],0),2),Products[[#This Row],[L6N]])</f>
        <v>Energy</v>
      </c>
      <c r="AA63" s="72" t="str" cm="1">
        <f t="array" ref="AA63">IFERROR(INDEX(Products[[ProdCode]:[Product]],_xlfn.XMATCH(INDEX(Products[[Product]:[Parent]],_xlfn.XMATCH(Products[[#This Row],[L7N]],Products[Product],0),2),Products[ProdCode],0),2),Products[[#This Row],[L7N]])</f>
        <v>Energy</v>
      </c>
      <c r="AB6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Gasolines</v>
      </c>
      <c r="AH6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Gasolines</v>
      </c>
      <c r="AI6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Gasolines</v>
      </c>
    </row>
    <row r="64" spans="2:35" x14ac:dyDescent="0.45">
      <c r="B64" s="102">
        <v>114551</v>
      </c>
      <c r="C64" s="90" t="s">
        <v>443</v>
      </c>
      <c r="D64" s="102">
        <v>114550</v>
      </c>
      <c r="E64" s="92" t="s">
        <v>1148</v>
      </c>
      <c r="F64" s="19" t="s">
        <v>1189</v>
      </c>
      <c r="G64" s="69" t="s">
        <v>1200</v>
      </c>
      <c r="H64" s="69" t="s">
        <v>83</v>
      </c>
      <c r="I64" s="69"/>
      <c r="J64" s="69" t="s">
        <v>107</v>
      </c>
      <c r="K64" s="69" t="s">
        <v>1746</v>
      </c>
      <c r="L64" s="69" t="s">
        <v>1920</v>
      </c>
      <c r="M64" s="69">
        <v>44.3</v>
      </c>
      <c r="N64" s="118"/>
      <c r="O64" s="118"/>
      <c r="P64" s="69"/>
      <c r="Q64" s="69" t="s">
        <v>145</v>
      </c>
      <c r="R64" s="69"/>
      <c r="S64" s="69"/>
      <c r="T64" s="72" t="str" cm="1">
        <f t="array" ref="T64">IFERROR(INDEX(Products[[ProdCode]:[Product]],_xlfn.XMATCH(Products[[#This Row],[Parent]],Products[Product],0),2),Products[[#This Row],[Product]])</f>
        <v>Aviation gasoline</v>
      </c>
      <c r="U64" s="72" t="str" cm="1">
        <f t="array" ref="U64">IFERROR(INDEX(Products[[ProdCode]:[Product]],_xlfn.XMATCH(INDEX(Products[[Product]:[Parent]],_xlfn.XMATCH(Products[[#This Row],[L1N]],Products[Product],0),2),Products[ProdCode],0),2),Products[[#This Row],[L1N]])</f>
        <v>Gasolines</v>
      </c>
      <c r="V64" s="72" t="str" cm="1">
        <f t="array" ref="V64">IFERROR(INDEX(Products[[ProdCode]:[Product]],_xlfn.XMATCH(INDEX(Products[[Product]:[Parent]],_xlfn.XMATCH(Products[[#This Row],[L2N]],Products[Product],0),2),Products[ProdCode],0),2),Products[[#This Row],[L2N]])</f>
        <v>Oil products</v>
      </c>
      <c r="W64" s="72" t="str" cm="1">
        <f t="array" ref="W64">IFERROR(INDEX(Products[[ProdCode]:[Product]],_xlfn.XMATCH(INDEX(Products[[Product]:[Parent]],_xlfn.XMATCH(Products[[#This Row],[L3N]],Products[Product],0),2),Products[ProdCode],0),2),Products[[#This Row],[L3N]])</f>
        <v>Oil</v>
      </c>
      <c r="X64" s="72" t="str" cm="1">
        <f t="array" ref="X64">IFERROR(INDEX(Products[[ProdCode]:[Product]],_xlfn.XMATCH(INDEX(Products[[Product]:[Parent]],_xlfn.XMATCH(Products[[#This Row],[L4N]],Products[Product],0),2),Products[ProdCode],0),2),Products[[#This Row],[L4N]])</f>
        <v>Fossil fuels</v>
      </c>
      <c r="Y64" s="72" t="str" cm="1">
        <f t="array" ref="Y64">IFERROR(INDEX(Products[[ProdCode]:[Product]],_xlfn.XMATCH(INDEX(Products[[Product]:[Parent]],_xlfn.XMATCH(Products[[#This Row],[L5N]],Products[Product],0),2),Products[ProdCode],0),2),Products[[#This Row],[L5N]])</f>
        <v>Non-renewable energy</v>
      </c>
      <c r="Z64" s="72" t="str" cm="1">
        <f t="array" ref="Z64">IFERROR(INDEX(Products[[ProdCode]:[Product]],_xlfn.XMATCH(INDEX(Products[[Product]:[Parent]],_xlfn.XMATCH(Products[[#This Row],[L6N]],Products[Product],0),2),Products[ProdCode],0),2),Products[[#This Row],[L6N]])</f>
        <v>Energy</v>
      </c>
      <c r="AA64" s="72" t="str" cm="1">
        <f t="array" ref="AA64">IFERROR(INDEX(Products[[ProdCode]:[Product]],_xlfn.XMATCH(INDEX(Products[[Product]:[Parent]],_xlfn.XMATCH(Products[[#This Row],[L7N]],Products[Product],0),2),Products[ProdCode],0),2),Products[[#This Row],[L7N]])</f>
        <v>Energy</v>
      </c>
      <c r="AB6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Gasolines</v>
      </c>
      <c r="AH6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Aviation gasoline</v>
      </c>
      <c r="AI6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Aviation gasoline</v>
      </c>
    </row>
    <row r="65" spans="2:35" ht="14.25" customHeight="1" x14ac:dyDescent="0.45">
      <c r="B65" s="102">
        <v>114552</v>
      </c>
      <c r="C65" s="90" t="s">
        <v>451</v>
      </c>
      <c r="D65" s="102">
        <v>114550</v>
      </c>
      <c r="E65" s="92" t="s">
        <v>1148</v>
      </c>
      <c r="F65" s="19" t="s">
        <v>1189</v>
      </c>
      <c r="G65" s="69" t="s">
        <v>1200</v>
      </c>
      <c r="H65" s="69" t="s">
        <v>83</v>
      </c>
      <c r="I65" s="69"/>
      <c r="J65" s="69" t="s">
        <v>107</v>
      </c>
      <c r="K65" s="69" t="s">
        <v>1747</v>
      </c>
      <c r="L65" s="69" t="s">
        <v>1921</v>
      </c>
      <c r="M65" s="69">
        <v>44.3</v>
      </c>
      <c r="N65" s="118"/>
      <c r="O65" s="118"/>
      <c r="P65" s="69"/>
      <c r="Q65" s="69" t="s">
        <v>145</v>
      </c>
      <c r="R65" s="69"/>
      <c r="S65" s="69"/>
      <c r="T65" s="72" t="str" cm="1">
        <f t="array" ref="T65">IFERROR(INDEX(Products[[ProdCode]:[Product]],_xlfn.XMATCH(Products[[#This Row],[Parent]],Products[Product],0),2),Products[[#This Row],[Product]])</f>
        <v>Motor gasoline</v>
      </c>
      <c r="U65" s="72" t="str" cm="1">
        <f t="array" ref="U65">IFERROR(INDEX(Products[[ProdCode]:[Product]],_xlfn.XMATCH(INDEX(Products[[Product]:[Parent]],_xlfn.XMATCH(Products[[#This Row],[L1N]],Products[Product],0),2),Products[ProdCode],0),2),Products[[#This Row],[L1N]])</f>
        <v>Gasolines</v>
      </c>
      <c r="V65" s="72" t="str" cm="1">
        <f t="array" ref="V65">IFERROR(INDEX(Products[[ProdCode]:[Product]],_xlfn.XMATCH(INDEX(Products[[Product]:[Parent]],_xlfn.XMATCH(Products[[#This Row],[L2N]],Products[Product],0),2),Products[ProdCode],0),2),Products[[#This Row],[L2N]])</f>
        <v>Oil products</v>
      </c>
      <c r="W65" s="72" t="str" cm="1">
        <f t="array" ref="W65">IFERROR(INDEX(Products[[ProdCode]:[Product]],_xlfn.XMATCH(INDEX(Products[[Product]:[Parent]],_xlfn.XMATCH(Products[[#This Row],[L3N]],Products[Product],0),2),Products[ProdCode],0),2),Products[[#This Row],[L3N]])</f>
        <v>Oil</v>
      </c>
      <c r="X65" s="72" t="str" cm="1">
        <f t="array" ref="X65">IFERROR(INDEX(Products[[ProdCode]:[Product]],_xlfn.XMATCH(INDEX(Products[[Product]:[Parent]],_xlfn.XMATCH(Products[[#This Row],[L4N]],Products[Product],0),2),Products[ProdCode],0),2),Products[[#This Row],[L4N]])</f>
        <v>Fossil fuels</v>
      </c>
      <c r="Y65" s="72" t="str" cm="1">
        <f t="array" ref="Y65">IFERROR(INDEX(Products[[ProdCode]:[Product]],_xlfn.XMATCH(INDEX(Products[[Product]:[Parent]],_xlfn.XMATCH(Products[[#This Row],[L5N]],Products[Product],0),2),Products[ProdCode],0),2),Products[[#This Row],[L5N]])</f>
        <v>Non-renewable energy</v>
      </c>
      <c r="Z65" s="72" t="str" cm="1">
        <f t="array" ref="Z65">IFERROR(INDEX(Products[[ProdCode]:[Product]],_xlfn.XMATCH(INDEX(Products[[Product]:[Parent]],_xlfn.XMATCH(Products[[#This Row],[L6N]],Products[Product],0),2),Products[ProdCode],0),2),Products[[#This Row],[L6N]])</f>
        <v>Energy</v>
      </c>
      <c r="AA65" s="72" t="str" cm="1">
        <f t="array" ref="AA65">IFERROR(INDEX(Products[[ProdCode]:[Product]],_xlfn.XMATCH(INDEX(Products[[Product]:[Parent]],_xlfn.XMATCH(Products[[#This Row],[L7N]],Products[Product],0),2),Products[ProdCode],0),2),Products[[#This Row],[L7N]])</f>
        <v>Energy</v>
      </c>
      <c r="AB6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Gasolines</v>
      </c>
      <c r="AH6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Motor gasoline</v>
      </c>
      <c r="AI6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Motor gasoline</v>
      </c>
    </row>
    <row r="66" spans="2:35" x14ac:dyDescent="0.45">
      <c r="B66" s="102">
        <v>114553</v>
      </c>
      <c r="C66" s="90" t="s">
        <v>460</v>
      </c>
      <c r="D66" s="102">
        <v>114550</v>
      </c>
      <c r="E66" s="92" t="s">
        <v>1148</v>
      </c>
      <c r="F66" s="19" t="s">
        <v>1189</v>
      </c>
      <c r="G66" s="69" t="s">
        <v>1200</v>
      </c>
      <c r="H66" s="69" t="s">
        <v>83</v>
      </c>
      <c r="I66" s="69"/>
      <c r="J66" s="69" t="s">
        <v>107</v>
      </c>
      <c r="K66" s="69" t="s">
        <v>1748</v>
      </c>
      <c r="L66" s="69" t="s">
        <v>1922</v>
      </c>
      <c r="M66" s="69">
        <v>44.3</v>
      </c>
      <c r="N66" s="118"/>
      <c r="O66" s="118"/>
      <c r="P66" s="69"/>
      <c r="Q66" s="69" t="s">
        <v>145</v>
      </c>
      <c r="R66" s="69"/>
      <c r="S66" s="69"/>
      <c r="T66" s="72" t="str" cm="1">
        <f t="array" ref="T66">IFERROR(INDEX(Products[[ProdCode]:[Product]],_xlfn.XMATCH(Products[[#This Row],[Parent]],Products[Product],0),2),Products[[#This Row],[Product]])</f>
        <v>Gasoline-type jet fuel</v>
      </c>
      <c r="U66" s="72" t="str" cm="1">
        <f t="array" ref="U66">IFERROR(INDEX(Products[[ProdCode]:[Product]],_xlfn.XMATCH(INDEX(Products[[Product]:[Parent]],_xlfn.XMATCH(Products[[#This Row],[L1N]],Products[Product],0),2),Products[ProdCode],0),2),Products[[#This Row],[L1N]])</f>
        <v>Gasolines</v>
      </c>
      <c r="V66" s="72" t="str" cm="1">
        <f t="array" ref="V66">IFERROR(INDEX(Products[[ProdCode]:[Product]],_xlfn.XMATCH(INDEX(Products[[Product]:[Parent]],_xlfn.XMATCH(Products[[#This Row],[L2N]],Products[Product],0),2),Products[ProdCode],0),2),Products[[#This Row],[L2N]])</f>
        <v>Oil products</v>
      </c>
      <c r="W66" s="72" t="str" cm="1">
        <f t="array" ref="W66">IFERROR(INDEX(Products[[ProdCode]:[Product]],_xlfn.XMATCH(INDEX(Products[[Product]:[Parent]],_xlfn.XMATCH(Products[[#This Row],[L3N]],Products[Product],0),2),Products[ProdCode],0),2),Products[[#This Row],[L3N]])</f>
        <v>Oil</v>
      </c>
      <c r="X66" s="72" t="str" cm="1">
        <f t="array" ref="X66">IFERROR(INDEX(Products[[ProdCode]:[Product]],_xlfn.XMATCH(INDEX(Products[[Product]:[Parent]],_xlfn.XMATCH(Products[[#This Row],[L4N]],Products[Product],0),2),Products[ProdCode],0),2),Products[[#This Row],[L4N]])</f>
        <v>Fossil fuels</v>
      </c>
      <c r="Y66" s="72" t="str" cm="1">
        <f t="array" ref="Y66">IFERROR(INDEX(Products[[ProdCode]:[Product]],_xlfn.XMATCH(INDEX(Products[[Product]:[Parent]],_xlfn.XMATCH(Products[[#This Row],[L5N]],Products[Product],0),2),Products[ProdCode],0),2),Products[[#This Row],[L5N]])</f>
        <v>Non-renewable energy</v>
      </c>
      <c r="Z66" s="72" t="str" cm="1">
        <f t="array" ref="Z66">IFERROR(INDEX(Products[[ProdCode]:[Product]],_xlfn.XMATCH(INDEX(Products[[Product]:[Parent]],_xlfn.XMATCH(Products[[#This Row],[L6N]],Products[Product],0),2),Products[ProdCode],0),2),Products[[#This Row],[L6N]])</f>
        <v>Energy</v>
      </c>
      <c r="AA66" s="72" t="str" cm="1">
        <f t="array" ref="AA66">IFERROR(INDEX(Products[[ProdCode]:[Product]],_xlfn.XMATCH(INDEX(Products[[Product]:[Parent]],_xlfn.XMATCH(Products[[#This Row],[L7N]],Products[Product],0),2),Products[ProdCode],0),2),Products[[#This Row],[L7N]])</f>
        <v>Energy</v>
      </c>
      <c r="AB6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Gasolines</v>
      </c>
      <c r="AH6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Gasoline-type jet fuel</v>
      </c>
      <c r="AI6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Gasoline-type jet fuel</v>
      </c>
    </row>
    <row r="67" spans="2:35" x14ac:dyDescent="0.45">
      <c r="B67" s="101">
        <v>114560</v>
      </c>
      <c r="C67" s="87" t="s">
        <v>467</v>
      </c>
      <c r="D67" s="101">
        <v>114500</v>
      </c>
      <c r="E67" s="92" t="s">
        <v>1148</v>
      </c>
      <c r="F67" s="19" t="s">
        <v>1189</v>
      </c>
      <c r="G67" s="69" t="s">
        <v>1199</v>
      </c>
      <c r="H67" s="69" t="s">
        <v>65</v>
      </c>
      <c r="I67" s="69"/>
      <c r="J67" s="69"/>
      <c r="K67" s="69" t="s">
        <v>1749</v>
      </c>
      <c r="L67" s="69"/>
      <c r="M67" s="69"/>
      <c r="N67" s="118"/>
      <c r="O67" s="118"/>
      <c r="P67" s="69"/>
      <c r="Q67" s="69" t="s">
        <v>145</v>
      </c>
      <c r="R67" s="69"/>
      <c r="S67" s="69"/>
      <c r="T67" s="72" t="str" cm="1">
        <f t="array" ref="T67">IFERROR(INDEX(Products[[ProdCode]:[Product]],_xlfn.XMATCH(Products[[#This Row],[Parent]],Products[Product],0),2),Products[[#This Row],[Product]])</f>
        <v>Kerosenes</v>
      </c>
      <c r="U67" s="72" t="str" cm="1">
        <f t="array" ref="U67">IFERROR(INDEX(Products[[ProdCode]:[Product]],_xlfn.XMATCH(INDEX(Products[[Product]:[Parent]],_xlfn.XMATCH(Products[[#This Row],[L1N]],Products[Product],0),2),Products[ProdCode],0),2),Products[[#This Row],[L1N]])</f>
        <v>Oil products</v>
      </c>
      <c r="V67" s="72" t="str" cm="1">
        <f t="array" ref="V67">IFERROR(INDEX(Products[[ProdCode]:[Product]],_xlfn.XMATCH(INDEX(Products[[Product]:[Parent]],_xlfn.XMATCH(Products[[#This Row],[L2N]],Products[Product],0),2),Products[ProdCode],0),2),Products[[#This Row],[L2N]])</f>
        <v>Oil</v>
      </c>
      <c r="W67" s="72" t="str" cm="1">
        <f t="array" ref="W67">IFERROR(INDEX(Products[[ProdCode]:[Product]],_xlfn.XMATCH(INDEX(Products[[Product]:[Parent]],_xlfn.XMATCH(Products[[#This Row],[L3N]],Products[Product],0),2),Products[ProdCode],0),2),Products[[#This Row],[L3N]])</f>
        <v>Fossil fuels</v>
      </c>
      <c r="X67" s="72" t="str" cm="1">
        <f t="array" ref="X67">IFERROR(INDEX(Products[[ProdCode]:[Product]],_xlfn.XMATCH(INDEX(Products[[Product]:[Parent]],_xlfn.XMATCH(Products[[#This Row],[L4N]],Products[Product],0),2),Products[ProdCode],0),2),Products[[#This Row],[L4N]])</f>
        <v>Non-renewable energy</v>
      </c>
      <c r="Y67" s="72" t="str" cm="1">
        <f t="array" ref="Y67">IFERROR(INDEX(Products[[ProdCode]:[Product]],_xlfn.XMATCH(INDEX(Products[[Product]:[Parent]],_xlfn.XMATCH(Products[[#This Row],[L5N]],Products[Product],0),2),Products[ProdCode],0),2),Products[[#This Row],[L5N]])</f>
        <v>Energy</v>
      </c>
      <c r="Z67" s="72" t="str" cm="1">
        <f t="array" ref="Z67">IFERROR(INDEX(Products[[ProdCode]:[Product]],_xlfn.XMATCH(INDEX(Products[[Product]:[Parent]],_xlfn.XMATCH(Products[[#This Row],[L6N]],Products[Product],0),2),Products[ProdCode],0),2),Products[[#This Row],[L6N]])</f>
        <v>Energy</v>
      </c>
      <c r="AA67" s="72" t="str" cm="1">
        <f t="array" ref="AA67">IFERROR(INDEX(Products[[ProdCode]:[Product]],_xlfn.XMATCH(INDEX(Products[[Product]:[Parent]],_xlfn.XMATCH(Products[[#This Row],[L7N]],Products[Product],0),2),Products[ProdCode],0),2),Products[[#This Row],[L7N]])</f>
        <v>Energy</v>
      </c>
      <c r="AB6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Kerosenes</v>
      </c>
      <c r="AH6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Kerosenes</v>
      </c>
      <c r="AI6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Kerosenes</v>
      </c>
    </row>
    <row r="68" spans="2:35" ht="14.25" customHeight="1" x14ac:dyDescent="0.45">
      <c r="B68" s="102">
        <v>114561</v>
      </c>
      <c r="C68" s="90" t="s">
        <v>476</v>
      </c>
      <c r="D68" s="102">
        <v>114560</v>
      </c>
      <c r="E68" s="92" t="s">
        <v>1148</v>
      </c>
      <c r="F68" s="19" t="s">
        <v>1189</v>
      </c>
      <c r="G68" s="69" t="s">
        <v>1200</v>
      </c>
      <c r="H68" s="69" t="s">
        <v>83</v>
      </c>
      <c r="I68" s="69"/>
      <c r="J68" s="69" t="s">
        <v>107</v>
      </c>
      <c r="K68" s="69" t="s">
        <v>1750</v>
      </c>
      <c r="L68" s="69" t="s">
        <v>1923</v>
      </c>
      <c r="M68" s="69">
        <v>44.1</v>
      </c>
      <c r="N68" s="118"/>
      <c r="O68" s="118"/>
      <c r="P68" s="69"/>
      <c r="Q68" s="69" t="s">
        <v>145</v>
      </c>
      <c r="R68" s="69"/>
      <c r="S68" s="69"/>
      <c r="T68" s="72" t="str" cm="1">
        <f t="array" ref="T68">IFERROR(INDEX(Products[[ProdCode]:[Product]],_xlfn.XMATCH(Products[[#This Row],[Parent]],Products[Product],0),2),Products[[#This Row],[Product]])</f>
        <v>Kerosene-type jet fuel</v>
      </c>
      <c r="U68" s="72" t="str" cm="1">
        <f t="array" ref="U68">IFERROR(INDEX(Products[[ProdCode]:[Product]],_xlfn.XMATCH(INDEX(Products[[Product]:[Parent]],_xlfn.XMATCH(Products[[#This Row],[L1N]],Products[Product],0),2),Products[ProdCode],0),2),Products[[#This Row],[L1N]])</f>
        <v>Kerosenes</v>
      </c>
      <c r="V68" s="72" t="str" cm="1">
        <f t="array" ref="V68">IFERROR(INDEX(Products[[ProdCode]:[Product]],_xlfn.XMATCH(INDEX(Products[[Product]:[Parent]],_xlfn.XMATCH(Products[[#This Row],[L2N]],Products[Product],0),2),Products[ProdCode],0),2),Products[[#This Row],[L2N]])</f>
        <v>Oil products</v>
      </c>
      <c r="W68" s="72" t="str" cm="1">
        <f t="array" ref="W68">IFERROR(INDEX(Products[[ProdCode]:[Product]],_xlfn.XMATCH(INDEX(Products[[Product]:[Parent]],_xlfn.XMATCH(Products[[#This Row],[L3N]],Products[Product],0),2),Products[ProdCode],0),2),Products[[#This Row],[L3N]])</f>
        <v>Oil</v>
      </c>
      <c r="X68" s="72" t="str" cm="1">
        <f t="array" ref="X68">IFERROR(INDEX(Products[[ProdCode]:[Product]],_xlfn.XMATCH(INDEX(Products[[Product]:[Parent]],_xlfn.XMATCH(Products[[#This Row],[L4N]],Products[Product],0),2),Products[ProdCode],0),2),Products[[#This Row],[L4N]])</f>
        <v>Fossil fuels</v>
      </c>
      <c r="Y68" s="72" t="str" cm="1">
        <f t="array" ref="Y68">IFERROR(INDEX(Products[[ProdCode]:[Product]],_xlfn.XMATCH(INDEX(Products[[Product]:[Parent]],_xlfn.XMATCH(Products[[#This Row],[L5N]],Products[Product],0),2),Products[ProdCode],0),2),Products[[#This Row],[L5N]])</f>
        <v>Non-renewable energy</v>
      </c>
      <c r="Z68" s="72" t="str" cm="1">
        <f t="array" ref="Z68">IFERROR(INDEX(Products[[ProdCode]:[Product]],_xlfn.XMATCH(INDEX(Products[[Product]:[Parent]],_xlfn.XMATCH(Products[[#This Row],[L6N]],Products[Product],0),2),Products[ProdCode],0),2),Products[[#This Row],[L6N]])</f>
        <v>Energy</v>
      </c>
      <c r="AA68" s="72" t="str" cm="1">
        <f t="array" ref="AA68">IFERROR(INDEX(Products[[ProdCode]:[Product]],_xlfn.XMATCH(INDEX(Products[[Product]:[Parent]],_xlfn.XMATCH(Products[[#This Row],[L7N]],Products[Product],0),2),Products[ProdCode],0),2),Products[[#This Row],[L7N]])</f>
        <v>Energy</v>
      </c>
      <c r="AB6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Kerosenes</v>
      </c>
      <c r="AH6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Kerosene-type jet fuel</v>
      </c>
      <c r="AI6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Kerosene-type jet fuel</v>
      </c>
    </row>
    <row r="69" spans="2:35" x14ac:dyDescent="0.45">
      <c r="B69" s="102">
        <v>114569</v>
      </c>
      <c r="C69" s="90" t="s">
        <v>484</v>
      </c>
      <c r="D69" s="102">
        <v>114560</v>
      </c>
      <c r="E69" s="92" t="s">
        <v>1148</v>
      </c>
      <c r="F69" s="19" t="s">
        <v>1189</v>
      </c>
      <c r="G69" s="69" t="s">
        <v>1200</v>
      </c>
      <c r="H69" s="69" t="s">
        <v>83</v>
      </c>
      <c r="I69" s="69"/>
      <c r="J69" s="69" t="s">
        <v>107</v>
      </c>
      <c r="K69" s="69" t="s">
        <v>1751</v>
      </c>
      <c r="L69" s="69" t="s">
        <v>1924</v>
      </c>
      <c r="M69" s="69">
        <v>43.8</v>
      </c>
      <c r="N69" s="118"/>
      <c r="O69" s="118"/>
      <c r="P69" s="69" t="s">
        <v>1841</v>
      </c>
      <c r="Q69" s="69" t="s">
        <v>145</v>
      </c>
      <c r="R69" s="69"/>
      <c r="S69" s="69"/>
      <c r="T69" s="72" t="str" cm="1">
        <f t="array" ref="T69">IFERROR(INDEX(Products[[ProdCode]:[Product]],_xlfn.XMATCH(Products[[#This Row],[Parent]],Products[Product],0),2),Products[[#This Row],[Product]])</f>
        <v>Other kerosene</v>
      </c>
      <c r="U69" s="72" t="str" cm="1">
        <f t="array" ref="U69">IFERROR(INDEX(Products[[ProdCode]:[Product]],_xlfn.XMATCH(INDEX(Products[[Product]:[Parent]],_xlfn.XMATCH(Products[[#This Row],[L1N]],Products[Product],0),2),Products[ProdCode],0),2),Products[[#This Row],[L1N]])</f>
        <v>Kerosenes</v>
      </c>
      <c r="V69" s="72" t="str" cm="1">
        <f t="array" ref="V69">IFERROR(INDEX(Products[[ProdCode]:[Product]],_xlfn.XMATCH(INDEX(Products[[Product]:[Parent]],_xlfn.XMATCH(Products[[#This Row],[L2N]],Products[Product],0),2),Products[ProdCode],0),2),Products[[#This Row],[L2N]])</f>
        <v>Oil products</v>
      </c>
      <c r="W69" s="72" t="str" cm="1">
        <f t="array" ref="W69">IFERROR(INDEX(Products[[ProdCode]:[Product]],_xlfn.XMATCH(INDEX(Products[[Product]:[Parent]],_xlfn.XMATCH(Products[[#This Row],[L3N]],Products[Product],0),2),Products[ProdCode],0),2),Products[[#This Row],[L3N]])</f>
        <v>Oil</v>
      </c>
      <c r="X69" s="72" t="str" cm="1">
        <f t="array" ref="X69">IFERROR(INDEX(Products[[ProdCode]:[Product]],_xlfn.XMATCH(INDEX(Products[[Product]:[Parent]],_xlfn.XMATCH(Products[[#This Row],[L4N]],Products[Product],0),2),Products[ProdCode],0),2),Products[[#This Row],[L4N]])</f>
        <v>Fossil fuels</v>
      </c>
      <c r="Y69" s="72" t="str" cm="1">
        <f t="array" ref="Y69">IFERROR(INDEX(Products[[ProdCode]:[Product]],_xlfn.XMATCH(INDEX(Products[[Product]:[Parent]],_xlfn.XMATCH(Products[[#This Row],[L5N]],Products[Product],0),2),Products[ProdCode],0),2),Products[[#This Row],[L5N]])</f>
        <v>Non-renewable energy</v>
      </c>
      <c r="Z69" s="72" t="str" cm="1">
        <f t="array" ref="Z69">IFERROR(INDEX(Products[[ProdCode]:[Product]],_xlfn.XMATCH(INDEX(Products[[Product]:[Parent]],_xlfn.XMATCH(Products[[#This Row],[L6N]],Products[Product],0),2),Products[ProdCode],0),2),Products[[#This Row],[L6N]])</f>
        <v>Energy</v>
      </c>
      <c r="AA69" s="72" t="str" cm="1">
        <f t="array" ref="AA69">IFERROR(INDEX(Products[[ProdCode]:[Product]],_xlfn.XMATCH(INDEX(Products[[Product]:[Parent]],_xlfn.XMATCH(Products[[#This Row],[L7N]],Products[Product],0),2),Products[ProdCode],0),2),Products[[#This Row],[L7N]])</f>
        <v>Energy</v>
      </c>
      <c r="AB6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6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6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6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6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6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Kerosenes</v>
      </c>
      <c r="AH6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kerosene</v>
      </c>
      <c r="AI6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kerosene</v>
      </c>
    </row>
    <row r="70" spans="2:35" ht="14.25" customHeight="1" x14ac:dyDescent="0.45">
      <c r="B70" s="101">
        <v>114570</v>
      </c>
      <c r="C70" s="87" t="s">
        <v>935</v>
      </c>
      <c r="D70" s="101">
        <v>114500</v>
      </c>
      <c r="E70" s="92" t="s">
        <v>1148</v>
      </c>
      <c r="F70" s="19" t="s">
        <v>1189</v>
      </c>
      <c r="G70" s="69" t="s">
        <v>1199</v>
      </c>
      <c r="H70" s="69" t="s">
        <v>65</v>
      </c>
      <c r="I70" s="69"/>
      <c r="J70" s="69"/>
      <c r="K70" s="69" t="s">
        <v>1752</v>
      </c>
      <c r="L70" s="69"/>
      <c r="M70" s="69"/>
      <c r="N70" s="118"/>
      <c r="O70" s="118"/>
      <c r="P70" s="69"/>
      <c r="Q70" s="69" t="s">
        <v>145</v>
      </c>
      <c r="R70" s="69"/>
      <c r="S70" s="69"/>
      <c r="T70" s="72" t="str" cm="1">
        <f t="array" ref="T70">IFERROR(INDEX(Products[[ProdCode]:[Product]],_xlfn.XMATCH(Products[[#This Row],[Parent]],Products[Product],0),2),Products[[#This Row],[Product]])</f>
        <v>Gas oil/diesel oil and heavy gas oil</v>
      </c>
      <c r="U70" s="72" t="str" cm="1">
        <f t="array" ref="U70">IFERROR(INDEX(Products[[ProdCode]:[Product]],_xlfn.XMATCH(INDEX(Products[[Product]:[Parent]],_xlfn.XMATCH(Products[[#This Row],[L1N]],Products[Product],0),2),Products[ProdCode],0),2),Products[[#This Row],[L1N]])</f>
        <v>Oil products</v>
      </c>
      <c r="V70" s="72" t="str" cm="1">
        <f t="array" ref="V70">IFERROR(INDEX(Products[[ProdCode]:[Product]],_xlfn.XMATCH(INDEX(Products[[Product]:[Parent]],_xlfn.XMATCH(Products[[#This Row],[L2N]],Products[Product],0),2),Products[ProdCode],0),2),Products[[#This Row],[L2N]])</f>
        <v>Oil</v>
      </c>
      <c r="W70" s="72" t="str" cm="1">
        <f t="array" ref="W70">IFERROR(INDEX(Products[[ProdCode]:[Product]],_xlfn.XMATCH(INDEX(Products[[Product]:[Parent]],_xlfn.XMATCH(Products[[#This Row],[L3N]],Products[Product],0),2),Products[ProdCode],0),2),Products[[#This Row],[L3N]])</f>
        <v>Fossil fuels</v>
      </c>
      <c r="X70" s="72" t="str" cm="1">
        <f t="array" ref="X70">IFERROR(INDEX(Products[[ProdCode]:[Product]],_xlfn.XMATCH(INDEX(Products[[Product]:[Parent]],_xlfn.XMATCH(Products[[#This Row],[L4N]],Products[Product],0),2),Products[ProdCode],0),2),Products[[#This Row],[L4N]])</f>
        <v>Non-renewable energy</v>
      </c>
      <c r="Y70" s="72" t="str" cm="1">
        <f t="array" ref="Y70">IFERROR(INDEX(Products[[ProdCode]:[Product]],_xlfn.XMATCH(INDEX(Products[[Product]:[Parent]],_xlfn.XMATCH(Products[[#This Row],[L5N]],Products[Product],0),2),Products[ProdCode],0),2),Products[[#This Row],[L5N]])</f>
        <v>Energy</v>
      </c>
      <c r="Z70" s="72" t="str" cm="1">
        <f t="array" ref="Z70">IFERROR(INDEX(Products[[ProdCode]:[Product]],_xlfn.XMATCH(INDEX(Products[[Product]:[Parent]],_xlfn.XMATCH(Products[[#This Row],[L6N]],Products[Product],0),2),Products[ProdCode],0),2),Products[[#This Row],[L6N]])</f>
        <v>Energy</v>
      </c>
      <c r="AA70" s="72" t="str" cm="1">
        <f t="array" ref="AA70">IFERROR(INDEX(Products[[ProdCode]:[Product]],_xlfn.XMATCH(INDEX(Products[[Product]:[Parent]],_xlfn.XMATCH(Products[[#This Row],[L7N]],Products[Product],0),2),Products[ProdCode],0),2),Products[[#This Row],[L7N]])</f>
        <v>Energy</v>
      </c>
      <c r="AB7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oil/diesel oil and heavy gas oil</v>
      </c>
      <c r="AH7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oil/diesel oil and heavy gas oil</v>
      </c>
      <c r="AI7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oil/diesel oil and heavy gas oil</v>
      </c>
    </row>
    <row r="71" spans="2:35" x14ac:dyDescent="0.45">
      <c r="B71" s="102">
        <v>114571</v>
      </c>
      <c r="C71" s="90" t="s">
        <v>936</v>
      </c>
      <c r="D71" s="102">
        <v>114570</v>
      </c>
      <c r="E71" s="92" t="s">
        <v>1148</v>
      </c>
      <c r="F71" s="19" t="s">
        <v>1189</v>
      </c>
      <c r="G71" s="69" t="s">
        <v>1200</v>
      </c>
      <c r="H71" s="69" t="s">
        <v>83</v>
      </c>
      <c r="I71" s="69"/>
      <c r="J71" s="69" t="s">
        <v>107</v>
      </c>
      <c r="K71" s="69" t="s">
        <v>1397</v>
      </c>
      <c r="L71" s="69" t="s">
        <v>1925</v>
      </c>
      <c r="M71" s="69">
        <v>43</v>
      </c>
      <c r="N71" s="118"/>
      <c r="O71" s="118"/>
      <c r="P71" s="69" t="s">
        <v>1519</v>
      </c>
      <c r="Q71" s="69" t="s">
        <v>145</v>
      </c>
      <c r="R71" s="69"/>
      <c r="S71" s="69"/>
      <c r="T71" s="72" t="str" cm="1">
        <f t="array" ref="T71">IFERROR(INDEX(Products[[ProdCode]:[Product]],_xlfn.XMATCH(Products[[#This Row],[Parent]],Products[Product],0),2),Products[[#This Row],[Product]])</f>
        <v>Gas oil/diesel oil</v>
      </c>
      <c r="U71" s="72" t="str" cm="1">
        <f t="array" ref="U71">IFERROR(INDEX(Products[[ProdCode]:[Product]],_xlfn.XMATCH(INDEX(Products[[Product]:[Parent]],_xlfn.XMATCH(Products[[#This Row],[L1N]],Products[Product],0),2),Products[ProdCode],0),2),Products[[#This Row],[L1N]])</f>
        <v>Gas oil/diesel oil and heavy gas oil</v>
      </c>
      <c r="V71" s="72" t="str" cm="1">
        <f t="array" ref="V71">IFERROR(INDEX(Products[[ProdCode]:[Product]],_xlfn.XMATCH(INDEX(Products[[Product]:[Parent]],_xlfn.XMATCH(Products[[#This Row],[L2N]],Products[Product],0),2),Products[ProdCode],0),2),Products[[#This Row],[L2N]])</f>
        <v>Oil products</v>
      </c>
      <c r="W71" s="72" t="str" cm="1">
        <f t="array" ref="W71">IFERROR(INDEX(Products[[ProdCode]:[Product]],_xlfn.XMATCH(INDEX(Products[[Product]:[Parent]],_xlfn.XMATCH(Products[[#This Row],[L3N]],Products[Product],0),2),Products[ProdCode],0),2),Products[[#This Row],[L3N]])</f>
        <v>Oil</v>
      </c>
      <c r="X71" s="72" t="str" cm="1">
        <f t="array" ref="X71">IFERROR(INDEX(Products[[ProdCode]:[Product]],_xlfn.XMATCH(INDEX(Products[[Product]:[Parent]],_xlfn.XMATCH(Products[[#This Row],[L4N]],Products[Product],0),2),Products[ProdCode],0),2),Products[[#This Row],[L4N]])</f>
        <v>Fossil fuels</v>
      </c>
      <c r="Y71" s="72" t="str" cm="1">
        <f t="array" ref="Y71">IFERROR(INDEX(Products[[ProdCode]:[Product]],_xlfn.XMATCH(INDEX(Products[[Product]:[Parent]],_xlfn.XMATCH(Products[[#This Row],[L5N]],Products[Product],0),2),Products[ProdCode],0),2),Products[[#This Row],[L5N]])</f>
        <v>Non-renewable energy</v>
      </c>
      <c r="Z71" s="72" t="str" cm="1">
        <f t="array" ref="Z71">IFERROR(INDEX(Products[[ProdCode]:[Product]],_xlfn.XMATCH(INDEX(Products[[Product]:[Parent]],_xlfn.XMATCH(Products[[#This Row],[L6N]],Products[Product],0),2),Products[ProdCode],0),2),Products[[#This Row],[L6N]])</f>
        <v>Energy</v>
      </c>
      <c r="AA71" s="72" t="str" cm="1">
        <f t="array" ref="AA71">IFERROR(INDEX(Products[[ProdCode]:[Product]],_xlfn.XMATCH(INDEX(Products[[Product]:[Parent]],_xlfn.XMATCH(Products[[#This Row],[L7N]],Products[Product],0),2),Products[ProdCode],0),2),Products[[#This Row],[L7N]])</f>
        <v>Energy</v>
      </c>
      <c r="AB7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oil/diesel oil and heavy gas oil</v>
      </c>
      <c r="AH7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oil/diesel oil</v>
      </c>
      <c r="AI7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oil/diesel oil</v>
      </c>
    </row>
    <row r="72" spans="2:35" x14ac:dyDescent="0.45">
      <c r="B72" s="102">
        <v>114572</v>
      </c>
      <c r="C72" s="90" t="s">
        <v>507</v>
      </c>
      <c r="D72" s="102">
        <v>114570</v>
      </c>
      <c r="E72" s="92" t="s">
        <v>1148</v>
      </c>
      <c r="F72" s="19" t="s">
        <v>1189</v>
      </c>
      <c r="G72" s="69" t="s">
        <v>1200</v>
      </c>
      <c r="H72" s="69" t="s">
        <v>83</v>
      </c>
      <c r="I72" s="69"/>
      <c r="J72" s="69"/>
      <c r="K72" s="69" t="s">
        <v>1753</v>
      </c>
      <c r="L72" s="69"/>
      <c r="M72" s="69"/>
      <c r="N72" s="118"/>
      <c r="O72" s="118"/>
      <c r="P72" s="69"/>
      <c r="Q72" s="69" t="s">
        <v>145</v>
      </c>
      <c r="R72" s="69"/>
      <c r="S72" s="69"/>
      <c r="T72" s="72" t="str" cm="1">
        <f t="array" ref="T72">IFERROR(INDEX(Products[[ProdCode]:[Product]],_xlfn.XMATCH(Products[[#This Row],[Parent]],Products[Product],0),2),Products[[#This Row],[Product]])</f>
        <v>Heavy gas oil</v>
      </c>
      <c r="U72" s="72" t="str" cm="1">
        <f t="array" ref="U72">IFERROR(INDEX(Products[[ProdCode]:[Product]],_xlfn.XMATCH(INDEX(Products[[Product]:[Parent]],_xlfn.XMATCH(Products[[#This Row],[L1N]],Products[Product],0),2),Products[ProdCode],0),2),Products[[#This Row],[L1N]])</f>
        <v>Gas oil/diesel oil and heavy gas oil</v>
      </c>
      <c r="V72" s="72" t="str" cm="1">
        <f t="array" ref="V72">IFERROR(INDEX(Products[[ProdCode]:[Product]],_xlfn.XMATCH(INDEX(Products[[Product]:[Parent]],_xlfn.XMATCH(Products[[#This Row],[L2N]],Products[Product],0),2),Products[ProdCode],0),2),Products[[#This Row],[L2N]])</f>
        <v>Oil products</v>
      </c>
      <c r="W72" s="72" t="str" cm="1">
        <f t="array" ref="W72">IFERROR(INDEX(Products[[ProdCode]:[Product]],_xlfn.XMATCH(INDEX(Products[[Product]:[Parent]],_xlfn.XMATCH(Products[[#This Row],[L3N]],Products[Product],0),2),Products[ProdCode],0),2),Products[[#This Row],[L3N]])</f>
        <v>Oil</v>
      </c>
      <c r="X72" s="72" t="str" cm="1">
        <f t="array" ref="X72">IFERROR(INDEX(Products[[ProdCode]:[Product]],_xlfn.XMATCH(INDEX(Products[[Product]:[Parent]],_xlfn.XMATCH(Products[[#This Row],[L4N]],Products[Product],0),2),Products[ProdCode],0),2),Products[[#This Row],[L4N]])</f>
        <v>Fossil fuels</v>
      </c>
      <c r="Y72" s="72" t="str" cm="1">
        <f t="array" ref="Y72">IFERROR(INDEX(Products[[ProdCode]:[Product]],_xlfn.XMATCH(INDEX(Products[[Product]:[Parent]],_xlfn.XMATCH(Products[[#This Row],[L5N]],Products[Product],0),2),Products[ProdCode],0),2),Products[[#This Row],[L5N]])</f>
        <v>Non-renewable energy</v>
      </c>
      <c r="Z72" s="72" t="str" cm="1">
        <f t="array" ref="Z72">IFERROR(INDEX(Products[[ProdCode]:[Product]],_xlfn.XMATCH(INDEX(Products[[Product]:[Parent]],_xlfn.XMATCH(Products[[#This Row],[L6N]],Products[Product],0),2),Products[ProdCode],0),2),Products[[#This Row],[L6N]])</f>
        <v>Energy</v>
      </c>
      <c r="AA72" s="72" t="str" cm="1">
        <f t="array" ref="AA72">IFERROR(INDEX(Products[[ProdCode]:[Product]],_xlfn.XMATCH(INDEX(Products[[Product]:[Parent]],_xlfn.XMATCH(Products[[#This Row],[L7N]],Products[Product],0),2),Products[ProdCode],0),2),Products[[#This Row],[L7N]])</f>
        <v>Energy</v>
      </c>
      <c r="AB7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oil/diesel oil and heavy gas oil</v>
      </c>
      <c r="AH7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Heavy gas oil</v>
      </c>
      <c r="AI7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Heavy gas oil</v>
      </c>
    </row>
    <row r="73" spans="2:35" x14ac:dyDescent="0.45">
      <c r="B73" s="101">
        <v>114580</v>
      </c>
      <c r="C73" s="87" t="s">
        <v>514</v>
      </c>
      <c r="D73" s="101">
        <v>114500</v>
      </c>
      <c r="E73" s="92" t="s">
        <v>1148</v>
      </c>
      <c r="F73" s="19" t="s">
        <v>1189</v>
      </c>
      <c r="G73" s="69" t="s">
        <v>1199</v>
      </c>
      <c r="H73" s="69" t="s">
        <v>83</v>
      </c>
      <c r="I73" s="69"/>
      <c r="J73" s="69" t="s">
        <v>107</v>
      </c>
      <c r="K73" s="69" t="s">
        <v>1754</v>
      </c>
      <c r="L73" s="69" t="s">
        <v>1926</v>
      </c>
      <c r="M73" s="69">
        <v>40.4</v>
      </c>
      <c r="N73" s="118"/>
      <c r="O73" s="118"/>
      <c r="P73" s="69"/>
      <c r="Q73" s="69" t="s">
        <v>145</v>
      </c>
      <c r="R73" s="69"/>
      <c r="S73" s="69"/>
      <c r="T73" s="72" t="str" cm="1">
        <f t="array" ref="T73">IFERROR(INDEX(Products[[ProdCode]:[Product]],_xlfn.XMATCH(Products[[#This Row],[Parent]],Products[Product],0),2),Products[[#This Row],[Product]])</f>
        <v>Fuel oil</v>
      </c>
      <c r="U73" s="72" t="str" cm="1">
        <f t="array" ref="U73">IFERROR(INDEX(Products[[ProdCode]:[Product]],_xlfn.XMATCH(INDEX(Products[[Product]:[Parent]],_xlfn.XMATCH(Products[[#This Row],[L1N]],Products[Product],0),2),Products[ProdCode],0),2),Products[[#This Row],[L1N]])</f>
        <v>Oil products</v>
      </c>
      <c r="V73" s="72" t="str" cm="1">
        <f t="array" ref="V73">IFERROR(INDEX(Products[[ProdCode]:[Product]],_xlfn.XMATCH(INDEX(Products[[Product]:[Parent]],_xlfn.XMATCH(Products[[#This Row],[L2N]],Products[Product],0),2),Products[ProdCode],0),2),Products[[#This Row],[L2N]])</f>
        <v>Oil</v>
      </c>
      <c r="W73" s="72" t="str" cm="1">
        <f t="array" ref="W73">IFERROR(INDEX(Products[[ProdCode]:[Product]],_xlfn.XMATCH(INDEX(Products[[Product]:[Parent]],_xlfn.XMATCH(Products[[#This Row],[L3N]],Products[Product],0),2),Products[ProdCode],0),2),Products[[#This Row],[L3N]])</f>
        <v>Fossil fuels</v>
      </c>
      <c r="X73" s="72" t="str" cm="1">
        <f t="array" ref="X73">IFERROR(INDEX(Products[[ProdCode]:[Product]],_xlfn.XMATCH(INDEX(Products[[Product]:[Parent]],_xlfn.XMATCH(Products[[#This Row],[L4N]],Products[Product],0),2),Products[ProdCode],0),2),Products[[#This Row],[L4N]])</f>
        <v>Non-renewable energy</v>
      </c>
      <c r="Y73" s="72" t="str" cm="1">
        <f t="array" ref="Y73">IFERROR(INDEX(Products[[ProdCode]:[Product]],_xlfn.XMATCH(INDEX(Products[[Product]:[Parent]],_xlfn.XMATCH(Products[[#This Row],[L5N]],Products[Product],0),2),Products[ProdCode],0),2),Products[[#This Row],[L5N]])</f>
        <v>Energy</v>
      </c>
      <c r="Z73" s="72" t="str" cm="1">
        <f t="array" ref="Z73">IFERROR(INDEX(Products[[ProdCode]:[Product]],_xlfn.XMATCH(INDEX(Products[[Product]:[Parent]],_xlfn.XMATCH(Products[[#This Row],[L6N]],Products[Product],0),2),Products[ProdCode],0),2),Products[[#This Row],[L6N]])</f>
        <v>Energy</v>
      </c>
      <c r="AA73" s="72" t="str" cm="1">
        <f t="array" ref="AA73">IFERROR(INDEX(Products[[ProdCode]:[Product]],_xlfn.XMATCH(INDEX(Products[[Product]:[Parent]],_xlfn.XMATCH(Products[[#This Row],[L7N]],Products[Product],0),2),Products[ProdCode],0),2),Products[[#This Row],[L7N]])</f>
        <v>Energy</v>
      </c>
      <c r="AB7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Fuel oil</v>
      </c>
      <c r="AH7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Fuel oil</v>
      </c>
      <c r="AI7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Fuel oil</v>
      </c>
    </row>
    <row r="74" spans="2:35" x14ac:dyDescent="0.45">
      <c r="B74" s="101">
        <v>114590</v>
      </c>
      <c r="C74" s="87" t="s">
        <v>522</v>
      </c>
      <c r="D74" s="101">
        <v>114500</v>
      </c>
      <c r="E74" s="92" t="s">
        <v>1148</v>
      </c>
      <c r="F74" s="19" t="s">
        <v>1189</v>
      </c>
      <c r="G74" s="69" t="s">
        <v>1199</v>
      </c>
      <c r="H74" s="69" t="s">
        <v>65</v>
      </c>
      <c r="I74" s="69"/>
      <c r="J74" s="69"/>
      <c r="K74" s="69" t="s">
        <v>1755</v>
      </c>
      <c r="L74" s="69"/>
      <c r="M74" s="69"/>
      <c r="N74" s="118"/>
      <c r="O74" s="118"/>
      <c r="P74" s="69"/>
      <c r="Q74" s="69" t="s">
        <v>145</v>
      </c>
      <c r="R74" s="69"/>
      <c r="S74" s="69"/>
      <c r="T74" s="72" t="str" cm="1">
        <f t="array" ref="T74">IFERROR(INDEX(Products[[ProdCode]:[Product]],_xlfn.XMATCH(Products[[#This Row],[Parent]],Products[Product],0),2),Products[[#This Row],[Product]])</f>
        <v>Other oil products</v>
      </c>
      <c r="U74" s="72" t="str" cm="1">
        <f t="array" ref="U74">IFERROR(INDEX(Products[[ProdCode]:[Product]],_xlfn.XMATCH(INDEX(Products[[Product]:[Parent]],_xlfn.XMATCH(Products[[#This Row],[L1N]],Products[Product],0),2),Products[ProdCode],0),2),Products[[#This Row],[L1N]])</f>
        <v>Oil products</v>
      </c>
      <c r="V74" s="72" t="str" cm="1">
        <f t="array" ref="V74">IFERROR(INDEX(Products[[ProdCode]:[Product]],_xlfn.XMATCH(INDEX(Products[[Product]:[Parent]],_xlfn.XMATCH(Products[[#This Row],[L2N]],Products[Product],0),2),Products[ProdCode],0),2),Products[[#This Row],[L2N]])</f>
        <v>Oil</v>
      </c>
      <c r="W74" s="72" t="str" cm="1">
        <f t="array" ref="W74">IFERROR(INDEX(Products[[ProdCode]:[Product]],_xlfn.XMATCH(INDEX(Products[[Product]:[Parent]],_xlfn.XMATCH(Products[[#This Row],[L3N]],Products[Product],0),2),Products[ProdCode],0),2),Products[[#This Row],[L3N]])</f>
        <v>Fossil fuels</v>
      </c>
      <c r="X74" s="72" t="str" cm="1">
        <f t="array" ref="X74">IFERROR(INDEX(Products[[ProdCode]:[Product]],_xlfn.XMATCH(INDEX(Products[[Product]:[Parent]],_xlfn.XMATCH(Products[[#This Row],[L4N]],Products[Product],0),2),Products[ProdCode],0),2),Products[[#This Row],[L4N]])</f>
        <v>Non-renewable energy</v>
      </c>
      <c r="Y74" s="72" t="str" cm="1">
        <f t="array" ref="Y74">IFERROR(INDEX(Products[[ProdCode]:[Product]],_xlfn.XMATCH(INDEX(Products[[Product]:[Parent]],_xlfn.XMATCH(Products[[#This Row],[L5N]],Products[Product],0),2),Products[ProdCode],0),2),Products[[#This Row],[L5N]])</f>
        <v>Energy</v>
      </c>
      <c r="Z74" s="72" t="str" cm="1">
        <f t="array" ref="Z74">IFERROR(INDEX(Products[[ProdCode]:[Product]],_xlfn.XMATCH(INDEX(Products[[Product]:[Parent]],_xlfn.XMATCH(Products[[#This Row],[L6N]],Products[Product],0),2),Products[ProdCode],0),2),Products[[#This Row],[L6N]])</f>
        <v>Energy</v>
      </c>
      <c r="AA74" s="72" t="str" cm="1">
        <f t="array" ref="AA74">IFERROR(INDEX(Products[[ProdCode]:[Product]],_xlfn.XMATCH(INDEX(Products[[Product]:[Parent]],_xlfn.XMATCH(Products[[#This Row],[L7N]],Products[Product],0),2),Products[ProdCode],0),2),Products[[#This Row],[L7N]])</f>
        <v>Energy</v>
      </c>
      <c r="AB7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oil products</v>
      </c>
      <c r="AI7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oil products</v>
      </c>
    </row>
    <row r="75" spans="2:35" x14ac:dyDescent="0.45">
      <c r="B75" s="102">
        <v>114591</v>
      </c>
      <c r="C75" s="90" t="s">
        <v>937</v>
      </c>
      <c r="D75" s="102">
        <v>114590</v>
      </c>
      <c r="E75" s="92" t="s">
        <v>1148</v>
      </c>
      <c r="F75" s="19" t="s">
        <v>1189</v>
      </c>
      <c r="G75" s="69" t="s">
        <v>1200</v>
      </c>
      <c r="H75" s="69" t="s">
        <v>83</v>
      </c>
      <c r="I75" s="69"/>
      <c r="J75" s="69" t="s">
        <v>107</v>
      </c>
      <c r="K75" s="69" t="s">
        <v>1756</v>
      </c>
      <c r="L75" s="69" t="s">
        <v>1927</v>
      </c>
      <c r="M75" s="69">
        <v>40.200000000000003</v>
      </c>
      <c r="N75" s="118"/>
      <c r="O75" s="118"/>
      <c r="P75" s="69"/>
      <c r="Q75" s="69" t="s">
        <v>145</v>
      </c>
      <c r="R75" s="69"/>
      <c r="S75" s="69"/>
      <c r="T75" s="72" t="str" cm="1">
        <f t="array" ref="T75">IFERROR(INDEX(Products[[ProdCode]:[Product]],_xlfn.XMATCH(Products[[#This Row],[Parent]],Products[Product],0),2),Products[[#This Row],[Product]])</f>
        <v>White spirit</v>
      </c>
      <c r="U75" s="72" t="str" cm="1">
        <f t="array" ref="U75">IFERROR(INDEX(Products[[ProdCode]:[Product]],_xlfn.XMATCH(INDEX(Products[[Product]:[Parent]],_xlfn.XMATCH(Products[[#This Row],[L1N]],Products[Product],0),2),Products[ProdCode],0),2),Products[[#This Row],[L1N]])</f>
        <v>Other oil products</v>
      </c>
      <c r="V75" s="72" t="str" cm="1">
        <f t="array" ref="V75">IFERROR(INDEX(Products[[ProdCode]:[Product]],_xlfn.XMATCH(INDEX(Products[[Product]:[Parent]],_xlfn.XMATCH(Products[[#This Row],[L2N]],Products[Product],0),2),Products[ProdCode],0),2),Products[[#This Row],[L2N]])</f>
        <v>Oil products</v>
      </c>
      <c r="W75" s="72" t="str" cm="1">
        <f t="array" ref="W75">IFERROR(INDEX(Products[[ProdCode]:[Product]],_xlfn.XMATCH(INDEX(Products[[Product]:[Parent]],_xlfn.XMATCH(Products[[#This Row],[L3N]],Products[Product],0),2),Products[ProdCode],0),2),Products[[#This Row],[L3N]])</f>
        <v>Oil</v>
      </c>
      <c r="X75" s="72" t="str" cm="1">
        <f t="array" ref="X75">IFERROR(INDEX(Products[[ProdCode]:[Product]],_xlfn.XMATCH(INDEX(Products[[Product]:[Parent]],_xlfn.XMATCH(Products[[#This Row],[L4N]],Products[Product],0),2),Products[ProdCode],0),2),Products[[#This Row],[L4N]])</f>
        <v>Fossil fuels</v>
      </c>
      <c r="Y75" s="72" t="str" cm="1">
        <f t="array" ref="Y75">IFERROR(INDEX(Products[[ProdCode]:[Product]],_xlfn.XMATCH(INDEX(Products[[Product]:[Parent]],_xlfn.XMATCH(Products[[#This Row],[L5N]],Products[Product],0),2),Products[ProdCode],0),2),Products[[#This Row],[L5N]])</f>
        <v>Non-renewable energy</v>
      </c>
      <c r="Z75" s="72" t="str" cm="1">
        <f t="array" ref="Z75">IFERROR(INDEX(Products[[ProdCode]:[Product]],_xlfn.XMATCH(INDEX(Products[[Product]:[Parent]],_xlfn.XMATCH(Products[[#This Row],[L6N]],Products[Product],0),2),Products[ProdCode],0),2),Products[[#This Row],[L6N]])</f>
        <v>Energy</v>
      </c>
      <c r="AA75" s="72" t="str" cm="1">
        <f t="array" ref="AA75">IFERROR(INDEX(Products[[ProdCode]:[Product]],_xlfn.XMATCH(INDEX(Products[[Product]:[Parent]],_xlfn.XMATCH(Products[[#This Row],[L7N]],Products[Product],0),2),Products[ProdCode],0),2),Products[[#This Row],[L7N]])</f>
        <v>Energy</v>
      </c>
      <c r="AB7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White spirit</v>
      </c>
      <c r="AI7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White spirit</v>
      </c>
    </row>
    <row r="76" spans="2:35" x14ac:dyDescent="0.45">
      <c r="B76" s="102">
        <v>114592</v>
      </c>
      <c r="C76" s="90" t="s">
        <v>538</v>
      </c>
      <c r="D76" s="102">
        <v>114590</v>
      </c>
      <c r="E76" s="92" t="s">
        <v>1148</v>
      </c>
      <c r="F76" s="19" t="s">
        <v>1189</v>
      </c>
      <c r="G76" s="69" t="s">
        <v>1200</v>
      </c>
      <c r="H76" s="69" t="s">
        <v>83</v>
      </c>
      <c r="I76" s="69"/>
      <c r="J76" s="69" t="s">
        <v>107</v>
      </c>
      <c r="K76" s="69" t="s">
        <v>1757</v>
      </c>
      <c r="L76" s="69" t="s">
        <v>1928</v>
      </c>
      <c r="M76" s="69">
        <v>40.200000000000003</v>
      </c>
      <c r="N76" s="118"/>
      <c r="O76" s="118"/>
      <c r="P76" s="69"/>
      <c r="Q76" s="69" t="s">
        <v>145</v>
      </c>
      <c r="R76" s="69"/>
      <c r="S76" s="69"/>
      <c r="T76" s="72" t="str" cm="1">
        <f t="array" ref="T76">IFERROR(INDEX(Products[[ProdCode]:[Product]],_xlfn.XMATCH(Products[[#This Row],[Parent]],Products[Product],0),2),Products[[#This Row],[Product]])</f>
        <v>Lubricants</v>
      </c>
      <c r="U76" s="72" t="str" cm="1">
        <f t="array" ref="U76">IFERROR(INDEX(Products[[ProdCode]:[Product]],_xlfn.XMATCH(INDEX(Products[[Product]:[Parent]],_xlfn.XMATCH(Products[[#This Row],[L1N]],Products[Product],0),2),Products[ProdCode],0),2),Products[[#This Row],[L1N]])</f>
        <v>Other oil products</v>
      </c>
      <c r="V76" s="72" t="str" cm="1">
        <f t="array" ref="V76">IFERROR(INDEX(Products[[ProdCode]:[Product]],_xlfn.XMATCH(INDEX(Products[[Product]:[Parent]],_xlfn.XMATCH(Products[[#This Row],[L2N]],Products[Product],0),2),Products[ProdCode],0),2),Products[[#This Row],[L2N]])</f>
        <v>Oil products</v>
      </c>
      <c r="W76" s="72" t="str" cm="1">
        <f t="array" ref="W76">IFERROR(INDEX(Products[[ProdCode]:[Product]],_xlfn.XMATCH(INDEX(Products[[Product]:[Parent]],_xlfn.XMATCH(Products[[#This Row],[L3N]],Products[Product],0),2),Products[ProdCode],0),2),Products[[#This Row],[L3N]])</f>
        <v>Oil</v>
      </c>
      <c r="X76" s="72" t="str" cm="1">
        <f t="array" ref="X76">IFERROR(INDEX(Products[[ProdCode]:[Product]],_xlfn.XMATCH(INDEX(Products[[Product]:[Parent]],_xlfn.XMATCH(Products[[#This Row],[L4N]],Products[Product],0),2),Products[ProdCode],0),2),Products[[#This Row],[L4N]])</f>
        <v>Fossil fuels</v>
      </c>
      <c r="Y76" s="72" t="str" cm="1">
        <f t="array" ref="Y76">IFERROR(INDEX(Products[[ProdCode]:[Product]],_xlfn.XMATCH(INDEX(Products[[Product]:[Parent]],_xlfn.XMATCH(Products[[#This Row],[L5N]],Products[Product],0),2),Products[ProdCode],0),2),Products[[#This Row],[L5N]])</f>
        <v>Non-renewable energy</v>
      </c>
      <c r="Z76" s="72" t="str" cm="1">
        <f t="array" ref="Z76">IFERROR(INDEX(Products[[ProdCode]:[Product]],_xlfn.XMATCH(INDEX(Products[[Product]:[Parent]],_xlfn.XMATCH(Products[[#This Row],[L6N]],Products[Product],0),2),Products[ProdCode],0),2),Products[[#This Row],[L6N]])</f>
        <v>Energy</v>
      </c>
      <c r="AA76" s="72" t="str" cm="1">
        <f t="array" ref="AA76">IFERROR(INDEX(Products[[ProdCode]:[Product]],_xlfn.XMATCH(INDEX(Products[[Product]:[Parent]],_xlfn.XMATCH(Products[[#This Row],[L7N]],Products[Product],0),2),Products[ProdCode],0),2),Products[[#This Row],[L7N]])</f>
        <v>Energy</v>
      </c>
      <c r="AB7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Lubricants</v>
      </c>
      <c r="AI7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Lubricants</v>
      </c>
    </row>
    <row r="77" spans="2:35" x14ac:dyDescent="0.45">
      <c r="B77" s="102">
        <v>114593</v>
      </c>
      <c r="C77" s="90" t="s">
        <v>546</v>
      </c>
      <c r="D77" s="102">
        <v>114590</v>
      </c>
      <c r="E77" s="92" t="s">
        <v>1148</v>
      </c>
      <c r="F77" s="19" t="s">
        <v>1189</v>
      </c>
      <c r="G77" s="69" t="s">
        <v>1200</v>
      </c>
      <c r="H77" s="69" t="s">
        <v>83</v>
      </c>
      <c r="I77" s="69"/>
      <c r="J77" s="69" t="s">
        <v>107</v>
      </c>
      <c r="K77" s="69" t="s">
        <v>1758</v>
      </c>
      <c r="L77" s="69" t="s">
        <v>1929</v>
      </c>
      <c r="M77" s="69">
        <v>40.200000000000003</v>
      </c>
      <c r="N77" s="118"/>
      <c r="O77" s="118"/>
      <c r="P77" s="69"/>
      <c r="Q77" s="69" t="s">
        <v>145</v>
      </c>
      <c r="R77" s="69"/>
      <c r="S77" s="69"/>
      <c r="T77" s="72" t="str" cm="1">
        <f t="array" ref="T77">IFERROR(INDEX(Products[[ProdCode]:[Product]],_xlfn.XMATCH(Products[[#This Row],[Parent]],Products[Product],0),2),Products[[#This Row],[Product]])</f>
        <v>Paraffin waxes</v>
      </c>
      <c r="U77" s="72" t="str" cm="1">
        <f t="array" ref="U77">IFERROR(INDEX(Products[[ProdCode]:[Product]],_xlfn.XMATCH(INDEX(Products[[Product]:[Parent]],_xlfn.XMATCH(Products[[#This Row],[L1N]],Products[Product],0),2),Products[ProdCode],0),2),Products[[#This Row],[L1N]])</f>
        <v>Other oil products</v>
      </c>
      <c r="V77" s="72" t="str" cm="1">
        <f t="array" ref="V77">IFERROR(INDEX(Products[[ProdCode]:[Product]],_xlfn.XMATCH(INDEX(Products[[Product]:[Parent]],_xlfn.XMATCH(Products[[#This Row],[L2N]],Products[Product],0),2),Products[ProdCode],0),2),Products[[#This Row],[L2N]])</f>
        <v>Oil products</v>
      </c>
      <c r="W77" s="72" t="str" cm="1">
        <f t="array" ref="W77">IFERROR(INDEX(Products[[ProdCode]:[Product]],_xlfn.XMATCH(INDEX(Products[[Product]:[Parent]],_xlfn.XMATCH(Products[[#This Row],[L3N]],Products[Product],0),2),Products[ProdCode],0),2),Products[[#This Row],[L3N]])</f>
        <v>Oil</v>
      </c>
      <c r="X77" s="72" t="str" cm="1">
        <f t="array" ref="X77">IFERROR(INDEX(Products[[ProdCode]:[Product]],_xlfn.XMATCH(INDEX(Products[[Product]:[Parent]],_xlfn.XMATCH(Products[[#This Row],[L4N]],Products[Product],0),2),Products[ProdCode],0),2),Products[[#This Row],[L4N]])</f>
        <v>Fossil fuels</v>
      </c>
      <c r="Y77" s="72" t="str" cm="1">
        <f t="array" ref="Y77">IFERROR(INDEX(Products[[ProdCode]:[Product]],_xlfn.XMATCH(INDEX(Products[[Product]:[Parent]],_xlfn.XMATCH(Products[[#This Row],[L5N]],Products[Product],0),2),Products[ProdCode],0),2),Products[[#This Row],[L5N]])</f>
        <v>Non-renewable energy</v>
      </c>
      <c r="Z77" s="72" t="str" cm="1">
        <f t="array" ref="Z77">IFERROR(INDEX(Products[[ProdCode]:[Product]],_xlfn.XMATCH(INDEX(Products[[Product]:[Parent]],_xlfn.XMATCH(Products[[#This Row],[L6N]],Products[Product],0),2),Products[ProdCode],0),2),Products[[#This Row],[L6N]])</f>
        <v>Energy</v>
      </c>
      <c r="AA77" s="72" t="str" cm="1">
        <f t="array" ref="AA77">IFERROR(INDEX(Products[[ProdCode]:[Product]],_xlfn.XMATCH(INDEX(Products[[Product]:[Parent]],_xlfn.XMATCH(Products[[#This Row],[L7N]],Products[Product],0),2),Products[ProdCode],0),2),Products[[#This Row],[L7N]])</f>
        <v>Energy</v>
      </c>
      <c r="AB7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Paraffin waxes</v>
      </c>
      <c r="AI7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Paraffin waxes</v>
      </c>
    </row>
    <row r="78" spans="2:35" x14ac:dyDescent="0.45">
      <c r="B78" s="102">
        <v>114594</v>
      </c>
      <c r="C78" s="90" t="s">
        <v>554</v>
      </c>
      <c r="D78" s="102">
        <v>114590</v>
      </c>
      <c r="E78" s="92" t="s">
        <v>1148</v>
      </c>
      <c r="F78" s="19" t="s">
        <v>1189</v>
      </c>
      <c r="G78" s="69" t="s">
        <v>1200</v>
      </c>
      <c r="H78" s="69" t="s">
        <v>83</v>
      </c>
      <c r="I78" s="69"/>
      <c r="J78" s="69" t="s">
        <v>107</v>
      </c>
      <c r="K78" s="69" t="s">
        <v>1069</v>
      </c>
      <c r="L78" s="69" t="s">
        <v>1930</v>
      </c>
      <c r="M78" s="69">
        <v>32.5</v>
      </c>
      <c r="N78" s="118"/>
      <c r="O78" s="118"/>
      <c r="P78" s="69"/>
      <c r="Q78" s="69" t="s">
        <v>145</v>
      </c>
      <c r="R78" s="69"/>
      <c r="S78" s="69"/>
      <c r="T78" s="72" t="str" cm="1">
        <f t="array" ref="T78">IFERROR(INDEX(Products[[ProdCode]:[Product]],_xlfn.XMATCH(Products[[#This Row],[Parent]],Products[Product],0),2),Products[[#This Row],[Product]])</f>
        <v>Petroleum coke</v>
      </c>
      <c r="U78" s="72" t="str" cm="1">
        <f t="array" ref="U78">IFERROR(INDEX(Products[[ProdCode]:[Product]],_xlfn.XMATCH(INDEX(Products[[Product]:[Parent]],_xlfn.XMATCH(Products[[#This Row],[L1N]],Products[Product],0),2),Products[ProdCode],0),2),Products[[#This Row],[L1N]])</f>
        <v>Other oil products</v>
      </c>
      <c r="V78" s="72" t="str" cm="1">
        <f t="array" ref="V78">IFERROR(INDEX(Products[[ProdCode]:[Product]],_xlfn.XMATCH(INDEX(Products[[Product]:[Parent]],_xlfn.XMATCH(Products[[#This Row],[L2N]],Products[Product],0),2),Products[ProdCode],0),2),Products[[#This Row],[L2N]])</f>
        <v>Oil products</v>
      </c>
      <c r="W78" s="72" t="str" cm="1">
        <f t="array" ref="W78">IFERROR(INDEX(Products[[ProdCode]:[Product]],_xlfn.XMATCH(INDEX(Products[[Product]:[Parent]],_xlfn.XMATCH(Products[[#This Row],[L3N]],Products[Product],0),2),Products[ProdCode],0),2),Products[[#This Row],[L3N]])</f>
        <v>Oil</v>
      </c>
      <c r="X78" s="72" t="str" cm="1">
        <f t="array" ref="X78">IFERROR(INDEX(Products[[ProdCode]:[Product]],_xlfn.XMATCH(INDEX(Products[[Product]:[Parent]],_xlfn.XMATCH(Products[[#This Row],[L4N]],Products[Product],0),2),Products[ProdCode],0),2),Products[[#This Row],[L4N]])</f>
        <v>Fossil fuels</v>
      </c>
      <c r="Y78" s="72" t="str" cm="1">
        <f t="array" ref="Y78">IFERROR(INDEX(Products[[ProdCode]:[Product]],_xlfn.XMATCH(INDEX(Products[[Product]:[Parent]],_xlfn.XMATCH(Products[[#This Row],[L5N]],Products[Product],0),2),Products[ProdCode],0),2),Products[[#This Row],[L5N]])</f>
        <v>Non-renewable energy</v>
      </c>
      <c r="Z78" s="72" t="str" cm="1">
        <f t="array" ref="Z78">IFERROR(INDEX(Products[[ProdCode]:[Product]],_xlfn.XMATCH(INDEX(Products[[Product]:[Parent]],_xlfn.XMATCH(Products[[#This Row],[L6N]],Products[Product],0),2),Products[ProdCode],0),2),Products[[#This Row],[L6N]])</f>
        <v>Energy</v>
      </c>
      <c r="AA78" s="72" t="str" cm="1">
        <f t="array" ref="AA78">IFERROR(INDEX(Products[[ProdCode]:[Product]],_xlfn.XMATCH(INDEX(Products[[Product]:[Parent]],_xlfn.XMATCH(Products[[#This Row],[L7N]],Products[Product],0),2),Products[ProdCode],0),2),Products[[#This Row],[L7N]])</f>
        <v>Energy</v>
      </c>
      <c r="AB7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Petroleum coke</v>
      </c>
      <c r="AI7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Petroleum coke</v>
      </c>
    </row>
    <row r="79" spans="2:35" x14ac:dyDescent="0.45">
      <c r="B79" s="102">
        <v>114595</v>
      </c>
      <c r="C79" s="90" t="s">
        <v>562</v>
      </c>
      <c r="D79" s="102">
        <v>114590</v>
      </c>
      <c r="E79" s="92" t="s">
        <v>1148</v>
      </c>
      <c r="F79" s="19" t="s">
        <v>1189</v>
      </c>
      <c r="G79" s="69" t="s">
        <v>1200</v>
      </c>
      <c r="H79" s="69" t="s">
        <v>83</v>
      </c>
      <c r="I79" s="69"/>
      <c r="J79" s="69" t="s">
        <v>107</v>
      </c>
      <c r="K79" s="69" t="s">
        <v>1037</v>
      </c>
      <c r="L79" s="69" t="s">
        <v>1931</v>
      </c>
      <c r="M79" s="69">
        <v>40.200000000000003</v>
      </c>
      <c r="N79" s="118"/>
      <c r="O79" s="118"/>
      <c r="P79" s="69"/>
      <c r="Q79" s="69" t="s">
        <v>145</v>
      </c>
      <c r="R79" s="69"/>
      <c r="S79" s="69"/>
      <c r="T79" s="72" t="str" cm="1">
        <f t="array" ref="T79">IFERROR(INDEX(Products[[ProdCode]:[Product]],_xlfn.XMATCH(Products[[#This Row],[Parent]],Products[Product],0),2),Products[[#This Row],[Product]])</f>
        <v>Bitumen</v>
      </c>
      <c r="U79" s="72" t="str" cm="1">
        <f t="array" ref="U79">IFERROR(INDEX(Products[[ProdCode]:[Product]],_xlfn.XMATCH(INDEX(Products[[Product]:[Parent]],_xlfn.XMATCH(Products[[#This Row],[L1N]],Products[Product],0),2),Products[ProdCode],0),2),Products[[#This Row],[L1N]])</f>
        <v>Other oil products</v>
      </c>
      <c r="V79" s="72" t="str" cm="1">
        <f t="array" ref="V79">IFERROR(INDEX(Products[[ProdCode]:[Product]],_xlfn.XMATCH(INDEX(Products[[Product]:[Parent]],_xlfn.XMATCH(Products[[#This Row],[L2N]],Products[Product],0),2),Products[ProdCode],0),2),Products[[#This Row],[L2N]])</f>
        <v>Oil products</v>
      </c>
      <c r="W79" s="72" t="str" cm="1">
        <f t="array" ref="W79">IFERROR(INDEX(Products[[ProdCode]:[Product]],_xlfn.XMATCH(INDEX(Products[[Product]:[Parent]],_xlfn.XMATCH(Products[[#This Row],[L3N]],Products[Product],0),2),Products[ProdCode],0),2),Products[[#This Row],[L3N]])</f>
        <v>Oil</v>
      </c>
      <c r="X79" s="72" t="str" cm="1">
        <f t="array" ref="X79">IFERROR(INDEX(Products[[ProdCode]:[Product]],_xlfn.XMATCH(INDEX(Products[[Product]:[Parent]],_xlfn.XMATCH(Products[[#This Row],[L4N]],Products[Product],0),2),Products[ProdCode],0),2),Products[[#This Row],[L4N]])</f>
        <v>Fossil fuels</v>
      </c>
      <c r="Y79" s="72" t="str" cm="1">
        <f t="array" ref="Y79">IFERROR(INDEX(Products[[ProdCode]:[Product]],_xlfn.XMATCH(INDEX(Products[[Product]:[Parent]],_xlfn.XMATCH(Products[[#This Row],[L5N]],Products[Product],0),2),Products[ProdCode],0),2),Products[[#This Row],[L5N]])</f>
        <v>Non-renewable energy</v>
      </c>
      <c r="Z79" s="72" t="str" cm="1">
        <f t="array" ref="Z79">IFERROR(INDEX(Products[[ProdCode]:[Product]],_xlfn.XMATCH(INDEX(Products[[Product]:[Parent]],_xlfn.XMATCH(Products[[#This Row],[L6N]],Products[Product],0),2),Products[ProdCode],0),2),Products[[#This Row],[L6N]])</f>
        <v>Energy</v>
      </c>
      <c r="AA79" s="72" t="str" cm="1">
        <f t="array" ref="AA79">IFERROR(INDEX(Products[[ProdCode]:[Product]],_xlfn.XMATCH(INDEX(Products[[Product]:[Parent]],_xlfn.XMATCH(Products[[#This Row],[L7N]],Products[Product],0),2),Products[ProdCode],0),2),Products[[#This Row],[L7N]])</f>
        <v>Energy</v>
      </c>
      <c r="AB7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7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7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7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7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7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7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Bitumen</v>
      </c>
      <c r="AI7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Bitumen</v>
      </c>
    </row>
    <row r="80" spans="2:35" x14ac:dyDescent="0.45">
      <c r="B80" s="102">
        <v>114596</v>
      </c>
      <c r="C80" s="90" t="s">
        <v>939</v>
      </c>
      <c r="D80" s="102">
        <v>114590</v>
      </c>
      <c r="E80" s="92" t="s">
        <v>1148</v>
      </c>
      <c r="F80" s="19" t="s">
        <v>1189</v>
      </c>
      <c r="G80" s="69" t="s">
        <v>1200</v>
      </c>
      <c r="H80" s="69" t="s">
        <v>83</v>
      </c>
      <c r="I80" s="69"/>
      <c r="J80" s="69"/>
      <c r="K80" s="69" t="s">
        <v>1398</v>
      </c>
      <c r="L80" s="69"/>
      <c r="M80" s="69"/>
      <c r="N80" s="118"/>
      <c r="O80" s="118"/>
      <c r="P80" s="69" t="s">
        <v>1310</v>
      </c>
      <c r="Q80" s="69" t="s">
        <v>145</v>
      </c>
      <c r="R80" s="69"/>
      <c r="S80" s="69"/>
      <c r="T80" s="72" t="str" cm="1">
        <f t="array" ref="T80">IFERROR(INDEX(Products[[ProdCode]:[Product]],_xlfn.XMATCH(Products[[#This Row],[Parent]],Products[Product],0),2),Products[[#This Row],[Product]])</f>
        <v>Oil-based hydrogen</v>
      </c>
      <c r="U80" s="72" t="str" cm="1">
        <f t="array" ref="U80">IFERROR(INDEX(Products[[ProdCode]:[Product]],_xlfn.XMATCH(INDEX(Products[[Product]:[Parent]],_xlfn.XMATCH(Products[[#This Row],[L1N]],Products[Product],0),2),Products[ProdCode],0),2),Products[[#This Row],[L1N]])</f>
        <v>Other oil products</v>
      </c>
      <c r="V80" s="72" t="str" cm="1">
        <f t="array" ref="V80">IFERROR(INDEX(Products[[ProdCode]:[Product]],_xlfn.XMATCH(INDEX(Products[[Product]:[Parent]],_xlfn.XMATCH(Products[[#This Row],[L2N]],Products[Product],0),2),Products[ProdCode],0),2),Products[[#This Row],[L2N]])</f>
        <v>Oil products</v>
      </c>
      <c r="W80" s="72" t="str" cm="1">
        <f t="array" ref="W80">IFERROR(INDEX(Products[[ProdCode]:[Product]],_xlfn.XMATCH(INDEX(Products[[Product]:[Parent]],_xlfn.XMATCH(Products[[#This Row],[L3N]],Products[Product],0),2),Products[ProdCode],0),2),Products[[#This Row],[L3N]])</f>
        <v>Oil</v>
      </c>
      <c r="X80" s="72" t="str" cm="1">
        <f t="array" ref="X80">IFERROR(INDEX(Products[[ProdCode]:[Product]],_xlfn.XMATCH(INDEX(Products[[Product]:[Parent]],_xlfn.XMATCH(Products[[#This Row],[L4N]],Products[Product],0),2),Products[ProdCode],0),2),Products[[#This Row],[L4N]])</f>
        <v>Fossil fuels</v>
      </c>
      <c r="Y80" s="72" t="str" cm="1">
        <f t="array" ref="Y80">IFERROR(INDEX(Products[[ProdCode]:[Product]],_xlfn.XMATCH(INDEX(Products[[Product]:[Parent]],_xlfn.XMATCH(Products[[#This Row],[L5N]],Products[Product],0),2),Products[ProdCode],0),2),Products[[#This Row],[L5N]])</f>
        <v>Non-renewable energy</v>
      </c>
      <c r="Z80" s="72" t="str" cm="1">
        <f t="array" ref="Z80">IFERROR(INDEX(Products[[ProdCode]:[Product]],_xlfn.XMATCH(INDEX(Products[[Product]:[Parent]],_xlfn.XMATCH(Products[[#This Row],[L6N]],Products[Product],0),2),Products[ProdCode],0),2),Products[[#This Row],[L6N]])</f>
        <v>Energy</v>
      </c>
      <c r="AA80" s="72" t="str" cm="1">
        <f t="array" ref="AA80">IFERROR(INDEX(Products[[ProdCode]:[Product]],_xlfn.XMATCH(INDEX(Products[[Product]:[Parent]],_xlfn.XMATCH(Products[[#This Row],[L7N]],Products[Product],0),2),Products[ProdCode],0),2),Products[[#This Row],[L7N]])</f>
        <v>Energy</v>
      </c>
      <c r="AB8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8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8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8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Oil-based hydrogen</v>
      </c>
      <c r="AI8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Oil-based hydrogen</v>
      </c>
    </row>
    <row r="81" spans="2:35" x14ac:dyDescent="0.45">
      <c r="B81" s="102">
        <v>114597</v>
      </c>
      <c r="C81" s="90" t="s">
        <v>940</v>
      </c>
      <c r="D81" s="102">
        <v>114590</v>
      </c>
      <c r="E81" s="92" t="s">
        <v>1148</v>
      </c>
      <c r="F81" s="19" t="s">
        <v>1189</v>
      </c>
      <c r="G81" s="69" t="s">
        <v>1200</v>
      </c>
      <c r="H81" s="69" t="s">
        <v>83</v>
      </c>
      <c r="I81" s="69"/>
      <c r="J81" s="69"/>
      <c r="K81" s="69" t="s">
        <v>1759</v>
      </c>
      <c r="L81" s="69"/>
      <c r="M81" s="69"/>
      <c r="N81" s="118"/>
      <c r="O81" s="118"/>
      <c r="P81" s="69" t="s">
        <v>1229</v>
      </c>
      <c r="Q81" s="69" t="s">
        <v>145</v>
      </c>
      <c r="R81" s="69"/>
      <c r="S81" s="69"/>
      <c r="T81" s="72" t="str" cm="1">
        <f t="array" ref="T81">IFERROR(INDEX(Products[[ProdCode]:[Product]],_xlfn.XMATCH(Products[[#This Row],[Parent]],Products[Product],0),2),Products[[#This Row],[Product]])</f>
        <v>Oil-based ammonia</v>
      </c>
      <c r="U81" s="72" t="str" cm="1">
        <f t="array" ref="U81">IFERROR(INDEX(Products[[ProdCode]:[Product]],_xlfn.XMATCH(INDEX(Products[[Product]:[Parent]],_xlfn.XMATCH(Products[[#This Row],[L1N]],Products[Product],0),2),Products[ProdCode],0),2),Products[[#This Row],[L1N]])</f>
        <v>Other oil products</v>
      </c>
      <c r="V81" s="72" t="str" cm="1">
        <f t="array" ref="V81">IFERROR(INDEX(Products[[ProdCode]:[Product]],_xlfn.XMATCH(INDEX(Products[[Product]:[Parent]],_xlfn.XMATCH(Products[[#This Row],[L2N]],Products[Product],0),2),Products[ProdCode],0),2),Products[[#This Row],[L2N]])</f>
        <v>Oil products</v>
      </c>
      <c r="W81" s="72" t="str" cm="1">
        <f t="array" ref="W81">IFERROR(INDEX(Products[[ProdCode]:[Product]],_xlfn.XMATCH(INDEX(Products[[Product]:[Parent]],_xlfn.XMATCH(Products[[#This Row],[L3N]],Products[Product],0),2),Products[ProdCode],0),2),Products[[#This Row],[L3N]])</f>
        <v>Oil</v>
      </c>
      <c r="X81" s="72" t="str" cm="1">
        <f t="array" ref="X81">IFERROR(INDEX(Products[[ProdCode]:[Product]],_xlfn.XMATCH(INDEX(Products[[Product]:[Parent]],_xlfn.XMATCH(Products[[#This Row],[L4N]],Products[Product],0),2),Products[ProdCode],0),2),Products[[#This Row],[L4N]])</f>
        <v>Fossil fuels</v>
      </c>
      <c r="Y81" s="72" t="str" cm="1">
        <f t="array" ref="Y81">IFERROR(INDEX(Products[[ProdCode]:[Product]],_xlfn.XMATCH(INDEX(Products[[Product]:[Parent]],_xlfn.XMATCH(Products[[#This Row],[L5N]],Products[Product],0),2),Products[ProdCode],0),2),Products[[#This Row],[L5N]])</f>
        <v>Non-renewable energy</v>
      </c>
      <c r="Z81" s="72" t="str" cm="1">
        <f t="array" ref="Z81">IFERROR(INDEX(Products[[ProdCode]:[Product]],_xlfn.XMATCH(INDEX(Products[[Product]:[Parent]],_xlfn.XMATCH(Products[[#This Row],[L6N]],Products[Product],0),2),Products[ProdCode],0),2),Products[[#This Row],[L6N]])</f>
        <v>Energy</v>
      </c>
      <c r="AA81" s="72" t="str" cm="1">
        <f t="array" ref="AA81">IFERROR(INDEX(Products[[ProdCode]:[Product]],_xlfn.XMATCH(INDEX(Products[[Product]:[Parent]],_xlfn.XMATCH(Products[[#This Row],[L7N]],Products[Product],0),2),Products[ProdCode],0),2),Products[[#This Row],[L7N]])</f>
        <v>Energy</v>
      </c>
      <c r="AB8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8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8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8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Oil-based ammonia</v>
      </c>
      <c r="AI8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Oil-based ammonia</v>
      </c>
    </row>
    <row r="82" spans="2:35" x14ac:dyDescent="0.45">
      <c r="B82" s="102">
        <v>114598</v>
      </c>
      <c r="C82" s="90" t="s">
        <v>392</v>
      </c>
      <c r="D82" s="102">
        <v>114590</v>
      </c>
      <c r="E82" s="92" t="s">
        <v>1148</v>
      </c>
      <c r="F82" s="19" t="s">
        <v>1189</v>
      </c>
      <c r="G82" s="69" t="s">
        <v>1200</v>
      </c>
      <c r="H82" s="69" t="s">
        <v>83</v>
      </c>
      <c r="I82" s="69"/>
      <c r="J82" s="69"/>
      <c r="K82" s="69" t="s">
        <v>1963</v>
      </c>
      <c r="L82" s="69"/>
      <c r="M82" s="69">
        <v>36</v>
      </c>
      <c r="N82" s="118"/>
      <c r="O82" s="118"/>
      <c r="P82" s="69"/>
      <c r="Q82" s="69" t="s">
        <v>145</v>
      </c>
      <c r="R82" s="69"/>
      <c r="S82" s="69"/>
      <c r="T82" s="72" t="str" cm="1">
        <f t="array" ref="T82">IFERROR(INDEX(Products[[ProdCode]:[Product]],_xlfn.XMATCH(Products[[#This Row],[Parent]],Products[Product],0),2),Products[[#This Row],[Product]])</f>
        <v>Other hydrocarbons</v>
      </c>
      <c r="U82" s="72" t="str" cm="1">
        <f t="array" ref="U82">IFERROR(INDEX(Products[[ProdCode]:[Product]],_xlfn.XMATCH(INDEX(Products[[Product]:[Parent]],_xlfn.XMATCH(Products[[#This Row],[L1N]],Products[Product],0),2),Products[ProdCode],0),2),Products[[#This Row],[L1N]])</f>
        <v>Oil</v>
      </c>
      <c r="V82" s="72" t="str" cm="1">
        <f t="array" ref="V82">IFERROR(INDEX(Products[[ProdCode]:[Product]],_xlfn.XMATCH(INDEX(Products[[Product]:[Parent]],_xlfn.XMATCH(Products[[#This Row],[L2N]],Products[Product],0),2),Products[ProdCode],0),2),Products[[#This Row],[L2N]])</f>
        <v>Fossil fuels</v>
      </c>
      <c r="W82" s="72" t="str" cm="1">
        <f t="array" ref="W82">IFERROR(INDEX(Products[[ProdCode]:[Product]],_xlfn.XMATCH(INDEX(Products[[Product]:[Parent]],_xlfn.XMATCH(Products[[#This Row],[L3N]],Products[Product],0),2),Products[ProdCode],0),2),Products[[#This Row],[L3N]])</f>
        <v>Non-renewable energy</v>
      </c>
      <c r="X82" s="72" t="str" cm="1">
        <f t="array" ref="X82">IFERROR(INDEX(Products[[ProdCode]:[Product]],_xlfn.XMATCH(INDEX(Products[[Product]:[Parent]],_xlfn.XMATCH(Products[[#This Row],[L4N]],Products[Product],0),2),Products[ProdCode],0),2),Products[[#This Row],[L4N]])</f>
        <v>Energy</v>
      </c>
      <c r="Y82" s="72" t="str" cm="1">
        <f t="array" ref="Y82">IFERROR(INDEX(Products[[ProdCode]:[Product]],_xlfn.XMATCH(INDEX(Products[[Product]:[Parent]],_xlfn.XMATCH(Products[[#This Row],[L5N]],Products[Product],0),2),Products[ProdCode],0),2),Products[[#This Row],[L5N]])</f>
        <v>Energy</v>
      </c>
      <c r="Z82" s="71" t="str" cm="1">
        <f t="array" ref="Z82">IFERROR(INDEX(Products[[ProdCode]:[Product]],_xlfn.XMATCH(INDEX(Products[[Product]:[Parent]],_xlfn.XMATCH(Products[[#This Row],[L6N]],Products[Product],0),2),Products[ProdCode],0),2),Products[[#This Row],[L6N]])</f>
        <v>Energy</v>
      </c>
      <c r="AA82" s="71" t="str" cm="1">
        <f t="array" ref="AA82">IFERROR(INDEX(Products[[ProdCode]:[Product]],_xlfn.XMATCH(INDEX(Products[[Product]:[Parent]],_xlfn.XMATCH(Products[[#This Row],[L7N]],Products[Product],0),2),Products[ProdCode],0),2),Products[[#This Row],[L7N]])</f>
        <v>Energy</v>
      </c>
      <c r="AB8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8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hydrocarbons</v>
      </c>
      <c r="AG8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hydrocarbons</v>
      </c>
      <c r="AH8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hydrocarbons</v>
      </c>
      <c r="AI8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hydrocarbons</v>
      </c>
    </row>
    <row r="83" spans="2:35" x14ac:dyDescent="0.45">
      <c r="B83" s="102">
        <v>114599</v>
      </c>
      <c r="C83" s="90" t="s">
        <v>941</v>
      </c>
      <c r="D83" s="102">
        <v>114590</v>
      </c>
      <c r="E83" s="92" t="s">
        <v>1148</v>
      </c>
      <c r="F83" s="19" t="s">
        <v>1189</v>
      </c>
      <c r="G83" s="69" t="s">
        <v>1200</v>
      </c>
      <c r="H83" s="69" t="s">
        <v>83</v>
      </c>
      <c r="I83" s="69"/>
      <c r="J83" s="69" t="s">
        <v>107</v>
      </c>
      <c r="K83" s="69" t="s">
        <v>1835</v>
      </c>
      <c r="L83" s="69" t="s">
        <v>1933</v>
      </c>
      <c r="M83" s="69">
        <v>40.200000000000003</v>
      </c>
      <c r="N83" s="118"/>
      <c r="O83" s="118"/>
      <c r="P83" s="69"/>
      <c r="Q83" s="69" t="s">
        <v>145</v>
      </c>
      <c r="R83" s="69"/>
      <c r="S83" s="69"/>
      <c r="T83" s="72" t="str" cm="1">
        <f t="array" ref="T83">IFERROR(INDEX(Products[[ProdCode]:[Product]],_xlfn.XMATCH(Products[[#This Row],[Parent]],Products[Product],0),2),Products[[#This Row],[Product]])</f>
        <v>Other oil products n.e.s.</v>
      </c>
      <c r="U83" s="72" t="str" cm="1">
        <f t="array" ref="U83">IFERROR(INDEX(Products[[ProdCode]:[Product]],_xlfn.XMATCH(INDEX(Products[[Product]:[Parent]],_xlfn.XMATCH(Products[[#This Row],[L1N]],Products[Product],0),2),Products[ProdCode],0),2),Products[[#This Row],[L1N]])</f>
        <v>Other oil products</v>
      </c>
      <c r="V83" s="72" t="str" cm="1">
        <f t="array" ref="V83">IFERROR(INDEX(Products[[ProdCode]:[Product]],_xlfn.XMATCH(INDEX(Products[[Product]:[Parent]],_xlfn.XMATCH(Products[[#This Row],[L2N]],Products[Product],0),2),Products[ProdCode],0),2),Products[[#This Row],[L2N]])</f>
        <v>Oil products</v>
      </c>
      <c r="W83" s="72" t="str" cm="1">
        <f t="array" ref="W83">IFERROR(INDEX(Products[[ProdCode]:[Product]],_xlfn.XMATCH(INDEX(Products[[Product]:[Parent]],_xlfn.XMATCH(Products[[#This Row],[L3N]],Products[Product],0),2),Products[ProdCode],0),2),Products[[#This Row],[L3N]])</f>
        <v>Oil</v>
      </c>
      <c r="X83" s="72" t="str" cm="1">
        <f t="array" ref="X83">IFERROR(INDEX(Products[[ProdCode]:[Product]],_xlfn.XMATCH(INDEX(Products[[Product]:[Parent]],_xlfn.XMATCH(Products[[#This Row],[L4N]],Products[Product],0),2),Products[ProdCode],0),2),Products[[#This Row],[L4N]])</f>
        <v>Fossil fuels</v>
      </c>
      <c r="Y83" s="72" t="str" cm="1">
        <f t="array" ref="Y83">IFERROR(INDEX(Products[[ProdCode]:[Product]],_xlfn.XMATCH(INDEX(Products[[Product]:[Parent]],_xlfn.XMATCH(Products[[#This Row],[L5N]],Products[Product],0),2),Products[ProdCode],0),2),Products[[#This Row],[L5N]])</f>
        <v>Non-renewable energy</v>
      </c>
      <c r="Z83" s="72" t="str" cm="1">
        <f t="array" ref="Z83">IFERROR(INDEX(Products[[ProdCode]:[Product]],_xlfn.XMATCH(INDEX(Products[[Product]:[Parent]],_xlfn.XMATCH(Products[[#This Row],[L6N]],Products[Product],0),2),Products[ProdCode],0),2),Products[[#This Row],[L6N]])</f>
        <v>Energy</v>
      </c>
      <c r="AA83" s="72" t="str" cm="1">
        <f t="array" ref="AA83">IFERROR(INDEX(Products[[ProdCode]:[Product]],_xlfn.XMATCH(INDEX(Products[[Product]:[Parent]],_xlfn.XMATCH(Products[[#This Row],[L7N]],Products[Product],0),2),Products[ProdCode],0),2),Products[[#This Row],[L7N]])</f>
        <v>Energy</v>
      </c>
      <c r="AB8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8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products</v>
      </c>
      <c r="AG8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oil products</v>
      </c>
      <c r="AH8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oil products n.e.s.</v>
      </c>
      <c r="AI8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oil products n.e.s.</v>
      </c>
    </row>
    <row r="84" spans="2:35" x14ac:dyDescent="0.45">
      <c r="B84" s="100">
        <v>114900</v>
      </c>
      <c r="C84" s="84" t="s">
        <v>1958</v>
      </c>
      <c r="D84" s="100">
        <v>114000</v>
      </c>
      <c r="E84" s="92" t="s">
        <v>1148</v>
      </c>
      <c r="F84" s="19" t="s">
        <v>1188</v>
      </c>
      <c r="G84" s="69" t="s">
        <v>53</v>
      </c>
      <c r="H84" s="69" t="s">
        <v>83</v>
      </c>
      <c r="I84" s="69"/>
      <c r="J84" s="69"/>
      <c r="K84" s="69" t="s">
        <v>1959</v>
      </c>
      <c r="L84" s="69"/>
      <c r="M84" s="69">
        <v>36</v>
      </c>
      <c r="N84" s="118"/>
      <c r="O84" s="118"/>
      <c r="P84" s="69"/>
      <c r="Q84" s="69" t="s">
        <v>1859</v>
      </c>
      <c r="R84" s="69"/>
      <c r="S84" s="69"/>
      <c r="T84" s="71" t="str" cm="1">
        <f t="array" ref="T84">IFERROR(INDEX(Products[[ProdCode]:[Product]],_xlfn.XMATCH(Products[[#This Row],[Parent]],Products[Product],0),2),Products[[#This Row],[Product]])</f>
        <v>Other primary oil n.e.s.</v>
      </c>
      <c r="U84" s="71" t="str" cm="1">
        <f t="array" ref="U84">IFERROR(INDEX(Products[[ProdCode]:[Product]],_xlfn.XMATCH(INDEX(Products[[Product]:[Parent]],_xlfn.XMATCH(Products[[#This Row],[L1N]],Products[Product],0),2),Products[ProdCode],0),2),Products[[#This Row],[L1N]])</f>
        <v>Oil</v>
      </c>
      <c r="V84" s="71" t="str" cm="1">
        <f t="array" ref="V84">IFERROR(INDEX(Products[[ProdCode]:[Product]],_xlfn.XMATCH(INDEX(Products[[Product]:[Parent]],_xlfn.XMATCH(Products[[#This Row],[L2N]],Products[Product],0),2),Products[ProdCode],0),2),Products[[#This Row],[L2N]])</f>
        <v>Fossil fuels</v>
      </c>
      <c r="W84" s="71" t="str" cm="1">
        <f t="array" ref="W84">IFERROR(INDEX(Products[[ProdCode]:[Product]],_xlfn.XMATCH(INDEX(Products[[Product]:[Parent]],_xlfn.XMATCH(Products[[#This Row],[L3N]],Products[Product],0),2),Products[ProdCode],0),2),Products[[#This Row],[L3N]])</f>
        <v>Non-renewable energy</v>
      </c>
      <c r="X84" s="71" t="str" cm="1">
        <f t="array" ref="X84">IFERROR(INDEX(Products[[ProdCode]:[Product]],_xlfn.XMATCH(INDEX(Products[[Product]:[Parent]],_xlfn.XMATCH(Products[[#This Row],[L4N]],Products[Product],0),2),Products[ProdCode],0),2),Products[[#This Row],[L4N]])</f>
        <v>Energy</v>
      </c>
      <c r="Y84" s="71" t="str" cm="1">
        <f t="array" ref="Y84">IFERROR(INDEX(Products[[ProdCode]:[Product]],_xlfn.XMATCH(INDEX(Products[[Product]:[Parent]],_xlfn.XMATCH(Products[[#This Row],[L5N]],Products[Product],0),2),Products[ProdCode],0),2),Products[[#This Row],[L5N]])</f>
        <v>Energy</v>
      </c>
      <c r="Z84" s="71" t="str" cm="1">
        <f t="array" ref="Z84">IFERROR(INDEX(Products[[ProdCode]:[Product]],_xlfn.XMATCH(INDEX(Products[[Product]:[Parent]],_xlfn.XMATCH(Products[[#This Row],[L6N]],Products[Product],0),2),Products[ProdCode],0),2),Products[[#This Row],[L6N]])</f>
        <v>Energy</v>
      </c>
      <c r="AA84" s="71" t="str" cm="1">
        <f t="array" ref="AA84">IFERROR(INDEX(Products[[ProdCode]:[Product]],_xlfn.XMATCH(INDEX(Products[[Product]:[Parent]],_xlfn.XMATCH(Products[[#This Row],[L7N]],Products[Product],0),2),Products[ProdCode],0),2),Products[[#This Row],[L7N]])</f>
        <v>Energy</v>
      </c>
      <c r="AB8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v>
      </c>
      <c r="AF8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primary oil n.e.s.</v>
      </c>
      <c r="AG8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primary oil n.e.s.</v>
      </c>
      <c r="AH8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primary oil n.e.s.</v>
      </c>
      <c r="AI8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primary oil n.e.s.</v>
      </c>
    </row>
    <row r="85" spans="2:35" x14ac:dyDescent="0.45">
      <c r="B85" s="99">
        <v>115000</v>
      </c>
      <c r="C85" s="78" t="s">
        <v>942</v>
      </c>
      <c r="D85" s="99">
        <v>110000</v>
      </c>
      <c r="E85" s="92" t="s">
        <v>1148</v>
      </c>
      <c r="F85" s="19" t="s">
        <v>1188</v>
      </c>
      <c r="G85" s="69" t="s">
        <v>54</v>
      </c>
      <c r="H85" s="69" t="s">
        <v>83</v>
      </c>
      <c r="I85" s="69"/>
      <c r="J85" s="69"/>
      <c r="K85" s="69" t="s">
        <v>1399</v>
      </c>
      <c r="L85" s="69" t="s">
        <v>1934</v>
      </c>
      <c r="M85" s="69">
        <v>8.9</v>
      </c>
      <c r="N85" s="118"/>
      <c r="O85" s="118"/>
      <c r="P85" s="69"/>
      <c r="Q85" s="69" t="s">
        <v>1240</v>
      </c>
      <c r="R85" s="69"/>
      <c r="S85" s="69"/>
      <c r="T85" s="71" t="str" cm="1">
        <f t="array" ref="T85">IFERROR(INDEX(Products[[ProdCode]:[Product]],_xlfn.XMATCH(Products[[#This Row],[Parent]],Products[Product],0),2),Products[[#This Row],[Product]])</f>
        <v>Oil shale/sands</v>
      </c>
      <c r="U85" s="71" t="str" cm="1">
        <f t="array" ref="U85">IFERROR(INDEX(Products[[ProdCode]:[Product]],_xlfn.XMATCH(INDEX(Products[[Product]:[Parent]],_xlfn.XMATCH(Products[[#This Row],[L1N]],Products[Product],0),2),Products[ProdCode],0),2),Products[[#This Row],[L1N]])</f>
        <v>Fossil fuels</v>
      </c>
      <c r="V85" s="71" t="str" cm="1">
        <f t="array" ref="V85">IFERROR(INDEX(Products[[ProdCode]:[Product]],_xlfn.XMATCH(INDEX(Products[[Product]:[Parent]],_xlfn.XMATCH(Products[[#This Row],[L2N]],Products[Product],0),2),Products[ProdCode],0),2),Products[[#This Row],[L2N]])</f>
        <v>Non-renewable energy</v>
      </c>
      <c r="W85" s="71" t="str" cm="1">
        <f t="array" ref="W85">IFERROR(INDEX(Products[[ProdCode]:[Product]],_xlfn.XMATCH(INDEX(Products[[Product]:[Parent]],_xlfn.XMATCH(Products[[#This Row],[L3N]],Products[Product],0),2),Products[ProdCode],0),2),Products[[#This Row],[L3N]])</f>
        <v>Energy</v>
      </c>
      <c r="X85" s="71" t="str" cm="1">
        <f t="array" ref="X85">IFERROR(INDEX(Products[[ProdCode]:[Product]],_xlfn.XMATCH(INDEX(Products[[Product]:[Parent]],_xlfn.XMATCH(Products[[#This Row],[L4N]],Products[Product],0),2),Products[ProdCode],0),2),Products[[#This Row],[L4N]])</f>
        <v>Energy</v>
      </c>
      <c r="Y85" s="71" t="str" cm="1">
        <f t="array" ref="Y85">IFERROR(INDEX(Products[[ProdCode]:[Product]],_xlfn.XMATCH(INDEX(Products[[Product]:[Parent]],_xlfn.XMATCH(Products[[#This Row],[L5N]],Products[Product],0),2),Products[ProdCode],0),2),Products[[#This Row],[L5N]])</f>
        <v>Energy</v>
      </c>
      <c r="Z85" s="71" t="str" cm="1">
        <f t="array" ref="Z85">IFERROR(INDEX(Products[[ProdCode]:[Product]],_xlfn.XMATCH(INDEX(Products[[Product]:[Parent]],_xlfn.XMATCH(Products[[#This Row],[L6N]],Products[Product],0),2),Products[ProdCode],0),2),Products[[#This Row],[L6N]])</f>
        <v>Energy</v>
      </c>
      <c r="AA85" s="71" t="str" cm="1">
        <f t="array" ref="AA85">IFERROR(INDEX(Products[[ProdCode]:[Product]],_xlfn.XMATCH(INDEX(Products[[Product]:[Parent]],_xlfn.XMATCH(Products[[#This Row],[L7N]],Products[Product],0),2),Products[ProdCode],0),2),Products[[#This Row],[L7N]])</f>
        <v>Energy</v>
      </c>
      <c r="AB8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Oil shale/sands</v>
      </c>
      <c r="AF8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Oil shale/sands</v>
      </c>
      <c r="AG8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Oil shale/sands</v>
      </c>
      <c r="AH8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 shale/sands</v>
      </c>
      <c r="AI8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 shale/sands</v>
      </c>
    </row>
    <row r="86" spans="2:35" x14ac:dyDescent="0.45">
      <c r="B86" s="99">
        <v>119000</v>
      </c>
      <c r="C86" s="78" t="s">
        <v>1150</v>
      </c>
      <c r="D86" s="99">
        <v>110000</v>
      </c>
      <c r="E86" s="92" t="s">
        <v>1148</v>
      </c>
      <c r="F86" s="19" t="s">
        <v>1188</v>
      </c>
      <c r="G86" s="69" t="s">
        <v>54</v>
      </c>
      <c r="H86" s="69" t="s">
        <v>65</v>
      </c>
      <c r="I86" s="69"/>
      <c r="J86" s="69"/>
      <c r="K86" s="69" t="s">
        <v>1761</v>
      </c>
      <c r="L86" s="69"/>
      <c r="M86" s="69"/>
      <c r="N86" s="118"/>
      <c r="O86" s="118"/>
      <c r="P86" s="69"/>
      <c r="Q86" s="69"/>
      <c r="R86" s="69"/>
      <c r="S86" s="69"/>
      <c r="T86" s="71" t="str" cm="1">
        <f t="array" ref="T86">IFERROR(INDEX(Products[[ProdCode]:[Product]],_xlfn.XMATCH(Products[[#This Row],[Parent]],Products[Product],0),2),Products[[#This Row],[Product]])</f>
        <v>Other fossil fuels</v>
      </c>
      <c r="U86" s="71" t="str" cm="1">
        <f t="array" ref="U86">IFERROR(INDEX(Products[[ProdCode]:[Product]],_xlfn.XMATCH(INDEX(Products[[Product]:[Parent]],_xlfn.XMATCH(Products[[#This Row],[L1N]],Products[Product],0),2),Products[ProdCode],0),2),Products[[#This Row],[L1N]])</f>
        <v>Fossil fuels</v>
      </c>
      <c r="V86" s="71" t="str" cm="1">
        <f t="array" ref="V86">IFERROR(INDEX(Products[[ProdCode]:[Product]],_xlfn.XMATCH(INDEX(Products[[Product]:[Parent]],_xlfn.XMATCH(Products[[#This Row],[L2N]],Products[Product],0),2),Products[ProdCode],0),2),Products[[#This Row],[L2N]])</f>
        <v>Non-renewable energy</v>
      </c>
      <c r="W86" s="71" t="str" cm="1">
        <f t="array" ref="W86">IFERROR(INDEX(Products[[ProdCode]:[Product]],_xlfn.XMATCH(INDEX(Products[[Product]:[Parent]],_xlfn.XMATCH(Products[[#This Row],[L3N]],Products[Product],0),2),Products[ProdCode],0),2),Products[[#This Row],[L3N]])</f>
        <v>Energy</v>
      </c>
      <c r="X86" s="71" t="str" cm="1">
        <f t="array" ref="X86">IFERROR(INDEX(Products[[ProdCode]:[Product]],_xlfn.XMATCH(INDEX(Products[[Product]:[Parent]],_xlfn.XMATCH(Products[[#This Row],[L4N]],Products[Product],0),2),Products[ProdCode],0),2),Products[[#This Row],[L4N]])</f>
        <v>Energy</v>
      </c>
      <c r="Y86" s="71" t="str" cm="1">
        <f t="array" ref="Y86">IFERROR(INDEX(Products[[ProdCode]:[Product]],_xlfn.XMATCH(INDEX(Products[[Product]:[Parent]],_xlfn.XMATCH(Products[[#This Row],[L5N]],Products[Product],0),2),Products[ProdCode],0),2),Products[[#This Row],[L5N]])</f>
        <v>Energy</v>
      </c>
      <c r="Z86" s="71" t="str" cm="1">
        <f t="array" ref="Z86">IFERROR(INDEX(Products[[ProdCode]:[Product]],_xlfn.XMATCH(INDEX(Products[[Product]:[Parent]],_xlfn.XMATCH(Products[[#This Row],[L6N]],Products[Product],0),2),Products[ProdCode],0),2),Products[[#This Row],[L6N]])</f>
        <v>Energy</v>
      </c>
      <c r="AA86" s="71" t="str" cm="1">
        <f t="array" ref="AA86">IFERROR(INDEX(Products[[ProdCode]:[Product]],_xlfn.XMATCH(INDEX(Products[[Product]:[Parent]],_xlfn.XMATCH(Products[[#This Row],[L7N]],Products[Product],0),2),Products[ProdCode],0),2),Products[[#This Row],[L7N]])</f>
        <v>Energy</v>
      </c>
      <c r="AB8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fossil fuels</v>
      </c>
      <c r="AF8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fossil fuels</v>
      </c>
      <c r="AG8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fossil fuels</v>
      </c>
      <c r="AH8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fossil fuels</v>
      </c>
      <c r="AI8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fossil fuels</v>
      </c>
    </row>
    <row r="87" spans="2:35" x14ac:dyDescent="0.45">
      <c r="B87" s="100">
        <v>119100</v>
      </c>
      <c r="C87" s="84" t="s">
        <v>1151</v>
      </c>
      <c r="D87" s="100">
        <v>119000</v>
      </c>
      <c r="E87" s="92" t="s">
        <v>1148</v>
      </c>
      <c r="F87" s="19" t="s">
        <v>1188</v>
      </c>
      <c r="G87" s="69" t="s">
        <v>53</v>
      </c>
      <c r="H87" s="69" t="s">
        <v>83</v>
      </c>
      <c r="I87" s="69"/>
      <c r="J87" s="69"/>
      <c r="K87" s="69" t="s">
        <v>1762</v>
      </c>
      <c r="L87" s="69"/>
      <c r="M87" s="69"/>
      <c r="N87" s="118"/>
      <c r="O87" s="118"/>
      <c r="P87" s="69"/>
      <c r="Q87" s="69"/>
      <c r="R87" s="69"/>
      <c r="S87" s="69"/>
      <c r="T87" s="71" t="str" cm="1">
        <f t="array" ref="T87">IFERROR(INDEX(Products[[ProdCode]:[Product]],_xlfn.XMATCH(Products[[#This Row],[Parent]],Products[Product],0),2),Products[[#This Row],[Product]])</f>
        <v>Other primary fossil fuels</v>
      </c>
      <c r="U87" s="71" t="str" cm="1">
        <f t="array" ref="U87">IFERROR(INDEX(Products[[ProdCode]:[Product]],_xlfn.XMATCH(INDEX(Products[[Product]:[Parent]],_xlfn.XMATCH(Products[[#This Row],[L1N]],Products[Product],0),2),Products[ProdCode],0),2),Products[[#This Row],[L1N]])</f>
        <v>Other fossil fuels</v>
      </c>
      <c r="V87" s="71" t="str" cm="1">
        <f t="array" ref="V87">IFERROR(INDEX(Products[[ProdCode]:[Product]],_xlfn.XMATCH(INDEX(Products[[Product]:[Parent]],_xlfn.XMATCH(Products[[#This Row],[L2N]],Products[Product],0),2),Products[ProdCode],0),2),Products[[#This Row],[L2N]])</f>
        <v>Fossil fuels</v>
      </c>
      <c r="W87" s="71" t="str" cm="1">
        <f t="array" ref="W87">IFERROR(INDEX(Products[[ProdCode]:[Product]],_xlfn.XMATCH(INDEX(Products[[Product]:[Parent]],_xlfn.XMATCH(Products[[#This Row],[L3N]],Products[Product],0),2),Products[ProdCode],0),2),Products[[#This Row],[L3N]])</f>
        <v>Non-renewable energy</v>
      </c>
      <c r="X87" s="71" t="str" cm="1">
        <f t="array" ref="X87">IFERROR(INDEX(Products[[ProdCode]:[Product]],_xlfn.XMATCH(INDEX(Products[[Product]:[Parent]],_xlfn.XMATCH(Products[[#This Row],[L4N]],Products[Product],0),2),Products[ProdCode],0),2),Products[[#This Row],[L4N]])</f>
        <v>Energy</v>
      </c>
      <c r="Y87" s="71" t="str" cm="1">
        <f t="array" ref="Y87">IFERROR(INDEX(Products[[ProdCode]:[Product]],_xlfn.XMATCH(INDEX(Products[[Product]:[Parent]],_xlfn.XMATCH(Products[[#This Row],[L5N]],Products[Product],0),2),Products[ProdCode],0),2),Products[[#This Row],[L5N]])</f>
        <v>Energy</v>
      </c>
      <c r="Z87" s="71" t="str" cm="1">
        <f t="array" ref="Z87">IFERROR(INDEX(Products[[ProdCode]:[Product]],_xlfn.XMATCH(INDEX(Products[[Product]:[Parent]],_xlfn.XMATCH(Products[[#This Row],[L6N]],Products[Product],0),2),Products[ProdCode],0),2),Products[[#This Row],[L6N]])</f>
        <v>Energy</v>
      </c>
      <c r="AA87" s="71" t="str" cm="1">
        <f t="array" ref="AA87">IFERROR(INDEX(Products[[ProdCode]:[Product]],_xlfn.XMATCH(INDEX(Products[[Product]:[Parent]],_xlfn.XMATCH(Products[[#This Row],[L7N]],Products[Product],0),2),Products[ProdCode],0),2),Products[[#This Row],[L7N]])</f>
        <v>Energy</v>
      </c>
      <c r="AB8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fossil fuels</v>
      </c>
      <c r="AF8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primary fossil fuels</v>
      </c>
      <c r="AG8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primary fossil fuels</v>
      </c>
      <c r="AH8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primary fossil fuels</v>
      </c>
      <c r="AI8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primary fossil fuels</v>
      </c>
    </row>
    <row r="88" spans="2:35" x14ac:dyDescent="0.45">
      <c r="B88" s="100">
        <v>119200</v>
      </c>
      <c r="C88" s="84" t="s">
        <v>1152</v>
      </c>
      <c r="D88" s="100">
        <v>119000</v>
      </c>
      <c r="E88" s="92" t="s">
        <v>1148</v>
      </c>
      <c r="F88" s="19" t="s">
        <v>1188</v>
      </c>
      <c r="G88" s="69" t="s">
        <v>53</v>
      </c>
      <c r="H88" s="69" t="s">
        <v>83</v>
      </c>
      <c r="I88" s="69"/>
      <c r="J88" s="69"/>
      <c r="K88" s="69" t="s">
        <v>1763</v>
      </c>
      <c r="L88" s="69"/>
      <c r="M88" s="69"/>
      <c r="N88" s="118"/>
      <c r="O88" s="118"/>
      <c r="P88" s="69"/>
      <c r="Q88" s="69"/>
      <c r="R88" s="69"/>
      <c r="S88" s="69"/>
      <c r="T88" s="71" t="str" cm="1">
        <f t="array" ref="T88">IFERROR(INDEX(Products[[ProdCode]:[Product]],_xlfn.XMATCH(Products[[#This Row],[Parent]],Products[Product],0),2),Products[[#This Row],[Product]])</f>
        <v>Other fossil fuel products</v>
      </c>
      <c r="U88" s="71" t="str" cm="1">
        <f t="array" ref="U88">IFERROR(INDEX(Products[[ProdCode]:[Product]],_xlfn.XMATCH(INDEX(Products[[Product]:[Parent]],_xlfn.XMATCH(Products[[#This Row],[L1N]],Products[Product],0),2),Products[ProdCode],0),2),Products[[#This Row],[L1N]])</f>
        <v>Other fossil fuels</v>
      </c>
      <c r="V88" s="71" t="str" cm="1">
        <f t="array" ref="V88">IFERROR(INDEX(Products[[ProdCode]:[Product]],_xlfn.XMATCH(INDEX(Products[[Product]:[Parent]],_xlfn.XMATCH(Products[[#This Row],[L2N]],Products[Product],0),2),Products[ProdCode],0),2),Products[[#This Row],[L2N]])</f>
        <v>Fossil fuels</v>
      </c>
      <c r="W88" s="71" t="str" cm="1">
        <f t="array" ref="W88">IFERROR(INDEX(Products[[ProdCode]:[Product]],_xlfn.XMATCH(INDEX(Products[[Product]:[Parent]],_xlfn.XMATCH(Products[[#This Row],[L3N]],Products[Product],0),2),Products[ProdCode],0),2),Products[[#This Row],[L3N]])</f>
        <v>Non-renewable energy</v>
      </c>
      <c r="X88" s="71" t="str" cm="1">
        <f t="array" ref="X88">IFERROR(INDEX(Products[[ProdCode]:[Product]],_xlfn.XMATCH(INDEX(Products[[Product]:[Parent]],_xlfn.XMATCH(Products[[#This Row],[L4N]],Products[Product],0),2),Products[ProdCode],0),2),Products[[#This Row],[L4N]])</f>
        <v>Energy</v>
      </c>
      <c r="Y88" s="71" t="str" cm="1">
        <f t="array" ref="Y88">IFERROR(INDEX(Products[[ProdCode]:[Product]],_xlfn.XMATCH(INDEX(Products[[Product]:[Parent]],_xlfn.XMATCH(Products[[#This Row],[L5N]],Products[Product],0),2),Products[ProdCode],0),2),Products[[#This Row],[L5N]])</f>
        <v>Energy</v>
      </c>
      <c r="Z88" s="71" t="str" cm="1">
        <f t="array" ref="Z88">IFERROR(INDEX(Products[[ProdCode]:[Product]],_xlfn.XMATCH(INDEX(Products[[Product]:[Parent]],_xlfn.XMATCH(Products[[#This Row],[L6N]],Products[Product],0),2),Products[ProdCode],0),2),Products[[#This Row],[L6N]])</f>
        <v>Energy</v>
      </c>
      <c r="AA88" s="71" t="str" cm="1">
        <f t="array" ref="AA88">IFERROR(INDEX(Products[[ProdCode]:[Product]],_xlfn.XMATCH(INDEX(Products[[Product]:[Parent]],_xlfn.XMATCH(Products[[#This Row],[L7N]],Products[Product],0),2),Products[ProdCode],0),2),Products[[#This Row],[L7N]])</f>
        <v>Energy</v>
      </c>
      <c r="AB8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fossil fuels</v>
      </c>
      <c r="AF8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fossil fuel products</v>
      </c>
      <c r="AG8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fossil fuel products</v>
      </c>
      <c r="AH8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fossil fuel products</v>
      </c>
      <c r="AI8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fossil fuel products</v>
      </c>
    </row>
    <row r="89" spans="2:35" x14ac:dyDescent="0.45">
      <c r="B89" s="100">
        <v>119900</v>
      </c>
      <c r="C89" s="84" t="s">
        <v>943</v>
      </c>
      <c r="D89" s="100">
        <v>119000</v>
      </c>
      <c r="E89" s="92" t="s">
        <v>1148</v>
      </c>
      <c r="F89" s="19" t="s">
        <v>1188</v>
      </c>
      <c r="G89" s="69" t="s">
        <v>53</v>
      </c>
      <c r="H89" s="69" t="s">
        <v>83</v>
      </c>
      <c r="I89" s="69"/>
      <c r="J89" s="69"/>
      <c r="K89" s="69" t="s">
        <v>1764</v>
      </c>
      <c r="L89" s="69"/>
      <c r="M89" s="69">
        <v>40.200000000000003</v>
      </c>
      <c r="N89" s="118"/>
      <c r="O89" s="118"/>
      <c r="P89" s="69"/>
      <c r="Q89" s="69"/>
      <c r="R89" s="69"/>
      <c r="S89" s="69"/>
      <c r="T89" s="71" t="str" cm="1">
        <f t="array" ref="T89">IFERROR(INDEX(Products[[ProdCode]:[Product]],_xlfn.XMATCH(Products[[#This Row],[Parent]],Products[Product],0),2),Products[[#This Row],[Product]])</f>
        <v>Other fossil fuels n.e.s.</v>
      </c>
      <c r="U89" s="71" t="str" cm="1">
        <f t="array" ref="U89">IFERROR(INDEX(Products[[ProdCode]:[Product]],_xlfn.XMATCH(INDEX(Products[[Product]:[Parent]],_xlfn.XMATCH(Products[[#This Row],[L1N]],Products[Product],0),2),Products[ProdCode],0),2),Products[[#This Row],[L1N]])</f>
        <v>Other fossil fuels</v>
      </c>
      <c r="V89" s="71" t="str" cm="1">
        <f t="array" ref="V89">IFERROR(INDEX(Products[[ProdCode]:[Product]],_xlfn.XMATCH(INDEX(Products[[Product]:[Parent]],_xlfn.XMATCH(Products[[#This Row],[L2N]],Products[Product],0),2),Products[ProdCode],0),2),Products[[#This Row],[L2N]])</f>
        <v>Fossil fuels</v>
      </c>
      <c r="W89" s="71" t="str" cm="1">
        <f t="array" ref="W89">IFERROR(INDEX(Products[[ProdCode]:[Product]],_xlfn.XMATCH(INDEX(Products[[Product]:[Parent]],_xlfn.XMATCH(Products[[#This Row],[L3N]],Products[Product],0),2),Products[ProdCode],0),2),Products[[#This Row],[L3N]])</f>
        <v>Non-renewable energy</v>
      </c>
      <c r="X89" s="71" t="str" cm="1">
        <f t="array" ref="X89">IFERROR(INDEX(Products[[ProdCode]:[Product]],_xlfn.XMATCH(INDEX(Products[[Product]:[Parent]],_xlfn.XMATCH(Products[[#This Row],[L4N]],Products[Product],0),2),Products[ProdCode],0),2),Products[[#This Row],[L4N]])</f>
        <v>Energy</v>
      </c>
      <c r="Y89" s="71" t="str" cm="1">
        <f t="array" ref="Y89">IFERROR(INDEX(Products[[ProdCode]:[Product]],_xlfn.XMATCH(INDEX(Products[[Product]:[Parent]],_xlfn.XMATCH(Products[[#This Row],[L5N]],Products[Product],0),2),Products[ProdCode],0),2),Products[[#This Row],[L5N]])</f>
        <v>Energy</v>
      </c>
      <c r="Z89" s="71" t="str" cm="1">
        <f t="array" ref="Z89">IFERROR(INDEX(Products[[ProdCode]:[Product]],_xlfn.XMATCH(INDEX(Products[[Product]:[Parent]],_xlfn.XMATCH(Products[[#This Row],[L6N]],Products[Product],0),2),Products[ProdCode],0),2),Products[[#This Row],[L6N]])</f>
        <v>Energy</v>
      </c>
      <c r="AA89" s="71" t="str" cm="1">
        <f t="array" ref="AA89">IFERROR(INDEX(Products[[ProdCode]:[Product]],_xlfn.XMATCH(INDEX(Products[[Product]:[Parent]],_xlfn.XMATCH(Products[[#This Row],[L7N]],Products[Product],0),2),Products[ProdCode],0),2),Products[[#This Row],[L7N]])</f>
        <v>Energy</v>
      </c>
      <c r="AB8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8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8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Fossil fuels</v>
      </c>
      <c r="AE8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fossil fuels</v>
      </c>
      <c r="AF8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fossil fuels n.e.s.</v>
      </c>
      <c r="AG8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fossil fuels n.e.s.</v>
      </c>
      <c r="AH8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fossil fuels n.e.s.</v>
      </c>
      <c r="AI8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fossil fuels n.e.s.</v>
      </c>
    </row>
    <row r="90" spans="2:35" x14ac:dyDescent="0.45">
      <c r="B90" s="98">
        <v>120000</v>
      </c>
      <c r="C90" s="75" t="s">
        <v>1474</v>
      </c>
      <c r="D90" s="98">
        <v>100000</v>
      </c>
      <c r="E90" s="92" t="s">
        <v>1148</v>
      </c>
      <c r="F90" s="19" t="s">
        <v>1188</v>
      </c>
      <c r="G90" s="69" t="s">
        <v>55</v>
      </c>
      <c r="H90" s="69" t="s">
        <v>65</v>
      </c>
      <c r="I90" s="69"/>
      <c r="J90" s="69"/>
      <c r="K90" s="69" t="s">
        <v>1029</v>
      </c>
      <c r="L90" s="69"/>
      <c r="M90" s="69"/>
      <c r="N90" s="118"/>
      <c r="O90" s="118"/>
      <c r="P90" s="69"/>
      <c r="Q90" s="69" t="s">
        <v>173</v>
      </c>
      <c r="R90" s="69"/>
      <c r="S90" s="69"/>
      <c r="T90" s="71" t="str" cm="1">
        <f t="array" ref="T90">IFERROR(INDEX(Products[[ProdCode]:[Product]],_xlfn.XMATCH(Products[[#This Row],[Parent]],Products[Product],0),2),Products[[#This Row],[Product]])</f>
        <v>Nuclear energy</v>
      </c>
      <c r="U90" s="71" t="str" cm="1">
        <f t="array" ref="U90">IFERROR(INDEX(Products[[ProdCode]:[Product]],_xlfn.XMATCH(INDEX(Products[[Product]:[Parent]],_xlfn.XMATCH(Products[[#This Row],[L1N]],Products[Product],0),2),Products[ProdCode],0),2),Products[[#This Row],[L1N]])</f>
        <v>Non-renewable energy</v>
      </c>
      <c r="V90" s="71" t="str" cm="1">
        <f t="array" ref="V90">IFERROR(INDEX(Products[[ProdCode]:[Product]],_xlfn.XMATCH(INDEX(Products[[Product]:[Parent]],_xlfn.XMATCH(Products[[#This Row],[L2N]],Products[Product],0),2),Products[ProdCode],0),2),Products[[#This Row],[L2N]])</f>
        <v>Energy</v>
      </c>
      <c r="W90" s="71" t="str" cm="1">
        <f t="array" ref="W90">IFERROR(INDEX(Products[[ProdCode]:[Product]],_xlfn.XMATCH(INDEX(Products[[Product]:[Parent]],_xlfn.XMATCH(Products[[#This Row],[L3N]],Products[Product],0),2),Products[ProdCode],0),2),Products[[#This Row],[L3N]])</f>
        <v>Energy</v>
      </c>
      <c r="X90" s="71" t="str" cm="1">
        <f t="array" ref="X90">IFERROR(INDEX(Products[[ProdCode]:[Product]],_xlfn.XMATCH(INDEX(Products[[Product]:[Parent]],_xlfn.XMATCH(Products[[#This Row],[L4N]],Products[Product],0),2),Products[ProdCode],0),2),Products[[#This Row],[L4N]])</f>
        <v>Energy</v>
      </c>
      <c r="Y90" s="71" t="str" cm="1">
        <f t="array" ref="Y90">IFERROR(INDEX(Products[[ProdCode]:[Product]],_xlfn.XMATCH(INDEX(Products[[Product]:[Parent]],_xlfn.XMATCH(Products[[#This Row],[L5N]],Products[Product],0),2),Products[ProdCode],0),2),Products[[#This Row],[L5N]])</f>
        <v>Energy</v>
      </c>
      <c r="Z90" s="71" t="str" cm="1">
        <f t="array" ref="Z90">IFERROR(INDEX(Products[[ProdCode]:[Product]],_xlfn.XMATCH(INDEX(Products[[Product]:[Parent]],_xlfn.XMATCH(Products[[#This Row],[L6N]],Products[Product],0),2),Products[ProdCode],0),2),Products[[#This Row],[L6N]])</f>
        <v>Energy</v>
      </c>
      <c r="AA90" s="71" t="str" cm="1">
        <f t="array" ref="AA90">IFERROR(INDEX(Products[[ProdCode]:[Product]],_xlfn.XMATCH(INDEX(Products[[Product]:[Parent]],_xlfn.XMATCH(Products[[#This Row],[L7N]],Products[Product],0),2),Products[ProdCode],0),2),Products[[#This Row],[L7N]])</f>
        <v>Energy</v>
      </c>
      <c r="AB9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energy</v>
      </c>
      <c r="AF9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Nuclear energy</v>
      </c>
      <c r="AG9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Nuclear energy</v>
      </c>
      <c r="AH9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Nuclear energy</v>
      </c>
      <c r="AI9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Nuclear energy</v>
      </c>
    </row>
    <row r="91" spans="2:35" x14ac:dyDescent="0.45">
      <c r="B91" s="99">
        <v>121000</v>
      </c>
      <c r="C91" s="78" t="s">
        <v>1475</v>
      </c>
      <c r="D91" s="99">
        <v>120000</v>
      </c>
      <c r="E91" s="92" t="s">
        <v>1148</v>
      </c>
      <c r="F91" s="19" t="s">
        <v>1188</v>
      </c>
      <c r="G91" s="69" t="s">
        <v>54</v>
      </c>
      <c r="H91" s="69" t="s">
        <v>83</v>
      </c>
      <c r="I91" s="69"/>
      <c r="J91" s="69"/>
      <c r="K91" s="69" t="s">
        <v>1765</v>
      </c>
      <c r="L91" s="69"/>
      <c r="M91" s="69"/>
      <c r="N91" s="118"/>
      <c r="O91" s="118"/>
      <c r="P91" s="69"/>
      <c r="Q91" s="69" t="s">
        <v>173</v>
      </c>
      <c r="R91" s="69"/>
      <c r="S91" s="69"/>
      <c r="T91" s="71" t="str" cm="1">
        <f t="array" ref="T91">IFERROR(INDEX(Products[[ProdCode]:[Product]],_xlfn.XMATCH(Products[[#This Row],[Parent]],Products[Product],0),2),Products[[#This Row],[Product]])</f>
        <v>Nuclear fission fuels</v>
      </c>
      <c r="U91" s="71" t="str" cm="1">
        <f t="array" ref="U91">IFERROR(INDEX(Products[[ProdCode]:[Product]],_xlfn.XMATCH(INDEX(Products[[Product]:[Parent]],_xlfn.XMATCH(Products[[#This Row],[L1N]],Products[Product],0),2),Products[ProdCode],0),2),Products[[#This Row],[L1N]])</f>
        <v>Nuclear energy</v>
      </c>
      <c r="V91" s="71" t="str" cm="1">
        <f t="array" ref="V91">IFERROR(INDEX(Products[[ProdCode]:[Product]],_xlfn.XMATCH(INDEX(Products[[Product]:[Parent]],_xlfn.XMATCH(Products[[#This Row],[L2N]],Products[Product],0),2),Products[ProdCode],0),2),Products[[#This Row],[L2N]])</f>
        <v>Non-renewable energy</v>
      </c>
      <c r="W91" s="71" t="str" cm="1">
        <f t="array" ref="W91">IFERROR(INDEX(Products[[ProdCode]:[Product]],_xlfn.XMATCH(INDEX(Products[[Product]:[Parent]],_xlfn.XMATCH(Products[[#This Row],[L3N]],Products[Product],0),2),Products[ProdCode],0),2),Products[[#This Row],[L3N]])</f>
        <v>Energy</v>
      </c>
      <c r="X91" s="71" t="str" cm="1">
        <f t="array" ref="X91">IFERROR(INDEX(Products[[ProdCode]:[Product]],_xlfn.XMATCH(INDEX(Products[[Product]:[Parent]],_xlfn.XMATCH(Products[[#This Row],[L4N]],Products[Product],0),2),Products[ProdCode],0),2),Products[[#This Row],[L4N]])</f>
        <v>Energy</v>
      </c>
      <c r="Y91" s="71" t="str" cm="1">
        <f t="array" ref="Y91">IFERROR(INDEX(Products[[ProdCode]:[Product]],_xlfn.XMATCH(INDEX(Products[[Product]:[Parent]],_xlfn.XMATCH(Products[[#This Row],[L5N]],Products[Product],0),2),Products[ProdCode],0),2),Products[[#This Row],[L5N]])</f>
        <v>Energy</v>
      </c>
      <c r="Z91" s="71" t="str" cm="1">
        <f t="array" ref="Z91">IFERROR(INDEX(Products[[ProdCode]:[Product]],_xlfn.XMATCH(INDEX(Products[[Product]:[Parent]],_xlfn.XMATCH(Products[[#This Row],[L6N]],Products[Product],0),2),Products[ProdCode],0),2),Products[[#This Row],[L6N]])</f>
        <v>Energy</v>
      </c>
      <c r="AA91" s="71" t="str" cm="1">
        <f t="array" ref="AA91">IFERROR(INDEX(Products[[ProdCode]:[Product]],_xlfn.XMATCH(INDEX(Products[[Product]:[Parent]],_xlfn.XMATCH(Products[[#This Row],[L7N]],Products[Product],0),2),Products[ProdCode],0),2),Products[[#This Row],[L7N]])</f>
        <v>Energy</v>
      </c>
      <c r="AB9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fission fuels</v>
      </c>
      <c r="AF9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Nuclear fission fuels</v>
      </c>
      <c r="AG9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Nuclear fission fuels</v>
      </c>
      <c r="AH9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Nuclear fission fuels</v>
      </c>
      <c r="AI9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Nuclear fission fuels</v>
      </c>
    </row>
    <row r="92" spans="2:35" x14ac:dyDescent="0.45">
      <c r="B92" s="100">
        <v>121100</v>
      </c>
      <c r="C92" s="84" t="s">
        <v>1471</v>
      </c>
      <c r="D92" s="100">
        <v>121000</v>
      </c>
      <c r="E92" s="92" t="s">
        <v>1148</v>
      </c>
      <c r="F92" s="19" t="s">
        <v>1188</v>
      </c>
      <c r="G92" s="69" t="s">
        <v>54</v>
      </c>
      <c r="H92" s="69" t="s">
        <v>83</v>
      </c>
      <c r="I92" s="69"/>
      <c r="J92" s="69"/>
      <c r="K92" s="69" t="s">
        <v>1766</v>
      </c>
      <c r="L92" s="69" t="s">
        <v>1935</v>
      </c>
      <c r="M92" s="69"/>
      <c r="N92" s="118"/>
      <c r="O92" s="118"/>
      <c r="P92" s="69"/>
      <c r="Q92" s="69" t="s">
        <v>173</v>
      </c>
      <c r="R92" s="69"/>
      <c r="S92" s="69"/>
      <c r="T92" s="71" t="str" cm="1">
        <f t="array" ref="T92">IFERROR(INDEX(Products[[ProdCode]:[Product]],_xlfn.XMATCH(Products[[#This Row],[Parent]],Products[Product],0),2),Products[[#This Row],[Product]])</f>
        <v>Uranium</v>
      </c>
      <c r="U92" s="71" t="str" cm="1">
        <f t="array" ref="U92">IFERROR(INDEX(Products[[ProdCode]:[Product]],_xlfn.XMATCH(INDEX(Products[[Product]:[Parent]],_xlfn.XMATCH(Products[[#This Row],[L1N]],Products[Product],0),2),Products[ProdCode],0),2),Products[[#This Row],[L1N]])</f>
        <v>Nuclear fission fuels</v>
      </c>
      <c r="V92" s="71" t="str" cm="1">
        <f t="array" ref="V92">IFERROR(INDEX(Products[[ProdCode]:[Product]],_xlfn.XMATCH(INDEX(Products[[Product]:[Parent]],_xlfn.XMATCH(Products[[#This Row],[L2N]],Products[Product],0),2),Products[ProdCode],0),2),Products[[#This Row],[L2N]])</f>
        <v>Nuclear energy</v>
      </c>
      <c r="W92" s="71" t="str" cm="1">
        <f t="array" ref="W92">IFERROR(INDEX(Products[[ProdCode]:[Product]],_xlfn.XMATCH(INDEX(Products[[Product]:[Parent]],_xlfn.XMATCH(Products[[#This Row],[L3N]],Products[Product],0),2),Products[ProdCode],0),2),Products[[#This Row],[L3N]])</f>
        <v>Non-renewable energy</v>
      </c>
      <c r="X92" s="71" t="str" cm="1">
        <f t="array" ref="X92">IFERROR(INDEX(Products[[ProdCode]:[Product]],_xlfn.XMATCH(INDEX(Products[[Product]:[Parent]],_xlfn.XMATCH(Products[[#This Row],[L4N]],Products[Product],0),2),Products[ProdCode],0),2),Products[[#This Row],[L4N]])</f>
        <v>Energy</v>
      </c>
      <c r="Y92" s="71" t="str" cm="1">
        <f t="array" ref="Y92">IFERROR(INDEX(Products[[ProdCode]:[Product]],_xlfn.XMATCH(INDEX(Products[[Product]:[Parent]],_xlfn.XMATCH(Products[[#This Row],[L5N]],Products[Product],0),2),Products[ProdCode],0),2),Products[[#This Row],[L5N]])</f>
        <v>Energy</v>
      </c>
      <c r="Z92" s="71" t="str" cm="1">
        <f t="array" ref="Z92">IFERROR(INDEX(Products[[ProdCode]:[Product]],_xlfn.XMATCH(INDEX(Products[[Product]:[Parent]],_xlfn.XMATCH(Products[[#This Row],[L6N]],Products[Product],0),2),Products[ProdCode],0),2),Products[[#This Row],[L6N]])</f>
        <v>Energy</v>
      </c>
      <c r="AA92" s="71" t="str" cm="1">
        <f t="array" ref="AA92">IFERROR(INDEX(Products[[ProdCode]:[Product]],_xlfn.XMATCH(INDEX(Products[[Product]:[Parent]],_xlfn.XMATCH(Products[[#This Row],[L7N]],Products[Product],0),2),Products[ProdCode],0),2),Products[[#This Row],[L7N]])</f>
        <v>Energy</v>
      </c>
      <c r="AB9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fission fuels</v>
      </c>
      <c r="AF9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Uranium</v>
      </c>
      <c r="AG9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Uranium</v>
      </c>
      <c r="AH9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Uranium</v>
      </c>
      <c r="AI9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Uranium</v>
      </c>
    </row>
    <row r="93" spans="2:35" x14ac:dyDescent="0.45">
      <c r="B93" s="100">
        <v>121200</v>
      </c>
      <c r="C93" s="84" t="s">
        <v>1472</v>
      </c>
      <c r="D93" s="100">
        <v>121000</v>
      </c>
      <c r="E93" s="92" t="s">
        <v>1148</v>
      </c>
      <c r="F93" s="19" t="s">
        <v>1188</v>
      </c>
      <c r="G93" s="69" t="s">
        <v>54</v>
      </c>
      <c r="H93" s="69" t="s">
        <v>83</v>
      </c>
      <c r="I93" s="69"/>
      <c r="J93" s="69"/>
      <c r="K93" s="69" t="s">
        <v>1767</v>
      </c>
      <c r="L93" s="69"/>
      <c r="M93" s="69"/>
      <c r="N93" s="118"/>
      <c r="O93" s="118"/>
      <c r="P93" s="69"/>
      <c r="Q93" s="69" t="s">
        <v>173</v>
      </c>
      <c r="R93" s="69"/>
      <c r="S93" s="69"/>
      <c r="T93" s="71" t="str" cm="1">
        <f t="array" ref="T93">IFERROR(INDEX(Products[[ProdCode]:[Product]],_xlfn.XMATCH(Products[[#This Row],[Parent]],Products[Product],0),2),Products[[#This Row],[Product]])</f>
        <v>Plutonium</v>
      </c>
      <c r="U93" s="71" t="str" cm="1">
        <f t="array" ref="U93">IFERROR(INDEX(Products[[ProdCode]:[Product]],_xlfn.XMATCH(INDEX(Products[[Product]:[Parent]],_xlfn.XMATCH(Products[[#This Row],[L1N]],Products[Product],0),2),Products[ProdCode],0),2),Products[[#This Row],[L1N]])</f>
        <v>Nuclear fission fuels</v>
      </c>
      <c r="V93" s="71" t="str" cm="1">
        <f t="array" ref="V93">IFERROR(INDEX(Products[[ProdCode]:[Product]],_xlfn.XMATCH(INDEX(Products[[Product]:[Parent]],_xlfn.XMATCH(Products[[#This Row],[L2N]],Products[Product],0),2),Products[ProdCode],0),2),Products[[#This Row],[L2N]])</f>
        <v>Nuclear energy</v>
      </c>
      <c r="W93" s="71" t="str" cm="1">
        <f t="array" ref="W93">IFERROR(INDEX(Products[[ProdCode]:[Product]],_xlfn.XMATCH(INDEX(Products[[Product]:[Parent]],_xlfn.XMATCH(Products[[#This Row],[L3N]],Products[Product],0),2),Products[ProdCode],0),2),Products[[#This Row],[L3N]])</f>
        <v>Non-renewable energy</v>
      </c>
      <c r="X93" s="71" t="str" cm="1">
        <f t="array" ref="X93">IFERROR(INDEX(Products[[ProdCode]:[Product]],_xlfn.XMATCH(INDEX(Products[[Product]:[Parent]],_xlfn.XMATCH(Products[[#This Row],[L4N]],Products[Product],0),2),Products[ProdCode],0),2),Products[[#This Row],[L4N]])</f>
        <v>Energy</v>
      </c>
      <c r="Y93" s="71" t="str" cm="1">
        <f t="array" ref="Y93">IFERROR(INDEX(Products[[ProdCode]:[Product]],_xlfn.XMATCH(INDEX(Products[[Product]:[Parent]],_xlfn.XMATCH(Products[[#This Row],[L5N]],Products[Product],0),2),Products[ProdCode],0),2),Products[[#This Row],[L5N]])</f>
        <v>Energy</v>
      </c>
      <c r="Z93" s="71" t="str" cm="1">
        <f t="array" ref="Z93">IFERROR(INDEX(Products[[ProdCode]:[Product]],_xlfn.XMATCH(INDEX(Products[[Product]:[Parent]],_xlfn.XMATCH(Products[[#This Row],[L6N]],Products[Product],0),2),Products[ProdCode],0),2),Products[[#This Row],[L6N]])</f>
        <v>Energy</v>
      </c>
      <c r="AA93" s="71" t="str" cm="1">
        <f t="array" ref="AA93">IFERROR(INDEX(Products[[ProdCode]:[Product]],_xlfn.XMATCH(INDEX(Products[[Product]:[Parent]],_xlfn.XMATCH(Products[[#This Row],[L7N]],Products[Product],0),2),Products[ProdCode],0),2),Products[[#This Row],[L7N]])</f>
        <v>Energy</v>
      </c>
      <c r="AB9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fission fuels</v>
      </c>
      <c r="AF9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Plutonium</v>
      </c>
      <c r="AG9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Plutonium</v>
      </c>
      <c r="AH9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Plutonium</v>
      </c>
      <c r="AI9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Plutonium</v>
      </c>
    </row>
    <row r="94" spans="2:35" ht="14.25" customHeight="1" x14ac:dyDescent="0.45">
      <c r="B94" s="100">
        <v>121300</v>
      </c>
      <c r="C94" s="84" t="s">
        <v>1473</v>
      </c>
      <c r="D94" s="100">
        <v>121000</v>
      </c>
      <c r="E94" s="92" t="s">
        <v>1148</v>
      </c>
      <c r="F94" s="19" t="s">
        <v>1188</v>
      </c>
      <c r="G94" s="69" t="s">
        <v>54</v>
      </c>
      <c r="H94" s="69" t="s">
        <v>83</v>
      </c>
      <c r="I94" s="69"/>
      <c r="J94" s="69"/>
      <c r="K94" s="69" t="s">
        <v>1768</v>
      </c>
      <c r="L94" s="69"/>
      <c r="M94" s="69"/>
      <c r="N94" s="118"/>
      <c r="O94" s="118"/>
      <c r="P94" s="69"/>
      <c r="Q94" s="69" t="s">
        <v>173</v>
      </c>
      <c r="R94" s="69"/>
      <c r="S94" s="69"/>
      <c r="T94" s="71" t="str" cm="1">
        <f t="array" ref="T94">IFERROR(INDEX(Products[[ProdCode]:[Product]],_xlfn.XMATCH(Products[[#This Row],[Parent]],Products[Product],0),2),Products[[#This Row],[Product]])</f>
        <v>Thorium</v>
      </c>
      <c r="U94" s="71" t="str" cm="1">
        <f t="array" ref="U94">IFERROR(INDEX(Products[[ProdCode]:[Product]],_xlfn.XMATCH(INDEX(Products[[Product]:[Parent]],_xlfn.XMATCH(Products[[#This Row],[L1N]],Products[Product],0),2),Products[ProdCode],0),2),Products[[#This Row],[L1N]])</f>
        <v>Nuclear fission fuels</v>
      </c>
      <c r="V94" s="71" t="str" cm="1">
        <f t="array" ref="V94">IFERROR(INDEX(Products[[ProdCode]:[Product]],_xlfn.XMATCH(INDEX(Products[[Product]:[Parent]],_xlfn.XMATCH(Products[[#This Row],[L2N]],Products[Product],0),2),Products[ProdCode],0),2),Products[[#This Row],[L2N]])</f>
        <v>Nuclear energy</v>
      </c>
      <c r="W94" s="71" t="str" cm="1">
        <f t="array" ref="W94">IFERROR(INDEX(Products[[ProdCode]:[Product]],_xlfn.XMATCH(INDEX(Products[[Product]:[Parent]],_xlfn.XMATCH(Products[[#This Row],[L3N]],Products[Product],0),2),Products[ProdCode],0),2),Products[[#This Row],[L3N]])</f>
        <v>Non-renewable energy</v>
      </c>
      <c r="X94" s="71" t="str" cm="1">
        <f t="array" ref="X94">IFERROR(INDEX(Products[[ProdCode]:[Product]],_xlfn.XMATCH(INDEX(Products[[Product]:[Parent]],_xlfn.XMATCH(Products[[#This Row],[L4N]],Products[Product],0),2),Products[ProdCode],0),2),Products[[#This Row],[L4N]])</f>
        <v>Energy</v>
      </c>
      <c r="Y94" s="71" t="str" cm="1">
        <f t="array" ref="Y94">IFERROR(INDEX(Products[[ProdCode]:[Product]],_xlfn.XMATCH(INDEX(Products[[Product]:[Parent]],_xlfn.XMATCH(Products[[#This Row],[L5N]],Products[Product],0),2),Products[ProdCode],0),2),Products[[#This Row],[L5N]])</f>
        <v>Energy</v>
      </c>
      <c r="Z94" s="71" t="str" cm="1">
        <f t="array" ref="Z94">IFERROR(INDEX(Products[[ProdCode]:[Product]],_xlfn.XMATCH(INDEX(Products[[Product]:[Parent]],_xlfn.XMATCH(Products[[#This Row],[L6N]],Products[Product],0),2),Products[ProdCode],0),2),Products[[#This Row],[L6N]])</f>
        <v>Energy</v>
      </c>
      <c r="AA94" s="71" t="str" cm="1">
        <f t="array" ref="AA94">IFERROR(INDEX(Products[[ProdCode]:[Product]],_xlfn.XMATCH(INDEX(Products[[Product]:[Parent]],_xlfn.XMATCH(Products[[#This Row],[L7N]],Products[Product],0),2),Products[ProdCode],0),2),Products[[#This Row],[L7N]])</f>
        <v>Energy</v>
      </c>
      <c r="AB9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fission fuels</v>
      </c>
      <c r="AF9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Thorium</v>
      </c>
      <c r="AG9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Thorium</v>
      </c>
      <c r="AH9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Thorium</v>
      </c>
      <c r="AI9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Thorium</v>
      </c>
    </row>
    <row r="95" spans="2:35" x14ac:dyDescent="0.45">
      <c r="B95" s="99">
        <v>122000</v>
      </c>
      <c r="C95" s="78" t="s">
        <v>1207</v>
      </c>
      <c r="D95" s="99">
        <v>120000</v>
      </c>
      <c r="E95" s="92" t="s">
        <v>1148</v>
      </c>
      <c r="F95" s="19" t="s">
        <v>1188</v>
      </c>
      <c r="G95" s="69" t="s">
        <v>54</v>
      </c>
      <c r="H95" s="69" t="s">
        <v>83</v>
      </c>
      <c r="I95" s="69"/>
      <c r="J95" s="69"/>
      <c r="K95" s="69" t="s">
        <v>1769</v>
      </c>
      <c r="L95" s="69"/>
      <c r="M95" s="69"/>
      <c r="N95" s="118"/>
      <c r="O95" s="118"/>
      <c r="P95" s="69"/>
      <c r="Q95" s="69" t="s">
        <v>173</v>
      </c>
      <c r="R95" s="69"/>
      <c r="S95" s="69"/>
      <c r="T95" s="71" t="str" cm="1">
        <f t="array" ref="T95">IFERROR(INDEX(Products[[ProdCode]:[Product]],_xlfn.XMATCH(Products[[#This Row],[Parent]],Products[Product],0),2),Products[[#This Row],[Product]])</f>
        <v>Nuclear fusion fuels</v>
      </c>
      <c r="U95" s="71" t="str" cm="1">
        <f t="array" ref="U95">IFERROR(INDEX(Products[[ProdCode]:[Product]],_xlfn.XMATCH(INDEX(Products[[Product]:[Parent]],_xlfn.XMATCH(Products[[#This Row],[L1N]],Products[Product],0),2),Products[ProdCode],0),2),Products[[#This Row],[L1N]])</f>
        <v>Nuclear energy</v>
      </c>
      <c r="V95" s="71" t="str" cm="1">
        <f t="array" ref="V95">IFERROR(INDEX(Products[[ProdCode]:[Product]],_xlfn.XMATCH(INDEX(Products[[Product]:[Parent]],_xlfn.XMATCH(Products[[#This Row],[L2N]],Products[Product],0),2),Products[ProdCode],0),2),Products[[#This Row],[L2N]])</f>
        <v>Non-renewable energy</v>
      </c>
      <c r="W95" s="71" t="str" cm="1">
        <f t="array" ref="W95">IFERROR(INDEX(Products[[ProdCode]:[Product]],_xlfn.XMATCH(INDEX(Products[[Product]:[Parent]],_xlfn.XMATCH(Products[[#This Row],[L3N]],Products[Product],0),2),Products[ProdCode],0),2),Products[[#This Row],[L3N]])</f>
        <v>Energy</v>
      </c>
      <c r="X95" s="71" t="str" cm="1">
        <f t="array" ref="X95">IFERROR(INDEX(Products[[ProdCode]:[Product]],_xlfn.XMATCH(INDEX(Products[[Product]:[Parent]],_xlfn.XMATCH(Products[[#This Row],[L4N]],Products[Product],0),2),Products[ProdCode],0),2),Products[[#This Row],[L4N]])</f>
        <v>Energy</v>
      </c>
      <c r="Y95" s="71" t="str" cm="1">
        <f t="array" ref="Y95">IFERROR(INDEX(Products[[ProdCode]:[Product]],_xlfn.XMATCH(INDEX(Products[[Product]:[Parent]],_xlfn.XMATCH(Products[[#This Row],[L5N]],Products[Product],0),2),Products[ProdCode],0),2),Products[[#This Row],[L5N]])</f>
        <v>Energy</v>
      </c>
      <c r="Z95" s="71" t="str" cm="1">
        <f t="array" ref="Z95">IFERROR(INDEX(Products[[ProdCode]:[Product]],_xlfn.XMATCH(INDEX(Products[[Product]:[Parent]],_xlfn.XMATCH(Products[[#This Row],[L6N]],Products[Product],0),2),Products[ProdCode],0),2),Products[[#This Row],[L6N]])</f>
        <v>Energy</v>
      </c>
      <c r="AA95" s="71" t="str" cm="1">
        <f t="array" ref="AA95">IFERROR(INDEX(Products[[ProdCode]:[Product]],_xlfn.XMATCH(INDEX(Products[[Product]:[Parent]],_xlfn.XMATCH(Products[[#This Row],[L7N]],Products[Product],0),2),Products[ProdCode],0),2),Products[[#This Row],[L7N]])</f>
        <v>Energy</v>
      </c>
      <c r="AB9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Nuclear fusion fuels</v>
      </c>
      <c r="AF9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Nuclear fusion fuels</v>
      </c>
      <c r="AG9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Nuclear fusion fuels</v>
      </c>
      <c r="AH9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Nuclear fusion fuels</v>
      </c>
      <c r="AI9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Nuclear fusion fuels</v>
      </c>
    </row>
    <row r="96" spans="2:35" x14ac:dyDescent="0.45">
      <c r="B96" s="99">
        <v>129000</v>
      </c>
      <c r="C96" s="78" t="s">
        <v>738</v>
      </c>
      <c r="D96" s="99">
        <v>120000</v>
      </c>
      <c r="E96" s="92" t="s">
        <v>1148</v>
      </c>
      <c r="F96" s="19" t="s">
        <v>1188</v>
      </c>
      <c r="G96" s="69" t="s">
        <v>54</v>
      </c>
      <c r="H96" s="69" t="s">
        <v>83</v>
      </c>
      <c r="I96" s="69"/>
      <c r="J96" s="69"/>
      <c r="K96" s="69" t="s">
        <v>1770</v>
      </c>
      <c r="L96" s="69"/>
      <c r="M96" s="69"/>
      <c r="N96" s="118"/>
      <c r="O96" s="118"/>
      <c r="P96" s="69"/>
      <c r="Q96" s="69" t="s">
        <v>173</v>
      </c>
      <c r="R96" s="69"/>
      <c r="S96" s="69"/>
      <c r="T96" s="71" t="str" cm="1">
        <f t="array" ref="T96">IFERROR(INDEX(Products[[ProdCode]:[Product]],_xlfn.XMATCH(Products[[#This Row],[Parent]],Products[Product],0),2),Products[[#This Row],[Product]])</f>
        <v>Other nuclear fuels</v>
      </c>
      <c r="U96" s="71" t="str" cm="1">
        <f t="array" ref="U96">IFERROR(INDEX(Products[[ProdCode]:[Product]],_xlfn.XMATCH(INDEX(Products[[Product]:[Parent]],_xlfn.XMATCH(Products[[#This Row],[L1N]],Products[Product],0),2),Products[ProdCode],0),2),Products[[#This Row],[L1N]])</f>
        <v>Nuclear energy</v>
      </c>
      <c r="V96" s="71" t="str" cm="1">
        <f t="array" ref="V96">IFERROR(INDEX(Products[[ProdCode]:[Product]],_xlfn.XMATCH(INDEX(Products[[Product]:[Parent]],_xlfn.XMATCH(Products[[#This Row],[L2N]],Products[Product],0),2),Products[ProdCode],0),2),Products[[#This Row],[L2N]])</f>
        <v>Non-renewable energy</v>
      </c>
      <c r="W96" s="71" t="str" cm="1">
        <f t="array" ref="W96">IFERROR(INDEX(Products[[ProdCode]:[Product]],_xlfn.XMATCH(INDEX(Products[[Product]:[Parent]],_xlfn.XMATCH(Products[[#This Row],[L3N]],Products[Product],0),2),Products[ProdCode],0),2),Products[[#This Row],[L3N]])</f>
        <v>Energy</v>
      </c>
      <c r="X96" s="71" t="str" cm="1">
        <f t="array" ref="X96">IFERROR(INDEX(Products[[ProdCode]:[Product]],_xlfn.XMATCH(INDEX(Products[[Product]:[Parent]],_xlfn.XMATCH(Products[[#This Row],[L4N]],Products[Product],0),2),Products[ProdCode],0),2),Products[[#This Row],[L4N]])</f>
        <v>Energy</v>
      </c>
      <c r="Y96" s="71" t="str" cm="1">
        <f t="array" ref="Y96">IFERROR(INDEX(Products[[ProdCode]:[Product]],_xlfn.XMATCH(INDEX(Products[[Product]:[Parent]],_xlfn.XMATCH(Products[[#This Row],[L5N]],Products[Product],0),2),Products[ProdCode],0),2),Products[[#This Row],[L5N]])</f>
        <v>Energy</v>
      </c>
      <c r="Z96" s="71" t="str" cm="1">
        <f t="array" ref="Z96">IFERROR(INDEX(Products[[ProdCode]:[Product]],_xlfn.XMATCH(INDEX(Products[[Product]:[Parent]],_xlfn.XMATCH(Products[[#This Row],[L6N]],Products[Product],0),2),Products[ProdCode],0),2),Products[[#This Row],[L6N]])</f>
        <v>Energy</v>
      </c>
      <c r="AA96" s="71" t="str" cm="1">
        <f t="array" ref="AA96">IFERROR(INDEX(Products[[ProdCode]:[Product]],_xlfn.XMATCH(INDEX(Products[[Product]:[Parent]],_xlfn.XMATCH(Products[[#This Row],[L7N]],Products[Product],0),2),Products[ProdCode],0),2),Products[[#This Row],[L7N]])</f>
        <v>Energy</v>
      </c>
      <c r="AB9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Nuclear energy</v>
      </c>
      <c r="AE9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nuclear fuels</v>
      </c>
      <c r="AF9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nuclear fuels</v>
      </c>
      <c r="AG9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nuclear fuels</v>
      </c>
      <c r="AH9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nuclear fuels</v>
      </c>
      <c r="AI9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nuclear fuels</v>
      </c>
    </row>
    <row r="97" spans="2:35" x14ac:dyDescent="0.45">
      <c r="B97" s="98">
        <v>130000</v>
      </c>
      <c r="C97" s="75" t="s">
        <v>944</v>
      </c>
      <c r="D97" s="98">
        <v>100000</v>
      </c>
      <c r="E97" s="92" t="s">
        <v>1148</v>
      </c>
      <c r="F97" s="19" t="s">
        <v>1188</v>
      </c>
      <c r="G97" s="69" t="s">
        <v>55</v>
      </c>
      <c r="H97" s="69" t="s">
        <v>65</v>
      </c>
      <c r="I97" s="69"/>
      <c r="J97" s="69"/>
      <c r="K97" s="69" t="s">
        <v>1771</v>
      </c>
      <c r="L97" s="69"/>
      <c r="M97" s="69"/>
      <c r="N97" s="118"/>
      <c r="O97" s="118"/>
      <c r="P97" s="69"/>
      <c r="Q97" s="69" t="s">
        <v>1242</v>
      </c>
      <c r="R97" s="69"/>
      <c r="S97" s="69"/>
      <c r="T97" s="71" t="str" cm="1">
        <f t="array" ref="T97">IFERROR(INDEX(Products[[ProdCode]:[Product]],_xlfn.XMATCH(Products[[#This Row],[Parent]],Products[Product],0),2),Products[[#This Row],[Product]])</f>
        <v>Non-renewable waste</v>
      </c>
      <c r="U97" s="71" t="str" cm="1">
        <f t="array" ref="U97">IFERROR(INDEX(Products[[ProdCode]:[Product]],_xlfn.XMATCH(INDEX(Products[[Product]:[Parent]],_xlfn.XMATCH(Products[[#This Row],[L1N]],Products[Product],0),2),Products[ProdCode],0),2),Products[[#This Row],[L1N]])</f>
        <v>Non-renewable energy</v>
      </c>
      <c r="V97" s="71" t="str" cm="1">
        <f t="array" ref="V97">IFERROR(INDEX(Products[[ProdCode]:[Product]],_xlfn.XMATCH(INDEX(Products[[Product]:[Parent]],_xlfn.XMATCH(Products[[#This Row],[L2N]],Products[Product],0),2),Products[ProdCode],0),2),Products[[#This Row],[L2N]])</f>
        <v>Energy</v>
      </c>
      <c r="W97" s="71" t="str" cm="1">
        <f t="array" ref="W97">IFERROR(INDEX(Products[[ProdCode]:[Product]],_xlfn.XMATCH(INDEX(Products[[Product]:[Parent]],_xlfn.XMATCH(Products[[#This Row],[L3N]],Products[Product],0),2),Products[ProdCode],0),2),Products[[#This Row],[L3N]])</f>
        <v>Energy</v>
      </c>
      <c r="X97" s="71" t="str" cm="1">
        <f t="array" ref="X97">IFERROR(INDEX(Products[[ProdCode]:[Product]],_xlfn.XMATCH(INDEX(Products[[Product]:[Parent]],_xlfn.XMATCH(Products[[#This Row],[L4N]],Products[Product],0),2),Products[ProdCode],0),2),Products[[#This Row],[L4N]])</f>
        <v>Energy</v>
      </c>
      <c r="Y97" s="71" t="str" cm="1">
        <f t="array" ref="Y97">IFERROR(INDEX(Products[[ProdCode]:[Product]],_xlfn.XMATCH(INDEX(Products[[Product]:[Parent]],_xlfn.XMATCH(Products[[#This Row],[L5N]],Products[Product],0),2),Products[ProdCode],0),2),Products[[#This Row],[L5N]])</f>
        <v>Energy</v>
      </c>
      <c r="Z97" s="71" t="str" cm="1">
        <f t="array" ref="Z97">IFERROR(INDEX(Products[[ProdCode]:[Product]],_xlfn.XMATCH(INDEX(Products[[Product]:[Parent]],_xlfn.XMATCH(Products[[#This Row],[L6N]],Products[Product],0),2),Products[ProdCode],0),2),Products[[#This Row],[L6N]])</f>
        <v>Energy</v>
      </c>
      <c r="AA97" s="71" t="str" cm="1">
        <f t="array" ref="AA97">IFERROR(INDEX(Products[[ProdCode]:[Product]],_xlfn.XMATCH(INDEX(Products[[Product]:[Parent]],_xlfn.XMATCH(Products[[#This Row],[L7N]],Products[Product],0),2),Products[ProdCode],0),2),Products[[#This Row],[L7N]])</f>
        <v>Energy</v>
      </c>
      <c r="AB9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Non-renewable waste</v>
      </c>
      <c r="AE9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waste</v>
      </c>
      <c r="AF9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waste</v>
      </c>
      <c r="AG9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waste</v>
      </c>
      <c r="AH9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waste</v>
      </c>
      <c r="AI9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waste</v>
      </c>
    </row>
    <row r="98" spans="2:35" x14ac:dyDescent="0.45">
      <c r="B98" s="99">
        <v>131000</v>
      </c>
      <c r="C98" s="78" t="s">
        <v>196</v>
      </c>
      <c r="D98" s="99">
        <v>130000</v>
      </c>
      <c r="E98" s="92" t="s">
        <v>1148</v>
      </c>
      <c r="F98" s="19" t="s">
        <v>1188</v>
      </c>
      <c r="G98" s="69" t="s">
        <v>54</v>
      </c>
      <c r="H98" s="69" t="s">
        <v>83</v>
      </c>
      <c r="I98" s="69"/>
      <c r="J98" s="69"/>
      <c r="K98" s="69" t="s">
        <v>1773</v>
      </c>
      <c r="L98" s="69"/>
      <c r="M98" s="69"/>
      <c r="N98" s="118"/>
      <c r="O98" s="118"/>
      <c r="P98" s="69"/>
      <c r="Q98" s="69" t="s">
        <v>1242</v>
      </c>
      <c r="R98" s="69"/>
      <c r="S98" s="69"/>
      <c r="T98" s="71" t="str" cm="1">
        <f t="array" ref="T98">IFERROR(INDEX(Products[[ProdCode]:[Product]],_xlfn.XMATCH(Products[[#This Row],[Parent]],Products[Product],0),2),Products[[#This Row],[Product]])</f>
        <v>Non-renewable industrial waste</v>
      </c>
      <c r="U98" s="71" t="str" cm="1">
        <f t="array" ref="U98">IFERROR(INDEX(Products[[ProdCode]:[Product]],_xlfn.XMATCH(INDEX(Products[[Product]:[Parent]],_xlfn.XMATCH(Products[[#This Row],[L1N]],Products[Product],0),2),Products[ProdCode],0),2),Products[[#This Row],[L1N]])</f>
        <v>Non-renewable waste</v>
      </c>
      <c r="V98" s="71" t="str" cm="1">
        <f t="array" ref="V98">IFERROR(INDEX(Products[[ProdCode]:[Product]],_xlfn.XMATCH(INDEX(Products[[Product]:[Parent]],_xlfn.XMATCH(Products[[#This Row],[L2N]],Products[Product],0),2),Products[ProdCode],0),2),Products[[#This Row],[L2N]])</f>
        <v>Non-renewable energy</v>
      </c>
      <c r="W98" s="71" t="str" cm="1">
        <f t="array" ref="W98">IFERROR(INDEX(Products[[ProdCode]:[Product]],_xlfn.XMATCH(INDEX(Products[[Product]:[Parent]],_xlfn.XMATCH(Products[[#This Row],[L3N]],Products[Product],0),2),Products[ProdCode],0),2),Products[[#This Row],[L3N]])</f>
        <v>Energy</v>
      </c>
      <c r="X98" s="71" t="str" cm="1">
        <f t="array" ref="X98">IFERROR(INDEX(Products[[ProdCode]:[Product]],_xlfn.XMATCH(INDEX(Products[[Product]:[Parent]],_xlfn.XMATCH(Products[[#This Row],[L4N]],Products[Product],0),2),Products[ProdCode],0),2),Products[[#This Row],[L4N]])</f>
        <v>Energy</v>
      </c>
      <c r="Y98" s="71" t="str" cm="1">
        <f t="array" ref="Y98">IFERROR(INDEX(Products[[ProdCode]:[Product]],_xlfn.XMATCH(INDEX(Products[[Product]:[Parent]],_xlfn.XMATCH(Products[[#This Row],[L5N]],Products[Product],0),2),Products[ProdCode],0),2),Products[[#This Row],[L5N]])</f>
        <v>Energy</v>
      </c>
      <c r="Z98" s="71" t="str" cm="1">
        <f t="array" ref="Z98">IFERROR(INDEX(Products[[ProdCode]:[Product]],_xlfn.XMATCH(INDEX(Products[[Product]:[Parent]],_xlfn.XMATCH(Products[[#This Row],[L6N]],Products[Product],0),2),Products[ProdCode],0),2),Products[[#This Row],[L6N]])</f>
        <v>Energy</v>
      </c>
      <c r="AA98" s="71" t="str" cm="1">
        <f t="array" ref="AA98">IFERROR(INDEX(Products[[ProdCode]:[Product]],_xlfn.XMATCH(INDEX(Products[[Product]:[Parent]],_xlfn.XMATCH(Products[[#This Row],[L7N]],Products[Product],0),2),Products[ProdCode],0),2),Products[[#This Row],[L7N]])</f>
        <v>Energy</v>
      </c>
      <c r="AB9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Non-renewable waste</v>
      </c>
      <c r="AE9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industrial waste</v>
      </c>
      <c r="AF9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industrial waste</v>
      </c>
      <c r="AG9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industrial waste</v>
      </c>
      <c r="AH9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industrial waste</v>
      </c>
      <c r="AI9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industrial waste</v>
      </c>
    </row>
    <row r="99" spans="2:35" x14ac:dyDescent="0.45">
      <c r="B99" s="99">
        <v>132000</v>
      </c>
      <c r="C99" s="78" t="s">
        <v>204</v>
      </c>
      <c r="D99" s="99">
        <v>130000</v>
      </c>
      <c r="E99" s="92" t="s">
        <v>1148</v>
      </c>
      <c r="F99" s="19" t="s">
        <v>1188</v>
      </c>
      <c r="G99" s="69" t="s">
        <v>54</v>
      </c>
      <c r="H99" s="69" t="s">
        <v>83</v>
      </c>
      <c r="I99" s="69"/>
      <c r="J99" s="69"/>
      <c r="K99" s="69" t="s">
        <v>1772</v>
      </c>
      <c r="L99" s="69"/>
      <c r="M99" s="69"/>
      <c r="N99" s="118"/>
      <c r="O99" s="118"/>
      <c r="P99" s="69"/>
      <c r="Q99" s="69" t="s">
        <v>1242</v>
      </c>
      <c r="R99" s="69"/>
      <c r="S99" s="69"/>
      <c r="T99" s="71" t="str" cm="1">
        <f t="array" ref="T99">IFERROR(INDEX(Products[[ProdCode]:[Product]],_xlfn.XMATCH(Products[[#This Row],[Parent]],Products[Product],0),2),Products[[#This Row],[Product]])</f>
        <v>Non-renewable municipal waste</v>
      </c>
      <c r="U99" s="71" t="str" cm="1">
        <f t="array" ref="U99">IFERROR(INDEX(Products[[ProdCode]:[Product]],_xlfn.XMATCH(INDEX(Products[[Product]:[Parent]],_xlfn.XMATCH(Products[[#This Row],[L1N]],Products[Product],0),2),Products[ProdCode],0),2),Products[[#This Row],[L1N]])</f>
        <v>Non-renewable waste</v>
      </c>
      <c r="V99" s="71" t="str" cm="1">
        <f t="array" ref="V99">IFERROR(INDEX(Products[[ProdCode]:[Product]],_xlfn.XMATCH(INDEX(Products[[Product]:[Parent]],_xlfn.XMATCH(Products[[#This Row],[L2N]],Products[Product],0),2),Products[ProdCode],0),2),Products[[#This Row],[L2N]])</f>
        <v>Non-renewable energy</v>
      </c>
      <c r="W99" s="71" t="str" cm="1">
        <f t="array" ref="W99">IFERROR(INDEX(Products[[ProdCode]:[Product]],_xlfn.XMATCH(INDEX(Products[[Product]:[Parent]],_xlfn.XMATCH(Products[[#This Row],[L3N]],Products[Product],0),2),Products[ProdCode],0),2),Products[[#This Row],[L3N]])</f>
        <v>Energy</v>
      </c>
      <c r="X99" s="71" t="str" cm="1">
        <f t="array" ref="X99">IFERROR(INDEX(Products[[ProdCode]:[Product]],_xlfn.XMATCH(INDEX(Products[[Product]:[Parent]],_xlfn.XMATCH(Products[[#This Row],[L4N]],Products[Product],0),2),Products[ProdCode],0),2),Products[[#This Row],[L4N]])</f>
        <v>Energy</v>
      </c>
      <c r="Y99" s="71" t="str" cm="1">
        <f t="array" ref="Y99">IFERROR(INDEX(Products[[ProdCode]:[Product]],_xlfn.XMATCH(INDEX(Products[[Product]:[Parent]],_xlfn.XMATCH(Products[[#This Row],[L5N]],Products[Product],0),2),Products[ProdCode],0),2),Products[[#This Row],[L5N]])</f>
        <v>Energy</v>
      </c>
      <c r="Z99" s="71" t="str" cm="1">
        <f t="array" ref="Z99">IFERROR(INDEX(Products[[ProdCode]:[Product]],_xlfn.XMATCH(INDEX(Products[[Product]:[Parent]],_xlfn.XMATCH(Products[[#This Row],[L6N]],Products[Product],0),2),Products[ProdCode],0),2),Products[[#This Row],[L6N]])</f>
        <v>Energy</v>
      </c>
      <c r="AA99" s="71" t="str" cm="1">
        <f t="array" ref="AA99">IFERROR(INDEX(Products[[ProdCode]:[Product]],_xlfn.XMATCH(INDEX(Products[[Product]:[Parent]],_xlfn.XMATCH(Products[[#This Row],[L7N]],Products[Product],0),2),Products[ProdCode],0),2),Products[[#This Row],[L7N]])</f>
        <v>Energy</v>
      </c>
      <c r="AB9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9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9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Non-renewable waste</v>
      </c>
      <c r="AE9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municipal waste</v>
      </c>
      <c r="AF9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municipal waste</v>
      </c>
      <c r="AG9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municipal waste</v>
      </c>
      <c r="AH9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municipal waste</v>
      </c>
      <c r="AI9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municipal waste</v>
      </c>
    </row>
    <row r="100" spans="2:35" x14ac:dyDescent="0.45">
      <c r="B100" s="98">
        <v>140000</v>
      </c>
      <c r="C100" s="75" t="s">
        <v>188</v>
      </c>
      <c r="D100" s="98">
        <v>100000</v>
      </c>
      <c r="E100" s="92" t="s">
        <v>1148</v>
      </c>
      <c r="F100" s="19" t="s">
        <v>1188</v>
      </c>
      <c r="G100" s="69" t="s">
        <v>55</v>
      </c>
      <c r="H100" s="69" t="s">
        <v>65</v>
      </c>
      <c r="I100" s="69"/>
      <c r="J100" s="69"/>
      <c r="K100" s="69" t="s">
        <v>1774</v>
      </c>
      <c r="L100" s="69"/>
      <c r="M100" s="69"/>
      <c r="N100" s="118"/>
      <c r="O100" s="118"/>
      <c r="P100" s="69"/>
      <c r="Q100" s="69"/>
      <c r="R100" s="69"/>
      <c r="S100" s="69"/>
      <c r="T100" s="71" t="str" cm="1">
        <f t="array" ref="T100">IFERROR(INDEX(Products[[ProdCode]:[Product]],_xlfn.XMATCH(Products[[#This Row],[Parent]],Products[Product],0),2),Products[[#This Row],[Product]])</f>
        <v>Other non-renewable energy</v>
      </c>
      <c r="U100" s="71" t="str" cm="1">
        <f t="array" ref="U100">IFERROR(INDEX(Products[[ProdCode]:[Product]],_xlfn.XMATCH(INDEX(Products[[Product]:[Parent]],_xlfn.XMATCH(Products[[#This Row],[L1N]],Products[Product],0),2),Products[ProdCode],0),2),Products[[#This Row],[L1N]])</f>
        <v>Non-renewable energy</v>
      </c>
      <c r="V100" s="71" t="str" cm="1">
        <f t="array" ref="V100">IFERROR(INDEX(Products[[ProdCode]:[Product]],_xlfn.XMATCH(INDEX(Products[[Product]:[Parent]],_xlfn.XMATCH(Products[[#This Row],[L2N]],Products[Product],0),2),Products[ProdCode],0),2),Products[[#This Row],[L2N]])</f>
        <v>Energy</v>
      </c>
      <c r="W100" s="71" t="str" cm="1">
        <f t="array" ref="W100">IFERROR(INDEX(Products[[ProdCode]:[Product]],_xlfn.XMATCH(INDEX(Products[[Product]:[Parent]],_xlfn.XMATCH(Products[[#This Row],[L3N]],Products[Product],0),2),Products[ProdCode],0),2),Products[[#This Row],[L3N]])</f>
        <v>Energy</v>
      </c>
      <c r="X100" s="71" t="str" cm="1">
        <f t="array" ref="X100">IFERROR(INDEX(Products[[ProdCode]:[Product]],_xlfn.XMATCH(INDEX(Products[[Product]:[Parent]],_xlfn.XMATCH(Products[[#This Row],[L4N]],Products[Product],0),2),Products[ProdCode],0),2),Products[[#This Row],[L4N]])</f>
        <v>Energy</v>
      </c>
      <c r="Y100" s="71" t="str" cm="1">
        <f t="array" ref="Y100">IFERROR(INDEX(Products[[ProdCode]:[Product]],_xlfn.XMATCH(INDEX(Products[[Product]:[Parent]],_xlfn.XMATCH(Products[[#This Row],[L5N]],Products[Product],0),2),Products[ProdCode],0),2),Products[[#This Row],[L5N]])</f>
        <v>Energy</v>
      </c>
      <c r="Z100" s="71" t="str" cm="1">
        <f t="array" ref="Z100">IFERROR(INDEX(Products[[ProdCode]:[Product]],_xlfn.XMATCH(INDEX(Products[[Product]:[Parent]],_xlfn.XMATCH(Products[[#This Row],[L6N]],Products[Product],0),2),Products[ProdCode],0),2),Products[[#This Row],[L6N]])</f>
        <v>Energy</v>
      </c>
      <c r="AA100" s="71" t="str" cm="1">
        <f t="array" ref="AA100">IFERROR(INDEX(Products[[ProdCode]:[Product]],_xlfn.XMATCH(INDEX(Products[[Product]:[Parent]],_xlfn.XMATCH(Products[[#This Row],[L7N]],Products[Product],0),2),Products[ProdCode],0),2),Products[[#This Row],[L7N]])</f>
        <v>Energy</v>
      </c>
      <c r="AB10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non-renewable energy</v>
      </c>
      <c r="AF10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non-renewable energy</v>
      </c>
      <c r="AG10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non-renewable energy</v>
      </c>
      <c r="AH10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non-renewable energy</v>
      </c>
      <c r="AI10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non-renewable energy</v>
      </c>
    </row>
    <row r="101" spans="2:35" x14ac:dyDescent="0.45">
      <c r="B101" s="99">
        <v>141000</v>
      </c>
      <c r="C101" s="78" t="s">
        <v>211</v>
      </c>
      <c r="D101" s="99">
        <v>140000</v>
      </c>
      <c r="E101" s="92" t="s">
        <v>1148</v>
      </c>
      <c r="F101" s="19" t="s">
        <v>1188</v>
      </c>
      <c r="G101" s="69" t="s">
        <v>54</v>
      </c>
      <c r="H101" s="69" t="s">
        <v>83</v>
      </c>
      <c r="I101" s="69"/>
      <c r="J101" s="69"/>
      <c r="K101" s="69" t="s">
        <v>1041</v>
      </c>
      <c r="L101" s="69"/>
      <c r="M101" s="69"/>
      <c r="N101" s="118"/>
      <c r="O101" s="118"/>
      <c r="P101" s="69"/>
      <c r="Q101" s="69"/>
      <c r="R101" s="69"/>
      <c r="S101" s="69"/>
      <c r="T101" s="71" t="str" cm="1">
        <f t="array" ref="T101">IFERROR(INDEX(Products[[ProdCode]:[Product]],_xlfn.XMATCH(Products[[#This Row],[Parent]],Products[Product],0),2),Products[[#This Row],[Product]])</f>
        <v>Chemical heat</v>
      </c>
      <c r="U101" s="71" t="str" cm="1">
        <f t="array" ref="U101">IFERROR(INDEX(Products[[ProdCode]:[Product]],_xlfn.XMATCH(INDEX(Products[[Product]:[Parent]],_xlfn.XMATCH(Products[[#This Row],[L1N]],Products[Product],0),2),Products[ProdCode],0),2),Products[[#This Row],[L1N]])</f>
        <v>Other non-renewable energy</v>
      </c>
      <c r="V101" s="71" t="str" cm="1">
        <f t="array" ref="V101">IFERROR(INDEX(Products[[ProdCode]:[Product]],_xlfn.XMATCH(INDEX(Products[[Product]:[Parent]],_xlfn.XMATCH(Products[[#This Row],[L2N]],Products[Product],0),2),Products[ProdCode],0),2),Products[[#This Row],[L2N]])</f>
        <v>Non-renewable energy</v>
      </c>
      <c r="W101" s="71" t="str" cm="1">
        <f t="array" ref="W101">IFERROR(INDEX(Products[[ProdCode]:[Product]],_xlfn.XMATCH(INDEX(Products[[Product]:[Parent]],_xlfn.XMATCH(Products[[#This Row],[L3N]],Products[Product],0),2),Products[ProdCode],0),2),Products[[#This Row],[L3N]])</f>
        <v>Energy</v>
      </c>
      <c r="X101" s="71" t="str" cm="1">
        <f t="array" ref="X101">IFERROR(INDEX(Products[[ProdCode]:[Product]],_xlfn.XMATCH(INDEX(Products[[Product]:[Parent]],_xlfn.XMATCH(Products[[#This Row],[L4N]],Products[Product],0),2),Products[ProdCode],0),2),Products[[#This Row],[L4N]])</f>
        <v>Energy</v>
      </c>
      <c r="Y101" s="71" t="str" cm="1">
        <f t="array" ref="Y101">IFERROR(INDEX(Products[[ProdCode]:[Product]],_xlfn.XMATCH(INDEX(Products[[Product]:[Parent]],_xlfn.XMATCH(Products[[#This Row],[L5N]],Products[Product],0),2),Products[ProdCode],0),2),Products[[#This Row],[L5N]])</f>
        <v>Energy</v>
      </c>
      <c r="Z101" s="71" t="str" cm="1">
        <f t="array" ref="Z101">IFERROR(INDEX(Products[[ProdCode]:[Product]],_xlfn.XMATCH(INDEX(Products[[Product]:[Parent]],_xlfn.XMATCH(Products[[#This Row],[L6N]],Products[Product],0),2),Products[ProdCode],0),2),Products[[#This Row],[L6N]])</f>
        <v>Energy</v>
      </c>
      <c r="AA101" s="71" t="str" cm="1">
        <f t="array" ref="AA101">IFERROR(INDEX(Products[[ProdCode]:[Product]],_xlfn.XMATCH(INDEX(Products[[Product]:[Parent]],_xlfn.XMATCH(Products[[#This Row],[L7N]],Products[Product],0),2),Products[ProdCode],0),2),Products[[#This Row],[L7N]])</f>
        <v>Energy</v>
      </c>
      <c r="AB10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Chemical heat</v>
      </c>
      <c r="AF10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Chemical heat</v>
      </c>
      <c r="AG10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Chemical heat</v>
      </c>
      <c r="AH10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Chemical heat</v>
      </c>
      <c r="AI10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Chemical heat</v>
      </c>
    </row>
    <row r="102" spans="2:35" x14ac:dyDescent="0.45">
      <c r="B102" s="99">
        <v>142000</v>
      </c>
      <c r="C102" s="78" t="s">
        <v>1468</v>
      </c>
      <c r="D102" s="99">
        <v>140000</v>
      </c>
      <c r="E102" s="92" t="s">
        <v>1148</v>
      </c>
      <c r="F102" s="19" t="s">
        <v>1189</v>
      </c>
      <c r="G102" s="69" t="s">
        <v>54</v>
      </c>
      <c r="H102" s="69" t="s">
        <v>83</v>
      </c>
      <c r="I102" s="69"/>
      <c r="J102" s="69"/>
      <c r="K102" s="69" t="s">
        <v>1775</v>
      </c>
      <c r="L102" s="69"/>
      <c r="M102" s="69"/>
      <c r="N102" s="118"/>
      <c r="O102" s="118"/>
      <c r="P102" s="69" t="s">
        <v>1310</v>
      </c>
      <c r="Q102" s="69"/>
      <c r="R102" s="69"/>
      <c r="S102" s="69"/>
      <c r="T102" s="71" t="str" cm="1">
        <f t="array" ref="T102">IFERROR(INDEX(Products[[ProdCode]:[Product]],_xlfn.XMATCH(Products[[#This Row],[Parent]],Products[Product],0),2),Products[[#This Row],[Product]])</f>
        <v>Non-renewable electrolytic hydrogen</v>
      </c>
      <c r="U102" s="71" t="str" cm="1">
        <f t="array" ref="U102">IFERROR(INDEX(Products[[ProdCode]:[Product]],_xlfn.XMATCH(INDEX(Products[[Product]:[Parent]],_xlfn.XMATCH(Products[[#This Row],[L1N]],Products[Product],0),2),Products[ProdCode],0),2),Products[[#This Row],[L1N]])</f>
        <v>Other non-renewable energy</v>
      </c>
      <c r="V102" s="71" t="str" cm="1">
        <f t="array" ref="V102">IFERROR(INDEX(Products[[ProdCode]:[Product]],_xlfn.XMATCH(INDEX(Products[[Product]:[Parent]],_xlfn.XMATCH(Products[[#This Row],[L2N]],Products[Product],0),2),Products[ProdCode],0),2),Products[[#This Row],[L2N]])</f>
        <v>Non-renewable energy</v>
      </c>
      <c r="W102" s="71" t="str" cm="1">
        <f t="array" ref="W102">IFERROR(INDEX(Products[[ProdCode]:[Product]],_xlfn.XMATCH(INDEX(Products[[Product]:[Parent]],_xlfn.XMATCH(Products[[#This Row],[L3N]],Products[Product],0),2),Products[ProdCode],0),2),Products[[#This Row],[L3N]])</f>
        <v>Energy</v>
      </c>
      <c r="X102" s="71" t="str" cm="1">
        <f t="array" ref="X102">IFERROR(INDEX(Products[[ProdCode]:[Product]],_xlfn.XMATCH(INDEX(Products[[Product]:[Parent]],_xlfn.XMATCH(Products[[#This Row],[L4N]],Products[Product],0),2),Products[ProdCode],0),2),Products[[#This Row],[L4N]])</f>
        <v>Energy</v>
      </c>
      <c r="Y102" s="71" t="str" cm="1">
        <f t="array" ref="Y102">IFERROR(INDEX(Products[[ProdCode]:[Product]],_xlfn.XMATCH(INDEX(Products[[Product]:[Parent]],_xlfn.XMATCH(Products[[#This Row],[L5N]],Products[Product],0),2),Products[ProdCode],0),2),Products[[#This Row],[L5N]])</f>
        <v>Energy</v>
      </c>
      <c r="Z102" s="71" t="str" cm="1">
        <f t="array" ref="Z102">IFERROR(INDEX(Products[[ProdCode]:[Product]],_xlfn.XMATCH(INDEX(Products[[Product]:[Parent]],_xlfn.XMATCH(Products[[#This Row],[L6N]],Products[Product],0),2),Products[ProdCode],0),2),Products[[#This Row],[L6N]])</f>
        <v>Energy</v>
      </c>
      <c r="AA102" s="71" t="str" cm="1">
        <f t="array" ref="AA102">IFERROR(INDEX(Products[[ProdCode]:[Product]],_xlfn.XMATCH(INDEX(Products[[Product]:[Parent]],_xlfn.XMATCH(Products[[#This Row],[L7N]],Products[Product],0),2),Products[ProdCode],0),2),Products[[#This Row],[L7N]])</f>
        <v>Energy</v>
      </c>
      <c r="AB10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electrolytic hydrogen</v>
      </c>
      <c r="AF10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electrolytic hydrogen</v>
      </c>
      <c r="AG10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electrolytic hydrogen</v>
      </c>
      <c r="AH10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electrolytic hydrogen</v>
      </c>
      <c r="AI10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electrolytic hydrogen</v>
      </c>
    </row>
    <row r="103" spans="2:35" x14ac:dyDescent="0.45">
      <c r="B103" s="99">
        <v>143000</v>
      </c>
      <c r="C103" s="78" t="s">
        <v>1469</v>
      </c>
      <c r="D103" s="99">
        <v>140000</v>
      </c>
      <c r="E103" s="92" t="s">
        <v>1148</v>
      </c>
      <c r="F103" s="19" t="s">
        <v>1189</v>
      </c>
      <c r="G103" s="69" t="s">
        <v>54</v>
      </c>
      <c r="H103" s="69" t="s">
        <v>83</v>
      </c>
      <c r="I103" s="69"/>
      <c r="J103" s="69"/>
      <c r="K103" s="69" t="s">
        <v>1776</v>
      </c>
      <c r="L103" s="69"/>
      <c r="M103" s="69"/>
      <c r="N103" s="118"/>
      <c r="O103" s="118"/>
      <c r="P103" s="69" t="s">
        <v>1310</v>
      </c>
      <c r="Q103" s="69"/>
      <c r="R103" s="69"/>
      <c r="S103" s="69"/>
      <c r="T103" s="71" t="str" cm="1">
        <f t="array" ref="T103">IFERROR(INDEX(Products[[ProdCode]:[Product]],_xlfn.XMATCH(Products[[#This Row],[Parent]],Products[Product],0),2),Products[[#This Row],[Product]])</f>
        <v>Non-renewable thermolytic hydrogen</v>
      </c>
      <c r="U103" s="71" t="str" cm="1">
        <f t="array" ref="U103">IFERROR(INDEX(Products[[ProdCode]:[Product]],_xlfn.XMATCH(INDEX(Products[[Product]:[Parent]],_xlfn.XMATCH(Products[[#This Row],[L1N]],Products[Product],0),2),Products[ProdCode],0),2),Products[[#This Row],[L1N]])</f>
        <v>Other non-renewable energy</v>
      </c>
      <c r="V103" s="71" t="str" cm="1">
        <f t="array" ref="V103">IFERROR(INDEX(Products[[ProdCode]:[Product]],_xlfn.XMATCH(INDEX(Products[[Product]:[Parent]],_xlfn.XMATCH(Products[[#This Row],[L2N]],Products[Product],0),2),Products[ProdCode],0),2),Products[[#This Row],[L2N]])</f>
        <v>Non-renewable energy</v>
      </c>
      <c r="W103" s="71" t="str" cm="1">
        <f t="array" ref="W103">IFERROR(INDEX(Products[[ProdCode]:[Product]],_xlfn.XMATCH(INDEX(Products[[Product]:[Parent]],_xlfn.XMATCH(Products[[#This Row],[L3N]],Products[Product],0),2),Products[ProdCode],0),2),Products[[#This Row],[L3N]])</f>
        <v>Energy</v>
      </c>
      <c r="X103" s="71" t="str" cm="1">
        <f t="array" ref="X103">IFERROR(INDEX(Products[[ProdCode]:[Product]],_xlfn.XMATCH(INDEX(Products[[Product]:[Parent]],_xlfn.XMATCH(Products[[#This Row],[L4N]],Products[Product],0),2),Products[ProdCode],0),2),Products[[#This Row],[L4N]])</f>
        <v>Energy</v>
      </c>
      <c r="Y103" s="71" t="str" cm="1">
        <f t="array" ref="Y103">IFERROR(INDEX(Products[[ProdCode]:[Product]],_xlfn.XMATCH(INDEX(Products[[Product]:[Parent]],_xlfn.XMATCH(Products[[#This Row],[L5N]],Products[Product],0),2),Products[ProdCode],0),2),Products[[#This Row],[L5N]])</f>
        <v>Energy</v>
      </c>
      <c r="Z103" s="71" t="str" cm="1">
        <f t="array" ref="Z103">IFERROR(INDEX(Products[[ProdCode]:[Product]],_xlfn.XMATCH(INDEX(Products[[Product]:[Parent]],_xlfn.XMATCH(Products[[#This Row],[L6N]],Products[Product],0),2),Products[ProdCode],0),2),Products[[#This Row],[L6N]])</f>
        <v>Energy</v>
      </c>
      <c r="AA103" s="71" t="str" cm="1">
        <f t="array" ref="AA103">IFERROR(INDEX(Products[[ProdCode]:[Product]],_xlfn.XMATCH(INDEX(Products[[Product]:[Parent]],_xlfn.XMATCH(Products[[#This Row],[L7N]],Products[Product],0),2),Products[ProdCode],0),2),Products[[#This Row],[L7N]])</f>
        <v>Energy</v>
      </c>
      <c r="AB10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thermolytic hydrogen</v>
      </c>
      <c r="AF10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thermolytic hydrogen</v>
      </c>
      <c r="AG10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thermolytic hydrogen</v>
      </c>
      <c r="AH10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thermolytic hydrogen</v>
      </c>
      <c r="AI10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thermolytic hydrogen</v>
      </c>
    </row>
    <row r="104" spans="2:35" x14ac:dyDescent="0.45">
      <c r="B104" s="99">
        <v>144000</v>
      </c>
      <c r="C104" s="78" t="s">
        <v>945</v>
      </c>
      <c r="D104" s="99">
        <v>140000</v>
      </c>
      <c r="E104" s="92" t="s">
        <v>1148</v>
      </c>
      <c r="F104" s="19" t="s">
        <v>1189</v>
      </c>
      <c r="G104" s="69" t="s">
        <v>54</v>
      </c>
      <c r="H104" s="69" t="s">
        <v>83</v>
      </c>
      <c r="I104" s="69"/>
      <c r="J104" s="69"/>
      <c r="K104" s="69" t="s">
        <v>1777</v>
      </c>
      <c r="L104" s="69"/>
      <c r="M104" s="69"/>
      <c r="N104" s="118"/>
      <c r="O104" s="118"/>
      <c r="P104" s="69" t="s">
        <v>1229</v>
      </c>
      <c r="Q104" s="69"/>
      <c r="R104" s="69"/>
      <c r="S104" s="69"/>
      <c r="T104" s="71" t="str" cm="1">
        <f t="array" ref="T104">IFERROR(INDEX(Products[[ProdCode]:[Product]],_xlfn.XMATCH(Products[[#This Row],[Parent]],Products[Product],0),2),Products[[#This Row],[Product]])</f>
        <v>Other non-renewable ammonia</v>
      </c>
      <c r="U104" s="71" t="str" cm="1">
        <f t="array" ref="U104">IFERROR(INDEX(Products[[ProdCode]:[Product]],_xlfn.XMATCH(INDEX(Products[[Product]:[Parent]],_xlfn.XMATCH(Products[[#This Row],[L1N]],Products[Product],0),2),Products[ProdCode],0),2),Products[[#This Row],[L1N]])</f>
        <v>Other non-renewable energy</v>
      </c>
      <c r="V104" s="71" t="str" cm="1">
        <f t="array" ref="V104">IFERROR(INDEX(Products[[ProdCode]:[Product]],_xlfn.XMATCH(INDEX(Products[[Product]:[Parent]],_xlfn.XMATCH(Products[[#This Row],[L2N]],Products[Product],0),2),Products[ProdCode],0),2),Products[[#This Row],[L2N]])</f>
        <v>Non-renewable energy</v>
      </c>
      <c r="W104" s="71" t="str" cm="1">
        <f t="array" ref="W104">IFERROR(INDEX(Products[[ProdCode]:[Product]],_xlfn.XMATCH(INDEX(Products[[Product]:[Parent]],_xlfn.XMATCH(Products[[#This Row],[L3N]],Products[Product],0),2),Products[ProdCode],0),2),Products[[#This Row],[L3N]])</f>
        <v>Energy</v>
      </c>
      <c r="X104" s="71" t="str" cm="1">
        <f t="array" ref="X104">IFERROR(INDEX(Products[[ProdCode]:[Product]],_xlfn.XMATCH(INDEX(Products[[Product]:[Parent]],_xlfn.XMATCH(Products[[#This Row],[L4N]],Products[Product],0),2),Products[ProdCode],0),2),Products[[#This Row],[L4N]])</f>
        <v>Energy</v>
      </c>
      <c r="Y104" s="71" t="str" cm="1">
        <f t="array" ref="Y104">IFERROR(INDEX(Products[[ProdCode]:[Product]],_xlfn.XMATCH(INDEX(Products[[Product]:[Parent]],_xlfn.XMATCH(Products[[#This Row],[L5N]],Products[Product],0),2),Products[ProdCode],0),2),Products[[#This Row],[L5N]])</f>
        <v>Energy</v>
      </c>
      <c r="Z104" s="71" t="str" cm="1">
        <f t="array" ref="Z104">IFERROR(INDEX(Products[[ProdCode]:[Product]],_xlfn.XMATCH(INDEX(Products[[Product]:[Parent]],_xlfn.XMATCH(Products[[#This Row],[L6N]],Products[Product],0),2),Products[ProdCode],0),2),Products[[#This Row],[L6N]])</f>
        <v>Energy</v>
      </c>
      <c r="AA104" s="71" t="str" cm="1">
        <f t="array" ref="AA104">IFERROR(INDEX(Products[[ProdCode]:[Product]],_xlfn.XMATCH(INDEX(Products[[Product]:[Parent]],_xlfn.XMATCH(Products[[#This Row],[L7N]],Products[Product],0),2),Products[ProdCode],0),2),Products[[#This Row],[L7N]])</f>
        <v>Energy</v>
      </c>
      <c r="AB10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non-renewable ammonia</v>
      </c>
      <c r="AF10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non-renewable ammonia</v>
      </c>
      <c r="AG10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non-renewable ammonia</v>
      </c>
      <c r="AH10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non-renewable ammonia</v>
      </c>
      <c r="AI10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non-renewable ammonia</v>
      </c>
    </row>
    <row r="105" spans="2:35" ht="15.75" customHeight="1" x14ac:dyDescent="0.45">
      <c r="B105" s="99">
        <v>149000</v>
      </c>
      <c r="C105" s="78" t="s">
        <v>218</v>
      </c>
      <c r="D105" s="99">
        <v>140000</v>
      </c>
      <c r="E105" s="92" t="s">
        <v>1148</v>
      </c>
      <c r="F105" s="19" t="s">
        <v>1188</v>
      </c>
      <c r="G105" s="69" t="s">
        <v>54</v>
      </c>
      <c r="H105" s="69" t="s">
        <v>83</v>
      </c>
      <c r="I105" s="69"/>
      <c r="J105" s="69"/>
      <c r="K105" s="69" t="s">
        <v>1778</v>
      </c>
      <c r="L105" s="69"/>
      <c r="M105" s="69"/>
      <c r="N105" s="118"/>
      <c r="O105" s="118"/>
      <c r="P105" s="69"/>
      <c r="Q105" s="69"/>
      <c r="R105" s="69"/>
      <c r="S105" s="69"/>
      <c r="T105" s="71" t="str" cm="1">
        <f t="array" ref="T105">IFERROR(INDEX(Products[[ProdCode]:[Product]],_xlfn.XMATCH(Products[[#This Row],[Parent]],Products[Product],0),2),Products[[#This Row],[Product]])</f>
        <v>Other non-renewable energy n.e.s.</v>
      </c>
      <c r="U105" s="71" t="str" cm="1">
        <f t="array" ref="U105">IFERROR(INDEX(Products[[ProdCode]:[Product]],_xlfn.XMATCH(INDEX(Products[[Product]:[Parent]],_xlfn.XMATCH(Products[[#This Row],[L1N]],Products[Product],0),2),Products[ProdCode],0),2),Products[[#This Row],[L1N]])</f>
        <v>Other non-renewable energy</v>
      </c>
      <c r="V105" s="71" t="str" cm="1">
        <f t="array" ref="V105">IFERROR(INDEX(Products[[ProdCode]:[Product]],_xlfn.XMATCH(INDEX(Products[[Product]:[Parent]],_xlfn.XMATCH(Products[[#This Row],[L2N]],Products[Product],0),2),Products[ProdCode],0),2),Products[[#This Row],[L2N]])</f>
        <v>Non-renewable energy</v>
      </c>
      <c r="W105" s="71" t="str" cm="1">
        <f t="array" ref="W105">IFERROR(INDEX(Products[[ProdCode]:[Product]],_xlfn.XMATCH(INDEX(Products[[Product]:[Parent]],_xlfn.XMATCH(Products[[#This Row],[L3N]],Products[Product],0),2),Products[ProdCode],0),2),Products[[#This Row],[L3N]])</f>
        <v>Energy</v>
      </c>
      <c r="X105" s="71" t="str" cm="1">
        <f t="array" ref="X105">IFERROR(INDEX(Products[[ProdCode]:[Product]],_xlfn.XMATCH(INDEX(Products[[Product]:[Parent]],_xlfn.XMATCH(Products[[#This Row],[L4N]],Products[Product],0),2),Products[ProdCode],0),2),Products[[#This Row],[L4N]])</f>
        <v>Energy</v>
      </c>
      <c r="Y105" s="71" t="str" cm="1">
        <f t="array" ref="Y105">IFERROR(INDEX(Products[[ProdCode]:[Product]],_xlfn.XMATCH(INDEX(Products[[Product]:[Parent]],_xlfn.XMATCH(Products[[#This Row],[L5N]],Products[Product],0),2),Products[ProdCode],0),2),Products[[#This Row],[L5N]])</f>
        <v>Energy</v>
      </c>
      <c r="Z105" s="71" t="str" cm="1">
        <f t="array" ref="Z105">IFERROR(INDEX(Products[[ProdCode]:[Product]],_xlfn.XMATCH(INDEX(Products[[Product]:[Parent]],_xlfn.XMATCH(Products[[#This Row],[L6N]],Products[Product],0),2),Products[ProdCode],0),2),Products[[#This Row],[L6N]])</f>
        <v>Energy</v>
      </c>
      <c r="AA105" s="71" t="str" cm="1">
        <f t="array" ref="AA105">IFERROR(INDEX(Products[[ProdCode]:[Product]],_xlfn.XMATCH(INDEX(Products[[Product]:[Parent]],_xlfn.XMATCH(Products[[#This Row],[L7N]],Products[Product],0),2),Products[ProdCode],0),2),Products[[#This Row],[L7N]])</f>
        <v>Energy</v>
      </c>
      <c r="AB10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energy</v>
      </c>
      <c r="AD10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non-renewable energy</v>
      </c>
      <c r="AE10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non-renewable energy n.e.s.</v>
      </c>
      <c r="AF10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non-renewable energy n.e.s.</v>
      </c>
      <c r="AG10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non-renewable energy n.e.s.</v>
      </c>
      <c r="AH10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non-renewable energy n.e.s.</v>
      </c>
      <c r="AI10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non-renewable energy n.e.s.</v>
      </c>
    </row>
    <row r="106" spans="2:35" ht="15.75" x14ac:dyDescent="0.5">
      <c r="B106" s="103">
        <v>200000</v>
      </c>
      <c r="C106" s="70" t="s">
        <v>946</v>
      </c>
      <c r="D106" s="103">
        <v>900000</v>
      </c>
      <c r="E106" s="93" t="s">
        <v>1149</v>
      </c>
      <c r="F106" s="19" t="s">
        <v>1188</v>
      </c>
      <c r="G106" s="82" t="s">
        <v>1198</v>
      </c>
      <c r="H106" s="82" t="s">
        <v>65</v>
      </c>
      <c r="I106" s="82"/>
      <c r="J106" s="82"/>
      <c r="K106" s="82" t="s">
        <v>242</v>
      </c>
      <c r="L106" s="82"/>
      <c r="M106" s="82"/>
      <c r="N106" s="119"/>
      <c r="O106" s="119"/>
      <c r="P106" s="82"/>
      <c r="Q106" s="82"/>
      <c r="R106" s="82"/>
      <c r="S106" s="82"/>
      <c r="T106" s="71" t="str" cm="1">
        <f t="array" ref="T106">IFERROR(INDEX(Products[[ProdCode]:[Product]],_xlfn.XMATCH(Products[[#This Row],[Parent]],Products[Product],0),2),Products[[#This Row],[Product]])</f>
        <v>Renewable Energy</v>
      </c>
      <c r="U106" s="71" t="str" cm="1">
        <f t="array" ref="U106">IFERROR(INDEX(Products[[ProdCode]:[Product]],_xlfn.XMATCH(INDEX(Products[[Product]:[Parent]],_xlfn.XMATCH(Products[[#This Row],[L1N]],Products[Product],0),2),Products[ProdCode],0),2),Products[[#This Row],[L1N]])</f>
        <v>Energy</v>
      </c>
      <c r="V106" s="71" t="str" cm="1">
        <f t="array" ref="V106">IFERROR(INDEX(Products[[ProdCode]:[Product]],_xlfn.XMATCH(INDEX(Products[[Product]:[Parent]],_xlfn.XMATCH(Products[[#This Row],[L2N]],Products[Product],0),2),Products[ProdCode],0),2),Products[[#This Row],[L2N]])</f>
        <v>Energy</v>
      </c>
      <c r="W106" s="71" t="str" cm="1">
        <f t="array" ref="W106">IFERROR(INDEX(Products[[ProdCode]:[Product]],_xlfn.XMATCH(INDEX(Products[[Product]:[Parent]],_xlfn.XMATCH(Products[[#This Row],[L3N]],Products[Product],0),2),Products[ProdCode],0),2),Products[[#This Row],[L3N]])</f>
        <v>Energy</v>
      </c>
      <c r="X106" s="71" t="str" cm="1">
        <f t="array" ref="X106">IFERROR(INDEX(Products[[ProdCode]:[Product]],_xlfn.XMATCH(INDEX(Products[[Product]:[Parent]],_xlfn.XMATCH(Products[[#This Row],[L4N]],Products[Product],0),2),Products[ProdCode],0),2),Products[[#This Row],[L4N]])</f>
        <v>Energy</v>
      </c>
      <c r="Y106" s="71" t="str" cm="1">
        <f t="array" ref="Y106">IFERROR(INDEX(Products[[ProdCode]:[Product]],_xlfn.XMATCH(INDEX(Products[[Product]:[Parent]],_xlfn.XMATCH(Products[[#This Row],[L5N]],Products[Product],0),2),Products[ProdCode],0),2),Products[[#This Row],[L5N]])</f>
        <v>Energy</v>
      </c>
      <c r="Z106" s="71" t="str" cm="1">
        <f t="array" ref="Z106">IFERROR(INDEX(Products[[ProdCode]:[Product]],_xlfn.XMATCH(INDEX(Products[[Product]:[Parent]],_xlfn.XMATCH(Products[[#This Row],[L6N]],Products[Product],0),2),Products[ProdCode],0),2),Products[[#This Row],[L6N]])</f>
        <v>Energy</v>
      </c>
      <c r="AA106" s="71" t="str" cm="1">
        <f t="array" ref="AA106">IFERROR(INDEX(Products[[ProdCode]:[Product]],_xlfn.XMATCH(INDEX(Products[[Product]:[Parent]],_xlfn.XMATCH(Products[[#This Row],[L7N]],Products[Product],0),2),Products[ProdCode],0),2),Products[[#This Row],[L7N]])</f>
        <v>Energy</v>
      </c>
      <c r="AB10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0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Energy</v>
      </c>
      <c r="AE10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Energy</v>
      </c>
      <c r="AF10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Energy</v>
      </c>
      <c r="AG10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Energy</v>
      </c>
      <c r="AH10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Energy</v>
      </c>
      <c r="AI10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Energy</v>
      </c>
    </row>
    <row r="107" spans="2:35" x14ac:dyDescent="0.45">
      <c r="B107" s="104">
        <v>210000</v>
      </c>
      <c r="C107" s="76" t="s">
        <v>239</v>
      </c>
      <c r="D107" s="104">
        <v>200000</v>
      </c>
      <c r="E107" s="93" t="s">
        <v>1149</v>
      </c>
      <c r="F107" s="19" t="s">
        <v>1188</v>
      </c>
      <c r="G107" s="82" t="s">
        <v>55</v>
      </c>
      <c r="H107" s="82" t="s">
        <v>65</v>
      </c>
      <c r="I107" s="82"/>
      <c r="J107" s="82"/>
      <c r="K107" s="82" t="s">
        <v>1026</v>
      </c>
      <c r="L107" s="82" t="s">
        <v>1936</v>
      </c>
      <c r="M107" s="82"/>
      <c r="N107" s="119"/>
      <c r="O107" s="119"/>
      <c r="P107" s="82"/>
      <c r="Q107" s="82" t="s">
        <v>709</v>
      </c>
      <c r="R107" s="82"/>
      <c r="S107" s="82"/>
      <c r="T107" s="71" t="str" cm="1">
        <f t="array" ref="T107">IFERROR(INDEX(Products[[ProdCode]:[Product]],_xlfn.XMATCH(Products[[#This Row],[Parent]],Products[Product],0),2),Products[[#This Row],[Product]])</f>
        <v>Renewable hydropower</v>
      </c>
      <c r="U107" s="71" t="str" cm="1">
        <f t="array" ref="U107">IFERROR(INDEX(Products[[ProdCode]:[Product]],_xlfn.XMATCH(INDEX(Products[[Product]:[Parent]],_xlfn.XMATCH(Products[[#This Row],[L1N]],Products[Product],0),2),Products[ProdCode],0),2),Products[[#This Row],[L1N]])</f>
        <v>Renewable Energy</v>
      </c>
      <c r="V107" s="71" t="str" cm="1">
        <f t="array" ref="V107">IFERROR(INDEX(Products[[ProdCode]:[Product]],_xlfn.XMATCH(INDEX(Products[[Product]:[Parent]],_xlfn.XMATCH(Products[[#This Row],[L2N]],Products[Product],0),2),Products[ProdCode],0),2),Products[[#This Row],[L2N]])</f>
        <v>Energy</v>
      </c>
      <c r="W107" s="71" t="str" cm="1">
        <f t="array" ref="W107">IFERROR(INDEX(Products[[ProdCode]:[Product]],_xlfn.XMATCH(INDEX(Products[[Product]:[Parent]],_xlfn.XMATCH(Products[[#This Row],[L3N]],Products[Product],0),2),Products[ProdCode],0),2),Products[[#This Row],[L3N]])</f>
        <v>Energy</v>
      </c>
      <c r="X107" s="71" t="str" cm="1">
        <f t="array" ref="X107">IFERROR(INDEX(Products[[ProdCode]:[Product]],_xlfn.XMATCH(INDEX(Products[[Product]:[Parent]],_xlfn.XMATCH(Products[[#This Row],[L4N]],Products[Product],0),2),Products[ProdCode],0),2),Products[[#This Row],[L4N]])</f>
        <v>Energy</v>
      </c>
      <c r="Y107" s="71" t="str" cm="1">
        <f t="array" ref="Y107">IFERROR(INDEX(Products[[ProdCode]:[Product]],_xlfn.XMATCH(INDEX(Products[[Product]:[Parent]],_xlfn.XMATCH(Products[[#This Row],[L5N]],Products[Product],0),2),Products[ProdCode],0),2),Products[[#This Row],[L5N]])</f>
        <v>Energy</v>
      </c>
      <c r="Z107" s="71" t="str" cm="1">
        <f t="array" ref="Z107">IFERROR(INDEX(Products[[ProdCode]:[Product]],_xlfn.XMATCH(INDEX(Products[[Product]:[Parent]],_xlfn.XMATCH(Products[[#This Row],[L6N]],Products[Product],0),2),Products[ProdCode],0),2),Products[[#This Row],[L6N]])</f>
        <v>Energy</v>
      </c>
      <c r="AA107" s="71" t="str" cm="1">
        <f t="array" ref="AA107">IFERROR(INDEX(Products[[ProdCode]:[Product]],_xlfn.XMATCH(INDEX(Products[[Product]:[Parent]],_xlfn.XMATCH(Products[[#This Row],[L7N]],Products[Product],0),2),Products[ProdCode],0),2),Products[[#This Row],[L7N]])</f>
        <v>Energy</v>
      </c>
      <c r="AB10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0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hydropower</v>
      </c>
      <c r="AE10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hydropower</v>
      </c>
      <c r="AF10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hydropower</v>
      </c>
      <c r="AG10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hydropower</v>
      </c>
      <c r="AH10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hydropower</v>
      </c>
      <c r="AI10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hydropower</v>
      </c>
    </row>
    <row r="108" spans="2:35" x14ac:dyDescent="0.45">
      <c r="B108" s="105">
        <v>211000</v>
      </c>
      <c r="C108" s="79" t="s">
        <v>1079</v>
      </c>
      <c r="D108" s="105">
        <v>210000</v>
      </c>
      <c r="E108" s="93" t="s">
        <v>1149</v>
      </c>
      <c r="F108" s="19" t="s">
        <v>1188</v>
      </c>
      <c r="G108" s="82" t="s">
        <v>54</v>
      </c>
      <c r="H108" s="82" t="s">
        <v>65</v>
      </c>
      <c r="I108" s="82"/>
      <c r="J108" s="82"/>
      <c r="K108" s="82" t="s">
        <v>1779</v>
      </c>
      <c r="L108" s="82"/>
      <c r="M108" s="82">
        <v>3.6</v>
      </c>
      <c r="N108" s="119"/>
      <c r="O108" s="119"/>
      <c r="P108" s="82"/>
      <c r="Q108" s="82" t="s">
        <v>709</v>
      </c>
      <c r="R108" s="82"/>
      <c r="S108" s="82"/>
      <c r="T108" s="71" t="str" cm="1">
        <f t="array" ref="T108">IFERROR(INDEX(Products[[ProdCode]:[Product]],_xlfn.XMATCH(Products[[#This Row],[Parent]],Products[Product],0),2),Products[[#This Row],[Product]])</f>
        <v>Pure hydropower</v>
      </c>
      <c r="U108" s="71" t="str" cm="1">
        <f t="array" ref="U108">IFERROR(INDEX(Products[[ProdCode]:[Product]],_xlfn.XMATCH(INDEX(Products[[Product]:[Parent]],_xlfn.XMATCH(Products[[#This Row],[L1N]],Products[Product],0),2),Products[ProdCode],0),2),Products[[#This Row],[L1N]])</f>
        <v>Renewable hydropower</v>
      </c>
      <c r="V108" s="71" t="str" cm="1">
        <f t="array" ref="V108">IFERROR(INDEX(Products[[ProdCode]:[Product]],_xlfn.XMATCH(INDEX(Products[[Product]:[Parent]],_xlfn.XMATCH(Products[[#This Row],[L2N]],Products[Product],0),2),Products[ProdCode],0),2),Products[[#This Row],[L2N]])</f>
        <v>Renewable Energy</v>
      </c>
      <c r="W108" s="71" t="str" cm="1">
        <f t="array" ref="W108">IFERROR(INDEX(Products[[ProdCode]:[Product]],_xlfn.XMATCH(INDEX(Products[[Product]:[Parent]],_xlfn.XMATCH(Products[[#This Row],[L3N]],Products[Product],0),2),Products[ProdCode],0),2),Products[[#This Row],[L3N]])</f>
        <v>Energy</v>
      </c>
      <c r="X108" s="71" t="str" cm="1">
        <f t="array" ref="X108">IFERROR(INDEX(Products[[ProdCode]:[Product]],_xlfn.XMATCH(INDEX(Products[[Product]:[Parent]],_xlfn.XMATCH(Products[[#This Row],[L4N]],Products[Product],0),2),Products[ProdCode],0),2),Products[[#This Row],[L4N]])</f>
        <v>Energy</v>
      </c>
      <c r="Y108" s="71" t="str" cm="1">
        <f t="array" ref="Y108">IFERROR(INDEX(Products[[ProdCode]:[Product]],_xlfn.XMATCH(INDEX(Products[[Product]:[Parent]],_xlfn.XMATCH(Products[[#This Row],[L5N]],Products[Product],0),2),Products[ProdCode],0),2),Products[[#This Row],[L5N]])</f>
        <v>Energy</v>
      </c>
      <c r="Z108" s="71" t="str" cm="1">
        <f t="array" ref="Z108">IFERROR(INDEX(Products[[ProdCode]:[Product]],_xlfn.XMATCH(INDEX(Products[[Product]:[Parent]],_xlfn.XMATCH(Products[[#This Row],[L6N]],Products[Product],0),2),Products[ProdCode],0),2),Products[[#This Row],[L6N]])</f>
        <v>Energy</v>
      </c>
      <c r="AA108" s="71" t="str" cm="1">
        <f t="array" ref="AA108">IFERROR(INDEX(Products[[ProdCode]:[Product]],_xlfn.XMATCH(INDEX(Products[[Product]:[Parent]],_xlfn.XMATCH(Products[[#This Row],[L7N]],Products[Product],0),2),Products[ProdCode],0),2),Products[[#This Row],[L7N]])</f>
        <v>Energy</v>
      </c>
      <c r="AB10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0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hydropower</v>
      </c>
      <c r="AE10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Pure hydropower</v>
      </c>
      <c r="AF10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Pure hydropower</v>
      </c>
      <c r="AG10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Pure hydropower</v>
      </c>
      <c r="AH10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Pure hydropower</v>
      </c>
      <c r="AI10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Pure hydropower</v>
      </c>
    </row>
    <row r="109" spans="2:35" x14ac:dyDescent="0.45">
      <c r="B109" s="106">
        <v>211100</v>
      </c>
      <c r="C109" s="85" t="s">
        <v>1135</v>
      </c>
      <c r="D109" s="106">
        <v>211000</v>
      </c>
      <c r="E109" s="93" t="s">
        <v>1149</v>
      </c>
      <c r="F109" s="19" t="s">
        <v>1188</v>
      </c>
      <c r="G109" s="82" t="s">
        <v>53</v>
      </c>
      <c r="H109" s="82" t="s">
        <v>83</v>
      </c>
      <c r="I109" s="82"/>
      <c r="J109" s="82"/>
      <c r="K109" s="82" t="s">
        <v>1780</v>
      </c>
      <c r="L109" s="82" t="s">
        <v>1457</v>
      </c>
      <c r="M109" s="82">
        <v>3.6</v>
      </c>
      <c r="N109" s="119"/>
      <c r="O109" s="119"/>
      <c r="P109" s="82"/>
      <c r="Q109" s="82" t="s">
        <v>709</v>
      </c>
      <c r="R109" s="82"/>
      <c r="S109" s="82"/>
      <c r="T109" s="71" t="str" cm="1">
        <f t="array" ref="T109">IFERROR(INDEX(Products[[ProdCode]:[Product]],_xlfn.XMATCH(Products[[#This Row],[Parent]],Products[Product],0),2),Products[[#This Row],[Product]])</f>
        <v>Reservoir hydropower</v>
      </c>
      <c r="U109" s="71" t="str" cm="1">
        <f t="array" ref="U109">IFERROR(INDEX(Products[[ProdCode]:[Product]],_xlfn.XMATCH(INDEX(Products[[Product]:[Parent]],_xlfn.XMATCH(Products[[#This Row],[L1N]],Products[Product],0),2),Products[ProdCode],0),2),Products[[#This Row],[L1N]])</f>
        <v>Pure hydropower</v>
      </c>
      <c r="V109" s="71" t="str" cm="1">
        <f t="array" ref="V109">IFERROR(INDEX(Products[[ProdCode]:[Product]],_xlfn.XMATCH(INDEX(Products[[Product]:[Parent]],_xlfn.XMATCH(Products[[#This Row],[L2N]],Products[Product],0),2),Products[ProdCode],0),2),Products[[#This Row],[L2N]])</f>
        <v>Renewable hydropower</v>
      </c>
      <c r="W109" s="71" t="str" cm="1">
        <f t="array" ref="W109">IFERROR(INDEX(Products[[ProdCode]:[Product]],_xlfn.XMATCH(INDEX(Products[[Product]:[Parent]],_xlfn.XMATCH(Products[[#This Row],[L3N]],Products[Product],0),2),Products[ProdCode],0),2),Products[[#This Row],[L3N]])</f>
        <v>Renewable Energy</v>
      </c>
      <c r="X109" s="71" t="str" cm="1">
        <f t="array" ref="X109">IFERROR(INDEX(Products[[ProdCode]:[Product]],_xlfn.XMATCH(INDEX(Products[[Product]:[Parent]],_xlfn.XMATCH(Products[[#This Row],[L4N]],Products[Product],0),2),Products[ProdCode],0),2),Products[[#This Row],[L4N]])</f>
        <v>Energy</v>
      </c>
      <c r="Y109" s="71" t="str" cm="1">
        <f t="array" ref="Y109">IFERROR(INDEX(Products[[ProdCode]:[Product]],_xlfn.XMATCH(INDEX(Products[[Product]:[Parent]],_xlfn.XMATCH(Products[[#This Row],[L5N]],Products[Product],0),2),Products[ProdCode],0),2),Products[[#This Row],[L5N]])</f>
        <v>Energy</v>
      </c>
      <c r="Z109" s="71" t="str" cm="1">
        <f t="array" ref="Z109">IFERROR(INDEX(Products[[ProdCode]:[Product]],_xlfn.XMATCH(INDEX(Products[[Product]:[Parent]],_xlfn.XMATCH(Products[[#This Row],[L6N]],Products[Product],0),2),Products[ProdCode],0),2),Products[[#This Row],[L6N]])</f>
        <v>Energy</v>
      </c>
      <c r="AA109" s="71" t="str" cm="1">
        <f t="array" ref="AA109">IFERROR(INDEX(Products[[ProdCode]:[Product]],_xlfn.XMATCH(INDEX(Products[[Product]:[Parent]],_xlfn.XMATCH(Products[[#This Row],[L7N]],Products[Product],0),2),Products[ProdCode],0),2),Products[[#This Row],[L7N]])</f>
        <v>Energy</v>
      </c>
      <c r="AB10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0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0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hydropower</v>
      </c>
      <c r="AE10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Pure hydropower</v>
      </c>
      <c r="AF10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Reservoir hydropower</v>
      </c>
      <c r="AG10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Reservoir hydropower</v>
      </c>
      <c r="AH10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Reservoir hydropower</v>
      </c>
      <c r="AI10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Reservoir hydropower</v>
      </c>
    </row>
    <row r="110" spans="2:35" x14ac:dyDescent="0.45">
      <c r="B110" s="106">
        <v>211200</v>
      </c>
      <c r="C110" s="85" t="s">
        <v>1080</v>
      </c>
      <c r="D110" s="106">
        <v>211000</v>
      </c>
      <c r="E110" s="93" t="s">
        <v>1149</v>
      </c>
      <c r="F110" s="19" t="s">
        <v>1188</v>
      </c>
      <c r="G110" s="82" t="s">
        <v>53</v>
      </c>
      <c r="H110" s="82" t="s">
        <v>83</v>
      </c>
      <c r="I110" s="82"/>
      <c r="J110" s="82"/>
      <c r="K110" s="82" t="s">
        <v>1781</v>
      </c>
      <c r="L110" s="82"/>
      <c r="M110" s="82">
        <v>3.6</v>
      </c>
      <c r="N110" s="119"/>
      <c r="O110" s="119"/>
      <c r="P110" s="82"/>
      <c r="Q110" s="82" t="s">
        <v>709</v>
      </c>
      <c r="R110" s="82"/>
      <c r="S110" s="82"/>
      <c r="T110" s="71" t="str" cm="1">
        <f t="array" ref="T110">IFERROR(INDEX(Products[[ProdCode]:[Product]],_xlfn.XMATCH(Products[[#This Row],[Parent]],Products[Product],0),2),Products[[#This Row],[Product]])</f>
        <v>Run-of-river hydropower</v>
      </c>
      <c r="U110" s="71" t="str" cm="1">
        <f t="array" ref="U110">IFERROR(INDEX(Products[[ProdCode]:[Product]],_xlfn.XMATCH(INDEX(Products[[Product]:[Parent]],_xlfn.XMATCH(Products[[#This Row],[L1N]],Products[Product],0),2),Products[ProdCode],0),2),Products[[#This Row],[L1N]])</f>
        <v>Pure hydropower</v>
      </c>
      <c r="V110" s="71" t="str" cm="1">
        <f t="array" ref="V110">IFERROR(INDEX(Products[[ProdCode]:[Product]],_xlfn.XMATCH(INDEX(Products[[Product]:[Parent]],_xlfn.XMATCH(Products[[#This Row],[L2N]],Products[Product],0),2),Products[ProdCode],0),2),Products[[#This Row],[L2N]])</f>
        <v>Renewable hydropower</v>
      </c>
      <c r="W110" s="71" t="str" cm="1">
        <f t="array" ref="W110">IFERROR(INDEX(Products[[ProdCode]:[Product]],_xlfn.XMATCH(INDEX(Products[[Product]:[Parent]],_xlfn.XMATCH(Products[[#This Row],[L3N]],Products[Product],0),2),Products[ProdCode],0),2),Products[[#This Row],[L3N]])</f>
        <v>Renewable Energy</v>
      </c>
      <c r="X110" s="71" t="str" cm="1">
        <f t="array" ref="X110">IFERROR(INDEX(Products[[ProdCode]:[Product]],_xlfn.XMATCH(INDEX(Products[[Product]:[Parent]],_xlfn.XMATCH(Products[[#This Row],[L4N]],Products[Product],0),2),Products[ProdCode],0),2),Products[[#This Row],[L4N]])</f>
        <v>Energy</v>
      </c>
      <c r="Y110" s="71" t="str" cm="1">
        <f t="array" ref="Y110">IFERROR(INDEX(Products[[ProdCode]:[Product]],_xlfn.XMATCH(INDEX(Products[[Product]:[Parent]],_xlfn.XMATCH(Products[[#This Row],[L5N]],Products[Product],0),2),Products[ProdCode],0),2),Products[[#This Row],[L5N]])</f>
        <v>Energy</v>
      </c>
      <c r="Z110" s="71" t="str" cm="1">
        <f t="array" ref="Z110">IFERROR(INDEX(Products[[ProdCode]:[Product]],_xlfn.XMATCH(INDEX(Products[[Product]:[Parent]],_xlfn.XMATCH(Products[[#This Row],[L6N]],Products[Product],0),2),Products[ProdCode],0),2),Products[[#This Row],[L6N]])</f>
        <v>Energy</v>
      </c>
      <c r="AA110" s="71" t="str" cm="1">
        <f t="array" ref="AA110">IFERROR(INDEX(Products[[ProdCode]:[Product]],_xlfn.XMATCH(INDEX(Products[[Product]:[Parent]],_xlfn.XMATCH(Products[[#This Row],[L7N]],Products[Product],0),2),Products[ProdCode],0),2),Products[[#This Row],[L7N]])</f>
        <v>Energy</v>
      </c>
      <c r="AB11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hydropower</v>
      </c>
      <c r="AE11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Pure hydropower</v>
      </c>
      <c r="AF11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Run-of-river hydropower</v>
      </c>
      <c r="AG11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Run-of-river hydropower</v>
      </c>
      <c r="AH11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Run-of-river hydropower</v>
      </c>
      <c r="AI11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Run-of-river hydropower</v>
      </c>
    </row>
    <row r="111" spans="2:35" x14ac:dyDescent="0.45">
      <c r="B111" s="105">
        <v>212000</v>
      </c>
      <c r="C111" s="79" t="s">
        <v>1081</v>
      </c>
      <c r="D111" s="105">
        <v>210000</v>
      </c>
      <c r="E111" s="93" t="s">
        <v>1149</v>
      </c>
      <c r="F111" s="19" t="s">
        <v>1188</v>
      </c>
      <c r="G111" s="82" t="s">
        <v>54</v>
      </c>
      <c r="H111" s="82" t="s">
        <v>65</v>
      </c>
      <c r="I111" s="82"/>
      <c r="J111" s="82"/>
      <c r="K111" s="82" t="s">
        <v>1400</v>
      </c>
      <c r="L111" s="82"/>
      <c r="M111" s="82">
        <v>3.6</v>
      </c>
      <c r="N111" s="119"/>
      <c r="O111" s="119"/>
      <c r="P111" s="82"/>
      <c r="Q111" s="82" t="s">
        <v>709</v>
      </c>
      <c r="R111" s="82"/>
      <c r="S111" s="82"/>
      <c r="T111" s="71" t="str" cm="1">
        <f t="array" ref="T111">IFERROR(INDEX(Products[[ProdCode]:[Product]],_xlfn.XMATCH(Products[[#This Row],[Parent]],Products[Product],0),2),Products[[#This Row],[Product]])</f>
        <v>Mixed hydropower</v>
      </c>
      <c r="U111" s="71" t="str" cm="1">
        <f t="array" ref="U111">IFERROR(INDEX(Products[[ProdCode]:[Product]],_xlfn.XMATCH(INDEX(Products[[Product]:[Parent]],_xlfn.XMATCH(Products[[#This Row],[L1N]],Products[Product],0),2),Products[ProdCode],0),2),Products[[#This Row],[L1N]])</f>
        <v>Renewable hydropower</v>
      </c>
      <c r="V111" s="71" t="str" cm="1">
        <f t="array" ref="V111">IFERROR(INDEX(Products[[ProdCode]:[Product]],_xlfn.XMATCH(INDEX(Products[[Product]:[Parent]],_xlfn.XMATCH(Products[[#This Row],[L2N]],Products[Product],0),2),Products[ProdCode],0),2),Products[[#This Row],[L2N]])</f>
        <v>Renewable Energy</v>
      </c>
      <c r="W111" s="71" t="str" cm="1">
        <f t="array" ref="W111">IFERROR(INDEX(Products[[ProdCode]:[Product]],_xlfn.XMATCH(INDEX(Products[[Product]:[Parent]],_xlfn.XMATCH(Products[[#This Row],[L3N]],Products[Product],0),2),Products[ProdCode],0),2),Products[[#This Row],[L3N]])</f>
        <v>Energy</v>
      </c>
      <c r="X111" s="71" t="str" cm="1">
        <f t="array" ref="X111">IFERROR(INDEX(Products[[ProdCode]:[Product]],_xlfn.XMATCH(INDEX(Products[[Product]:[Parent]],_xlfn.XMATCH(Products[[#This Row],[L4N]],Products[Product],0),2),Products[ProdCode],0),2),Products[[#This Row],[L4N]])</f>
        <v>Energy</v>
      </c>
      <c r="Y111" s="71" t="str" cm="1">
        <f t="array" ref="Y111">IFERROR(INDEX(Products[[ProdCode]:[Product]],_xlfn.XMATCH(INDEX(Products[[Product]:[Parent]],_xlfn.XMATCH(Products[[#This Row],[L5N]],Products[Product],0),2),Products[ProdCode],0),2),Products[[#This Row],[L5N]])</f>
        <v>Energy</v>
      </c>
      <c r="Z111" s="71" t="str" cm="1">
        <f t="array" ref="Z111">IFERROR(INDEX(Products[[ProdCode]:[Product]],_xlfn.XMATCH(INDEX(Products[[Product]:[Parent]],_xlfn.XMATCH(Products[[#This Row],[L6N]],Products[Product],0),2),Products[ProdCode],0),2),Products[[#This Row],[L6N]])</f>
        <v>Energy</v>
      </c>
      <c r="AA111" s="71" t="str" cm="1">
        <f t="array" ref="AA111">IFERROR(INDEX(Products[[ProdCode]:[Product]],_xlfn.XMATCH(INDEX(Products[[Product]:[Parent]],_xlfn.XMATCH(Products[[#This Row],[L7N]],Products[Product],0),2),Products[ProdCode],0),2),Products[[#This Row],[L7N]])</f>
        <v>Energy</v>
      </c>
      <c r="AB11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hydropower</v>
      </c>
      <c r="AE11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Mixed hydropower</v>
      </c>
      <c r="AF11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Mixed hydropower</v>
      </c>
      <c r="AG11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Mixed hydropower</v>
      </c>
      <c r="AH11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Mixed hydropower</v>
      </c>
      <c r="AI11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Mixed hydropower</v>
      </c>
    </row>
    <row r="112" spans="2:35" x14ac:dyDescent="0.45">
      <c r="B112" s="104">
        <v>220000</v>
      </c>
      <c r="C112" s="76" t="s">
        <v>256</v>
      </c>
      <c r="D112" s="104">
        <v>200000</v>
      </c>
      <c r="E112" s="93" t="s">
        <v>1149</v>
      </c>
      <c r="F112" s="19" t="s">
        <v>1188</v>
      </c>
      <c r="G112" s="82" t="s">
        <v>55</v>
      </c>
      <c r="H112" s="82" t="s">
        <v>65</v>
      </c>
      <c r="I112" s="82"/>
      <c r="J112" s="82"/>
      <c r="K112" s="82" t="s">
        <v>1018</v>
      </c>
      <c r="L112" s="82" t="s">
        <v>1937</v>
      </c>
      <c r="M112" s="82">
        <v>3.6</v>
      </c>
      <c r="N112" s="119"/>
      <c r="O112" s="119"/>
      <c r="P112" s="82"/>
      <c r="Q112" s="82" t="s">
        <v>709</v>
      </c>
      <c r="R112" s="82"/>
      <c r="S112" s="82"/>
      <c r="T112" s="71" t="str" cm="1">
        <f t="array" ref="T112">IFERROR(INDEX(Products[[ProdCode]:[Product]],_xlfn.XMATCH(Products[[#This Row],[Parent]],Products[Product],0),2),Products[[#This Row],[Product]])</f>
        <v>Marine energy</v>
      </c>
      <c r="U112" s="71" t="str" cm="1">
        <f t="array" ref="U112">IFERROR(INDEX(Products[[ProdCode]:[Product]],_xlfn.XMATCH(INDEX(Products[[Product]:[Parent]],_xlfn.XMATCH(Products[[#This Row],[L1N]],Products[Product],0),2),Products[ProdCode],0),2),Products[[#This Row],[L1N]])</f>
        <v>Renewable Energy</v>
      </c>
      <c r="V112" s="71" t="str" cm="1">
        <f t="array" ref="V112">IFERROR(INDEX(Products[[ProdCode]:[Product]],_xlfn.XMATCH(INDEX(Products[[Product]:[Parent]],_xlfn.XMATCH(Products[[#This Row],[L2N]],Products[Product],0),2),Products[ProdCode],0),2),Products[[#This Row],[L2N]])</f>
        <v>Energy</v>
      </c>
      <c r="W112" s="71" t="str" cm="1">
        <f t="array" ref="W112">IFERROR(INDEX(Products[[ProdCode]:[Product]],_xlfn.XMATCH(INDEX(Products[[Product]:[Parent]],_xlfn.XMATCH(Products[[#This Row],[L3N]],Products[Product],0),2),Products[ProdCode],0),2),Products[[#This Row],[L3N]])</f>
        <v>Energy</v>
      </c>
      <c r="X112" s="71" t="str" cm="1">
        <f t="array" ref="X112">IFERROR(INDEX(Products[[ProdCode]:[Product]],_xlfn.XMATCH(INDEX(Products[[Product]:[Parent]],_xlfn.XMATCH(Products[[#This Row],[L4N]],Products[Product],0),2),Products[ProdCode],0),2),Products[[#This Row],[L4N]])</f>
        <v>Energy</v>
      </c>
      <c r="Y112" s="71" t="str" cm="1">
        <f t="array" ref="Y112">IFERROR(INDEX(Products[[ProdCode]:[Product]],_xlfn.XMATCH(INDEX(Products[[Product]:[Parent]],_xlfn.XMATCH(Products[[#This Row],[L5N]],Products[Product],0),2),Products[ProdCode],0),2),Products[[#This Row],[L5N]])</f>
        <v>Energy</v>
      </c>
      <c r="Z112" s="71" t="str" cm="1">
        <f t="array" ref="Z112">IFERROR(INDEX(Products[[ProdCode]:[Product]],_xlfn.XMATCH(INDEX(Products[[Product]:[Parent]],_xlfn.XMATCH(Products[[#This Row],[L6N]],Products[Product],0),2),Products[ProdCode],0),2),Products[[#This Row],[L6N]])</f>
        <v>Energy</v>
      </c>
      <c r="AA112" s="71" t="str" cm="1">
        <f t="array" ref="AA112">IFERROR(INDEX(Products[[ProdCode]:[Product]],_xlfn.XMATCH(INDEX(Products[[Product]:[Parent]],_xlfn.XMATCH(Products[[#This Row],[L7N]],Products[Product],0),2),Products[ProdCode],0),2),Products[[#This Row],[L7N]])</f>
        <v>Energy</v>
      </c>
      <c r="AB11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Marine energy</v>
      </c>
      <c r="AF11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Marine energy</v>
      </c>
      <c r="AG11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Marine energy</v>
      </c>
      <c r="AH11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Marine energy</v>
      </c>
      <c r="AI11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Marine energy</v>
      </c>
    </row>
    <row r="113" spans="2:35" x14ac:dyDescent="0.45">
      <c r="B113" s="105">
        <v>221000</v>
      </c>
      <c r="C113" s="79" t="s">
        <v>947</v>
      </c>
      <c r="D113" s="105">
        <v>220000</v>
      </c>
      <c r="E113" s="93" t="s">
        <v>1149</v>
      </c>
      <c r="F113" s="19" t="s">
        <v>1188</v>
      </c>
      <c r="G113" s="82" t="s">
        <v>54</v>
      </c>
      <c r="H113" s="82" t="s">
        <v>83</v>
      </c>
      <c r="I113" s="82"/>
      <c r="J113" s="82"/>
      <c r="K113" s="82" t="s">
        <v>1378</v>
      </c>
      <c r="L113" s="82"/>
      <c r="M113" s="82">
        <v>3.6</v>
      </c>
      <c r="N113" s="119"/>
      <c r="O113" s="119"/>
      <c r="P113" s="82"/>
      <c r="Q113" s="82" t="s">
        <v>709</v>
      </c>
      <c r="R113" s="82"/>
      <c r="S113" s="82"/>
      <c r="T113" s="71" t="str" cm="1">
        <f t="array" ref="T113">IFERROR(INDEX(Products[[ProdCode]:[Product]],_xlfn.XMATCH(Products[[#This Row],[Parent]],Products[Product],0),2),Products[[#This Row],[Product]])</f>
        <v>Wave energy</v>
      </c>
      <c r="U113" s="71" t="str" cm="1">
        <f t="array" ref="U113">IFERROR(INDEX(Products[[ProdCode]:[Product]],_xlfn.XMATCH(INDEX(Products[[Product]:[Parent]],_xlfn.XMATCH(Products[[#This Row],[L1N]],Products[Product],0),2),Products[ProdCode],0),2),Products[[#This Row],[L1N]])</f>
        <v>Marine energy</v>
      </c>
      <c r="V113" s="71" t="str" cm="1">
        <f t="array" ref="V113">IFERROR(INDEX(Products[[ProdCode]:[Product]],_xlfn.XMATCH(INDEX(Products[[Product]:[Parent]],_xlfn.XMATCH(Products[[#This Row],[L2N]],Products[Product],0),2),Products[ProdCode],0),2),Products[[#This Row],[L2N]])</f>
        <v>Renewable Energy</v>
      </c>
      <c r="W113" s="71" t="str" cm="1">
        <f t="array" ref="W113">IFERROR(INDEX(Products[[ProdCode]:[Product]],_xlfn.XMATCH(INDEX(Products[[Product]:[Parent]],_xlfn.XMATCH(Products[[#This Row],[L3N]],Products[Product],0),2),Products[ProdCode],0),2),Products[[#This Row],[L3N]])</f>
        <v>Energy</v>
      </c>
      <c r="X113" s="71" t="str" cm="1">
        <f t="array" ref="X113">IFERROR(INDEX(Products[[ProdCode]:[Product]],_xlfn.XMATCH(INDEX(Products[[Product]:[Parent]],_xlfn.XMATCH(Products[[#This Row],[L4N]],Products[Product],0),2),Products[ProdCode],0),2),Products[[#This Row],[L4N]])</f>
        <v>Energy</v>
      </c>
      <c r="Y113" s="71" t="str" cm="1">
        <f t="array" ref="Y113">IFERROR(INDEX(Products[[ProdCode]:[Product]],_xlfn.XMATCH(INDEX(Products[[Product]:[Parent]],_xlfn.XMATCH(Products[[#This Row],[L5N]],Products[Product],0),2),Products[ProdCode],0),2),Products[[#This Row],[L5N]])</f>
        <v>Energy</v>
      </c>
      <c r="Z113" s="71" t="str" cm="1">
        <f t="array" ref="Z113">IFERROR(INDEX(Products[[ProdCode]:[Product]],_xlfn.XMATCH(INDEX(Products[[Product]:[Parent]],_xlfn.XMATCH(Products[[#This Row],[L6N]],Products[Product],0),2),Products[ProdCode],0),2),Products[[#This Row],[L6N]])</f>
        <v>Energy</v>
      </c>
      <c r="AA113" s="71" t="str" cm="1">
        <f t="array" ref="AA113">IFERROR(INDEX(Products[[ProdCode]:[Product]],_xlfn.XMATCH(INDEX(Products[[Product]:[Parent]],_xlfn.XMATCH(Products[[#This Row],[L7N]],Products[Product],0),2),Products[ProdCode],0),2),Products[[#This Row],[L7N]])</f>
        <v>Energy</v>
      </c>
      <c r="AB11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Wave energy</v>
      </c>
      <c r="AF11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Wave energy</v>
      </c>
      <c r="AG11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Wave energy</v>
      </c>
      <c r="AH11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Wave energy</v>
      </c>
      <c r="AI11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Wave energy</v>
      </c>
    </row>
    <row r="114" spans="2:35" x14ac:dyDescent="0.45">
      <c r="B114" s="105">
        <v>222000</v>
      </c>
      <c r="C114" s="79" t="s">
        <v>948</v>
      </c>
      <c r="D114" s="105">
        <v>220000</v>
      </c>
      <c r="E114" s="93" t="s">
        <v>1149</v>
      </c>
      <c r="F114" s="19" t="s">
        <v>1188</v>
      </c>
      <c r="G114" s="82" t="s">
        <v>54</v>
      </c>
      <c r="H114" s="82" t="s">
        <v>83</v>
      </c>
      <c r="I114" s="82"/>
      <c r="J114" s="82"/>
      <c r="K114" s="82" t="s">
        <v>1077</v>
      </c>
      <c r="L114" s="82"/>
      <c r="M114" s="82">
        <v>3.6</v>
      </c>
      <c r="N114" s="119"/>
      <c r="O114" s="119"/>
      <c r="P114" s="82"/>
      <c r="Q114" s="82" t="s">
        <v>709</v>
      </c>
      <c r="R114" s="82"/>
      <c r="S114" s="82"/>
      <c r="T114" s="71" t="str" cm="1">
        <f t="array" ref="T114">IFERROR(INDEX(Products[[ProdCode]:[Product]],_xlfn.XMATCH(Products[[#This Row],[Parent]],Products[Product],0),2),Products[[#This Row],[Product]])</f>
        <v>Tidal energy</v>
      </c>
      <c r="U114" s="71" t="str" cm="1">
        <f t="array" ref="U114">IFERROR(INDEX(Products[[ProdCode]:[Product]],_xlfn.XMATCH(INDEX(Products[[Product]:[Parent]],_xlfn.XMATCH(Products[[#This Row],[L1N]],Products[Product],0),2),Products[ProdCode],0),2),Products[[#This Row],[L1N]])</f>
        <v>Marine energy</v>
      </c>
      <c r="V114" s="71" t="str" cm="1">
        <f t="array" ref="V114">IFERROR(INDEX(Products[[ProdCode]:[Product]],_xlfn.XMATCH(INDEX(Products[[Product]:[Parent]],_xlfn.XMATCH(Products[[#This Row],[L2N]],Products[Product],0),2),Products[ProdCode],0),2),Products[[#This Row],[L2N]])</f>
        <v>Renewable Energy</v>
      </c>
      <c r="W114" s="71" t="str" cm="1">
        <f t="array" ref="W114">IFERROR(INDEX(Products[[ProdCode]:[Product]],_xlfn.XMATCH(INDEX(Products[[Product]:[Parent]],_xlfn.XMATCH(Products[[#This Row],[L3N]],Products[Product],0),2),Products[ProdCode],0),2),Products[[#This Row],[L3N]])</f>
        <v>Energy</v>
      </c>
      <c r="X114" s="71" t="str" cm="1">
        <f t="array" ref="X114">IFERROR(INDEX(Products[[ProdCode]:[Product]],_xlfn.XMATCH(INDEX(Products[[Product]:[Parent]],_xlfn.XMATCH(Products[[#This Row],[L4N]],Products[Product],0),2),Products[ProdCode],0),2),Products[[#This Row],[L4N]])</f>
        <v>Energy</v>
      </c>
      <c r="Y114" s="71" t="str" cm="1">
        <f t="array" ref="Y114">IFERROR(INDEX(Products[[ProdCode]:[Product]],_xlfn.XMATCH(INDEX(Products[[Product]:[Parent]],_xlfn.XMATCH(Products[[#This Row],[L5N]],Products[Product],0),2),Products[ProdCode],0),2),Products[[#This Row],[L5N]])</f>
        <v>Energy</v>
      </c>
      <c r="Z114" s="71" t="str" cm="1">
        <f t="array" ref="Z114">IFERROR(INDEX(Products[[ProdCode]:[Product]],_xlfn.XMATCH(INDEX(Products[[Product]:[Parent]],_xlfn.XMATCH(Products[[#This Row],[L6N]],Products[Product],0),2),Products[ProdCode],0),2),Products[[#This Row],[L6N]])</f>
        <v>Energy</v>
      </c>
      <c r="AA114" s="71" t="str" cm="1">
        <f t="array" ref="AA114">IFERROR(INDEX(Products[[ProdCode]:[Product]],_xlfn.XMATCH(INDEX(Products[[Product]:[Parent]],_xlfn.XMATCH(Products[[#This Row],[L7N]],Products[Product],0),2),Products[ProdCode],0),2),Products[[#This Row],[L7N]])</f>
        <v>Energy</v>
      </c>
      <c r="AB11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Tidal energy</v>
      </c>
      <c r="AF11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Tidal energy</v>
      </c>
      <c r="AG11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Tidal energy</v>
      </c>
      <c r="AH11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Tidal energy</v>
      </c>
      <c r="AI11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Tidal energy</v>
      </c>
    </row>
    <row r="115" spans="2:35" x14ac:dyDescent="0.45">
      <c r="B115" s="105">
        <v>223000</v>
      </c>
      <c r="C115" s="79" t="s">
        <v>949</v>
      </c>
      <c r="D115" s="105">
        <v>220000</v>
      </c>
      <c r="E115" s="93" t="s">
        <v>1149</v>
      </c>
      <c r="F115" s="19" t="s">
        <v>1188</v>
      </c>
      <c r="G115" s="82" t="s">
        <v>54</v>
      </c>
      <c r="H115" s="82" t="s">
        <v>83</v>
      </c>
      <c r="I115" s="82"/>
      <c r="J115" s="82"/>
      <c r="K115" s="82" t="s">
        <v>1379</v>
      </c>
      <c r="L115" s="82"/>
      <c r="M115" s="82">
        <v>3.6</v>
      </c>
      <c r="N115" s="119"/>
      <c r="O115" s="119"/>
      <c r="P115" s="82"/>
      <c r="Q115" s="82" t="s">
        <v>709</v>
      </c>
      <c r="R115" s="82"/>
      <c r="S115" s="82"/>
      <c r="T115" s="71" t="str" cm="1">
        <f t="array" ref="T115">IFERROR(INDEX(Products[[ProdCode]:[Product]],_xlfn.XMATCH(Products[[#This Row],[Parent]],Products[Product],0),2),Products[[#This Row],[Product]])</f>
        <v>Ocean current</v>
      </c>
      <c r="U115" s="71" t="str" cm="1">
        <f t="array" ref="U115">IFERROR(INDEX(Products[[ProdCode]:[Product]],_xlfn.XMATCH(INDEX(Products[[Product]:[Parent]],_xlfn.XMATCH(Products[[#This Row],[L1N]],Products[Product],0),2),Products[ProdCode],0),2),Products[[#This Row],[L1N]])</f>
        <v>Marine energy</v>
      </c>
      <c r="V115" s="71" t="str" cm="1">
        <f t="array" ref="V115">IFERROR(INDEX(Products[[ProdCode]:[Product]],_xlfn.XMATCH(INDEX(Products[[Product]:[Parent]],_xlfn.XMATCH(Products[[#This Row],[L2N]],Products[Product],0),2),Products[ProdCode],0),2),Products[[#This Row],[L2N]])</f>
        <v>Renewable Energy</v>
      </c>
      <c r="W115" s="71" t="str" cm="1">
        <f t="array" ref="W115">IFERROR(INDEX(Products[[ProdCode]:[Product]],_xlfn.XMATCH(INDEX(Products[[Product]:[Parent]],_xlfn.XMATCH(Products[[#This Row],[L3N]],Products[Product],0),2),Products[ProdCode],0),2),Products[[#This Row],[L3N]])</f>
        <v>Energy</v>
      </c>
      <c r="X115" s="71" t="str" cm="1">
        <f t="array" ref="X115">IFERROR(INDEX(Products[[ProdCode]:[Product]],_xlfn.XMATCH(INDEX(Products[[Product]:[Parent]],_xlfn.XMATCH(Products[[#This Row],[L4N]],Products[Product],0),2),Products[ProdCode],0),2),Products[[#This Row],[L4N]])</f>
        <v>Energy</v>
      </c>
      <c r="Y115" s="71" t="str" cm="1">
        <f t="array" ref="Y115">IFERROR(INDEX(Products[[ProdCode]:[Product]],_xlfn.XMATCH(INDEX(Products[[Product]:[Parent]],_xlfn.XMATCH(Products[[#This Row],[L5N]],Products[Product],0),2),Products[ProdCode],0),2),Products[[#This Row],[L5N]])</f>
        <v>Energy</v>
      </c>
      <c r="Z115" s="71" t="str" cm="1">
        <f t="array" ref="Z115">IFERROR(INDEX(Products[[ProdCode]:[Product]],_xlfn.XMATCH(INDEX(Products[[Product]:[Parent]],_xlfn.XMATCH(Products[[#This Row],[L6N]],Products[Product],0),2),Products[ProdCode],0),2),Products[[#This Row],[L6N]])</f>
        <v>Energy</v>
      </c>
      <c r="AA115" s="71" t="str" cm="1">
        <f t="array" ref="AA115">IFERROR(INDEX(Products[[ProdCode]:[Product]],_xlfn.XMATCH(INDEX(Products[[Product]:[Parent]],_xlfn.XMATCH(Products[[#This Row],[L7N]],Products[Product],0),2),Products[ProdCode],0),2),Products[[#This Row],[L7N]])</f>
        <v>Energy</v>
      </c>
      <c r="AB11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Ocean current</v>
      </c>
      <c r="AF11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Ocean current</v>
      </c>
      <c r="AG11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Ocean current</v>
      </c>
      <c r="AH11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Ocean current</v>
      </c>
      <c r="AI11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Ocean current</v>
      </c>
    </row>
    <row r="116" spans="2:35" x14ac:dyDescent="0.45">
      <c r="B116" s="105">
        <v>224000</v>
      </c>
      <c r="C116" s="79" t="s">
        <v>950</v>
      </c>
      <c r="D116" s="105">
        <v>220000</v>
      </c>
      <c r="E116" s="93" t="s">
        <v>1149</v>
      </c>
      <c r="F116" s="19" t="s">
        <v>1188</v>
      </c>
      <c r="G116" s="82" t="s">
        <v>54</v>
      </c>
      <c r="H116" s="82" t="s">
        <v>83</v>
      </c>
      <c r="I116" s="82"/>
      <c r="J116" s="82"/>
      <c r="K116" s="82" t="s">
        <v>1782</v>
      </c>
      <c r="L116" s="82"/>
      <c r="M116" s="82">
        <v>3.6</v>
      </c>
      <c r="N116" s="119"/>
      <c r="O116" s="119"/>
      <c r="P116" s="82"/>
      <c r="Q116" s="82" t="s">
        <v>709</v>
      </c>
      <c r="R116" s="82"/>
      <c r="S116" s="82"/>
      <c r="T116" s="71" t="str" cm="1">
        <f t="array" ref="T116">IFERROR(INDEX(Products[[ProdCode]:[Product]],_xlfn.XMATCH(Products[[#This Row],[Parent]],Products[Product],0),2),Products[[#This Row],[Product]])</f>
        <v>Salinity gradient</v>
      </c>
      <c r="U116" s="71" t="str" cm="1">
        <f t="array" ref="U116">IFERROR(INDEX(Products[[ProdCode]:[Product]],_xlfn.XMATCH(INDEX(Products[[Product]:[Parent]],_xlfn.XMATCH(Products[[#This Row],[L1N]],Products[Product],0),2),Products[ProdCode],0),2),Products[[#This Row],[L1N]])</f>
        <v>Marine energy</v>
      </c>
      <c r="V116" s="71" t="str" cm="1">
        <f t="array" ref="V116">IFERROR(INDEX(Products[[ProdCode]:[Product]],_xlfn.XMATCH(INDEX(Products[[Product]:[Parent]],_xlfn.XMATCH(Products[[#This Row],[L2N]],Products[Product],0),2),Products[ProdCode],0),2),Products[[#This Row],[L2N]])</f>
        <v>Renewable Energy</v>
      </c>
      <c r="W116" s="71" t="str" cm="1">
        <f t="array" ref="W116">IFERROR(INDEX(Products[[ProdCode]:[Product]],_xlfn.XMATCH(INDEX(Products[[Product]:[Parent]],_xlfn.XMATCH(Products[[#This Row],[L3N]],Products[Product],0),2),Products[ProdCode],0),2),Products[[#This Row],[L3N]])</f>
        <v>Energy</v>
      </c>
      <c r="X116" s="71" t="str" cm="1">
        <f t="array" ref="X116">IFERROR(INDEX(Products[[ProdCode]:[Product]],_xlfn.XMATCH(INDEX(Products[[Product]:[Parent]],_xlfn.XMATCH(Products[[#This Row],[L4N]],Products[Product],0),2),Products[ProdCode],0),2),Products[[#This Row],[L4N]])</f>
        <v>Energy</v>
      </c>
      <c r="Y116" s="71" t="str" cm="1">
        <f t="array" ref="Y116">IFERROR(INDEX(Products[[ProdCode]:[Product]],_xlfn.XMATCH(INDEX(Products[[Product]:[Parent]],_xlfn.XMATCH(Products[[#This Row],[L5N]],Products[Product],0),2),Products[ProdCode],0),2),Products[[#This Row],[L5N]])</f>
        <v>Energy</v>
      </c>
      <c r="Z116" s="71" t="str" cm="1">
        <f t="array" ref="Z116">IFERROR(INDEX(Products[[ProdCode]:[Product]],_xlfn.XMATCH(INDEX(Products[[Product]:[Parent]],_xlfn.XMATCH(Products[[#This Row],[L6N]],Products[Product],0),2),Products[ProdCode],0),2),Products[[#This Row],[L6N]])</f>
        <v>Energy</v>
      </c>
      <c r="AA116" s="71" t="str" cm="1">
        <f t="array" ref="AA116">IFERROR(INDEX(Products[[ProdCode]:[Product]],_xlfn.XMATCH(INDEX(Products[[Product]:[Parent]],_xlfn.XMATCH(Products[[#This Row],[L7N]],Products[Product],0),2),Products[ProdCode],0),2),Products[[#This Row],[L7N]])</f>
        <v>Energy</v>
      </c>
      <c r="AB11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Salinity gradient</v>
      </c>
      <c r="AF11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Salinity gradient</v>
      </c>
      <c r="AG11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Salinity gradient</v>
      </c>
      <c r="AH11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Salinity gradient</v>
      </c>
      <c r="AI11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Salinity gradient</v>
      </c>
    </row>
    <row r="117" spans="2:35" x14ac:dyDescent="0.45">
      <c r="B117" s="105">
        <v>225000</v>
      </c>
      <c r="C117" s="79" t="s">
        <v>951</v>
      </c>
      <c r="D117" s="105">
        <v>220000</v>
      </c>
      <c r="E117" s="93" t="s">
        <v>1149</v>
      </c>
      <c r="F117" s="19" t="s">
        <v>1188</v>
      </c>
      <c r="G117" s="82" t="s">
        <v>54</v>
      </c>
      <c r="H117" s="82" t="s">
        <v>83</v>
      </c>
      <c r="I117" s="82"/>
      <c r="J117" s="82"/>
      <c r="K117" s="82" t="s">
        <v>1783</v>
      </c>
      <c r="L117" s="82"/>
      <c r="M117" s="82">
        <v>3.6</v>
      </c>
      <c r="N117" s="119"/>
      <c r="O117" s="119"/>
      <c r="P117" s="82"/>
      <c r="Q117" s="82" t="s">
        <v>709</v>
      </c>
      <c r="R117" s="82"/>
      <c r="S117" s="82"/>
      <c r="T117" s="71" t="str" cm="1">
        <f t="array" ref="T117">IFERROR(INDEX(Products[[ProdCode]:[Product]],_xlfn.XMATCH(Products[[#This Row],[Parent]],Products[Product],0),2),Products[[#This Row],[Product]])</f>
        <v>Thermal gradient</v>
      </c>
      <c r="U117" s="71" t="str" cm="1">
        <f t="array" ref="U117">IFERROR(INDEX(Products[[ProdCode]:[Product]],_xlfn.XMATCH(INDEX(Products[[Product]:[Parent]],_xlfn.XMATCH(Products[[#This Row],[L1N]],Products[Product],0),2),Products[ProdCode],0),2),Products[[#This Row],[L1N]])</f>
        <v>Marine energy</v>
      </c>
      <c r="V117" s="71" t="str" cm="1">
        <f t="array" ref="V117">IFERROR(INDEX(Products[[ProdCode]:[Product]],_xlfn.XMATCH(INDEX(Products[[Product]:[Parent]],_xlfn.XMATCH(Products[[#This Row],[L2N]],Products[Product],0),2),Products[ProdCode],0),2),Products[[#This Row],[L2N]])</f>
        <v>Renewable Energy</v>
      </c>
      <c r="W117" s="71" t="str" cm="1">
        <f t="array" ref="W117">IFERROR(INDEX(Products[[ProdCode]:[Product]],_xlfn.XMATCH(INDEX(Products[[Product]:[Parent]],_xlfn.XMATCH(Products[[#This Row],[L3N]],Products[Product],0),2),Products[ProdCode],0),2),Products[[#This Row],[L3N]])</f>
        <v>Energy</v>
      </c>
      <c r="X117" s="71" t="str" cm="1">
        <f t="array" ref="X117">IFERROR(INDEX(Products[[ProdCode]:[Product]],_xlfn.XMATCH(INDEX(Products[[Product]:[Parent]],_xlfn.XMATCH(Products[[#This Row],[L4N]],Products[Product],0),2),Products[ProdCode],0),2),Products[[#This Row],[L4N]])</f>
        <v>Energy</v>
      </c>
      <c r="Y117" s="71" t="str" cm="1">
        <f t="array" ref="Y117">IFERROR(INDEX(Products[[ProdCode]:[Product]],_xlfn.XMATCH(INDEX(Products[[Product]:[Parent]],_xlfn.XMATCH(Products[[#This Row],[L5N]],Products[Product],0),2),Products[ProdCode],0),2),Products[[#This Row],[L5N]])</f>
        <v>Energy</v>
      </c>
      <c r="Z117" s="71" t="str" cm="1">
        <f t="array" ref="Z117">IFERROR(INDEX(Products[[ProdCode]:[Product]],_xlfn.XMATCH(INDEX(Products[[Product]:[Parent]],_xlfn.XMATCH(Products[[#This Row],[L6N]],Products[Product],0),2),Products[ProdCode],0),2),Products[[#This Row],[L6N]])</f>
        <v>Energy</v>
      </c>
      <c r="AA117" s="71" t="str" cm="1">
        <f t="array" ref="AA117">IFERROR(INDEX(Products[[ProdCode]:[Product]],_xlfn.XMATCH(INDEX(Products[[Product]:[Parent]],_xlfn.XMATCH(Products[[#This Row],[L7N]],Products[Product],0),2),Products[ProdCode],0),2),Products[[#This Row],[L7N]])</f>
        <v>Energy</v>
      </c>
      <c r="AB11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Marine energy</v>
      </c>
      <c r="AE11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Thermal gradient</v>
      </c>
      <c r="AF11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Thermal gradient</v>
      </c>
      <c r="AG11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Thermal gradient</v>
      </c>
      <c r="AH11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Thermal gradient</v>
      </c>
      <c r="AI11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Thermal gradient</v>
      </c>
    </row>
    <row r="118" spans="2:35" x14ac:dyDescent="0.45">
      <c r="B118" s="104">
        <v>230000</v>
      </c>
      <c r="C118" s="76" t="s">
        <v>266</v>
      </c>
      <c r="D118" s="104">
        <v>200000</v>
      </c>
      <c r="E118" s="93" t="s">
        <v>1149</v>
      </c>
      <c r="F118" s="19" t="s">
        <v>1188</v>
      </c>
      <c r="G118" s="82" t="s">
        <v>55</v>
      </c>
      <c r="H118" s="82" t="s">
        <v>65</v>
      </c>
      <c r="I118" s="82"/>
      <c r="J118" s="82"/>
      <c r="K118" s="82" t="s">
        <v>1016</v>
      </c>
      <c r="L118" s="82" t="s">
        <v>1938</v>
      </c>
      <c r="M118" s="82">
        <v>3.6</v>
      </c>
      <c r="N118" s="119"/>
      <c r="O118" s="119"/>
      <c r="P118" s="82"/>
      <c r="Q118" s="82" t="s">
        <v>709</v>
      </c>
      <c r="R118" s="82"/>
      <c r="S118" s="82"/>
      <c r="T118" s="71" t="str" cm="1">
        <f t="array" ref="T118">IFERROR(INDEX(Products[[ProdCode]:[Product]],_xlfn.XMATCH(Products[[#This Row],[Parent]],Products[Product],0),2),Products[[#This Row],[Product]])</f>
        <v>Wind energy</v>
      </c>
      <c r="U118" s="71" t="str" cm="1">
        <f t="array" ref="U118">IFERROR(INDEX(Products[[ProdCode]:[Product]],_xlfn.XMATCH(INDEX(Products[[Product]:[Parent]],_xlfn.XMATCH(Products[[#This Row],[L1N]],Products[Product],0),2),Products[ProdCode],0),2),Products[[#This Row],[L1N]])</f>
        <v>Renewable Energy</v>
      </c>
      <c r="V118" s="71" t="str" cm="1">
        <f t="array" ref="V118">IFERROR(INDEX(Products[[ProdCode]:[Product]],_xlfn.XMATCH(INDEX(Products[[Product]:[Parent]],_xlfn.XMATCH(Products[[#This Row],[L2N]],Products[Product],0),2),Products[ProdCode],0),2),Products[[#This Row],[L2N]])</f>
        <v>Energy</v>
      </c>
      <c r="W118" s="71" t="str" cm="1">
        <f t="array" ref="W118">IFERROR(INDEX(Products[[ProdCode]:[Product]],_xlfn.XMATCH(INDEX(Products[[Product]:[Parent]],_xlfn.XMATCH(Products[[#This Row],[L3N]],Products[Product],0),2),Products[ProdCode],0),2),Products[[#This Row],[L3N]])</f>
        <v>Energy</v>
      </c>
      <c r="X118" s="71" t="str" cm="1">
        <f t="array" ref="X118">IFERROR(INDEX(Products[[ProdCode]:[Product]],_xlfn.XMATCH(INDEX(Products[[Product]:[Parent]],_xlfn.XMATCH(Products[[#This Row],[L4N]],Products[Product],0),2),Products[ProdCode],0),2),Products[[#This Row],[L4N]])</f>
        <v>Energy</v>
      </c>
      <c r="Y118" s="71" t="str" cm="1">
        <f t="array" ref="Y118">IFERROR(INDEX(Products[[ProdCode]:[Product]],_xlfn.XMATCH(INDEX(Products[[Product]:[Parent]],_xlfn.XMATCH(Products[[#This Row],[L5N]],Products[Product],0),2),Products[ProdCode],0),2),Products[[#This Row],[L5N]])</f>
        <v>Energy</v>
      </c>
      <c r="Z118" s="71" t="str" cm="1">
        <f t="array" ref="Z118">IFERROR(INDEX(Products[[ProdCode]:[Product]],_xlfn.XMATCH(INDEX(Products[[Product]:[Parent]],_xlfn.XMATCH(Products[[#This Row],[L6N]],Products[Product],0),2),Products[ProdCode],0),2),Products[[#This Row],[L6N]])</f>
        <v>Energy</v>
      </c>
      <c r="AA118" s="71" t="str" cm="1">
        <f t="array" ref="AA118">IFERROR(INDEX(Products[[ProdCode]:[Product]],_xlfn.XMATCH(INDEX(Products[[Product]:[Parent]],_xlfn.XMATCH(Products[[#This Row],[L7N]],Products[Product],0),2),Products[ProdCode],0),2),Products[[#This Row],[L7N]])</f>
        <v>Energy</v>
      </c>
      <c r="AB11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Wind energy</v>
      </c>
      <c r="AE11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Wind energy</v>
      </c>
      <c r="AF11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Wind energy</v>
      </c>
      <c r="AG11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Wind energy</v>
      </c>
      <c r="AH11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Wind energy</v>
      </c>
      <c r="AI11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Wind energy</v>
      </c>
    </row>
    <row r="119" spans="2:35" x14ac:dyDescent="0.45">
      <c r="B119" s="105">
        <v>231000</v>
      </c>
      <c r="C119" s="79" t="s">
        <v>273</v>
      </c>
      <c r="D119" s="105">
        <v>230000</v>
      </c>
      <c r="E119" s="93" t="s">
        <v>1149</v>
      </c>
      <c r="F119" s="19" t="s">
        <v>1188</v>
      </c>
      <c r="G119" s="82" t="s">
        <v>54</v>
      </c>
      <c r="H119" s="82" t="s">
        <v>83</v>
      </c>
      <c r="I119" s="82"/>
      <c r="J119" s="82"/>
      <c r="K119" s="82" t="s">
        <v>1401</v>
      </c>
      <c r="L119" s="82"/>
      <c r="M119" s="82">
        <v>3.6</v>
      </c>
      <c r="N119" s="119"/>
      <c r="O119" s="119"/>
      <c r="P119" s="82"/>
      <c r="Q119" s="82" t="s">
        <v>709</v>
      </c>
      <c r="R119" s="82"/>
      <c r="S119" s="82"/>
      <c r="T119" s="71" t="str" cm="1">
        <f t="array" ref="T119">IFERROR(INDEX(Products[[ProdCode]:[Product]],_xlfn.XMATCH(Products[[#This Row],[Parent]],Products[Product],0),2),Products[[#This Row],[Product]])</f>
        <v>Onshore wind energy</v>
      </c>
      <c r="U119" s="71" t="str" cm="1">
        <f t="array" ref="U119">IFERROR(INDEX(Products[[ProdCode]:[Product]],_xlfn.XMATCH(INDEX(Products[[Product]:[Parent]],_xlfn.XMATCH(Products[[#This Row],[L1N]],Products[Product],0),2),Products[ProdCode],0),2),Products[[#This Row],[L1N]])</f>
        <v>Wind energy</v>
      </c>
      <c r="V119" s="71" t="str" cm="1">
        <f t="array" ref="V119">IFERROR(INDEX(Products[[ProdCode]:[Product]],_xlfn.XMATCH(INDEX(Products[[Product]:[Parent]],_xlfn.XMATCH(Products[[#This Row],[L2N]],Products[Product],0),2),Products[ProdCode],0),2),Products[[#This Row],[L2N]])</f>
        <v>Renewable Energy</v>
      </c>
      <c r="W119" s="71" t="str" cm="1">
        <f t="array" ref="W119">IFERROR(INDEX(Products[[ProdCode]:[Product]],_xlfn.XMATCH(INDEX(Products[[Product]:[Parent]],_xlfn.XMATCH(Products[[#This Row],[L3N]],Products[Product],0),2),Products[ProdCode],0),2),Products[[#This Row],[L3N]])</f>
        <v>Energy</v>
      </c>
      <c r="X119" s="71" t="str" cm="1">
        <f t="array" ref="X119">IFERROR(INDEX(Products[[ProdCode]:[Product]],_xlfn.XMATCH(INDEX(Products[[Product]:[Parent]],_xlfn.XMATCH(Products[[#This Row],[L4N]],Products[Product],0),2),Products[ProdCode],0),2),Products[[#This Row],[L4N]])</f>
        <v>Energy</v>
      </c>
      <c r="Y119" s="71" t="str" cm="1">
        <f t="array" ref="Y119">IFERROR(INDEX(Products[[ProdCode]:[Product]],_xlfn.XMATCH(INDEX(Products[[Product]:[Parent]],_xlfn.XMATCH(Products[[#This Row],[L5N]],Products[Product],0),2),Products[ProdCode],0),2),Products[[#This Row],[L5N]])</f>
        <v>Energy</v>
      </c>
      <c r="Z119" s="71" t="str" cm="1">
        <f t="array" ref="Z119">IFERROR(INDEX(Products[[ProdCode]:[Product]],_xlfn.XMATCH(INDEX(Products[[Product]:[Parent]],_xlfn.XMATCH(Products[[#This Row],[L6N]],Products[Product],0),2),Products[ProdCode],0),2),Products[[#This Row],[L6N]])</f>
        <v>Energy</v>
      </c>
      <c r="AA119" s="71" t="str" cm="1">
        <f t="array" ref="AA119">IFERROR(INDEX(Products[[ProdCode]:[Product]],_xlfn.XMATCH(INDEX(Products[[Product]:[Parent]],_xlfn.XMATCH(Products[[#This Row],[L7N]],Products[Product],0),2),Products[ProdCode],0),2),Products[[#This Row],[L7N]])</f>
        <v>Energy</v>
      </c>
      <c r="AB11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1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1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Wind energy</v>
      </c>
      <c r="AE11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Onshore wind energy</v>
      </c>
      <c r="AF11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Onshore wind energy</v>
      </c>
      <c r="AG11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Onshore wind energy</v>
      </c>
      <c r="AH11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Onshore wind energy</v>
      </c>
      <c r="AI11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Onshore wind energy</v>
      </c>
    </row>
    <row r="120" spans="2:35" x14ac:dyDescent="0.45">
      <c r="B120" s="105">
        <v>232000</v>
      </c>
      <c r="C120" s="79" t="s">
        <v>280</v>
      </c>
      <c r="D120" s="105">
        <v>230000</v>
      </c>
      <c r="E120" s="93" t="s">
        <v>1149</v>
      </c>
      <c r="F120" s="19" t="s">
        <v>1188</v>
      </c>
      <c r="G120" s="82" t="s">
        <v>54</v>
      </c>
      <c r="H120" s="82" t="s">
        <v>83</v>
      </c>
      <c r="I120" s="82"/>
      <c r="J120" s="82"/>
      <c r="K120" s="82" t="s">
        <v>1402</v>
      </c>
      <c r="L120" s="82"/>
      <c r="M120" s="82">
        <v>3.6</v>
      </c>
      <c r="N120" s="119"/>
      <c r="O120" s="119"/>
      <c r="P120" s="82"/>
      <c r="Q120" s="82" t="s">
        <v>709</v>
      </c>
      <c r="R120" s="82"/>
      <c r="S120" s="82"/>
      <c r="T120" s="71" t="str" cm="1">
        <f t="array" ref="T120">IFERROR(INDEX(Products[[ProdCode]:[Product]],_xlfn.XMATCH(Products[[#This Row],[Parent]],Products[Product],0),2),Products[[#This Row],[Product]])</f>
        <v>Offshore wind energy</v>
      </c>
      <c r="U120" s="71" t="str" cm="1">
        <f t="array" ref="U120">IFERROR(INDEX(Products[[ProdCode]:[Product]],_xlfn.XMATCH(INDEX(Products[[Product]:[Parent]],_xlfn.XMATCH(Products[[#This Row],[L1N]],Products[Product],0),2),Products[ProdCode],0),2),Products[[#This Row],[L1N]])</f>
        <v>Wind energy</v>
      </c>
      <c r="V120" s="71" t="str" cm="1">
        <f t="array" ref="V120">IFERROR(INDEX(Products[[ProdCode]:[Product]],_xlfn.XMATCH(INDEX(Products[[Product]:[Parent]],_xlfn.XMATCH(Products[[#This Row],[L2N]],Products[Product],0),2),Products[ProdCode],0),2),Products[[#This Row],[L2N]])</f>
        <v>Renewable Energy</v>
      </c>
      <c r="W120" s="71" t="str" cm="1">
        <f t="array" ref="W120">IFERROR(INDEX(Products[[ProdCode]:[Product]],_xlfn.XMATCH(INDEX(Products[[Product]:[Parent]],_xlfn.XMATCH(Products[[#This Row],[L3N]],Products[Product],0),2),Products[ProdCode],0),2),Products[[#This Row],[L3N]])</f>
        <v>Energy</v>
      </c>
      <c r="X120" s="71" t="str" cm="1">
        <f t="array" ref="X120">IFERROR(INDEX(Products[[ProdCode]:[Product]],_xlfn.XMATCH(INDEX(Products[[Product]:[Parent]],_xlfn.XMATCH(Products[[#This Row],[L4N]],Products[Product],0),2),Products[ProdCode],0),2),Products[[#This Row],[L4N]])</f>
        <v>Energy</v>
      </c>
      <c r="Y120" s="71" t="str" cm="1">
        <f t="array" ref="Y120">IFERROR(INDEX(Products[[ProdCode]:[Product]],_xlfn.XMATCH(INDEX(Products[[Product]:[Parent]],_xlfn.XMATCH(Products[[#This Row],[L5N]],Products[Product],0),2),Products[ProdCode],0),2),Products[[#This Row],[L5N]])</f>
        <v>Energy</v>
      </c>
      <c r="Z120" s="71" t="str" cm="1">
        <f t="array" ref="Z120">IFERROR(INDEX(Products[[ProdCode]:[Product]],_xlfn.XMATCH(INDEX(Products[[Product]:[Parent]],_xlfn.XMATCH(Products[[#This Row],[L6N]],Products[Product],0),2),Products[ProdCode],0),2),Products[[#This Row],[L6N]])</f>
        <v>Energy</v>
      </c>
      <c r="AA120" s="71" t="str" cm="1">
        <f t="array" ref="AA120">IFERROR(INDEX(Products[[ProdCode]:[Product]],_xlfn.XMATCH(INDEX(Products[[Product]:[Parent]],_xlfn.XMATCH(Products[[#This Row],[L7N]],Products[Product],0),2),Products[ProdCode],0),2),Products[[#This Row],[L7N]])</f>
        <v>Energy</v>
      </c>
      <c r="AB12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Wind energy</v>
      </c>
      <c r="AE12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Offshore wind energy</v>
      </c>
      <c r="AF12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Offshore wind energy</v>
      </c>
      <c r="AG12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Offshore wind energy</v>
      </c>
      <c r="AH12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Offshore wind energy</v>
      </c>
      <c r="AI12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Offshore wind energy</v>
      </c>
    </row>
    <row r="121" spans="2:35" x14ac:dyDescent="0.45">
      <c r="B121" s="104">
        <v>240000</v>
      </c>
      <c r="C121" s="76" t="s">
        <v>294</v>
      </c>
      <c r="D121" s="104">
        <v>200000</v>
      </c>
      <c r="E121" s="93" t="s">
        <v>1149</v>
      </c>
      <c r="F121" s="19" t="s">
        <v>1188</v>
      </c>
      <c r="G121" s="82" t="s">
        <v>55</v>
      </c>
      <c r="H121" s="82" t="s">
        <v>65</v>
      </c>
      <c r="I121" s="82"/>
      <c r="J121" s="82"/>
      <c r="K121" s="82" t="s">
        <v>1017</v>
      </c>
      <c r="L121" s="82" t="s">
        <v>1939</v>
      </c>
      <c r="M121" s="82"/>
      <c r="N121" s="119"/>
      <c r="O121" s="119"/>
      <c r="P121" s="82"/>
      <c r="Q121" s="82" t="s">
        <v>709</v>
      </c>
      <c r="R121" s="82"/>
      <c r="S121" s="82"/>
      <c r="T121" s="71" t="str" cm="1">
        <f t="array" ref="T121">IFERROR(INDEX(Products[[ProdCode]:[Product]],_xlfn.XMATCH(Products[[#This Row],[Parent]],Products[Product],0),2),Products[[#This Row],[Product]])</f>
        <v>Solar energy</v>
      </c>
      <c r="U121" s="71" t="str" cm="1">
        <f t="array" ref="U121">IFERROR(INDEX(Products[[ProdCode]:[Product]],_xlfn.XMATCH(INDEX(Products[[Product]:[Parent]],_xlfn.XMATCH(Products[[#This Row],[L1N]],Products[Product],0),2),Products[ProdCode],0),2),Products[[#This Row],[L1N]])</f>
        <v>Renewable Energy</v>
      </c>
      <c r="V121" s="71" t="str" cm="1">
        <f t="array" ref="V121">IFERROR(INDEX(Products[[ProdCode]:[Product]],_xlfn.XMATCH(INDEX(Products[[Product]:[Parent]],_xlfn.XMATCH(Products[[#This Row],[L2N]],Products[Product],0),2),Products[ProdCode],0),2),Products[[#This Row],[L2N]])</f>
        <v>Energy</v>
      </c>
      <c r="W121" s="71" t="str" cm="1">
        <f t="array" ref="W121">IFERROR(INDEX(Products[[ProdCode]:[Product]],_xlfn.XMATCH(INDEX(Products[[Product]:[Parent]],_xlfn.XMATCH(Products[[#This Row],[L3N]],Products[Product],0),2),Products[ProdCode],0),2),Products[[#This Row],[L3N]])</f>
        <v>Energy</v>
      </c>
      <c r="X121" s="71" t="str" cm="1">
        <f t="array" ref="X121">IFERROR(INDEX(Products[[ProdCode]:[Product]],_xlfn.XMATCH(INDEX(Products[[Product]:[Parent]],_xlfn.XMATCH(Products[[#This Row],[L4N]],Products[Product],0),2),Products[ProdCode],0),2),Products[[#This Row],[L4N]])</f>
        <v>Energy</v>
      </c>
      <c r="Y121" s="71" t="str" cm="1">
        <f t="array" ref="Y121">IFERROR(INDEX(Products[[ProdCode]:[Product]],_xlfn.XMATCH(INDEX(Products[[Product]:[Parent]],_xlfn.XMATCH(Products[[#This Row],[L5N]],Products[Product],0),2),Products[ProdCode],0),2),Products[[#This Row],[L5N]])</f>
        <v>Energy</v>
      </c>
      <c r="Z121" s="71" t="str" cm="1">
        <f t="array" ref="Z121">IFERROR(INDEX(Products[[ProdCode]:[Product]],_xlfn.XMATCH(INDEX(Products[[Product]:[Parent]],_xlfn.XMATCH(Products[[#This Row],[L6N]],Products[Product],0),2),Products[ProdCode],0),2),Products[[#This Row],[L6N]])</f>
        <v>Energy</v>
      </c>
      <c r="AA121" s="71" t="str" cm="1">
        <f t="array" ref="AA121">IFERROR(INDEX(Products[[ProdCode]:[Product]],_xlfn.XMATCH(INDEX(Products[[Product]:[Parent]],_xlfn.XMATCH(Products[[#This Row],[L7N]],Products[Product],0),2),Products[ProdCode],0),2),Products[[#This Row],[L7N]])</f>
        <v>Energy</v>
      </c>
      <c r="AB12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energy</v>
      </c>
      <c r="AF12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energy</v>
      </c>
      <c r="AG12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energy</v>
      </c>
      <c r="AH12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energy</v>
      </c>
      <c r="AI12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energy</v>
      </c>
    </row>
    <row r="122" spans="2:35" x14ac:dyDescent="0.45">
      <c r="B122" s="105">
        <v>241000</v>
      </c>
      <c r="C122" s="79" t="s">
        <v>301</v>
      </c>
      <c r="D122" s="105">
        <v>240000</v>
      </c>
      <c r="E122" s="93" t="s">
        <v>1149</v>
      </c>
      <c r="F122" s="19" t="s">
        <v>1188</v>
      </c>
      <c r="G122" s="82" t="s">
        <v>54</v>
      </c>
      <c r="H122" s="82" t="s">
        <v>65</v>
      </c>
      <c r="I122" s="82"/>
      <c r="J122" s="82"/>
      <c r="K122" s="82" t="s">
        <v>1403</v>
      </c>
      <c r="L122" s="82"/>
      <c r="M122" s="82">
        <v>3.6</v>
      </c>
      <c r="N122" s="119"/>
      <c r="O122" s="119"/>
      <c r="P122" s="82"/>
      <c r="Q122" s="82" t="s">
        <v>709</v>
      </c>
      <c r="R122" s="82"/>
      <c r="S122" s="82"/>
      <c r="T122" s="71" t="str" cm="1">
        <f t="array" ref="T122">IFERROR(INDEX(Products[[ProdCode]:[Product]],_xlfn.XMATCH(Products[[#This Row],[Parent]],Products[Product],0),2),Products[[#This Row],[Product]])</f>
        <v>Solar photovoltaic</v>
      </c>
      <c r="U122" s="71" t="str" cm="1">
        <f t="array" ref="U122">IFERROR(INDEX(Products[[ProdCode]:[Product]],_xlfn.XMATCH(INDEX(Products[[Product]:[Parent]],_xlfn.XMATCH(Products[[#This Row],[L1N]],Products[Product],0),2),Products[ProdCode],0),2),Products[[#This Row],[L1N]])</f>
        <v>Solar energy</v>
      </c>
      <c r="V122" s="71" t="str" cm="1">
        <f t="array" ref="V122">IFERROR(INDEX(Products[[ProdCode]:[Product]],_xlfn.XMATCH(INDEX(Products[[Product]:[Parent]],_xlfn.XMATCH(Products[[#This Row],[L2N]],Products[Product],0),2),Products[ProdCode],0),2),Products[[#This Row],[L2N]])</f>
        <v>Renewable Energy</v>
      </c>
      <c r="W122" s="71" t="str" cm="1">
        <f t="array" ref="W122">IFERROR(INDEX(Products[[ProdCode]:[Product]],_xlfn.XMATCH(INDEX(Products[[Product]:[Parent]],_xlfn.XMATCH(Products[[#This Row],[L3N]],Products[Product],0),2),Products[ProdCode],0),2),Products[[#This Row],[L3N]])</f>
        <v>Energy</v>
      </c>
      <c r="X122" s="71" t="str" cm="1">
        <f t="array" ref="X122">IFERROR(INDEX(Products[[ProdCode]:[Product]],_xlfn.XMATCH(INDEX(Products[[Product]:[Parent]],_xlfn.XMATCH(Products[[#This Row],[L4N]],Products[Product],0),2),Products[ProdCode],0),2),Products[[#This Row],[L4N]])</f>
        <v>Energy</v>
      </c>
      <c r="Y122" s="71" t="str" cm="1">
        <f t="array" ref="Y122">IFERROR(INDEX(Products[[ProdCode]:[Product]],_xlfn.XMATCH(INDEX(Products[[Product]:[Parent]],_xlfn.XMATCH(Products[[#This Row],[L5N]],Products[Product],0),2),Products[ProdCode],0),2),Products[[#This Row],[L5N]])</f>
        <v>Energy</v>
      </c>
      <c r="Z122" s="71" t="str" cm="1">
        <f t="array" ref="Z122">IFERROR(INDEX(Products[[ProdCode]:[Product]],_xlfn.XMATCH(INDEX(Products[[Product]:[Parent]],_xlfn.XMATCH(Products[[#This Row],[L6N]],Products[Product],0),2),Products[ProdCode],0),2),Products[[#This Row],[L6N]])</f>
        <v>Energy</v>
      </c>
      <c r="AA122" s="71" t="str" cm="1">
        <f t="array" ref="AA122">IFERROR(INDEX(Products[[ProdCode]:[Product]],_xlfn.XMATCH(INDEX(Products[[Product]:[Parent]],_xlfn.XMATCH(Products[[#This Row],[L7N]],Products[Product],0),2),Products[ProdCode],0),2),Products[[#This Row],[L7N]])</f>
        <v>Energy</v>
      </c>
      <c r="AB12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photovoltaic</v>
      </c>
      <c r="AG12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photovoltaic</v>
      </c>
      <c r="AH12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photovoltaic</v>
      </c>
      <c r="AI12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photovoltaic</v>
      </c>
    </row>
    <row r="123" spans="2:35" x14ac:dyDescent="0.45">
      <c r="B123" s="106">
        <v>241100</v>
      </c>
      <c r="C123" s="85" t="s">
        <v>1153</v>
      </c>
      <c r="D123" s="106">
        <v>241000</v>
      </c>
      <c r="E123" s="93" t="s">
        <v>1149</v>
      </c>
      <c r="F123" s="19" t="s">
        <v>1188</v>
      </c>
      <c r="G123" s="82" t="s">
        <v>53</v>
      </c>
      <c r="H123" s="82" t="s">
        <v>65</v>
      </c>
      <c r="I123" s="82"/>
      <c r="J123" s="82"/>
      <c r="K123" s="82" t="s">
        <v>1404</v>
      </c>
      <c r="L123" s="82"/>
      <c r="M123" s="82">
        <v>3.6</v>
      </c>
      <c r="N123" s="119"/>
      <c r="O123" s="119"/>
      <c r="P123" s="82"/>
      <c r="Q123" s="82" t="s">
        <v>709</v>
      </c>
      <c r="R123" s="82"/>
      <c r="S123" s="82"/>
      <c r="T123" s="71" t="str" cm="1">
        <f t="array" ref="T123">IFERROR(INDEX(Products[[ProdCode]:[Product]],_xlfn.XMATCH(Products[[#This Row],[Parent]],Products[Product],0),2),Products[[#This Row],[Product]])</f>
        <v>On-grid solar photovoltaic</v>
      </c>
      <c r="U123" s="71" t="str" cm="1">
        <f t="array" ref="U123">IFERROR(INDEX(Products[[ProdCode]:[Product]],_xlfn.XMATCH(INDEX(Products[[Product]:[Parent]],_xlfn.XMATCH(Products[[#This Row],[L1N]],Products[Product],0),2),Products[ProdCode],0),2),Products[[#This Row],[L1N]])</f>
        <v>Solar photovoltaic</v>
      </c>
      <c r="V123" s="71" t="str" cm="1">
        <f t="array" ref="V123">IFERROR(INDEX(Products[[ProdCode]:[Product]],_xlfn.XMATCH(INDEX(Products[[Product]:[Parent]],_xlfn.XMATCH(Products[[#This Row],[L2N]],Products[Product],0),2),Products[ProdCode],0),2),Products[[#This Row],[L2N]])</f>
        <v>Solar energy</v>
      </c>
      <c r="W123" s="71" t="str" cm="1">
        <f t="array" ref="W123">IFERROR(INDEX(Products[[ProdCode]:[Product]],_xlfn.XMATCH(INDEX(Products[[Product]:[Parent]],_xlfn.XMATCH(Products[[#This Row],[L3N]],Products[Product],0),2),Products[ProdCode],0),2),Products[[#This Row],[L3N]])</f>
        <v>Renewable Energy</v>
      </c>
      <c r="X123" s="71" t="str" cm="1">
        <f t="array" ref="X123">IFERROR(INDEX(Products[[ProdCode]:[Product]],_xlfn.XMATCH(INDEX(Products[[Product]:[Parent]],_xlfn.XMATCH(Products[[#This Row],[L4N]],Products[Product],0),2),Products[ProdCode],0),2),Products[[#This Row],[L4N]])</f>
        <v>Energy</v>
      </c>
      <c r="Y123" s="71" t="str" cm="1">
        <f t="array" ref="Y123">IFERROR(INDEX(Products[[ProdCode]:[Product]],_xlfn.XMATCH(INDEX(Products[[Product]:[Parent]],_xlfn.XMATCH(Products[[#This Row],[L5N]],Products[Product],0),2),Products[ProdCode],0),2),Products[[#This Row],[L5N]])</f>
        <v>Energy</v>
      </c>
      <c r="Z123" s="71" t="str" cm="1">
        <f t="array" ref="Z123">IFERROR(INDEX(Products[[ProdCode]:[Product]],_xlfn.XMATCH(INDEX(Products[[Product]:[Parent]],_xlfn.XMATCH(Products[[#This Row],[L6N]],Products[Product],0),2),Products[ProdCode],0),2),Products[[#This Row],[L6N]])</f>
        <v>Energy</v>
      </c>
      <c r="AA123" s="71" t="str" cm="1">
        <f t="array" ref="AA123">IFERROR(INDEX(Products[[ProdCode]:[Product]],_xlfn.XMATCH(INDEX(Products[[Product]:[Parent]],_xlfn.XMATCH(Products[[#This Row],[L7N]],Products[Product],0),2),Products[ProdCode],0),2),Products[[#This Row],[L7N]])</f>
        <v>Energy</v>
      </c>
      <c r="AB12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On-grid solar photovoltaic</v>
      </c>
      <c r="AG12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On-grid solar photovoltaic</v>
      </c>
      <c r="AH12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On-grid solar photovoltaic</v>
      </c>
      <c r="AI12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On-grid solar photovoltaic</v>
      </c>
    </row>
    <row r="124" spans="2:35" x14ac:dyDescent="0.45">
      <c r="B124" s="107">
        <v>241110</v>
      </c>
      <c r="C124" s="88" t="s">
        <v>1157</v>
      </c>
      <c r="D124" s="107">
        <v>241100</v>
      </c>
      <c r="E124" s="93" t="s">
        <v>1149</v>
      </c>
      <c r="F124" s="19" t="s">
        <v>1188</v>
      </c>
      <c r="G124" s="82" t="s">
        <v>1199</v>
      </c>
      <c r="H124" s="82" t="s">
        <v>83</v>
      </c>
      <c r="I124" s="82"/>
      <c r="J124" s="82"/>
      <c r="K124" s="82" t="s">
        <v>1784</v>
      </c>
      <c r="L124" s="82"/>
      <c r="M124" s="82">
        <v>3.6</v>
      </c>
      <c r="N124" s="119"/>
      <c r="O124" s="119"/>
      <c r="P124" s="82"/>
      <c r="Q124" s="82" t="s">
        <v>709</v>
      </c>
      <c r="R124" s="82"/>
      <c r="S124" s="82"/>
      <c r="T124" s="71" t="str" cm="1">
        <f t="array" ref="T124">IFERROR(INDEX(Products[[ProdCode]:[Product]],_xlfn.XMATCH(Products[[#This Row],[Parent]],Products[Product],0),2),Products[[#This Row],[Product]])</f>
        <v>On-grid utility-scale photovoltaic (&gt;1 000 kW)</v>
      </c>
      <c r="U124" s="71" t="str" cm="1">
        <f t="array" ref="U124">IFERROR(INDEX(Products[[ProdCode]:[Product]],_xlfn.XMATCH(INDEX(Products[[Product]:[Parent]],_xlfn.XMATCH(Products[[#This Row],[L1N]],Products[Product],0),2),Products[ProdCode],0),2),Products[[#This Row],[L1N]])</f>
        <v>On-grid solar photovoltaic</v>
      </c>
      <c r="V124" s="71" t="str" cm="1">
        <f t="array" ref="V124">IFERROR(INDEX(Products[[ProdCode]:[Product]],_xlfn.XMATCH(INDEX(Products[[Product]:[Parent]],_xlfn.XMATCH(Products[[#This Row],[L2N]],Products[Product],0),2),Products[ProdCode],0),2),Products[[#This Row],[L2N]])</f>
        <v>Solar photovoltaic</v>
      </c>
      <c r="W124" s="71" t="str" cm="1">
        <f t="array" ref="W124">IFERROR(INDEX(Products[[ProdCode]:[Product]],_xlfn.XMATCH(INDEX(Products[[Product]:[Parent]],_xlfn.XMATCH(Products[[#This Row],[L3N]],Products[Product],0),2),Products[ProdCode],0),2),Products[[#This Row],[L3N]])</f>
        <v>Solar energy</v>
      </c>
      <c r="X124" s="71" t="str" cm="1">
        <f t="array" ref="X124">IFERROR(INDEX(Products[[ProdCode]:[Product]],_xlfn.XMATCH(INDEX(Products[[Product]:[Parent]],_xlfn.XMATCH(Products[[#This Row],[L4N]],Products[Product],0),2),Products[ProdCode],0),2),Products[[#This Row],[L4N]])</f>
        <v>Renewable Energy</v>
      </c>
      <c r="Y124" s="71" t="str" cm="1">
        <f t="array" ref="Y124">IFERROR(INDEX(Products[[ProdCode]:[Product]],_xlfn.XMATCH(INDEX(Products[[Product]:[Parent]],_xlfn.XMATCH(Products[[#This Row],[L5N]],Products[Product],0),2),Products[ProdCode],0),2),Products[[#This Row],[L5N]])</f>
        <v>Energy</v>
      </c>
      <c r="Z124" s="71" t="str" cm="1">
        <f t="array" ref="Z124">IFERROR(INDEX(Products[[ProdCode]:[Product]],_xlfn.XMATCH(INDEX(Products[[Product]:[Parent]],_xlfn.XMATCH(Products[[#This Row],[L6N]],Products[Product],0),2),Products[ProdCode],0),2),Products[[#This Row],[L6N]])</f>
        <v>Energy</v>
      </c>
      <c r="AA124" s="71" t="str" cm="1">
        <f t="array" ref="AA124">IFERROR(INDEX(Products[[ProdCode]:[Product]],_xlfn.XMATCH(INDEX(Products[[Product]:[Parent]],_xlfn.XMATCH(Products[[#This Row],[L7N]],Products[Product],0),2),Products[ProdCode],0),2),Products[[#This Row],[L7N]])</f>
        <v>Energy</v>
      </c>
      <c r="AB12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On-grid solar photovoltaic</v>
      </c>
      <c r="AG12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On-grid utility-scale photovoltaic (&gt;1 000 kW)</v>
      </c>
      <c r="AH12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On-grid utility-scale photovoltaic (&gt;1 000 kW)</v>
      </c>
      <c r="AI12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On-grid utility-scale photovoltaic (&gt;1 000 kW)</v>
      </c>
    </row>
    <row r="125" spans="2:35" x14ac:dyDescent="0.45">
      <c r="B125" s="107">
        <v>241120</v>
      </c>
      <c r="C125" s="88" t="s">
        <v>1156</v>
      </c>
      <c r="D125" s="107">
        <v>241100</v>
      </c>
      <c r="E125" s="93" t="s">
        <v>1149</v>
      </c>
      <c r="F125" s="19" t="s">
        <v>1188</v>
      </c>
      <c r="G125" s="82" t="s">
        <v>1199</v>
      </c>
      <c r="H125" s="82" t="s">
        <v>83</v>
      </c>
      <c r="I125" s="82"/>
      <c r="J125" s="82"/>
      <c r="K125" s="82" t="s">
        <v>1785</v>
      </c>
      <c r="L125" s="82"/>
      <c r="M125" s="82">
        <v>3.6</v>
      </c>
      <c r="N125" s="119"/>
      <c r="O125" s="119"/>
      <c r="P125" s="82"/>
      <c r="Q125" s="82" t="s">
        <v>709</v>
      </c>
      <c r="R125" s="82"/>
      <c r="S125" s="82"/>
      <c r="T125" s="71" t="str" cm="1">
        <f t="array" ref="T125">IFERROR(INDEX(Products[[ProdCode]:[Product]],_xlfn.XMATCH(Products[[#This Row],[Parent]],Products[Product],0),2),Products[[#This Row],[Product]])</f>
        <v>On-grid distributed photovoltaic (30-1 000 kW)</v>
      </c>
      <c r="U125" s="71" t="str" cm="1">
        <f t="array" ref="U125">IFERROR(INDEX(Products[[ProdCode]:[Product]],_xlfn.XMATCH(INDEX(Products[[Product]:[Parent]],_xlfn.XMATCH(Products[[#This Row],[L1N]],Products[Product],0),2),Products[ProdCode],0),2),Products[[#This Row],[L1N]])</f>
        <v>On-grid solar photovoltaic</v>
      </c>
      <c r="V125" s="71" t="str" cm="1">
        <f t="array" ref="V125">IFERROR(INDEX(Products[[ProdCode]:[Product]],_xlfn.XMATCH(INDEX(Products[[Product]:[Parent]],_xlfn.XMATCH(Products[[#This Row],[L2N]],Products[Product],0),2),Products[ProdCode],0),2),Products[[#This Row],[L2N]])</f>
        <v>Solar photovoltaic</v>
      </c>
      <c r="W125" s="71" t="str" cm="1">
        <f t="array" ref="W125">IFERROR(INDEX(Products[[ProdCode]:[Product]],_xlfn.XMATCH(INDEX(Products[[Product]:[Parent]],_xlfn.XMATCH(Products[[#This Row],[L3N]],Products[Product],0),2),Products[ProdCode],0),2),Products[[#This Row],[L3N]])</f>
        <v>Solar energy</v>
      </c>
      <c r="X125" s="71" t="str" cm="1">
        <f t="array" ref="X125">IFERROR(INDEX(Products[[ProdCode]:[Product]],_xlfn.XMATCH(INDEX(Products[[Product]:[Parent]],_xlfn.XMATCH(Products[[#This Row],[L4N]],Products[Product],0),2),Products[ProdCode],0),2),Products[[#This Row],[L4N]])</f>
        <v>Renewable Energy</v>
      </c>
      <c r="Y125" s="71" t="str" cm="1">
        <f t="array" ref="Y125">IFERROR(INDEX(Products[[ProdCode]:[Product]],_xlfn.XMATCH(INDEX(Products[[Product]:[Parent]],_xlfn.XMATCH(Products[[#This Row],[L5N]],Products[Product],0),2),Products[ProdCode],0),2),Products[[#This Row],[L5N]])</f>
        <v>Energy</v>
      </c>
      <c r="Z125" s="71" t="str" cm="1">
        <f t="array" ref="Z125">IFERROR(INDEX(Products[[ProdCode]:[Product]],_xlfn.XMATCH(INDEX(Products[[Product]:[Parent]],_xlfn.XMATCH(Products[[#This Row],[L6N]],Products[Product],0),2),Products[ProdCode],0),2),Products[[#This Row],[L6N]])</f>
        <v>Energy</v>
      </c>
      <c r="AA125" s="71" t="str" cm="1">
        <f t="array" ref="AA125">IFERROR(INDEX(Products[[ProdCode]:[Product]],_xlfn.XMATCH(INDEX(Products[[Product]:[Parent]],_xlfn.XMATCH(Products[[#This Row],[L7N]],Products[Product],0),2),Products[ProdCode],0),2),Products[[#This Row],[L7N]])</f>
        <v>Energy</v>
      </c>
      <c r="AB12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On-grid solar photovoltaic</v>
      </c>
      <c r="AG12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On-grid distributed photovoltaic (30-1 000 kW)</v>
      </c>
      <c r="AH12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On-grid distributed photovoltaic (30-1 000 kW)</v>
      </c>
      <c r="AI12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On-grid distributed photovoltaic (30-1 000 kW)</v>
      </c>
    </row>
    <row r="126" spans="2:35" x14ac:dyDescent="0.45">
      <c r="B126" s="107">
        <v>241130</v>
      </c>
      <c r="C126" s="88" t="s">
        <v>1158</v>
      </c>
      <c r="D126" s="107">
        <v>241100</v>
      </c>
      <c r="E126" s="93" t="s">
        <v>1149</v>
      </c>
      <c r="F126" s="19" t="s">
        <v>1188</v>
      </c>
      <c r="G126" s="82" t="s">
        <v>1199</v>
      </c>
      <c r="H126" s="82" t="s">
        <v>83</v>
      </c>
      <c r="I126" s="82"/>
      <c r="J126" s="82"/>
      <c r="K126" s="82" t="s">
        <v>1786</v>
      </c>
      <c r="L126" s="82"/>
      <c r="M126" s="82">
        <v>3.6</v>
      </c>
      <c r="N126" s="119"/>
      <c r="O126" s="119"/>
      <c r="P126" s="82"/>
      <c r="Q126" s="82" t="s">
        <v>709</v>
      </c>
      <c r="R126" s="82"/>
      <c r="S126" s="82"/>
      <c r="T126" s="71" t="str" cm="1">
        <f t="array" ref="T126">IFERROR(INDEX(Products[[ProdCode]:[Product]],_xlfn.XMATCH(Products[[#This Row],[Parent]],Products[Product],0),2),Products[[#This Row],[Product]])</f>
        <v>On-grid distributed photovoltaic (&lt;30 kW)</v>
      </c>
      <c r="U126" s="71" t="str" cm="1">
        <f t="array" ref="U126">IFERROR(INDEX(Products[[ProdCode]:[Product]],_xlfn.XMATCH(INDEX(Products[[Product]:[Parent]],_xlfn.XMATCH(Products[[#This Row],[L1N]],Products[Product],0),2),Products[ProdCode],0),2),Products[[#This Row],[L1N]])</f>
        <v>On-grid solar photovoltaic</v>
      </c>
      <c r="V126" s="71" t="str" cm="1">
        <f t="array" ref="V126">IFERROR(INDEX(Products[[ProdCode]:[Product]],_xlfn.XMATCH(INDEX(Products[[Product]:[Parent]],_xlfn.XMATCH(Products[[#This Row],[L2N]],Products[Product],0),2),Products[ProdCode],0),2),Products[[#This Row],[L2N]])</f>
        <v>Solar photovoltaic</v>
      </c>
      <c r="W126" s="71" t="str" cm="1">
        <f t="array" ref="W126">IFERROR(INDEX(Products[[ProdCode]:[Product]],_xlfn.XMATCH(INDEX(Products[[Product]:[Parent]],_xlfn.XMATCH(Products[[#This Row],[L3N]],Products[Product],0),2),Products[ProdCode],0),2),Products[[#This Row],[L3N]])</f>
        <v>Solar energy</v>
      </c>
      <c r="X126" s="71" t="str" cm="1">
        <f t="array" ref="X126">IFERROR(INDEX(Products[[ProdCode]:[Product]],_xlfn.XMATCH(INDEX(Products[[Product]:[Parent]],_xlfn.XMATCH(Products[[#This Row],[L4N]],Products[Product],0),2),Products[ProdCode],0),2),Products[[#This Row],[L4N]])</f>
        <v>Renewable Energy</v>
      </c>
      <c r="Y126" s="71" t="str" cm="1">
        <f t="array" ref="Y126">IFERROR(INDEX(Products[[ProdCode]:[Product]],_xlfn.XMATCH(INDEX(Products[[Product]:[Parent]],_xlfn.XMATCH(Products[[#This Row],[L5N]],Products[Product],0),2),Products[ProdCode],0),2),Products[[#This Row],[L5N]])</f>
        <v>Energy</v>
      </c>
      <c r="Z126" s="71" t="str" cm="1">
        <f t="array" ref="Z126">IFERROR(INDEX(Products[[ProdCode]:[Product]],_xlfn.XMATCH(INDEX(Products[[Product]:[Parent]],_xlfn.XMATCH(Products[[#This Row],[L6N]],Products[Product],0),2),Products[ProdCode],0),2),Products[[#This Row],[L6N]])</f>
        <v>Energy</v>
      </c>
      <c r="AA126" s="71" t="str" cm="1">
        <f t="array" ref="AA126">IFERROR(INDEX(Products[[ProdCode]:[Product]],_xlfn.XMATCH(INDEX(Products[[Product]:[Parent]],_xlfn.XMATCH(Products[[#This Row],[L7N]],Products[Product],0),2),Products[ProdCode],0),2),Products[[#This Row],[L7N]])</f>
        <v>Energy</v>
      </c>
      <c r="AB12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On-grid solar photovoltaic</v>
      </c>
      <c r="AG12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On-grid distributed photovoltaic (&lt;30 kW)</v>
      </c>
      <c r="AH12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On-grid distributed photovoltaic (&lt;30 kW)</v>
      </c>
      <c r="AI12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On-grid distributed photovoltaic (&lt;30 kW)</v>
      </c>
    </row>
    <row r="127" spans="2:35" x14ac:dyDescent="0.45">
      <c r="B127" s="106">
        <v>241200</v>
      </c>
      <c r="C127" s="85" t="s">
        <v>1154</v>
      </c>
      <c r="D127" s="106">
        <v>241000</v>
      </c>
      <c r="E127" s="93" t="s">
        <v>1149</v>
      </c>
      <c r="F127" s="19" t="s">
        <v>1188</v>
      </c>
      <c r="G127" s="82" t="s">
        <v>53</v>
      </c>
      <c r="H127" s="82" t="s">
        <v>65</v>
      </c>
      <c r="I127" s="82"/>
      <c r="J127" s="82"/>
      <c r="K127" s="82" t="s">
        <v>1405</v>
      </c>
      <c r="L127" s="82"/>
      <c r="M127" s="82">
        <v>3.6</v>
      </c>
      <c r="N127" s="119"/>
      <c r="O127" s="119"/>
      <c r="P127" s="82"/>
      <c r="Q127" s="82" t="s">
        <v>709</v>
      </c>
      <c r="R127" s="82"/>
      <c r="S127" s="82"/>
      <c r="T127" s="71" t="str" cm="1">
        <f t="array" ref="T127">IFERROR(INDEX(Products[[ProdCode]:[Product]],_xlfn.XMATCH(Products[[#This Row],[Parent]],Products[Product],0),2),Products[[#This Row],[Product]])</f>
        <v>Off-grid solar photovoltaic</v>
      </c>
      <c r="U127" s="71" t="str" cm="1">
        <f t="array" ref="U127">IFERROR(INDEX(Products[[ProdCode]:[Product]],_xlfn.XMATCH(INDEX(Products[[Product]:[Parent]],_xlfn.XMATCH(Products[[#This Row],[L1N]],Products[Product],0),2),Products[ProdCode],0),2),Products[[#This Row],[L1N]])</f>
        <v>Solar photovoltaic</v>
      </c>
      <c r="V127" s="71" t="str" cm="1">
        <f t="array" ref="V127">IFERROR(INDEX(Products[[ProdCode]:[Product]],_xlfn.XMATCH(INDEX(Products[[Product]:[Parent]],_xlfn.XMATCH(Products[[#This Row],[L2N]],Products[Product],0),2),Products[ProdCode],0),2),Products[[#This Row],[L2N]])</f>
        <v>Solar energy</v>
      </c>
      <c r="W127" s="71" t="str" cm="1">
        <f t="array" ref="W127">IFERROR(INDEX(Products[[ProdCode]:[Product]],_xlfn.XMATCH(INDEX(Products[[Product]:[Parent]],_xlfn.XMATCH(Products[[#This Row],[L3N]],Products[Product],0),2),Products[ProdCode],0),2),Products[[#This Row],[L3N]])</f>
        <v>Renewable Energy</v>
      </c>
      <c r="X127" s="71" t="str" cm="1">
        <f t="array" ref="X127">IFERROR(INDEX(Products[[ProdCode]:[Product]],_xlfn.XMATCH(INDEX(Products[[Product]:[Parent]],_xlfn.XMATCH(Products[[#This Row],[L4N]],Products[Product],0),2),Products[ProdCode],0),2),Products[[#This Row],[L4N]])</f>
        <v>Energy</v>
      </c>
      <c r="Y127" s="71" t="str" cm="1">
        <f t="array" ref="Y127">IFERROR(INDEX(Products[[ProdCode]:[Product]],_xlfn.XMATCH(INDEX(Products[[Product]:[Parent]],_xlfn.XMATCH(Products[[#This Row],[L5N]],Products[Product],0),2),Products[ProdCode],0),2),Products[[#This Row],[L5N]])</f>
        <v>Energy</v>
      </c>
      <c r="Z127" s="71" t="str" cm="1">
        <f t="array" ref="Z127">IFERROR(INDEX(Products[[ProdCode]:[Product]],_xlfn.XMATCH(INDEX(Products[[Product]:[Parent]],_xlfn.XMATCH(Products[[#This Row],[L6N]],Products[Product],0),2),Products[ProdCode],0),2),Products[[#This Row],[L6N]])</f>
        <v>Energy</v>
      </c>
      <c r="AA127" s="71" t="str" cm="1">
        <f t="array" ref="AA127">IFERROR(INDEX(Products[[ProdCode]:[Product]],_xlfn.XMATCH(INDEX(Products[[Product]:[Parent]],_xlfn.XMATCH(Products[[#This Row],[L7N]],Products[Product],0),2),Products[ProdCode],0),2),Products[[#This Row],[L7N]])</f>
        <v>Energy</v>
      </c>
      <c r="AB12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2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Off-grid solar photovoltaic</v>
      </c>
      <c r="AH12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Off-grid solar photovoltaic</v>
      </c>
      <c r="AI12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Off-grid solar photovoltaic</v>
      </c>
    </row>
    <row r="128" spans="2:35" x14ac:dyDescent="0.45">
      <c r="B128" s="107">
        <v>241210</v>
      </c>
      <c r="C128" s="88" t="s">
        <v>922</v>
      </c>
      <c r="D128" s="107">
        <v>241200</v>
      </c>
      <c r="E128" s="93" t="s">
        <v>1149</v>
      </c>
      <c r="F128" s="19" t="s">
        <v>1188</v>
      </c>
      <c r="G128" s="82" t="s">
        <v>1199</v>
      </c>
      <c r="H128" s="82" t="s">
        <v>83</v>
      </c>
      <c r="I128" s="82"/>
      <c r="J128" s="82"/>
      <c r="K128" s="82" t="s">
        <v>1787</v>
      </c>
      <c r="L128" s="82"/>
      <c r="M128" s="82">
        <v>3.6</v>
      </c>
      <c r="N128" s="119"/>
      <c r="O128" s="119"/>
      <c r="P128" s="82"/>
      <c r="Q128" s="82" t="s">
        <v>709</v>
      </c>
      <c r="R128" s="82"/>
      <c r="S128" s="82"/>
      <c r="T128" s="72" t="str" cm="1">
        <f t="array" ref="T128">IFERROR(INDEX(Products[[ProdCode]:[Product]],_xlfn.XMATCH(Products[[#This Row],[Parent]],Products[Product],0),2),Products[[#This Row],[Product]])</f>
        <v>Solar lights</v>
      </c>
      <c r="U128" s="72" t="str" cm="1">
        <f t="array" ref="U128">IFERROR(INDEX(Products[[ProdCode]:[Product]],_xlfn.XMATCH(INDEX(Products[[Product]:[Parent]],_xlfn.XMATCH(Products[[#This Row],[L1N]],Products[Product],0),2),Products[ProdCode],0),2),Products[[#This Row],[L1N]])</f>
        <v>Off-grid solar photovoltaic</v>
      </c>
      <c r="V128" s="72" t="str" cm="1">
        <f t="array" ref="V128">IFERROR(INDEX(Products[[ProdCode]:[Product]],_xlfn.XMATCH(INDEX(Products[[Product]:[Parent]],_xlfn.XMATCH(Products[[#This Row],[L2N]],Products[Product],0),2),Products[ProdCode],0),2),Products[[#This Row],[L2N]])</f>
        <v>Solar photovoltaic</v>
      </c>
      <c r="W128" s="72" t="str" cm="1">
        <f t="array" ref="W128">IFERROR(INDEX(Products[[ProdCode]:[Product]],_xlfn.XMATCH(INDEX(Products[[Product]:[Parent]],_xlfn.XMATCH(Products[[#This Row],[L3N]],Products[Product],0),2),Products[ProdCode],0),2),Products[[#This Row],[L3N]])</f>
        <v>Solar energy</v>
      </c>
      <c r="X128" s="72" t="str" cm="1">
        <f t="array" ref="X128">IFERROR(INDEX(Products[[ProdCode]:[Product]],_xlfn.XMATCH(INDEX(Products[[Product]:[Parent]],_xlfn.XMATCH(Products[[#This Row],[L4N]],Products[Product],0),2),Products[ProdCode],0),2),Products[[#This Row],[L4N]])</f>
        <v>Renewable Energy</v>
      </c>
      <c r="Y128" s="72" t="str" cm="1">
        <f t="array" ref="Y128">IFERROR(INDEX(Products[[ProdCode]:[Product]],_xlfn.XMATCH(INDEX(Products[[Product]:[Parent]],_xlfn.XMATCH(Products[[#This Row],[L5N]],Products[Product],0),2),Products[ProdCode],0),2),Products[[#This Row],[L5N]])</f>
        <v>Energy</v>
      </c>
      <c r="Z128" s="72" t="str" cm="1">
        <f t="array" ref="Z128">IFERROR(INDEX(Products[[ProdCode]:[Product]],_xlfn.XMATCH(INDEX(Products[[Product]:[Parent]],_xlfn.XMATCH(Products[[#This Row],[L6N]],Products[Product],0),2),Products[ProdCode],0),2),Products[[#This Row],[L6N]])</f>
        <v>Energy</v>
      </c>
      <c r="AA128" s="72" t="str" cm="1">
        <f t="array" ref="AA128">IFERROR(INDEX(Products[[ProdCode]:[Product]],_xlfn.XMATCH(INDEX(Products[[Product]:[Parent]],_xlfn.XMATCH(Products[[#This Row],[L7N]],Products[Product],0),2),Products[ProdCode],0),2),Products[[#This Row],[L7N]])</f>
        <v>Energy</v>
      </c>
      <c r="AB12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2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lights</v>
      </c>
      <c r="AH12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lights</v>
      </c>
      <c r="AI12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lights</v>
      </c>
    </row>
    <row r="129" spans="2:35" x14ac:dyDescent="0.45">
      <c r="B129" s="107">
        <v>241220</v>
      </c>
      <c r="C129" s="88" t="s">
        <v>1099</v>
      </c>
      <c r="D129" s="107">
        <v>241200</v>
      </c>
      <c r="E129" s="93" t="s">
        <v>1149</v>
      </c>
      <c r="F129" s="19" t="s">
        <v>1188</v>
      </c>
      <c r="G129" s="82" t="s">
        <v>1199</v>
      </c>
      <c r="H129" s="82" t="s">
        <v>83</v>
      </c>
      <c r="I129" s="82"/>
      <c r="J129" s="82"/>
      <c r="K129" s="82" t="s">
        <v>1406</v>
      </c>
      <c r="L129" s="82"/>
      <c r="M129" s="82">
        <v>3.6</v>
      </c>
      <c r="N129" s="119"/>
      <c r="O129" s="119"/>
      <c r="P129" s="82"/>
      <c r="Q129" s="82" t="s">
        <v>709</v>
      </c>
      <c r="R129" s="82"/>
      <c r="S129" s="82"/>
      <c r="T129" s="72" t="str" cm="1">
        <f t="array" ref="T129">IFERROR(INDEX(Products[[ProdCode]:[Product]],_xlfn.XMATCH(Products[[#This Row],[Parent]],Products[Product],0),2),Products[[#This Row],[Product]])</f>
        <v>Small solar home systems</v>
      </c>
      <c r="U129" s="72" t="str" cm="1">
        <f t="array" ref="U129">IFERROR(INDEX(Products[[ProdCode]:[Product]],_xlfn.XMATCH(INDEX(Products[[Product]:[Parent]],_xlfn.XMATCH(Products[[#This Row],[L1N]],Products[Product],0),2),Products[ProdCode],0),2),Products[[#This Row],[L1N]])</f>
        <v>Off-grid solar photovoltaic</v>
      </c>
      <c r="V129" s="72" t="str" cm="1">
        <f t="array" ref="V129">IFERROR(INDEX(Products[[ProdCode]:[Product]],_xlfn.XMATCH(INDEX(Products[[Product]:[Parent]],_xlfn.XMATCH(Products[[#This Row],[L2N]],Products[Product],0),2),Products[ProdCode],0),2),Products[[#This Row],[L2N]])</f>
        <v>Solar photovoltaic</v>
      </c>
      <c r="W129" s="72" t="str" cm="1">
        <f t="array" ref="W129">IFERROR(INDEX(Products[[ProdCode]:[Product]],_xlfn.XMATCH(INDEX(Products[[Product]:[Parent]],_xlfn.XMATCH(Products[[#This Row],[L3N]],Products[Product],0),2),Products[ProdCode],0),2),Products[[#This Row],[L3N]])</f>
        <v>Solar energy</v>
      </c>
      <c r="X129" s="72" t="str" cm="1">
        <f t="array" ref="X129">IFERROR(INDEX(Products[[ProdCode]:[Product]],_xlfn.XMATCH(INDEX(Products[[Product]:[Parent]],_xlfn.XMATCH(Products[[#This Row],[L4N]],Products[Product],0),2),Products[ProdCode],0),2),Products[[#This Row],[L4N]])</f>
        <v>Renewable Energy</v>
      </c>
      <c r="Y129" s="72" t="str" cm="1">
        <f t="array" ref="Y129">IFERROR(INDEX(Products[[ProdCode]:[Product]],_xlfn.XMATCH(INDEX(Products[[Product]:[Parent]],_xlfn.XMATCH(Products[[#This Row],[L5N]],Products[Product],0),2),Products[ProdCode],0),2),Products[[#This Row],[L5N]])</f>
        <v>Energy</v>
      </c>
      <c r="Z129" s="72" t="str" cm="1">
        <f t="array" ref="Z129">IFERROR(INDEX(Products[[ProdCode]:[Product]],_xlfn.XMATCH(INDEX(Products[[Product]:[Parent]],_xlfn.XMATCH(Products[[#This Row],[L6N]],Products[Product],0),2),Products[ProdCode],0),2),Products[[#This Row],[L6N]])</f>
        <v>Energy</v>
      </c>
      <c r="AA129" s="72" t="str" cm="1">
        <f t="array" ref="AA129">IFERROR(INDEX(Products[[ProdCode]:[Product]],_xlfn.XMATCH(INDEX(Products[[Product]:[Parent]],_xlfn.XMATCH(Products[[#This Row],[L7N]],Products[Product],0),2),Products[ProdCode],0),2),Products[[#This Row],[L7N]])</f>
        <v>Energy</v>
      </c>
      <c r="AB12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2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2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2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2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2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Small solar home systems</v>
      </c>
      <c r="AH12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Small solar home systems</v>
      </c>
      <c r="AI12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Small solar home systems</v>
      </c>
    </row>
    <row r="130" spans="2:35" x14ac:dyDescent="0.45">
      <c r="B130" s="107">
        <v>241230</v>
      </c>
      <c r="C130" s="88" t="s">
        <v>1100</v>
      </c>
      <c r="D130" s="107">
        <v>241200</v>
      </c>
      <c r="E130" s="93" t="s">
        <v>1149</v>
      </c>
      <c r="F130" s="19" t="s">
        <v>1188</v>
      </c>
      <c r="G130" s="82" t="s">
        <v>1199</v>
      </c>
      <c r="H130" s="82" t="s">
        <v>83</v>
      </c>
      <c r="I130" s="82"/>
      <c r="J130" s="82"/>
      <c r="K130" s="82" t="s">
        <v>1407</v>
      </c>
      <c r="L130" s="82"/>
      <c r="M130" s="82">
        <v>3.6</v>
      </c>
      <c r="N130" s="119"/>
      <c r="O130" s="119"/>
      <c r="P130" s="82"/>
      <c r="Q130" s="82" t="s">
        <v>709</v>
      </c>
      <c r="R130" s="82"/>
      <c r="S130" s="82"/>
      <c r="T130" s="72" t="str" cm="1">
        <f t="array" ref="T130">IFERROR(INDEX(Products[[ProdCode]:[Product]],_xlfn.XMATCH(Products[[#This Row],[Parent]],Products[Product],0),2),Products[[#This Row],[Product]])</f>
        <v>Large solar home systems</v>
      </c>
      <c r="U130" s="72" t="str" cm="1">
        <f t="array" ref="U130">IFERROR(INDEX(Products[[ProdCode]:[Product]],_xlfn.XMATCH(INDEX(Products[[Product]:[Parent]],_xlfn.XMATCH(Products[[#This Row],[L1N]],Products[Product],0),2),Products[ProdCode],0),2),Products[[#This Row],[L1N]])</f>
        <v>Off-grid solar photovoltaic</v>
      </c>
      <c r="V130" s="72" t="str" cm="1">
        <f t="array" ref="V130">IFERROR(INDEX(Products[[ProdCode]:[Product]],_xlfn.XMATCH(INDEX(Products[[Product]:[Parent]],_xlfn.XMATCH(Products[[#This Row],[L2N]],Products[Product],0),2),Products[ProdCode],0),2),Products[[#This Row],[L2N]])</f>
        <v>Solar photovoltaic</v>
      </c>
      <c r="W130" s="72" t="str" cm="1">
        <f t="array" ref="W130">IFERROR(INDEX(Products[[ProdCode]:[Product]],_xlfn.XMATCH(INDEX(Products[[Product]:[Parent]],_xlfn.XMATCH(Products[[#This Row],[L3N]],Products[Product],0),2),Products[ProdCode],0),2),Products[[#This Row],[L3N]])</f>
        <v>Solar energy</v>
      </c>
      <c r="X130" s="72" t="str" cm="1">
        <f t="array" ref="X130">IFERROR(INDEX(Products[[ProdCode]:[Product]],_xlfn.XMATCH(INDEX(Products[[Product]:[Parent]],_xlfn.XMATCH(Products[[#This Row],[L4N]],Products[Product],0),2),Products[ProdCode],0),2),Products[[#This Row],[L4N]])</f>
        <v>Renewable Energy</v>
      </c>
      <c r="Y130" s="72" t="str" cm="1">
        <f t="array" ref="Y130">IFERROR(INDEX(Products[[ProdCode]:[Product]],_xlfn.XMATCH(INDEX(Products[[Product]:[Parent]],_xlfn.XMATCH(Products[[#This Row],[L5N]],Products[Product],0),2),Products[ProdCode],0),2),Products[[#This Row],[L5N]])</f>
        <v>Energy</v>
      </c>
      <c r="Z130" s="72" t="str" cm="1">
        <f t="array" ref="Z130">IFERROR(INDEX(Products[[ProdCode]:[Product]],_xlfn.XMATCH(INDEX(Products[[Product]:[Parent]],_xlfn.XMATCH(Products[[#This Row],[L6N]],Products[Product],0),2),Products[ProdCode],0),2),Products[[#This Row],[L6N]])</f>
        <v>Energy</v>
      </c>
      <c r="AA130" s="72" t="str" cm="1">
        <f t="array" ref="AA130">IFERROR(INDEX(Products[[ProdCode]:[Product]],_xlfn.XMATCH(INDEX(Products[[Product]:[Parent]],_xlfn.XMATCH(Products[[#This Row],[L7N]],Products[Product],0),2),Products[ProdCode],0),2),Products[[#This Row],[L7N]])</f>
        <v>Energy</v>
      </c>
      <c r="AB13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Large solar home systems</v>
      </c>
      <c r="AH13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Large solar home systems</v>
      </c>
      <c r="AI13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Large solar home systems</v>
      </c>
    </row>
    <row r="131" spans="2:35" x14ac:dyDescent="0.45">
      <c r="B131" s="107">
        <v>241240</v>
      </c>
      <c r="C131" s="88" t="s">
        <v>952</v>
      </c>
      <c r="D131" s="107">
        <v>241200</v>
      </c>
      <c r="E131" s="93" t="s">
        <v>1149</v>
      </c>
      <c r="F131" s="19" t="s">
        <v>1188</v>
      </c>
      <c r="G131" s="82" t="s">
        <v>1199</v>
      </c>
      <c r="H131" s="82" t="s">
        <v>83</v>
      </c>
      <c r="I131" s="82"/>
      <c r="J131" s="82"/>
      <c r="K131" s="82" t="s">
        <v>1408</v>
      </c>
      <c r="L131" s="82"/>
      <c r="M131" s="82">
        <v>3.6</v>
      </c>
      <c r="N131" s="119"/>
      <c r="O131" s="119"/>
      <c r="P131" s="82"/>
      <c r="Q131" s="82" t="s">
        <v>709</v>
      </c>
      <c r="R131" s="82"/>
      <c r="S131" s="82"/>
      <c r="T131" s="72" t="str" cm="1">
        <f t="array" ref="T131">IFERROR(INDEX(Products[[ProdCode]:[Product]],_xlfn.XMATCH(Products[[#This Row],[Parent]],Products[Product],0),2),Products[[#This Row],[Product]])</f>
        <v>Solar telecom towers</v>
      </c>
      <c r="U131" s="72" t="str" cm="1">
        <f t="array" ref="U131">IFERROR(INDEX(Products[[ProdCode]:[Product]],_xlfn.XMATCH(INDEX(Products[[Product]:[Parent]],_xlfn.XMATCH(Products[[#This Row],[L1N]],Products[Product],0),2),Products[ProdCode],0),2),Products[[#This Row],[L1N]])</f>
        <v>Off-grid solar photovoltaic</v>
      </c>
      <c r="V131" s="72" t="str" cm="1">
        <f t="array" ref="V131">IFERROR(INDEX(Products[[ProdCode]:[Product]],_xlfn.XMATCH(INDEX(Products[[Product]:[Parent]],_xlfn.XMATCH(Products[[#This Row],[L2N]],Products[Product],0),2),Products[ProdCode],0),2),Products[[#This Row],[L2N]])</f>
        <v>Solar photovoltaic</v>
      </c>
      <c r="W131" s="72" t="str" cm="1">
        <f t="array" ref="W131">IFERROR(INDEX(Products[[ProdCode]:[Product]],_xlfn.XMATCH(INDEX(Products[[Product]:[Parent]],_xlfn.XMATCH(Products[[#This Row],[L3N]],Products[Product],0),2),Products[ProdCode],0),2),Products[[#This Row],[L3N]])</f>
        <v>Solar energy</v>
      </c>
      <c r="X131" s="72" t="str" cm="1">
        <f t="array" ref="X131">IFERROR(INDEX(Products[[ProdCode]:[Product]],_xlfn.XMATCH(INDEX(Products[[Product]:[Parent]],_xlfn.XMATCH(Products[[#This Row],[L4N]],Products[Product],0),2),Products[ProdCode],0),2),Products[[#This Row],[L4N]])</f>
        <v>Renewable Energy</v>
      </c>
      <c r="Y131" s="72" t="str" cm="1">
        <f t="array" ref="Y131">IFERROR(INDEX(Products[[ProdCode]:[Product]],_xlfn.XMATCH(INDEX(Products[[Product]:[Parent]],_xlfn.XMATCH(Products[[#This Row],[L5N]],Products[Product],0),2),Products[ProdCode],0),2),Products[[#This Row],[L5N]])</f>
        <v>Energy</v>
      </c>
      <c r="Z131" s="72" t="str" cm="1">
        <f t="array" ref="Z131">IFERROR(INDEX(Products[[ProdCode]:[Product]],_xlfn.XMATCH(INDEX(Products[[Product]:[Parent]],_xlfn.XMATCH(Products[[#This Row],[L6N]],Products[Product],0),2),Products[ProdCode],0),2),Products[[#This Row],[L6N]])</f>
        <v>Energy</v>
      </c>
      <c r="AA131" s="72" t="str" cm="1">
        <f t="array" ref="AA131">IFERROR(INDEX(Products[[ProdCode]:[Product]],_xlfn.XMATCH(INDEX(Products[[Product]:[Parent]],_xlfn.XMATCH(Products[[#This Row],[L7N]],Products[Product],0),2),Products[ProdCode],0),2),Products[[#This Row],[L7N]])</f>
        <v>Energy</v>
      </c>
      <c r="AB13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telecom towers</v>
      </c>
      <c r="AH13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telecom towers</v>
      </c>
      <c r="AI13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telecom towers</v>
      </c>
    </row>
    <row r="132" spans="2:35" x14ac:dyDescent="0.45">
      <c r="B132" s="107">
        <v>241250</v>
      </c>
      <c r="C132" s="88" t="s">
        <v>1133</v>
      </c>
      <c r="D132" s="107">
        <v>241200</v>
      </c>
      <c r="E132" s="93" t="s">
        <v>1149</v>
      </c>
      <c r="F132" s="19" t="s">
        <v>1188</v>
      </c>
      <c r="G132" s="82" t="s">
        <v>1199</v>
      </c>
      <c r="H132" s="82" t="s">
        <v>83</v>
      </c>
      <c r="I132" s="82"/>
      <c r="J132" s="82"/>
      <c r="K132" s="82" t="s">
        <v>1790</v>
      </c>
      <c r="L132" s="82"/>
      <c r="M132" s="82">
        <v>3.6</v>
      </c>
      <c r="N132" s="119"/>
      <c r="O132" s="119"/>
      <c r="P132" s="82"/>
      <c r="Q132" s="82" t="s">
        <v>709</v>
      </c>
      <c r="R132" s="82"/>
      <c r="S132" s="82"/>
      <c r="T132" s="72" t="str" cm="1">
        <f t="array" ref="T132">IFERROR(INDEX(Products[[ProdCode]:[Product]],_xlfn.XMATCH(Products[[#This Row],[Parent]],Products[Product],0),2),Products[[#This Row],[Product]])</f>
        <v>Solar water pumps</v>
      </c>
      <c r="U132" s="72" t="str" cm="1">
        <f t="array" ref="U132">IFERROR(INDEX(Products[[ProdCode]:[Product]],_xlfn.XMATCH(INDEX(Products[[Product]:[Parent]],_xlfn.XMATCH(Products[[#This Row],[L1N]],Products[Product],0),2),Products[ProdCode],0),2),Products[[#This Row],[L1N]])</f>
        <v>Off-grid solar photovoltaic</v>
      </c>
      <c r="V132" s="72" t="str" cm="1">
        <f t="array" ref="V132">IFERROR(INDEX(Products[[ProdCode]:[Product]],_xlfn.XMATCH(INDEX(Products[[Product]:[Parent]],_xlfn.XMATCH(Products[[#This Row],[L2N]],Products[Product],0),2),Products[ProdCode],0),2),Products[[#This Row],[L2N]])</f>
        <v>Solar photovoltaic</v>
      </c>
      <c r="W132" s="72" t="str" cm="1">
        <f t="array" ref="W132">IFERROR(INDEX(Products[[ProdCode]:[Product]],_xlfn.XMATCH(INDEX(Products[[Product]:[Parent]],_xlfn.XMATCH(Products[[#This Row],[L3N]],Products[Product],0),2),Products[ProdCode],0),2),Products[[#This Row],[L3N]])</f>
        <v>Solar energy</v>
      </c>
      <c r="X132" s="72" t="str" cm="1">
        <f t="array" ref="X132">IFERROR(INDEX(Products[[ProdCode]:[Product]],_xlfn.XMATCH(INDEX(Products[[Product]:[Parent]],_xlfn.XMATCH(Products[[#This Row],[L4N]],Products[Product],0),2),Products[ProdCode],0),2),Products[[#This Row],[L4N]])</f>
        <v>Renewable Energy</v>
      </c>
      <c r="Y132" s="72" t="str" cm="1">
        <f t="array" ref="Y132">IFERROR(INDEX(Products[[ProdCode]:[Product]],_xlfn.XMATCH(INDEX(Products[[Product]:[Parent]],_xlfn.XMATCH(Products[[#This Row],[L5N]],Products[Product],0),2),Products[ProdCode],0),2),Products[[#This Row],[L5N]])</f>
        <v>Energy</v>
      </c>
      <c r="Z132" s="72" t="str" cm="1">
        <f t="array" ref="Z132">IFERROR(INDEX(Products[[ProdCode]:[Product]],_xlfn.XMATCH(INDEX(Products[[Product]:[Parent]],_xlfn.XMATCH(Products[[#This Row],[L6N]],Products[Product],0),2),Products[ProdCode],0),2),Products[[#This Row],[L6N]])</f>
        <v>Energy</v>
      </c>
      <c r="AA132" s="72" t="str" cm="1">
        <f t="array" ref="AA132">IFERROR(INDEX(Products[[ProdCode]:[Product]],_xlfn.XMATCH(INDEX(Products[[Product]:[Parent]],_xlfn.XMATCH(Products[[#This Row],[L7N]],Products[Product],0),2),Products[ProdCode],0),2),Products[[#This Row],[L7N]])</f>
        <v>Energy</v>
      </c>
      <c r="AB13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water pumps</v>
      </c>
      <c r="AH13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water pumps</v>
      </c>
      <c r="AI13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water pumps</v>
      </c>
    </row>
    <row r="133" spans="2:35" x14ac:dyDescent="0.45">
      <c r="B133" s="107">
        <v>241260</v>
      </c>
      <c r="C133" s="88" t="s">
        <v>381</v>
      </c>
      <c r="D133" s="107">
        <v>241200</v>
      </c>
      <c r="E133" s="93" t="s">
        <v>1149</v>
      </c>
      <c r="F133" s="19" t="s">
        <v>1188</v>
      </c>
      <c r="G133" s="82" t="s">
        <v>1199</v>
      </c>
      <c r="H133" s="82" t="s">
        <v>83</v>
      </c>
      <c r="I133" s="82"/>
      <c r="J133" s="82"/>
      <c r="K133" s="82" t="s">
        <v>1788</v>
      </c>
      <c r="L133" s="82"/>
      <c r="M133" s="82">
        <v>3.6</v>
      </c>
      <c r="N133" s="119"/>
      <c r="O133" s="119"/>
      <c r="P133" s="82"/>
      <c r="Q133" s="82" t="s">
        <v>709</v>
      </c>
      <c r="R133" s="82"/>
      <c r="S133" s="82"/>
      <c r="T133" s="72" t="str" cm="1">
        <f t="array" ref="T133">IFERROR(INDEX(Products[[ProdCode]:[Product]],_xlfn.XMATCH(Products[[#This Row],[Parent]],Products[Product],0),2),Products[[#This Row],[Product]])</f>
        <v>Solar mini-grids</v>
      </c>
      <c r="U133" s="72" t="str" cm="1">
        <f t="array" ref="U133">IFERROR(INDEX(Products[[ProdCode]:[Product]],_xlfn.XMATCH(INDEX(Products[[Product]:[Parent]],_xlfn.XMATCH(Products[[#This Row],[L1N]],Products[Product],0),2),Products[ProdCode],0),2),Products[[#This Row],[L1N]])</f>
        <v>Off-grid solar photovoltaic</v>
      </c>
      <c r="V133" s="72" t="str" cm="1">
        <f t="array" ref="V133">IFERROR(INDEX(Products[[ProdCode]:[Product]],_xlfn.XMATCH(INDEX(Products[[Product]:[Parent]],_xlfn.XMATCH(Products[[#This Row],[L2N]],Products[Product],0),2),Products[ProdCode],0),2),Products[[#This Row],[L2N]])</f>
        <v>Solar photovoltaic</v>
      </c>
      <c r="W133" s="72" t="str" cm="1">
        <f t="array" ref="W133">IFERROR(INDEX(Products[[ProdCode]:[Product]],_xlfn.XMATCH(INDEX(Products[[Product]:[Parent]],_xlfn.XMATCH(Products[[#This Row],[L3N]],Products[Product],0),2),Products[ProdCode],0),2),Products[[#This Row],[L3N]])</f>
        <v>Solar energy</v>
      </c>
      <c r="X133" s="72" t="str" cm="1">
        <f t="array" ref="X133">IFERROR(INDEX(Products[[ProdCode]:[Product]],_xlfn.XMATCH(INDEX(Products[[Product]:[Parent]],_xlfn.XMATCH(Products[[#This Row],[L4N]],Products[Product],0),2),Products[ProdCode],0),2),Products[[#This Row],[L4N]])</f>
        <v>Renewable Energy</v>
      </c>
      <c r="Y133" s="72" t="str" cm="1">
        <f t="array" ref="Y133">IFERROR(INDEX(Products[[ProdCode]:[Product]],_xlfn.XMATCH(INDEX(Products[[Product]:[Parent]],_xlfn.XMATCH(Products[[#This Row],[L5N]],Products[Product],0),2),Products[ProdCode],0),2),Products[[#This Row],[L5N]])</f>
        <v>Energy</v>
      </c>
      <c r="Z133" s="72" t="str" cm="1">
        <f t="array" ref="Z133">IFERROR(INDEX(Products[[ProdCode]:[Product]],_xlfn.XMATCH(INDEX(Products[[Product]:[Parent]],_xlfn.XMATCH(Products[[#This Row],[L6N]],Products[Product],0),2),Products[ProdCode],0),2),Products[[#This Row],[L6N]])</f>
        <v>Energy</v>
      </c>
      <c r="AA133" s="72" t="str" cm="1">
        <f t="array" ref="AA133">IFERROR(INDEX(Products[[ProdCode]:[Product]],_xlfn.XMATCH(INDEX(Products[[Product]:[Parent]],_xlfn.XMATCH(Products[[#This Row],[L7N]],Products[Product],0),2),Products[ProdCode],0),2),Products[[#This Row],[L7N]])</f>
        <v>Energy</v>
      </c>
      <c r="AB13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mini-grids</v>
      </c>
      <c r="AH13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mini-grids</v>
      </c>
      <c r="AI13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mini-grids</v>
      </c>
    </row>
    <row r="134" spans="2:35" x14ac:dyDescent="0.45">
      <c r="B134" s="107">
        <v>241270</v>
      </c>
      <c r="C134" s="88" t="s">
        <v>1132</v>
      </c>
      <c r="D134" s="107">
        <v>241200</v>
      </c>
      <c r="E134" s="93" t="s">
        <v>1149</v>
      </c>
      <c r="F134" s="19" t="s">
        <v>1188</v>
      </c>
      <c r="G134" s="82" t="s">
        <v>1199</v>
      </c>
      <c r="H134" s="82" t="s">
        <v>83</v>
      </c>
      <c r="I134" s="82"/>
      <c r="J134" s="82"/>
      <c r="K134" s="82" t="s">
        <v>1789</v>
      </c>
      <c r="L134" s="82"/>
      <c r="M134" s="82">
        <v>3.6</v>
      </c>
      <c r="N134" s="119"/>
      <c r="O134" s="119"/>
      <c r="P134" s="82"/>
      <c r="Q134" s="82" t="s">
        <v>709</v>
      </c>
      <c r="R134" s="82"/>
      <c r="S134" s="82"/>
      <c r="T134" s="72" t="str" cm="1">
        <f t="array" ref="T134">IFERROR(INDEX(Products[[ProdCode]:[Product]],_xlfn.XMATCH(Products[[#This Row],[Parent]],Products[Product],0),2),Products[[#This Row],[Product]])</f>
        <v>Solar street lamps</v>
      </c>
      <c r="U134" s="72" t="str" cm="1">
        <f t="array" ref="U134">IFERROR(INDEX(Products[[ProdCode]:[Product]],_xlfn.XMATCH(INDEX(Products[[Product]:[Parent]],_xlfn.XMATCH(Products[[#This Row],[L1N]],Products[Product],0),2),Products[ProdCode],0),2),Products[[#This Row],[L1N]])</f>
        <v>Off-grid solar photovoltaic</v>
      </c>
      <c r="V134" s="72" t="str" cm="1">
        <f t="array" ref="V134">IFERROR(INDEX(Products[[ProdCode]:[Product]],_xlfn.XMATCH(INDEX(Products[[Product]:[Parent]],_xlfn.XMATCH(Products[[#This Row],[L2N]],Products[Product],0),2),Products[ProdCode],0),2),Products[[#This Row],[L2N]])</f>
        <v>Solar photovoltaic</v>
      </c>
      <c r="W134" s="72" t="str" cm="1">
        <f t="array" ref="W134">IFERROR(INDEX(Products[[ProdCode]:[Product]],_xlfn.XMATCH(INDEX(Products[[Product]:[Parent]],_xlfn.XMATCH(Products[[#This Row],[L3N]],Products[Product],0),2),Products[ProdCode],0),2),Products[[#This Row],[L3N]])</f>
        <v>Solar energy</v>
      </c>
      <c r="X134" s="72" t="str" cm="1">
        <f t="array" ref="X134">IFERROR(INDEX(Products[[ProdCode]:[Product]],_xlfn.XMATCH(INDEX(Products[[Product]:[Parent]],_xlfn.XMATCH(Products[[#This Row],[L4N]],Products[Product],0),2),Products[ProdCode],0),2),Products[[#This Row],[L4N]])</f>
        <v>Renewable Energy</v>
      </c>
      <c r="Y134" s="72" t="str" cm="1">
        <f t="array" ref="Y134">IFERROR(INDEX(Products[[ProdCode]:[Product]],_xlfn.XMATCH(INDEX(Products[[Product]:[Parent]],_xlfn.XMATCH(Products[[#This Row],[L5N]],Products[Product],0),2),Products[ProdCode],0),2),Products[[#This Row],[L5N]])</f>
        <v>Energy</v>
      </c>
      <c r="Z134" s="71" t="str" cm="1">
        <f t="array" ref="Z134">IFERROR(INDEX(Products[[ProdCode]:[Product]],_xlfn.XMATCH(INDEX(Products[[Product]:[Parent]],_xlfn.XMATCH(Products[[#This Row],[L6N]],Products[Product],0),2),Products[ProdCode],0),2),Products[[#This Row],[L6N]])</f>
        <v>Energy</v>
      </c>
      <c r="AA134" s="71" t="str" cm="1">
        <f t="array" ref="AA134">IFERROR(INDEX(Products[[ProdCode]:[Product]],_xlfn.XMATCH(INDEX(Products[[Product]:[Parent]],_xlfn.XMATCH(Products[[#This Row],[L7N]],Products[Product],0),2),Products[ProdCode],0),2),Products[[#This Row],[L7N]])</f>
        <v>Energy</v>
      </c>
      <c r="AB13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street lamps</v>
      </c>
      <c r="AH13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street lamps</v>
      </c>
      <c r="AI13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street lamps</v>
      </c>
    </row>
    <row r="135" spans="2:35" x14ac:dyDescent="0.45">
      <c r="B135" s="107">
        <v>241290</v>
      </c>
      <c r="C135" s="88" t="s">
        <v>1155</v>
      </c>
      <c r="D135" s="107">
        <v>241200</v>
      </c>
      <c r="E135" s="93" t="s">
        <v>1149</v>
      </c>
      <c r="F135" s="19" t="s">
        <v>1188</v>
      </c>
      <c r="G135" s="82" t="s">
        <v>1199</v>
      </c>
      <c r="H135" s="82" t="s">
        <v>83</v>
      </c>
      <c r="I135" s="82"/>
      <c r="J135" s="82"/>
      <c r="K135" s="82" t="s">
        <v>1409</v>
      </c>
      <c r="L135" s="82"/>
      <c r="M135" s="82">
        <v>3.6</v>
      </c>
      <c r="N135" s="119"/>
      <c r="O135" s="119"/>
      <c r="P135" s="82"/>
      <c r="Q135" s="82" t="s">
        <v>709</v>
      </c>
      <c r="R135" s="82"/>
      <c r="S135" s="82"/>
      <c r="T135" s="72" t="str" cm="1">
        <f t="array" ref="T135">IFERROR(INDEX(Products[[ProdCode]:[Product]],_xlfn.XMATCH(Products[[#This Row],[Parent]],Products[Product],0),2),Products[[#This Row],[Product]])</f>
        <v>Other off-grid solar photovoltaic</v>
      </c>
      <c r="U135" s="72" t="str" cm="1">
        <f t="array" ref="U135">IFERROR(INDEX(Products[[ProdCode]:[Product]],_xlfn.XMATCH(INDEX(Products[[Product]:[Parent]],_xlfn.XMATCH(Products[[#This Row],[L1N]],Products[Product],0),2),Products[ProdCode],0),2),Products[[#This Row],[L1N]])</f>
        <v>Off-grid solar photovoltaic</v>
      </c>
      <c r="V135" s="72" t="str" cm="1">
        <f t="array" ref="V135">IFERROR(INDEX(Products[[ProdCode]:[Product]],_xlfn.XMATCH(INDEX(Products[[Product]:[Parent]],_xlfn.XMATCH(Products[[#This Row],[L2N]],Products[Product],0),2),Products[ProdCode],0),2),Products[[#This Row],[L2N]])</f>
        <v>Solar photovoltaic</v>
      </c>
      <c r="W135" s="72" t="str" cm="1">
        <f t="array" ref="W135">IFERROR(INDEX(Products[[ProdCode]:[Product]],_xlfn.XMATCH(INDEX(Products[[Product]:[Parent]],_xlfn.XMATCH(Products[[#This Row],[L3N]],Products[Product],0),2),Products[ProdCode],0),2),Products[[#This Row],[L3N]])</f>
        <v>Solar energy</v>
      </c>
      <c r="X135" s="72" t="str" cm="1">
        <f t="array" ref="X135">IFERROR(INDEX(Products[[ProdCode]:[Product]],_xlfn.XMATCH(INDEX(Products[[Product]:[Parent]],_xlfn.XMATCH(Products[[#This Row],[L4N]],Products[Product],0),2),Products[ProdCode],0),2),Products[[#This Row],[L4N]])</f>
        <v>Renewable Energy</v>
      </c>
      <c r="Y135" s="72" t="str" cm="1">
        <f t="array" ref="Y135">IFERROR(INDEX(Products[[ProdCode]:[Product]],_xlfn.XMATCH(INDEX(Products[[Product]:[Parent]],_xlfn.XMATCH(Products[[#This Row],[L5N]],Products[Product],0),2),Products[ProdCode],0),2),Products[[#This Row],[L5N]])</f>
        <v>Energy</v>
      </c>
      <c r="Z135" s="72" t="str" cm="1">
        <f t="array" ref="Z135">IFERROR(INDEX(Products[[ProdCode]:[Product]],_xlfn.XMATCH(INDEX(Products[[Product]:[Parent]],_xlfn.XMATCH(Products[[#This Row],[L6N]],Products[Product],0),2),Products[ProdCode],0),2),Products[[#This Row],[L6N]])</f>
        <v>Energy</v>
      </c>
      <c r="AA135" s="72" t="str" cm="1">
        <f t="array" ref="AA135">IFERROR(INDEX(Products[[ProdCode]:[Product]],_xlfn.XMATCH(INDEX(Products[[Product]:[Parent]],_xlfn.XMATCH(Products[[#This Row],[L7N]],Products[Product],0),2),Products[ProdCode],0),2),Products[[#This Row],[L7N]])</f>
        <v>Energy</v>
      </c>
      <c r="AB13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photovoltaic</v>
      </c>
      <c r="AF13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Off-grid solar photovoltaic</v>
      </c>
      <c r="AG13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off-grid solar photovoltaic</v>
      </c>
      <c r="AH13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off-grid solar photovoltaic</v>
      </c>
      <c r="AI13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off-grid solar photovoltaic</v>
      </c>
    </row>
    <row r="136" spans="2:35" x14ac:dyDescent="0.45">
      <c r="B136" s="105">
        <v>242000</v>
      </c>
      <c r="C136" s="79" t="s">
        <v>396</v>
      </c>
      <c r="D136" s="105">
        <v>240000</v>
      </c>
      <c r="E136" s="93" t="s">
        <v>1149</v>
      </c>
      <c r="F136" s="19" t="s">
        <v>1188</v>
      </c>
      <c r="G136" s="82" t="s">
        <v>54</v>
      </c>
      <c r="H136" s="82" t="s">
        <v>65</v>
      </c>
      <c r="I136" s="82"/>
      <c r="J136" s="82"/>
      <c r="K136" s="82" t="s">
        <v>1791</v>
      </c>
      <c r="L136" s="82"/>
      <c r="M136" s="82"/>
      <c r="N136" s="119"/>
      <c r="O136" s="119"/>
      <c r="P136" s="82"/>
      <c r="Q136" s="82"/>
      <c r="R136" s="82"/>
      <c r="S136" s="82"/>
      <c r="T136" s="71" t="str" cm="1">
        <f t="array" ref="T136">IFERROR(INDEX(Products[[ProdCode]:[Product]],_xlfn.XMATCH(Products[[#This Row],[Parent]],Products[Product],0),2),Products[[#This Row],[Product]])</f>
        <v>Solar thermal energy</v>
      </c>
      <c r="U136" s="71" t="str" cm="1">
        <f t="array" ref="U136">IFERROR(INDEX(Products[[ProdCode]:[Product]],_xlfn.XMATCH(INDEX(Products[[Product]:[Parent]],_xlfn.XMATCH(Products[[#This Row],[L1N]],Products[Product],0),2),Products[ProdCode],0),2),Products[[#This Row],[L1N]])</f>
        <v>Solar energy</v>
      </c>
      <c r="V136" s="71" t="str" cm="1">
        <f t="array" ref="V136">IFERROR(INDEX(Products[[ProdCode]:[Product]],_xlfn.XMATCH(INDEX(Products[[Product]:[Parent]],_xlfn.XMATCH(Products[[#This Row],[L2N]],Products[Product],0),2),Products[ProdCode],0),2),Products[[#This Row],[L2N]])</f>
        <v>Renewable Energy</v>
      </c>
      <c r="W136" s="71" t="str" cm="1">
        <f t="array" ref="W136">IFERROR(INDEX(Products[[ProdCode]:[Product]],_xlfn.XMATCH(INDEX(Products[[Product]:[Parent]],_xlfn.XMATCH(Products[[#This Row],[L3N]],Products[Product],0),2),Products[ProdCode],0),2),Products[[#This Row],[L3N]])</f>
        <v>Energy</v>
      </c>
      <c r="X136" s="71" t="str" cm="1">
        <f t="array" ref="X136">IFERROR(INDEX(Products[[ProdCode]:[Product]],_xlfn.XMATCH(INDEX(Products[[Product]:[Parent]],_xlfn.XMATCH(Products[[#This Row],[L4N]],Products[Product],0),2),Products[ProdCode],0),2),Products[[#This Row],[L4N]])</f>
        <v>Energy</v>
      </c>
      <c r="Y136" s="71" t="str" cm="1">
        <f t="array" ref="Y136">IFERROR(INDEX(Products[[ProdCode]:[Product]],_xlfn.XMATCH(INDEX(Products[[Product]:[Parent]],_xlfn.XMATCH(Products[[#This Row],[L5N]],Products[Product],0),2),Products[ProdCode],0),2),Products[[#This Row],[L5N]])</f>
        <v>Energy</v>
      </c>
      <c r="Z136" s="71" t="str" cm="1">
        <f t="array" ref="Z136">IFERROR(INDEX(Products[[ProdCode]:[Product]],_xlfn.XMATCH(INDEX(Products[[Product]:[Parent]],_xlfn.XMATCH(Products[[#This Row],[L6N]],Products[Product],0),2),Products[ProdCode],0),2),Products[[#This Row],[L6N]])</f>
        <v>Energy</v>
      </c>
      <c r="AA136" s="71" t="str" cm="1">
        <f t="array" ref="AA136">IFERROR(INDEX(Products[[ProdCode]:[Product]],_xlfn.XMATCH(INDEX(Products[[Product]:[Parent]],_xlfn.XMATCH(Products[[#This Row],[L7N]],Products[Product],0),2),Products[ProdCode],0),2),Products[[#This Row],[L7N]])</f>
        <v>Energy</v>
      </c>
      <c r="AB13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3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thermal energy</v>
      </c>
      <c r="AG13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thermal energy</v>
      </c>
      <c r="AH13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thermal energy</v>
      </c>
      <c r="AI13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thermal energy</v>
      </c>
    </row>
    <row r="137" spans="2:35" x14ac:dyDescent="0.45">
      <c r="B137" s="106">
        <v>242100</v>
      </c>
      <c r="C137" s="85" t="s">
        <v>404</v>
      </c>
      <c r="D137" s="106">
        <v>242000</v>
      </c>
      <c r="E137" s="93" t="s">
        <v>1149</v>
      </c>
      <c r="F137" s="19" t="s">
        <v>1188</v>
      </c>
      <c r="G137" s="82" t="s">
        <v>53</v>
      </c>
      <c r="H137" s="82" t="s">
        <v>65</v>
      </c>
      <c r="I137" s="82"/>
      <c r="J137" s="82"/>
      <c r="K137" s="82" t="s">
        <v>1410</v>
      </c>
      <c r="L137" s="82"/>
      <c r="M137" s="82"/>
      <c r="N137" s="119"/>
      <c r="O137" s="119"/>
      <c r="P137" s="82"/>
      <c r="Q137" s="82"/>
      <c r="R137" s="82"/>
      <c r="S137" s="82"/>
      <c r="T137" s="71" t="str" cm="1">
        <f t="array" ref="T137">IFERROR(INDEX(Products[[ProdCode]:[Product]],_xlfn.XMATCH(Products[[#This Row],[Parent]],Products[Product],0),2),Products[[#This Row],[Product]])</f>
        <v>Concentrated solar power</v>
      </c>
      <c r="U137" s="71" t="str" cm="1">
        <f t="array" ref="U137">IFERROR(INDEX(Products[[ProdCode]:[Product]],_xlfn.XMATCH(INDEX(Products[[Product]:[Parent]],_xlfn.XMATCH(Products[[#This Row],[L1N]],Products[Product],0),2),Products[ProdCode],0),2),Products[[#This Row],[L1N]])</f>
        <v>Solar thermal energy</v>
      </c>
      <c r="V137" s="71" t="str" cm="1">
        <f t="array" ref="V137">IFERROR(INDEX(Products[[ProdCode]:[Product]],_xlfn.XMATCH(INDEX(Products[[Product]:[Parent]],_xlfn.XMATCH(Products[[#This Row],[L2N]],Products[Product],0),2),Products[ProdCode],0),2),Products[[#This Row],[L2N]])</f>
        <v>Solar energy</v>
      </c>
      <c r="W137" s="71" t="str" cm="1">
        <f t="array" ref="W137">IFERROR(INDEX(Products[[ProdCode]:[Product]],_xlfn.XMATCH(INDEX(Products[[Product]:[Parent]],_xlfn.XMATCH(Products[[#This Row],[L3N]],Products[Product],0),2),Products[ProdCode],0),2),Products[[#This Row],[L3N]])</f>
        <v>Renewable Energy</v>
      </c>
      <c r="X137" s="71" t="str" cm="1">
        <f t="array" ref="X137">IFERROR(INDEX(Products[[ProdCode]:[Product]],_xlfn.XMATCH(INDEX(Products[[Product]:[Parent]],_xlfn.XMATCH(Products[[#This Row],[L4N]],Products[Product],0),2),Products[ProdCode],0),2),Products[[#This Row],[L4N]])</f>
        <v>Energy</v>
      </c>
      <c r="Y137" s="71" t="str" cm="1">
        <f t="array" ref="Y137">IFERROR(INDEX(Products[[ProdCode]:[Product]],_xlfn.XMATCH(INDEX(Products[[Product]:[Parent]],_xlfn.XMATCH(Products[[#This Row],[L5N]],Products[Product],0),2),Products[ProdCode],0),2),Products[[#This Row],[L5N]])</f>
        <v>Energy</v>
      </c>
      <c r="Z137" s="71" t="str" cm="1">
        <f t="array" ref="Z137">IFERROR(INDEX(Products[[ProdCode]:[Product]],_xlfn.XMATCH(INDEX(Products[[Product]:[Parent]],_xlfn.XMATCH(Products[[#This Row],[L6N]],Products[Product],0),2),Products[ProdCode],0),2),Products[[#This Row],[L6N]])</f>
        <v>Energy</v>
      </c>
      <c r="AA137" s="71" t="str" cm="1">
        <f t="array" ref="AA137">IFERROR(INDEX(Products[[ProdCode]:[Product]],_xlfn.XMATCH(INDEX(Products[[Product]:[Parent]],_xlfn.XMATCH(Products[[#This Row],[L7N]],Products[Product],0),2),Products[ProdCode],0),2),Products[[#This Row],[L7N]])</f>
        <v>Energy</v>
      </c>
      <c r="AB13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3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3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Concentrated solar power</v>
      </c>
      <c r="AH13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Concentrated solar power</v>
      </c>
      <c r="AI13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Concentrated solar power</v>
      </c>
    </row>
    <row r="138" spans="2:35" x14ac:dyDescent="0.45">
      <c r="B138" s="107">
        <v>242110</v>
      </c>
      <c r="C138" s="88" t="s">
        <v>953</v>
      </c>
      <c r="D138" s="107">
        <v>242100</v>
      </c>
      <c r="E138" s="93" t="s">
        <v>1149</v>
      </c>
      <c r="F138" s="19" t="s">
        <v>1188</v>
      </c>
      <c r="G138" s="82" t="s">
        <v>1199</v>
      </c>
      <c r="H138" s="82" t="s">
        <v>83</v>
      </c>
      <c r="I138" s="82"/>
      <c r="J138" s="82"/>
      <c r="K138" s="82" t="s">
        <v>1411</v>
      </c>
      <c r="L138" s="82"/>
      <c r="M138" s="82"/>
      <c r="N138" s="119"/>
      <c r="O138" s="119"/>
      <c r="P138" s="82"/>
      <c r="Q138" s="82"/>
      <c r="R138" s="82"/>
      <c r="S138" s="82"/>
      <c r="T138" s="72" t="str" cm="1">
        <f t="array" ref="T138">IFERROR(INDEX(Products[[ProdCode]:[Product]],_xlfn.XMATCH(Products[[#This Row],[Parent]],Products[Product],0),2),Products[[#This Row],[Product]])</f>
        <v>Heliostat field collector</v>
      </c>
      <c r="U138" s="72" t="str" cm="1">
        <f t="array" ref="U138">IFERROR(INDEX(Products[[ProdCode]:[Product]],_xlfn.XMATCH(INDEX(Products[[Product]:[Parent]],_xlfn.XMATCH(Products[[#This Row],[L1N]],Products[Product],0),2),Products[ProdCode],0),2),Products[[#This Row],[L1N]])</f>
        <v>Concentrated solar power</v>
      </c>
      <c r="V138" s="72" t="str" cm="1">
        <f t="array" ref="V138">IFERROR(INDEX(Products[[ProdCode]:[Product]],_xlfn.XMATCH(INDEX(Products[[Product]:[Parent]],_xlfn.XMATCH(Products[[#This Row],[L2N]],Products[Product],0),2),Products[ProdCode],0),2),Products[[#This Row],[L2N]])</f>
        <v>Solar thermal energy</v>
      </c>
      <c r="W138" s="72" t="str" cm="1">
        <f t="array" ref="W138">IFERROR(INDEX(Products[[ProdCode]:[Product]],_xlfn.XMATCH(INDEX(Products[[Product]:[Parent]],_xlfn.XMATCH(Products[[#This Row],[L3N]],Products[Product],0),2),Products[ProdCode],0),2),Products[[#This Row],[L3N]])</f>
        <v>Solar energy</v>
      </c>
      <c r="X138" s="72" t="str" cm="1">
        <f t="array" ref="X138">IFERROR(INDEX(Products[[ProdCode]:[Product]],_xlfn.XMATCH(INDEX(Products[[Product]:[Parent]],_xlfn.XMATCH(Products[[#This Row],[L4N]],Products[Product],0),2),Products[ProdCode],0),2),Products[[#This Row],[L4N]])</f>
        <v>Renewable Energy</v>
      </c>
      <c r="Y138" s="72" t="str" cm="1">
        <f t="array" ref="Y138">IFERROR(INDEX(Products[[ProdCode]:[Product]],_xlfn.XMATCH(INDEX(Products[[Product]:[Parent]],_xlfn.XMATCH(Products[[#This Row],[L5N]],Products[Product],0),2),Products[ProdCode],0),2),Products[[#This Row],[L5N]])</f>
        <v>Energy</v>
      </c>
      <c r="Z138" s="72" t="str" cm="1">
        <f t="array" ref="Z138">IFERROR(INDEX(Products[[ProdCode]:[Product]],_xlfn.XMATCH(INDEX(Products[[Product]:[Parent]],_xlfn.XMATCH(Products[[#This Row],[L6N]],Products[Product],0),2),Products[ProdCode],0),2),Products[[#This Row],[L6N]])</f>
        <v>Energy</v>
      </c>
      <c r="AA138" s="72" t="str" cm="1">
        <f t="array" ref="AA138">IFERROR(INDEX(Products[[ProdCode]:[Product]],_xlfn.XMATCH(INDEX(Products[[Product]:[Parent]],_xlfn.XMATCH(Products[[#This Row],[L7N]],Products[Product],0),2),Products[ProdCode],0),2),Products[[#This Row],[L7N]])</f>
        <v>Energy</v>
      </c>
      <c r="AB13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3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3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Heliostat field collector</v>
      </c>
      <c r="AH13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Heliostat field collector</v>
      </c>
      <c r="AI13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Heliostat field collector</v>
      </c>
    </row>
    <row r="139" spans="2:35" x14ac:dyDescent="0.45">
      <c r="B139" s="107">
        <v>242120</v>
      </c>
      <c r="C139" s="88" t="s">
        <v>954</v>
      </c>
      <c r="D139" s="107">
        <v>242100</v>
      </c>
      <c r="E139" s="93" t="s">
        <v>1149</v>
      </c>
      <c r="F139" s="19" t="s">
        <v>1188</v>
      </c>
      <c r="G139" s="82" t="s">
        <v>1199</v>
      </c>
      <c r="H139" s="82" t="s">
        <v>83</v>
      </c>
      <c r="I139" s="82"/>
      <c r="J139" s="82"/>
      <c r="K139" s="82" t="s">
        <v>1412</v>
      </c>
      <c r="L139" s="82"/>
      <c r="M139" s="82"/>
      <c r="N139" s="119"/>
      <c r="O139" s="119"/>
      <c r="P139" s="82"/>
      <c r="Q139" s="82"/>
      <c r="R139" s="82"/>
      <c r="S139" s="82"/>
      <c r="T139" s="72" t="str" cm="1">
        <f t="array" ref="T139">IFERROR(INDEX(Products[[ProdCode]:[Product]],_xlfn.XMATCH(Products[[#This Row],[Parent]],Products[Product],0),2),Products[[#This Row],[Product]])</f>
        <v>Linear fresnel reflector</v>
      </c>
      <c r="U139" s="72" t="str" cm="1">
        <f t="array" ref="U139">IFERROR(INDEX(Products[[ProdCode]:[Product]],_xlfn.XMATCH(INDEX(Products[[Product]:[Parent]],_xlfn.XMATCH(Products[[#This Row],[L1N]],Products[Product],0),2),Products[ProdCode],0),2),Products[[#This Row],[L1N]])</f>
        <v>Concentrated solar power</v>
      </c>
      <c r="V139" s="72" t="str" cm="1">
        <f t="array" ref="V139">IFERROR(INDEX(Products[[ProdCode]:[Product]],_xlfn.XMATCH(INDEX(Products[[Product]:[Parent]],_xlfn.XMATCH(Products[[#This Row],[L2N]],Products[Product],0),2),Products[ProdCode],0),2),Products[[#This Row],[L2N]])</f>
        <v>Solar thermal energy</v>
      </c>
      <c r="W139" s="72" t="str" cm="1">
        <f t="array" ref="W139">IFERROR(INDEX(Products[[ProdCode]:[Product]],_xlfn.XMATCH(INDEX(Products[[Product]:[Parent]],_xlfn.XMATCH(Products[[#This Row],[L3N]],Products[Product],0),2),Products[ProdCode],0),2),Products[[#This Row],[L3N]])</f>
        <v>Solar energy</v>
      </c>
      <c r="X139" s="72" t="str" cm="1">
        <f t="array" ref="X139">IFERROR(INDEX(Products[[ProdCode]:[Product]],_xlfn.XMATCH(INDEX(Products[[Product]:[Parent]],_xlfn.XMATCH(Products[[#This Row],[L4N]],Products[Product],0),2),Products[ProdCode],0),2),Products[[#This Row],[L4N]])</f>
        <v>Renewable Energy</v>
      </c>
      <c r="Y139" s="72" t="str" cm="1">
        <f t="array" ref="Y139">IFERROR(INDEX(Products[[ProdCode]:[Product]],_xlfn.XMATCH(INDEX(Products[[Product]:[Parent]],_xlfn.XMATCH(Products[[#This Row],[L5N]],Products[Product],0),2),Products[ProdCode],0),2),Products[[#This Row],[L5N]])</f>
        <v>Energy</v>
      </c>
      <c r="Z139" s="72" t="str" cm="1">
        <f t="array" ref="Z139">IFERROR(INDEX(Products[[ProdCode]:[Product]],_xlfn.XMATCH(INDEX(Products[[Product]:[Parent]],_xlfn.XMATCH(Products[[#This Row],[L6N]],Products[Product],0),2),Products[ProdCode],0),2),Products[[#This Row],[L6N]])</f>
        <v>Energy</v>
      </c>
      <c r="AA139" s="72" t="str" cm="1">
        <f t="array" ref="AA139">IFERROR(INDEX(Products[[ProdCode]:[Product]],_xlfn.XMATCH(INDEX(Products[[Product]:[Parent]],_xlfn.XMATCH(Products[[#This Row],[L7N]],Products[Product],0),2),Products[ProdCode],0),2),Products[[#This Row],[L7N]])</f>
        <v>Energy</v>
      </c>
      <c r="AB13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3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3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3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3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3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Linear fresnel reflector</v>
      </c>
      <c r="AH13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Linear fresnel reflector</v>
      </c>
      <c r="AI13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Linear fresnel reflector</v>
      </c>
    </row>
    <row r="140" spans="2:35" x14ac:dyDescent="0.45">
      <c r="B140" s="107">
        <v>242130</v>
      </c>
      <c r="C140" s="88" t="s">
        <v>955</v>
      </c>
      <c r="D140" s="107">
        <v>242100</v>
      </c>
      <c r="E140" s="93" t="s">
        <v>1149</v>
      </c>
      <c r="F140" s="19" t="s">
        <v>1188</v>
      </c>
      <c r="G140" s="82" t="s">
        <v>1199</v>
      </c>
      <c r="H140" s="82" t="s">
        <v>83</v>
      </c>
      <c r="I140" s="82"/>
      <c r="J140" s="82"/>
      <c r="K140" s="82" t="s">
        <v>1413</v>
      </c>
      <c r="L140" s="82"/>
      <c r="M140" s="82"/>
      <c r="N140" s="119"/>
      <c r="O140" s="119"/>
      <c r="P140" s="82"/>
      <c r="Q140" s="82"/>
      <c r="R140" s="82"/>
      <c r="S140" s="82"/>
      <c r="T140" s="72" t="str" cm="1">
        <f t="array" ref="T140">IFERROR(INDEX(Products[[ProdCode]:[Product]],_xlfn.XMATCH(Products[[#This Row],[Parent]],Products[Product],0),2),Products[[#This Row],[Product]])</f>
        <v>Parabolic dish</v>
      </c>
      <c r="U140" s="72" t="str" cm="1">
        <f t="array" ref="U140">IFERROR(INDEX(Products[[ProdCode]:[Product]],_xlfn.XMATCH(INDEX(Products[[Product]:[Parent]],_xlfn.XMATCH(Products[[#This Row],[L1N]],Products[Product],0),2),Products[ProdCode],0),2),Products[[#This Row],[L1N]])</f>
        <v>Concentrated solar power</v>
      </c>
      <c r="V140" s="72" t="str" cm="1">
        <f t="array" ref="V140">IFERROR(INDEX(Products[[ProdCode]:[Product]],_xlfn.XMATCH(INDEX(Products[[Product]:[Parent]],_xlfn.XMATCH(Products[[#This Row],[L2N]],Products[Product],0),2),Products[ProdCode],0),2),Products[[#This Row],[L2N]])</f>
        <v>Solar thermal energy</v>
      </c>
      <c r="W140" s="72" t="str" cm="1">
        <f t="array" ref="W140">IFERROR(INDEX(Products[[ProdCode]:[Product]],_xlfn.XMATCH(INDEX(Products[[Product]:[Parent]],_xlfn.XMATCH(Products[[#This Row],[L3N]],Products[Product],0),2),Products[ProdCode],0),2),Products[[#This Row],[L3N]])</f>
        <v>Solar energy</v>
      </c>
      <c r="X140" s="72" t="str" cm="1">
        <f t="array" ref="X140">IFERROR(INDEX(Products[[ProdCode]:[Product]],_xlfn.XMATCH(INDEX(Products[[Product]:[Parent]],_xlfn.XMATCH(Products[[#This Row],[L4N]],Products[Product],0),2),Products[ProdCode],0),2),Products[[#This Row],[L4N]])</f>
        <v>Renewable Energy</v>
      </c>
      <c r="Y140" s="72" t="str" cm="1">
        <f t="array" ref="Y140">IFERROR(INDEX(Products[[ProdCode]:[Product]],_xlfn.XMATCH(INDEX(Products[[Product]:[Parent]],_xlfn.XMATCH(Products[[#This Row],[L5N]],Products[Product],0),2),Products[ProdCode],0),2),Products[[#This Row],[L5N]])</f>
        <v>Energy</v>
      </c>
      <c r="Z140" s="72" t="str" cm="1">
        <f t="array" ref="Z140">IFERROR(INDEX(Products[[ProdCode]:[Product]],_xlfn.XMATCH(INDEX(Products[[Product]:[Parent]],_xlfn.XMATCH(Products[[#This Row],[L6N]],Products[Product],0),2),Products[ProdCode],0),2),Products[[#This Row],[L6N]])</f>
        <v>Energy</v>
      </c>
      <c r="AA140" s="72" t="str" cm="1">
        <f t="array" ref="AA140">IFERROR(INDEX(Products[[ProdCode]:[Product]],_xlfn.XMATCH(INDEX(Products[[Product]:[Parent]],_xlfn.XMATCH(Products[[#This Row],[L7N]],Products[Product],0),2),Products[ProdCode],0),2),Products[[#This Row],[L7N]])</f>
        <v>Energy</v>
      </c>
      <c r="AB14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4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Parabolic dish</v>
      </c>
      <c r="AH14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Parabolic dish</v>
      </c>
      <c r="AI14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Parabolic dish</v>
      </c>
    </row>
    <row r="141" spans="2:35" x14ac:dyDescent="0.45">
      <c r="B141" s="107">
        <v>242140</v>
      </c>
      <c r="C141" s="88" t="s">
        <v>956</v>
      </c>
      <c r="D141" s="107">
        <v>242100</v>
      </c>
      <c r="E141" s="93" t="s">
        <v>1149</v>
      </c>
      <c r="F141" s="19" t="s">
        <v>1188</v>
      </c>
      <c r="G141" s="82" t="s">
        <v>1199</v>
      </c>
      <c r="H141" s="82" t="s">
        <v>83</v>
      </c>
      <c r="I141" s="82"/>
      <c r="J141" s="82"/>
      <c r="K141" s="82" t="s">
        <v>1414</v>
      </c>
      <c r="L141" s="82"/>
      <c r="M141" s="82"/>
      <c r="N141" s="119"/>
      <c r="O141" s="119"/>
      <c r="P141" s="82"/>
      <c r="Q141" s="82"/>
      <c r="R141" s="82"/>
      <c r="S141" s="82"/>
      <c r="T141" s="72" t="str" cm="1">
        <f t="array" ref="T141">IFERROR(INDEX(Products[[ProdCode]:[Product]],_xlfn.XMATCH(Products[[#This Row],[Parent]],Products[Product],0),2),Products[[#This Row],[Product]])</f>
        <v>Parabolic trough</v>
      </c>
      <c r="U141" s="72" t="str" cm="1">
        <f t="array" ref="U141">IFERROR(INDEX(Products[[ProdCode]:[Product]],_xlfn.XMATCH(INDEX(Products[[Product]:[Parent]],_xlfn.XMATCH(Products[[#This Row],[L1N]],Products[Product],0),2),Products[ProdCode],0),2),Products[[#This Row],[L1N]])</f>
        <v>Concentrated solar power</v>
      </c>
      <c r="V141" s="72" t="str" cm="1">
        <f t="array" ref="V141">IFERROR(INDEX(Products[[ProdCode]:[Product]],_xlfn.XMATCH(INDEX(Products[[Product]:[Parent]],_xlfn.XMATCH(Products[[#This Row],[L2N]],Products[Product],0),2),Products[ProdCode],0),2),Products[[#This Row],[L2N]])</f>
        <v>Solar thermal energy</v>
      </c>
      <c r="W141" s="72" t="str" cm="1">
        <f t="array" ref="W141">IFERROR(INDEX(Products[[ProdCode]:[Product]],_xlfn.XMATCH(INDEX(Products[[Product]:[Parent]],_xlfn.XMATCH(Products[[#This Row],[L3N]],Products[Product],0),2),Products[ProdCode],0),2),Products[[#This Row],[L3N]])</f>
        <v>Solar energy</v>
      </c>
      <c r="X141" s="72" t="str" cm="1">
        <f t="array" ref="X141">IFERROR(INDEX(Products[[ProdCode]:[Product]],_xlfn.XMATCH(INDEX(Products[[Product]:[Parent]],_xlfn.XMATCH(Products[[#This Row],[L4N]],Products[Product],0),2),Products[ProdCode],0),2),Products[[#This Row],[L4N]])</f>
        <v>Renewable Energy</v>
      </c>
      <c r="Y141" s="72" t="str" cm="1">
        <f t="array" ref="Y141">IFERROR(INDEX(Products[[ProdCode]:[Product]],_xlfn.XMATCH(INDEX(Products[[Product]:[Parent]],_xlfn.XMATCH(Products[[#This Row],[L5N]],Products[Product],0),2),Products[ProdCode],0),2),Products[[#This Row],[L5N]])</f>
        <v>Energy</v>
      </c>
      <c r="Z141" s="72" t="str" cm="1">
        <f t="array" ref="Z141">IFERROR(INDEX(Products[[ProdCode]:[Product]],_xlfn.XMATCH(INDEX(Products[[Product]:[Parent]],_xlfn.XMATCH(Products[[#This Row],[L6N]],Products[Product],0),2),Products[ProdCode],0),2),Products[[#This Row],[L6N]])</f>
        <v>Energy</v>
      </c>
      <c r="AA141" s="72" t="str" cm="1">
        <f t="array" ref="AA141">IFERROR(INDEX(Products[[ProdCode]:[Product]],_xlfn.XMATCH(INDEX(Products[[Product]:[Parent]],_xlfn.XMATCH(Products[[#This Row],[L7N]],Products[Product],0),2),Products[ProdCode],0),2),Products[[#This Row],[L7N]])</f>
        <v>Energy</v>
      </c>
      <c r="AB14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4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Parabolic trough</v>
      </c>
      <c r="AH14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Parabolic trough</v>
      </c>
      <c r="AI14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Parabolic trough</v>
      </c>
    </row>
    <row r="142" spans="2:35" x14ac:dyDescent="0.45">
      <c r="B142" s="107">
        <v>242190</v>
      </c>
      <c r="C142" s="88" t="s">
        <v>1160</v>
      </c>
      <c r="D142" s="107">
        <v>242100</v>
      </c>
      <c r="E142" s="93" t="s">
        <v>1149</v>
      </c>
      <c r="F142" s="19" t="s">
        <v>1188</v>
      </c>
      <c r="G142" s="82" t="s">
        <v>1199</v>
      </c>
      <c r="H142" s="82" t="s">
        <v>83</v>
      </c>
      <c r="I142" s="82"/>
      <c r="J142" s="82"/>
      <c r="K142" s="82" t="s">
        <v>1415</v>
      </c>
      <c r="L142" s="82"/>
      <c r="M142" s="82"/>
      <c r="N142" s="119"/>
      <c r="O142" s="119"/>
      <c r="P142" s="82"/>
      <c r="Q142" s="82"/>
      <c r="R142" s="82"/>
      <c r="S142" s="82"/>
      <c r="T142" s="72" t="str" cm="1">
        <f t="array" ref="T142">IFERROR(INDEX(Products[[ProdCode]:[Product]],_xlfn.XMATCH(Products[[#This Row],[Parent]],Products[Product],0),2),Products[[#This Row],[Product]])</f>
        <v>Other concentrated solar power</v>
      </c>
      <c r="U142" s="72" t="str" cm="1">
        <f t="array" ref="U142">IFERROR(INDEX(Products[[ProdCode]:[Product]],_xlfn.XMATCH(INDEX(Products[[Product]:[Parent]],_xlfn.XMATCH(Products[[#This Row],[L1N]],Products[Product],0),2),Products[ProdCode],0),2),Products[[#This Row],[L1N]])</f>
        <v>Concentrated solar power</v>
      </c>
      <c r="V142" s="72" t="str" cm="1">
        <f t="array" ref="V142">IFERROR(INDEX(Products[[ProdCode]:[Product]],_xlfn.XMATCH(INDEX(Products[[Product]:[Parent]],_xlfn.XMATCH(Products[[#This Row],[L2N]],Products[Product],0),2),Products[ProdCode],0),2),Products[[#This Row],[L2N]])</f>
        <v>Solar thermal energy</v>
      </c>
      <c r="W142" s="72" t="str" cm="1">
        <f t="array" ref="W142">IFERROR(INDEX(Products[[ProdCode]:[Product]],_xlfn.XMATCH(INDEX(Products[[Product]:[Parent]],_xlfn.XMATCH(Products[[#This Row],[L3N]],Products[Product],0),2),Products[ProdCode],0),2),Products[[#This Row],[L3N]])</f>
        <v>Solar energy</v>
      </c>
      <c r="X142" s="72" t="str" cm="1">
        <f t="array" ref="X142">IFERROR(INDEX(Products[[ProdCode]:[Product]],_xlfn.XMATCH(INDEX(Products[[Product]:[Parent]],_xlfn.XMATCH(Products[[#This Row],[L4N]],Products[Product],0),2),Products[ProdCode],0),2),Products[[#This Row],[L4N]])</f>
        <v>Renewable Energy</v>
      </c>
      <c r="Y142" s="72" t="str" cm="1">
        <f t="array" ref="Y142">IFERROR(INDEX(Products[[ProdCode]:[Product]],_xlfn.XMATCH(INDEX(Products[[Product]:[Parent]],_xlfn.XMATCH(Products[[#This Row],[L5N]],Products[Product],0),2),Products[ProdCode],0),2),Products[[#This Row],[L5N]])</f>
        <v>Energy</v>
      </c>
      <c r="Z142" s="72" t="str" cm="1">
        <f t="array" ref="Z142">IFERROR(INDEX(Products[[ProdCode]:[Product]],_xlfn.XMATCH(INDEX(Products[[Product]:[Parent]],_xlfn.XMATCH(Products[[#This Row],[L6N]],Products[Product],0),2),Products[ProdCode],0),2),Products[[#This Row],[L6N]])</f>
        <v>Energy</v>
      </c>
      <c r="AA142" s="72" t="str" cm="1">
        <f t="array" ref="AA142">IFERROR(INDEX(Products[[ProdCode]:[Product]],_xlfn.XMATCH(INDEX(Products[[Product]:[Parent]],_xlfn.XMATCH(Products[[#This Row],[L7N]],Products[Product],0),2),Products[ProdCode],0),2),Products[[#This Row],[L7N]])</f>
        <v>Energy</v>
      </c>
      <c r="AB14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Concentrated solar power</v>
      </c>
      <c r="AG14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concentrated solar power</v>
      </c>
      <c r="AH14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concentrated solar power</v>
      </c>
      <c r="AI14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concentrated solar power</v>
      </c>
    </row>
    <row r="143" spans="2:35" x14ac:dyDescent="0.45">
      <c r="B143" s="106">
        <v>242200</v>
      </c>
      <c r="C143" s="85" t="s">
        <v>957</v>
      </c>
      <c r="D143" s="106">
        <v>242000</v>
      </c>
      <c r="E143" s="93" t="s">
        <v>1149</v>
      </c>
      <c r="F143" s="19" t="s">
        <v>1188</v>
      </c>
      <c r="G143" s="82" t="s">
        <v>53</v>
      </c>
      <c r="H143" s="82" t="s">
        <v>65</v>
      </c>
      <c r="I143" s="82"/>
      <c r="J143" s="82"/>
      <c r="K143" s="82" t="s">
        <v>1416</v>
      </c>
      <c r="L143" s="82"/>
      <c r="M143" s="82"/>
      <c r="N143" s="119"/>
      <c r="O143" s="119"/>
      <c r="P143" s="82"/>
      <c r="Q143" s="82"/>
      <c r="R143" s="82"/>
      <c r="S143" s="82"/>
      <c r="T143" s="72" t="str" cm="1">
        <f t="array" ref="T143">IFERROR(INDEX(Products[[ProdCode]:[Product]],_xlfn.XMATCH(Products[[#This Row],[Parent]],Products[Product],0),2),Products[[#This Row],[Product]])</f>
        <v>Solar water heating</v>
      </c>
      <c r="U143" s="72" t="str" cm="1">
        <f t="array" ref="U143">IFERROR(INDEX(Products[[ProdCode]:[Product]],_xlfn.XMATCH(INDEX(Products[[Product]:[Parent]],_xlfn.XMATCH(Products[[#This Row],[L1N]],Products[Product],0),2),Products[ProdCode],0),2),Products[[#This Row],[L1N]])</f>
        <v>Solar thermal energy</v>
      </c>
      <c r="V143" s="72" t="str" cm="1">
        <f t="array" ref="V143">IFERROR(INDEX(Products[[ProdCode]:[Product]],_xlfn.XMATCH(INDEX(Products[[Product]:[Parent]],_xlfn.XMATCH(Products[[#This Row],[L2N]],Products[Product],0),2),Products[ProdCode],0),2),Products[[#This Row],[L2N]])</f>
        <v>Solar energy</v>
      </c>
      <c r="W143" s="72" t="str" cm="1">
        <f t="array" ref="W143">IFERROR(INDEX(Products[[ProdCode]:[Product]],_xlfn.XMATCH(INDEX(Products[[Product]:[Parent]],_xlfn.XMATCH(Products[[#This Row],[L3N]],Products[Product],0),2),Products[ProdCode],0),2),Products[[#This Row],[L3N]])</f>
        <v>Renewable Energy</v>
      </c>
      <c r="X143" s="72" t="str" cm="1">
        <f t="array" ref="X143">IFERROR(INDEX(Products[[ProdCode]:[Product]],_xlfn.XMATCH(INDEX(Products[[Product]:[Parent]],_xlfn.XMATCH(Products[[#This Row],[L4N]],Products[Product],0),2),Products[ProdCode],0),2),Products[[#This Row],[L4N]])</f>
        <v>Energy</v>
      </c>
      <c r="Y143" s="72" t="str" cm="1">
        <f t="array" ref="Y143">IFERROR(INDEX(Products[[ProdCode]:[Product]],_xlfn.XMATCH(INDEX(Products[[Product]:[Parent]],_xlfn.XMATCH(Products[[#This Row],[L5N]],Products[Product],0),2),Products[ProdCode],0),2),Products[[#This Row],[L5N]])</f>
        <v>Energy</v>
      </c>
      <c r="Z143" s="72" t="str" cm="1">
        <f t="array" ref="Z143">IFERROR(INDEX(Products[[ProdCode]:[Product]],_xlfn.XMATCH(INDEX(Products[[Product]:[Parent]],_xlfn.XMATCH(Products[[#This Row],[L6N]],Products[Product],0),2),Products[ProdCode],0),2),Products[[#This Row],[L6N]])</f>
        <v>Energy</v>
      </c>
      <c r="AA143" s="72" t="str" cm="1">
        <f t="array" ref="AA143">IFERROR(INDEX(Products[[ProdCode]:[Product]],_xlfn.XMATCH(INDEX(Products[[Product]:[Parent]],_xlfn.XMATCH(Products[[#This Row],[L7N]],Products[Product],0),2),Products[ProdCode],0),2),Products[[#This Row],[L7N]])</f>
        <v>Energy</v>
      </c>
      <c r="AB14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water heating</v>
      </c>
      <c r="AG14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water heating</v>
      </c>
      <c r="AH14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water heating</v>
      </c>
      <c r="AI14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water heating</v>
      </c>
    </row>
    <row r="144" spans="2:35" ht="14.25" customHeight="1" x14ac:dyDescent="0.45">
      <c r="B144" s="107">
        <v>242210</v>
      </c>
      <c r="C144" s="88" t="s">
        <v>1162</v>
      </c>
      <c r="D144" s="107">
        <v>242200</v>
      </c>
      <c r="E144" s="93" t="s">
        <v>1149</v>
      </c>
      <c r="F144" s="19" t="s">
        <v>1188</v>
      </c>
      <c r="G144" s="82" t="s">
        <v>1199</v>
      </c>
      <c r="H144" s="82" t="s">
        <v>83</v>
      </c>
      <c r="I144" s="82"/>
      <c r="J144" s="82"/>
      <c r="K144" s="82" t="s">
        <v>1792</v>
      </c>
      <c r="L144" s="82"/>
      <c r="M144" s="82"/>
      <c r="N144" s="119"/>
      <c r="O144" s="119"/>
      <c r="P144" s="82"/>
      <c r="Q144" s="82"/>
      <c r="R144" s="82"/>
      <c r="S144" s="82"/>
      <c r="T144" s="72" t="str" cm="1">
        <f t="array" ref="T144">IFERROR(INDEX(Products[[ProdCode]:[Product]],_xlfn.XMATCH(Products[[#This Row],[Parent]],Products[Product],0),2),Products[[#This Row],[Product]])</f>
        <v>Unglazed solar water heaters</v>
      </c>
      <c r="U144" s="72" t="str" cm="1">
        <f t="array" ref="U144">IFERROR(INDEX(Products[[ProdCode]:[Product]],_xlfn.XMATCH(INDEX(Products[[Product]:[Parent]],_xlfn.XMATCH(Products[[#This Row],[L1N]],Products[Product],0),2),Products[ProdCode],0),2),Products[[#This Row],[L1N]])</f>
        <v>Solar water heating</v>
      </c>
      <c r="V144" s="72" t="str" cm="1">
        <f t="array" ref="V144">IFERROR(INDEX(Products[[ProdCode]:[Product]],_xlfn.XMATCH(INDEX(Products[[Product]:[Parent]],_xlfn.XMATCH(Products[[#This Row],[L2N]],Products[Product],0),2),Products[ProdCode],0),2),Products[[#This Row],[L2N]])</f>
        <v>Solar thermal energy</v>
      </c>
      <c r="W144" s="72" t="str" cm="1">
        <f t="array" ref="W144">IFERROR(INDEX(Products[[ProdCode]:[Product]],_xlfn.XMATCH(INDEX(Products[[Product]:[Parent]],_xlfn.XMATCH(Products[[#This Row],[L3N]],Products[Product],0),2),Products[ProdCode],0),2),Products[[#This Row],[L3N]])</f>
        <v>Solar energy</v>
      </c>
      <c r="X144" s="72" t="str" cm="1">
        <f t="array" ref="X144">IFERROR(INDEX(Products[[ProdCode]:[Product]],_xlfn.XMATCH(INDEX(Products[[Product]:[Parent]],_xlfn.XMATCH(Products[[#This Row],[L4N]],Products[Product],0),2),Products[ProdCode],0),2),Products[[#This Row],[L4N]])</f>
        <v>Renewable Energy</v>
      </c>
      <c r="Y144" s="72" t="str" cm="1">
        <f t="array" ref="Y144">IFERROR(INDEX(Products[[ProdCode]:[Product]],_xlfn.XMATCH(INDEX(Products[[Product]:[Parent]],_xlfn.XMATCH(Products[[#This Row],[L5N]],Products[Product],0),2),Products[ProdCode],0),2),Products[[#This Row],[L5N]])</f>
        <v>Energy</v>
      </c>
      <c r="Z144" s="72" t="str" cm="1">
        <f t="array" ref="Z144">IFERROR(INDEX(Products[[ProdCode]:[Product]],_xlfn.XMATCH(INDEX(Products[[Product]:[Parent]],_xlfn.XMATCH(Products[[#This Row],[L6N]],Products[Product],0),2),Products[ProdCode],0),2),Products[[#This Row],[L6N]])</f>
        <v>Energy</v>
      </c>
      <c r="AA144" s="72" t="str" cm="1">
        <f t="array" ref="AA144">IFERROR(INDEX(Products[[ProdCode]:[Product]],_xlfn.XMATCH(INDEX(Products[[Product]:[Parent]],_xlfn.XMATCH(Products[[#This Row],[L7N]],Products[Product],0),2),Products[ProdCode],0),2),Products[[#This Row],[L7N]])</f>
        <v>Energy</v>
      </c>
      <c r="AB14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water heating</v>
      </c>
      <c r="AG14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Unglazed solar water heaters</v>
      </c>
      <c r="AH14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Unglazed solar water heaters</v>
      </c>
      <c r="AI14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Unglazed solar water heaters</v>
      </c>
    </row>
    <row r="145" spans="2:35" x14ac:dyDescent="0.45">
      <c r="B145" s="107">
        <v>242220</v>
      </c>
      <c r="C145" s="88" t="s">
        <v>1161</v>
      </c>
      <c r="D145" s="107">
        <v>242200</v>
      </c>
      <c r="E145" s="93" t="s">
        <v>1149</v>
      </c>
      <c r="F145" s="19" t="s">
        <v>1188</v>
      </c>
      <c r="G145" s="82" t="s">
        <v>1199</v>
      </c>
      <c r="H145" s="82" t="s">
        <v>83</v>
      </c>
      <c r="I145" s="82"/>
      <c r="J145" s="82"/>
      <c r="K145" s="82" t="s">
        <v>1793</v>
      </c>
      <c r="L145" s="82"/>
      <c r="M145" s="82"/>
      <c r="N145" s="119"/>
      <c r="O145" s="119"/>
      <c r="P145" s="82"/>
      <c r="Q145" s="82"/>
      <c r="R145" s="82"/>
      <c r="S145" s="82"/>
      <c r="T145" s="72" t="str" cm="1">
        <f t="array" ref="T145">IFERROR(INDEX(Products[[ProdCode]:[Product]],_xlfn.XMATCH(Products[[#This Row],[Parent]],Products[Product],0),2),Products[[#This Row],[Product]])</f>
        <v>Glazed single solar water heaters</v>
      </c>
      <c r="U145" s="72" t="str" cm="1">
        <f t="array" ref="U145">IFERROR(INDEX(Products[[ProdCode]:[Product]],_xlfn.XMATCH(INDEX(Products[[Product]:[Parent]],_xlfn.XMATCH(Products[[#This Row],[L1N]],Products[Product],0),2),Products[ProdCode],0),2),Products[[#This Row],[L1N]])</f>
        <v>Solar water heating</v>
      </c>
      <c r="V145" s="72" t="str" cm="1">
        <f t="array" ref="V145">IFERROR(INDEX(Products[[ProdCode]:[Product]],_xlfn.XMATCH(INDEX(Products[[Product]:[Parent]],_xlfn.XMATCH(Products[[#This Row],[L2N]],Products[Product],0),2),Products[ProdCode],0),2),Products[[#This Row],[L2N]])</f>
        <v>Solar thermal energy</v>
      </c>
      <c r="W145" s="72" t="str" cm="1">
        <f t="array" ref="W145">IFERROR(INDEX(Products[[ProdCode]:[Product]],_xlfn.XMATCH(INDEX(Products[[Product]:[Parent]],_xlfn.XMATCH(Products[[#This Row],[L3N]],Products[Product],0),2),Products[ProdCode],0),2),Products[[#This Row],[L3N]])</f>
        <v>Solar energy</v>
      </c>
      <c r="X145" s="72" t="str" cm="1">
        <f t="array" ref="X145">IFERROR(INDEX(Products[[ProdCode]:[Product]],_xlfn.XMATCH(INDEX(Products[[Product]:[Parent]],_xlfn.XMATCH(Products[[#This Row],[L4N]],Products[Product],0),2),Products[ProdCode],0),2),Products[[#This Row],[L4N]])</f>
        <v>Renewable Energy</v>
      </c>
      <c r="Y145" s="72" t="str" cm="1">
        <f t="array" ref="Y145">IFERROR(INDEX(Products[[ProdCode]:[Product]],_xlfn.XMATCH(INDEX(Products[[Product]:[Parent]],_xlfn.XMATCH(Products[[#This Row],[L5N]],Products[Product],0),2),Products[ProdCode],0),2),Products[[#This Row],[L5N]])</f>
        <v>Energy</v>
      </c>
      <c r="Z145" s="72" t="str" cm="1">
        <f t="array" ref="Z145">IFERROR(INDEX(Products[[ProdCode]:[Product]],_xlfn.XMATCH(INDEX(Products[[Product]:[Parent]],_xlfn.XMATCH(Products[[#This Row],[L6N]],Products[Product],0),2),Products[ProdCode],0),2),Products[[#This Row],[L6N]])</f>
        <v>Energy</v>
      </c>
      <c r="AA145" s="72" t="str" cm="1">
        <f t="array" ref="AA145">IFERROR(INDEX(Products[[ProdCode]:[Product]],_xlfn.XMATCH(INDEX(Products[[Product]:[Parent]],_xlfn.XMATCH(Products[[#This Row],[L7N]],Products[Product],0),2),Products[ProdCode],0),2),Products[[#This Row],[L7N]])</f>
        <v>Energy</v>
      </c>
      <c r="AB14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water heating</v>
      </c>
      <c r="AG14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Glazed single solar water heaters</v>
      </c>
      <c r="AH14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Glazed single solar water heaters</v>
      </c>
      <c r="AI14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Glazed single solar water heaters</v>
      </c>
    </row>
    <row r="146" spans="2:35" x14ac:dyDescent="0.45">
      <c r="B146" s="107">
        <v>242230</v>
      </c>
      <c r="C146" s="88" t="s">
        <v>1163</v>
      </c>
      <c r="D146" s="107">
        <v>242200</v>
      </c>
      <c r="E146" s="93" t="s">
        <v>1149</v>
      </c>
      <c r="F146" s="19" t="s">
        <v>1188</v>
      </c>
      <c r="G146" s="82" t="s">
        <v>1199</v>
      </c>
      <c r="H146" s="82" t="s">
        <v>83</v>
      </c>
      <c r="I146" s="82"/>
      <c r="J146" s="82"/>
      <c r="K146" s="82" t="s">
        <v>1794</v>
      </c>
      <c r="L146" s="82"/>
      <c r="M146" s="82"/>
      <c r="N146" s="119"/>
      <c r="O146" s="119"/>
      <c r="P146" s="82"/>
      <c r="Q146" s="82"/>
      <c r="R146" s="82"/>
      <c r="S146" s="82"/>
      <c r="T146" s="72" t="str" cm="1">
        <f t="array" ref="T146">IFERROR(INDEX(Products[[ProdCode]:[Product]],_xlfn.XMATCH(Products[[#This Row],[Parent]],Products[Product],0),2),Products[[#This Row],[Product]])</f>
        <v>Glazed combined solar water heaters</v>
      </c>
      <c r="U146" s="72" t="str" cm="1">
        <f t="array" ref="U146">IFERROR(INDEX(Products[[ProdCode]:[Product]],_xlfn.XMATCH(INDEX(Products[[Product]:[Parent]],_xlfn.XMATCH(Products[[#This Row],[L1N]],Products[Product],0),2),Products[ProdCode],0),2),Products[[#This Row],[L1N]])</f>
        <v>Solar water heating</v>
      </c>
      <c r="V146" s="72" t="str" cm="1">
        <f t="array" ref="V146">IFERROR(INDEX(Products[[ProdCode]:[Product]],_xlfn.XMATCH(INDEX(Products[[Product]:[Parent]],_xlfn.XMATCH(Products[[#This Row],[L2N]],Products[Product],0),2),Products[ProdCode],0),2),Products[[#This Row],[L2N]])</f>
        <v>Solar thermal energy</v>
      </c>
      <c r="W146" s="72" t="str" cm="1">
        <f t="array" ref="W146">IFERROR(INDEX(Products[[ProdCode]:[Product]],_xlfn.XMATCH(INDEX(Products[[Product]:[Parent]],_xlfn.XMATCH(Products[[#This Row],[L3N]],Products[Product],0),2),Products[ProdCode],0),2),Products[[#This Row],[L3N]])</f>
        <v>Solar energy</v>
      </c>
      <c r="X146" s="72" t="str" cm="1">
        <f t="array" ref="X146">IFERROR(INDEX(Products[[ProdCode]:[Product]],_xlfn.XMATCH(INDEX(Products[[Product]:[Parent]],_xlfn.XMATCH(Products[[#This Row],[L4N]],Products[Product],0),2),Products[ProdCode],0),2),Products[[#This Row],[L4N]])</f>
        <v>Renewable Energy</v>
      </c>
      <c r="Y146" s="72" t="str" cm="1">
        <f t="array" ref="Y146">IFERROR(INDEX(Products[[ProdCode]:[Product]],_xlfn.XMATCH(INDEX(Products[[Product]:[Parent]],_xlfn.XMATCH(Products[[#This Row],[L5N]],Products[Product],0),2),Products[ProdCode],0),2),Products[[#This Row],[L5N]])</f>
        <v>Energy</v>
      </c>
      <c r="Z146" s="72" t="str" cm="1">
        <f t="array" ref="Z146">IFERROR(INDEX(Products[[ProdCode]:[Product]],_xlfn.XMATCH(INDEX(Products[[Product]:[Parent]],_xlfn.XMATCH(Products[[#This Row],[L6N]],Products[Product],0),2),Products[ProdCode],0),2),Products[[#This Row],[L6N]])</f>
        <v>Energy</v>
      </c>
      <c r="AA146" s="72" t="str" cm="1">
        <f t="array" ref="AA146">IFERROR(INDEX(Products[[ProdCode]:[Product]],_xlfn.XMATCH(INDEX(Products[[Product]:[Parent]],_xlfn.XMATCH(Products[[#This Row],[L7N]],Products[Product],0),2),Products[ProdCode],0),2),Products[[#This Row],[L7N]])</f>
        <v>Energy</v>
      </c>
      <c r="AB14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water heating</v>
      </c>
      <c r="AG14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Glazed combined solar water heaters</v>
      </c>
      <c r="AH14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Glazed combined solar water heaters</v>
      </c>
      <c r="AI14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Glazed combined solar water heaters</v>
      </c>
    </row>
    <row r="147" spans="2:35" x14ac:dyDescent="0.45">
      <c r="B147" s="107">
        <v>242240</v>
      </c>
      <c r="C147" s="88" t="s">
        <v>1164</v>
      </c>
      <c r="D147" s="107">
        <v>242200</v>
      </c>
      <c r="E147" s="93" t="s">
        <v>1149</v>
      </c>
      <c r="F147" s="19" t="s">
        <v>1188</v>
      </c>
      <c r="G147" s="82" t="s">
        <v>1199</v>
      </c>
      <c r="H147" s="82" t="s">
        <v>83</v>
      </c>
      <c r="I147" s="82"/>
      <c r="J147" s="82"/>
      <c r="K147" s="82" t="s">
        <v>1417</v>
      </c>
      <c r="L147" s="82"/>
      <c r="M147" s="82"/>
      <c r="N147" s="119"/>
      <c r="O147" s="119"/>
      <c r="P147" s="82"/>
      <c r="Q147" s="82"/>
      <c r="R147" s="82"/>
      <c r="S147" s="82"/>
      <c r="T147" s="72" t="str" cm="1">
        <f t="array" ref="T147">IFERROR(INDEX(Products[[ProdCode]:[Product]],_xlfn.XMATCH(Products[[#This Row],[Parent]],Products[Product],0),2),Products[[#This Row],[Product]])</f>
        <v>Concentrated solar water heaters</v>
      </c>
      <c r="U147" s="72" t="str" cm="1">
        <f t="array" ref="U147">IFERROR(INDEX(Products[[ProdCode]:[Product]],_xlfn.XMATCH(INDEX(Products[[Product]:[Parent]],_xlfn.XMATCH(Products[[#This Row],[L1N]],Products[Product],0),2),Products[ProdCode],0),2),Products[[#This Row],[L1N]])</f>
        <v>Solar water heating</v>
      </c>
      <c r="V147" s="72" t="str" cm="1">
        <f t="array" ref="V147">IFERROR(INDEX(Products[[ProdCode]:[Product]],_xlfn.XMATCH(INDEX(Products[[Product]:[Parent]],_xlfn.XMATCH(Products[[#This Row],[L2N]],Products[Product],0),2),Products[ProdCode],0),2),Products[[#This Row],[L2N]])</f>
        <v>Solar thermal energy</v>
      </c>
      <c r="W147" s="72" t="str" cm="1">
        <f t="array" ref="W147">IFERROR(INDEX(Products[[ProdCode]:[Product]],_xlfn.XMATCH(INDEX(Products[[Product]:[Parent]],_xlfn.XMATCH(Products[[#This Row],[L3N]],Products[Product],0),2),Products[ProdCode],0),2),Products[[#This Row],[L3N]])</f>
        <v>Solar energy</v>
      </c>
      <c r="X147" s="72" t="str" cm="1">
        <f t="array" ref="X147">IFERROR(INDEX(Products[[ProdCode]:[Product]],_xlfn.XMATCH(INDEX(Products[[Product]:[Parent]],_xlfn.XMATCH(Products[[#This Row],[L4N]],Products[Product],0),2),Products[ProdCode],0),2),Products[[#This Row],[L4N]])</f>
        <v>Renewable Energy</v>
      </c>
      <c r="Y147" s="72" t="str" cm="1">
        <f t="array" ref="Y147">IFERROR(INDEX(Products[[ProdCode]:[Product]],_xlfn.XMATCH(INDEX(Products[[Product]:[Parent]],_xlfn.XMATCH(Products[[#This Row],[L5N]],Products[Product],0),2),Products[ProdCode],0),2),Products[[#This Row],[L5N]])</f>
        <v>Energy</v>
      </c>
      <c r="Z147" s="72" t="str" cm="1">
        <f t="array" ref="Z147">IFERROR(INDEX(Products[[ProdCode]:[Product]],_xlfn.XMATCH(INDEX(Products[[Product]:[Parent]],_xlfn.XMATCH(Products[[#This Row],[L6N]],Products[Product],0),2),Products[ProdCode],0),2),Products[[#This Row],[L6N]])</f>
        <v>Energy</v>
      </c>
      <c r="AA147" s="72" t="str" cm="1">
        <f t="array" ref="AA147">IFERROR(INDEX(Products[[ProdCode]:[Product]],_xlfn.XMATCH(INDEX(Products[[Product]:[Parent]],_xlfn.XMATCH(Products[[#This Row],[L7N]],Products[Product],0),2),Products[ProdCode],0),2),Products[[#This Row],[L7N]])</f>
        <v>Energy</v>
      </c>
      <c r="AB14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water heating</v>
      </c>
      <c r="AG14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Concentrated solar water heaters</v>
      </c>
      <c r="AH14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Concentrated solar water heaters</v>
      </c>
      <c r="AI14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Concentrated solar water heaters</v>
      </c>
    </row>
    <row r="148" spans="2:35" x14ac:dyDescent="0.45">
      <c r="B148" s="106">
        <v>242300</v>
      </c>
      <c r="C148" s="85" t="s">
        <v>958</v>
      </c>
      <c r="D148" s="106">
        <v>242000</v>
      </c>
      <c r="E148" s="93" t="s">
        <v>1149</v>
      </c>
      <c r="F148" s="19" t="s">
        <v>1188</v>
      </c>
      <c r="G148" s="82" t="s">
        <v>53</v>
      </c>
      <c r="H148" s="82" t="s">
        <v>65</v>
      </c>
      <c r="I148" s="82"/>
      <c r="J148" s="82"/>
      <c r="K148" s="82" t="s">
        <v>1418</v>
      </c>
      <c r="L148" s="82"/>
      <c r="M148" s="82"/>
      <c r="N148" s="119"/>
      <c r="O148" s="119"/>
      <c r="P148" s="82"/>
      <c r="Q148" s="82"/>
      <c r="R148" s="82"/>
      <c r="S148" s="82"/>
      <c r="T148" s="72" t="str" cm="1">
        <f t="array" ref="T148">IFERROR(INDEX(Products[[ProdCode]:[Product]],_xlfn.XMATCH(Products[[#This Row],[Parent]],Products[Product],0),2),Products[[#This Row],[Product]])</f>
        <v>Solar air heating</v>
      </c>
      <c r="U148" s="72" t="str" cm="1">
        <f t="array" ref="U148">IFERROR(INDEX(Products[[ProdCode]:[Product]],_xlfn.XMATCH(INDEX(Products[[Product]:[Parent]],_xlfn.XMATCH(Products[[#This Row],[L1N]],Products[Product],0),2),Products[ProdCode],0),2),Products[[#This Row],[L1N]])</f>
        <v>Solar thermal energy</v>
      </c>
      <c r="V148" s="72" t="str" cm="1">
        <f t="array" ref="V148">IFERROR(INDEX(Products[[ProdCode]:[Product]],_xlfn.XMATCH(INDEX(Products[[Product]:[Parent]],_xlfn.XMATCH(Products[[#This Row],[L2N]],Products[Product],0),2),Products[ProdCode],0),2),Products[[#This Row],[L2N]])</f>
        <v>Solar energy</v>
      </c>
      <c r="W148" s="72" t="str" cm="1">
        <f t="array" ref="W148">IFERROR(INDEX(Products[[ProdCode]:[Product]],_xlfn.XMATCH(INDEX(Products[[Product]:[Parent]],_xlfn.XMATCH(Products[[#This Row],[L3N]],Products[Product],0),2),Products[ProdCode],0),2),Products[[#This Row],[L3N]])</f>
        <v>Renewable Energy</v>
      </c>
      <c r="X148" s="72" t="str" cm="1">
        <f t="array" ref="X148">IFERROR(INDEX(Products[[ProdCode]:[Product]],_xlfn.XMATCH(INDEX(Products[[Product]:[Parent]],_xlfn.XMATCH(Products[[#This Row],[L4N]],Products[Product],0),2),Products[ProdCode],0),2),Products[[#This Row],[L4N]])</f>
        <v>Energy</v>
      </c>
      <c r="Y148" s="72" t="str" cm="1">
        <f t="array" ref="Y148">IFERROR(INDEX(Products[[ProdCode]:[Product]],_xlfn.XMATCH(INDEX(Products[[Product]:[Parent]],_xlfn.XMATCH(Products[[#This Row],[L5N]],Products[Product],0),2),Products[ProdCode],0),2),Products[[#This Row],[L5N]])</f>
        <v>Energy</v>
      </c>
      <c r="Z148" s="72" t="str" cm="1">
        <f t="array" ref="Z148">IFERROR(INDEX(Products[[ProdCode]:[Product]],_xlfn.XMATCH(INDEX(Products[[Product]:[Parent]],_xlfn.XMATCH(Products[[#This Row],[L6N]],Products[Product],0),2),Products[ProdCode],0),2),Products[[#This Row],[L6N]])</f>
        <v>Energy</v>
      </c>
      <c r="AA148" s="72" t="str" cm="1">
        <f t="array" ref="AA148">IFERROR(INDEX(Products[[ProdCode]:[Product]],_xlfn.XMATCH(INDEX(Products[[Product]:[Parent]],_xlfn.XMATCH(Products[[#This Row],[L7N]],Products[Product],0),2),Products[ProdCode],0),2),Products[[#This Row],[L7N]])</f>
        <v>Energy</v>
      </c>
      <c r="AB14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air heating</v>
      </c>
      <c r="AG14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air heating</v>
      </c>
      <c r="AH14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air heating</v>
      </c>
      <c r="AI14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air heating</v>
      </c>
    </row>
    <row r="149" spans="2:35" x14ac:dyDescent="0.45">
      <c r="B149" s="107">
        <v>242310</v>
      </c>
      <c r="C149" s="88" t="s">
        <v>959</v>
      </c>
      <c r="D149" s="107">
        <v>242300</v>
      </c>
      <c r="E149" s="93" t="s">
        <v>1149</v>
      </c>
      <c r="F149" s="19" t="s">
        <v>1188</v>
      </c>
      <c r="G149" s="82" t="s">
        <v>1199</v>
      </c>
      <c r="H149" s="82" t="s">
        <v>83</v>
      </c>
      <c r="I149" s="82"/>
      <c r="J149" s="82"/>
      <c r="K149" s="82" t="s">
        <v>1795</v>
      </c>
      <c r="L149" s="82"/>
      <c r="M149" s="82"/>
      <c r="N149" s="119"/>
      <c r="O149" s="119"/>
      <c r="P149" s="82"/>
      <c r="Q149" s="82"/>
      <c r="R149" s="82"/>
      <c r="S149" s="82"/>
      <c r="T149" s="72" t="str" cm="1">
        <f t="array" ref="T149">IFERROR(INDEX(Products[[ProdCode]:[Product]],_xlfn.XMATCH(Products[[#This Row],[Parent]],Products[Product],0),2),Products[[#This Row],[Product]])</f>
        <v>Solar air natural convection heating</v>
      </c>
      <c r="U149" s="72" t="str" cm="1">
        <f t="array" ref="U149">IFERROR(INDEX(Products[[ProdCode]:[Product]],_xlfn.XMATCH(INDEX(Products[[Product]:[Parent]],_xlfn.XMATCH(Products[[#This Row],[L1N]],Products[Product],0),2),Products[ProdCode],0),2),Products[[#This Row],[L1N]])</f>
        <v>Solar air heating</v>
      </c>
      <c r="V149" s="72" t="str" cm="1">
        <f t="array" ref="V149">IFERROR(INDEX(Products[[ProdCode]:[Product]],_xlfn.XMATCH(INDEX(Products[[Product]:[Parent]],_xlfn.XMATCH(Products[[#This Row],[L2N]],Products[Product],0),2),Products[ProdCode],0),2),Products[[#This Row],[L2N]])</f>
        <v>Solar thermal energy</v>
      </c>
      <c r="W149" s="72" t="str" cm="1">
        <f t="array" ref="W149">IFERROR(INDEX(Products[[ProdCode]:[Product]],_xlfn.XMATCH(INDEX(Products[[Product]:[Parent]],_xlfn.XMATCH(Products[[#This Row],[L3N]],Products[Product],0),2),Products[ProdCode],0),2),Products[[#This Row],[L3N]])</f>
        <v>Solar energy</v>
      </c>
      <c r="X149" s="72" t="str" cm="1">
        <f t="array" ref="X149">IFERROR(INDEX(Products[[ProdCode]:[Product]],_xlfn.XMATCH(INDEX(Products[[Product]:[Parent]],_xlfn.XMATCH(Products[[#This Row],[L4N]],Products[Product],0),2),Products[ProdCode],0),2),Products[[#This Row],[L4N]])</f>
        <v>Renewable Energy</v>
      </c>
      <c r="Y149" s="72" t="str" cm="1">
        <f t="array" ref="Y149">IFERROR(INDEX(Products[[ProdCode]:[Product]],_xlfn.XMATCH(INDEX(Products[[Product]:[Parent]],_xlfn.XMATCH(Products[[#This Row],[L5N]],Products[Product],0),2),Products[ProdCode],0),2),Products[[#This Row],[L5N]])</f>
        <v>Energy</v>
      </c>
      <c r="Z149" s="72" t="str" cm="1">
        <f t="array" ref="Z149">IFERROR(INDEX(Products[[ProdCode]:[Product]],_xlfn.XMATCH(INDEX(Products[[Product]:[Parent]],_xlfn.XMATCH(Products[[#This Row],[L6N]],Products[Product],0),2),Products[ProdCode],0),2),Products[[#This Row],[L6N]])</f>
        <v>Energy</v>
      </c>
      <c r="AA149" s="72" t="str" cm="1">
        <f t="array" ref="AA149">IFERROR(INDEX(Products[[ProdCode]:[Product]],_xlfn.XMATCH(INDEX(Products[[Product]:[Parent]],_xlfn.XMATCH(Products[[#This Row],[L7N]],Products[Product],0),2),Products[ProdCode],0),2),Products[[#This Row],[L7N]])</f>
        <v>Energy</v>
      </c>
      <c r="AB14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4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4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4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4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air heating</v>
      </c>
      <c r="AG14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air natural convection heating</v>
      </c>
      <c r="AH14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air natural convection heating</v>
      </c>
      <c r="AI14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air natural convection heating</v>
      </c>
    </row>
    <row r="150" spans="2:35" x14ac:dyDescent="0.45">
      <c r="B150" s="107">
        <v>242320</v>
      </c>
      <c r="C150" s="88" t="s">
        <v>960</v>
      </c>
      <c r="D150" s="107">
        <v>242300</v>
      </c>
      <c r="E150" s="93" t="s">
        <v>1149</v>
      </c>
      <c r="F150" s="19" t="s">
        <v>1188</v>
      </c>
      <c r="G150" s="82" t="s">
        <v>1199</v>
      </c>
      <c r="H150" s="82" t="s">
        <v>83</v>
      </c>
      <c r="I150" s="82"/>
      <c r="J150" s="82"/>
      <c r="K150" s="82" t="s">
        <v>1797</v>
      </c>
      <c r="L150" s="82"/>
      <c r="M150" s="82"/>
      <c r="N150" s="119"/>
      <c r="O150" s="119"/>
      <c r="P150" s="82"/>
      <c r="Q150" s="82"/>
      <c r="R150" s="82"/>
      <c r="S150" s="82"/>
      <c r="T150" s="72" t="str" cm="1">
        <f t="array" ref="T150">IFERROR(INDEX(Products[[ProdCode]:[Product]],_xlfn.XMATCH(Products[[#This Row],[Parent]],Products[Product],0),2),Products[[#This Row],[Product]])</f>
        <v>Solar air forced convection heating</v>
      </c>
      <c r="U150" s="72" t="str" cm="1">
        <f t="array" ref="U150">IFERROR(INDEX(Products[[ProdCode]:[Product]],_xlfn.XMATCH(INDEX(Products[[Product]:[Parent]],_xlfn.XMATCH(Products[[#This Row],[L1N]],Products[Product],0),2),Products[ProdCode],0),2),Products[[#This Row],[L1N]])</f>
        <v>Solar air heating</v>
      </c>
      <c r="V150" s="72" t="str" cm="1">
        <f t="array" ref="V150">IFERROR(INDEX(Products[[ProdCode]:[Product]],_xlfn.XMATCH(INDEX(Products[[Product]:[Parent]],_xlfn.XMATCH(Products[[#This Row],[L2N]],Products[Product],0),2),Products[ProdCode],0),2),Products[[#This Row],[L2N]])</f>
        <v>Solar thermal energy</v>
      </c>
      <c r="W150" s="72" t="str" cm="1">
        <f t="array" ref="W150">IFERROR(INDEX(Products[[ProdCode]:[Product]],_xlfn.XMATCH(INDEX(Products[[Product]:[Parent]],_xlfn.XMATCH(Products[[#This Row],[L3N]],Products[Product],0),2),Products[ProdCode],0),2),Products[[#This Row],[L3N]])</f>
        <v>Solar energy</v>
      </c>
      <c r="X150" s="72" t="str" cm="1">
        <f t="array" ref="X150">IFERROR(INDEX(Products[[ProdCode]:[Product]],_xlfn.XMATCH(INDEX(Products[[Product]:[Parent]],_xlfn.XMATCH(Products[[#This Row],[L4N]],Products[Product],0),2),Products[ProdCode],0),2),Products[[#This Row],[L4N]])</f>
        <v>Renewable Energy</v>
      </c>
      <c r="Y150" s="72" t="str" cm="1">
        <f t="array" ref="Y150">IFERROR(INDEX(Products[[ProdCode]:[Product]],_xlfn.XMATCH(INDEX(Products[[Product]:[Parent]],_xlfn.XMATCH(Products[[#This Row],[L5N]],Products[Product],0),2),Products[ProdCode],0),2),Products[[#This Row],[L5N]])</f>
        <v>Energy</v>
      </c>
      <c r="Z150" s="72" t="str" cm="1">
        <f t="array" ref="Z150">IFERROR(INDEX(Products[[ProdCode]:[Product]],_xlfn.XMATCH(INDEX(Products[[Product]:[Parent]],_xlfn.XMATCH(Products[[#This Row],[L6N]],Products[Product],0),2),Products[ProdCode],0),2),Products[[#This Row],[L6N]])</f>
        <v>Energy</v>
      </c>
      <c r="AA150" s="72" t="str" cm="1">
        <f t="array" ref="AA150">IFERROR(INDEX(Products[[ProdCode]:[Product]],_xlfn.XMATCH(INDEX(Products[[Product]:[Parent]],_xlfn.XMATCH(Products[[#This Row],[L7N]],Products[Product],0),2),Products[ProdCode],0),2),Products[[#This Row],[L7N]])</f>
        <v>Energy</v>
      </c>
      <c r="AB15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5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5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air heating</v>
      </c>
      <c r="AG15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air forced convection heating</v>
      </c>
      <c r="AH15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air forced convection heating</v>
      </c>
      <c r="AI15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air forced convection heating</v>
      </c>
    </row>
    <row r="151" spans="2:35" x14ac:dyDescent="0.45">
      <c r="B151" s="107">
        <v>242330</v>
      </c>
      <c r="C151" s="88" t="s">
        <v>961</v>
      </c>
      <c r="D151" s="107">
        <v>242300</v>
      </c>
      <c r="E151" s="93" t="s">
        <v>1149</v>
      </c>
      <c r="F151" s="19" t="s">
        <v>1188</v>
      </c>
      <c r="G151" s="82" t="s">
        <v>1199</v>
      </c>
      <c r="H151" s="82" t="s">
        <v>83</v>
      </c>
      <c r="I151" s="82"/>
      <c r="J151" s="82"/>
      <c r="K151" s="82" t="s">
        <v>1796</v>
      </c>
      <c r="L151" s="82"/>
      <c r="M151" s="82"/>
      <c r="N151" s="119"/>
      <c r="O151" s="119"/>
      <c r="P151" s="82"/>
      <c r="Q151" s="82"/>
      <c r="R151" s="82"/>
      <c r="S151" s="82"/>
      <c r="T151" s="72" t="str" cm="1">
        <f t="array" ref="T151">IFERROR(INDEX(Products[[ProdCode]:[Product]],_xlfn.XMATCH(Products[[#This Row],[Parent]],Products[Product],0),2),Products[[#This Row],[Product]])</f>
        <v>Solar air radiative heating</v>
      </c>
      <c r="U151" s="72" t="str" cm="1">
        <f t="array" ref="U151">IFERROR(INDEX(Products[[ProdCode]:[Product]],_xlfn.XMATCH(INDEX(Products[[Product]:[Parent]],_xlfn.XMATCH(Products[[#This Row],[L1N]],Products[Product],0),2),Products[ProdCode],0),2),Products[[#This Row],[L1N]])</f>
        <v>Solar air heating</v>
      </c>
      <c r="V151" s="72" t="str" cm="1">
        <f t="array" ref="V151">IFERROR(INDEX(Products[[ProdCode]:[Product]],_xlfn.XMATCH(INDEX(Products[[Product]:[Parent]],_xlfn.XMATCH(Products[[#This Row],[L2N]],Products[Product],0),2),Products[ProdCode],0),2),Products[[#This Row],[L2N]])</f>
        <v>Solar thermal energy</v>
      </c>
      <c r="W151" s="72" t="str" cm="1">
        <f t="array" ref="W151">IFERROR(INDEX(Products[[ProdCode]:[Product]],_xlfn.XMATCH(INDEX(Products[[Product]:[Parent]],_xlfn.XMATCH(Products[[#This Row],[L3N]],Products[Product],0),2),Products[ProdCode],0),2),Products[[#This Row],[L3N]])</f>
        <v>Solar energy</v>
      </c>
      <c r="X151" s="72" t="str" cm="1">
        <f t="array" ref="X151">IFERROR(INDEX(Products[[ProdCode]:[Product]],_xlfn.XMATCH(INDEX(Products[[Product]:[Parent]],_xlfn.XMATCH(Products[[#This Row],[L4N]],Products[Product],0),2),Products[ProdCode],0),2),Products[[#This Row],[L4N]])</f>
        <v>Renewable Energy</v>
      </c>
      <c r="Y151" s="72" t="str" cm="1">
        <f t="array" ref="Y151">IFERROR(INDEX(Products[[ProdCode]:[Product]],_xlfn.XMATCH(INDEX(Products[[Product]:[Parent]],_xlfn.XMATCH(Products[[#This Row],[L5N]],Products[Product],0),2),Products[ProdCode],0),2),Products[[#This Row],[L5N]])</f>
        <v>Energy</v>
      </c>
      <c r="Z151" s="72" t="str" cm="1">
        <f t="array" ref="Z151">IFERROR(INDEX(Products[[ProdCode]:[Product]],_xlfn.XMATCH(INDEX(Products[[Product]:[Parent]],_xlfn.XMATCH(Products[[#This Row],[L6N]],Products[Product],0),2),Products[ProdCode],0),2),Products[[#This Row],[L6N]])</f>
        <v>Energy</v>
      </c>
      <c r="AA151" s="72" t="str" cm="1">
        <f t="array" ref="AA151">IFERROR(INDEX(Products[[ProdCode]:[Product]],_xlfn.XMATCH(INDEX(Products[[Product]:[Parent]],_xlfn.XMATCH(Products[[#This Row],[L7N]],Products[Product],0),2),Products[ProdCode],0),2),Products[[#This Row],[L7N]])</f>
        <v>Energy</v>
      </c>
      <c r="AB15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5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5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Solar air heating</v>
      </c>
      <c r="AG15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Solar air radiative heating</v>
      </c>
      <c r="AH15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Solar air radiative heating</v>
      </c>
      <c r="AI15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Solar air radiative heating</v>
      </c>
    </row>
    <row r="152" spans="2:35" x14ac:dyDescent="0.45">
      <c r="B152" s="106">
        <v>242900</v>
      </c>
      <c r="C152" s="85" t="s">
        <v>411</v>
      </c>
      <c r="D152" s="106">
        <v>242000</v>
      </c>
      <c r="E152" s="93" t="s">
        <v>1149</v>
      </c>
      <c r="F152" s="19" t="s">
        <v>1188</v>
      </c>
      <c r="G152" s="82" t="s">
        <v>53</v>
      </c>
      <c r="H152" s="82" t="s">
        <v>83</v>
      </c>
      <c r="I152" s="82"/>
      <c r="J152" s="82"/>
      <c r="K152" s="82" t="s">
        <v>1798</v>
      </c>
      <c r="L152" s="82" t="s">
        <v>1454</v>
      </c>
      <c r="M152" s="82"/>
      <c r="N152" s="119"/>
      <c r="O152" s="119"/>
      <c r="P152" s="82"/>
      <c r="Q152" s="82" t="s">
        <v>714</v>
      </c>
      <c r="R152" s="82"/>
      <c r="S152" s="82"/>
      <c r="T152" s="72" t="str" cm="1">
        <f t="array" ref="T152">IFERROR(INDEX(Products[[ProdCode]:[Product]],_xlfn.XMATCH(Products[[#This Row],[Parent]],Products[Product],0),2),Products[[#This Row],[Product]])</f>
        <v>Other solar thermal energy</v>
      </c>
      <c r="U152" s="72" t="str" cm="1">
        <f t="array" ref="U152">IFERROR(INDEX(Products[[ProdCode]:[Product]],_xlfn.XMATCH(INDEX(Products[[Product]:[Parent]],_xlfn.XMATCH(Products[[#This Row],[L1N]],Products[Product],0),2),Products[ProdCode],0),2),Products[[#This Row],[L1N]])</f>
        <v>Solar thermal energy</v>
      </c>
      <c r="V152" s="72" t="str" cm="1">
        <f t="array" ref="V152">IFERROR(INDEX(Products[[ProdCode]:[Product]],_xlfn.XMATCH(INDEX(Products[[Product]:[Parent]],_xlfn.XMATCH(Products[[#This Row],[L2N]],Products[Product],0),2),Products[ProdCode],0),2),Products[[#This Row],[L2N]])</f>
        <v>Solar energy</v>
      </c>
      <c r="W152" s="72" t="str" cm="1">
        <f t="array" ref="W152">IFERROR(INDEX(Products[[ProdCode]:[Product]],_xlfn.XMATCH(INDEX(Products[[Product]:[Parent]],_xlfn.XMATCH(Products[[#This Row],[L3N]],Products[Product],0),2),Products[ProdCode],0),2),Products[[#This Row],[L3N]])</f>
        <v>Renewable Energy</v>
      </c>
      <c r="X152" s="72" t="str" cm="1">
        <f t="array" ref="X152">IFERROR(INDEX(Products[[ProdCode]:[Product]],_xlfn.XMATCH(INDEX(Products[[Product]:[Parent]],_xlfn.XMATCH(Products[[#This Row],[L4N]],Products[Product],0),2),Products[ProdCode],0),2),Products[[#This Row],[L4N]])</f>
        <v>Energy</v>
      </c>
      <c r="Y152" s="72" t="str" cm="1">
        <f t="array" ref="Y152">IFERROR(INDEX(Products[[ProdCode]:[Product]],_xlfn.XMATCH(INDEX(Products[[Product]:[Parent]],_xlfn.XMATCH(Products[[#This Row],[L5N]],Products[Product],0),2),Products[ProdCode],0),2),Products[[#This Row],[L5N]])</f>
        <v>Energy</v>
      </c>
      <c r="Z152" s="72" t="str" cm="1">
        <f t="array" ref="Z152">IFERROR(INDEX(Products[[ProdCode]:[Product]],_xlfn.XMATCH(INDEX(Products[[Product]:[Parent]],_xlfn.XMATCH(Products[[#This Row],[L6N]],Products[Product],0),2),Products[ProdCode],0),2),Products[[#This Row],[L6N]])</f>
        <v>Energy</v>
      </c>
      <c r="AA152" s="72" t="str" cm="1">
        <f t="array" ref="AA152">IFERROR(INDEX(Products[[ProdCode]:[Product]],_xlfn.XMATCH(INDEX(Products[[Product]:[Parent]],_xlfn.XMATCH(Products[[#This Row],[L7N]],Products[Product],0),2),Products[ProdCode],0),2),Products[[#This Row],[L7N]])</f>
        <v>Energy</v>
      </c>
      <c r="AB15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Solar energy</v>
      </c>
      <c r="AE15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Solar thermal energy</v>
      </c>
      <c r="AF15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solar thermal energy</v>
      </c>
      <c r="AG15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solar thermal energy</v>
      </c>
      <c r="AH15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solar thermal energy</v>
      </c>
      <c r="AI15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solar thermal energy</v>
      </c>
    </row>
    <row r="153" spans="2:35" x14ac:dyDescent="0.45">
      <c r="B153" s="104">
        <v>250000</v>
      </c>
      <c r="C153" s="76" t="s">
        <v>683</v>
      </c>
      <c r="D153" s="104">
        <v>200000</v>
      </c>
      <c r="E153" s="93" t="s">
        <v>1149</v>
      </c>
      <c r="F153" s="19" t="s">
        <v>1188</v>
      </c>
      <c r="G153" s="82" t="s">
        <v>55</v>
      </c>
      <c r="H153" s="82" t="s">
        <v>65</v>
      </c>
      <c r="I153" s="82"/>
      <c r="J153" s="82"/>
      <c r="K153" s="82" t="s">
        <v>1015</v>
      </c>
      <c r="L153" s="82"/>
      <c r="M153" s="82"/>
      <c r="N153" s="119"/>
      <c r="O153" s="119"/>
      <c r="P153" s="82"/>
      <c r="Q153" s="82" t="s">
        <v>709</v>
      </c>
      <c r="R153" s="82"/>
      <c r="S153" s="82"/>
      <c r="T153" s="71" t="str" cm="1">
        <f t="array" ref="T153">IFERROR(INDEX(Products[[ProdCode]:[Product]],_xlfn.XMATCH(Products[[#This Row],[Parent]],Products[Product],0),2),Products[[#This Row],[Product]])</f>
        <v>Geothermal energy</v>
      </c>
      <c r="U153" s="71" t="str" cm="1">
        <f t="array" ref="U153">IFERROR(INDEX(Products[[ProdCode]:[Product]],_xlfn.XMATCH(INDEX(Products[[Product]:[Parent]],_xlfn.XMATCH(Products[[#This Row],[L1N]],Products[Product],0),2),Products[ProdCode],0),2),Products[[#This Row],[L1N]])</f>
        <v>Renewable Energy</v>
      </c>
      <c r="V153" s="71" t="str" cm="1">
        <f t="array" ref="V153">IFERROR(INDEX(Products[[ProdCode]:[Product]],_xlfn.XMATCH(INDEX(Products[[Product]:[Parent]],_xlfn.XMATCH(Products[[#This Row],[L2N]],Products[Product],0),2),Products[ProdCode],0),2),Products[[#This Row],[L2N]])</f>
        <v>Energy</v>
      </c>
      <c r="W153" s="71" t="str" cm="1">
        <f t="array" ref="W153">IFERROR(INDEX(Products[[ProdCode]:[Product]],_xlfn.XMATCH(INDEX(Products[[Product]:[Parent]],_xlfn.XMATCH(Products[[#This Row],[L3N]],Products[Product],0),2),Products[ProdCode],0),2),Products[[#This Row],[L3N]])</f>
        <v>Energy</v>
      </c>
      <c r="X153" s="71" t="str" cm="1">
        <f t="array" ref="X153">IFERROR(INDEX(Products[[ProdCode]:[Product]],_xlfn.XMATCH(INDEX(Products[[Product]:[Parent]],_xlfn.XMATCH(Products[[#This Row],[L4N]],Products[Product],0),2),Products[ProdCode],0),2),Products[[#This Row],[L4N]])</f>
        <v>Energy</v>
      </c>
      <c r="Y153" s="71" t="str" cm="1">
        <f t="array" ref="Y153">IFERROR(INDEX(Products[[ProdCode]:[Product]],_xlfn.XMATCH(INDEX(Products[[Product]:[Parent]],_xlfn.XMATCH(Products[[#This Row],[L5N]],Products[Product],0),2),Products[ProdCode],0),2),Products[[#This Row],[L5N]])</f>
        <v>Energy</v>
      </c>
      <c r="Z153" s="71" t="str" cm="1">
        <f t="array" ref="Z153">IFERROR(INDEX(Products[[ProdCode]:[Product]],_xlfn.XMATCH(INDEX(Products[[Product]:[Parent]],_xlfn.XMATCH(Products[[#This Row],[L6N]],Products[Product],0),2),Products[ProdCode],0),2),Products[[#This Row],[L6N]])</f>
        <v>Energy</v>
      </c>
      <c r="AA153" s="71" t="str" cm="1">
        <f t="array" ref="AA153">IFERROR(INDEX(Products[[ProdCode]:[Product]],_xlfn.XMATCH(INDEX(Products[[Product]:[Parent]],_xlfn.XMATCH(Products[[#This Row],[L7N]],Products[Product],0),2),Products[ProdCode],0),2),Products[[#This Row],[L7N]])</f>
        <v>Energy</v>
      </c>
      <c r="AB15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Geothermal energy</v>
      </c>
      <c r="AE15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Geothermal energy</v>
      </c>
      <c r="AF15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Geothermal energy</v>
      </c>
      <c r="AG15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Geothermal energy</v>
      </c>
      <c r="AH15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Geothermal energy</v>
      </c>
      <c r="AI15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Geothermal energy</v>
      </c>
    </row>
    <row r="154" spans="2:35" x14ac:dyDescent="0.45">
      <c r="B154" s="105">
        <v>251000</v>
      </c>
      <c r="C154" s="79" t="s">
        <v>962</v>
      </c>
      <c r="D154" s="105">
        <v>250000</v>
      </c>
      <c r="E154" s="93" t="s">
        <v>1149</v>
      </c>
      <c r="F154" s="19" t="s">
        <v>1188</v>
      </c>
      <c r="G154" s="82" t="s">
        <v>54</v>
      </c>
      <c r="H154" s="82" t="s">
        <v>83</v>
      </c>
      <c r="I154" s="82"/>
      <c r="J154" s="82"/>
      <c r="K154" s="82" t="s">
        <v>1419</v>
      </c>
      <c r="L154" s="82" t="s">
        <v>1940</v>
      </c>
      <c r="M154" s="82"/>
      <c r="N154" s="119"/>
      <c r="O154" s="119"/>
      <c r="P154" s="82"/>
      <c r="Q154" s="82" t="s">
        <v>709</v>
      </c>
      <c r="R154" s="82"/>
      <c r="S154" s="82"/>
      <c r="T154" s="71" t="str" cm="1">
        <f t="array" ref="T154">IFERROR(INDEX(Products[[ProdCode]:[Product]],_xlfn.XMATCH(Products[[#This Row],[Parent]],Products[Product],0),2),Products[[#This Row],[Product]])</f>
        <v>Geothermal heat and power</v>
      </c>
      <c r="U154" s="71" t="str" cm="1">
        <f t="array" ref="U154">IFERROR(INDEX(Products[[ProdCode]:[Product]],_xlfn.XMATCH(INDEX(Products[[Product]:[Parent]],_xlfn.XMATCH(Products[[#This Row],[L1N]],Products[Product],0),2),Products[ProdCode],0),2),Products[[#This Row],[L1N]])</f>
        <v>Geothermal energy</v>
      </c>
      <c r="V154" s="71" t="str" cm="1">
        <f t="array" ref="V154">IFERROR(INDEX(Products[[ProdCode]:[Product]],_xlfn.XMATCH(INDEX(Products[[Product]:[Parent]],_xlfn.XMATCH(Products[[#This Row],[L2N]],Products[Product],0),2),Products[ProdCode],0),2),Products[[#This Row],[L2N]])</f>
        <v>Renewable Energy</v>
      </c>
      <c r="W154" s="71" t="str" cm="1">
        <f t="array" ref="W154">IFERROR(INDEX(Products[[ProdCode]:[Product]],_xlfn.XMATCH(INDEX(Products[[Product]:[Parent]],_xlfn.XMATCH(Products[[#This Row],[L3N]],Products[Product],0),2),Products[ProdCode],0),2),Products[[#This Row],[L3N]])</f>
        <v>Energy</v>
      </c>
      <c r="X154" s="71" t="str" cm="1">
        <f t="array" ref="X154">IFERROR(INDEX(Products[[ProdCode]:[Product]],_xlfn.XMATCH(INDEX(Products[[Product]:[Parent]],_xlfn.XMATCH(Products[[#This Row],[L4N]],Products[Product],0),2),Products[ProdCode],0),2),Products[[#This Row],[L4N]])</f>
        <v>Energy</v>
      </c>
      <c r="Y154" s="71" t="str" cm="1">
        <f t="array" ref="Y154">IFERROR(INDEX(Products[[ProdCode]:[Product]],_xlfn.XMATCH(INDEX(Products[[Product]:[Parent]],_xlfn.XMATCH(Products[[#This Row],[L5N]],Products[Product],0),2),Products[ProdCode],0),2),Products[[#This Row],[L5N]])</f>
        <v>Energy</v>
      </c>
      <c r="Z154" s="71" t="str" cm="1">
        <f t="array" ref="Z154">IFERROR(INDEX(Products[[ProdCode]:[Product]],_xlfn.XMATCH(INDEX(Products[[Product]:[Parent]],_xlfn.XMATCH(Products[[#This Row],[L6N]],Products[Product],0),2),Products[ProdCode],0),2),Products[[#This Row],[L6N]])</f>
        <v>Energy</v>
      </c>
      <c r="AA154" s="71" t="str" cm="1">
        <f t="array" ref="AA154">IFERROR(INDEX(Products[[ProdCode]:[Product]],_xlfn.XMATCH(INDEX(Products[[Product]:[Parent]],_xlfn.XMATCH(Products[[#This Row],[L7N]],Products[Product],0),2),Products[ProdCode],0),2),Products[[#This Row],[L7N]])</f>
        <v>Energy</v>
      </c>
      <c r="AB15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Geothermal energy</v>
      </c>
      <c r="AE15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Geothermal heat and power</v>
      </c>
      <c r="AF15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Geothermal heat and power</v>
      </c>
      <c r="AG15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Geothermal heat and power</v>
      </c>
      <c r="AH15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Geothermal heat and power</v>
      </c>
      <c r="AI15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Geothermal heat and power</v>
      </c>
    </row>
    <row r="155" spans="2:35" x14ac:dyDescent="0.45">
      <c r="B155" s="105">
        <v>252000</v>
      </c>
      <c r="C155" s="79" t="s">
        <v>963</v>
      </c>
      <c r="D155" s="105">
        <v>250000</v>
      </c>
      <c r="E155" s="93" t="s">
        <v>1149</v>
      </c>
      <c r="F155" s="19" t="s">
        <v>1188</v>
      </c>
      <c r="G155" s="82" t="s">
        <v>54</v>
      </c>
      <c r="H155" s="82" t="s">
        <v>83</v>
      </c>
      <c r="I155" s="82"/>
      <c r="J155" s="82"/>
      <c r="K155" s="82" t="s">
        <v>1799</v>
      </c>
      <c r="L155" s="82" t="s">
        <v>1453</v>
      </c>
      <c r="M155" s="82"/>
      <c r="N155" s="119"/>
      <c r="O155" s="119"/>
      <c r="P155" s="82"/>
      <c r="Q155" s="82" t="s">
        <v>714</v>
      </c>
      <c r="R155" s="82"/>
      <c r="S155" s="82"/>
      <c r="T155" s="71" t="str" cm="1">
        <f t="array" ref="T155">IFERROR(INDEX(Products[[ProdCode]:[Product]],_xlfn.XMATCH(Products[[#This Row],[Parent]],Products[Product],0),2),Products[[#This Row],[Product]])</f>
        <v>Direct use of geothermal heat</v>
      </c>
      <c r="U155" s="71" t="str" cm="1">
        <f t="array" ref="U155">IFERROR(INDEX(Products[[ProdCode]:[Product]],_xlfn.XMATCH(INDEX(Products[[Product]:[Parent]],_xlfn.XMATCH(Products[[#This Row],[L1N]],Products[Product],0),2),Products[ProdCode],0),2),Products[[#This Row],[L1N]])</f>
        <v>Geothermal energy</v>
      </c>
      <c r="V155" s="71" t="str" cm="1">
        <f t="array" ref="V155">IFERROR(INDEX(Products[[ProdCode]:[Product]],_xlfn.XMATCH(INDEX(Products[[Product]:[Parent]],_xlfn.XMATCH(Products[[#This Row],[L2N]],Products[Product],0),2),Products[ProdCode],0),2),Products[[#This Row],[L2N]])</f>
        <v>Renewable Energy</v>
      </c>
      <c r="W155" s="71" t="str" cm="1">
        <f t="array" ref="W155">IFERROR(INDEX(Products[[ProdCode]:[Product]],_xlfn.XMATCH(INDEX(Products[[Product]:[Parent]],_xlfn.XMATCH(Products[[#This Row],[L3N]],Products[Product],0),2),Products[ProdCode],0),2),Products[[#This Row],[L3N]])</f>
        <v>Energy</v>
      </c>
      <c r="X155" s="71" t="str" cm="1">
        <f t="array" ref="X155">IFERROR(INDEX(Products[[ProdCode]:[Product]],_xlfn.XMATCH(INDEX(Products[[Product]:[Parent]],_xlfn.XMATCH(Products[[#This Row],[L4N]],Products[Product],0),2),Products[ProdCode],0),2),Products[[#This Row],[L4N]])</f>
        <v>Energy</v>
      </c>
      <c r="Y155" s="71" t="str" cm="1">
        <f t="array" ref="Y155">IFERROR(INDEX(Products[[ProdCode]:[Product]],_xlfn.XMATCH(INDEX(Products[[Product]:[Parent]],_xlfn.XMATCH(Products[[#This Row],[L5N]],Products[Product],0),2),Products[ProdCode],0),2),Products[[#This Row],[L5N]])</f>
        <v>Energy</v>
      </c>
      <c r="Z155" s="71" t="str" cm="1">
        <f t="array" ref="Z155">IFERROR(INDEX(Products[[ProdCode]:[Product]],_xlfn.XMATCH(INDEX(Products[[Product]:[Parent]],_xlfn.XMATCH(Products[[#This Row],[L6N]],Products[Product],0),2),Products[ProdCode],0),2),Products[[#This Row],[L6N]])</f>
        <v>Energy</v>
      </c>
      <c r="AA155" s="71" t="str" cm="1">
        <f t="array" ref="AA155">IFERROR(INDEX(Products[[ProdCode]:[Product]],_xlfn.XMATCH(INDEX(Products[[Product]:[Parent]],_xlfn.XMATCH(Products[[#This Row],[L7N]],Products[Product],0),2),Products[ProdCode],0),2),Products[[#This Row],[L7N]])</f>
        <v>Energy</v>
      </c>
      <c r="AB15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Geothermal energy</v>
      </c>
      <c r="AE15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Direct use of geothermal heat</v>
      </c>
      <c r="AF15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Direct use of geothermal heat</v>
      </c>
      <c r="AG15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Direct use of geothermal heat</v>
      </c>
      <c r="AH15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Direct use of geothermal heat</v>
      </c>
      <c r="AI15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Direct use of geothermal heat</v>
      </c>
    </row>
    <row r="156" spans="2:35" x14ac:dyDescent="0.45">
      <c r="B156" s="104">
        <v>260000</v>
      </c>
      <c r="C156" s="76" t="s">
        <v>447</v>
      </c>
      <c r="D156" s="104">
        <v>200000</v>
      </c>
      <c r="E156" s="93" t="s">
        <v>1149</v>
      </c>
      <c r="F156" s="19" t="s">
        <v>1188</v>
      </c>
      <c r="G156" s="82" t="s">
        <v>55</v>
      </c>
      <c r="H156" s="82" t="s">
        <v>65</v>
      </c>
      <c r="I156" s="82"/>
      <c r="J156" s="82"/>
      <c r="K156" s="82" t="s">
        <v>1012</v>
      </c>
      <c r="L156" s="82"/>
      <c r="M156" s="82"/>
      <c r="N156" s="119"/>
      <c r="O156" s="119"/>
      <c r="P156" s="82"/>
      <c r="Q156" s="82" t="s">
        <v>1242</v>
      </c>
      <c r="R156" s="82"/>
      <c r="S156" s="82"/>
      <c r="T156" s="71" t="str" cm="1">
        <f t="array" ref="T156">IFERROR(INDEX(Products[[ProdCode]:[Product]],_xlfn.XMATCH(Products[[#This Row],[Parent]],Products[Product],0),2),Products[[#This Row],[Product]])</f>
        <v>Bioenergy</v>
      </c>
      <c r="U156" s="71" t="str" cm="1">
        <f t="array" ref="U156">IFERROR(INDEX(Products[[ProdCode]:[Product]],_xlfn.XMATCH(INDEX(Products[[Product]:[Parent]],_xlfn.XMATCH(Products[[#This Row],[L1N]],Products[Product],0),2),Products[ProdCode],0),2),Products[[#This Row],[L1N]])</f>
        <v>Renewable Energy</v>
      </c>
      <c r="V156" s="71" t="str" cm="1">
        <f t="array" ref="V156">IFERROR(INDEX(Products[[ProdCode]:[Product]],_xlfn.XMATCH(INDEX(Products[[Product]:[Parent]],_xlfn.XMATCH(Products[[#This Row],[L2N]],Products[Product],0),2),Products[ProdCode],0),2),Products[[#This Row],[L2N]])</f>
        <v>Energy</v>
      </c>
      <c r="W156" s="71" t="str" cm="1">
        <f t="array" ref="W156">IFERROR(INDEX(Products[[ProdCode]:[Product]],_xlfn.XMATCH(INDEX(Products[[Product]:[Parent]],_xlfn.XMATCH(Products[[#This Row],[L3N]],Products[Product],0),2),Products[ProdCode],0),2),Products[[#This Row],[L3N]])</f>
        <v>Energy</v>
      </c>
      <c r="X156" s="71" t="str" cm="1">
        <f t="array" ref="X156">IFERROR(INDEX(Products[[ProdCode]:[Product]],_xlfn.XMATCH(INDEX(Products[[Product]:[Parent]],_xlfn.XMATCH(Products[[#This Row],[L4N]],Products[Product],0),2),Products[ProdCode],0),2),Products[[#This Row],[L4N]])</f>
        <v>Energy</v>
      </c>
      <c r="Y156" s="71" t="str" cm="1">
        <f t="array" ref="Y156">IFERROR(INDEX(Products[[ProdCode]:[Product]],_xlfn.XMATCH(INDEX(Products[[Product]:[Parent]],_xlfn.XMATCH(Products[[#This Row],[L5N]],Products[Product],0),2),Products[ProdCode],0),2),Products[[#This Row],[L5N]])</f>
        <v>Energy</v>
      </c>
      <c r="Z156" s="71" t="str" cm="1">
        <f t="array" ref="Z156">IFERROR(INDEX(Products[[ProdCode]:[Product]],_xlfn.XMATCH(INDEX(Products[[Product]:[Parent]],_xlfn.XMATCH(Products[[#This Row],[L6N]],Products[Product],0),2),Products[ProdCode],0),2),Products[[#This Row],[L6N]])</f>
        <v>Energy</v>
      </c>
      <c r="AA156" s="71" t="str" cm="1">
        <f t="array" ref="AA156">IFERROR(INDEX(Products[[ProdCode]:[Product]],_xlfn.XMATCH(INDEX(Products[[Product]:[Parent]],_xlfn.XMATCH(Products[[#This Row],[L7N]],Products[Product],0),2),Products[ProdCode],0),2),Products[[#This Row],[L7N]])</f>
        <v>Energy</v>
      </c>
      <c r="AB15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5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Bioenergy</v>
      </c>
      <c r="AF15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Bioenergy</v>
      </c>
      <c r="AG15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Bioenergy</v>
      </c>
      <c r="AH15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Bioenergy</v>
      </c>
      <c r="AI15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Bioenergy</v>
      </c>
    </row>
    <row r="157" spans="2:35" x14ac:dyDescent="0.45">
      <c r="B157" s="105">
        <v>261000</v>
      </c>
      <c r="C157" s="79" t="s">
        <v>463</v>
      </c>
      <c r="D157" s="105">
        <v>260000</v>
      </c>
      <c r="E157" s="93" t="s">
        <v>1149</v>
      </c>
      <c r="F157" s="19" t="s">
        <v>1188</v>
      </c>
      <c r="G157" s="82" t="s">
        <v>54</v>
      </c>
      <c r="H157" s="82" t="s">
        <v>65</v>
      </c>
      <c r="I157" s="82"/>
      <c r="J157" s="82"/>
      <c r="K157" s="82" t="s">
        <v>1617</v>
      </c>
      <c r="L157" s="82"/>
      <c r="M157" s="82"/>
      <c r="N157" s="119"/>
      <c r="O157" s="119"/>
      <c r="P157" s="82"/>
      <c r="Q157" s="82" t="s">
        <v>1242</v>
      </c>
      <c r="R157" s="82"/>
      <c r="S157" s="82"/>
      <c r="T157" s="71" t="str" cm="1">
        <f t="array" ref="T157">IFERROR(INDEX(Products[[ProdCode]:[Product]],_xlfn.XMATCH(Products[[#This Row],[Parent]],Products[Product],0),2),Products[[#This Row],[Product]])</f>
        <v>Solid biofuels</v>
      </c>
      <c r="U157" s="71" t="str" cm="1">
        <f t="array" ref="U157">IFERROR(INDEX(Products[[ProdCode]:[Product]],_xlfn.XMATCH(INDEX(Products[[Product]:[Parent]],_xlfn.XMATCH(Products[[#This Row],[L1N]],Products[Product],0),2),Products[ProdCode],0),2),Products[[#This Row],[L1N]])</f>
        <v>Bioenergy</v>
      </c>
      <c r="V157" s="71" t="str" cm="1">
        <f t="array" ref="V157">IFERROR(INDEX(Products[[ProdCode]:[Product]],_xlfn.XMATCH(INDEX(Products[[Product]:[Parent]],_xlfn.XMATCH(Products[[#This Row],[L2N]],Products[Product],0),2),Products[ProdCode],0),2),Products[[#This Row],[L2N]])</f>
        <v>Renewable Energy</v>
      </c>
      <c r="W157" s="71" t="str" cm="1">
        <f t="array" ref="W157">IFERROR(INDEX(Products[[ProdCode]:[Product]],_xlfn.XMATCH(INDEX(Products[[Product]:[Parent]],_xlfn.XMATCH(Products[[#This Row],[L3N]],Products[Product],0),2),Products[ProdCode],0),2),Products[[#This Row],[L3N]])</f>
        <v>Energy</v>
      </c>
      <c r="X157" s="71" t="str" cm="1">
        <f t="array" ref="X157">IFERROR(INDEX(Products[[ProdCode]:[Product]],_xlfn.XMATCH(INDEX(Products[[Product]:[Parent]],_xlfn.XMATCH(Products[[#This Row],[L4N]],Products[Product],0),2),Products[ProdCode],0),2),Products[[#This Row],[L4N]])</f>
        <v>Energy</v>
      </c>
      <c r="Y157" s="71" t="str" cm="1">
        <f t="array" ref="Y157">IFERROR(INDEX(Products[[ProdCode]:[Product]],_xlfn.XMATCH(INDEX(Products[[Product]:[Parent]],_xlfn.XMATCH(Products[[#This Row],[L5N]],Products[Product],0),2),Products[ProdCode],0),2),Products[[#This Row],[L5N]])</f>
        <v>Energy</v>
      </c>
      <c r="Z157" s="71" t="str" cm="1">
        <f t="array" ref="Z157">IFERROR(INDEX(Products[[ProdCode]:[Product]],_xlfn.XMATCH(INDEX(Products[[Product]:[Parent]],_xlfn.XMATCH(Products[[#This Row],[L6N]],Products[Product],0),2),Products[ProdCode],0),2),Products[[#This Row],[L6N]])</f>
        <v>Energy</v>
      </c>
      <c r="AA157" s="71" t="str" cm="1">
        <f t="array" ref="AA157">IFERROR(INDEX(Products[[ProdCode]:[Product]],_xlfn.XMATCH(INDEX(Products[[Product]:[Parent]],_xlfn.XMATCH(Products[[#This Row],[L7N]],Products[Product],0),2),Products[ProdCode],0),2),Products[[#This Row],[L7N]])</f>
        <v>Energy</v>
      </c>
      <c r="AB15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5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5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Solid biofuels</v>
      </c>
      <c r="AG15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Solid biofuels</v>
      </c>
      <c r="AH15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Solid biofuels</v>
      </c>
      <c r="AI15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Solid biofuels</v>
      </c>
    </row>
    <row r="158" spans="2:35" x14ac:dyDescent="0.45">
      <c r="B158" s="106">
        <v>261100</v>
      </c>
      <c r="C158" s="85" t="s">
        <v>964</v>
      </c>
      <c r="D158" s="106">
        <v>261000</v>
      </c>
      <c r="E158" s="93" t="s">
        <v>1149</v>
      </c>
      <c r="F158" s="19" t="s">
        <v>1188</v>
      </c>
      <c r="G158" s="82" t="s">
        <v>53</v>
      </c>
      <c r="H158" s="82" t="s">
        <v>65</v>
      </c>
      <c r="I158" s="82"/>
      <c r="J158" s="82"/>
      <c r="K158" s="82" t="s">
        <v>1618</v>
      </c>
      <c r="L158" s="82"/>
      <c r="M158" s="82"/>
      <c r="N158" s="119"/>
      <c r="O158" s="119"/>
      <c r="P158" s="82"/>
      <c r="Q158" s="82" t="s">
        <v>1242</v>
      </c>
      <c r="R158" s="82"/>
      <c r="S158" s="82"/>
      <c r="T158" s="71" t="str" cm="1">
        <f t="array" ref="T158">IFERROR(INDEX(Products[[ProdCode]:[Product]],_xlfn.XMATCH(Products[[#This Row],[Parent]],Products[Product],0),2),Products[[#This Row],[Product]])</f>
        <v>Harvested biomass</v>
      </c>
      <c r="U158" s="71" t="str" cm="1">
        <f t="array" ref="U158">IFERROR(INDEX(Products[[ProdCode]:[Product]],_xlfn.XMATCH(INDEX(Products[[Product]:[Parent]],_xlfn.XMATCH(Products[[#This Row],[L1N]],Products[Product],0),2),Products[ProdCode],0),2),Products[[#This Row],[L1N]])</f>
        <v>Solid biofuels</v>
      </c>
      <c r="V158" s="71" t="str" cm="1">
        <f t="array" ref="V158">IFERROR(INDEX(Products[[ProdCode]:[Product]],_xlfn.XMATCH(INDEX(Products[[Product]:[Parent]],_xlfn.XMATCH(Products[[#This Row],[L2N]],Products[Product],0),2),Products[ProdCode],0),2),Products[[#This Row],[L2N]])</f>
        <v>Bioenergy</v>
      </c>
      <c r="W158" s="71" t="str" cm="1">
        <f t="array" ref="W158">IFERROR(INDEX(Products[[ProdCode]:[Product]],_xlfn.XMATCH(INDEX(Products[[Product]:[Parent]],_xlfn.XMATCH(Products[[#This Row],[L3N]],Products[Product],0),2),Products[ProdCode],0),2),Products[[#This Row],[L3N]])</f>
        <v>Renewable Energy</v>
      </c>
      <c r="X158" s="71" t="str" cm="1">
        <f t="array" ref="X158">IFERROR(INDEX(Products[[ProdCode]:[Product]],_xlfn.XMATCH(INDEX(Products[[Product]:[Parent]],_xlfn.XMATCH(Products[[#This Row],[L4N]],Products[Product],0),2),Products[ProdCode],0),2),Products[[#This Row],[L4N]])</f>
        <v>Energy</v>
      </c>
      <c r="Y158" s="71" t="str" cm="1">
        <f t="array" ref="Y158">IFERROR(INDEX(Products[[ProdCode]:[Product]],_xlfn.XMATCH(INDEX(Products[[Product]:[Parent]],_xlfn.XMATCH(Products[[#This Row],[L5N]],Products[Product],0),2),Products[ProdCode],0),2),Products[[#This Row],[L5N]])</f>
        <v>Energy</v>
      </c>
      <c r="Z158" s="71" t="str" cm="1">
        <f t="array" ref="Z158">IFERROR(INDEX(Products[[ProdCode]:[Product]],_xlfn.XMATCH(INDEX(Products[[Product]:[Parent]],_xlfn.XMATCH(Products[[#This Row],[L6N]],Products[Product],0),2),Products[ProdCode],0),2),Products[[#This Row],[L6N]])</f>
        <v>Energy</v>
      </c>
      <c r="AA158" s="71" t="str" cm="1">
        <f t="array" ref="AA158">IFERROR(INDEX(Products[[ProdCode]:[Product]],_xlfn.XMATCH(INDEX(Products[[Product]:[Parent]],_xlfn.XMATCH(Products[[#This Row],[L7N]],Products[Product],0),2),Products[ProdCode],0),2),Products[[#This Row],[L7N]])</f>
        <v>Energy</v>
      </c>
      <c r="AB15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5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5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5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Harvested biomass</v>
      </c>
      <c r="AH15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Harvested biomass</v>
      </c>
      <c r="AI15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Harvested biomass</v>
      </c>
    </row>
    <row r="159" spans="2:35" x14ac:dyDescent="0.45">
      <c r="B159" s="107">
        <v>261110</v>
      </c>
      <c r="C159" s="88" t="s">
        <v>471</v>
      </c>
      <c r="D159" s="107">
        <v>261100</v>
      </c>
      <c r="E159" s="93" t="s">
        <v>1149</v>
      </c>
      <c r="F159" s="19" t="s">
        <v>1188</v>
      </c>
      <c r="G159" s="82" t="s">
        <v>1199</v>
      </c>
      <c r="H159" s="82" t="s">
        <v>83</v>
      </c>
      <c r="I159" s="82"/>
      <c r="J159" s="82"/>
      <c r="K159" s="82" t="s">
        <v>1380</v>
      </c>
      <c r="L159" s="82" t="s">
        <v>1941</v>
      </c>
      <c r="M159" s="82">
        <v>9.1349999999999998</v>
      </c>
      <c r="N159" s="119">
        <v>0.5</v>
      </c>
      <c r="O159" s="119"/>
      <c r="P159" s="82"/>
      <c r="Q159" s="82" t="s">
        <v>1242</v>
      </c>
      <c r="R159" s="82"/>
      <c r="S159" s="82"/>
      <c r="T159" s="72" t="str" cm="1">
        <f t="array" ref="T159">IFERROR(INDEX(Products[[ProdCode]:[Product]],_xlfn.XMATCH(Products[[#This Row],[Parent]],Products[Product],0),2),Products[[#This Row],[Product]])</f>
        <v>Wood fuel</v>
      </c>
      <c r="U159" s="72" t="str" cm="1">
        <f t="array" ref="U159">IFERROR(INDEX(Products[[ProdCode]:[Product]],_xlfn.XMATCH(INDEX(Products[[Product]:[Parent]],_xlfn.XMATCH(Products[[#This Row],[L1N]],Products[Product],0),2),Products[ProdCode],0),2),Products[[#This Row],[L1N]])</f>
        <v>Harvested biomass</v>
      </c>
      <c r="V159" s="72" t="str" cm="1">
        <f t="array" ref="V159">IFERROR(INDEX(Products[[ProdCode]:[Product]],_xlfn.XMATCH(INDEX(Products[[Product]:[Parent]],_xlfn.XMATCH(Products[[#This Row],[L2N]],Products[Product],0),2),Products[ProdCode],0),2),Products[[#This Row],[L2N]])</f>
        <v>Solid biofuels</v>
      </c>
      <c r="W159" s="72" t="str" cm="1">
        <f t="array" ref="W159">IFERROR(INDEX(Products[[ProdCode]:[Product]],_xlfn.XMATCH(INDEX(Products[[Product]:[Parent]],_xlfn.XMATCH(Products[[#This Row],[L3N]],Products[Product],0),2),Products[ProdCode],0),2),Products[[#This Row],[L3N]])</f>
        <v>Bioenergy</v>
      </c>
      <c r="X159" s="72" t="str" cm="1">
        <f t="array" ref="X159">IFERROR(INDEX(Products[[ProdCode]:[Product]],_xlfn.XMATCH(INDEX(Products[[Product]:[Parent]],_xlfn.XMATCH(Products[[#This Row],[L4N]],Products[Product],0),2),Products[ProdCode],0),2),Products[[#This Row],[L4N]])</f>
        <v>Renewable Energy</v>
      </c>
      <c r="Y159" s="72" t="str" cm="1">
        <f t="array" ref="Y159">IFERROR(INDEX(Products[[ProdCode]:[Product]],_xlfn.XMATCH(INDEX(Products[[Product]:[Parent]],_xlfn.XMATCH(Products[[#This Row],[L5N]],Products[Product],0),2),Products[ProdCode],0),2),Products[[#This Row],[L5N]])</f>
        <v>Energy</v>
      </c>
      <c r="Z159" s="72" t="str" cm="1">
        <f t="array" ref="Z159">IFERROR(INDEX(Products[[ProdCode]:[Product]],_xlfn.XMATCH(INDEX(Products[[Product]:[Parent]],_xlfn.XMATCH(Products[[#This Row],[L6N]],Products[Product],0),2),Products[ProdCode],0),2),Products[[#This Row],[L6N]])</f>
        <v>Energy</v>
      </c>
      <c r="AA159" s="72" t="str" cm="1">
        <f t="array" ref="AA159">IFERROR(INDEX(Products[[ProdCode]:[Product]],_xlfn.XMATCH(INDEX(Products[[Product]:[Parent]],_xlfn.XMATCH(Products[[#This Row],[L7N]],Products[Product],0),2),Products[ProdCode],0),2),Products[[#This Row],[L7N]])</f>
        <v>Energy</v>
      </c>
      <c r="AB15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5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5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5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5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5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Wood fuel</v>
      </c>
      <c r="AH15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Wood fuel</v>
      </c>
      <c r="AI15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Wood fuel</v>
      </c>
    </row>
    <row r="160" spans="2:35" x14ac:dyDescent="0.45">
      <c r="B160" s="107">
        <v>261120</v>
      </c>
      <c r="C160" s="88" t="s">
        <v>480</v>
      </c>
      <c r="D160" s="107">
        <v>261100</v>
      </c>
      <c r="E160" s="93" t="s">
        <v>1149</v>
      </c>
      <c r="F160" s="19" t="s">
        <v>1188</v>
      </c>
      <c r="G160" s="82" t="s">
        <v>1199</v>
      </c>
      <c r="H160" s="82" t="s">
        <v>83</v>
      </c>
      <c r="I160" s="82"/>
      <c r="J160" s="82"/>
      <c r="K160" s="82" t="s">
        <v>1420</v>
      </c>
      <c r="L160" s="82"/>
      <c r="M160" s="82"/>
      <c r="N160" s="119"/>
      <c r="O160" s="119"/>
      <c r="P160" s="82"/>
      <c r="Q160" s="82" t="s">
        <v>1242</v>
      </c>
      <c r="R160" s="82"/>
      <c r="S160" s="82"/>
      <c r="T160" s="72" t="str" cm="1">
        <f t="array" ref="T160">IFERROR(INDEX(Products[[ProdCode]:[Product]],_xlfn.XMATCH(Products[[#This Row],[Parent]],Products[Product],0),2),Products[[#This Row],[Product]])</f>
        <v>Energy crops</v>
      </c>
      <c r="U160" s="72" t="str" cm="1">
        <f t="array" ref="U160">IFERROR(INDEX(Products[[ProdCode]:[Product]],_xlfn.XMATCH(INDEX(Products[[Product]:[Parent]],_xlfn.XMATCH(Products[[#This Row],[L1N]],Products[Product],0),2),Products[ProdCode],0),2),Products[[#This Row],[L1N]])</f>
        <v>Harvested biomass</v>
      </c>
      <c r="V160" s="72" t="str" cm="1">
        <f t="array" ref="V160">IFERROR(INDEX(Products[[ProdCode]:[Product]],_xlfn.XMATCH(INDEX(Products[[Product]:[Parent]],_xlfn.XMATCH(Products[[#This Row],[L2N]],Products[Product],0),2),Products[ProdCode],0),2),Products[[#This Row],[L2N]])</f>
        <v>Solid biofuels</v>
      </c>
      <c r="W160" s="72" t="str" cm="1">
        <f t="array" ref="W160">IFERROR(INDEX(Products[[ProdCode]:[Product]],_xlfn.XMATCH(INDEX(Products[[Product]:[Parent]],_xlfn.XMATCH(Products[[#This Row],[L3N]],Products[Product],0),2),Products[ProdCode],0),2),Products[[#This Row],[L3N]])</f>
        <v>Bioenergy</v>
      </c>
      <c r="X160" s="72" t="str" cm="1">
        <f t="array" ref="X160">IFERROR(INDEX(Products[[ProdCode]:[Product]],_xlfn.XMATCH(INDEX(Products[[Product]:[Parent]],_xlfn.XMATCH(Products[[#This Row],[L4N]],Products[Product],0),2),Products[ProdCode],0),2),Products[[#This Row],[L4N]])</f>
        <v>Renewable Energy</v>
      </c>
      <c r="Y160" s="72" t="str" cm="1">
        <f t="array" ref="Y160">IFERROR(INDEX(Products[[ProdCode]:[Product]],_xlfn.XMATCH(INDEX(Products[[Product]:[Parent]],_xlfn.XMATCH(Products[[#This Row],[L5N]],Products[Product],0),2),Products[ProdCode],0),2),Products[[#This Row],[L5N]])</f>
        <v>Energy</v>
      </c>
      <c r="Z160" s="72" t="str" cm="1">
        <f t="array" ref="Z160">IFERROR(INDEX(Products[[ProdCode]:[Product]],_xlfn.XMATCH(INDEX(Products[[Product]:[Parent]],_xlfn.XMATCH(Products[[#This Row],[L6N]],Products[Product],0),2),Products[ProdCode],0),2),Products[[#This Row],[L6N]])</f>
        <v>Energy</v>
      </c>
      <c r="AA160" s="72" t="str" cm="1">
        <f t="array" ref="AA160">IFERROR(INDEX(Products[[ProdCode]:[Product]],_xlfn.XMATCH(INDEX(Products[[Product]:[Parent]],_xlfn.XMATCH(Products[[#This Row],[L7N]],Products[Product],0),2),Products[ProdCode],0),2),Products[[#This Row],[L7N]])</f>
        <v>Energy</v>
      </c>
      <c r="AB16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Energy crops</v>
      </c>
      <c r="AI16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Energy crops</v>
      </c>
    </row>
    <row r="161" spans="2:35" x14ac:dyDescent="0.45">
      <c r="B161" s="108">
        <v>261121</v>
      </c>
      <c r="C161" s="91" t="s">
        <v>1813</v>
      </c>
      <c r="D161" s="108">
        <v>261120</v>
      </c>
      <c r="E161" s="93" t="s">
        <v>1149</v>
      </c>
      <c r="F161" s="19" t="s">
        <v>1188</v>
      </c>
      <c r="G161" s="82" t="s">
        <v>1200</v>
      </c>
      <c r="H161" s="82" t="s">
        <v>65</v>
      </c>
      <c r="I161" s="82"/>
      <c r="J161" s="82"/>
      <c r="K161" s="82" t="s">
        <v>1815</v>
      </c>
      <c r="L161" s="82"/>
      <c r="M161" s="82"/>
      <c r="N161" s="119"/>
      <c r="O161" s="119"/>
      <c r="P161" s="82"/>
      <c r="Q161" s="82" t="s">
        <v>1242</v>
      </c>
      <c r="R161" s="82"/>
      <c r="S161" s="82"/>
      <c r="T161" s="72" t="str" cm="1">
        <f t="array" ref="T161">IFERROR(INDEX(Products[[ProdCode]:[Product]],_xlfn.XMATCH(Products[[#This Row],[Parent]],Products[Product],0),2),Products[[#This Row],[Product]])</f>
        <v>Perennial grass</v>
      </c>
      <c r="U161" s="72" t="str" cm="1">
        <f t="array" ref="U161">IFERROR(INDEX(Products[[ProdCode]:[Product]],_xlfn.XMATCH(INDEX(Products[[Product]:[Parent]],_xlfn.XMATCH(Products[[#This Row],[L1N]],Products[Product],0),2),Products[ProdCode],0),2),Products[[#This Row],[L1N]])</f>
        <v>Energy crops</v>
      </c>
      <c r="V161" s="72" t="str" cm="1">
        <f t="array" ref="V161">IFERROR(INDEX(Products[[ProdCode]:[Product]],_xlfn.XMATCH(INDEX(Products[[Product]:[Parent]],_xlfn.XMATCH(Products[[#This Row],[L2N]],Products[Product],0),2),Products[ProdCode],0),2),Products[[#This Row],[L2N]])</f>
        <v>Harvested biomass</v>
      </c>
      <c r="W161" s="72" t="str" cm="1">
        <f t="array" ref="W161">IFERROR(INDEX(Products[[ProdCode]:[Product]],_xlfn.XMATCH(INDEX(Products[[Product]:[Parent]],_xlfn.XMATCH(Products[[#This Row],[L3N]],Products[Product],0),2),Products[ProdCode],0),2),Products[[#This Row],[L3N]])</f>
        <v>Solid biofuels</v>
      </c>
      <c r="X161" s="72" t="str" cm="1">
        <f t="array" ref="X161">IFERROR(INDEX(Products[[ProdCode]:[Product]],_xlfn.XMATCH(INDEX(Products[[Product]:[Parent]],_xlfn.XMATCH(Products[[#This Row],[L4N]],Products[Product],0),2),Products[ProdCode],0),2),Products[[#This Row],[L4N]])</f>
        <v>Bioenergy</v>
      </c>
      <c r="Y161" s="72" t="str" cm="1">
        <f t="array" ref="Y161">IFERROR(INDEX(Products[[ProdCode]:[Product]],_xlfn.XMATCH(INDEX(Products[[Product]:[Parent]],_xlfn.XMATCH(Products[[#This Row],[L5N]],Products[Product],0),2),Products[ProdCode],0),2),Products[[#This Row],[L5N]])</f>
        <v>Renewable Energy</v>
      </c>
      <c r="Z161" s="71" t="str" cm="1">
        <f t="array" ref="Z161">IFERROR(INDEX(Products[[ProdCode]:[Product]],_xlfn.XMATCH(INDEX(Products[[Product]:[Parent]],_xlfn.XMATCH(Products[[#This Row],[L6N]],Products[Product],0),2),Products[ProdCode],0),2),Products[[#This Row],[L6N]])</f>
        <v>Energy</v>
      </c>
      <c r="AA161" s="71" t="str" cm="1">
        <f t="array" ref="AA161">IFERROR(INDEX(Products[[ProdCode]:[Product]],_xlfn.XMATCH(INDEX(Products[[Product]:[Parent]],_xlfn.XMATCH(Products[[#This Row],[L7N]],Products[Product],0),2),Products[ProdCode],0),2),Products[[#This Row],[L7N]])</f>
        <v>Energy</v>
      </c>
      <c r="AB16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Perennial grass</v>
      </c>
      <c r="AI16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Perennial grass</v>
      </c>
    </row>
    <row r="162" spans="2:35" x14ac:dyDescent="0.45">
      <c r="B162" s="108">
        <v>261122</v>
      </c>
      <c r="C162" s="91" t="s">
        <v>1814</v>
      </c>
      <c r="D162" s="108">
        <v>261120</v>
      </c>
      <c r="E162" s="93" t="s">
        <v>1149</v>
      </c>
      <c r="F162" s="19" t="s">
        <v>1188</v>
      </c>
      <c r="G162" s="82" t="s">
        <v>1200</v>
      </c>
      <c r="H162" s="82" t="s">
        <v>65</v>
      </c>
      <c r="I162" s="82"/>
      <c r="J162" s="82"/>
      <c r="K162" s="82" t="s">
        <v>1816</v>
      </c>
      <c r="L162" s="82"/>
      <c r="M162" s="82"/>
      <c r="N162" s="119"/>
      <c r="O162" s="119"/>
      <c r="P162" s="82"/>
      <c r="Q162" s="82" t="s">
        <v>1242</v>
      </c>
      <c r="R162" s="82"/>
      <c r="S162" s="82"/>
      <c r="T162" s="72" t="str" cm="1">
        <f t="array" ref="T162">IFERROR(INDEX(Products[[ProdCode]:[Product]],_xlfn.XMATCH(Products[[#This Row],[Parent]],Products[Product],0),2),Products[[#This Row],[Product]])</f>
        <v>Fast-growing trees</v>
      </c>
      <c r="U162" s="72" t="str" cm="1">
        <f t="array" ref="U162">IFERROR(INDEX(Products[[ProdCode]:[Product]],_xlfn.XMATCH(INDEX(Products[[Product]:[Parent]],_xlfn.XMATCH(Products[[#This Row],[L1N]],Products[Product],0),2),Products[ProdCode],0),2),Products[[#This Row],[L1N]])</f>
        <v>Energy crops</v>
      </c>
      <c r="V162" s="72" t="str" cm="1">
        <f t="array" ref="V162">IFERROR(INDEX(Products[[ProdCode]:[Product]],_xlfn.XMATCH(INDEX(Products[[Product]:[Parent]],_xlfn.XMATCH(Products[[#This Row],[L2N]],Products[Product],0),2),Products[ProdCode],0),2),Products[[#This Row],[L2N]])</f>
        <v>Harvested biomass</v>
      </c>
      <c r="W162" s="72" t="str" cm="1">
        <f t="array" ref="W162">IFERROR(INDEX(Products[[ProdCode]:[Product]],_xlfn.XMATCH(INDEX(Products[[Product]:[Parent]],_xlfn.XMATCH(Products[[#This Row],[L3N]],Products[Product],0),2),Products[ProdCode],0),2),Products[[#This Row],[L3N]])</f>
        <v>Solid biofuels</v>
      </c>
      <c r="X162" s="72" t="str" cm="1">
        <f t="array" ref="X162">IFERROR(INDEX(Products[[ProdCode]:[Product]],_xlfn.XMATCH(INDEX(Products[[Product]:[Parent]],_xlfn.XMATCH(Products[[#This Row],[L4N]],Products[Product],0),2),Products[ProdCode],0),2),Products[[#This Row],[L4N]])</f>
        <v>Bioenergy</v>
      </c>
      <c r="Y162" s="72" t="str" cm="1">
        <f t="array" ref="Y162">IFERROR(INDEX(Products[[ProdCode]:[Product]],_xlfn.XMATCH(INDEX(Products[[Product]:[Parent]],_xlfn.XMATCH(Products[[#This Row],[L5N]],Products[Product],0),2),Products[ProdCode],0),2),Products[[#This Row],[L5N]])</f>
        <v>Renewable Energy</v>
      </c>
      <c r="Z162" s="71" t="str" cm="1">
        <f t="array" ref="Z162">IFERROR(INDEX(Products[[ProdCode]:[Product]],_xlfn.XMATCH(INDEX(Products[[Product]:[Parent]],_xlfn.XMATCH(Products[[#This Row],[L6N]],Products[Product],0),2),Products[ProdCode],0),2),Products[[#This Row],[L6N]])</f>
        <v>Energy</v>
      </c>
      <c r="AA162" s="71" t="str" cm="1">
        <f t="array" ref="AA162">IFERROR(INDEX(Products[[ProdCode]:[Product]],_xlfn.XMATCH(INDEX(Products[[Product]:[Parent]],_xlfn.XMATCH(Products[[#This Row],[L7N]],Products[Product],0),2),Products[ProdCode],0),2),Products[[#This Row],[L7N]])</f>
        <v>Energy</v>
      </c>
      <c r="AB16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Fast-growing trees</v>
      </c>
      <c r="AI16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Fast-growing trees</v>
      </c>
    </row>
    <row r="163" spans="2:35" x14ac:dyDescent="0.45">
      <c r="B163" s="108">
        <v>261123</v>
      </c>
      <c r="C163" s="91" t="s">
        <v>1817</v>
      </c>
      <c r="D163" s="108">
        <v>261120</v>
      </c>
      <c r="E163" s="93" t="s">
        <v>1149</v>
      </c>
      <c r="F163" s="19" t="s">
        <v>1188</v>
      </c>
      <c r="G163" s="82" t="s">
        <v>1200</v>
      </c>
      <c r="H163" s="82" t="s">
        <v>65</v>
      </c>
      <c r="I163" s="82"/>
      <c r="J163" s="82"/>
      <c r="K163" s="82" t="s">
        <v>1820</v>
      </c>
      <c r="L163" s="82"/>
      <c r="M163" s="82"/>
      <c r="N163" s="119"/>
      <c r="O163" s="119"/>
      <c r="P163" s="82"/>
      <c r="Q163" s="82" t="s">
        <v>1242</v>
      </c>
      <c r="R163" s="82"/>
      <c r="S163" s="82"/>
      <c r="T163" s="72" t="str" cm="1">
        <f t="array" ref="T163">IFERROR(INDEX(Products[[ProdCode]:[Product]],_xlfn.XMATCH(Products[[#This Row],[Parent]],Products[Product],0),2),Products[[#This Row],[Product]])</f>
        <v>Microalgae</v>
      </c>
      <c r="U163" s="72" t="str" cm="1">
        <f t="array" ref="U163">IFERROR(INDEX(Products[[ProdCode]:[Product]],_xlfn.XMATCH(INDEX(Products[[Product]:[Parent]],_xlfn.XMATCH(Products[[#This Row],[L1N]],Products[Product],0),2),Products[ProdCode],0),2),Products[[#This Row],[L1N]])</f>
        <v>Energy crops</v>
      </c>
      <c r="V163" s="72" t="str" cm="1">
        <f t="array" ref="V163">IFERROR(INDEX(Products[[ProdCode]:[Product]],_xlfn.XMATCH(INDEX(Products[[Product]:[Parent]],_xlfn.XMATCH(Products[[#This Row],[L2N]],Products[Product],0),2),Products[ProdCode],0),2),Products[[#This Row],[L2N]])</f>
        <v>Harvested biomass</v>
      </c>
      <c r="W163" s="72" t="str" cm="1">
        <f t="array" ref="W163">IFERROR(INDEX(Products[[ProdCode]:[Product]],_xlfn.XMATCH(INDEX(Products[[Product]:[Parent]],_xlfn.XMATCH(Products[[#This Row],[L3N]],Products[Product],0),2),Products[ProdCode],0),2),Products[[#This Row],[L3N]])</f>
        <v>Solid biofuels</v>
      </c>
      <c r="X163" s="72" t="str" cm="1">
        <f t="array" ref="X163">IFERROR(INDEX(Products[[ProdCode]:[Product]],_xlfn.XMATCH(INDEX(Products[[Product]:[Parent]],_xlfn.XMATCH(Products[[#This Row],[L4N]],Products[Product],0),2),Products[ProdCode],0),2),Products[[#This Row],[L4N]])</f>
        <v>Bioenergy</v>
      </c>
      <c r="Y163" s="72" t="str" cm="1">
        <f t="array" ref="Y163">IFERROR(INDEX(Products[[ProdCode]:[Product]],_xlfn.XMATCH(INDEX(Products[[Product]:[Parent]],_xlfn.XMATCH(Products[[#This Row],[L5N]],Products[Product],0),2),Products[ProdCode],0),2),Products[[#This Row],[L5N]])</f>
        <v>Renewable Energy</v>
      </c>
      <c r="Z163" s="71" t="str" cm="1">
        <f t="array" ref="Z163">IFERROR(INDEX(Products[[ProdCode]:[Product]],_xlfn.XMATCH(INDEX(Products[[Product]:[Parent]],_xlfn.XMATCH(Products[[#This Row],[L6N]],Products[Product],0),2),Products[ProdCode],0),2),Products[[#This Row],[L6N]])</f>
        <v>Energy</v>
      </c>
      <c r="AA163" s="71" t="str" cm="1">
        <f t="array" ref="AA163">IFERROR(INDEX(Products[[ProdCode]:[Product]],_xlfn.XMATCH(INDEX(Products[[Product]:[Parent]],_xlfn.XMATCH(Products[[#This Row],[L7N]],Products[Product],0),2),Products[ProdCode],0),2),Products[[#This Row],[L7N]])</f>
        <v>Energy</v>
      </c>
      <c r="AB16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Microalgae</v>
      </c>
      <c r="AI16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Microalgae</v>
      </c>
    </row>
    <row r="164" spans="2:35" x14ac:dyDescent="0.45">
      <c r="B164" s="108">
        <v>261124</v>
      </c>
      <c r="C164" s="91" t="s">
        <v>1818</v>
      </c>
      <c r="D164" s="108">
        <v>261120</v>
      </c>
      <c r="E164" s="93" t="s">
        <v>1149</v>
      </c>
      <c r="F164" s="19" t="s">
        <v>1188</v>
      </c>
      <c r="G164" s="82" t="s">
        <v>1200</v>
      </c>
      <c r="H164" s="82" t="s">
        <v>65</v>
      </c>
      <c r="I164" s="82"/>
      <c r="J164" s="82"/>
      <c r="K164" s="82" t="s">
        <v>1821</v>
      </c>
      <c r="L164" s="82"/>
      <c r="M164" s="82"/>
      <c r="N164" s="119"/>
      <c r="O164" s="119"/>
      <c r="P164" s="82"/>
      <c r="Q164" s="82" t="s">
        <v>1242</v>
      </c>
      <c r="R164" s="82"/>
      <c r="S164" s="82"/>
      <c r="T164" s="72" t="str" cm="1">
        <f t="array" ref="T164">IFERROR(INDEX(Products[[ProdCode]:[Product]],_xlfn.XMATCH(Products[[#This Row],[Parent]],Products[Product],0),2),Products[[#This Row],[Product]])</f>
        <v>Macroalgae</v>
      </c>
      <c r="U164" s="72" t="str" cm="1">
        <f t="array" ref="U164">IFERROR(INDEX(Products[[ProdCode]:[Product]],_xlfn.XMATCH(INDEX(Products[[Product]:[Parent]],_xlfn.XMATCH(Products[[#This Row],[L1N]],Products[Product],0),2),Products[ProdCode],0),2),Products[[#This Row],[L1N]])</f>
        <v>Energy crops</v>
      </c>
      <c r="V164" s="72" t="str" cm="1">
        <f t="array" ref="V164">IFERROR(INDEX(Products[[ProdCode]:[Product]],_xlfn.XMATCH(INDEX(Products[[Product]:[Parent]],_xlfn.XMATCH(Products[[#This Row],[L2N]],Products[Product],0),2),Products[ProdCode],0),2),Products[[#This Row],[L2N]])</f>
        <v>Harvested biomass</v>
      </c>
      <c r="W164" s="72" t="str" cm="1">
        <f t="array" ref="W164">IFERROR(INDEX(Products[[ProdCode]:[Product]],_xlfn.XMATCH(INDEX(Products[[Product]:[Parent]],_xlfn.XMATCH(Products[[#This Row],[L3N]],Products[Product],0),2),Products[ProdCode],0),2),Products[[#This Row],[L3N]])</f>
        <v>Solid biofuels</v>
      </c>
      <c r="X164" s="72" t="str" cm="1">
        <f t="array" ref="X164">IFERROR(INDEX(Products[[ProdCode]:[Product]],_xlfn.XMATCH(INDEX(Products[[Product]:[Parent]],_xlfn.XMATCH(Products[[#This Row],[L4N]],Products[Product],0),2),Products[ProdCode],0),2),Products[[#This Row],[L4N]])</f>
        <v>Bioenergy</v>
      </c>
      <c r="Y164" s="72" t="str" cm="1">
        <f t="array" ref="Y164">IFERROR(INDEX(Products[[ProdCode]:[Product]],_xlfn.XMATCH(INDEX(Products[[Product]:[Parent]],_xlfn.XMATCH(Products[[#This Row],[L5N]],Products[Product],0),2),Products[ProdCode],0),2),Products[[#This Row],[L5N]])</f>
        <v>Renewable Energy</v>
      </c>
      <c r="Z164" s="71" t="str" cm="1">
        <f t="array" ref="Z164">IFERROR(INDEX(Products[[ProdCode]:[Product]],_xlfn.XMATCH(INDEX(Products[[Product]:[Parent]],_xlfn.XMATCH(Products[[#This Row],[L6N]],Products[Product],0),2),Products[ProdCode],0),2),Products[[#This Row],[L6N]])</f>
        <v>Energy</v>
      </c>
      <c r="AA164" s="71" t="str" cm="1">
        <f t="array" ref="AA164">IFERROR(INDEX(Products[[ProdCode]:[Product]],_xlfn.XMATCH(INDEX(Products[[Product]:[Parent]],_xlfn.XMATCH(Products[[#This Row],[L7N]],Products[Product],0),2),Products[ProdCode],0),2),Products[[#This Row],[L7N]])</f>
        <v>Energy</v>
      </c>
      <c r="AB16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Macroalgae</v>
      </c>
      <c r="AI16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Macroalgae</v>
      </c>
    </row>
    <row r="165" spans="2:35" x14ac:dyDescent="0.45">
      <c r="B165" s="108">
        <v>261125</v>
      </c>
      <c r="C165" s="91" t="s">
        <v>1809</v>
      </c>
      <c r="D165" s="108">
        <v>261120</v>
      </c>
      <c r="E165" s="93" t="s">
        <v>1149</v>
      </c>
      <c r="F165" s="19" t="s">
        <v>1188</v>
      </c>
      <c r="G165" s="82" t="s">
        <v>1200</v>
      </c>
      <c r="H165" s="82" t="s">
        <v>65</v>
      </c>
      <c r="I165" s="82"/>
      <c r="J165" s="82"/>
      <c r="K165" s="82" t="s">
        <v>1810</v>
      </c>
      <c r="L165" s="82"/>
      <c r="M165" s="82"/>
      <c r="N165" s="119"/>
      <c r="O165" s="119"/>
      <c r="P165" s="82"/>
      <c r="Q165" s="82" t="s">
        <v>1242</v>
      </c>
      <c r="R165" s="82"/>
      <c r="S165" s="82"/>
      <c r="T165" s="72" t="str" cm="1">
        <f t="array" ref="T165">IFERROR(INDEX(Products[[ProdCode]:[Product]],_xlfn.XMATCH(Products[[#This Row],[Parent]],Products[Product],0),2),Products[[#This Row],[Product]])</f>
        <v>Sugar crops</v>
      </c>
      <c r="U165" s="72" t="str" cm="1">
        <f t="array" ref="U165">IFERROR(INDEX(Products[[ProdCode]:[Product]],_xlfn.XMATCH(INDEX(Products[[Product]:[Parent]],_xlfn.XMATCH(Products[[#This Row],[L1N]],Products[Product],0),2),Products[ProdCode],0),2),Products[[#This Row],[L1N]])</f>
        <v>Energy crops</v>
      </c>
      <c r="V165" s="72" t="str" cm="1">
        <f t="array" ref="V165">IFERROR(INDEX(Products[[ProdCode]:[Product]],_xlfn.XMATCH(INDEX(Products[[Product]:[Parent]],_xlfn.XMATCH(Products[[#This Row],[L2N]],Products[Product],0),2),Products[ProdCode],0),2),Products[[#This Row],[L2N]])</f>
        <v>Harvested biomass</v>
      </c>
      <c r="W165" s="72" t="str" cm="1">
        <f t="array" ref="W165">IFERROR(INDEX(Products[[ProdCode]:[Product]],_xlfn.XMATCH(INDEX(Products[[Product]:[Parent]],_xlfn.XMATCH(Products[[#This Row],[L3N]],Products[Product],0),2),Products[ProdCode],0),2),Products[[#This Row],[L3N]])</f>
        <v>Solid biofuels</v>
      </c>
      <c r="X165" s="72" t="str" cm="1">
        <f t="array" ref="X165">IFERROR(INDEX(Products[[ProdCode]:[Product]],_xlfn.XMATCH(INDEX(Products[[Product]:[Parent]],_xlfn.XMATCH(Products[[#This Row],[L4N]],Products[Product],0),2),Products[ProdCode],0),2),Products[[#This Row],[L4N]])</f>
        <v>Bioenergy</v>
      </c>
      <c r="Y165" s="72" t="str" cm="1">
        <f t="array" ref="Y165">IFERROR(INDEX(Products[[ProdCode]:[Product]],_xlfn.XMATCH(INDEX(Products[[Product]:[Parent]],_xlfn.XMATCH(Products[[#This Row],[L5N]],Products[Product],0),2),Products[ProdCode],0),2),Products[[#This Row],[L5N]])</f>
        <v>Renewable Energy</v>
      </c>
      <c r="Z165" s="71" t="str" cm="1">
        <f t="array" ref="Z165">IFERROR(INDEX(Products[[ProdCode]:[Product]],_xlfn.XMATCH(INDEX(Products[[Product]:[Parent]],_xlfn.XMATCH(Products[[#This Row],[L6N]],Products[Product],0),2),Products[ProdCode],0),2),Products[[#This Row],[L6N]])</f>
        <v>Energy</v>
      </c>
      <c r="AA165" s="71" t="str" cm="1">
        <f t="array" ref="AA165">IFERROR(INDEX(Products[[ProdCode]:[Product]],_xlfn.XMATCH(INDEX(Products[[Product]:[Parent]],_xlfn.XMATCH(Products[[#This Row],[L7N]],Products[Product],0),2),Products[ProdCode],0),2),Products[[#This Row],[L7N]])</f>
        <v>Energy</v>
      </c>
      <c r="AB16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Sugar crops</v>
      </c>
      <c r="AI16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Sugar crops</v>
      </c>
    </row>
    <row r="166" spans="2:35" x14ac:dyDescent="0.45">
      <c r="B166" s="108">
        <v>261126</v>
      </c>
      <c r="C166" s="91" t="s">
        <v>1811</v>
      </c>
      <c r="D166" s="108">
        <v>261120</v>
      </c>
      <c r="E166" s="93" t="s">
        <v>1149</v>
      </c>
      <c r="F166" s="19" t="s">
        <v>1188</v>
      </c>
      <c r="G166" s="82" t="s">
        <v>1200</v>
      </c>
      <c r="H166" s="82" t="s">
        <v>65</v>
      </c>
      <c r="I166" s="82"/>
      <c r="J166" s="82"/>
      <c r="K166" s="82" t="s">
        <v>1812</v>
      </c>
      <c r="L166" s="82"/>
      <c r="M166" s="82"/>
      <c r="N166" s="119"/>
      <c r="O166" s="119"/>
      <c r="P166" s="82"/>
      <c r="Q166" s="82" t="s">
        <v>1242</v>
      </c>
      <c r="R166" s="82"/>
      <c r="S166" s="82"/>
      <c r="T166" s="72" t="str" cm="1">
        <f t="array" ref="T166">IFERROR(INDEX(Products[[ProdCode]:[Product]],_xlfn.XMATCH(Products[[#This Row],[Parent]],Products[Product],0),2),Products[[#This Row],[Product]])</f>
        <v>Oil crops</v>
      </c>
      <c r="U166" s="72" t="str" cm="1">
        <f t="array" ref="U166">IFERROR(INDEX(Products[[ProdCode]:[Product]],_xlfn.XMATCH(INDEX(Products[[Product]:[Parent]],_xlfn.XMATCH(Products[[#This Row],[L1N]],Products[Product],0),2),Products[ProdCode],0),2),Products[[#This Row],[L1N]])</f>
        <v>Energy crops</v>
      </c>
      <c r="V166" s="72" t="str" cm="1">
        <f t="array" ref="V166">IFERROR(INDEX(Products[[ProdCode]:[Product]],_xlfn.XMATCH(INDEX(Products[[Product]:[Parent]],_xlfn.XMATCH(Products[[#This Row],[L2N]],Products[Product],0),2),Products[ProdCode],0),2),Products[[#This Row],[L2N]])</f>
        <v>Harvested biomass</v>
      </c>
      <c r="W166" s="72" t="str" cm="1">
        <f t="array" ref="W166">IFERROR(INDEX(Products[[ProdCode]:[Product]],_xlfn.XMATCH(INDEX(Products[[Product]:[Parent]],_xlfn.XMATCH(Products[[#This Row],[L3N]],Products[Product],0),2),Products[ProdCode],0),2),Products[[#This Row],[L3N]])</f>
        <v>Solid biofuels</v>
      </c>
      <c r="X166" s="72" t="str" cm="1">
        <f t="array" ref="X166">IFERROR(INDEX(Products[[ProdCode]:[Product]],_xlfn.XMATCH(INDEX(Products[[Product]:[Parent]],_xlfn.XMATCH(Products[[#This Row],[L4N]],Products[Product],0),2),Products[ProdCode],0),2),Products[[#This Row],[L4N]])</f>
        <v>Bioenergy</v>
      </c>
      <c r="Y166" s="72" t="str" cm="1">
        <f t="array" ref="Y166">IFERROR(INDEX(Products[[ProdCode]:[Product]],_xlfn.XMATCH(INDEX(Products[[Product]:[Parent]],_xlfn.XMATCH(Products[[#This Row],[L5N]],Products[Product],0),2),Products[ProdCode],0),2),Products[[#This Row],[L5N]])</f>
        <v>Renewable Energy</v>
      </c>
      <c r="Z166" s="71" t="str" cm="1">
        <f t="array" ref="Z166">IFERROR(INDEX(Products[[ProdCode]:[Product]],_xlfn.XMATCH(INDEX(Products[[Product]:[Parent]],_xlfn.XMATCH(Products[[#This Row],[L6N]],Products[Product],0),2),Products[ProdCode],0),2),Products[[#This Row],[L6N]])</f>
        <v>Energy</v>
      </c>
      <c r="AA166" s="71" t="str" cm="1">
        <f t="array" ref="AA166">IFERROR(INDEX(Products[[ProdCode]:[Product]],_xlfn.XMATCH(INDEX(Products[[Product]:[Parent]],_xlfn.XMATCH(Products[[#This Row],[L7N]],Products[Product],0),2),Products[ProdCode],0),2),Products[[#This Row],[L7N]])</f>
        <v>Energy</v>
      </c>
      <c r="AB16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 crops</v>
      </c>
      <c r="AI16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 crops</v>
      </c>
    </row>
    <row r="167" spans="2:35" x14ac:dyDescent="0.45">
      <c r="B167" s="108">
        <v>261129</v>
      </c>
      <c r="C167" s="91" t="s">
        <v>1808</v>
      </c>
      <c r="D167" s="108">
        <v>261120</v>
      </c>
      <c r="E167" s="93" t="s">
        <v>1149</v>
      </c>
      <c r="F167" s="19" t="s">
        <v>1188</v>
      </c>
      <c r="G167" s="82" t="s">
        <v>1200</v>
      </c>
      <c r="H167" s="82" t="s">
        <v>65</v>
      </c>
      <c r="I167" s="82"/>
      <c r="J167" s="82"/>
      <c r="K167" s="82" t="s">
        <v>1819</v>
      </c>
      <c r="L167" s="82"/>
      <c r="M167" s="82"/>
      <c r="N167" s="119"/>
      <c r="O167" s="119"/>
      <c r="P167" s="82"/>
      <c r="Q167" s="82" t="s">
        <v>1242</v>
      </c>
      <c r="R167" s="82"/>
      <c r="S167" s="82"/>
      <c r="T167" s="72" t="str" cm="1">
        <f t="array" ref="T167">IFERROR(INDEX(Products[[ProdCode]:[Product]],_xlfn.XMATCH(Products[[#This Row],[Parent]],Products[Product],0),2),Products[[#This Row],[Product]])</f>
        <v>Other energy crops</v>
      </c>
      <c r="U167" s="72" t="str" cm="1">
        <f t="array" ref="U167">IFERROR(INDEX(Products[[ProdCode]:[Product]],_xlfn.XMATCH(INDEX(Products[[Product]:[Parent]],_xlfn.XMATCH(Products[[#This Row],[L1N]],Products[Product],0),2),Products[ProdCode],0),2),Products[[#This Row],[L1N]])</f>
        <v>Energy crops</v>
      </c>
      <c r="V167" s="72" t="str" cm="1">
        <f t="array" ref="V167">IFERROR(INDEX(Products[[ProdCode]:[Product]],_xlfn.XMATCH(INDEX(Products[[Product]:[Parent]],_xlfn.XMATCH(Products[[#This Row],[L2N]],Products[Product],0),2),Products[ProdCode],0),2),Products[[#This Row],[L2N]])</f>
        <v>Harvested biomass</v>
      </c>
      <c r="W167" s="72" t="str" cm="1">
        <f t="array" ref="W167">IFERROR(INDEX(Products[[ProdCode]:[Product]],_xlfn.XMATCH(INDEX(Products[[Product]:[Parent]],_xlfn.XMATCH(Products[[#This Row],[L3N]],Products[Product],0),2),Products[ProdCode],0),2),Products[[#This Row],[L3N]])</f>
        <v>Solid biofuels</v>
      </c>
      <c r="X167" s="72" t="str" cm="1">
        <f t="array" ref="X167">IFERROR(INDEX(Products[[ProdCode]:[Product]],_xlfn.XMATCH(INDEX(Products[[Product]:[Parent]],_xlfn.XMATCH(Products[[#This Row],[L4N]],Products[Product],0),2),Products[ProdCode],0),2),Products[[#This Row],[L4N]])</f>
        <v>Bioenergy</v>
      </c>
      <c r="Y167" s="72" t="str" cm="1">
        <f t="array" ref="Y167">IFERROR(INDEX(Products[[ProdCode]:[Product]],_xlfn.XMATCH(INDEX(Products[[Product]:[Parent]],_xlfn.XMATCH(Products[[#This Row],[L5N]],Products[Product],0),2),Products[ProdCode],0),2),Products[[#This Row],[L5N]])</f>
        <v>Renewable Energy</v>
      </c>
      <c r="Z167" s="71" t="str" cm="1">
        <f t="array" ref="Z167">IFERROR(INDEX(Products[[ProdCode]:[Product]],_xlfn.XMATCH(INDEX(Products[[Product]:[Parent]],_xlfn.XMATCH(Products[[#This Row],[L6N]],Products[Product],0),2),Products[ProdCode],0),2),Products[[#This Row],[L6N]])</f>
        <v>Energy</v>
      </c>
      <c r="AA167" s="71" t="str" cm="1">
        <f t="array" ref="AA167">IFERROR(INDEX(Products[[ProdCode]:[Product]],_xlfn.XMATCH(INDEX(Products[[Product]:[Parent]],_xlfn.XMATCH(Products[[#This Row],[L7N]],Products[Product],0),2),Products[ProdCode],0),2),Products[[#This Row],[L7N]])</f>
        <v>Energy</v>
      </c>
      <c r="AB16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crops</v>
      </c>
      <c r="AH16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energy crops</v>
      </c>
      <c r="AI16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energy crops</v>
      </c>
    </row>
    <row r="168" spans="2:35" x14ac:dyDescent="0.45">
      <c r="B168" s="107">
        <v>261190</v>
      </c>
      <c r="C168" s="88" t="s">
        <v>965</v>
      </c>
      <c r="D168" s="107">
        <v>261100</v>
      </c>
      <c r="E168" s="93" t="s">
        <v>1149</v>
      </c>
      <c r="F168" s="19" t="s">
        <v>1188</v>
      </c>
      <c r="G168" s="82" t="s">
        <v>1199</v>
      </c>
      <c r="H168" s="82" t="s">
        <v>83</v>
      </c>
      <c r="I168" s="82"/>
      <c r="J168" s="82"/>
      <c r="K168" s="82" t="s">
        <v>1619</v>
      </c>
      <c r="L168" s="82"/>
      <c r="M168" s="82"/>
      <c r="N168" s="119"/>
      <c r="O168" s="119"/>
      <c r="P168" s="82"/>
      <c r="Q168" s="82" t="s">
        <v>1242</v>
      </c>
      <c r="R168" s="82"/>
      <c r="S168" s="82"/>
      <c r="T168" s="72" t="str" cm="1">
        <f t="array" ref="T168">IFERROR(INDEX(Products[[ProdCode]:[Product]],_xlfn.XMATCH(Products[[#This Row],[Parent]],Products[Product],0),2),Products[[#This Row],[Product]])</f>
        <v>Other harvested biomass</v>
      </c>
      <c r="U168" s="72" t="str" cm="1">
        <f t="array" ref="U168">IFERROR(INDEX(Products[[ProdCode]:[Product]],_xlfn.XMATCH(INDEX(Products[[Product]:[Parent]],_xlfn.XMATCH(Products[[#This Row],[L1N]],Products[Product],0),2),Products[ProdCode],0),2),Products[[#This Row],[L1N]])</f>
        <v>Harvested biomass</v>
      </c>
      <c r="V168" s="72" t="str" cm="1">
        <f t="array" ref="V168">IFERROR(INDEX(Products[[ProdCode]:[Product]],_xlfn.XMATCH(INDEX(Products[[Product]:[Parent]],_xlfn.XMATCH(Products[[#This Row],[L2N]],Products[Product],0),2),Products[ProdCode],0),2),Products[[#This Row],[L2N]])</f>
        <v>Solid biofuels</v>
      </c>
      <c r="W168" s="72" t="str" cm="1">
        <f t="array" ref="W168">IFERROR(INDEX(Products[[ProdCode]:[Product]],_xlfn.XMATCH(INDEX(Products[[Product]:[Parent]],_xlfn.XMATCH(Products[[#This Row],[L3N]],Products[Product],0),2),Products[ProdCode],0),2),Products[[#This Row],[L3N]])</f>
        <v>Bioenergy</v>
      </c>
      <c r="X168" s="72" t="str" cm="1">
        <f t="array" ref="X168">IFERROR(INDEX(Products[[ProdCode]:[Product]],_xlfn.XMATCH(INDEX(Products[[Product]:[Parent]],_xlfn.XMATCH(Products[[#This Row],[L4N]],Products[Product],0),2),Products[ProdCode],0),2),Products[[#This Row],[L4N]])</f>
        <v>Renewable Energy</v>
      </c>
      <c r="Y168" s="72" t="str" cm="1">
        <f t="array" ref="Y168">IFERROR(INDEX(Products[[ProdCode]:[Product]],_xlfn.XMATCH(INDEX(Products[[Product]:[Parent]],_xlfn.XMATCH(Products[[#This Row],[L5N]],Products[Product],0),2),Products[ProdCode],0),2),Products[[#This Row],[L5N]])</f>
        <v>Energy</v>
      </c>
      <c r="Z168" s="72" t="str" cm="1">
        <f t="array" ref="Z168">IFERROR(INDEX(Products[[ProdCode]:[Product]],_xlfn.XMATCH(INDEX(Products[[Product]:[Parent]],_xlfn.XMATCH(Products[[#This Row],[L6N]],Products[Product],0),2),Products[ProdCode],0),2),Products[[#This Row],[L6N]])</f>
        <v>Energy</v>
      </c>
      <c r="AA168" s="72" t="str" cm="1">
        <f t="array" ref="AA168">IFERROR(INDEX(Products[[ProdCode]:[Product]],_xlfn.XMATCH(INDEX(Products[[Product]:[Parent]],_xlfn.XMATCH(Products[[#This Row],[L7N]],Products[Product],0),2),Products[ProdCode],0),2),Products[[#This Row],[L7N]])</f>
        <v>Energy</v>
      </c>
      <c r="AB16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Harvested biomass</v>
      </c>
      <c r="AG16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harvested biomass</v>
      </c>
      <c r="AH16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harvested biomass</v>
      </c>
      <c r="AI16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harvested biomass</v>
      </c>
    </row>
    <row r="169" spans="2:35" x14ac:dyDescent="0.45">
      <c r="B169" s="106">
        <v>261200</v>
      </c>
      <c r="C169" s="85" t="s">
        <v>966</v>
      </c>
      <c r="D169" s="106">
        <v>261000</v>
      </c>
      <c r="E169" s="93" t="s">
        <v>1149</v>
      </c>
      <c r="F169" s="19" t="s">
        <v>1188</v>
      </c>
      <c r="G169" s="82" t="s">
        <v>53</v>
      </c>
      <c r="H169" s="82" t="s">
        <v>65</v>
      </c>
      <c r="I169" s="82"/>
      <c r="J169" s="82"/>
      <c r="K169" s="82" t="s">
        <v>1620</v>
      </c>
      <c r="L169" s="82"/>
      <c r="M169" s="82"/>
      <c r="N169" s="119"/>
      <c r="O169" s="119"/>
      <c r="P169" s="82"/>
      <c r="Q169" s="82" t="s">
        <v>1242</v>
      </c>
      <c r="R169" s="82"/>
      <c r="S169" s="82"/>
      <c r="T169" s="71" t="str" cm="1">
        <f t="array" ref="T169">IFERROR(INDEX(Products[[ProdCode]:[Product]],_xlfn.XMATCH(Products[[#This Row],[Parent]],Products[Product],0),2),Products[[#This Row],[Product]])</f>
        <v>Harvest residues</v>
      </c>
      <c r="U169" s="71" t="str" cm="1">
        <f t="array" ref="U169">IFERROR(INDEX(Products[[ProdCode]:[Product]],_xlfn.XMATCH(INDEX(Products[[Product]:[Parent]],_xlfn.XMATCH(Products[[#This Row],[L1N]],Products[Product],0),2),Products[ProdCode],0),2),Products[[#This Row],[L1N]])</f>
        <v>Solid biofuels</v>
      </c>
      <c r="V169" s="71" t="str" cm="1">
        <f t="array" ref="V169">IFERROR(INDEX(Products[[ProdCode]:[Product]],_xlfn.XMATCH(INDEX(Products[[Product]:[Parent]],_xlfn.XMATCH(Products[[#This Row],[L2N]],Products[Product],0),2),Products[ProdCode],0),2),Products[[#This Row],[L2N]])</f>
        <v>Bioenergy</v>
      </c>
      <c r="W169" s="71" t="str" cm="1">
        <f t="array" ref="W169">IFERROR(INDEX(Products[[ProdCode]:[Product]],_xlfn.XMATCH(INDEX(Products[[Product]:[Parent]],_xlfn.XMATCH(Products[[#This Row],[L3N]],Products[Product],0),2),Products[ProdCode],0),2),Products[[#This Row],[L3N]])</f>
        <v>Renewable Energy</v>
      </c>
      <c r="X169" s="71" t="str" cm="1">
        <f t="array" ref="X169">IFERROR(INDEX(Products[[ProdCode]:[Product]],_xlfn.XMATCH(INDEX(Products[[Product]:[Parent]],_xlfn.XMATCH(Products[[#This Row],[L4N]],Products[Product],0),2),Products[ProdCode],0),2),Products[[#This Row],[L4N]])</f>
        <v>Energy</v>
      </c>
      <c r="Y169" s="71" t="str" cm="1">
        <f t="array" ref="Y169">IFERROR(INDEX(Products[[ProdCode]:[Product]],_xlfn.XMATCH(INDEX(Products[[Product]:[Parent]],_xlfn.XMATCH(Products[[#This Row],[L5N]],Products[Product],0),2),Products[ProdCode],0),2),Products[[#This Row],[L5N]])</f>
        <v>Energy</v>
      </c>
      <c r="Z169" s="71" t="str" cm="1">
        <f t="array" ref="Z169">IFERROR(INDEX(Products[[ProdCode]:[Product]],_xlfn.XMATCH(INDEX(Products[[Product]:[Parent]],_xlfn.XMATCH(Products[[#This Row],[L6N]],Products[Product],0),2),Products[ProdCode],0),2),Products[[#This Row],[L6N]])</f>
        <v>Energy</v>
      </c>
      <c r="AA169" s="71" t="str" cm="1">
        <f t="array" ref="AA169">IFERROR(INDEX(Products[[ProdCode]:[Product]],_xlfn.XMATCH(INDEX(Products[[Product]:[Parent]],_xlfn.XMATCH(Products[[#This Row],[L7N]],Products[Product],0),2),Products[ProdCode],0),2),Products[[#This Row],[L7N]])</f>
        <v>Energy</v>
      </c>
      <c r="AB16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6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6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6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6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 residues</v>
      </c>
      <c r="AG16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Harvest residues</v>
      </c>
      <c r="AH16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Harvest residues</v>
      </c>
      <c r="AI16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Harvest residues</v>
      </c>
    </row>
    <row r="170" spans="2:35" x14ac:dyDescent="0.45">
      <c r="B170" s="107">
        <v>261210</v>
      </c>
      <c r="C170" s="88" t="s">
        <v>967</v>
      </c>
      <c r="D170" s="107">
        <v>261200</v>
      </c>
      <c r="E170" s="93" t="s">
        <v>1149</v>
      </c>
      <c r="F170" s="19" t="s">
        <v>1188</v>
      </c>
      <c r="G170" s="82" t="s">
        <v>1199</v>
      </c>
      <c r="H170" s="82" t="s">
        <v>83</v>
      </c>
      <c r="I170" s="82"/>
      <c r="J170" s="82"/>
      <c r="K170" s="82" t="s">
        <v>1421</v>
      </c>
      <c r="L170" s="82"/>
      <c r="M170" s="82">
        <v>9.1349999999999998</v>
      </c>
      <c r="N170" s="119">
        <v>0.5</v>
      </c>
      <c r="O170" s="119"/>
      <c r="P170" s="82"/>
      <c r="Q170" s="82" t="s">
        <v>1242</v>
      </c>
      <c r="R170" s="82"/>
      <c r="S170" s="82"/>
      <c r="T170" s="72" t="str" cm="1">
        <f t="array" ref="T170">IFERROR(INDEX(Products[[ProdCode]:[Product]],_xlfn.XMATCH(Products[[#This Row],[Parent]],Products[Product],0),2),Products[[#This Row],[Product]])</f>
        <v>Logging residues</v>
      </c>
      <c r="U170" s="72" t="str" cm="1">
        <f t="array" ref="U170">IFERROR(INDEX(Products[[ProdCode]:[Product]],_xlfn.XMATCH(INDEX(Products[[Product]:[Parent]],_xlfn.XMATCH(Products[[#This Row],[L1N]],Products[Product],0),2),Products[ProdCode],0),2),Products[[#This Row],[L1N]])</f>
        <v>Harvest residues</v>
      </c>
      <c r="V170" s="72" t="str" cm="1">
        <f t="array" ref="V170">IFERROR(INDEX(Products[[ProdCode]:[Product]],_xlfn.XMATCH(INDEX(Products[[Product]:[Parent]],_xlfn.XMATCH(Products[[#This Row],[L2N]],Products[Product],0),2),Products[ProdCode],0),2),Products[[#This Row],[L2N]])</f>
        <v>Solid biofuels</v>
      </c>
      <c r="W170" s="72" t="str" cm="1">
        <f t="array" ref="W170">IFERROR(INDEX(Products[[ProdCode]:[Product]],_xlfn.XMATCH(INDEX(Products[[Product]:[Parent]],_xlfn.XMATCH(Products[[#This Row],[L3N]],Products[Product],0),2),Products[ProdCode],0),2),Products[[#This Row],[L3N]])</f>
        <v>Bioenergy</v>
      </c>
      <c r="X170" s="72" t="str" cm="1">
        <f t="array" ref="X170">IFERROR(INDEX(Products[[ProdCode]:[Product]],_xlfn.XMATCH(INDEX(Products[[Product]:[Parent]],_xlfn.XMATCH(Products[[#This Row],[L4N]],Products[Product],0),2),Products[ProdCode],0),2),Products[[#This Row],[L4N]])</f>
        <v>Renewable Energy</v>
      </c>
      <c r="Y170" s="72" t="str" cm="1">
        <f t="array" ref="Y170">IFERROR(INDEX(Products[[ProdCode]:[Product]],_xlfn.XMATCH(INDEX(Products[[Product]:[Parent]],_xlfn.XMATCH(Products[[#This Row],[L5N]],Products[Product],0),2),Products[ProdCode],0),2),Products[[#This Row],[L5N]])</f>
        <v>Energy</v>
      </c>
      <c r="Z170" s="72" t="str" cm="1">
        <f t="array" ref="Z170">IFERROR(INDEX(Products[[ProdCode]:[Product]],_xlfn.XMATCH(INDEX(Products[[Product]:[Parent]],_xlfn.XMATCH(Products[[#This Row],[L6N]],Products[Product],0),2),Products[ProdCode],0),2),Products[[#This Row],[L6N]])</f>
        <v>Energy</v>
      </c>
      <c r="AA170" s="72" t="str" cm="1">
        <f t="array" ref="AA170">IFERROR(INDEX(Products[[ProdCode]:[Product]],_xlfn.XMATCH(INDEX(Products[[Product]:[Parent]],_xlfn.XMATCH(Products[[#This Row],[L7N]],Products[Product],0),2),Products[ProdCode],0),2),Products[[#This Row],[L7N]])</f>
        <v>Energy</v>
      </c>
      <c r="AB17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 residues</v>
      </c>
      <c r="AG17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Logging residues</v>
      </c>
      <c r="AH17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Logging residues</v>
      </c>
      <c r="AI17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Logging residues</v>
      </c>
    </row>
    <row r="171" spans="2:35" x14ac:dyDescent="0.45">
      <c r="B171" s="107">
        <v>261220</v>
      </c>
      <c r="C171" s="88" t="s">
        <v>503</v>
      </c>
      <c r="D171" s="107">
        <v>261200</v>
      </c>
      <c r="E171" s="93" t="s">
        <v>1149</v>
      </c>
      <c r="F171" s="19" t="s">
        <v>1188</v>
      </c>
      <c r="G171" s="82" t="s">
        <v>1199</v>
      </c>
      <c r="H171" s="82" t="s">
        <v>83</v>
      </c>
      <c r="I171" s="82"/>
      <c r="J171" s="82"/>
      <c r="K171" s="82" t="s">
        <v>1382</v>
      </c>
      <c r="L171" s="82"/>
      <c r="M171" s="82">
        <v>19.639299999999999</v>
      </c>
      <c r="N171" s="119"/>
      <c r="O171" s="119"/>
      <c r="P171" s="82"/>
      <c r="Q171" s="82" t="s">
        <v>1242</v>
      </c>
      <c r="R171" s="82"/>
      <c r="S171" s="82"/>
      <c r="T171" s="72" t="str" cm="1">
        <f t="array" ref="T171">IFERROR(INDEX(Products[[ProdCode]:[Product]],_xlfn.XMATCH(Products[[#This Row],[Parent]],Products[Product],0),2),Products[[#This Row],[Product]])</f>
        <v>Straw</v>
      </c>
      <c r="U171" s="72" t="str" cm="1">
        <f t="array" ref="U171">IFERROR(INDEX(Products[[ProdCode]:[Product]],_xlfn.XMATCH(INDEX(Products[[Product]:[Parent]],_xlfn.XMATCH(Products[[#This Row],[L1N]],Products[Product],0),2),Products[ProdCode],0),2),Products[[#This Row],[L1N]])</f>
        <v>Harvest residues</v>
      </c>
      <c r="V171" s="72" t="str" cm="1">
        <f t="array" ref="V171">IFERROR(INDEX(Products[[ProdCode]:[Product]],_xlfn.XMATCH(INDEX(Products[[Product]:[Parent]],_xlfn.XMATCH(Products[[#This Row],[L2N]],Products[Product],0),2),Products[ProdCode],0),2),Products[[#This Row],[L2N]])</f>
        <v>Solid biofuels</v>
      </c>
      <c r="W171" s="72" t="str" cm="1">
        <f t="array" ref="W171">IFERROR(INDEX(Products[[ProdCode]:[Product]],_xlfn.XMATCH(INDEX(Products[[Product]:[Parent]],_xlfn.XMATCH(Products[[#This Row],[L3N]],Products[Product],0),2),Products[ProdCode],0),2),Products[[#This Row],[L3N]])</f>
        <v>Bioenergy</v>
      </c>
      <c r="X171" s="72" t="str" cm="1">
        <f t="array" ref="X171">IFERROR(INDEX(Products[[ProdCode]:[Product]],_xlfn.XMATCH(INDEX(Products[[Product]:[Parent]],_xlfn.XMATCH(Products[[#This Row],[L4N]],Products[Product],0),2),Products[ProdCode],0),2),Products[[#This Row],[L4N]])</f>
        <v>Renewable Energy</v>
      </c>
      <c r="Y171" s="72" t="str" cm="1">
        <f t="array" ref="Y171">IFERROR(INDEX(Products[[ProdCode]:[Product]],_xlfn.XMATCH(INDEX(Products[[Product]:[Parent]],_xlfn.XMATCH(Products[[#This Row],[L5N]],Products[Product],0),2),Products[ProdCode],0),2),Products[[#This Row],[L5N]])</f>
        <v>Energy</v>
      </c>
      <c r="Z171" s="72" t="str" cm="1">
        <f t="array" ref="Z171">IFERROR(INDEX(Products[[ProdCode]:[Product]],_xlfn.XMATCH(INDEX(Products[[Product]:[Parent]],_xlfn.XMATCH(Products[[#This Row],[L6N]],Products[Product],0),2),Products[ProdCode],0),2),Products[[#This Row],[L6N]])</f>
        <v>Energy</v>
      </c>
      <c r="AA171" s="72" t="str" cm="1">
        <f t="array" ref="AA171">IFERROR(INDEX(Products[[ProdCode]:[Product]],_xlfn.XMATCH(INDEX(Products[[Product]:[Parent]],_xlfn.XMATCH(Products[[#This Row],[L7N]],Products[Product],0),2),Products[ProdCode],0),2),Products[[#This Row],[L7N]])</f>
        <v>Energy</v>
      </c>
      <c r="AB17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 residues</v>
      </c>
      <c r="AG17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Straw</v>
      </c>
      <c r="AH17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Straw</v>
      </c>
      <c r="AI17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Straw</v>
      </c>
    </row>
    <row r="172" spans="2:35" x14ac:dyDescent="0.45">
      <c r="B172" s="107">
        <v>261290</v>
      </c>
      <c r="C172" s="88" t="s">
        <v>968</v>
      </c>
      <c r="D172" s="107">
        <v>261200</v>
      </c>
      <c r="E172" s="93" t="s">
        <v>1149</v>
      </c>
      <c r="F172" s="19" t="s">
        <v>1188</v>
      </c>
      <c r="G172" s="82" t="s">
        <v>1199</v>
      </c>
      <c r="H172" s="82" t="s">
        <v>83</v>
      </c>
      <c r="I172" s="82"/>
      <c r="J172" s="82"/>
      <c r="K172" s="82" t="s">
        <v>1621</v>
      </c>
      <c r="L172" s="82"/>
      <c r="M172" s="82"/>
      <c r="N172" s="119"/>
      <c r="O172" s="119"/>
      <c r="P172" s="82"/>
      <c r="Q172" s="82" t="s">
        <v>1242</v>
      </c>
      <c r="R172" s="82"/>
      <c r="S172" s="82"/>
      <c r="T172" s="72" t="str" cm="1">
        <f t="array" ref="T172">IFERROR(INDEX(Products[[ProdCode]:[Product]],_xlfn.XMATCH(Products[[#This Row],[Parent]],Products[Product],0),2),Products[[#This Row],[Product]])</f>
        <v>Other harvest residues</v>
      </c>
      <c r="U172" s="72" t="str" cm="1">
        <f t="array" ref="U172">IFERROR(INDEX(Products[[ProdCode]:[Product]],_xlfn.XMATCH(INDEX(Products[[Product]:[Parent]],_xlfn.XMATCH(Products[[#This Row],[L1N]],Products[Product],0),2),Products[ProdCode],0),2),Products[[#This Row],[L1N]])</f>
        <v>Harvest residues</v>
      </c>
      <c r="V172" s="72" t="str" cm="1">
        <f t="array" ref="V172">IFERROR(INDEX(Products[[ProdCode]:[Product]],_xlfn.XMATCH(INDEX(Products[[Product]:[Parent]],_xlfn.XMATCH(Products[[#This Row],[L2N]],Products[Product],0),2),Products[ProdCode],0),2),Products[[#This Row],[L2N]])</f>
        <v>Solid biofuels</v>
      </c>
      <c r="W172" s="72" t="str" cm="1">
        <f t="array" ref="W172">IFERROR(INDEX(Products[[ProdCode]:[Product]],_xlfn.XMATCH(INDEX(Products[[Product]:[Parent]],_xlfn.XMATCH(Products[[#This Row],[L3N]],Products[Product],0),2),Products[ProdCode],0),2),Products[[#This Row],[L3N]])</f>
        <v>Bioenergy</v>
      </c>
      <c r="X172" s="72" t="str" cm="1">
        <f t="array" ref="X172">IFERROR(INDEX(Products[[ProdCode]:[Product]],_xlfn.XMATCH(INDEX(Products[[Product]:[Parent]],_xlfn.XMATCH(Products[[#This Row],[L4N]],Products[Product],0),2),Products[ProdCode],0),2),Products[[#This Row],[L4N]])</f>
        <v>Renewable Energy</v>
      </c>
      <c r="Y172" s="72" t="str" cm="1">
        <f t="array" ref="Y172">IFERROR(INDEX(Products[[ProdCode]:[Product]],_xlfn.XMATCH(INDEX(Products[[Product]:[Parent]],_xlfn.XMATCH(Products[[#This Row],[L5N]],Products[Product],0),2),Products[ProdCode],0),2),Products[[#This Row],[L5N]])</f>
        <v>Energy</v>
      </c>
      <c r="Z172" s="72" t="str" cm="1">
        <f t="array" ref="Z172">IFERROR(INDEX(Products[[ProdCode]:[Product]],_xlfn.XMATCH(INDEX(Products[[Product]:[Parent]],_xlfn.XMATCH(Products[[#This Row],[L6N]],Products[Product],0),2),Products[ProdCode],0),2),Products[[#This Row],[L6N]])</f>
        <v>Energy</v>
      </c>
      <c r="AA172" s="72" t="str" cm="1">
        <f t="array" ref="AA172">IFERROR(INDEX(Products[[ProdCode]:[Product]],_xlfn.XMATCH(INDEX(Products[[Product]:[Parent]],_xlfn.XMATCH(Products[[#This Row],[L7N]],Products[Product],0),2),Products[ProdCode],0),2),Products[[#This Row],[L7N]])</f>
        <v>Energy</v>
      </c>
      <c r="AB17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Harvest residues</v>
      </c>
      <c r="AG17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harvest residues</v>
      </c>
      <c r="AH17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harvest residues</v>
      </c>
      <c r="AI17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harvest residues</v>
      </c>
    </row>
    <row r="173" spans="2:35" x14ac:dyDescent="0.45">
      <c r="B173" s="106">
        <v>261300</v>
      </c>
      <c r="C173" s="85" t="s">
        <v>969</v>
      </c>
      <c r="D173" s="106">
        <v>261000</v>
      </c>
      <c r="E173" s="93" t="s">
        <v>1149</v>
      </c>
      <c r="F173" s="19" t="s">
        <v>1188</v>
      </c>
      <c r="G173" s="82" t="s">
        <v>53</v>
      </c>
      <c r="H173" s="82" t="s">
        <v>65</v>
      </c>
      <c r="I173" s="82"/>
      <c r="J173" s="82"/>
      <c r="K173" s="82" t="s">
        <v>1622</v>
      </c>
      <c r="L173" s="82"/>
      <c r="M173" s="82"/>
      <c r="N173" s="119"/>
      <c r="O173" s="119"/>
      <c r="P173" s="82"/>
      <c r="Q173" s="82" t="s">
        <v>1242</v>
      </c>
      <c r="R173" s="82"/>
      <c r="S173" s="82"/>
      <c r="T173" s="71" t="str" cm="1">
        <f t="array" ref="T173">IFERROR(INDEX(Products[[ProdCode]:[Product]],_xlfn.XMATCH(Products[[#This Row],[Parent]],Products[Product],0),2),Products[[#This Row],[Product]])</f>
        <v>Biomass processing residues</v>
      </c>
      <c r="U173" s="71" t="str" cm="1">
        <f t="array" ref="U173">IFERROR(INDEX(Products[[ProdCode]:[Product]],_xlfn.XMATCH(INDEX(Products[[Product]:[Parent]],_xlfn.XMATCH(Products[[#This Row],[L1N]],Products[Product],0),2),Products[ProdCode],0),2),Products[[#This Row],[L1N]])</f>
        <v>Solid biofuels</v>
      </c>
      <c r="V173" s="71" t="str" cm="1">
        <f t="array" ref="V173">IFERROR(INDEX(Products[[ProdCode]:[Product]],_xlfn.XMATCH(INDEX(Products[[Product]:[Parent]],_xlfn.XMATCH(Products[[#This Row],[L2N]],Products[Product],0),2),Products[ProdCode],0),2),Products[[#This Row],[L2N]])</f>
        <v>Bioenergy</v>
      </c>
      <c r="W173" s="71" t="str" cm="1">
        <f t="array" ref="W173">IFERROR(INDEX(Products[[ProdCode]:[Product]],_xlfn.XMATCH(INDEX(Products[[Product]:[Parent]],_xlfn.XMATCH(Products[[#This Row],[L3N]],Products[Product],0),2),Products[ProdCode],0),2),Products[[#This Row],[L3N]])</f>
        <v>Renewable Energy</v>
      </c>
      <c r="X173" s="71" t="str" cm="1">
        <f t="array" ref="X173">IFERROR(INDEX(Products[[ProdCode]:[Product]],_xlfn.XMATCH(INDEX(Products[[Product]:[Parent]],_xlfn.XMATCH(Products[[#This Row],[L4N]],Products[Product],0),2),Products[ProdCode],0),2),Products[[#This Row],[L4N]])</f>
        <v>Energy</v>
      </c>
      <c r="Y173" s="71" t="str" cm="1">
        <f t="array" ref="Y173">IFERROR(INDEX(Products[[ProdCode]:[Product]],_xlfn.XMATCH(INDEX(Products[[Product]:[Parent]],_xlfn.XMATCH(Products[[#This Row],[L5N]],Products[Product],0),2),Products[ProdCode],0),2),Products[[#This Row],[L5N]])</f>
        <v>Energy</v>
      </c>
      <c r="Z173" s="71" t="str" cm="1">
        <f t="array" ref="Z173">IFERROR(INDEX(Products[[ProdCode]:[Product]],_xlfn.XMATCH(INDEX(Products[[Product]:[Parent]],_xlfn.XMATCH(Products[[#This Row],[L6N]],Products[Product],0),2),Products[ProdCode],0),2),Products[[#This Row],[L6N]])</f>
        <v>Energy</v>
      </c>
      <c r="AA173" s="71" t="str" cm="1">
        <f t="array" ref="AA173">IFERROR(INDEX(Products[[ProdCode]:[Product]],_xlfn.XMATCH(INDEX(Products[[Product]:[Parent]],_xlfn.XMATCH(Products[[#This Row],[L7N]],Products[Product],0),2),Products[ProdCode],0),2),Products[[#This Row],[L7N]])</f>
        <v>Energy</v>
      </c>
      <c r="AB17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Biomass processing residues</v>
      </c>
      <c r="AH17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Biomass processing residues</v>
      </c>
      <c r="AI17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Biomass processing residues</v>
      </c>
    </row>
    <row r="174" spans="2:35" x14ac:dyDescent="0.45">
      <c r="B174" s="107">
        <v>261310</v>
      </c>
      <c r="C174" s="88" t="s">
        <v>511</v>
      </c>
      <c r="D174" s="107">
        <v>261300</v>
      </c>
      <c r="E174" s="93" t="s">
        <v>1149</v>
      </c>
      <c r="F174" s="19" t="s">
        <v>1188</v>
      </c>
      <c r="G174" s="82" t="s">
        <v>1199</v>
      </c>
      <c r="H174" s="82" t="s">
        <v>83</v>
      </c>
      <c r="I174" s="82"/>
      <c r="J174" s="82"/>
      <c r="K174" s="82" t="s">
        <v>1383</v>
      </c>
      <c r="L174" s="82" t="s">
        <v>1942</v>
      </c>
      <c r="M174" s="82">
        <v>7.7221000000000002</v>
      </c>
      <c r="N174" s="119"/>
      <c r="O174" s="119"/>
      <c r="P174" s="82"/>
      <c r="Q174" s="82" t="s">
        <v>1242</v>
      </c>
      <c r="R174" s="82"/>
      <c r="S174" s="82"/>
      <c r="T174" s="72" t="str" cm="1">
        <f t="array" ref="T174">IFERROR(INDEX(Products[[ProdCode]:[Product]],_xlfn.XMATCH(Products[[#This Row],[Parent]],Products[Product],0),2),Products[[#This Row],[Product]])</f>
        <v>Bagasse</v>
      </c>
      <c r="U174" s="72" t="str" cm="1">
        <f t="array" ref="U174">IFERROR(INDEX(Products[[ProdCode]:[Product]],_xlfn.XMATCH(INDEX(Products[[Product]:[Parent]],_xlfn.XMATCH(Products[[#This Row],[L1N]],Products[Product],0),2),Products[ProdCode],0),2),Products[[#This Row],[L1N]])</f>
        <v>Biomass processing residues</v>
      </c>
      <c r="V174" s="72" t="str" cm="1">
        <f t="array" ref="V174">IFERROR(INDEX(Products[[ProdCode]:[Product]],_xlfn.XMATCH(INDEX(Products[[Product]:[Parent]],_xlfn.XMATCH(Products[[#This Row],[L2N]],Products[Product],0),2),Products[ProdCode],0),2),Products[[#This Row],[L2N]])</f>
        <v>Solid biofuels</v>
      </c>
      <c r="W174" s="72" t="str" cm="1">
        <f t="array" ref="W174">IFERROR(INDEX(Products[[ProdCode]:[Product]],_xlfn.XMATCH(INDEX(Products[[Product]:[Parent]],_xlfn.XMATCH(Products[[#This Row],[L3N]],Products[Product],0),2),Products[ProdCode],0),2),Products[[#This Row],[L3N]])</f>
        <v>Bioenergy</v>
      </c>
      <c r="X174" s="72" t="str" cm="1">
        <f t="array" ref="X174">IFERROR(INDEX(Products[[ProdCode]:[Product]],_xlfn.XMATCH(INDEX(Products[[Product]:[Parent]],_xlfn.XMATCH(Products[[#This Row],[L4N]],Products[Product],0),2),Products[ProdCode],0),2),Products[[#This Row],[L4N]])</f>
        <v>Renewable Energy</v>
      </c>
      <c r="Y174" s="72" t="str" cm="1">
        <f t="array" ref="Y174">IFERROR(INDEX(Products[[ProdCode]:[Product]],_xlfn.XMATCH(INDEX(Products[[Product]:[Parent]],_xlfn.XMATCH(Products[[#This Row],[L5N]],Products[Product],0),2),Products[ProdCode],0),2),Products[[#This Row],[L5N]])</f>
        <v>Energy</v>
      </c>
      <c r="Z174" s="72" t="str" cm="1">
        <f t="array" ref="Z174">IFERROR(INDEX(Products[[ProdCode]:[Product]],_xlfn.XMATCH(INDEX(Products[[Product]:[Parent]],_xlfn.XMATCH(Products[[#This Row],[L6N]],Products[Product],0),2),Products[ProdCode],0),2),Products[[#This Row],[L6N]])</f>
        <v>Energy</v>
      </c>
      <c r="AA174" s="72" t="str" cm="1">
        <f t="array" ref="AA174">IFERROR(INDEX(Products[[ProdCode]:[Product]],_xlfn.XMATCH(INDEX(Products[[Product]:[Parent]],_xlfn.XMATCH(Products[[#This Row],[L7N]],Products[Product],0),2),Products[ProdCode],0),2),Products[[#This Row],[L7N]])</f>
        <v>Energy</v>
      </c>
      <c r="AB17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Bagasse</v>
      </c>
      <c r="AH17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Bagasse</v>
      </c>
      <c r="AI17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Bagasse</v>
      </c>
    </row>
    <row r="175" spans="2:35" x14ac:dyDescent="0.45">
      <c r="B175" s="107">
        <v>261320</v>
      </c>
      <c r="C175" s="88" t="s">
        <v>496</v>
      </c>
      <c r="D175" s="107">
        <v>261300</v>
      </c>
      <c r="E175" s="93" t="s">
        <v>1149</v>
      </c>
      <c r="F175" s="19" t="s">
        <v>1188</v>
      </c>
      <c r="G175" s="82" t="s">
        <v>1199</v>
      </c>
      <c r="H175" s="82" t="s">
        <v>83</v>
      </c>
      <c r="I175" s="82"/>
      <c r="J175" s="82"/>
      <c r="K175" s="82" t="s">
        <v>1624</v>
      </c>
      <c r="L175" s="82" t="s">
        <v>1943</v>
      </c>
      <c r="M175" s="82"/>
      <c r="N175" s="119"/>
      <c r="O175" s="119"/>
      <c r="P175" s="82"/>
      <c r="Q175" s="82" t="s">
        <v>1242</v>
      </c>
      <c r="R175" s="82"/>
      <c r="S175" s="82"/>
      <c r="T175" s="72" t="str" cm="1">
        <f t="array" ref="T175">IFERROR(INDEX(Products[[ProdCode]:[Product]],_xlfn.XMATCH(Products[[#This Row],[Parent]],Products[Product],0),2),Products[[#This Row],[Product]])</f>
        <v>Black liquor</v>
      </c>
      <c r="U175" s="72" t="str" cm="1">
        <f t="array" ref="U175">IFERROR(INDEX(Products[[ProdCode]:[Product]],_xlfn.XMATCH(INDEX(Products[[Product]:[Parent]],_xlfn.XMATCH(Products[[#This Row],[L1N]],Products[Product],0),2),Products[ProdCode],0),2),Products[[#This Row],[L1N]])</f>
        <v>Biomass processing residues</v>
      </c>
      <c r="V175" s="72" t="str" cm="1">
        <f t="array" ref="V175">IFERROR(INDEX(Products[[ProdCode]:[Product]],_xlfn.XMATCH(INDEX(Products[[Product]:[Parent]],_xlfn.XMATCH(Products[[#This Row],[L2N]],Products[Product],0),2),Products[ProdCode],0),2),Products[[#This Row],[L2N]])</f>
        <v>Solid biofuels</v>
      </c>
      <c r="W175" s="72" t="str" cm="1">
        <f t="array" ref="W175">IFERROR(INDEX(Products[[ProdCode]:[Product]],_xlfn.XMATCH(INDEX(Products[[Product]:[Parent]],_xlfn.XMATCH(Products[[#This Row],[L3N]],Products[Product],0),2),Products[ProdCode],0),2),Products[[#This Row],[L3N]])</f>
        <v>Bioenergy</v>
      </c>
      <c r="X175" s="72" t="str" cm="1">
        <f t="array" ref="X175">IFERROR(INDEX(Products[[ProdCode]:[Product]],_xlfn.XMATCH(INDEX(Products[[Product]:[Parent]],_xlfn.XMATCH(Products[[#This Row],[L4N]],Products[Product],0),2),Products[ProdCode],0),2),Products[[#This Row],[L4N]])</f>
        <v>Renewable Energy</v>
      </c>
      <c r="Y175" s="72" t="str" cm="1">
        <f t="array" ref="Y175">IFERROR(INDEX(Products[[ProdCode]:[Product]],_xlfn.XMATCH(INDEX(Products[[Product]:[Parent]],_xlfn.XMATCH(Products[[#This Row],[L5N]],Products[Product],0),2),Products[ProdCode],0),2),Products[[#This Row],[L5N]])</f>
        <v>Energy</v>
      </c>
      <c r="Z175" s="72" t="str" cm="1">
        <f t="array" ref="Z175">IFERROR(INDEX(Products[[ProdCode]:[Product]],_xlfn.XMATCH(INDEX(Products[[Product]:[Parent]],_xlfn.XMATCH(Products[[#This Row],[L6N]],Products[Product],0),2),Products[ProdCode],0),2),Products[[#This Row],[L6N]])</f>
        <v>Energy</v>
      </c>
      <c r="AA175" s="72" t="str" cm="1">
        <f t="array" ref="AA175">IFERROR(INDEX(Products[[ProdCode]:[Product]],_xlfn.XMATCH(INDEX(Products[[Product]:[Parent]],_xlfn.XMATCH(Products[[#This Row],[L7N]],Products[Product],0),2),Products[ProdCode],0),2),Products[[#This Row],[L7N]])</f>
        <v>Energy</v>
      </c>
      <c r="AB17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Black liquor</v>
      </c>
      <c r="AH17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Black liquor</v>
      </c>
      <c r="AI17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Black liquor</v>
      </c>
    </row>
    <row r="176" spans="2:35" x14ac:dyDescent="0.45">
      <c r="B176" s="107">
        <v>261330</v>
      </c>
      <c r="C176" s="88" t="s">
        <v>970</v>
      </c>
      <c r="D176" s="107">
        <v>261300</v>
      </c>
      <c r="E176" s="93" t="s">
        <v>1149</v>
      </c>
      <c r="F176" s="19" t="s">
        <v>1188</v>
      </c>
      <c r="G176" s="82" t="s">
        <v>1199</v>
      </c>
      <c r="H176" s="82" t="s">
        <v>83</v>
      </c>
      <c r="I176" s="82"/>
      <c r="J176" s="82"/>
      <c r="K176" s="82" t="s">
        <v>1422</v>
      </c>
      <c r="L176" s="82"/>
      <c r="M176" s="82"/>
      <c r="N176" s="119"/>
      <c r="O176" s="119"/>
      <c r="P176" s="82"/>
      <c r="Q176" s="82" t="s">
        <v>1242</v>
      </c>
      <c r="R176" s="82"/>
      <c r="S176" s="82"/>
      <c r="T176" s="72" t="str" cm="1">
        <f t="array" ref="T176">IFERROR(INDEX(Products[[ProdCode]:[Product]],_xlfn.XMATCH(Products[[#This Row],[Parent]],Products[Product],0),2),Products[[#This Row],[Product]])</f>
        <v>Plant husks</v>
      </c>
      <c r="U176" s="72" t="str" cm="1">
        <f t="array" ref="U176">IFERROR(INDEX(Products[[ProdCode]:[Product]],_xlfn.XMATCH(INDEX(Products[[Product]:[Parent]],_xlfn.XMATCH(Products[[#This Row],[L1N]],Products[Product],0),2),Products[ProdCode],0),2),Products[[#This Row],[L1N]])</f>
        <v>Biomass processing residues</v>
      </c>
      <c r="V176" s="72" t="str" cm="1">
        <f t="array" ref="V176">IFERROR(INDEX(Products[[ProdCode]:[Product]],_xlfn.XMATCH(INDEX(Products[[Product]:[Parent]],_xlfn.XMATCH(Products[[#This Row],[L2N]],Products[Product],0),2),Products[ProdCode],0),2),Products[[#This Row],[L2N]])</f>
        <v>Solid biofuels</v>
      </c>
      <c r="W176" s="72" t="str" cm="1">
        <f t="array" ref="W176">IFERROR(INDEX(Products[[ProdCode]:[Product]],_xlfn.XMATCH(INDEX(Products[[Product]:[Parent]],_xlfn.XMATCH(Products[[#This Row],[L3N]],Products[Product],0),2),Products[ProdCode],0),2),Products[[#This Row],[L3N]])</f>
        <v>Bioenergy</v>
      </c>
      <c r="X176" s="72" t="str" cm="1">
        <f t="array" ref="X176">IFERROR(INDEX(Products[[ProdCode]:[Product]],_xlfn.XMATCH(INDEX(Products[[Product]:[Parent]],_xlfn.XMATCH(Products[[#This Row],[L4N]],Products[Product],0),2),Products[ProdCode],0),2),Products[[#This Row],[L4N]])</f>
        <v>Renewable Energy</v>
      </c>
      <c r="Y176" s="72" t="str" cm="1">
        <f t="array" ref="Y176">IFERROR(INDEX(Products[[ProdCode]:[Product]],_xlfn.XMATCH(INDEX(Products[[Product]:[Parent]],_xlfn.XMATCH(Products[[#This Row],[L5N]],Products[Product],0),2),Products[ProdCode],0),2),Products[[#This Row],[L5N]])</f>
        <v>Energy</v>
      </c>
      <c r="Z176" s="72" t="str" cm="1">
        <f t="array" ref="Z176">IFERROR(INDEX(Products[[ProdCode]:[Product]],_xlfn.XMATCH(INDEX(Products[[Product]:[Parent]],_xlfn.XMATCH(Products[[#This Row],[L6N]],Products[Product],0),2),Products[ProdCode],0),2),Products[[#This Row],[L6N]])</f>
        <v>Energy</v>
      </c>
      <c r="AA176" s="72" t="str" cm="1">
        <f t="array" ref="AA176">IFERROR(INDEX(Products[[ProdCode]:[Product]],_xlfn.XMATCH(INDEX(Products[[Product]:[Parent]],_xlfn.XMATCH(Products[[#This Row],[L7N]],Products[Product],0),2),Products[ProdCode],0),2),Products[[#This Row],[L7N]])</f>
        <v>Energy</v>
      </c>
      <c r="AB17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Plant husks</v>
      </c>
      <c r="AH17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Plant husks</v>
      </c>
      <c r="AI17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Plant husks</v>
      </c>
    </row>
    <row r="177" spans="2:35" x14ac:dyDescent="0.45">
      <c r="B177" s="107">
        <v>261340</v>
      </c>
      <c r="C177" s="88" t="s">
        <v>971</v>
      </c>
      <c r="D177" s="107">
        <v>261300</v>
      </c>
      <c r="E177" s="93" t="s">
        <v>1149</v>
      </c>
      <c r="F177" s="19" t="s">
        <v>1188</v>
      </c>
      <c r="G177" s="82" t="s">
        <v>1199</v>
      </c>
      <c r="H177" s="82" t="s">
        <v>83</v>
      </c>
      <c r="I177" s="82"/>
      <c r="J177" s="82"/>
      <c r="K177" s="82" t="s">
        <v>1423</v>
      </c>
      <c r="L177" s="82"/>
      <c r="M177" s="82"/>
      <c r="N177" s="119"/>
      <c r="O177" s="119"/>
      <c r="P177" s="82"/>
      <c r="Q177" s="82" t="s">
        <v>1242</v>
      </c>
      <c r="R177" s="82"/>
      <c r="S177" s="82"/>
      <c r="T177" s="72" t="str" cm="1">
        <f t="array" ref="T177">IFERROR(INDEX(Products[[ProdCode]:[Product]],_xlfn.XMATCH(Products[[#This Row],[Parent]],Products[Product],0),2),Products[[#This Row],[Product]])</f>
        <v>Plant shells</v>
      </c>
      <c r="U177" s="72" t="str" cm="1">
        <f t="array" ref="U177">IFERROR(INDEX(Products[[ProdCode]:[Product]],_xlfn.XMATCH(INDEX(Products[[Product]:[Parent]],_xlfn.XMATCH(Products[[#This Row],[L1N]],Products[Product],0),2),Products[ProdCode],0),2),Products[[#This Row],[L1N]])</f>
        <v>Biomass processing residues</v>
      </c>
      <c r="V177" s="72" t="str" cm="1">
        <f t="array" ref="V177">IFERROR(INDEX(Products[[ProdCode]:[Product]],_xlfn.XMATCH(INDEX(Products[[Product]:[Parent]],_xlfn.XMATCH(Products[[#This Row],[L2N]],Products[Product],0),2),Products[ProdCode],0),2),Products[[#This Row],[L2N]])</f>
        <v>Solid biofuels</v>
      </c>
      <c r="W177" s="72" t="str" cm="1">
        <f t="array" ref="W177">IFERROR(INDEX(Products[[ProdCode]:[Product]],_xlfn.XMATCH(INDEX(Products[[Product]:[Parent]],_xlfn.XMATCH(Products[[#This Row],[L3N]],Products[Product],0),2),Products[ProdCode],0),2),Products[[#This Row],[L3N]])</f>
        <v>Bioenergy</v>
      </c>
      <c r="X177" s="72" t="str" cm="1">
        <f t="array" ref="X177">IFERROR(INDEX(Products[[ProdCode]:[Product]],_xlfn.XMATCH(INDEX(Products[[Product]:[Parent]],_xlfn.XMATCH(Products[[#This Row],[L4N]],Products[Product],0),2),Products[ProdCode],0),2),Products[[#This Row],[L4N]])</f>
        <v>Renewable Energy</v>
      </c>
      <c r="Y177" s="72" t="str" cm="1">
        <f t="array" ref="Y177">IFERROR(INDEX(Products[[ProdCode]:[Product]],_xlfn.XMATCH(INDEX(Products[[Product]:[Parent]],_xlfn.XMATCH(Products[[#This Row],[L5N]],Products[Product],0),2),Products[ProdCode],0),2),Products[[#This Row],[L5N]])</f>
        <v>Energy</v>
      </c>
      <c r="Z177" s="72" t="str" cm="1">
        <f t="array" ref="Z177">IFERROR(INDEX(Products[[ProdCode]:[Product]],_xlfn.XMATCH(INDEX(Products[[Product]:[Parent]],_xlfn.XMATCH(Products[[#This Row],[L6N]],Products[Product],0),2),Products[ProdCode],0),2),Products[[#This Row],[L6N]])</f>
        <v>Energy</v>
      </c>
      <c r="AA177" s="72" t="str" cm="1">
        <f t="array" ref="AA177">IFERROR(INDEX(Products[[ProdCode]:[Product]],_xlfn.XMATCH(INDEX(Products[[Product]:[Parent]],_xlfn.XMATCH(Products[[#This Row],[L7N]],Products[Product],0),2),Products[ProdCode],0),2),Products[[#This Row],[L7N]])</f>
        <v>Energy</v>
      </c>
      <c r="AB17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Plant shells</v>
      </c>
      <c r="AH17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Plant shells</v>
      </c>
      <c r="AI17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Plant shells</v>
      </c>
    </row>
    <row r="178" spans="2:35" x14ac:dyDescent="0.45">
      <c r="B178" s="107">
        <v>261350</v>
      </c>
      <c r="C178" s="88" t="s">
        <v>1143</v>
      </c>
      <c r="D178" s="107">
        <v>261300</v>
      </c>
      <c r="E178" s="93" t="s">
        <v>1149</v>
      </c>
      <c r="F178" s="19" t="s">
        <v>1188</v>
      </c>
      <c r="G178" s="82" t="s">
        <v>1199</v>
      </c>
      <c r="H178" s="82" t="s">
        <v>83</v>
      </c>
      <c r="I178" s="82"/>
      <c r="J178" s="82"/>
      <c r="K178" s="82" t="s">
        <v>1424</v>
      </c>
      <c r="L178" s="82"/>
      <c r="M178" s="82"/>
      <c r="N178" s="119"/>
      <c r="O178" s="119"/>
      <c r="P178" s="82"/>
      <c r="Q178" s="82" t="s">
        <v>1242</v>
      </c>
      <c r="R178" s="82"/>
      <c r="S178" s="82"/>
      <c r="T178" s="72" t="str" cm="1">
        <f t="array" ref="T178">IFERROR(INDEX(Products[[ProdCode]:[Product]],_xlfn.XMATCH(Products[[#This Row],[Parent]],Products[Product],0),2),Products[[#This Row],[Product]])</f>
        <v>Solid wood processing residues</v>
      </c>
      <c r="U178" s="72" t="str" cm="1">
        <f t="array" ref="U178">IFERROR(INDEX(Products[[ProdCode]:[Product]],_xlfn.XMATCH(INDEX(Products[[Product]:[Parent]],_xlfn.XMATCH(Products[[#This Row],[L1N]],Products[Product],0),2),Products[ProdCode],0),2),Products[[#This Row],[L1N]])</f>
        <v>Biomass processing residues</v>
      </c>
      <c r="V178" s="72" t="str" cm="1">
        <f t="array" ref="V178">IFERROR(INDEX(Products[[ProdCode]:[Product]],_xlfn.XMATCH(INDEX(Products[[Product]:[Parent]],_xlfn.XMATCH(Products[[#This Row],[L2N]],Products[Product],0),2),Products[ProdCode],0),2),Products[[#This Row],[L2N]])</f>
        <v>Solid biofuels</v>
      </c>
      <c r="W178" s="72" t="str" cm="1">
        <f t="array" ref="W178">IFERROR(INDEX(Products[[ProdCode]:[Product]],_xlfn.XMATCH(INDEX(Products[[Product]:[Parent]],_xlfn.XMATCH(Products[[#This Row],[L3N]],Products[Product],0),2),Products[ProdCode],0),2),Products[[#This Row],[L3N]])</f>
        <v>Bioenergy</v>
      </c>
      <c r="X178" s="72" t="str" cm="1">
        <f t="array" ref="X178">IFERROR(INDEX(Products[[ProdCode]:[Product]],_xlfn.XMATCH(INDEX(Products[[Product]:[Parent]],_xlfn.XMATCH(Products[[#This Row],[L4N]],Products[Product],0),2),Products[ProdCode],0),2),Products[[#This Row],[L4N]])</f>
        <v>Renewable Energy</v>
      </c>
      <c r="Y178" s="72" t="str" cm="1">
        <f t="array" ref="Y178">IFERROR(INDEX(Products[[ProdCode]:[Product]],_xlfn.XMATCH(INDEX(Products[[Product]:[Parent]],_xlfn.XMATCH(Products[[#This Row],[L5N]],Products[Product],0),2),Products[ProdCode],0),2),Products[[#This Row],[L5N]])</f>
        <v>Energy</v>
      </c>
      <c r="Z178" s="72" t="str" cm="1">
        <f t="array" ref="Z178">IFERROR(INDEX(Products[[ProdCode]:[Product]],_xlfn.XMATCH(INDEX(Products[[Product]:[Parent]],_xlfn.XMATCH(Products[[#This Row],[L6N]],Products[Product],0),2),Products[ProdCode],0),2),Products[[#This Row],[L6N]])</f>
        <v>Energy</v>
      </c>
      <c r="AA178" s="72" t="str" cm="1">
        <f t="array" ref="AA178">IFERROR(INDEX(Products[[ProdCode]:[Product]],_xlfn.XMATCH(INDEX(Products[[Product]:[Parent]],_xlfn.XMATCH(Products[[#This Row],[L7N]],Products[Product],0),2),Products[ProdCode],0),2),Products[[#This Row],[L7N]])</f>
        <v>Energy</v>
      </c>
      <c r="AB17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Solid wood processing residues</v>
      </c>
      <c r="AH17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Solid wood processing residues</v>
      </c>
      <c r="AI17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Solid wood processing residues</v>
      </c>
    </row>
    <row r="179" spans="2:35" x14ac:dyDescent="0.45">
      <c r="B179" s="107">
        <v>261360</v>
      </c>
      <c r="C179" s="88" t="s">
        <v>972</v>
      </c>
      <c r="D179" s="107">
        <v>261300</v>
      </c>
      <c r="E179" s="93" t="s">
        <v>1149</v>
      </c>
      <c r="F179" s="19" t="s">
        <v>1188</v>
      </c>
      <c r="G179" s="82" t="s">
        <v>1199</v>
      </c>
      <c r="H179" s="82" t="s">
        <v>83</v>
      </c>
      <c r="I179" s="82"/>
      <c r="J179" s="82"/>
      <c r="K179" s="82" t="s">
        <v>1625</v>
      </c>
      <c r="L179" s="82"/>
      <c r="M179" s="82">
        <v>38</v>
      </c>
      <c r="N179" s="119"/>
      <c r="O179" s="119">
        <v>0.74</v>
      </c>
      <c r="P179" s="82"/>
      <c r="Q179" s="82" t="s">
        <v>1242</v>
      </c>
      <c r="R179" s="82"/>
      <c r="S179" s="82"/>
      <c r="T179" s="72" t="str" cm="1">
        <f t="array" ref="T179">IFERROR(INDEX(Products[[ProdCode]:[Product]],_xlfn.XMATCH(Products[[#This Row],[Parent]],Products[Product],0),2),Products[[#This Row],[Product]])</f>
        <v>Oil plant residues</v>
      </c>
      <c r="U179" s="72" t="str" cm="1">
        <f t="array" ref="U179">IFERROR(INDEX(Products[[ProdCode]:[Product]],_xlfn.XMATCH(INDEX(Products[[Product]:[Parent]],_xlfn.XMATCH(Products[[#This Row],[L1N]],Products[Product],0),2),Products[ProdCode],0),2),Products[[#This Row],[L1N]])</f>
        <v>Biomass processing residues</v>
      </c>
      <c r="V179" s="72" t="str" cm="1">
        <f t="array" ref="V179">IFERROR(INDEX(Products[[ProdCode]:[Product]],_xlfn.XMATCH(INDEX(Products[[Product]:[Parent]],_xlfn.XMATCH(Products[[#This Row],[L2N]],Products[Product],0),2),Products[ProdCode],0),2),Products[[#This Row],[L2N]])</f>
        <v>Solid biofuels</v>
      </c>
      <c r="W179" s="72" t="str" cm="1">
        <f t="array" ref="W179">IFERROR(INDEX(Products[[ProdCode]:[Product]],_xlfn.XMATCH(INDEX(Products[[Product]:[Parent]],_xlfn.XMATCH(Products[[#This Row],[L3N]],Products[Product],0),2),Products[ProdCode],0),2),Products[[#This Row],[L3N]])</f>
        <v>Bioenergy</v>
      </c>
      <c r="X179" s="72" t="str" cm="1">
        <f t="array" ref="X179">IFERROR(INDEX(Products[[ProdCode]:[Product]],_xlfn.XMATCH(INDEX(Products[[Product]:[Parent]],_xlfn.XMATCH(Products[[#This Row],[L4N]],Products[Product],0),2),Products[ProdCode],0),2),Products[[#This Row],[L4N]])</f>
        <v>Renewable Energy</v>
      </c>
      <c r="Y179" s="72" t="str" cm="1">
        <f t="array" ref="Y179">IFERROR(INDEX(Products[[ProdCode]:[Product]],_xlfn.XMATCH(INDEX(Products[[Product]:[Parent]],_xlfn.XMATCH(Products[[#This Row],[L5N]],Products[Product],0),2),Products[ProdCode],0),2),Products[[#This Row],[L5N]])</f>
        <v>Energy</v>
      </c>
      <c r="Z179" s="72" t="str" cm="1">
        <f t="array" ref="Z179">IFERROR(INDEX(Products[[ProdCode]:[Product]],_xlfn.XMATCH(INDEX(Products[[Product]:[Parent]],_xlfn.XMATCH(Products[[#This Row],[L6N]],Products[Product],0),2),Products[ProdCode],0),2),Products[[#This Row],[L6N]])</f>
        <v>Energy</v>
      </c>
      <c r="AA179" s="72" t="str" cm="1">
        <f t="array" ref="AA179">IFERROR(INDEX(Products[[ProdCode]:[Product]],_xlfn.XMATCH(INDEX(Products[[Product]:[Parent]],_xlfn.XMATCH(Products[[#This Row],[L7N]],Products[Product],0),2),Products[ProdCode],0),2),Products[[#This Row],[L7N]])</f>
        <v>Energy</v>
      </c>
      <c r="AB17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7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7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7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7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7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Oil plant residues</v>
      </c>
      <c r="AH17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 plant residues</v>
      </c>
      <c r="AI17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 plant residues</v>
      </c>
    </row>
    <row r="180" spans="2:35" x14ac:dyDescent="0.45">
      <c r="B180" s="107">
        <v>261390</v>
      </c>
      <c r="C180" s="88" t="s">
        <v>1146</v>
      </c>
      <c r="D180" s="107">
        <v>261300</v>
      </c>
      <c r="E180" s="93" t="s">
        <v>1149</v>
      </c>
      <c r="F180" s="19" t="s">
        <v>1188</v>
      </c>
      <c r="G180" s="82" t="s">
        <v>1199</v>
      </c>
      <c r="H180" s="82" t="s">
        <v>83</v>
      </c>
      <c r="I180" s="82"/>
      <c r="J180" s="82"/>
      <c r="K180" s="82" t="s">
        <v>1623</v>
      </c>
      <c r="L180" s="82" t="s">
        <v>1944</v>
      </c>
      <c r="M180" s="82">
        <v>18</v>
      </c>
      <c r="N180" s="119"/>
      <c r="O180" s="119"/>
      <c r="P180" s="82"/>
      <c r="Q180" s="82" t="s">
        <v>1242</v>
      </c>
      <c r="R180" s="82"/>
      <c r="S180" s="82"/>
      <c r="T180" s="72" t="str" cm="1">
        <f t="array" ref="T180">IFERROR(INDEX(Products[[ProdCode]:[Product]],_xlfn.XMATCH(Products[[#This Row],[Parent]],Products[Product],0),2),Products[[#This Row],[Product]])</f>
        <v>Other biomass processing residues</v>
      </c>
      <c r="U180" s="72" t="str" cm="1">
        <f t="array" ref="U180">IFERROR(INDEX(Products[[ProdCode]:[Product]],_xlfn.XMATCH(INDEX(Products[[Product]:[Parent]],_xlfn.XMATCH(Products[[#This Row],[L1N]],Products[Product],0),2),Products[ProdCode],0),2),Products[[#This Row],[L1N]])</f>
        <v>Biomass processing residues</v>
      </c>
      <c r="V180" s="72" t="str" cm="1">
        <f t="array" ref="V180">IFERROR(INDEX(Products[[ProdCode]:[Product]],_xlfn.XMATCH(INDEX(Products[[Product]:[Parent]],_xlfn.XMATCH(Products[[#This Row],[L2N]],Products[Product],0),2),Products[ProdCode],0),2),Products[[#This Row],[L2N]])</f>
        <v>Solid biofuels</v>
      </c>
      <c r="W180" s="72" t="str" cm="1">
        <f t="array" ref="W180">IFERROR(INDEX(Products[[ProdCode]:[Product]],_xlfn.XMATCH(INDEX(Products[[Product]:[Parent]],_xlfn.XMATCH(Products[[#This Row],[L3N]],Products[Product],0),2),Products[ProdCode],0),2),Products[[#This Row],[L3N]])</f>
        <v>Bioenergy</v>
      </c>
      <c r="X180" s="72" t="str" cm="1">
        <f t="array" ref="X180">IFERROR(INDEX(Products[[ProdCode]:[Product]],_xlfn.XMATCH(INDEX(Products[[Product]:[Parent]],_xlfn.XMATCH(Products[[#This Row],[L4N]],Products[Product],0),2),Products[ProdCode],0),2),Products[[#This Row],[L4N]])</f>
        <v>Renewable Energy</v>
      </c>
      <c r="Y180" s="72" t="str" cm="1">
        <f t="array" ref="Y180">IFERROR(INDEX(Products[[ProdCode]:[Product]],_xlfn.XMATCH(INDEX(Products[[Product]:[Parent]],_xlfn.XMATCH(Products[[#This Row],[L5N]],Products[Product],0),2),Products[ProdCode],0),2),Products[[#This Row],[L5N]])</f>
        <v>Energy</v>
      </c>
      <c r="Z180" s="72" t="str" cm="1">
        <f t="array" ref="Z180">IFERROR(INDEX(Products[[ProdCode]:[Product]],_xlfn.XMATCH(INDEX(Products[[Product]:[Parent]],_xlfn.XMATCH(Products[[#This Row],[L6N]],Products[Product],0),2),Products[ProdCode],0),2),Products[[#This Row],[L6N]])</f>
        <v>Energy</v>
      </c>
      <c r="AA180" s="72" t="str" cm="1">
        <f t="array" ref="AA180">IFERROR(INDEX(Products[[ProdCode]:[Product]],_xlfn.XMATCH(INDEX(Products[[Product]:[Parent]],_xlfn.XMATCH(Products[[#This Row],[L7N]],Products[Product],0),2),Products[ProdCode],0),2),Products[[#This Row],[L7N]])</f>
        <v>Energy</v>
      </c>
      <c r="AB18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processing residues</v>
      </c>
      <c r="AG18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biomass processing residues</v>
      </c>
      <c r="AH18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biomass processing residues</v>
      </c>
      <c r="AI18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biomass processing residues</v>
      </c>
    </row>
    <row r="181" spans="2:35" x14ac:dyDescent="0.45">
      <c r="B181" s="106">
        <v>261400</v>
      </c>
      <c r="C181" s="85" t="s">
        <v>973</v>
      </c>
      <c r="D181" s="106">
        <v>261000</v>
      </c>
      <c r="E181" s="93" t="s">
        <v>1149</v>
      </c>
      <c r="F181" s="19" t="s">
        <v>1188</v>
      </c>
      <c r="G181" s="82" t="s">
        <v>53</v>
      </c>
      <c r="H181" s="82" t="s">
        <v>65</v>
      </c>
      <c r="I181" s="82"/>
      <c r="J181" s="82"/>
      <c r="K181" s="82" t="s">
        <v>1384</v>
      </c>
      <c r="L181" s="82"/>
      <c r="M181" s="82"/>
      <c r="N181" s="119"/>
      <c r="O181" s="119"/>
      <c r="P181" s="82"/>
      <c r="Q181" s="82" t="s">
        <v>1242</v>
      </c>
      <c r="R181" s="82"/>
      <c r="S181" s="82"/>
      <c r="T181" s="71" t="str" cm="1">
        <f t="array" ref="T181">IFERROR(INDEX(Products[[ProdCode]:[Product]],_xlfn.XMATCH(Products[[#This Row],[Parent]],Products[Product],0),2),Products[[#This Row],[Product]])</f>
        <v>Animal residues</v>
      </c>
      <c r="U181" s="71" t="str" cm="1">
        <f t="array" ref="U181">IFERROR(INDEX(Products[[ProdCode]:[Product]],_xlfn.XMATCH(INDEX(Products[[Product]:[Parent]],_xlfn.XMATCH(Products[[#This Row],[L1N]],Products[Product],0),2),Products[ProdCode],0),2),Products[[#This Row],[L1N]])</f>
        <v>Solid biofuels</v>
      </c>
      <c r="V181" s="71" t="str" cm="1">
        <f t="array" ref="V181">IFERROR(INDEX(Products[[ProdCode]:[Product]],_xlfn.XMATCH(INDEX(Products[[Product]:[Parent]],_xlfn.XMATCH(Products[[#This Row],[L2N]],Products[Product],0),2),Products[ProdCode],0),2),Products[[#This Row],[L2N]])</f>
        <v>Bioenergy</v>
      </c>
      <c r="W181" s="71" t="str" cm="1">
        <f t="array" ref="W181">IFERROR(INDEX(Products[[ProdCode]:[Product]],_xlfn.XMATCH(INDEX(Products[[Product]:[Parent]],_xlfn.XMATCH(Products[[#This Row],[L3N]],Products[Product],0),2),Products[ProdCode],0),2),Products[[#This Row],[L3N]])</f>
        <v>Renewable Energy</v>
      </c>
      <c r="X181" s="71" t="str" cm="1">
        <f t="array" ref="X181">IFERROR(INDEX(Products[[ProdCode]:[Product]],_xlfn.XMATCH(INDEX(Products[[Product]:[Parent]],_xlfn.XMATCH(Products[[#This Row],[L4N]],Products[Product],0),2),Products[ProdCode],0),2),Products[[#This Row],[L4N]])</f>
        <v>Energy</v>
      </c>
      <c r="Y181" s="71" t="str" cm="1">
        <f t="array" ref="Y181">IFERROR(INDEX(Products[[ProdCode]:[Product]],_xlfn.XMATCH(INDEX(Products[[Product]:[Parent]],_xlfn.XMATCH(Products[[#This Row],[L5N]],Products[Product],0),2),Products[ProdCode],0),2),Products[[#This Row],[L5N]])</f>
        <v>Energy</v>
      </c>
      <c r="Z181" s="71" t="str" cm="1">
        <f t="array" ref="Z181">IFERROR(INDEX(Products[[ProdCode]:[Product]],_xlfn.XMATCH(INDEX(Products[[Product]:[Parent]],_xlfn.XMATCH(Products[[#This Row],[L6N]],Products[Product],0),2),Products[ProdCode],0),2),Products[[#This Row],[L6N]])</f>
        <v>Energy</v>
      </c>
      <c r="AA181" s="71" t="str" cm="1">
        <f t="array" ref="AA181">IFERROR(INDEX(Products[[ProdCode]:[Product]],_xlfn.XMATCH(INDEX(Products[[Product]:[Parent]],_xlfn.XMATCH(Products[[#This Row],[L7N]],Products[Product],0),2),Products[ProdCode],0),2),Products[[#This Row],[L7N]])</f>
        <v>Energy</v>
      </c>
      <c r="AB18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Animal residues</v>
      </c>
      <c r="AG18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Animal residues</v>
      </c>
      <c r="AH18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Animal residues</v>
      </c>
      <c r="AI18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Animal residues</v>
      </c>
    </row>
    <row r="182" spans="2:35" x14ac:dyDescent="0.45">
      <c r="B182" s="107">
        <v>261410</v>
      </c>
      <c r="C182" s="88" t="s">
        <v>974</v>
      </c>
      <c r="D182" s="107">
        <v>261400</v>
      </c>
      <c r="E182" s="93" t="s">
        <v>1149</v>
      </c>
      <c r="F182" s="19" t="s">
        <v>1188</v>
      </c>
      <c r="G182" s="82" t="s">
        <v>1199</v>
      </c>
      <c r="H182" s="82" t="s">
        <v>83</v>
      </c>
      <c r="I182" s="82"/>
      <c r="J182" s="82"/>
      <c r="K182" s="82" t="s">
        <v>1385</v>
      </c>
      <c r="L182" s="82"/>
      <c r="M182" s="82">
        <v>14</v>
      </c>
      <c r="N182" s="119"/>
      <c r="O182" s="119"/>
      <c r="P182" s="82"/>
      <c r="Q182" s="82" t="s">
        <v>1242</v>
      </c>
      <c r="R182" s="82"/>
      <c r="S182" s="82"/>
      <c r="T182" s="72" t="str" cm="1">
        <f t="array" ref="T182">IFERROR(INDEX(Products[[ProdCode]:[Product]],_xlfn.XMATCH(Products[[#This Row],[Parent]],Products[Product],0),2),Products[[#This Row],[Product]])</f>
        <v>Manure/dung</v>
      </c>
      <c r="U182" s="72" t="str" cm="1">
        <f t="array" ref="U182">IFERROR(INDEX(Products[[ProdCode]:[Product]],_xlfn.XMATCH(INDEX(Products[[Product]:[Parent]],_xlfn.XMATCH(Products[[#This Row],[L1N]],Products[Product],0),2),Products[ProdCode],0),2),Products[[#This Row],[L1N]])</f>
        <v>Animal residues</v>
      </c>
      <c r="V182" s="72" t="str" cm="1">
        <f t="array" ref="V182">IFERROR(INDEX(Products[[ProdCode]:[Product]],_xlfn.XMATCH(INDEX(Products[[Product]:[Parent]],_xlfn.XMATCH(Products[[#This Row],[L2N]],Products[Product],0),2),Products[ProdCode],0),2),Products[[#This Row],[L2N]])</f>
        <v>Solid biofuels</v>
      </c>
      <c r="W182" s="72" t="str" cm="1">
        <f t="array" ref="W182">IFERROR(INDEX(Products[[ProdCode]:[Product]],_xlfn.XMATCH(INDEX(Products[[Product]:[Parent]],_xlfn.XMATCH(Products[[#This Row],[L3N]],Products[Product],0),2),Products[ProdCode],0),2),Products[[#This Row],[L3N]])</f>
        <v>Bioenergy</v>
      </c>
      <c r="X182" s="72" t="str" cm="1">
        <f t="array" ref="X182">IFERROR(INDEX(Products[[ProdCode]:[Product]],_xlfn.XMATCH(INDEX(Products[[Product]:[Parent]],_xlfn.XMATCH(Products[[#This Row],[L4N]],Products[Product],0),2),Products[ProdCode],0),2),Products[[#This Row],[L4N]])</f>
        <v>Renewable Energy</v>
      </c>
      <c r="Y182" s="72" t="str" cm="1">
        <f t="array" ref="Y182">IFERROR(INDEX(Products[[ProdCode]:[Product]],_xlfn.XMATCH(INDEX(Products[[Product]:[Parent]],_xlfn.XMATCH(Products[[#This Row],[L5N]],Products[Product],0),2),Products[ProdCode],0),2),Products[[#This Row],[L5N]])</f>
        <v>Energy</v>
      </c>
      <c r="Z182" s="72" t="str" cm="1">
        <f t="array" ref="Z182">IFERROR(INDEX(Products[[ProdCode]:[Product]],_xlfn.XMATCH(INDEX(Products[[Product]:[Parent]],_xlfn.XMATCH(Products[[#This Row],[L6N]],Products[Product],0),2),Products[ProdCode],0),2),Products[[#This Row],[L6N]])</f>
        <v>Energy</v>
      </c>
      <c r="AA182" s="72" t="str" cm="1">
        <f t="array" ref="AA182">IFERROR(INDEX(Products[[ProdCode]:[Product]],_xlfn.XMATCH(INDEX(Products[[Product]:[Parent]],_xlfn.XMATCH(Products[[#This Row],[L7N]],Products[Product],0),2),Products[ProdCode],0),2),Products[[#This Row],[L7N]])</f>
        <v>Energy</v>
      </c>
      <c r="AB18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Animal residues</v>
      </c>
      <c r="AG18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Manure/dung</v>
      </c>
      <c r="AH18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Manure/dung</v>
      </c>
      <c r="AI18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Manure/dung</v>
      </c>
    </row>
    <row r="183" spans="2:35" x14ac:dyDescent="0.45">
      <c r="B183" s="107">
        <v>261420</v>
      </c>
      <c r="C183" s="88" t="s">
        <v>975</v>
      </c>
      <c r="D183" s="107">
        <v>261400</v>
      </c>
      <c r="E183" s="93" t="s">
        <v>1149</v>
      </c>
      <c r="F183" s="19" t="s">
        <v>1188</v>
      </c>
      <c r="G183" s="82" t="s">
        <v>1199</v>
      </c>
      <c r="H183" s="82" t="s">
        <v>83</v>
      </c>
      <c r="I183" s="82"/>
      <c r="J183" s="82"/>
      <c r="K183" s="82" t="s">
        <v>1626</v>
      </c>
      <c r="L183" s="82" t="s">
        <v>1945</v>
      </c>
      <c r="M183" s="82"/>
      <c r="N183" s="119"/>
      <c r="O183" s="119"/>
      <c r="P183" s="82"/>
      <c r="Q183" s="82" t="s">
        <v>1242</v>
      </c>
      <c r="R183" s="82"/>
      <c r="S183" s="82"/>
      <c r="T183" s="72" t="str" cm="1">
        <f t="array" ref="T183">IFERROR(INDEX(Products[[ProdCode]:[Product]],_xlfn.XMATCH(Products[[#This Row],[Parent]],Products[Product],0),2),Products[[#This Row],[Product]])</f>
        <v>Animal processing residues</v>
      </c>
      <c r="U183" s="72" t="str" cm="1">
        <f t="array" ref="U183">IFERROR(INDEX(Products[[ProdCode]:[Product]],_xlfn.XMATCH(INDEX(Products[[Product]:[Parent]],_xlfn.XMATCH(Products[[#This Row],[L1N]],Products[Product],0),2),Products[ProdCode],0),2),Products[[#This Row],[L1N]])</f>
        <v>Animal residues</v>
      </c>
      <c r="V183" s="72" t="str" cm="1">
        <f t="array" ref="V183">IFERROR(INDEX(Products[[ProdCode]:[Product]],_xlfn.XMATCH(INDEX(Products[[Product]:[Parent]],_xlfn.XMATCH(Products[[#This Row],[L2N]],Products[Product],0),2),Products[ProdCode],0),2),Products[[#This Row],[L2N]])</f>
        <v>Solid biofuels</v>
      </c>
      <c r="W183" s="72" t="str" cm="1">
        <f t="array" ref="W183">IFERROR(INDEX(Products[[ProdCode]:[Product]],_xlfn.XMATCH(INDEX(Products[[Product]:[Parent]],_xlfn.XMATCH(Products[[#This Row],[L3N]],Products[Product],0),2),Products[ProdCode],0),2),Products[[#This Row],[L3N]])</f>
        <v>Bioenergy</v>
      </c>
      <c r="X183" s="72" t="str" cm="1">
        <f t="array" ref="X183">IFERROR(INDEX(Products[[ProdCode]:[Product]],_xlfn.XMATCH(INDEX(Products[[Product]:[Parent]],_xlfn.XMATCH(Products[[#This Row],[L4N]],Products[Product],0),2),Products[ProdCode],0),2),Products[[#This Row],[L4N]])</f>
        <v>Renewable Energy</v>
      </c>
      <c r="Y183" s="72" t="str" cm="1">
        <f t="array" ref="Y183">IFERROR(INDEX(Products[[ProdCode]:[Product]],_xlfn.XMATCH(INDEX(Products[[Product]:[Parent]],_xlfn.XMATCH(Products[[#This Row],[L5N]],Products[Product],0),2),Products[ProdCode],0),2),Products[[#This Row],[L5N]])</f>
        <v>Energy</v>
      </c>
      <c r="Z183" s="72" t="str" cm="1">
        <f t="array" ref="Z183">IFERROR(INDEX(Products[[ProdCode]:[Product]],_xlfn.XMATCH(INDEX(Products[[Product]:[Parent]],_xlfn.XMATCH(Products[[#This Row],[L6N]],Products[Product],0),2),Products[ProdCode],0),2),Products[[#This Row],[L6N]])</f>
        <v>Energy</v>
      </c>
      <c r="AA183" s="72" t="str" cm="1">
        <f t="array" ref="AA183">IFERROR(INDEX(Products[[ProdCode]:[Product]],_xlfn.XMATCH(INDEX(Products[[Product]:[Parent]],_xlfn.XMATCH(Products[[#This Row],[L7N]],Products[Product],0),2),Products[ProdCode],0),2),Products[[#This Row],[L7N]])</f>
        <v>Energy</v>
      </c>
      <c r="AB18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Animal residues</v>
      </c>
      <c r="AG18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Animal processing residues</v>
      </c>
      <c r="AH18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Animal processing residues</v>
      </c>
      <c r="AI18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Animal processing residues</v>
      </c>
    </row>
    <row r="184" spans="2:35" x14ac:dyDescent="0.45">
      <c r="B184" s="107">
        <v>261490</v>
      </c>
      <c r="C184" s="88" t="s">
        <v>976</v>
      </c>
      <c r="D184" s="107">
        <v>261400</v>
      </c>
      <c r="E184" s="93" t="s">
        <v>1149</v>
      </c>
      <c r="F184" s="19" t="s">
        <v>1188</v>
      </c>
      <c r="G184" s="82" t="s">
        <v>1199</v>
      </c>
      <c r="H184" s="82" t="s">
        <v>83</v>
      </c>
      <c r="I184" s="82"/>
      <c r="J184" s="82"/>
      <c r="K184" s="82" t="s">
        <v>1425</v>
      </c>
      <c r="L184" s="82"/>
      <c r="M184" s="82"/>
      <c r="N184" s="119"/>
      <c r="O184" s="119"/>
      <c r="P184" s="82"/>
      <c r="Q184" s="82" t="s">
        <v>1242</v>
      </c>
      <c r="R184" s="82"/>
      <c r="S184" s="82"/>
      <c r="T184" s="72" t="str" cm="1">
        <f t="array" ref="T184">IFERROR(INDEX(Products[[ProdCode]:[Product]],_xlfn.XMATCH(Products[[#This Row],[Parent]],Products[Product],0),2),Products[[#This Row],[Product]])</f>
        <v>Other animal residues</v>
      </c>
      <c r="U184" s="72" t="str" cm="1">
        <f t="array" ref="U184">IFERROR(INDEX(Products[[ProdCode]:[Product]],_xlfn.XMATCH(INDEX(Products[[Product]:[Parent]],_xlfn.XMATCH(Products[[#This Row],[L1N]],Products[Product],0),2),Products[ProdCode],0),2),Products[[#This Row],[L1N]])</f>
        <v>Animal residues</v>
      </c>
      <c r="V184" s="72" t="str" cm="1">
        <f t="array" ref="V184">IFERROR(INDEX(Products[[ProdCode]:[Product]],_xlfn.XMATCH(INDEX(Products[[Product]:[Parent]],_xlfn.XMATCH(Products[[#This Row],[L2N]],Products[Product],0),2),Products[ProdCode],0),2),Products[[#This Row],[L2N]])</f>
        <v>Solid biofuels</v>
      </c>
      <c r="W184" s="72" t="str" cm="1">
        <f t="array" ref="W184">IFERROR(INDEX(Products[[ProdCode]:[Product]],_xlfn.XMATCH(INDEX(Products[[Product]:[Parent]],_xlfn.XMATCH(Products[[#This Row],[L3N]],Products[Product],0),2),Products[ProdCode],0),2),Products[[#This Row],[L3N]])</f>
        <v>Bioenergy</v>
      </c>
      <c r="X184" s="72" t="str" cm="1">
        <f t="array" ref="X184">IFERROR(INDEX(Products[[ProdCode]:[Product]],_xlfn.XMATCH(INDEX(Products[[Product]:[Parent]],_xlfn.XMATCH(Products[[#This Row],[L4N]],Products[Product],0),2),Products[ProdCode],0),2),Products[[#This Row],[L4N]])</f>
        <v>Renewable Energy</v>
      </c>
      <c r="Y184" s="72" t="str" cm="1">
        <f t="array" ref="Y184">IFERROR(INDEX(Products[[ProdCode]:[Product]],_xlfn.XMATCH(INDEX(Products[[Product]:[Parent]],_xlfn.XMATCH(Products[[#This Row],[L5N]],Products[Product],0),2),Products[ProdCode],0),2),Products[[#This Row],[L5N]])</f>
        <v>Energy</v>
      </c>
      <c r="Z184" s="72" t="str" cm="1">
        <f t="array" ref="Z184">IFERROR(INDEX(Products[[ProdCode]:[Product]],_xlfn.XMATCH(INDEX(Products[[Product]:[Parent]],_xlfn.XMATCH(Products[[#This Row],[L6N]],Products[Product],0),2),Products[ProdCode],0),2),Products[[#This Row],[L6N]])</f>
        <v>Energy</v>
      </c>
      <c r="AA184" s="72" t="str" cm="1">
        <f t="array" ref="AA184">IFERROR(INDEX(Products[[ProdCode]:[Product]],_xlfn.XMATCH(INDEX(Products[[Product]:[Parent]],_xlfn.XMATCH(Products[[#This Row],[L7N]],Products[Product],0),2),Products[ProdCode],0),2),Products[[#This Row],[L7N]])</f>
        <v>Energy</v>
      </c>
      <c r="AB18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Animal residues</v>
      </c>
      <c r="AG18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animal residues</v>
      </c>
      <c r="AH18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animal residues</v>
      </c>
      <c r="AI18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animal residues</v>
      </c>
    </row>
    <row r="185" spans="2:35" x14ac:dyDescent="0.45">
      <c r="B185" s="106">
        <v>261500</v>
      </c>
      <c r="C185" s="85" t="s">
        <v>557</v>
      </c>
      <c r="D185" s="106">
        <v>261000</v>
      </c>
      <c r="E185" s="93" t="s">
        <v>1149</v>
      </c>
      <c r="F185" s="19" t="s">
        <v>1189</v>
      </c>
      <c r="G185" s="82" t="s">
        <v>53</v>
      </c>
      <c r="H185" s="82" t="s">
        <v>65</v>
      </c>
      <c r="I185" s="82"/>
      <c r="J185" s="82"/>
      <c r="K185" s="82" t="s">
        <v>1426</v>
      </c>
      <c r="L185" s="82"/>
      <c r="M185" s="82"/>
      <c r="N185" s="119"/>
      <c r="O185" s="119"/>
      <c r="P185" s="82"/>
      <c r="Q185" s="82" t="s">
        <v>1242</v>
      </c>
      <c r="R185" s="82"/>
      <c r="S185" s="82"/>
      <c r="T185" s="71" t="str" cm="1">
        <f t="array" ref="T185">IFERROR(INDEX(Products[[ProdCode]:[Product]],_xlfn.XMATCH(Products[[#This Row],[Parent]],Products[Product],0),2),Products[[#This Row],[Product]])</f>
        <v>Biomass pellets and briquettes</v>
      </c>
      <c r="U185" s="71" t="str" cm="1">
        <f t="array" ref="U185">IFERROR(INDEX(Products[[ProdCode]:[Product]],_xlfn.XMATCH(INDEX(Products[[Product]:[Parent]],_xlfn.XMATCH(Products[[#This Row],[L1N]],Products[Product],0),2),Products[ProdCode],0),2),Products[[#This Row],[L1N]])</f>
        <v>Solid biofuels</v>
      </c>
      <c r="V185" s="71" t="str" cm="1">
        <f t="array" ref="V185">IFERROR(INDEX(Products[[ProdCode]:[Product]],_xlfn.XMATCH(INDEX(Products[[Product]:[Parent]],_xlfn.XMATCH(Products[[#This Row],[L2N]],Products[Product],0),2),Products[ProdCode],0),2),Products[[#This Row],[L2N]])</f>
        <v>Bioenergy</v>
      </c>
      <c r="W185" s="71" t="str" cm="1">
        <f t="array" ref="W185">IFERROR(INDEX(Products[[ProdCode]:[Product]],_xlfn.XMATCH(INDEX(Products[[Product]:[Parent]],_xlfn.XMATCH(Products[[#This Row],[L3N]],Products[Product],0),2),Products[ProdCode],0),2),Products[[#This Row],[L3N]])</f>
        <v>Renewable Energy</v>
      </c>
      <c r="X185" s="71" t="str" cm="1">
        <f t="array" ref="X185">IFERROR(INDEX(Products[[ProdCode]:[Product]],_xlfn.XMATCH(INDEX(Products[[Product]:[Parent]],_xlfn.XMATCH(Products[[#This Row],[L4N]],Products[Product],0),2),Products[ProdCode],0),2),Products[[#This Row],[L4N]])</f>
        <v>Energy</v>
      </c>
      <c r="Y185" s="71" t="str" cm="1">
        <f t="array" ref="Y185">IFERROR(INDEX(Products[[ProdCode]:[Product]],_xlfn.XMATCH(INDEX(Products[[Product]:[Parent]],_xlfn.XMATCH(Products[[#This Row],[L5N]],Products[Product],0),2),Products[ProdCode],0),2),Products[[#This Row],[L5N]])</f>
        <v>Energy</v>
      </c>
      <c r="Z185" s="71" t="str" cm="1">
        <f t="array" ref="Z185">IFERROR(INDEX(Products[[ProdCode]:[Product]],_xlfn.XMATCH(INDEX(Products[[Product]:[Parent]],_xlfn.XMATCH(Products[[#This Row],[L6N]],Products[Product],0),2),Products[ProdCode],0),2),Products[[#This Row],[L6N]])</f>
        <v>Energy</v>
      </c>
      <c r="AA185" s="71" t="str" cm="1">
        <f t="array" ref="AA185">IFERROR(INDEX(Products[[ProdCode]:[Product]],_xlfn.XMATCH(INDEX(Products[[Product]:[Parent]],_xlfn.XMATCH(Products[[#This Row],[L7N]],Products[Product],0),2),Products[ProdCode],0),2),Products[[#This Row],[L7N]])</f>
        <v>Energy</v>
      </c>
      <c r="AB18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pellets and briquettes</v>
      </c>
      <c r="AG18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Biomass pellets and briquettes</v>
      </c>
      <c r="AH18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Biomass pellets and briquettes</v>
      </c>
      <c r="AI18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Biomass pellets and briquettes</v>
      </c>
    </row>
    <row r="186" spans="2:35" x14ac:dyDescent="0.45">
      <c r="B186" s="107">
        <v>261510</v>
      </c>
      <c r="C186" s="88" t="s">
        <v>977</v>
      </c>
      <c r="D186" s="107">
        <v>261500</v>
      </c>
      <c r="E186" s="93" t="s">
        <v>1149</v>
      </c>
      <c r="F186" s="19" t="s">
        <v>1189</v>
      </c>
      <c r="G186" s="82" t="s">
        <v>1199</v>
      </c>
      <c r="H186" s="82" t="s">
        <v>83</v>
      </c>
      <c r="I186" s="82"/>
      <c r="J186" s="82"/>
      <c r="K186" s="82" t="s">
        <v>1427</v>
      </c>
      <c r="L186" s="82"/>
      <c r="M186" s="82"/>
      <c r="N186" s="119"/>
      <c r="O186" s="119"/>
      <c r="P186" s="82"/>
      <c r="Q186" s="82" t="s">
        <v>1242</v>
      </c>
      <c r="R186" s="82"/>
      <c r="S186" s="82"/>
      <c r="T186" s="72" t="str" cm="1">
        <f t="array" ref="T186">IFERROR(INDEX(Products[[ProdCode]:[Product]],_xlfn.XMATCH(Products[[#This Row],[Parent]],Products[Product],0),2),Products[[#This Row],[Product]])</f>
        <v>Wood pellets and briquettes</v>
      </c>
      <c r="U186" s="72" t="str" cm="1">
        <f t="array" ref="U186">IFERROR(INDEX(Products[[ProdCode]:[Product]],_xlfn.XMATCH(INDEX(Products[[Product]:[Parent]],_xlfn.XMATCH(Products[[#This Row],[L1N]],Products[Product],0),2),Products[ProdCode],0),2),Products[[#This Row],[L1N]])</f>
        <v>Biomass pellets and briquettes</v>
      </c>
      <c r="V186" s="72" t="str" cm="1">
        <f t="array" ref="V186">IFERROR(INDEX(Products[[ProdCode]:[Product]],_xlfn.XMATCH(INDEX(Products[[Product]:[Parent]],_xlfn.XMATCH(Products[[#This Row],[L2N]],Products[Product],0),2),Products[ProdCode],0),2),Products[[#This Row],[L2N]])</f>
        <v>Solid biofuels</v>
      </c>
      <c r="W186" s="72" t="str" cm="1">
        <f t="array" ref="W186">IFERROR(INDEX(Products[[ProdCode]:[Product]],_xlfn.XMATCH(INDEX(Products[[Product]:[Parent]],_xlfn.XMATCH(Products[[#This Row],[L3N]],Products[Product],0),2),Products[ProdCode],0),2),Products[[#This Row],[L3N]])</f>
        <v>Bioenergy</v>
      </c>
      <c r="X186" s="72" t="str" cm="1">
        <f t="array" ref="X186">IFERROR(INDEX(Products[[ProdCode]:[Product]],_xlfn.XMATCH(INDEX(Products[[Product]:[Parent]],_xlfn.XMATCH(Products[[#This Row],[L4N]],Products[Product],0),2),Products[ProdCode],0),2),Products[[#This Row],[L4N]])</f>
        <v>Renewable Energy</v>
      </c>
      <c r="Y186" s="72" t="str" cm="1">
        <f t="array" ref="Y186">IFERROR(INDEX(Products[[ProdCode]:[Product]],_xlfn.XMATCH(INDEX(Products[[Product]:[Parent]],_xlfn.XMATCH(Products[[#This Row],[L5N]],Products[Product],0),2),Products[ProdCode],0),2),Products[[#This Row],[L5N]])</f>
        <v>Energy</v>
      </c>
      <c r="Z186" s="72" t="str" cm="1">
        <f t="array" ref="Z186">IFERROR(INDEX(Products[[ProdCode]:[Product]],_xlfn.XMATCH(INDEX(Products[[Product]:[Parent]],_xlfn.XMATCH(Products[[#This Row],[L6N]],Products[Product],0),2),Products[ProdCode],0),2),Products[[#This Row],[L6N]])</f>
        <v>Energy</v>
      </c>
      <c r="AA186" s="72" t="str" cm="1">
        <f t="array" ref="AA186">IFERROR(INDEX(Products[[ProdCode]:[Product]],_xlfn.XMATCH(INDEX(Products[[Product]:[Parent]],_xlfn.XMATCH(Products[[#This Row],[L7N]],Products[Product],0),2),Products[ProdCode],0),2),Products[[#This Row],[L7N]])</f>
        <v>Energy</v>
      </c>
      <c r="AB18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pellets and briquettes</v>
      </c>
      <c r="AG18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Wood pellets and briquettes</v>
      </c>
      <c r="AH18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Wood pellets and briquettes</v>
      </c>
      <c r="AI18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Wood pellets and briquettes</v>
      </c>
    </row>
    <row r="187" spans="2:35" x14ac:dyDescent="0.45">
      <c r="B187" s="107">
        <v>261520</v>
      </c>
      <c r="C187" s="88" t="s">
        <v>1144</v>
      </c>
      <c r="D187" s="107">
        <v>261500</v>
      </c>
      <c r="E187" s="93" t="s">
        <v>1149</v>
      </c>
      <c r="F187" s="19" t="s">
        <v>1189</v>
      </c>
      <c r="G187" s="82" t="s">
        <v>1199</v>
      </c>
      <c r="H187" s="82" t="s">
        <v>83</v>
      </c>
      <c r="I187" s="82"/>
      <c r="J187" s="82"/>
      <c r="K187" s="82" t="s">
        <v>1428</v>
      </c>
      <c r="L187" s="82"/>
      <c r="M187" s="82"/>
      <c r="N187" s="119"/>
      <c r="O187" s="119"/>
      <c r="P187" s="82"/>
      <c r="Q187" s="82" t="s">
        <v>1242</v>
      </c>
      <c r="R187" s="82"/>
      <c r="S187" s="82"/>
      <c r="T187" s="72" t="str" cm="1">
        <f t="array" ref="T187">IFERROR(INDEX(Products[[ProdCode]:[Product]],_xlfn.XMATCH(Products[[#This Row],[Parent]],Products[Product],0),2),Products[[#This Row],[Product]])</f>
        <v>Oil cakes</v>
      </c>
      <c r="U187" s="72" t="str" cm="1">
        <f t="array" ref="U187">IFERROR(INDEX(Products[[ProdCode]:[Product]],_xlfn.XMATCH(INDEX(Products[[Product]:[Parent]],_xlfn.XMATCH(Products[[#This Row],[L1N]],Products[Product],0),2),Products[ProdCode],0),2),Products[[#This Row],[L1N]])</f>
        <v>Biomass pellets and briquettes</v>
      </c>
      <c r="V187" s="72" t="str" cm="1">
        <f t="array" ref="V187">IFERROR(INDEX(Products[[ProdCode]:[Product]],_xlfn.XMATCH(INDEX(Products[[Product]:[Parent]],_xlfn.XMATCH(Products[[#This Row],[L2N]],Products[Product],0),2),Products[ProdCode],0),2),Products[[#This Row],[L2N]])</f>
        <v>Solid biofuels</v>
      </c>
      <c r="W187" s="72" t="str" cm="1">
        <f t="array" ref="W187">IFERROR(INDEX(Products[[ProdCode]:[Product]],_xlfn.XMATCH(INDEX(Products[[Product]:[Parent]],_xlfn.XMATCH(Products[[#This Row],[L3N]],Products[Product],0),2),Products[ProdCode],0),2),Products[[#This Row],[L3N]])</f>
        <v>Bioenergy</v>
      </c>
      <c r="X187" s="72" t="str" cm="1">
        <f t="array" ref="X187">IFERROR(INDEX(Products[[ProdCode]:[Product]],_xlfn.XMATCH(INDEX(Products[[Product]:[Parent]],_xlfn.XMATCH(Products[[#This Row],[L4N]],Products[Product],0),2),Products[ProdCode],0),2),Products[[#This Row],[L4N]])</f>
        <v>Renewable Energy</v>
      </c>
      <c r="Y187" s="72" t="str" cm="1">
        <f t="array" ref="Y187">IFERROR(INDEX(Products[[ProdCode]:[Product]],_xlfn.XMATCH(INDEX(Products[[Product]:[Parent]],_xlfn.XMATCH(Products[[#This Row],[L5N]],Products[Product],0),2),Products[ProdCode],0),2),Products[[#This Row],[L5N]])</f>
        <v>Energy</v>
      </c>
      <c r="Z187" s="71" t="str" cm="1">
        <f t="array" ref="Z187">IFERROR(INDEX(Products[[ProdCode]:[Product]],_xlfn.XMATCH(INDEX(Products[[Product]:[Parent]],_xlfn.XMATCH(Products[[#This Row],[L6N]],Products[Product],0),2),Products[ProdCode],0),2),Products[[#This Row],[L6N]])</f>
        <v>Energy</v>
      </c>
      <c r="AA187" s="71" t="str" cm="1">
        <f t="array" ref="AA187">IFERROR(INDEX(Products[[ProdCode]:[Product]],_xlfn.XMATCH(INDEX(Products[[Product]:[Parent]],_xlfn.XMATCH(Products[[#This Row],[L7N]],Products[Product],0),2),Products[ProdCode],0),2),Products[[#This Row],[L7N]])</f>
        <v>Energy</v>
      </c>
      <c r="AB18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pellets and briquettes</v>
      </c>
      <c r="AG18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Oil cakes</v>
      </c>
      <c r="AH18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Oil cakes</v>
      </c>
      <c r="AI18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Oil cakes</v>
      </c>
    </row>
    <row r="188" spans="2:35" x14ac:dyDescent="0.45">
      <c r="B188" s="107">
        <v>261590</v>
      </c>
      <c r="C188" s="88" t="s">
        <v>978</v>
      </c>
      <c r="D188" s="107">
        <v>261500</v>
      </c>
      <c r="E188" s="93" t="s">
        <v>1149</v>
      </c>
      <c r="F188" s="19" t="s">
        <v>1189</v>
      </c>
      <c r="G188" s="82" t="s">
        <v>1199</v>
      </c>
      <c r="H188" s="82" t="s">
        <v>83</v>
      </c>
      <c r="I188" s="82"/>
      <c r="J188" s="82"/>
      <c r="K188" s="82" t="s">
        <v>1429</v>
      </c>
      <c r="L188" s="82"/>
      <c r="M188" s="82"/>
      <c r="N188" s="119"/>
      <c r="O188" s="119"/>
      <c r="P188" s="82"/>
      <c r="Q188" s="82" t="s">
        <v>1242</v>
      </c>
      <c r="R188" s="82"/>
      <c r="S188" s="82"/>
      <c r="T188" s="72" t="str" cm="1">
        <f t="array" ref="T188">IFERROR(INDEX(Products[[ProdCode]:[Product]],_xlfn.XMATCH(Products[[#This Row],[Parent]],Products[Product],0),2),Products[[#This Row],[Product]])</f>
        <v>Other biomass pellets and briquettes</v>
      </c>
      <c r="U188" s="72" t="str" cm="1">
        <f t="array" ref="U188">IFERROR(INDEX(Products[[ProdCode]:[Product]],_xlfn.XMATCH(INDEX(Products[[Product]:[Parent]],_xlfn.XMATCH(Products[[#This Row],[L1N]],Products[Product],0),2),Products[ProdCode],0),2),Products[[#This Row],[L1N]])</f>
        <v>Biomass pellets and briquettes</v>
      </c>
      <c r="V188" s="72" t="str" cm="1">
        <f t="array" ref="V188">IFERROR(INDEX(Products[[ProdCode]:[Product]],_xlfn.XMATCH(INDEX(Products[[Product]:[Parent]],_xlfn.XMATCH(Products[[#This Row],[L2N]],Products[Product],0),2),Products[ProdCode],0),2),Products[[#This Row],[L2N]])</f>
        <v>Solid biofuels</v>
      </c>
      <c r="W188" s="72" t="str" cm="1">
        <f t="array" ref="W188">IFERROR(INDEX(Products[[ProdCode]:[Product]],_xlfn.XMATCH(INDEX(Products[[Product]:[Parent]],_xlfn.XMATCH(Products[[#This Row],[L3N]],Products[Product],0),2),Products[ProdCode],0),2),Products[[#This Row],[L3N]])</f>
        <v>Bioenergy</v>
      </c>
      <c r="X188" s="72" t="str" cm="1">
        <f t="array" ref="X188">IFERROR(INDEX(Products[[ProdCode]:[Product]],_xlfn.XMATCH(INDEX(Products[[Product]:[Parent]],_xlfn.XMATCH(Products[[#This Row],[L4N]],Products[Product],0),2),Products[ProdCode],0),2),Products[[#This Row],[L4N]])</f>
        <v>Renewable Energy</v>
      </c>
      <c r="Y188" s="72" t="str" cm="1">
        <f t="array" ref="Y188">IFERROR(INDEX(Products[[ProdCode]:[Product]],_xlfn.XMATCH(INDEX(Products[[Product]:[Parent]],_xlfn.XMATCH(Products[[#This Row],[L5N]],Products[Product],0),2),Products[ProdCode],0),2),Products[[#This Row],[L5N]])</f>
        <v>Energy</v>
      </c>
      <c r="Z188" s="72" t="str" cm="1">
        <f t="array" ref="Z188">IFERROR(INDEX(Products[[ProdCode]:[Product]],_xlfn.XMATCH(INDEX(Products[[Product]:[Parent]],_xlfn.XMATCH(Products[[#This Row],[L6N]],Products[Product],0),2),Products[ProdCode],0),2),Products[[#This Row],[L6N]])</f>
        <v>Energy</v>
      </c>
      <c r="AA188" s="72" t="str" cm="1">
        <f t="array" ref="AA188">IFERROR(INDEX(Products[[ProdCode]:[Product]],_xlfn.XMATCH(INDEX(Products[[Product]:[Parent]],_xlfn.XMATCH(Products[[#This Row],[L7N]],Products[Product],0),2),Products[ProdCode],0),2),Products[[#This Row],[L7N]])</f>
        <v>Energy</v>
      </c>
      <c r="AB18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Biomass pellets and briquettes</v>
      </c>
      <c r="AG18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biomass pellets and briquettes</v>
      </c>
      <c r="AH18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biomass pellets and briquettes</v>
      </c>
      <c r="AI18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biomass pellets and briquettes</v>
      </c>
    </row>
    <row r="189" spans="2:35" x14ac:dyDescent="0.45">
      <c r="B189" s="106">
        <v>261600</v>
      </c>
      <c r="C189" s="85" t="s">
        <v>566</v>
      </c>
      <c r="D189" s="106">
        <v>261000</v>
      </c>
      <c r="E189" s="93" t="s">
        <v>1149</v>
      </c>
      <c r="F189" s="19" t="s">
        <v>1189</v>
      </c>
      <c r="G189" s="82" t="s">
        <v>53</v>
      </c>
      <c r="H189" s="82" t="s">
        <v>83</v>
      </c>
      <c r="I189" s="82"/>
      <c r="J189" s="82"/>
      <c r="K189" s="82" t="s">
        <v>1115</v>
      </c>
      <c r="L189" s="82" t="s">
        <v>1946</v>
      </c>
      <c r="M189" s="82">
        <v>29.5</v>
      </c>
      <c r="N189" s="119"/>
      <c r="O189" s="119"/>
      <c r="P189" s="82"/>
      <c r="Q189" s="82" t="s">
        <v>1242</v>
      </c>
      <c r="R189" s="82" t="s">
        <v>1866</v>
      </c>
      <c r="S189" s="82"/>
      <c r="T189" s="71" t="str" cm="1">
        <f t="array" ref="T189">IFERROR(INDEX(Products[[ProdCode]:[Product]],_xlfn.XMATCH(Products[[#This Row],[Parent]],Products[Product],0),2),Products[[#This Row],[Product]])</f>
        <v>Charcoal</v>
      </c>
      <c r="U189" s="71" t="str" cm="1">
        <f t="array" ref="U189">IFERROR(INDEX(Products[[ProdCode]:[Product]],_xlfn.XMATCH(INDEX(Products[[Product]:[Parent]],_xlfn.XMATCH(Products[[#This Row],[L1N]],Products[Product],0),2),Products[ProdCode],0),2),Products[[#This Row],[L1N]])</f>
        <v>Solid biofuels</v>
      </c>
      <c r="V189" s="71" t="str" cm="1">
        <f t="array" ref="V189">IFERROR(INDEX(Products[[ProdCode]:[Product]],_xlfn.XMATCH(INDEX(Products[[Product]:[Parent]],_xlfn.XMATCH(Products[[#This Row],[L2N]],Products[Product],0),2),Products[ProdCode],0),2),Products[[#This Row],[L2N]])</f>
        <v>Bioenergy</v>
      </c>
      <c r="W189" s="71" t="str" cm="1">
        <f t="array" ref="W189">IFERROR(INDEX(Products[[ProdCode]:[Product]],_xlfn.XMATCH(INDEX(Products[[Product]:[Parent]],_xlfn.XMATCH(Products[[#This Row],[L3N]],Products[Product],0),2),Products[ProdCode],0),2),Products[[#This Row],[L3N]])</f>
        <v>Renewable Energy</v>
      </c>
      <c r="X189" s="71" t="str" cm="1">
        <f t="array" ref="X189">IFERROR(INDEX(Products[[ProdCode]:[Product]],_xlfn.XMATCH(INDEX(Products[[Product]:[Parent]],_xlfn.XMATCH(Products[[#This Row],[L4N]],Products[Product],0),2),Products[ProdCode],0),2),Products[[#This Row],[L4N]])</f>
        <v>Energy</v>
      </c>
      <c r="Y189" s="71" t="str" cm="1">
        <f t="array" ref="Y189">IFERROR(INDEX(Products[[ProdCode]:[Product]],_xlfn.XMATCH(INDEX(Products[[Product]:[Parent]],_xlfn.XMATCH(Products[[#This Row],[L5N]],Products[Product],0),2),Products[ProdCode],0),2),Products[[#This Row],[L5N]])</f>
        <v>Energy</v>
      </c>
      <c r="Z189" s="71" t="str" cm="1">
        <f t="array" ref="Z189">IFERROR(INDEX(Products[[ProdCode]:[Product]],_xlfn.XMATCH(INDEX(Products[[Product]:[Parent]],_xlfn.XMATCH(Products[[#This Row],[L6N]],Products[Product],0),2),Products[ProdCode],0),2),Products[[#This Row],[L6N]])</f>
        <v>Energy</v>
      </c>
      <c r="AA189" s="71" t="str" cm="1">
        <f t="array" ref="AA189">IFERROR(INDEX(Products[[ProdCode]:[Product]],_xlfn.XMATCH(INDEX(Products[[Product]:[Parent]],_xlfn.XMATCH(Products[[#This Row],[L7N]],Products[Product],0),2),Products[ProdCode],0),2),Products[[#This Row],[L7N]])</f>
        <v>Energy</v>
      </c>
      <c r="AB18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8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8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8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8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Charcoal</v>
      </c>
      <c r="AG18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Charcoal</v>
      </c>
      <c r="AH18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Charcoal</v>
      </c>
      <c r="AI18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Charcoal</v>
      </c>
    </row>
    <row r="190" spans="2:35" x14ac:dyDescent="0.45">
      <c r="B190" s="106">
        <v>261900</v>
      </c>
      <c r="C190" s="85" t="s">
        <v>1165</v>
      </c>
      <c r="D190" s="106">
        <v>261000</v>
      </c>
      <c r="E190" s="93" t="s">
        <v>1149</v>
      </c>
      <c r="F190" s="19" t="s">
        <v>1191</v>
      </c>
      <c r="G190" s="82" t="s">
        <v>53</v>
      </c>
      <c r="H190" s="82" t="s">
        <v>83</v>
      </c>
      <c r="I190" s="82"/>
      <c r="J190" s="82"/>
      <c r="K190" s="82" t="s">
        <v>1627</v>
      </c>
      <c r="L190" s="82"/>
      <c r="M190" s="82"/>
      <c r="N190" s="119"/>
      <c r="O190" s="119"/>
      <c r="P190" s="82"/>
      <c r="Q190" s="82" t="s">
        <v>1242</v>
      </c>
      <c r="R190" s="82"/>
      <c r="S190" s="82"/>
      <c r="T190" s="71" t="str" cm="1">
        <f t="array" ref="T190">IFERROR(INDEX(Products[[ProdCode]:[Product]],_xlfn.XMATCH(Products[[#This Row],[Parent]],Products[Product],0),2),Products[[#This Row],[Product]])</f>
        <v>Other solid biofuels</v>
      </c>
      <c r="U190" s="71" t="str" cm="1">
        <f t="array" ref="U190">IFERROR(INDEX(Products[[ProdCode]:[Product]],_xlfn.XMATCH(INDEX(Products[[Product]:[Parent]],_xlfn.XMATCH(Products[[#This Row],[L1N]],Products[Product],0),2),Products[ProdCode],0),2),Products[[#This Row],[L1N]])</f>
        <v>Solid biofuels</v>
      </c>
      <c r="V190" s="71" t="str" cm="1">
        <f t="array" ref="V190">IFERROR(INDEX(Products[[ProdCode]:[Product]],_xlfn.XMATCH(INDEX(Products[[Product]:[Parent]],_xlfn.XMATCH(Products[[#This Row],[L2N]],Products[Product],0),2),Products[ProdCode],0),2),Products[[#This Row],[L2N]])</f>
        <v>Bioenergy</v>
      </c>
      <c r="W190" s="71" t="str" cm="1">
        <f t="array" ref="W190">IFERROR(INDEX(Products[[ProdCode]:[Product]],_xlfn.XMATCH(INDEX(Products[[Product]:[Parent]],_xlfn.XMATCH(Products[[#This Row],[L3N]],Products[Product],0),2),Products[ProdCode],0),2),Products[[#This Row],[L3N]])</f>
        <v>Renewable Energy</v>
      </c>
      <c r="X190" s="71" t="str" cm="1">
        <f t="array" ref="X190">IFERROR(INDEX(Products[[ProdCode]:[Product]],_xlfn.XMATCH(INDEX(Products[[Product]:[Parent]],_xlfn.XMATCH(Products[[#This Row],[L4N]],Products[Product],0),2),Products[ProdCode],0),2),Products[[#This Row],[L4N]])</f>
        <v>Energy</v>
      </c>
      <c r="Y190" s="71" t="str" cm="1">
        <f t="array" ref="Y190">IFERROR(INDEX(Products[[ProdCode]:[Product]],_xlfn.XMATCH(INDEX(Products[[Product]:[Parent]],_xlfn.XMATCH(Products[[#This Row],[L5N]],Products[Product],0),2),Products[ProdCode],0),2),Products[[#This Row],[L5N]])</f>
        <v>Energy</v>
      </c>
      <c r="Z190" s="71" t="str" cm="1">
        <f t="array" ref="Z190">IFERROR(INDEX(Products[[ProdCode]:[Product]],_xlfn.XMATCH(INDEX(Products[[Product]:[Parent]],_xlfn.XMATCH(Products[[#This Row],[L6N]],Products[Product],0),2),Products[ProdCode],0),2),Products[[#This Row],[L6N]])</f>
        <v>Energy</v>
      </c>
      <c r="AA190" s="71" t="str" cm="1">
        <f t="array" ref="AA190">IFERROR(INDEX(Products[[ProdCode]:[Product]],_xlfn.XMATCH(INDEX(Products[[Product]:[Parent]],_xlfn.XMATCH(Products[[#This Row],[L7N]],Products[Product],0),2),Products[ProdCode],0),2),Products[[#This Row],[L7N]])</f>
        <v>Energy</v>
      </c>
      <c r="AB19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Solid biofuels</v>
      </c>
      <c r="AF19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solid biofuels</v>
      </c>
      <c r="AG19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solid biofuels</v>
      </c>
      <c r="AH19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solid biofuels</v>
      </c>
      <c r="AI19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solid biofuels</v>
      </c>
    </row>
    <row r="191" spans="2:35" x14ac:dyDescent="0.45">
      <c r="B191" s="105">
        <v>262000</v>
      </c>
      <c r="C191" s="79" t="s">
        <v>574</v>
      </c>
      <c r="D191" s="105">
        <v>260000</v>
      </c>
      <c r="E191" s="93" t="s">
        <v>1149</v>
      </c>
      <c r="F191" s="19" t="s">
        <v>1191</v>
      </c>
      <c r="G191" s="82" t="s">
        <v>54</v>
      </c>
      <c r="H191" s="82" t="s">
        <v>65</v>
      </c>
      <c r="I191" s="82"/>
      <c r="J191" s="82"/>
      <c r="K191" s="82" t="s">
        <v>1628</v>
      </c>
      <c r="L191" s="82"/>
      <c r="M191" s="82"/>
      <c r="N191" s="119"/>
      <c r="O191" s="119"/>
      <c r="P191" s="82"/>
      <c r="Q191" s="82" t="s">
        <v>1242</v>
      </c>
      <c r="R191" s="82"/>
      <c r="S191" s="82"/>
      <c r="T191" s="71" t="str" cm="1">
        <f t="array" ref="T191">IFERROR(INDEX(Products[[ProdCode]:[Product]],_xlfn.XMATCH(Products[[#This Row],[Parent]],Products[Product],0),2),Products[[#This Row],[Product]])</f>
        <v>Liquid biofuels</v>
      </c>
      <c r="U191" s="71" t="str" cm="1">
        <f t="array" ref="U191">IFERROR(INDEX(Products[[ProdCode]:[Product]],_xlfn.XMATCH(INDEX(Products[[Product]:[Parent]],_xlfn.XMATCH(Products[[#This Row],[L1N]],Products[Product],0),2),Products[ProdCode],0),2),Products[[#This Row],[L1N]])</f>
        <v>Bioenergy</v>
      </c>
      <c r="V191" s="71" t="str" cm="1">
        <f t="array" ref="V191">IFERROR(INDEX(Products[[ProdCode]:[Product]],_xlfn.XMATCH(INDEX(Products[[Product]:[Parent]],_xlfn.XMATCH(Products[[#This Row],[L2N]],Products[Product],0),2),Products[ProdCode],0),2),Products[[#This Row],[L2N]])</f>
        <v>Renewable Energy</v>
      </c>
      <c r="W191" s="71" t="str" cm="1">
        <f t="array" ref="W191">IFERROR(INDEX(Products[[ProdCode]:[Product]],_xlfn.XMATCH(INDEX(Products[[Product]:[Parent]],_xlfn.XMATCH(Products[[#This Row],[L3N]],Products[Product],0),2),Products[ProdCode],0),2),Products[[#This Row],[L3N]])</f>
        <v>Energy</v>
      </c>
      <c r="X191" s="71" t="str" cm="1">
        <f t="array" ref="X191">IFERROR(INDEX(Products[[ProdCode]:[Product]],_xlfn.XMATCH(INDEX(Products[[Product]:[Parent]],_xlfn.XMATCH(Products[[#This Row],[L4N]],Products[Product],0),2),Products[ProdCode],0),2),Products[[#This Row],[L4N]])</f>
        <v>Energy</v>
      </c>
      <c r="Y191" s="71" t="str" cm="1">
        <f t="array" ref="Y191">IFERROR(INDEX(Products[[ProdCode]:[Product]],_xlfn.XMATCH(INDEX(Products[[Product]:[Parent]],_xlfn.XMATCH(Products[[#This Row],[L5N]],Products[Product],0),2),Products[ProdCode],0),2),Products[[#This Row],[L5N]])</f>
        <v>Energy</v>
      </c>
      <c r="Z191" s="71" t="str" cm="1">
        <f t="array" ref="Z191">IFERROR(INDEX(Products[[ProdCode]:[Product]],_xlfn.XMATCH(INDEX(Products[[Product]:[Parent]],_xlfn.XMATCH(Products[[#This Row],[L6N]],Products[Product],0),2),Products[ProdCode],0),2),Products[[#This Row],[L6N]])</f>
        <v>Energy</v>
      </c>
      <c r="AA191" s="71" t="str" cm="1">
        <f t="array" ref="AA191">IFERROR(INDEX(Products[[ProdCode]:[Product]],_xlfn.XMATCH(INDEX(Products[[Product]:[Parent]],_xlfn.XMATCH(Products[[#This Row],[L7N]],Products[Product],0),2),Products[ProdCode],0),2),Products[[#This Row],[L7N]])</f>
        <v>Energy</v>
      </c>
      <c r="AB19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Liquid biofuels</v>
      </c>
      <c r="AG19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Liquid biofuels</v>
      </c>
      <c r="AH19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Liquid biofuels</v>
      </c>
      <c r="AI19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Liquid biofuels</v>
      </c>
    </row>
    <row r="192" spans="2:35" x14ac:dyDescent="0.45">
      <c r="B192" s="106">
        <v>262100</v>
      </c>
      <c r="C192" s="85" t="s">
        <v>1166</v>
      </c>
      <c r="D192" s="106">
        <v>262000</v>
      </c>
      <c r="E192" s="93" t="s">
        <v>1149</v>
      </c>
      <c r="F192" s="19" t="s">
        <v>1191</v>
      </c>
      <c r="G192" s="82" t="s">
        <v>53</v>
      </c>
      <c r="H192" s="82" t="s">
        <v>65</v>
      </c>
      <c r="I192" s="82"/>
      <c r="J192" s="82"/>
      <c r="K192" s="82" t="s">
        <v>1629</v>
      </c>
      <c r="L192" s="82" t="s">
        <v>1947</v>
      </c>
      <c r="M192" s="82"/>
      <c r="N192" s="119"/>
      <c r="O192" s="119"/>
      <c r="P192" s="82"/>
      <c r="Q192" s="82" t="s">
        <v>1242</v>
      </c>
      <c r="R192" s="82"/>
      <c r="S192" s="82"/>
      <c r="T192" s="71" t="str" cm="1">
        <f t="array" ref="T192">IFERROR(INDEX(Products[[ProdCode]:[Product]],_xlfn.XMATCH(Products[[#This Row],[Parent]],Products[Product],0),2),Products[[#This Row],[Product]])</f>
        <v>Biogasolines</v>
      </c>
      <c r="U192" s="71" t="str" cm="1">
        <f t="array" ref="U192">IFERROR(INDEX(Products[[ProdCode]:[Product]],_xlfn.XMATCH(INDEX(Products[[Product]:[Parent]],_xlfn.XMATCH(Products[[#This Row],[L1N]],Products[Product],0),2),Products[ProdCode],0),2),Products[[#This Row],[L1N]])</f>
        <v>Liquid biofuels</v>
      </c>
      <c r="V192" s="71" t="str" cm="1">
        <f t="array" ref="V192">IFERROR(INDEX(Products[[ProdCode]:[Product]],_xlfn.XMATCH(INDEX(Products[[Product]:[Parent]],_xlfn.XMATCH(Products[[#This Row],[L2N]],Products[Product],0),2),Products[ProdCode],0),2),Products[[#This Row],[L2N]])</f>
        <v>Bioenergy</v>
      </c>
      <c r="W192" s="71" t="str" cm="1">
        <f t="array" ref="W192">IFERROR(INDEX(Products[[ProdCode]:[Product]],_xlfn.XMATCH(INDEX(Products[[Product]:[Parent]],_xlfn.XMATCH(Products[[#This Row],[L3N]],Products[Product],0),2),Products[ProdCode],0),2),Products[[#This Row],[L3N]])</f>
        <v>Renewable Energy</v>
      </c>
      <c r="X192" s="71" t="str" cm="1">
        <f t="array" ref="X192">IFERROR(INDEX(Products[[ProdCode]:[Product]],_xlfn.XMATCH(INDEX(Products[[Product]:[Parent]],_xlfn.XMATCH(Products[[#This Row],[L4N]],Products[Product],0),2),Products[ProdCode],0),2),Products[[#This Row],[L4N]])</f>
        <v>Energy</v>
      </c>
      <c r="Y192" s="71" t="str" cm="1">
        <f t="array" ref="Y192">IFERROR(INDEX(Products[[ProdCode]:[Product]],_xlfn.XMATCH(INDEX(Products[[Product]:[Parent]],_xlfn.XMATCH(Products[[#This Row],[L5N]],Products[Product],0),2),Products[ProdCode],0),2),Products[[#This Row],[L5N]])</f>
        <v>Energy</v>
      </c>
      <c r="Z192" s="71" t="str" cm="1">
        <f t="array" ref="Z192">IFERROR(INDEX(Products[[ProdCode]:[Product]],_xlfn.XMATCH(INDEX(Products[[Product]:[Parent]],_xlfn.XMATCH(Products[[#This Row],[L6N]],Products[Product],0),2),Products[ProdCode],0),2),Products[[#This Row],[L6N]])</f>
        <v>Energy</v>
      </c>
      <c r="AA192" s="71" t="str" cm="1">
        <f t="array" ref="AA192">IFERROR(INDEX(Products[[ProdCode]:[Product]],_xlfn.XMATCH(INDEX(Products[[Product]:[Parent]],_xlfn.XMATCH(Products[[#This Row],[L7N]],Products[Product],0),2),Products[ProdCode],0),2),Products[[#This Row],[L7N]])</f>
        <v>Energy</v>
      </c>
      <c r="AB19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Biogasolines</v>
      </c>
      <c r="AH19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Biogasolines</v>
      </c>
      <c r="AI19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Biogasolines</v>
      </c>
    </row>
    <row r="193" spans="2:35" x14ac:dyDescent="0.45">
      <c r="B193" s="107">
        <v>262110</v>
      </c>
      <c r="C193" s="88" t="s">
        <v>979</v>
      </c>
      <c r="D193" s="107">
        <v>262100</v>
      </c>
      <c r="E193" s="93" t="s">
        <v>1149</v>
      </c>
      <c r="F193" s="19" t="s">
        <v>1191</v>
      </c>
      <c r="G193" s="82" t="s">
        <v>1199</v>
      </c>
      <c r="H193" s="82" t="s">
        <v>83</v>
      </c>
      <c r="I193" s="82"/>
      <c r="J193" s="82"/>
      <c r="K193" s="82" t="s">
        <v>1635</v>
      </c>
      <c r="L193" s="82"/>
      <c r="M193" s="82"/>
      <c r="N193" s="119"/>
      <c r="O193" s="119"/>
      <c r="P193" s="82" t="s">
        <v>1842</v>
      </c>
      <c r="Q193" s="82" t="s">
        <v>1242</v>
      </c>
      <c r="R193" s="82"/>
      <c r="S193" s="82"/>
      <c r="T193" s="72" t="str" cm="1">
        <f t="array" ref="T193">IFERROR(INDEX(Products[[ProdCode]:[Product]],_xlfn.XMATCH(Products[[#This Row],[Parent]],Products[Product],0),2),Products[[#This Row],[Product]])</f>
        <v>Biomethanol</v>
      </c>
      <c r="U193" s="72" t="str" cm="1">
        <f t="array" ref="U193">IFERROR(INDEX(Products[[ProdCode]:[Product]],_xlfn.XMATCH(INDEX(Products[[Product]:[Parent]],_xlfn.XMATCH(Products[[#This Row],[L1N]],Products[Product],0),2),Products[ProdCode],0),2),Products[[#This Row],[L1N]])</f>
        <v>Biogasolines</v>
      </c>
      <c r="V193" s="72" t="str" cm="1">
        <f t="array" ref="V193">IFERROR(INDEX(Products[[ProdCode]:[Product]],_xlfn.XMATCH(INDEX(Products[[Product]:[Parent]],_xlfn.XMATCH(Products[[#This Row],[L2N]],Products[Product],0),2),Products[ProdCode],0),2),Products[[#This Row],[L2N]])</f>
        <v>Liquid biofuels</v>
      </c>
      <c r="W193" s="72" t="str" cm="1">
        <f t="array" ref="W193">IFERROR(INDEX(Products[[ProdCode]:[Product]],_xlfn.XMATCH(INDEX(Products[[Product]:[Parent]],_xlfn.XMATCH(Products[[#This Row],[L3N]],Products[Product],0),2),Products[ProdCode],0),2),Products[[#This Row],[L3N]])</f>
        <v>Bioenergy</v>
      </c>
      <c r="X193" s="72" t="str" cm="1">
        <f t="array" ref="X193">IFERROR(INDEX(Products[[ProdCode]:[Product]],_xlfn.XMATCH(INDEX(Products[[Product]:[Parent]],_xlfn.XMATCH(Products[[#This Row],[L4N]],Products[Product],0),2),Products[ProdCode],0),2),Products[[#This Row],[L4N]])</f>
        <v>Renewable Energy</v>
      </c>
      <c r="Y193" s="72" t="str" cm="1">
        <f t="array" ref="Y193">IFERROR(INDEX(Products[[ProdCode]:[Product]],_xlfn.XMATCH(INDEX(Products[[Product]:[Parent]],_xlfn.XMATCH(Products[[#This Row],[L5N]],Products[Product],0),2),Products[ProdCode],0),2),Products[[#This Row],[L5N]])</f>
        <v>Energy</v>
      </c>
      <c r="Z193" s="72" t="str" cm="1">
        <f t="array" ref="Z193">IFERROR(INDEX(Products[[ProdCode]:[Product]],_xlfn.XMATCH(INDEX(Products[[Product]:[Parent]],_xlfn.XMATCH(Products[[#This Row],[L6N]],Products[Product],0),2),Products[ProdCode],0),2),Products[[#This Row],[L6N]])</f>
        <v>Energy</v>
      </c>
      <c r="AA193" s="72" t="str" cm="1">
        <f t="array" ref="AA193">IFERROR(INDEX(Products[[ProdCode]:[Product]],_xlfn.XMATCH(INDEX(Products[[Product]:[Parent]],_xlfn.XMATCH(Products[[#This Row],[L7N]],Products[Product],0),2),Products[ProdCode],0),2),Products[[#This Row],[L7N]])</f>
        <v>Energy</v>
      </c>
      <c r="AB19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Biomethanol</v>
      </c>
      <c r="AH19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Biomethanol</v>
      </c>
      <c r="AI19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Biomethanol</v>
      </c>
    </row>
    <row r="194" spans="2:35" x14ac:dyDescent="0.45">
      <c r="B194" s="107">
        <v>262120</v>
      </c>
      <c r="C194" s="88" t="s">
        <v>980</v>
      </c>
      <c r="D194" s="107">
        <v>262100</v>
      </c>
      <c r="E194" s="93" t="s">
        <v>1149</v>
      </c>
      <c r="F194" s="19" t="s">
        <v>1191</v>
      </c>
      <c r="G194" s="82" t="s">
        <v>1199</v>
      </c>
      <c r="H194" s="82" t="s">
        <v>83</v>
      </c>
      <c r="I194" s="82"/>
      <c r="J194" s="82"/>
      <c r="K194" s="82" t="s">
        <v>1630</v>
      </c>
      <c r="L194" s="82" t="s">
        <v>1948</v>
      </c>
      <c r="M194" s="82">
        <v>26.8</v>
      </c>
      <c r="N194" s="119"/>
      <c r="O194" s="119"/>
      <c r="P194" s="82" t="s">
        <v>1537</v>
      </c>
      <c r="Q194" s="69" t="s">
        <v>145</v>
      </c>
      <c r="R194" s="82"/>
      <c r="S194" s="82"/>
      <c r="T194" s="72" t="str" cm="1">
        <f t="array" ref="T194">IFERROR(INDEX(Products[[ProdCode]:[Product]],_xlfn.XMATCH(Products[[#This Row],[Parent]],Products[Product],0),2),Products[[#This Row],[Product]])</f>
        <v>Bioethanol</v>
      </c>
      <c r="U194" s="72" t="str" cm="1">
        <f t="array" ref="U194">IFERROR(INDEX(Products[[ProdCode]:[Product]],_xlfn.XMATCH(INDEX(Products[[Product]:[Parent]],_xlfn.XMATCH(Products[[#This Row],[L1N]],Products[Product],0),2),Products[ProdCode],0),2),Products[[#This Row],[L1N]])</f>
        <v>Biogasolines</v>
      </c>
      <c r="V194" s="72" t="str" cm="1">
        <f t="array" ref="V194">IFERROR(INDEX(Products[[ProdCode]:[Product]],_xlfn.XMATCH(INDEX(Products[[Product]:[Parent]],_xlfn.XMATCH(Products[[#This Row],[L2N]],Products[Product],0),2),Products[ProdCode],0),2),Products[[#This Row],[L2N]])</f>
        <v>Liquid biofuels</v>
      </c>
      <c r="W194" s="72" t="str" cm="1">
        <f t="array" ref="W194">IFERROR(INDEX(Products[[ProdCode]:[Product]],_xlfn.XMATCH(INDEX(Products[[Product]:[Parent]],_xlfn.XMATCH(Products[[#This Row],[L3N]],Products[Product],0),2),Products[ProdCode],0),2),Products[[#This Row],[L3N]])</f>
        <v>Bioenergy</v>
      </c>
      <c r="X194" s="72" t="str" cm="1">
        <f t="array" ref="X194">IFERROR(INDEX(Products[[ProdCode]:[Product]],_xlfn.XMATCH(INDEX(Products[[Product]:[Parent]],_xlfn.XMATCH(Products[[#This Row],[L4N]],Products[Product],0),2),Products[ProdCode],0),2),Products[[#This Row],[L4N]])</f>
        <v>Renewable Energy</v>
      </c>
      <c r="Y194" s="72" t="str" cm="1">
        <f t="array" ref="Y194">IFERROR(INDEX(Products[[ProdCode]:[Product]],_xlfn.XMATCH(INDEX(Products[[Product]:[Parent]],_xlfn.XMATCH(Products[[#This Row],[L5N]],Products[Product],0),2),Products[ProdCode],0),2),Products[[#This Row],[L5N]])</f>
        <v>Energy</v>
      </c>
      <c r="Z194" s="72" t="str" cm="1">
        <f t="array" ref="Z194">IFERROR(INDEX(Products[[ProdCode]:[Product]],_xlfn.XMATCH(INDEX(Products[[Product]:[Parent]],_xlfn.XMATCH(Products[[#This Row],[L6N]],Products[Product],0),2),Products[ProdCode],0),2),Products[[#This Row],[L6N]])</f>
        <v>Energy</v>
      </c>
      <c r="AA194" s="72" t="str" cm="1">
        <f t="array" ref="AA194">IFERROR(INDEX(Products[[ProdCode]:[Product]],_xlfn.XMATCH(INDEX(Products[[Product]:[Parent]],_xlfn.XMATCH(Products[[#This Row],[L7N]],Products[Product],0),2),Products[ProdCode],0),2),Products[[#This Row],[L7N]])</f>
        <v>Energy</v>
      </c>
      <c r="AB19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Bioethanol</v>
      </c>
      <c r="AH19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Bioethanol</v>
      </c>
      <c r="AI19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Bioethanol</v>
      </c>
    </row>
    <row r="195" spans="2:35" x14ac:dyDescent="0.45">
      <c r="B195" s="107">
        <v>262130</v>
      </c>
      <c r="C195" s="88" t="s">
        <v>981</v>
      </c>
      <c r="D195" s="107">
        <v>262100</v>
      </c>
      <c r="E195" s="93" t="s">
        <v>1149</v>
      </c>
      <c r="F195" s="19" t="s">
        <v>1191</v>
      </c>
      <c r="G195" s="82" t="s">
        <v>1199</v>
      </c>
      <c r="H195" s="82" t="s">
        <v>83</v>
      </c>
      <c r="I195" s="82"/>
      <c r="J195" s="82"/>
      <c r="K195" s="82" t="s">
        <v>1631</v>
      </c>
      <c r="L195" s="82"/>
      <c r="M195" s="82"/>
      <c r="N195" s="119"/>
      <c r="O195" s="119"/>
      <c r="P195" s="82" t="s">
        <v>1842</v>
      </c>
      <c r="Q195" s="82" t="s">
        <v>1242</v>
      </c>
      <c r="R195" s="82"/>
      <c r="S195" s="82"/>
      <c r="T195" s="72" t="str" cm="1">
        <f t="array" ref="T195">IFERROR(INDEX(Products[[ProdCode]:[Product]],_xlfn.XMATCH(Products[[#This Row],[Parent]],Products[Product],0),2),Products[[#This Row],[Product]])</f>
        <v>Biobutanol</v>
      </c>
      <c r="U195" s="72" t="str" cm="1">
        <f t="array" ref="U195">IFERROR(INDEX(Products[[ProdCode]:[Product]],_xlfn.XMATCH(INDEX(Products[[Product]:[Parent]],_xlfn.XMATCH(Products[[#This Row],[L1N]],Products[Product],0),2),Products[ProdCode],0),2),Products[[#This Row],[L1N]])</f>
        <v>Biogasolines</v>
      </c>
      <c r="V195" s="72" t="str" cm="1">
        <f t="array" ref="V195">IFERROR(INDEX(Products[[ProdCode]:[Product]],_xlfn.XMATCH(INDEX(Products[[Product]:[Parent]],_xlfn.XMATCH(Products[[#This Row],[L2N]],Products[Product],0),2),Products[ProdCode],0),2),Products[[#This Row],[L2N]])</f>
        <v>Liquid biofuels</v>
      </c>
      <c r="W195" s="72" t="str" cm="1">
        <f t="array" ref="W195">IFERROR(INDEX(Products[[ProdCode]:[Product]],_xlfn.XMATCH(INDEX(Products[[Product]:[Parent]],_xlfn.XMATCH(Products[[#This Row],[L3N]],Products[Product],0),2),Products[ProdCode],0),2),Products[[#This Row],[L3N]])</f>
        <v>Bioenergy</v>
      </c>
      <c r="X195" s="72" t="str" cm="1">
        <f t="array" ref="X195">IFERROR(INDEX(Products[[ProdCode]:[Product]],_xlfn.XMATCH(INDEX(Products[[Product]:[Parent]],_xlfn.XMATCH(Products[[#This Row],[L4N]],Products[Product],0),2),Products[ProdCode],0),2),Products[[#This Row],[L4N]])</f>
        <v>Renewable Energy</v>
      </c>
      <c r="Y195" s="72" t="str" cm="1">
        <f t="array" ref="Y195">IFERROR(INDEX(Products[[ProdCode]:[Product]],_xlfn.XMATCH(INDEX(Products[[Product]:[Parent]],_xlfn.XMATCH(Products[[#This Row],[L5N]],Products[Product],0),2),Products[ProdCode],0),2),Products[[#This Row],[L5N]])</f>
        <v>Energy</v>
      </c>
      <c r="Z195" s="72" t="str" cm="1">
        <f t="array" ref="Z195">IFERROR(INDEX(Products[[ProdCode]:[Product]],_xlfn.XMATCH(INDEX(Products[[Product]:[Parent]],_xlfn.XMATCH(Products[[#This Row],[L6N]],Products[Product],0),2),Products[ProdCode],0),2),Products[[#This Row],[L6N]])</f>
        <v>Energy</v>
      </c>
      <c r="AA195" s="72" t="str" cm="1">
        <f t="array" ref="AA195">IFERROR(INDEX(Products[[ProdCode]:[Product]],_xlfn.XMATCH(INDEX(Products[[Product]:[Parent]],_xlfn.XMATCH(Products[[#This Row],[L7N]],Products[Product],0),2),Products[ProdCode],0),2),Products[[#This Row],[L7N]])</f>
        <v>Energy</v>
      </c>
      <c r="AB19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Biobutanol</v>
      </c>
      <c r="AH19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Biobutanol</v>
      </c>
      <c r="AI19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Biobutanol</v>
      </c>
    </row>
    <row r="196" spans="2:35" x14ac:dyDescent="0.45">
      <c r="B196" s="107">
        <v>262140</v>
      </c>
      <c r="C196" s="88" t="s">
        <v>982</v>
      </c>
      <c r="D196" s="107">
        <v>262100</v>
      </c>
      <c r="E196" s="93" t="s">
        <v>1149</v>
      </c>
      <c r="F196" s="19" t="s">
        <v>1191</v>
      </c>
      <c r="G196" s="82" t="s">
        <v>1199</v>
      </c>
      <c r="H196" s="82" t="s">
        <v>83</v>
      </c>
      <c r="I196" s="82"/>
      <c r="J196" s="82"/>
      <c r="K196" s="82" t="s">
        <v>1632</v>
      </c>
      <c r="L196" s="82"/>
      <c r="M196" s="82"/>
      <c r="N196" s="119"/>
      <c r="O196" s="119"/>
      <c r="P196" s="82" t="s">
        <v>1842</v>
      </c>
      <c r="Q196" s="82" t="s">
        <v>1242</v>
      </c>
      <c r="R196" s="82"/>
      <c r="S196" s="82"/>
      <c r="T196" s="72" t="str" cm="1">
        <f t="array" ref="T196">IFERROR(INDEX(Products[[ProdCode]:[Product]],_xlfn.XMATCH(Products[[#This Row],[Parent]],Products[Product],0),2),Products[[#This Row],[Product]])</f>
        <v>Bio-MTBE</v>
      </c>
      <c r="U196" s="72" t="str" cm="1">
        <f t="array" ref="U196">IFERROR(INDEX(Products[[ProdCode]:[Product]],_xlfn.XMATCH(INDEX(Products[[Product]:[Parent]],_xlfn.XMATCH(Products[[#This Row],[L1N]],Products[Product],0),2),Products[ProdCode],0),2),Products[[#This Row],[L1N]])</f>
        <v>Biogasolines</v>
      </c>
      <c r="V196" s="72" t="str" cm="1">
        <f t="array" ref="V196">IFERROR(INDEX(Products[[ProdCode]:[Product]],_xlfn.XMATCH(INDEX(Products[[Product]:[Parent]],_xlfn.XMATCH(Products[[#This Row],[L2N]],Products[Product],0),2),Products[ProdCode],0),2),Products[[#This Row],[L2N]])</f>
        <v>Liquid biofuels</v>
      </c>
      <c r="W196" s="72" t="str" cm="1">
        <f t="array" ref="W196">IFERROR(INDEX(Products[[ProdCode]:[Product]],_xlfn.XMATCH(INDEX(Products[[Product]:[Parent]],_xlfn.XMATCH(Products[[#This Row],[L3N]],Products[Product],0),2),Products[ProdCode],0),2),Products[[#This Row],[L3N]])</f>
        <v>Bioenergy</v>
      </c>
      <c r="X196" s="72" t="str" cm="1">
        <f t="array" ref="X196">IFERROR(INDEX(Products[[ProdCode]:[Product]],_xlfn.XMATCH(INDEX(Products[[Product]:[Parent]],_xlfn.XMATCH(Products[[#This Row],[L4N]],Products[Product],0),2),Products[ProdCode],0),2),Products[[#This Row],[L4N]])</f>
        <v>Renewable Energy</v>
      </c>
      <c r="Y196" s="72" t="str" cm="1">
        <f t="array" ref="Y196">IFERROR(INDEX(Products[[ProdCode]:[Product]],_xlfn.XMATCH(INDEX(Products[[Product]:[Parent]],_xlfn.XMATCH(Products[[#This Row],[L5N]],Products[Product],0),2),Products[ProdCode],0),2),Products[[#This Row],[L5N]])</f>
        <v>Energy</v>
      </c>
      <c r="Z196" s="72" t="str" cm="1">
        <f t="array" ref="Z196">IFERROR(INDEX(Products[[ProdCode]:[Product]],_xlfn.XMATCH(INDEX(Products[[Product]:[Parent]],_xlfn.XMATCH(Products[[#This Row],[L6N]],Products[Product],0),2),Products[ProdCode],0),2),Products[[#This Row],[L6N]])</f>
        <v>Energy</v>
      </c>
      <c r="AA196" s="72" t="str" cm="1">
        <f t="array" ref="AA196">IFERROR(INDEX(Products[[ProdCode]:[Product]],_xlfn.XMATCH(INDEX(Products[[Product]:[Parent]],_xlfn.XMATCH(Products[[#This Row],[L7N]],Products[Product],0),2),Products[ProdCode],0),2),Products[[#This Row],[L7N]])</f>
        <v>Energy</v>
      </c>
      <c r="AB196"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6"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6"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6"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6"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6"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Bio-MTBE</v>
      </c>
      <c r="AH196"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Bio-MTBE</v>
      </c>
      <c r="AI196"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Bio-MTBE</v>
      </c>
    </row>
    <row r="197" spans="2:35" x14ac:dyDescent="0.45">
      <c r="B197" s="107">
        <v>262150</v>
      </c>
      <c r="C197" s="88" t="s">
        <v>983</v>
      </c>
      <c r="D197" s="107">
        <v>262100</v>
      </c>
      <c r="E197" s="93" t="s">
        <v>1149</v>
      </c>
      <c r="F197" s="19" t="s">
        <v>1191</v>
      </c>
      <c r="G197" s="82" t="s">
        <v>1199</v>
      </c>
      <c r="H197" s="82" t="s">
        <v>83</v>
      </c>
      <c r="I197" s="82"/>
      <c r="J197" s="82"/>
      <c r="K197" s="82" t="s">
        <v>1633</v>
      </c>
      <c r="L197" s="82"/>
      <c r="M197" s="82"/>
      <c r="N197" s="119"/>
      <c r="O197" s="119"/>
      <c r="P197" s="82" t="s">
        <v>1842</v>
      </c>
      <c r="Q197" s="82" t="s">
        <v>1242</v>
      </c>
      <c r="R197" s="82"/>
      <c r="S197" s="82"/>
      <c r="T197" s="72" t="str" cm="1">
        <f t="array" ref="T197">IFERROR(INDEX(Products[[ProdCode]:[Product]],_xlfn.XMATCH(Products[[#This Row],[Parent]],Products[Product],0),2),Products[[#This Row],[Product]])</f>
        <v>Bio-ETBE</v>
      </c>
      <c r="U197" s="72" t="str" cm="1">
        <f t="array" ref="U197">IFERROR(INDEX(Products[[ProdCode]:[Product]],_xlfn.XMATCH(INDEX(Products[[Product]:[Parent]],_xlfn.XMATCH(Products[[#This Row],[L1N]],Products[Product],0),2),Products[ProdCode],0),2),Products[[#This Row],[L1N]])</f>
        <v>Biogasolines</v>
      </c>
      <c r="V197" s="72" t="str" cm="1">
        <f t="array" ref="V197">IFERROR(INDEX(Products[[ProdCode]:[Product]],_xlfn.XMATCH(INDEX(Products[[Product]:[Parent]],_xlfn.XMATCH(Products[[#This Row],[L2N]],Products[Product],0),2),Products[ProdCode],0),2),Products[[#This Row],[L2N]])</f>
        <v>Liquid biofuels</v>
      </c>
      <c r="W197" s="72" t="str" cm="1">
        <f t="array" ref="W197">IFERROR(INDEX(Products[[ProdCode]:[Product]],_xlfn.XMATCH(INDEX(Products[[Product]:[Parent]],_xlfn.XMATCH(Products[[#This Row],[L3N]],Products[Product],0),2),Products[ProdCode],0),2),Products[[#This Row],[L3N]])</f>
        <v>Bioenergy</v>
      </c>
      <c r="X197" s="72" t="str" cm="1">
        <f t="array" ref="X197">IFERROR(INDEX(Products[[ProdCode]:[Product]],_xlfn.XMATCH(INDEX(Products[[Product]:[Parent]],_xlfn.XMATCH(Products[[#This Row],[L4N]],Products[Product],0),2),Products[ProdCode],0),2),Products[[#This Row],[L4N]])</f>
        <v>Renewable Energy</v>
      </c>
      <c r="Y197" s="72" t="str" cm="1">
        <f t="array" ref="Y197">IFERROR(INDEX(Products[[ProdCode]:[Product]],_xlfn.XMATCH(INDEX(Products[[Product]:[Parent]],_xlfn.XMATCH(Products[[#This Row],[L5N]],Products[Product],0),2),Products[ProdCode],0),2),Products[[#This Row],[L5N]])</f>
        <v>Energy</v>
      </c>
      <c r="Z197" s="72" t="str" cm="1">
        <f t="array" ref="Z197">IFERROR(INDEX(Products[[ProdCode]:[Product]],_xlfn.XMATCH(INDEX(Products[[Product]:[Parent]],_xlfn.XMATCH(Products[[#This Row],[L6N]],Products[Product],0),2),Products[ProdCode],0),2),Products[[#This Row],[L6N]])</f>
        <v>Energy</v>
      </c>
      <c r="AA197" s="72" t="str" cm="1">
        <f t="array" ref="AA197">IFERROR(INDEX(Products[[ProdCode]:[Product]],_xlfn.XMATCH(INDEX(Products[[Product]:[Parent]],_xlfn.XMATCH(Products[[#This Row],[L7N]],Products[Product],0),2),Products[ProdCode],0),2),Products[[#This Row],[L7N]])</f>
        <v>Energy</v>
      </c>
      <c r="AB19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Bio-ETBE</v>
      </c>
      <c r="AH19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Bio-ETBE</v>
      </c>
      <c r="AI19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Bio-ETBE</v>
      </c>
    </row>
    <row r="198" spans="2:35" x14ac:dyDescent="0.45">
      <c r="B198" s="107">
        <v>262190</v>
      </c>
      <c r="C198" s="88" t="s">
        <v>1167</v>
      </c>
      <c r="D198" s="107">
        <v>262100</v>
      </c>
      <c r="E198" s="93" t="s">
        <v>1149</v>
      </c>
      <c r="F198" s="19" t="s">
        <v>1191</v>
      </c>
      <c r="G198" s="82" t="s">
        <v>1199</v>
      </c>
      <c r="H198" s="82" t="s">
        <v>83</v>
      </c>
      <c r="I198" s="82" t="s">
        <v>107</v>
      </c>
      <c r="J198" s="82"/>
      <c r="K198" s="82" t="s">
        <v>1634</v>
      </c>
      <c r="L198" s="82"/>
      <c r="M198" s="82">
        <v>26.8</v>
      </c>
      <c r="N198" s="119"/>
      <c r="O198" s="119"/>
      <c r="P198" s="82"/>
      <c r="Q198" s="82" t="s">
        <v>1242</v>
      </c>
      <c r="R198" s="82"/>
      <c r="S198" s="82"/>
      <c r="T198" s="72" t="str" cm="1">
        <f t="array" ref="T198">IFERROR(INDEX(Products[[ProdCode]:[Product]],_xlfn.XMATCH(Products[[#This Row],[Parent]],Products[Product],0),2),Products[[#This Row],[Product]])</f>
        <v>Other biogasolines</v>
      </c>
      <c r="U198" s="72" t="str" cm="1">
        <f t="array" ref="U198">IFERROR(INDEX(Products[[ProdCode]:[Product]],_xlfn.XMATCH(INDEX(Products[[Product]:[Parent]],_xlfn.XMATCH(Products[[#This Row],[L1N]],Products[Product],0),2),Products[ProdCode],0),2),Products[[#This Row],[L1N]])</f>
        <v>Biogasolines</v>
      </c>
      <c r="V198" s="72" t="str" cm="1">
        <f t="array" ref="V198">IFERROR(INDEX(Products[[ProdCode]:[Product]],_xlfn.XMATCH(INDEX(Products[[Product]:[Parent]],_xlfn.XMATCH(Products[[#This Row],[L2N]],Products[Product],0),2),Products[ProdCode],0),2),Products[[#This Row],[L2N]])</f>
        <v>Liquid biofuels</v>
      </c>
      <c r="W198" s="72" t="str" cm="1">
        <f t="array" ref="W198">IFERROR(INDEX(Products[[ProdCode]:[Product]],_xlfn.XMATCH(INDEX(Products[[Product]:[Parent]],_xlfn.XMATCH(Products[[#This Row],[L3N]],Products[Product],0),2),Products[ProdCode],0),2),Products[[#This Row],[L3N]])</f>
        <v>Bioenergy</v>
      </c>
      <c r="X198" s="72" t="str" cm="1">
        <f t="array" ref="X198">IFERROR(INDEX(Products[[ProdCode]:[Product]],_xlfn.XMATCH(INDEX(Products[[Product]:[Parent]],_xlfn.XMATCH(Products[[#This Row],[L4N]],Products[Product],0),2),Products[ProdCode],0),2),Products[[#This Row],[L4N]])</f>
        <v>Renewable Energy</v>
      </c>
      <c r="Y198" s="72" t="str" cm="1">
        <f t="array" ref="Y198">IFERROR(INDEX(Products[[ProdCode]:[Product]],_xlfn.XMATCH(INDEX(Products[[Product]:[Parent]],_xlfn.XMATCH(Products[[#This Row],[L5N]],Products[Product],0),2),Products[ProdCode],0),2),Products[[#This Row],[L5N]])</f>
        <v>Energy</v>
      </c>
      <c r="Z198" s="72" t="str" cm="1">
        <f t="array" ref="Z198">IFERROR(INDEX(Products[[ProdCode]:[Product]],_xlfn.XMATCH(INDEX(Products[[Product]:[Parent]],_xlfn.XMATCH(Products[[#This Row],[L6N]],Products[Product],0),2),Products[ProdCode],0),2),Products[[#This Row],[L6N]])</f>
        <v>Energy</v>
      </c>
      <c r="AA198" s="72" t="str" cm="1">
        <f t="array" ref="AA198">IFERROR(INDEX(Products[[ProdCode]:[Product]],_xlfn.XMATCH(INDEX(Products[[Product]:[Parent]],_xlfn.XMATCH(Products[[#This Row],[L7N]],Products[Product],0),2),Products[ProdCode],0),2),Products[[#This Row],[L7N]])</f>
        <v>Energy</v>
      </c>
      <c r="AB198"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8"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8"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8"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8"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Biogasolines</v>
      </c>
      <c r="AG198"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biogasolines</v>
      </c>
      <c r="AH198"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biogasolines</v>
      </c>
      <c r="AI198"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biogasolines</v>
      </c>
    </row>
    <row r="199" spans="2:35" x14ac:dyDescent="0.45">
      <c r="B199" s="106">
        <v>262200</v>
      </c>
      <c r="C199" s="85" t="s">
        <v>650</v>
      </c>
      <c r="D199" s="106">
        <v>262000</v>
      </c>
      <c r="E199" s="93" t="s">
        <v>1149</v>
      </c>
      <c r="F199" s="19" t="s">
        <v>1191</v>
      </c>
      <c r="G199" s="82" t="s">
        <v>53</v>
      </c>
      <c r="H199" s="82" t="s">
        <v>65</v>
      </c>
      <c r="I199" s="82"/>
      <c r="J199" s="82"/>
      <c r="K199" s="82" t="s">
        <v>1034</v>
      </c>
      <c r="L199" s="82" t="s">
        <v>1949</v>
      </c>
      <c r="M199" s="82"/>
      <c r="N199" s="119"/>
      <c r="O199" s="119"/>
      <c r="P199" s="82" t="s">
        <v>1519</v>
      </c>
      <c r="Q199" s="82" t="s">
        <v>1242</v>
      </c>
      <c r="R199" s="82"/>
      <c r="S199" s="82"/>
      <c r="T199" s="71" t="str" cm="1">
        <f t="array" ref="T199">IFERROR(INDEX(Products[[ProdCode]:[Product]],_xlfn.XMATCH(Products[[#This Row],[Parent]],Products[Product],0),2),Products[[#This Row],[Product]])</f>
        <v>Biodiesels</v>
      </c>
      <c r="U199" s="71" t="str" cm="1">
        <f t="array" ref="U199">IFERROR(INDEX(Products[[ProdCode]:[Product]],_xlfn.XMATCH(INDEX(Products[[Product]:[Parent]],_xlfn.XMATCH(Products[[#This Row],[L1N]],Products[Product],0),2),Products[ProdCode],0),2),Products[[#This Row],[L1N]])</f>
        <v>Liquid biofuels</v>
      </c>
      <c r="V199" s="71" t="str" cm="1">
        <f t="array" ref="V199">IFERROR(INDEX(Products[[ProdCode]:[Product]],_xlfn.XMATCH(INDEX(Products[[Product]:[Parent]],_xlfn.XMATCH(Products[[#This Row],[L2N]],Products[Product],0),2),Products[ProdCode],0),2),Products[[#This Row],[L2N]])</f>
        <v>Bioenergy</v>
      </c>
      <c r="W199" s="71" t="str" cm="1">
        <f t="array" ref="W199">IFERROR(INDEX(Products[[ProdCode]:[Product]],_xlfn.XMATCH(INDEX(Products[[Product]:[Parent]],_xlfn.XMATCH(Products[[#This Row],[L3N]],Products[Product],0),2),Products[ProdCode],0),2),Products[[#This Row],[L3N]])</f>
        <v>Renewable Energy</v>
      </c>
      <c r="X199" s="71" t="str" cm="1">
        <f t="array" ref="X199">IFERROR(INDEX(Products[[ProdCode]:[Product]],_xlfn.XMATCH(INDEX(Products[[Product]:[Parent]],_xlfn.XMATCH(Products[[#This Row],[L4N]],Products[Product],0),2),Products[ProdCode],0),2),Products[[#This Row],[L4N]])</f>
        <v>Energy</v>
      </c>
      <c r="Y199" s="71" t="str" cm="1">
        <f t="array" ref="Y199">IFERROR(INDEX(Products[[ProdCode]:[Product]],_xlfn.XMATCH(INDEX(Products[[Product]:[Parent]],_xlfn.XMATCH(Products[[#This Row],[L5N]],Products[Product],0),2),Products[ProdCode],0),2),Products[[#This Row],[L5N]])</f>
        <v>Energy</v>
      </c>
      <c r="Z199" s="71" t="str" cm="1">
        <f t="array" ref="Z199">IFERROR(INDEX(Products[[ProdCode]:[Product]],_xlfn.XMATCH(INDEX(Products[[Product]:[Parent]],_xlfn.XMATCH(Products[[#This Row],[L6N]],Products[Product],0),2),Products[ProdCode],0),2),Products[[#This Row],[L6N]])</f>
        <v>Energy</v>
      </c>
      <c r="AA199" s="71" t="str" cm="1">
        <f t="array" ref="AA199">IFERROR(INDEX(Products[[ProdCode]:[Product]],_xlfn.XMATCH(INDEX(Products[[Product]:[Parent]],_xlfn.XMATCH(Products[[#This Row],[L7N]],Products[Product],0),2),Products[ProdCode],0),2),Products[[#This Row],[L7N]])</f>
        <v>Energy</v>
      </c>
      <c r="AB19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19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19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19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19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19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Biodiesels</v>
      </c>
      <c r="AH19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Biodiesels</v>
      </c>
      <c r="AI19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Biodiesels</v>
      </c>
    </row>
    <row r="200" spans="2:35" x14ac:dyDescent="0.45">
      <c r="B200" s="107">
        <v>262210</v>
      </c>
      <c r="C200" s="88" t="s">
        <v>984</v>
      </c>
      <c r="D200" s="107">
        <v>262200</v>
      </c>
      <c r="E200" s="93" t="s">
        <v>1149</v>
      </c>
      <c r="F200" s="19" t="s">
        <v>1191</v>
      </c>
      <c r="G200" s="82" t="s">
        <v>1199</v>
      </c>
      <c r="H200" s="82" t="s">
        <v>83</v>
      </c>
      <c r="I200" s="82"/>
      <c r="J200" s="82"/>
      <c r="K200" s="82" t="s">
        <v>1636</v>
      </c>
      <c r="L200" s="82" t="s">
        <v>1950</v>
      </c>
      <c r="M200" s="82">
        <v>36.799999999999997</v>
      </c>
      <c r="N200" s="119"/>
      <c r="O200" s="119"/>
      <c r="P200" s="82" t="s">
        <v>1519</v>
      </c>
      <c r="Q200" s="69" t="s">
        <v>145</v>
      </c>
      <c r="R200" s="82"/>
      <c r="S200" s="82"/>
      <c r="T200" s="72" t="str" cm="1">
        <f t="array" ref="T200">IFERROR(INDEX(Products[[ProdCode]:[Product]],_xlfn.XMATCH(Products[[#This Row],[Parent]],Products[Product],0),2),Products[[#This Row],[Product]])</f>
        <v>Transesterified biodiesel</v>
      </c>
      <c r="U200" s="72" t="str" cm="1">
        <f t="array" ref="U200">IFERROR(INDEX(Products[[ProdCode]:[Product]],_xlfn.XMATCH(INDEX(Products[[Product]:[Parent]],_xlfn.XMATCH(Products[[#This Row],[L1N]],Products[Product],0),2),Products[ProdCode],0),2),Products[[#This Row],[L1N]])</f>
        <v>Biodiesels</v>
      </c>
      <c r="V200" s="72" t="str" cm="1">
        <f t="array" ref="V200">IFERROR(INDEX(Products[[ProdCode]:[Product]],_xlfn.XMATCH(INDEX(Products[[Product]:[Parent]],_xlfn.XMATCH(Products[[#This Row],[L2N]],Products[Product],0),2),Products[ProdCode],0),2),Products[[#This Row],[L2N]])</f>
        <v>Liquid biofuels</v>
      </c>
      <c r="W200" s="72" t="str" cm="1">
        <f t="array" ref="W200">IFERROR(INDEX(Products[[ProdCode]:[Product]],_xlfn.XMATCH(INDEX(Products[[Product]:[Parent]],_xlfn.XMATCH(Products[[#This Row],[L3N]],Products[Product],0),2),Products[ProdCode],0),2),Products[[#This Row],[L3N]])</f>
        <v>Bioenergy</v>
      </c>
      <c r="X200" s="72" t="str" cm="1">
        <f t="array" ref="X200">IFERROR(INDEX(Products[[ProdCode]:[Product]],_xlfn.XMATCH(INDEX(Products[[Product]:[Parent]],_xlfn.XMATCH(Products[[#This Row],[L4N]],Products[Product],0),2),Products[ProdCode],0),2),Products[[#This Row],[L4N]])</f>
        <v>Renewable Energy</v>
      </c>
      <c r="Y200" s="72" t="str" cm="1">
        <f t="array" ref="Y200">IFERROR(INDEX(Products[[ProdCode]:[Product]],_xlfn.XMATCH(INDEX(Products[[Product]:[Parent]],_xlfn.XMATCH(Products[[#This Row],[L5N]],Products[Product],0),2),Products[ProdCode],0),2),Products[[#This Row],[L5N]])</f>
        <v>Energy</v>
      </c>
      <c r="Z200" s="72" t="str" cm="1">
        <f t="array" ref="Z200">IFERROR(INDEX(Products[[ProdCode]:[Product]],_xlfn.XMATCH(INDEX(Products[[Product]:[Parent]],_xlfn.XMATCH(Products[[#This Row],[L6N]],Products[Product],0),2),Products[ProdCode],0),2),Products[[#This Row],[L6N]])</f>
        <v>Energy</v>
      </c>
      <c r="AA200" s="72" t="str" cm="1">
        <f t="array" ref="AA200">IFERROR(INDEX(Products[[ProdCode]:[Product]],_xlfn.XMATCH(INDEX(Products[[Product]:[Parent]],_xlfn.XMATCH(Products[[#This Row],[L7N]],Products[Product],0),2),Products[ProdCode],0),2),Products[[#This Row],[L7N]])</f>
        <v>Energy</v>
      </c>
      <c r="AB20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Transesterified biodiesel</v>
      </c>
      <c r="AH20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Transesterified biodiesel</v>
      </c>
      <c r="AI20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Transesterified biodiesel</v>
      </c>
    </row>
    <row r="201" spans="2:35" x14ac:dyDescent="0.45">
      <c r="B201" s="107">
        <v>262220</v>
      </c>
      <c r="C201" s="88" t="s">
        <v>985</v>
      </c>
      <c r="D201" s="107">
        <v>262200</v>
      </c>
      <c r="E201" s="93" t="s">
        <v>1149</v>
      </c>
      <c r="F201" s="19" t="s">
        <v>1191</v>
      </c>
      <c r="G201" s="82" t="s">
        <v>1199</v>
      </c>
      <c r="H201" s="82" t="s">
        <v>83</v>
      </c>
      <c r="I201" s="82"/>
      <c r="J201" s="82"/>
      <c r="K201" s="82" t="s">
        <v>1637</v>
      </c>
      <c r="L201" s="82"/>
      <c r="M201" s="82">
        <v>36.799999999999997</v>
      </c>
      <c r="N201" s="119"/>
      <c r="O201" s="119"/>
      <c r="P201" s="82" t="s">
        <v>1519</v>
      </c>
      <c r="Q201" s="82" t="s">
        <v>1242</v>
      </c>
      <c r="R201" s="82"/>
      <c r="S201" s="82"/>
      <c r="T201" s="72" t="str" cm="1">
        <f t="array" ref="T201">IFERROR(INDEX(Products[[ProdCode]:[Product]],_xlfn.XMATCH(Products[[#This Row],[Parent]],Products[Product],0),2),Products[[#This Row],[Product]])</f>
        <v>Thermal process biodiesel</v>
      </c>
      <c r="U201" s="72" t="str" cm="1">
        <f t="array" ref="U201">IFERROR(INDEX(Products[[ProdCode]:[Product]],_xlfn.XMATCH(INDEX(Products[[Product]:[Parent]],_xlfn.XMATCH(Products[[#This Row],[L1N]],Products[Product],0),2),Products[ProdCode],0),2),Products[[#This Row],[L1N]])</f>
        <v>Biodiesels</v>
      </c>
      <c r="V201" s="72" t="str" cm="1">
        <f t="array" ref="V201">IFERROR(INDEX(Products[[ProdCode]:[Product]],_xlfn.XMATCH(INDEX(Products[[Product]:[Parent]],_xlfn.XMATCH(Products[[#This Row],[L2N]],Products[Product],0),2),Products[ProdCode],0),2),Products[[#This Row],[L2N]])</f>
        <v>Liquid biofuels</v>
      </c>
      <c r="W201" s="72" t="str" cm="1">
        <f t="array" ref="W201">IFERROR(INDEX(Products[[ProdCode]:[Product]],_xlfn.XMATCH(INDEX(Products[[Product]:[Parent]],_xlfn.XMATCH(Products[[#This Row],[L3N]],Products[Product],0),2),Products[ProdCode],0),2),Products[[#This Row],[L3N]])</f>
        <v>Bioenergy</v>
      </c>
      <c r="X201" s="72" t="str" cm="1">
        <f t="array" ref="X201">IFERROR(INDEX(Products[[ProdCode]:[Product]],_xlfn.XMATCH(INDEX(Products[[Product]:[Parent]],_xlfn.XMATCH(Products[[#This Row],[L4N]],Products[Product],0),2),Products[ProdCode],0),2),Products[[#This Row],[L4N]])</f>
        <v>Renewable Energy</v>
      </c>
      <c r="Y201" s="72" t="str" cm="1">
        <f t="array" ref="Y201">IFERROR(INDEX(Products[[ProdCode]:[Product]],_xlfn.XMATCH(INDEX(Products[[Product]:[Parent]],_xlfn.XMATCH(Products[[#This Row],[L5N]],Products[Product],0),2),Products[ProdCode],0),2),Products[[#This Row],[L5N]])</f>
        <v>Energy</v>
      </c>
      <c r="Z201" s="72" t="str" cm="1">
        <f t="array" ref="Z201">IFERROR(INDEX(Products[[ProdCode]:[Product]],_xlfn.XMATCH(INDEX(Products[[Product]:[Parent]],_xlfn.XMATCH(Products[[#This Row],[L6N]],Products[Product],0),2),Products[ProdCode],0),2),Products[[#This Row],[L6N]])</f>
        <v>Energy</v>
      </c>
      <c r="AA201" s="72" t="str" cm="1">
        <f t="array" ref="AA201">IFERROR(INDEX(Products[[ProdCode]:[Product]],_xlfn.XMATCH(INDEX(Products[[Product]:[Parent]],_xlfn.XMATCH(Products[[#This Row],[L7N]],Products[Product],0),2),Products[ProdCode],0),2),Products[[#This Row],[L7N]])</f>
        <v>Energy</v>
      </c>
      <c r="AB20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Thermal process biodiesel</v>
      </c>
      <c r="AH20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Thermal process biodiesel</v>
      </c>
      <c r="AI20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Thermal process biodiesel</v>
      </c>
    </row>
    <row r="202" spans="2:35" x14ac:dyDescent="0.45">
      <c r="B202" s="107">
        <v>262230</v>
      </c>
      <c r="C202" s="88" t="s">
        <v>1104</v>
      </c>
      <c r="D202" s="107">
        <v>262200</v>
      </c>
      <c r="E202" s="93" t="s">
        <v>1149</v>
      </c>
      <c r="F202" s="19" t="s">
        <v>1191</v>
      </c>
      <c r="G202" s="82" t="s">
        <v>1199</v>
      </c>
      <c r="H202" s="82" t="s">
        <v>83</v>
      </c>
      <c r="I202" s="82"/>
      <c r="J202" s="82"/>
      <c r="K202" s="82" t="s">
        <v>1638</v>
      </c>
      <c r="L202" s="82"/>
      <c r="M202" s="82">
        <v>36.799999999999997</v>
      </c>
      <c r="N202" s="119"/>
      <c r="O202" s="119"/>
      <c r="P202" s="82" t="s">
        <v>1519</v>
      </c>
      <c r="Q202" s="82" t="s">
        <v>1242</v>
      </c>
      <c r="R202" s="82"/>
      <c r="S202" s="82"/>
      <c r="T202" s="72" t="str" cm="1">
        <f t="array" ref="T202">IFERROR(INDEX(Products[[ProdCode]:[Product]],_xlfn.XMATCH(Products[[#This Row],[Parent]],Products[Product],0),2),Products[[#This Row],[Product]])</f>
        <v>Microalgal biodiesel</v>
      </c>
      <c r="U202" s="72" t="str" cm="1">
        <f t="array" ref="U202">IFERROR(INDEX(Products[[ProdCode]:[Product]],_xlfn.XMATCH(INDEX(Products[[Product]:[Parent]],_xlfn.XMATCH(Products[[#This Row],[L1N]],Products[Product],0),2),Products[ProdCode],0),2),Products[[#This Row],[L1N]])</f>
        <v>Biodiesels</v>
      </c>
      <c r="V202" s="72" t="str" cm="1">
        <f t="array" ref="V202">IFERROR(INDEX(Products[[ProdCode]:[Product]],_xlfn.XMATCH(INDEX(Products[[Product]:[Parent]],_xlfn.XMATCH(Products[[#This Row],[L2N]],Products[Product],0),2),Products[ProdCode],0),2),Products[[#This Row],[L2N]])</f>
        <v>Liquid biofuels</v>
      </c>
      <c r="W202" s="72" t="str" cm="1">
        <f t="array" ref="W202">IFERROR(INDEX(Products[[ProdCode]:[Product]],_xlfn.XMATCH(INDEX(Products[[Product]:[Parent]],_xlfn.XMATCH(Products[[#This Row],[L3N]],Products[Product],0),2),Products[ProdCode],0),2),Products[[#This Row],[L3N]])</f>
        <v>Bioenergy</v>
      </c>
      <c r="X202" s="72" t="str" cm="1">
        <f t="array" ref="X202">IFERROR(INDEX(Products[[ProdCode]:[Product]],_xlfn.XMATCH(INDEX(Products[[Product]:[Parent]],_xlfn.XMATCH(Products[[#This Row],[L4N]],Products[Product],0),2),Products[ProdCode],0),2),Products[[#This Row],[L4N]])</f>
        <v>Renewable Energy</v>
      </c>
      <c r="Y202" s="72" t="str" cm="1">
        <f t="array" ref="Y202">IFERROR(INDEX(Products[[ProdCode]:[Product]],_xlfn.XMATCH(INDEX(Products[[Product]:[Parent]],_xlfn.XMATCH(Products[[#This Row],[L5N]],Products[Product],0),2),Products[ProdCode],0),2),Products[[#This Row],[L5N]])</f>
        <v>Energy</v>
      </c>
      <c r="Z202" s="71" t="str" cm="1">
        <f t="array" ref="Z202">IFERROR(INDEX(Products[[ProdCode]:[Product]],_xlfn.XMATCH(INDEX(Products[[Product]:[Parent]],_xlfn.XMATCH(Products[[#This Row],[L6N]],Products[Product],0),2),Products[ProdCode],0),2),Products[[#This Row],[L6N]])</f>
        <v>Energy</v>
      </c>
      <c r="AA202" s="71" t="str" cm="1">
        <f t="array" ref="AA202">IFERROR(INDEX(Products[[ProdCode]:[Product]],_xlfn.XMATCH(INDEX(Products[[Product]:[Parent]],_xlfn.XMATCH(Products[[#This Row],[L7N]],Products[Product],0),2),Products[ProdCode],0),2),Products[[#This Row],[L7N]])</f>
        <v>Energy</v>
      </c>
      <c r="AB20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Microalgal biodiesel</v>
      </c>
      <c r="AH20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Microalgal biodiesel</v>
      </c>
      <c r="AI20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Microalgal biodiesel</v>
      </c>
    </row>
    <row r="203" spans="2:35" x14ac:dyDescent="0.45">
      <c r="B203" s="107">
        <v>262240</v>
      </c>
      <c r="C203" s="88" t="s">
        <v>986</v>
      </c>
      <c r="D203" s="107">
        <v>262200</v>
      </c>
      <c r="E203" s="93" t="s">
        <v>1149</v>
      </c>
      <c r="F203" s="19" t="s">
        <v>1191</v>
      </c>
      <c r="G203" s="82" t="s">
        <v>1199</v>
      </c>
      <c r="H203" s="82" t="s">
        <v>83</v>
      </c>
      <c r="I203" s="82"/>
      <c r="J203" s="82"/>
      <c r="K203" s="82" t="s">
        <v>1430</v>
      </c>
      <c r="L203" s="82"/>
      <c r="M203" s="82">
        <v>36.799999999999997</v>
      </c>
      <c r="N203" s="119"/>
      <c r="O203" s="119"/>
      <c r="P203" s="82" t="s">
        <v>1519</v>
      </c>
      <c r="Q203" s="82" t="s">
        <v>1242</v>
      </c>
      <c r="R203" s="82"/>
      <c r="S203" s="82"/>
      <c r="T203" s="72" t="str" cm="1">
        <f t="array" ref="T203">IFERROR(INDEX(Products[[ProdCode]:[Product]],_xlfn.XMATCH(Products[[#This Row],[Parent]],Products[Product],0),2),Products[[#This Row],[Product]])</f>
        <v>Straight vegetable oil</v>
      </c>
      <c r="U203" s="72" t="str" cm="1">
        <f t="array" ref="U203">IFERROR(INDEX(Products[[ProdCode]:[Product]],_xlfn.XMATCH(INDEX(Products[[Product]:[Parent]],_xlfn.XMATCH(Products[[#This Row],[L1N]],Products[Product],0),2),Products[ProdCode],0),2),Products[[#This Row],[L1N]])</f>
        <v>Biodiesels</v>
      </c>
      <c r="V203" s="72" t="str" cm="1">
        <f t="array" ref="V203">IFERROR(INDEX(Products[[ProdCode]:[Product]],_xlfn.XMATCH(INDEX(Products[[Product]:[Parent]],_xlfn.XMATCH(Products[[#This Row],[L2N]],Products[Product],0),2),Products[ProdCode],0),2),Products[[#This Row],[L2N]])</f>
        <v>Liquid biofuels</v>
      </c>
      <c r="W203" s="72" t="str" cm="1">
        <f t="array" ref="W203">IFERROR(INDEX(Products[[ProdCode]:[Product]],_xlfn.XMATCH(INDEX(Products[[Product]:[Parent]],_xlfn.XMATCH(Products[[#This Row],[L3N]],Products[Product],0),2),Products[ProdCode],0),2),Products[[#This Row],[L3N]])</f>
        <v>Bioenergy</v>
      </c>
      <c r="X203" s="72" t="str" cm="1">
        <f t="array" ref="X203">IFERROR(INDEX(Products[[ProdCode]:[Product]],_xlfn.XMATCH(INDEX(Products[[Product]:[Parent]],_xlfn.XMATCH(Products[[#This Row],[L4N]],Products[Product],0),2),Products[ProdCode],0),2),Products[[#This Row],[L4N]])</f>
        <v>Renewable Energy</v>
      </c>
      <c r="Y203" s="72" t="str" cm="1">
        <f t="array" ref="Y203">IFERROR(INDEX(Products[[ProdCode]:[Product]],_xlfn.XMATCH(INDEX(Products[[Product]:[Parent]],_xlfn.XMATCH(Products[[#This Row],[L5N]],Products[Product],0),2),Products[ProdCode],0),2),Products[[#This Row],[L5N]])</f>
        <v>Energy</v>
      </c>
      <c r="Z203" s="72" t="str" cm="1">
        <f t="array" ref="Z203">IFERROR(INDEX(Products[[ProdCode]:[Product]],_xlfn.XMATCH(INDEX(Products[[Product]:[Parent]],_xlfn.XMATCH(Products[[#This Row],[L6N]],Products[Product],0),2),Products[ProdCode],0),2),Products[[#This Row],[L6N]])</f>
        <v>Energy</v>
      </c>
      <c r="AA203" s="72" t="str" cm="1">
        <f t="array" ref="AA203">IFERROR(INDEX(Products[[ProdCode]:[Product]],_xlfn.XMATCH(INDEX(Products[[Product]:[Parent]],_xlfn.XMATCH(Products[[#This Row],[L7N]],Products[Product],0),2),Products[ProdCode],0),2),Products[[#This Row],[L7N]])</f>
        <v>Energy</v>
      </c>
      <c r="AB203"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3"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3"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3"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3"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3"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Straight vegetable oil</v>
      </c>
      <c r="AH203"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Straight vegetable oil</v>
      </c>
      <c r="AI203"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Straight vegetable oil</v>
      </c>
    </row>
    <row r="204" spans="2:35" x14ac:dyDescent="0.45">
      <c r="B204" s="107">
        <v>262250</v>
      </c>
      <c r="C204" s="88" t="s">
        <v>987</v>
      </c>
      <c r="D204" s="107">
        <v>262200</v>
      </c>
      <c r="E204" s="93" t="s">
        <v>1149</v>
      </c>
      <c r="F204" s="19" t="s">
        <v>1191</v>
      </c>
      <c r="G204" s="82" t="s">
        <v>1199</v>
      </c>
      <c r="H204" s="82" t="s">
        <v>83</v>
      </c>
      <c r="I204" s="82"/>
      <c r="J204" s="82"/>
      <c r="K204" s="82" t="s">
        <v>1386</v>
      </c>
      <c r="L204" s="82"/>
      <c r="M204" s="82">
        <v>43</v>
      </c>
      <c r="N204" s="119"/>
      <c r="O204" s="119"/>
      <c r="P204" s="82" t="s">
        <v>1519</v>
      </c>
      <c r="Q204" s="82" t="s">
        <v>1242</v>
      </c>
      <c r="R204" s="82"/>
      <c r="S204" s="82"/>
      <c r="T204" s="72" t="str" cm="1">
        <f t="array" ref="T204">IFERROR(INDEX(Products[[ProdCode]:[Product]],_xlfn.XMATCH(Products[[#This Row],[Parent]],Products[Product],0),2),Products[[#This Row],[Product]])</f>
        <v>HVO diesel</v>
      </c>
      <c r="U204" s="72" t="str" cm="1">
        <f t="array" ref="U204">IFERROR(INDEX(Products[[ProdCode]:[Product]],_xlfn.XMATCH(INDEX(Products[[Product]:[Parent]],_xlfn.XMATCH(Products[[#This Row],[L1N]],Products[Product],0),2),Products[ProdCode],0),2),Products[[#This Row],[L1N]])</f>
        <v>Biodiesels</v>
      </c>
      <c r="V204" s="72" t="str" cm="1">
        <f t="array" ref="V204">IFERROR(INDEX(Products[[ProdCode]:[Product]],_xlfn.XMATCH(INDEX(Products[[Product]:[Parent]],_xlfn.XMATCH(Products[[#This Row],[L2N]],Products[Product],0),2),Products[ProdCode],0),2),Products[[#This Row],[L2N]])</f>
        <v>Liquid biofuels</v>
      </c>
      <c r="W204" s="72" t="str" cm="1">
        <f t="array" ref="W204">IFERROR(INDEX(Products[[ProdCode]:[Product]],_xlfn.XMATCH(INDEX(Products[[Product]:[Parent]],_xlfn.XMATCH(Products[[#This Row],[L3N]],Products[Product],0),2),Products[ProdCode],0),2),Products[[#This Row],[L3N]])</f>
        <v>Bioenergy</v>
      </c>
      <c r="X204" s="72" t="str" cm="1">
        <f t="array" ref="X204">IFERROR(INDEX(Products[[ProdCode]:[Product]],_xlfn.XMATCH(INDEX(Products[[Product]:[Parent]],_xlfn.XMATCH(Products[[#This Row],[L4N]],Products[Product],0),2),Products[ProdCode],0),2),Products[[#This Row],[L4N]])</f>
        <v>Renewable Energy</v>
      </c>
      <c r="Y204" s="72" t="str" cm="1">
        <f t="array" ref="Y204">IFERROR(INDEX(Products[[ProdCode]:[Product]],_xlfn.XMATCH(INDEX(Products[[Product]:[Parent]],_xlfn.XMATCH(Products[[#This Row],[L5N]],Products[Product],0),2),Products[ProdCode],0),2),Products[[#This Row],[L5N]])</f>
        <v>Energy</v>
      </c>
      <c r="Z204" s="72" t="str" cm="1">
        <f t="array" ref="Z204">IFERROR(INDEX(Products[[ProdCode]:[Product]],_xlfn.XMATCH(INDEX(Products[[Product]:[Parent]],_xlfn.XMATCH(Products[[#This Row],[L6N]],Products[Product],0),2),Products[ProdCode],0),2),Products[[#This Row],[L6N]])</f>
        <v>Energy</v>
      </c>
      <c r="AA204" s="72" t="str" cm="1">
        <f t="array" ref="AA204">IFERROR(INDEX(Products[[ProdCode]:[Product]],_xlfn.XMATCH(INDEX(Products[[Product]:[Parent]],_xlfn.XMATCH(Products[[#This Row],[L7N]],Products[Product],0),2),Products[ProdCode],0),2),Products[[#This Row],[L7N]])</f>
        <v>Energy</v>
      </c>
      <c r="AB204"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4"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4"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4"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4"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4"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HVO diesel</v>
      </c>
      <c r="AH204"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HVO diesel</v>
      </c>
      <c r="AI204"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HVO diesel</v>
      </c>
    </row>
    <row r="205" spans="2:35" x14ac:dyDescent="0.45">
      <c r="B205" s="107">
        <v>262290</v>
      </c>
      <c r="C205" s="88" t="s">
        <v>1168</v>
      </c>
      <c r="D205" s="107">
        <v>262200</v>
      </c>
      <c r="E205" s="93" t="s">
        <v>1149</v>
      </c>
      <c r="F205" s="19" t="s">
        <v>1191</v>
      </c>
      <c r="G205" s="82" t="s">
        <v>1199</v>
      </c>
      <c r="H205" s="82" t="s">
        <v>83</v>
      </c>
      <c r="I205" s="82" t="s">
        <v>107</v>
      </c>
      <c r="J205" s="82"/>
      <c r="K205" s="82" t="s">
        <v>1639</v>
      </c>
      <c r="L205" s="82"/>
      <c r="M205" s="82">
        <v>36.799999999999997</v>
      </c>
      <c r="N205" s="119"/>
      <c r="O205" s="119"/>
      <c r="P205" s="82" t="s">
        <v>1519</v>
      </c>
      <c r="Q205" s="82" t="s">
        <v>1242</v>
      </c>
      <c r="R205" s="82"/>
      <c r="S205" s="82"/>
      <c r="T205" s="72" t="str" cm="1">
        <f t="array" ref="T205">IFERROR(INDEX(Products[[ProdCode]:[Product]],_xlfn.XMATCH(Products[[#This Row],[Parent]],Products[Product],0),2),Products[[#This Row],[Product]])</f>
        <v>Other biodiesels</v>
      </c>
      <c r="U205" s="72" t="str" cm="1">
        <f t="array" ref="U205">IFERROR(INDEX(Products[[ProdCode]:[Product]],_xlfn.XMATCH(INDEX(Products[[Product]:[Parent]],_xlfn.XMATCH(Products[[#This Row],[L1N]],Products[Product],0),2),Products[ProdCode],0),2),Products[[#This Row],[L1N]])</f>
        <v>Biodiesels</v>
      </c>
      <c r="V205" s="72" t="str" cm="1">
        <f t="array" ref="V205">IFERROR(INDEX(Products[[ProdCode]:[Product]],_xlfn.XMATCH(INDEX(Products[[Product]:[Parent]],_xlfn.XMATCH(Products[[#This Row],[L2N]],Products[Product],0),2),Products[ProdCode],0),2),Products[[#This Row],[L2N]])</f>
        <v>Liquid biofuels</v>
      </c>
      <c r="W205" s="72" t="str" cm="1">
        <f t="array" ref="W205">IFERROR(INDEX(Products[[ProdCode]:[Product]],_xlfn.XMATCH(INDEX(Products[[Product]:[Parent]],_xlfn.XMATCH(Products[[#This Row],[L3N]],Products[Product],0),2),Products[ProdCode],0),2),Products[[#This Row],[L3N]])</f>
        <v>Bioenergy</v>
      </c>
      <c r="X205" s="72" t="str" cm="1">
        <f t="array" ref="X205">IFERROR(INDEX(Products[[ProdCode]:[Product]],_xlfn.XMATCH(INDEX(Products[[Product]:[Parent]],_xlfn.XMATCH(Products[[#This Row],[L4N]],Products[Product],0),2),Products[ProdCode],0),2),Products[[#This Row],[L4N]])</f>
        <v>Renewable Energy</v>
      </c>
      <c r="Y205" s="72" t="str" cm="1">
        <f t="array" ref="Y205">IFERROR(INDEX(Products[[ProdCode]:[Product]],_xlfn.XMATCH(INDEX(Products[[Product]:[Parent]],_xlfn.XMATCH(Products[[#This Row],[L5N]],Products[Product],0),2),Products[ProdCode],0),2),Products[[#This Row],[L5N]])</f>
        <v>Energy</v>
      </c>
      <c r="Z205" s="72" t="str" cm="1">
        <f t="array" ref="Z205">IFERROR(INDEX(Products[[ProdCode]:[Product]],_xlfn.XMATCH(INDEX(Products[[Product]:[Parent]],_xlfn.XMATCH(Products[[#This Row],[L6N]],Products[Product],0),2),Products[ProdCode],0),2),Products[[#This Row],[L6N]])</f>
        <v>Energy</v>
      </c>
      <c r="AA205" s="72" t="str" cm="1">
        <f t="array" ref="AA205">IFERROR(INDEX(Products[[ProdCode]:[Product]],_xlfn.XMATCH(INDEX(Products[[Product]:[Parent]],_xlfn.XMATCH(Products[[#This Row],[L7N]],Products[Product],0),2),Products[ProdCode],0),2),Products[[#This Row],[L7N]])</f>
        <v>Energy</v>
      </c>
      <c r="AB205"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5"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5"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5"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5"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Biodiesels</v>
      </c>
      <c r="AG205"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biodiesels</v>
      </c>
      <c r="AH205"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biodiesels</v>
      </c>
      <c r="AI205"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biodiesels</v>
      </c>
    </row>
    <row r="206" spans="2:35" x14ac:dyDescent="0.45">
      <c r="B206" s="106">
        <v>262300</v>
      </c>
      <c r="C206" s="85" t="s">
        <v>1169</v>
      </c>
      <c r="D206" s="106">
        <v>262000</v>
      </c>
      <c r="E206" s="93" t="s">
        <v>1149</v>
      </c>
      <c r="F206" s="19" t="s">
        <v>1191</v>
      </c>
      <c r="G206" s="82" t="s">
        <v>53</v>
      </c>
      <c r="H206" s="82" t="s">
        <v>83</v>
      </c>
      <c r="I206" s="82"/>
      <c r="J206" s="82"/>
      <c r="K206" s="82" t="s">
        <v>1431</v>
      </c>
      <c r="L206" s="82" t="s">
        <v>1951</v>
      </c>
      <c r="M206" s="82">
        <v>40</v>
      </c>
      <c r="N206" s="119"/>
      <c r="O206" s="119"/>
      <c r="P206" s="82" t="s">
        <v>1841</v>
      </c>
      <c r="Q206" s="82" t="s">
        <v>1242</v>
      </c>
      <c r="R206" s="82"/>
      <c r="S206" s="82"/>
      <c r="T206" s="71" t="str" cm="1">
        <f t="array" ref="T206">IFERROR(INDEX(Products[[ProdCode]:[Product]],_xlfn.XMATCH(Products[[#This Row],[Parent]],Products[Product],0),2),Products[[#This Row],[Product]])</f>
        <v>Bio-jet kerosenes</v>
      </c>
      <c r="U206" s="71" t="str" cm="1">
        <f t="array" ref="U206">IFERROR(INDEX(Products[[ProdCode]:[Product]],_xlfn.XMATCH(INDEX(Products[[Product]:[Parent]],_xlfn.XMATCH(Products[[#This Row],[L1N]],Products[Product],0),2),Products[ProdCode],0),2),Products[[#This Row],[L1N]])</f>
        <v>Liquid biofuels</v>
      </c>
      <c r="V206" s="71" t="str" cm="1">
        <f t="array" ref="V206">IFERROR(INDEX(Products[[ProdCode]:[Product]],_xlfn.XMATCH(INDEX(Products[[Product]:[Parent]],_xlfn.XMATCH(Products[[#This Row],[L2N]],Products[Product],0),2),Products[ProdCode],0),2),Products[[#This Row],[L2N]])</f>
        <v>Bioenergy</v>
      </c>
      <c r="W206" s="71" t="str" cm="1">
        <f t="array" ref="W206">IFERROR(INDEX(Products[[ProdCode]:[Product]],_xlfn.XMATCH(INDEX(Products[[Product]:[Parent]],_xlfn.XMATCH(Products[[#This Row],[L3N]],Products[Product],0),2),Products[ProdCode],0),2),Products[[#This Row],[L3N]])</f>
        <v>Renewable Energy</v>
      </c>
      <c r="X206" s="71" t="str" cm="1">
        <f t="array" ref="X206">IFERROR(INDEX(Products[[ProdCode]:[Product]],_xlfn.XMATCH(INDEX(Products[[Product]:[Parent]],_xlfn.XMATCH(Products[[#This Row],[L4N]],Products[Product],0),2),Products[ProdCode],0),2),Products[[#This Row],[L4N]])</f>
        <v>Energy</v>
      </c>
      <c r="Y206" s="71" t="str" cm="1">
        <f t="array" ref="Y206">IFERROR(INDEX(Products[[ProdCode]:[Product]],_xlfn.XMATCH(INDEX(Products[[Product]:[Parent]],_xlfn.XMATCH(Products[[#This Row],[L5N]],Products[Product],0),2),Products[ProdCode],0),2),Products[[#This Row],[L5N]])</f>
        <v>Energy</v>
      </c>
      <c r="Z206" s="71" t="str" cm="1">
        <f t="array" ref="Z206">IFERROR(INDEX(Products[[ProdCode]:[Product]],_xlfn.XMATCH(INDEX(Products[[Product]:[Parent]],_xlfn.XMATCH(Products[[#This Row],[L6N]],Products[Product],0),2),Products[ProdCode],0),2),Products[[#This Row],[L6N]])</f>
        <v>Energy</v>
      </c>
      <c r="AA206" s="71" t="str" cm="1">
        <f t="array" ref="AA206">IFERROR(INDEX(Products[[ProdCode]:[Product]],_xlfn.XMATCH(INDEX(Products[[Product]:[Parent]],_xlfn.XMATCH(Products[[#This Row],[L7N]],Products[Product],0),2),Products[ProdCode],0),2),Products[[#This Row],[L7N]])</f>
        <v>Energy</v>
      </c>
      <c r="AB20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Bio-jet kerosenes</v>
      </c>
      <c r="AG20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Bio-jet kerosenes</v>
      </c>
      <c r="AH20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Bio-jet kerosenes</v>
      </c>
      <c r="AI20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Bio-jet kerosenes</v>
      </c>
    </row>
    <row r="207" spans="2:35" x14ac:dyDescent="0.45">
      <c r="B207" s="107">
        <v>262310</v>
      </c>
      <c r="C207" s="88" t="s">
        <v>1960</v>
      </c>
      <c r="D207" s="107">
        <v>262900</v>
      </c>
      <c r="E207" s="93" t="s">
        <v>1149</v>
      </c>
      <c r="F207" s="19" t="s">
        <v>1191</v>
      </c>
      <c r="G207" s="82" t="s">
        <v>1199</v>
      </c>
      <c r="H207" s="82" t="s">
        <v>83</v>
      </c>
      <c r="I207" s="82"/>
      <c r="J207" s="82"/>
      <c r="K207" s="82" t="s">
        <v>1961</v>
      </c>
      <c r="L207" s="82" t="s">
        <v>1962</v>
      </c>
      <c r="M207" s="82">
        <v>40</v>
      </c>
      <c r="N207" s="119"/>
      <c r="O207" s="119"/>
      <c r="P207" s="82" t="s">
        <v>1841</v>
      </c>
      <c r="Q207" s="69" t="s">
        <v>145</v>
      </c>
      <c r="R207" s="82"/>
      <c r="S207" s="82"/>
      <c r="T207" s="72" t="str" cm="1">
        <f t="array" ref="T207">IFERROR(INDEX(Products[[ProdCode]:[Product]],_xlfn.XMATCH(Products[[#This Row],[Parent]],Products[Product],0),2),Products[[#This Row],[Product]])</f>
        <v>Conventional bio-jet kerosenes</v>
      </c>
      <c r="U207" s="72" t="str" cm="1">
        <f t="array" ref="U207">IFERROR(INDEX(Products[[ProdCode]:[Product]],_xlfn.XMATCH(INDEX(Products[[Product]:[Parent]],_xlfn.XMATCH(Products[[#This Row],[L1N]],Products[Product],0),2),Products[ProdCode],0),2),Products[[#This Row],[L1N]])</f>
        <v>Other liquid biofuels</v>
      </c>
      <c r="V207" s="72" t="str" cm="1">
        <f t="array" ref="V207">IFERROR(INDEX(Products[[ProdCode]:[Product]],_xlfn.XMATCH(INDEX(Products[[Product]:[Parent]],_xlfn.XMATCH(Products[[#This Row],[L2N]],Products[Product],0),2),Products[ProdCode],0),2),Products[[#This Row],[L2N]])</f>
        <v>Liquid biofuels</v>
      </c>
      <c r="W207" s="72" t="str" cm="1">
        <f t="array" ref="W207">IFERROR(INDEX(Products[[ProdCode]:[Product]],_xlfn.XMATCH(INDEX(Products[[Product]:[Parent]],_xlfn.XMATCH(Products[[#This Row],[L3N]],Products[Product],0),2),Products[ProdCode],0),2),Products[[#This Row],[L3N]])</f>
        <v>Bioenergy</v>
      </c>
      <c r="X207" s="72" t="str" cm="1">
        <f t="array" ref="X207">IFERROR(INDEX(Products[[ProdCode]:[Product]],_xlfn.XMATCH(INDEX(Products[[Product]:[Parent]],_xlfn.XMATCH(Products[[#This Row],[L4N]],Products[Product],0),2),Products[ProdCode],0),2),Products[[#This Row],[L4N]])</f>
        <v>Renewable Energy</v>
      </c>
      <c r="Y207" s="72" t="str" cm="1">
        <f t="array" ref="Y207">IFERROR(INDEX(Products[[ProdCode]:[Product]],_xlfn.XMATCH(INDEX(Products[[Product]:[Parent]],_xlfn.XMATCH(Products[[#This Row],[L5N]],Products[Product],0),2),Products[ProdCode],0),2),Products[[#This Row],[L5N]])</f>
        <v>Energy</v>
      </c>
      <c r="Z207" s="72" t="str" cm="1">
        <f t="array" ref="Z207">IFERROR(INDEX(Products[[ProdCode]:[Product]],_xlfn.XMATCH(INDEX(Products[[Product]:[Parent]],_xlfn.XMATCH(Products[[#This Row],[L6N]],Products[Product],0),2),Products[ProdCode],0),2),Products[[#This Row],[L6N]])</f>
        <v>Energy</v>
      </c>
      <c r="AA207" s="72" t="str" cm="1">
        <f t="array" ref="AA207">IFERROR(INDEX(Products[[ProdCode]:[Product]],_xlfn.XMATCH(INDEX(Products[[Product]:[Parent]],_xlfn.XMATCH(Products[[#This Row],[L7N]],Products[Product],0),2),Products[ProdCode],0),2),Products[[#This Row],[L7N]])</f>
        <v>Energy</v>
      </c>
      <c r="AB207"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7"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7"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7"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7"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07"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Conventional bio-jet kerosenes</v>
      </c>
      <c r="AH207"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Conventional bio-jet kerosenes</v>
      </c>
      <c r="AI207"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Conventional bio-jet kerosenes</v>
      </c>
    </row>
    <row r="208" spans="2:35" x14ac:dyDescent="0.45">
      <c r="B208" s="106">
        <v>262900</v>
      </c>
      <c r="C208" s="85" t="s">
        <v>623</v>
      </c>
      <c r="D208" s="106">
        <v>262000</v>
      </c>
      <c r="E208" s="93" t="s">
        <v>1149</v>
      </c>
      <c r="F208" s="19" t="s">
        <v>1191</v>
      </c>
      <c r="G208" s="82" t="s">
        <v>53</v>
      </c>
      <c r="H208" s="82" t="s">
        <v>65</v>
      </c>
      <c r="I208" s="82"/>
      <c r="J208" s="82"/>
      <c r="K208" s="82" t="s">
        <v>1615</v>
      </c>
      <c r="L208" s="82"/>
      <c r="M208" s="82">
        <v>27.4</v>
      </c>
      <c r="N208" s="119"/>
      <c r="O208" s="119"/>
      <c r="P208" s="82"/>
      <c r="Q208" s="82" t="s">
        <v>1242</v>
      </c>
      <c r="R208" s="82"/>
      <c r="S208" s="82"/>
      <c r="T208" s="71" t="str" cm="1">
        <f t="array" ref="T208">IFERROR(INDEX(Products[[ProdCode]:[Product]],_xlfn.XMATCH(Products[[#This Row],[Parent]],Products[Product],0),2),Products[[#This Row],[Product]])</f>
        <v>Other liquid biofuels</v>
      </c>
      <c r="U208" s="71" t="str" cm="1">
        <f t="array" ref="U208">IFERROR(INDEX(Products[[ProdCode]:[Product]],_xlfn.XMATCH(INDEX(Products[[Product]:[Parent]],_xlfn.XMATCH(Products[[#This Row],[L1N]],Products[Product],0),2),Products[ProdCode],0),2),Products[[#This Row],[L1N]])</f>
        <v>Liquid biofuels</v>
      </c>
      <c r="V208" s="71" t="str" cm="1">
        <f t="array" ref="V208">IFERROR(INDEX(Products[[ProdCode]:[Product]],_xlfn.XMATCH(INDEX(Products[[Product]:[Parent]],_xlfn.XMATCH(Products[[#This Row],[L2N]],Products[Product],0),2),Products[ProdCode],0),2),Products[[#This Row],[L2N]])</f>
        <v>Bioenergy</v>
      </c>
      <c r="W208" s="71" t="str" cm="1">
        <f t="array" ref="W208">IFERROR(INDEX(Products[[ProdCode]:[Product]],_xlfn.XMATCH(INDEX(Products[[Product]:[Parent]],_xlfn.XMATCH(Products[[#This Row],[L3N]],Products[Product],0),2),Products[ProdCode],0),2),Products[[#This Row],[L3N]])</f>
        <v>Renewable Energy</v>
      </c>
      <c r="X208" s="71" t="str" cm="1">
        <f t="array" ref="X208">IFERROR(INDEX(Products[[ProdCode]:[Product]],_xlfn.XMATCH(INDEX(Products[[Product]:[Parent]],_xlfn.XMATCH(Products[[#This Row],[L4N]],Products[Product],0),2),Products[ProdCode],0),2),Products[[#This Row],[L4N]])</f>
        <v>Energy</v>
      </c>
      <c r="Y208" s="71" t="str" cm="1">
        <f t="array" ref="Y208">IFERROR(INDEX(Products[[ProdCode]:[Product]],_xlfn.XMATCH(INDEX(Products[[Product]:[Parent]],_xlfn.XMATCH(Products[[#This Row],[L5N]],Products[Product],0),2),Products[ProdCode],0),2),Products[[#This Row],[L5N]])</f>
        <v>Energy</v>
      </c>
      <c r="Z208" s="71" t="str" cm="1">
        <f t="array" ref="Z208">IFERROR(INDEX(Products[[ProdCode]:[Product]],_xlfn.XMATCH(INDEX(Products[[Product]:[Parent]],_xlfn.XMATCH(Products[[#This Row],[L6N]],Products[Product],0),2),Products[ProdCode],0),2),Products[[#This Row],[L6N]])</f>
        <v>Energy</v>
      </c>
      <c r="AA208" s="71" t="str" cm="1">
        <f t="array" ref="AA208">IFERROR(INDEX(Products[[ProdCode]:[Product]],_xlfn.XMATCH(INDEX(Products[[Product]:[Parent]],_xlfn.XMATCH(Products[[#This Row],[L7N]],Products[Product],0),2),Products[ProdCode],0),2),Products[[#This Row],[L7N]])</f>
        <v>Energy</v>
      </c>
      <c r="AB20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0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liquid biofuels</v>
      </c>
      <c r="AH20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liquid biofuels</v>
      </c>
      <c r="AI20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liquid biofuels</v>
      </c>
    </row>
    <row r="209" spans="2:35" x14ac:dyDescent="0.45">
      <c r="B209" s="107">
        <v>262910</v>
      </c>
      <c r="C209" s="88" t="s">
        <v>988</v>
      </c>
      <c r="D209" s="107">
        <v>262900</v>
      </c>
      <c r="E209" s="93" t="s">
        <v>1149</v>
      </c>
      <c r="F209" s="19" t="s">
        <v>1191</v>
      </c>
      <c r="G209" s="82" t="s">
        <v>1199</v>
      </c>
      <c r="H209" s="82" t="s">
        <v>83</v>
      </c>
      <c r="I209" s="82"/>
      <c r="J209" s="82"/>
      <c r="K209" s="82" t="s">
        <v>1614</v>
      </c>
      <c r="L209" s="82"/>
      <c r="M209" s="82">
        <v>27.4</v>
      </c>
      <c r="N209" s="119"/>
      <c r="O209" s="119"/>
      <c r="P209" s="82" t="s">
        <v>1054</v>
      </c>
      <c r="Q209" s="82" t="s">
        <v>1242</v>
      </c>
      <c r="R209" s="82"/>
      <c r="S209" s="82"/>
      <c r="T209" s="72" t="str" cm="1">
        <f t="array" ref="T209">IFERROR(INDEX(Products[[ProdCode]:[Product]],_xlfn.XMATCH(Products[[#This Row],[Parent]],Products[Product],0),2),Products[[#This Row],[Product]])</f>
        <v>Bio-LPG</v>
      </c>
      <c r="U209" s="72" t="str" cm="1">
        <f t="array" ref="U209">IFERROR(INDEX(Products[[ProdCode]:[Product]],_xlfn.XMATCH(INDEX(Products[[Product]:[Parent]],_xlfn.XMATCH(Products[[#This Row],[L1N]],Products[Product],0),2),Products[ProdCode],0),2),Products[[#This Row],[L1N]])</f>
        <v>Other liquid biofuels</v>
      </c>
      <c r="V209" s="72" t="str" cm="1">
        <f t="array" ref="V209">IFERROR(INDEX(Products[[ProdCode]:[Product]],_xlfn.XMATCH(INDEX(Products[[Product]:[Parent]],_xlfn.XMATCH(Products[[#This Row],[L2N]],Products[Product],0),2),Products[ProdCode],0),2),Products[[#This Row],[L2N]])</f>
        <v>Liquid biofuels</v>
      </c>
      <c r="W209" s="72" t="str" cm="1">
        <f t="array" ref="W209">IFERROR(INDEX(Products[[ProdCode]:[Product]],_xlfn.XMATCH(INDEX(Products[[Product]:[Parent]],_xlfn.XMATCH(Products[[#This Row],[L3N]],Products[Product],0),2),Products[ProdCode],0),2),Products[[#This Row],[L3N]])</f>
        <v>Bioenergy</v>
      </c>
      <c r="X209" s="72" t="str" cm="1">
        <f t="array" ref="X209">IFERROR(INDEX(Products[[ProdCode]:[Product]],_xlfn.XMATCH(INDEX(Products[[Product]:[Parent]],_xlfn.XMATCH(Products[[#This Row],[L4N]],Products[Product],0),2),Products[ProdCode],0),2),Products[[#This Row],[L4N]])</f>
        <v>Renewable Energy</v>
      </c>
      <c r="Y209" s="72" t="str" cm="1">
        <f t="array" ref="Y209">IFERROR(INDEX(Products[[ProdCode]:[Product]],_xlfn.XMATCH(INDEX(Products[[Product]:[Parent]],_xlfn.XMATCH(Products[[#This Row],[L5N]],Products[Product],0),2),Products[ProdCode],0),2),Products[[#This Row],[L5N]])</f>
        <v>Energy</v>
      </c>
      <c r="Z209" s="72" t="str" cm="1">
        <f t="array" ref="Z209">IFERROR(INDEX(Products[[ProdCode]:[Product]],_xlfn.XMATCH(INDEX(Products[[Product]:[Parent]],_xlfn.XMATCH(Products[[#This Row],[L6N]],Products[Product],0),2),Products[ProdCode],0),2),Products[[#This Row],[L6N]])</f>
        <v>Energy</v>
      </c>
      <c r="AA209" s="72" t="str" cm="1">
        <f t="array" ref="AA209">IFERROR(INDEX(Products[[ProdCode]:[Product]],_xlfn.XMATCH(INDEX(Products[[Product]:[Parent]],_xlfn.XMATCH(Products[[#This Row],[L7N]],Products[Product],0),2),Products[ProdCode],0),2),Products[[#This Row],[L7N]])</f>
        <v>Energy</v>
      </c>
      <c r="AB209"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09"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09"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09"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09"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09"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Bio-LPG</v>
      </c>
      <c r="AH209"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Bio-LPG</v>
      </c>
      <c r="AI209"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Bio-LPG</v>
      </c>
    </row>
    <row r="210" spans="2:35" x14ac:dyDescent="0.45">
      <c r="B210" s="107">
        <v>262920</v>
      </c>
      <c r="C210" s="88" t="s">
        <v>1470</v>
      </c>
      <c r="D210" s="107">
        <v>262900</v>
      </c>
      <c r="E210" s="93" t="s">
        <v>1149</v>
      </c>
      <c r="F210" s="19" t="s">
        <v>1191</v>
      </c>
      <c r="G210" s="82" t="s">
        <v>1199</v>
      </c>
      <c r="H210" s="82" t="s">
        <v>83</v>
      </c>
      <c r="I210" s="82"/>
      <c r="J210" s="82"/>
      <c r="K210" s="82" t="s">
        <v>1613</v>
      </c>
      <c r="L210" s="82"/>
      <c r="M210" s="82">
        <v>27.4</v>
      </c>
      <c r="N210" s="119"/>
      <c r="O210" s="119"/>
      <c r="P210" s="82"/>
      <c r="Q210" s="82" t="s">
        <v>1242</v>
      </c>
      <c r="R210" s="82"/>
      <c r="S210" s="82"/>
      <c r="T210" s="72" t="str" cm="1">
        <f t="array" ref="T210">IFERROR(INDEX(Products[[ProdCode]:[Product]],_xlfn.XMATCH(Products[[#This Row],[Parent]],Products[Product],0),2),Products[[#This Row],[Product]])</f>
        <v>Thermal process bioliquid</v>
      </c>
      <c r="U210" s="72" t="str" cm="1">
        <f t="array" ref="U210">IFERROR(INDEX(Products[[ProdCode]:[Product]],_xlfn.XMATCH(INDEX(Products[[Product]:[Parent]],_xlfn.XMATCH(Products[[#This Row],[L1N]],Products[Product],0),2),Products[ProdCode],0),2),Products[[#This Row],[L1N]])</f>
        <v>Other liquid biofuels</v>
      </c>
      <c r="V210" s="72" t="str" cm="1">
        <f t="array" ref="V210">IFERROR(INDEX(Products[[ProdCode]:[Product]],_xlfn.XMATCH(INDEX(Products[[Product]:[Parent]],_xlfn.XMATCH(Products[[#This Row],[L2N]],Products[Product],0),2),Products[ProdCode],0),2),Products[[#This Row],[L2N]])</f>
        <v>Liquid biofuels</v>
      </c>
      <c r="W210" s="72" t="str" cm="1">
        <f t="array" ref="W210">IFERROR(INDEX(Products[[ProdCode]:[Product]],_xlfn.XMATCH(INDEX(Products[[Product]:[Parent]],_xlfn.XMATCH(Products[[#This Row],[L3N]],Products[Product],0),2),Products[ProdCode],0),2),Products[[#This Row],[L3N]])</f>
        <v>Bioenergy</v>
      </c>
      <c r="X210" s="72" t="str" cm="1">
        <f t="array" ref="X210">IFERROR(INDEX(Products[[ProdCode]:[Product]],_xlfn.XMATCH(INDEX(Products[[Product]:[Parent]],_xlfn.XMATCH(Products[[#This Row],[L4N]],Products[Product],0),2),Products[ProdCode],0),2),Products[[#This Row],[L4N]])</f>
        <v>Renewable Energy</v>
      </c>
      <c r="Y210" s="72" t="str" cm="1">
        <f t="array" ref="Y210">IFERROR(INDEX(Products[[ProdCode]:[Product]],_xlfn.XMATCH(INDEX(Products[[Product]:[Parent]],_xlfn.XMATCH(Products[[#This Row],[L5N]],Products[Product],0),2),Products[ProdCode],0),2),Products[[#This Row],[L5N]])</f>
        <v>Energy</v>
      </c>
      <c r="Z210" s="71" t="str" cm="1">
        <f t="array" ref="Z210">IFERROR(INDEX(Products[[ProdCode]:[Product]],_xlfn.XMATCH(INDEX(Products[[Product]:[Parent]],_xlfn.XMATCH(Products[[#This Row],[L6N]],Products[Product],0),2),Products[ProdCode],0),2),Products[[#This Row],[L6N]])</f>
        <v>Energy</v>
      </c>
      <c r="AA210" s="71" t="str" cm="1">
        <f t="array" ref="AA210">IFERROR(INDEX(Products[[ProdCode]:[Product]],_xlfn.XMATCH(INDEX(Products[[Product]:[Parent]],_xlfn.XMATCH(Products[[#This Row],[L7N]],Products[Product],0),2),Products[ProdCode],0),2),Products[[#This Row],[L7N]])</f>
        <v>Energy</v>
      </c>
      <c r="AB210"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0"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0"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0"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10"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10"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Thermal process bioliquid</v>
      </c>
      <c r="AH210"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Thermal process bioliquid</v>
      </c>
      <c r="AI210"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Thermal process bioliquid</v>
      </c>
    </row>
    <row r="211" spans="2:35" x14ac:dyDescent="0.45">
      <c r="B211" s="107">
        <v>262930</v>
      </c>
      <c r="C211" s="88" t="s">
        <v>1833</v>
      </c>
      <c r="D211" s="107">
        <v>262900</v>
      </c>
      <c r="E211" s="93" t="s">
        <v>1149</v>
      </c>
      <c r="F211" s="19" t="s">
        <v>1191</v>
      </c>
      <c r="G211" s="82" t="s">
        <v>1199</v>
      </c>
      <c r="H211" s="82" t="s">
        <v>83</v>
      </c>
      <c r="I211" s="82"/>
      <c r="J211" s="82"/>
      <c r="K211" s="82" t="s">
        <v>1834</v>
      </c>
      <c r="L211" s="82"/>
      <c r="M211" s="82">
        <v>44.5</v>
      </c>
      <c r="N211" s="119"/>
      <c r="O211" s="119"/>
      <c r="P211" s="82" t="s">
        <v>1078</v>
      </c>
      <c r="Q211" s="82" t="s">
        <v>1242</v>
      </c>
      <c r="R211" s="82"/>
      <c r="S211" s="82"/>
      <c r="T211" s="72" t="str" cm="1">
        <f t="array" ref="T211">IFERROR(INDEX(Products[[ProdCode]:[Product]],_xlfn.XMATCH(Products[[#This Row],[Parent]],Products[Product],0),2),Products[[#This Row],[Product]])</f>
        <v>Bio-Naphtha</v>
      </c>
      <c r="U211" s="72" t="str" cm="1">
        <f t="array" ref="U211">IFERROR(INDEX(Products[[ProdCode]:[Product]],_xlfn.XMATCH(INDEX(Products[[Product]:[Parent]],_xlfn.XMATCH(Products[[#This Row],[L1N]],Products[Product],0),2),Products[ProdCode],0),2),Products[[#This Row],[L1N]])</f>
        <v>Other liquid biofuels</v>
      </c>
      <c r="V211" s="72" t="str" cm="1">
        <f t="array" ref="V211">IFERROR(INDEX(Products[[ProdCode]:[Product]],_xlfn.XMATCH(INDEX(Products[[Product]:[Parent]],_xlfn.XMATCH(Products[[#This Row],[L2N]],Products[Product],0),2),Products[ProdCode],0),2),Products[[#This Row],[L2N]])</f>
        <v>Liquid biofuels</v>
      </c>
      <c r="W211" s="72" t="str" cm="1">
        <f t="array" ref="W211">IFERROR(INDEX(Products[[ProdCode]:[Product]],_xlfn.XMATCH(INDEX(Products[[Product]:[Parent]],_xlfn.XMATCH(Products[[#This Row],[L3N]],Products[Product],0),2),Products[ProdCode],0),2),Products[[#This Row],[L3N]])</f>
        <v>Bioenergy</v>
      </c>
      <c r="X211" s="72" t="str" cm="1">
        <f t="array" ref="X211">IFERROR(INDEX(Products[[ProdCode]:[Product]],_xlfn.XMATCH(INDEX(Products[[Product]:[Parent]],_xlfn.XMATCH(Products[[#This Row],[L4N]],Products[Product],0),2),Products[ProdCode],0),2),Products[[#This Row],[L4N]])</f>
        <v>Renewable Energy</v>
      </c>
      <c r="Y211" s="72" t="str" cm="1">
        <f t="array" ref="Y211">IFERROR(INDEX(Products[[ProdCode]:[Product]],_xlfn.XMATCH(INDEX(Products[[Product]:[Parent]],_xlfn.XMATCH(Products[[#This Row],[L5N]],Products[Product],0),2),Products[ProdCode],0),2),Products[[#This Row],[L5N]])</f>
        <v>Energy</v>
      </c>
      <c r="Z211" s="71" t="str" cm="1">
        <f t="array" ref="Z211">IFERROR(INDEX(Products[[ProdCode]:[Product]],_xlfn.XMATCH(INDEX(Products[[Product]:[Parent]],_xlfn.XMATCH(Products[[#This Row],[L6N]],Products[Product],0),2),Products[ProdCode],0),2),Products[[#This Row],[L6N]])</f>
        <v>Energy</v>
      </c>
      <c r="AA211" s="71" t="str" cm="1">
        <f t="array" ref="AA211">IFERROR(INDEX(Products[[ProdCode]:[Product]],_xlfn.XMATCH(INDEX(Products[[Product]:[Parent]],_xlfn.XMATCH(Products[[#This Row],[L7N]],Products[Product],0),2),Products[ProdCode],0),2),Products[[#This Row],[L7N]])</f>
        <v>Energy</v>
      </c>
      <c r="AB211"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1"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1"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1"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11"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11"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Bio-Naphtha</v>
      </c>
      <c r="AH211"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Bio-Naphtha</v>
      </c>
      <c r="AI211"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Bio-Naphtha</v>
      </c>
    </row>
    <row r="212" spans="2:35" x14ac:dyDescent="0.45">
      <c r="B212" s="107">
        <v>262990</v>
      </c>
      <c r="C212" s="88" t="s">
        <v>634</v>
      </c>
      <c r="D212" s="107">
        <v>262900</v>
      </c>
      <c r="E212" s="93" t="s">
        <v>1149</v>
      </c>
      <c r="F212" s="19" t="s">
        <v>1191</v>
      </c>
      <c r="G212" s="82" t="s">
        <v>1199</v>
      </c>
      <c r="H212" s="82" t="s">
        <v>83</v>
      </c>
      <c r="I212" s="82"/>
      <c r="J212" s="82"/>
      <c r="K212" s="82" t="s">
        <v>1616</v>
      </c>
      <c r="L212" s="82" t="s">
        <v>1952</v>
      </c>
      <c r="M212" s="82">
        <v>27.4</v>
      </c>
      <c r="N212" s="119"/>
      <c r="O212" s="119"/>
      <c r="P212" s="82"/>
      <c r="Q212" s="82" t="s">
        <v>1242</v>
      </c>
      <c r="R212" s="82"/>
      <c r="S212" s="82"/>
      <c r="T212" s="72" t="str" cm="1">
        <f t="array" ref="T212">IFERROR(INDEX(Products[[ProdCode]:[Product]],_xlfn.XMATCH(Products[[#This Row],[Parent]],Products[Product],0),2),Products[[#This Row],[Product]])</f>
        <v>Other liquid biofuels n.e.s.</v>
      </c>
      <c r="U212" s="72" t="str" cm="1">
        <f t="array" ref="U212">IFERROR(INDEX(Products[[ProdCode]:[Product]],_xlfn.XMATCH(INDEX(Products[[Product]:[Parent]],_xlfn.XMATCH(Products[[#This Row],[L1N]],Products[Product],0),2),Products[ProdCode],0),2),Products[[#This Row],[L1N]])</f>
        <v>Other liquid biofuels</v>
      </c>
      <c r="V212" s="72" t="str" cm="1">
        <f t="array" ref="V212">IFERROR(INDEX(Products[[ProdCode]:[Product]],_xlfn.XMATCH(INDEX(Products[[Product]:[Parent]],_xlfn.XMATCH(Products[[#This Row],[L2N]],Products[Product],0),2),Products[ProdCode],0),2),Products[[#This Row],[L2N]])</f>
        <v>Liquid biofuels</v>
      </c>
      <c r="W212" s="72" t="str" cm="1">
        <f t="array" ref="W212">IFERROR(INDEX(Products[[ProdCode]:[Product]],_xlfn.XMATCH(INDEX(Products[[Product]:[Parent]],_xlfn.XMATCH(Products[[#This Row],[L3N]],Products[Product],0),2),Products[ProdCode],0),2),Products[[#This Row],[L3N]])</f>
        <v>Bioenergy</v>
      </c>
      <c r="X212" s="72" t="str" cm="1">
        <f t="array" ref="X212">IFERROR(INDEX(Products[[ProdCode]:[Product]],_xlfn.XMATCH(INDEX(Products[[Product]:[Parent]],_xlfn.XMATCH(Products[[#This Row],[L4N]],Products[Product],0),2),Products[ProdCode],0),2),Products[[#This Row],[L4N]])</f>
        <v>Renewable Energy</v>
      </c>
      <c r="Y212" s="72" t="str" cm="1">
        <f t="array" ref="Y212">IFERROR(INDEX(Products[[ProdCode]:[Product]],_xlfn.XMATCH(INDEX(Products[[Product]:[Parent]],_xlfn.XMATCH(Products[[#This Row],[L5N]],Products[Product],0),2),Products[ProdCode],0),2),Products[[#This Row],[L5N]])</f>
        <v>Energy</v>
      </c>
      <c r="Z212" s="72" t="str" cm="1">
        <f t="array" ref="Z212">IFERROR(INDEX(Products[[ProdCode]:[Product]],_xlfn.XMATCH(INDEX(Products[[Product]:[Parent]],_xlfn.XMATCH(Products[[#This Row],[L6N]],Products[Product],0),2),Products[ProdCode],0),2),Products[[#This Row],[L6N]])</f>
        <v>Energy</v>
      </c>
      <c r="AA212" s="72" t="str" cm="1">
        <f t="array" ref="AA212">IFERROR(INDEX(Products[[ProdCode]:[Product]],_xlfn.XMATCH(INDEX(Products[[Product]:[Parent]],_xlfn.XMATCH(Products[[#This Row],[L7N]],Products[Product],0),2),Products[ProdCode],0),2),Products[[#This Row],[L7N]])</f>
        <v>Energy</v>
      </c>
      <c r="AB212" s="72"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2" s="72"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2" s="72"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2" s="72"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Liquid biofuels</v>
      </c>
      <c r="AF212" s="72"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liquid biofuels</v>
      </c>
      <c r="AG212" s="72"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liquid biofuels n.e.s.</v>
      </c>
      <c r="AH212" s="72"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liquid biofuels n.e.s.</v>
      </c>
      <c r="AI212" s="72"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liquid biofuels n.e.s.</v>
      </c>
    </row>
    <row r="213" spans="2:35" x14ac:dyDescent="0.45">
      <c r="B213" s="105">
        <v>263000</v>
      </c>
      <c r="C213" s="79" t="s">
        <v>1128</v>
      </c>
      <c r="D213" s="105">
        <v>260000</v>
      </c>
      <c r="E213" s="93" t="s">
        <v>1149</v>
      </c>
      <c r="F213" s="19" t="s">
        <v>1191</v>
      </c>
      <c r="G213" s="82" t="s">
        <v>54</v>
      </c>
      <c r="H213" s="82" t="s">
        <v>65</v>
      </c>
      <c r="I213" s="82"/>
      <c r="J213" s="82"/>
      <c r="K213" s="82" t="s">
        <v>1640</v>
      </c>
      <c r="L213" s="82"/>
      <c r="M213" s="82"/>
      <c r="N213" s="119"/>
      <c r="O213" s="119"/>
      <c r="P213" s="82"/>
      <c r="Q213" s="82" t="s">
        <v>1242</v>
      </c>
      <c r="R213" s="82"/>
      <c r="S213" s="82"/>
      <c r="T213" s="71" t="str" cm="1">
        <f t="array" ref="T213">IFERROR(INDEX(Products[[ProdCode]:[Product]],_xlfn.XMATCH(Products[[#This Row],[Parent]],Products[Product],0),2),Products[[#This Row],[Product]])</f>
        <v>Gas biofuels</v>
      </c>
      <c r="U213" s="71" t="str" cm="1">
        <f t="array" ref="U213">IFERROR(INDEX(Products[[ProdCode]:[Product]],_xlfn.XMATCH(INDEX(Products[[Product]:[Parent]],_xlfn.XMATCH(Products[[#This Row],[L1N]],Products[Product],0),2),Products[ProdCode],0),2),Products[[#This Row],[L1N]])</f>
        <v>Bioenergy</v>
      </c>
      <c r="V213" s="71" t="str" cm="1">
        <f t="array" ref="V213">IFERROR(INDEX(Products[[ProdCode]:[Product]],_xlfn.XMATCH(INDEX(Products[[Product]:[Parent]],_xlfn.XMATCH(Products[[#This Row],[L2N]],Products[Product],0),2),Products[ProdCode],0),2),Products[[#This Row],[L2N]])</f>
        <v>Renewable Energy</v>
      </c>
      <c r="W213" s="71" t="str" cm="1">
        <f t="array" ref="W213">IFERROR(INDEX(Products[[ProdCode]:[Product]],_xlfn.XMATCH(INDEX(Products[[Product]:[Parent]],_xlfn.XMATCH(Products[[#This Row],[L3N]],Products[Product],0),2),Products[ProdCode],0),2),Products[[#This Row],[L3N]])</f>
        <v>Energy</v>
      </c>
      <c r="X213" s="71" t="str" cm="1">
        <f t="array" ref="X213">IFERROR(INDEX(Products[[ProdCode]:[Product]],_xlfn.XMATCH(INDEX(Products[[Product]:[Parent]],_xlfn.XMATCH(Products[[#This Row],[L4N]],Products[Product],0),2),Products[ProdCode],0),2),Products[[#This Row],[L4N]])</f>
        <v>Energy</v>
      </c>
      <c r="Y213" s="71" t="str" cm="1">
        <f t="array" ref="Y213">IFERROR(INDEX(Products[[ProdCode]:[Product]],_xlfn.XMATCH(INDEX(Products[[Product]:[Parent]],_xlfn.XMATCH(Products[[#This Row],[L5N]],Products[Product],0),2),Products[ProdCode],0),2),Products[[#This Row],[L5N]])</f>
        <v>Energy</v>
      </c>
      <c r="Z213" s="71" t="str" cm="1">
        <f t="array" ref="Z213">IFERROR(INDEX(Products[[ProdCode]:[Product]],_xlfn.XMATCH(INDEX(Products[[Product]:[Parent]],_xlfn.XMATCH(Products[[#This Row],[L6N]],Products[Product],0),2),Products[ProdCode],0),2),Products[[#This Row],[L6N]])</f>
        <v>Energy</v>
      </c>
      <c r="AA213" s="71" t="str" cm="1">
        <f t="array" ref="AA213">IFERROR(INDEX(Products[[ProdCode]:[Product]],_xlfn.XMATCH(INDEX(Products[[Product]:[Parent]],_xlfn.XMATCH(Products[[#This Row],[L7N]],Products[Product],0),2),Products[ProdCode],0),2),Products[[#This Row],[L7N]])</f>
        <v>Energy</v>
      </c>
      <c r="AB21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biofuels</v>
      </c>
      <c r="AG21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biofuels</v>
      </c>
      <c r="AH21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biofuels</v>
      </c>
      <c r="AI21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biofuels</v>
      </c>
    </row>
    <row r="214" spans="2:35" x14ac:dyDescent="0.45">
      <c r="B214" s="106">
        <v>263100</v>
      </c>
      <c r="C214" s="85" t="s">
        <v>989</v>
      </c>
      <c r="D214" s="106">
        <v>263000</v>
      </c>
      <c r="E214" s="93" t="s">
        <v>1149</v>
      </c>
      <c r="F214" s="19" t="s">
        <v>1188</v>
      </c>
      <c r="G214" s="82" t="s">
        <v>53</v>
      </c>
      <c r="H214" s="82" t="s">
        <v>65</v>
      </c>
      <c r="I214" s="82"/>
      <c r="J214" s="82"/>
      <c r="K214" s="82" t="s">
        <v>1641</v>
      </c>
      <c r="L214" s="82" t="s">
        <v>1953</v>
      </c>
      <c r="M214" s="82"/>
      <c r="N214" s="119"/>
      <c r="O214" s="119"/>
      <c r="P214" s="82"/>
      <c r="Q214" s="82" t="s">
        <v>1242</v>
      </c>
      <c r="R214" s="82"/>
      <c r="S214" s="82"/>
      <c r="T214" s="71" t="str" cm="1">
        <f t="array" ref="T214">IFERROR(INDEX(Products[[ProdCode]:[Product]],_xlfn.XMATCH(Products[[#This Row],[Parent]],Products[Product],0),2),Products[[#This Row],[Product]])</f>
        <v>Biogas from anaerobic digestion</v>
      </c>
      <c r="U214" s="71" t="str" cm="1">
        <f t="array" ref="U214">IFERROR(INDEX(Products[[ProdCode]:[Product]],_xlfn.XMATCH(INDEX(Products[[Product]:[Parent]],_xlfn.XMATCH(Products[[#This Row],[L1N]],Products[Product],0),2),Products[ProdCode],0),2),Products[[#This Row],[L1N]])</f>
        <v>Gas biofuels</v>
      </c>
      <c r="V214" s="71" t="str" cm="1">
        <f t="array" ref="V214">IFERROR(INDEX(Products[[ProdCode]:[Product]],_xlfn.XMATCH(INDEX(Products[[Product]:[Parent]],_xlfn.XMATCH(Products[[#This Row],[L2N]],Products[Product],0),2),Products[ProdCode],0),2),Products[[#This Row],[L2N]])</f>
        <v>Bioenergy</v>
      </c>
      <c r="W214" s="71" t="str" cm="1">
        <f t="array" ref="W214">IFERROR(INDEX(Products[[ProdCode]:[Product]],_xlfn.XMATCH(INDEX(Products[[Product]:[Parent]],_xlfn.XMATCH(Products[[#This Row],[L3N]],Products[Product],0),2),Products[ProdCode],0),2),Products[[#This Row],[L3N]])</f>
        <v>Renewable Energy</v>
      </c>
      <c r="X214" s="71" t="str" cm="1">
        <f t="array" ref="X214">IFERROR(INDEX(Products[[ProdCode]:[Product]],_xlfn.XMATCH(INDEX(Products[[Product]:[Parent]],_xlfn.XMATCH(Products[[#This Row],[L4N]],Products[Product],0),2),Products[ProdCode],0),2),Products[[#This Row],[L4N]])</f>
        <v>Energy</v>
      </c>
      <c r="Y214" s="71" t="str" cm="1">
        <f t="array" ref="Y214">IFERROR(INDEX(Products[[ProdCode]:[Product]],_xlfn.XMATCH(INDEX(Products[[Product]:[Parent]],_xlfn.XMATCH(Products[[#This Row],[L5N]],Products[Product],0),2),Products[ProdCode],0),2),Products[[#This Row],[L5N]])</f>
        <v>Energy</v>
      </c>
      <c r="Z214" s="71" t="str" cm="1">
        <f t="array" ref="Z214">IFERROR(INDEX(Products[[ProdCode]:[Product]],_xlfn.XMATCH(INDEX(Products[[Product]:[Parent]],_xlfn.XMATCH(Products[[#This Row],[L6N]],Products[Product],0),2),Products[ProdCode],0),2),Products[[#This Row],[L6N]])</f>
        <v>Energy</v>
      </c>
      <c r="AA214" s="71" t="str" cm="1">
        <f t="array" ref="AA214">IFERROR(INDEX(Products[[ProdCode]:[Product]],_xlfn.XMATCH(INDEX(Products[[Product]:[Parent]],_xlfn.XMATCH(Products[[#This Row],[L7N]],Products[Product],0),2),Products[ProdCode],0),2),Products[[#This Row],[L7N]])</f>
        <v>Energy</v>
      </c>
      <c r="AB21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Biogas from anaerobic digestion</v>
      </c>
      <c r="AH21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Biogas from anaerobic digestion</v>
      </c>
      <c r="AI21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Biogas from anaerobic digestion</v>
      </c>
    </row>
    <row r="215" spans="2:35" x14ac:dyDescent="0.45">
      <c r="B215" s="107">
        <v>263110</v>
      </c>
      <c r="C215" s="88" t="s">
        <v>990</v>
      </c>
      <c r="D215" s="107">
        <v>263100</v>
      </c>
      <c r="E215" s="93" t="s">
        <v>1149</v>
      </c>
      <c r="F215" s="19" t="s">
        <v>1188</v>
      </c>
      <c r="G215" s="82" t="s">
        <v>1199</v>
      </c>
      <c r="H215" s="82" t="s">
        <v>83</v>
      </c>
      <c r="I215" s="82"/>
      <c r="J215" s="82"/>
      <c r="K215" s="82" t="s">
        <v>1642</v>
      </c>
      <c r="L215" s="82"/>
      <c r="M215" s="82"/>
      <c r="N215" s="119"/>
      <c r="O215" s="119"/>
      <c r="P215" s="82"/>
      <c r="Q215" s="82" t="s">
        <v>1242</v>
      </c>
      <c r="R215" s="82"/>
      <c r="S215" s="82"/>
      <c r="T215" s="71" t="str" cm="1">
        <f t="array" ref="T215">IFERROR(INDEX(Products[[ProdCode]:[Product]],_xlfn.XMATCH(Products[[#This Row],[Parent]],Products[Product],0),2),Products[[#This Row],[Product]])</f>
        <v>Landfill biogas</v>
      </c>
      <c r="U215" s="71" t="str" cm="1">
        <f t="array" ref="U215">IFERROR(INDEX(Products[[ProdCode]:[Product]],_xlfn.XMATCH(INDEX(Products[[Product]:[Parent]],_xlfn.XMATCH(Products[[#This Row],[L1N]],Products[Product],0),2),Products[ProdCode],0),2),Products[[#This Row],[L1N]])</f>
        <v>Biogas from anaerobic digestion</v>
      </c>
      <c r="V215" s="71" t="str" cm="1">
        <f t="array" ref="V215">IFERROR(INDEX(Products[[ProdCode]:[Product]],_xlfn.XMATCH(INDEX(Products[[Product]:[Parent]],_xlfn.XMATCH(Products[[#This Row],[L2N]],Products[Product],0),2),Products[ProdCode],0),2),Products[[#This Row],[L2N]])</f>
        <v>Gas biofuels</v>
      </c>
      <c r="W215" s="71" t="str" cm="1">
        <f t="array" ref="W215">IFERROR(INDEX(Products[[ProdCode]:[Product]],_xlfn.XMATCH(INDEX(Products[[Product]:[Parent]],_xlfn.XMATCH(Products[[#This Row],[L3N]],Products[Product],0),2),Products[ProdCode],0),2),Products[[#This Row],[L3N]])</f>
        <v>Bioenergy</v>
      </c>
      <c r="X215" s="71" t="str" cm="1">
        <f t="array" ref="X215">IFERROR(INDEX(Products[[ProdCode]:[Product]],_xlfn.XMATCH(INDEX(Products[[Product]:[Parent]],_xlfn.XMATCH(Products[[#This Row],[L4N]],Products[Product],0),2),Products[ProdCode],0),2),Products[[#This Row],[L4N]])</f>
        <v>Renewable Energy</v>
      </c>
      <c r="Y215" s="71" t="str" cm="1">
        <f t="array" ref="Y215">IFERROR(INDEX(Products[[ProdCode]:[Product]],_xlfn.XMATCH(INDEX(Products[[Product]:[Parent]],_xlfn.XMATCH(Products[[#This Row],[L5N]],Products[Product],0),2),Products[ProdCode],0),2),Products[[#This Row],[L5N]])</f>
        <v>Energy</v>
      </c>
      <c r="Z215" s="71" t="str" cm="1">
        <f t="array" ref="Z215">IFERROR(INDEX(Products[[ProdCode]:[Product]],_xlfn.XMATCH(INDEX(Products[[Product]:[Parent]],_xlfn.XMATCH(Products[[#This Row],[L6N]],Products[Product],0),2),Products[ProdCode],0),2),Products[[#This Row],[L6N]])</f>
        <v>Energy</v>
      </c>
      <c r="AA215" s="71" t="str" cm="1">
        <f t="array" ref="AA215">IFERROR(INDEX(Products[[ProdCode]:[Product]],_xlfn.XMATCH(INDEX(Products[[Product]:[Parent]],_xlfn.XMATCH(Products[[#This Row],[L7N]],Products[Product],0),2),Products[ProdCode],0),2),Products[[#This Row],[L7N]])</f>
        <v>Energy</v>
      </c>
      <c r="AB21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Landfill biogas</v>
      </c>
      <c r="AH21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Landfill biogas</v>
      </c>
      <c r="AI21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Landfill biogas</v>
      </c>
    </row>
    <row r="216" spans="2:35" x14ac:dyDescent="0.45">
      <c r="B216" s="107">
        <v>263120</v>
      </c>
      <c r="C216" s="88" t="s">
        <v>991</v>
      </c>
      <c r="D216" s="107">
        <v>263100</v>
      </c>
      <c r="E216" s="93" t="s">
        <v>1149</v>
      </c>
      <c r="F216" s="19" t="s">
        <v>1188</v>
      </c>
      <c r="G216" s="82" t="s">
        <v>1199</v>
      </c>
      <c r="H216" s="82" t="s">
        <v>83</v>
      </c>
      <c r="I216" s="82"/>
      <c r="J216" s="82"/>
      <c r="K216" s="82" t="s">
        <v>1643</v>
      </c>
      <c r="L216" s="82"/>
      <c r="M216" s="82"/>
      <c r="N216" s="119"/>
      <c r="O216" s="119"/>
      <c r="P216" s="82"/>
      <c r="Q216" s="82" t="s">
        <v>1242</v>
      </c>
      <c r="R216" s="82"/>
      <c r="S216" s="82"/>
      <c r="T216" s="71" t="str" cm="1">
        <f t="array" ref="T216">IFERROR(INDEX(Products[[ProdCode]:[Product]],_xlfn.XMATCH(Products[[#This Row],[Parent]],Products[Product],0),2),Products[[#This Row],[Product]])</f>
        <v>Wastewater sludge biogas</v>
      </c>
      <c r="U216" s="71" t="str" cm="1">
        <f t="array" ref="U216">IFERROR(INDEX(Products[[ProdCode]:[Product]],_xlfn.XMATCH(INDEX(Products[[Product]:[Parent]],_xlfn.XMATCH(Products[[#This Row],[L1N]],Products[Product],0),2),Products[ProdCode],0),2),Products[[#This Row],[L1N]])</f>
        <v>Biogas from anaerobic digestion</v>
      </c>
      <c r="V216" s="71" t="str" cm="1">
        <f t="array" ref="V216">IFERROR(INDEX(Products[[ProdCode]:[Product]],_xlfn.XMATCH(INDEX(Products[[Product]:[Parent]],_xlfn.XMATCH(Products[[#This Row],[L2N]],Products[Product],0),2),Products[ProdCode],0),2),Products[[#This Row],[L2N]])</f>
        <v>Gas biofuels</v>
      </c>
      <c r="W216" s="71" t="str" cm="1">
        <f t="array" ref="W216">IFERROR(INDEX(Products[[ProdCode]:[Product]],_xlfn.XMATCH(INDEX(Products[[Product]:[Parent]],_xlfn.XMATCH(Products[[#This Row],[L3N]],Products[Product],0),2),Products[ProdCode],0),2),Products[[#This Row],[L3N]])</f>
        <v>Bioenergy</v>
      </c>
      <c r="X216" s="71" t="str" cm="1">
        <f t="array" ref="X216">IFERROR(INDEX(Products[[ProdCode]:[Product]],_xlfn.XMATCH(INDEX(Products[[Product]:[Parent]],_xlfn.XMATCH(Products[[#This Row],[L4N]],Products[Product],0),2),Products[ProdCode],0),2),Products[[#This Row],[L4N]])</f>
        <v>Renewable Energy</v>
      </c>
      <c r="Y216" s="71" t="str" cm="1">
        <f t="array" ref="Y216">IFERROR(INDEX(Products[[ProdCode]:[Product]],_xlfn.XMATCH(INDEX(Products[[Product]:[Parent]],_xlfn.XMATCH(Products[[#This Row],[L5N]],Products[Product],0),2),Products[ProdCode],0),2),Products[[#This Row],[L5N]])</f>
        <v>Energy</v>
      </c>
      <c r="Z216" s="71" t="str" cm="1">
        <f t="array" ref="Z216">IFERROR(INDEX(Products[[ProdCode]:[Product]],_xlfn.XMATCH(INDEX(Products[[Product]:[Parent]],_xlfn.XMATCH(Products[[#This Row],[L6N]],Products[Product],0),2),Products[ProdCode],0),2),Products[[#This Row],[L6N]])</f>
        <v>Energy</v>
      </c>
      <c r="AA216" s="71" t="str" cm="1">
        <f t="array" ref="AA216">IFERROR(INDEX(Products[[ProdCode]:[Product]],_xlfn.XMATCH(INDEX(Products[[Product]:[Parent]],_xlfn.XMATCH(Products[[#This Row],[L7N]],Products[Product],0),2),Products[ProdCode],0),2),Products[[#This Row],[L7N]])</f>
        <v>Energy</v>
      </c>
      <c r="AB21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Wastewater sludge biogas</v>
      </c>
      <c r="AH21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Wastewater sludge biogas</v>
      </c>
      <c r="AI21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Wastewater sludge biogas</v>
      </c>
    </row>
    <row r="217" spans="2:35" x14ac:dyDescent="0.45">
      <c r="B217" s="107">
        <v>263130</v>
      </c>
      <c r="C217" s="88" t="s">
        <v>1201</v>
      </c>
      <c r="D217" s="107">
        <v>263100</v>
      </c>
      <c r="E217" s="93" t="s">
        <v>1149</v>
      </c>
      <c r="F217" s="19" t="s">
        <v>1188</v>
      </c>
      <c r="G217" s="82" t="s">
        <v>1199</v>
      </c>
      <c r="H217" s="82" t="s">
        <v>83</v>
      </c>
      <c r="I217" s="82"/>
      <c r="J217" s="82"/>
      <c r="K217" s="82" t="s">
        <v>1644</v>
      </c>
      <c r="L217" s="82"/>
      <c r="M217" s="82"/>
      <c r="N217" s="119"/>
      <c r="O217" s="119"/>
      <c r="P217" s="82"/>
      <c r="Q217" s="82" t="s">
        <v>1242</v>
      </c>
      <c r="R217" s="82"/>
      <c r="S217" s="82"/>
      <c r="T217" s="71" t="str" cm="1">
        <f t="array" ref="T217">IFERROR(INDEX(Products[[ProdCode]:[Product]],_xlfn.XMATCH(Products[[#This Row],[Parent]],Products[Product],0),2),Products[[#This Row],[Product]])</f>
        <v>Animal residue biogas</v>
      </c>
      <c r="U217" s="71" t="str" cm="1">
        <f t="array" ref="U217">IFERROR(INDEX(Products[[ProdCode]:[Product]],_xlfn.XMATCH(INDEX(Products[[Product]:[Parent]],_xlfn.XMATCH(Products[[#This Row],[L1N]],Products[Product],0),2),Products[ProdCode],0),2),Products[[#This Row],[L1N]])</f>
        <v>Biogas from anaerobic digestion</v>
      </c>
      <c r="V217" s="71" t="str" cm="1">
        <f t="array" ref="V217">IFERROR(INDEX(Products[[ProdCode]:[Product]],_xlfn.XMATCH(INDEX(Products[[Product]:[Parent]],_xlfn.XMATCH(Products[[#This Row],[L2N]],Products[Product],0),2),Products[ProdCode],0),2),Products[[#This Row],[L2N]])</f>
        <v>Gas biofuels</v>
      </c>
      <c r="W217" s="71" t="str" cm="1">
        <f t="array" ref="W217">IFERROR(INDEX(Products[[ProdCode]:[Product]],_xlfn.XMATCH(INDEX(Products[[Product]:[Parent]],_xlfn.XMATCH(Products[[#This Row],[L3N]],Products[Product],0),2),Products[ProdCode],0),2),Products[[#This Row],[L3N]])</f>
        <v>Bioenergy</v>
      </c>
      <c r="X217" s="71" t="str" cm="1">
        <f t="array" ref="X217">IFERROR(INDEX(Products[[ProdCode]:[Product]],_xlfn.XMATCH(INDEX(Products[[Product]:[Parent]],_xlfn.XMATCH(Products[[#This Row],[L4N]],Products[Product],0),2),Products[ProdCode],0),2),Products[[#This Row],[L4N]])</f>
        <v>Renewable Energy</v>
      </c>
      <c r="Y217" s="71" t="str" cm="1">
        <f t="array" ref="Y217">IFERROR(INDEX(Products[[ProdCode]:[Product]],_xlfn.XMATCH(INDEX(Products[[Product]:[Parent]],_xlfn.XMATCH(Products[[#This Row],[L5N]],Products[Product],0),2),Products[ProdCode],0),2),Products[[#This Row],[L5N]])</f>
        <v>Energy</v>
      </c>
      <c r="Z217" s="71" t="str" cm="1">
        <f t="array" ref="Z217">IFERROR(INDEX(Products[[ProdCode]:[Product]],_xlfn.XMATCH(INDEX(Products[[Product]:[Parent]],_xlfn.XMATCH(Products[[#This Row],[L6N]],Products[Product],0),2),Products[ProdCode],0),2),Products[[#This Row],[L6N]])</f>
        <v>Energy</v>
      </c>
      <c r="AA217" s="71" t="str" cm="1">
        <f t="array" ref="AA217">IFERROR(INDEX(Products[[ProdCode]:[Product]],_xlfn.XMATCH(INDEX(Products[[Product]:[Parent]],_xlfn.XMATCH(Products[[#This Row],[L7N]],Products[Product],0),2),Products[ProdCode],0),2),Products[[#This Row],[L7N]])</f>
        <v>Energy</v>
      </c>
      <c r="AB21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Animal residue biogas</v>
      </c>
      <c r="AH21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Animal residue biogas</v>
      </c>
      <c r="AI21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Animal residue biogas</v>
      </c>
    </row>
    <row r="218" spans="2:35" x14ac:dyDescent="0.45">
      <c r="B218" s="107">
        <v>263140</v>
      </c>
      <c r="C218" s="88" t="s">
        <v>1202</v>
      </c>
      <c r="D218" s="107">
        <v>263100</v>
      </c>
      <c r="E218" s="93" t="s">
        <v>1149</v>
      </c>
      <c r="F218" s="19" t="s">
        <v>1191</v>
      </c>
      <c r="G218" s="82" t="s">
        <v>1199</v>
      </c>
      <c r="H218" s="82" t="s">
        <v>83</v>
      </c>
      <c r="I218" s="82"/>
      <c r="J218" s="82"/>
      <c r="K218" s="82" t="s">
        <v>1645</v>
      </c>
      <c r="L218" s="82"/>
      <c r="M218" s="82"/>
      <c r="N218" s="119"/>
      <c r="O218" s="119"/>
      <c r="P218" s="82"/>
      <c r="Q218" s="82" t="s">
        <v>1242</v>
      </c>
      <c r="R218" s="82"/>
      <c r="S218" s="82"/>
      <c r="T218" s="71" t="str" cm="1">
        <f t="array" ref="T218">IFERROR(INDEX(Products[[ProdCode]:[Product]],_xlfn.XMATCH(Products[[#This Row],[Parent]],Products[Product],0),2),Products[[#This Row],[Product]])</f>
        <v>Vegetal residue biogas</v>
      </c>
      <c r="U218" s="71" t="str" cm="1">
        <f t="array" ref="U218">IFERROR(INDEX(Products[[ProdCode]:[Product]],_xlfn.XMATCH(INDEX(Products[[Product]:[Parent]],_xlfn.XMATCH(Products[[#This Row],[L1N]],Products[Product],0),2),Products[ProdCode],0),2),Products[[#This Row],[L1N]])</f>
        <v>Biogas from anaerobic digestion</v>
      </c>
      <c r="V218" s="71" t="str" cm="1">
        <f t="array" ref="V218">IFERROR(INDEX(Products[[ProdCode]:[Product]],_xlfn.XMATCH(INDEX(Products[[Product]:[Parent]],_xlfn.XMATCH(Products[[#This Row],[L2N]],Products[Product],0),2),Products[ProdCode],0),2),Products[[#This Row],[L2N]])</f>
        <v>Gas biofuels</v>
      </c>
      <c r="W218" s="71" t="str" cm="1">
        <f t="array" ref="W218">IFERROR(INDEX(Products[[ProdCode]:[Product]],_xlfn.XMATCH(INDEX(Products[[Product]:[Parent]],_xlfn.XMATCH(Products[[#This Row],[L3N]],Products[Product],0),2),Products[ProdCode],0),2),Products[[#This Row],[L3N]])</f>
        <v>Bioenergy</v>
      </c>
      <c r="X218" s="71" t="str" cm="1">
        <f t="array" ref="X218">IFERROR(INDEX(Products[[ProdCode]:[Product]],_xlfn.XMATCH(INDEX(Products[[Product]:[Parent]],_xlfn.XMATCH(Products[[#This Row],[L4N]],Products[Product],0),2),Products[ProdCode],0),2),Products[[#This Row],[L4N]])</f>
        <v>Renewable Energy</v>
      </c>
      <c r="Y218" s="71" t="str" cm="1">
        <f t="array" ref="Y218">IFERROR(INDEX(Products[[ProdCode]:[Product]],_xlfn.XMATCH(INDEX(Products[[Product]:[Parent]],_xlfn.XMATCH(Products[[#This Row],[L5N]],Products[Product],0),2),Products[ProdCode],0),2),Products[[#This Row],[L5N]])</f>
        <v>Energy</v>
      </c>
      <c r="Z218" s="71" t="str" cm="1">
        <f t="array" ref="Z218">IFERROR(INDEX(Products[[ProdCode]:[Product]],_xlfn.XMATCH(INDEX(Products[[Product]:[Parent]],_xlfn.XMATCH(Products[[#This Row],[L6N]],Products[Product],0),2),Products[ProdCode],0),2),Products[[#This Row],[L6N]])</f>
        <v>Energy</v>
      </c>
      <c r="AA218" s="71" t="str" cm="1">
        <f t="array" ref="AA218">IFERROR(INDEX(Products[[ProdCode]:[Product]],_xlfn.XMATCH(INDEX(Products[[Product]:[Parent]],_xlfn.XMATCH(Products[[#This Row],[L7N]],Products[Product],0),2),Products[ProdCode],0),2),Products[[#This Row],[L7N]])</f>
        <v>Energy</v>
      </c>
      <c r="AB21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Vegetal residue biogas</v>
      </c>
      <c r="AH21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Vegetal residue biogas</v>
      </c>
      <c r="AI21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Vegetal residue biogas</v>
      </c>
    </row>
    <row r="219" spans="2:35" x14ac:dyDescent="0.45">
      <c r="B219" s="107">
        <v>263190</v>
      </c>
      <c r="C219" s="88" t="s">
        <v>1203</v>
      </c>
      <c r="D219" s="107">
        <v>263100</v>
      </c>
      <c r="E219" s="93" t="s">
        <v>1149</v>
      </c>
      <c r="F219" s="19" t="s">
        <v>1191</v>
      </c>
      <c r="G219" s="82" t="s">
        <v>1199</v>
      </c>
      <c r="H219" s="82" t="s">
        <v>83</v>
      </c>
      <c r="I219" s="82"/>
      <c r="J219" s="82"/>
      <c r="K219" s="82" t="s">
        <v>1646</v>
      </c>
      <c r="L219" s="82"/>
      <c r="M219" s="82"/>
      <c r="N219" s="119"/>
      <c r="O219" s="119"/>
      <c r="P219" s="82"/>
      <c r="Q219" s="82" t="s">
        <v>1242</v>
      </c>
      <c r="R219" s="82"/>
      <c r="S219" s="82"/>
      <c r="T219" s="71" t="str" cm="1">
        <f t="array" ref="T219">IFERROR(INDEX(Products[[ProdCode]:[Product]],_xlfn.XMATCH(Products[[#This Row],[Parent]],Products[Product],0),2),Products[[#This Row],[Product]])</f>
        <v>Other biogas from anaerobic digestion</v>
      </c>
      <c r="U219" s="71" t="str" cm="1">
        <f t="array" ref="U219">IFERROR(INDEX(Products[[ProdCode]:[Product]],_xlfn.XMATCH(INDEX(Products[[Product]:[Parent]],_xlfn.XMATCH(Products[[#This Row],[L1N]],Products[Product],0),2),Products[ProdCode],0),2),Products[[#This Row],[L1N]])</f>
        <v>Biogas from anaerobic digestion</v>
      </c>
      <c r="V219" s="71" t="str" cm="1">
        <f t="array" ref="V219">IFERROR(INDEX(Products[[ProdCode]:[Product]],_xlfn.XMATCH(INDEX(Products[[Product]:[Parent]],_xlfn.XMATCH(Products[[#This Row],[L2N]],Products[Product],0),2),Products[ProdCode],0),2),Products[[#This Row],[L2N]])</f>
        <v>Gas biofuels</v>
      </c>
      <c r="W219" s="71" t="str" cm="1">
        <f t="array" ref="W219">IFERROR(INDEX(Products[[ProdCode]:[Product]],_xlfn.XMATCH(INDEX(Products[[Product]:[Parent]],_xlfn.XMATCH(Products[[#This Row],[L3N]],Products[Product],0),2),Products[ProdCode],0),2),Products[[#This Row],[L3N]])</f>
        <v>Bioenergy</v>
      </c>
      <c r="X219" s="71" t="str" cm="1">
        <f t="array" ref="X219">IFERROR(INDEX(Products[[ProdCode]:[Product]],_xlfn.XMATCH(INDEX(Products[[Product]:[Parent]],_xlfn.XMATCH(Products[[#This Row],[L4N]],Products[Product],0),2),Products[ProdCode],0),2),Products[[#This Row],[L4N]])</f>
        <v>Renewable Energy</v>
      </c>
      <c r="Y219" s="71" t="str" cm="1">
        <f t="array" ref="Y219">IFERROR(INDEX(Products[[ProdCode]:[Product]],_xlfn.XMATCH(INDEX(Products[[Product]:[Parent]],_xlfn.XMATCH(Products[[#This Row],[L5N]],Products[Product],0),2),Products[ProdCode],0),2),Products[[#This Row],[L5N]])</f>
        <v>Energy</v>
      </c>
      <c r="Z219" s="71" t="str" cm="1">
        <f t="array" ref="Z219">IFERROR(INDEX(Products[[ProdCode]:[Product]],_xlfn.XMATCH(INDEX(Products[[Product]:[Parent]],_xlfn.XMATCH(Products[[#This Row],[L6N]],Products[Product],0),2),Products[ProdCode],0),2),Products[[#This Row],[L6N]])</f>
        <v>Energy</v>
      </c>
      <c r="AA219" s="71" t="str" cm="1">
        <f t="array" ref="AA219">IFERROR(INDEX(Products[[ProdCode]:[Product]],_xlfn.XMATCH(INDEX(Products[[Product]:[Parent]],_xlfn.XMATCH(Products[[#This Row],[L7N]],Products[Product],0),2),Products[ProdCode],0),2),Products[[#This Row],[L7N]])</f>
        <v>Energy</v>
      </c>
      <c r="AB21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1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1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1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v>
      </c>
      <c r="AF21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anaerobic digestion</v>
      </c>
      <c r="AG21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biogas from anaerobic digestion</v>
      </c>
      <c r="AH21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biogas from anaerobic digestion</v>
      </c>
      <c r="AI21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biogas from anaerobic digestion</v>
      </c>
    </row>
    <row r="220" spans="2:35" x14ac:dyDescent="0.45">
      <c r="B220" s="106">
        <v>263200</v>
      </c>
      <c r="C220" s="85" t="s">
        <v>992</v>
      </c>
      <c r="D220" s="106">
        <v>260000</v>
      </c>
      <c r="E220" s="93" t="s">
        <v>1149</v>
      </c>
      <c r="F220" s="19" t="s">
        <v>1191</v>
      </c>
      <c r="G220" s="82" t="s">
        <v>53</v>
      </c>
      <c r="H220" s="82" t="s">
        <v>83</v>
      </c>
      <c r="I220" s="82"/>
      <c r="J220" s="82"/>
      <c r="K220" s="82" t="s">
        <v>1647</v>
      </c>
      <c r="L220" s="82"/>
      <c r="M220" s="82"/>
      <c r="N220" s="119"/>
      <c r="O220" s="119"/>
      <c r="P220" s="82"/>
      <c r="Q220" s="82" t="s">
        <v>1242</v>
      </c>
      <c r="R220" s="82"/>
      <c r="S220" s="82"/>
      <c r="T220" s="71" t="str" cm="1">
        <f t="array" ref="T220">IFERROR(INDEX(Products[[ProdCode]:[Product]],_xlfn.XMATCH(Products[[#This Row],[Parent]],Products[Product],0),2),Products[[#This Row],[Product]])</f>
        <v>Biogas from thermal processes</v>
      </c>
      <c r="U220" s="71" t="str" cm="1">
        <f t="array" ref="U220">IFERROR(INDEX(Products[[ProdCode]:[Product]],_xlfn.XMATCH(INDEX(Products[[Product]:[Parent]],_xlfn.XMATCH(Products[[#This Row],[L1N]],Products[Product],0),2),Products[ProdCode],0),2),Products[[#This Row],[L1N]])</f>
        <v>Bioenergy</v>
      </c>
      <c r="V220" s="71" t="str" cm="1">
        <f t="array" ref="V220">IFERROR(INDEX(Products[[ProdCode]:[Product]],_xlfn.XMATCH(INDEX(Products[[Product]:[Parent]],_xlfn.XMATCH(Products[[#This Row],[L2N]],Products[Product],0),2),Products[ProdCode],0),2),Products[[#This Row],[L2N]])</f>
        <v>Renewable Energy</v>
      </c>
      <c r="W220" s="71" t="str" cm="1">
        <f t="array" ref="W220">IFERROR(INDEX(Products[[ProdCode]:[Product]],_xlfn.XMATCH(INDEX(Products[[Product]:[Parent]],_xlfn.XMATCH(Products[[#This Row],[L3N]],Products[Product],0),2),Products[ProdCode],0),2),Products[[#This Row],[L3N]])</f>
        <v>Energy</v>
      </c>
      <c r="X220" s="71" t="str" cm="1">
        <f t="array" ref="X220">IFERROR(INDEX(Products[[ProdCode]:[Product]],_xlfn.XMATCH(INDEX(Products[[Product]:[Parent]],_xlfn.XMATCH(Products[[#This Row],[L4N]],Products[Product],0),2),Products[ProdCode],0),2),Products[[#This Row],[L4N]])</f>
        <v>Energy</v>
      </c>
      <c r="Y220" s="71" t="str" cm="1">
        <f t="array" ref="Y220">IFERROR(INDEX(Products[[ProdCode]:[Product]],_xlfn.XMATCH(INDEX(Products[[Product]:[Parent]],_xlfn.XMATCH(Products[[#This Row],[L5N]],Products[Product],0),2),Products[ProdCode],0),2),Products[[#This Row],[L5N]])</f>
        <v>Energy</v>
      </c>
      <c r="Z220" s="71" t="str" cm="1">
        <f t="array" ref="Z220">IFERROR(INDEX(Products[[ProdCode]:[Product]],_xlfn.XMATCH(INDEX(Products[[Product]:[Parent]],_xlfn.XMATCH(Products[[#This Row],[L6N]],Products[Product],0),2),Products[ProdCode],0),2),Products[[#This Row],[L6N]])</f>
        <v>Energy</v>
      </c>
      <c r="AA220" s="71" t="str" cm="1">
        <f t="array" ref="AA220">IFERROR(INDEX(Products[[ProdCode]:[Product]],_xlfn.XMATCH(INDEX(Products[[Product]:[Parent]],_xlfn.XMATCH(Products[[#This Row],[L7N]],Products[Product],0),2),Products[ProdCode],0),2),Products[[#This Row],[L7N]])</f>
        <v>Energy</v>
      </c>
      <c r="AB22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Biogas from thermal processes</v>
      </c>
      <c r="AF22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Biogas from thermal processes</v>
      </c>
      <c r="AG22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Biogas from thermal processes</v>
      </c>
      <c r="AH22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Biogas from thermal processes</v>
      </c>
      <c r="AI22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Biogas from thermal processes</v>
      </c>
    </row>
    <row r="221" spans="2:35" x14ac:dyDescent="0.45">
      <c r="B221" s="106">
        <v>263300</v>
      </c>
      <c r="C221" s="85" t="s">
        <v>1134</v>
      </c>
      <c r="D221" s="106">
        <v>260000</v>
      </c>
      <c r="E221" s="93" t="s">
        <v>1149</v>
      </c>
      <c r="F221" s="19" t="s">
        <v>1189</v>
      </c>
      <c r="G221" s="82" t="s">
        <v>53</v>
      </c>
      <c r="H221" s="82" t="s">
        <v>65</v>
      </c>
      <c r="I221" s="82"/>
      <c r="J221" s="82"/>
      <c r="K221" s="82" t="s">
        <v>1648</v>
      </c>
      <c r="L221" s="82"/>
      <c r="M221" s="82"/>
      <c r="N221" s="119"/>
      <c r="O221" s="119"/>
      <c r="P221" s="82"/>
      <c r="Q221" s="82" t="s">
        <v>1242</v>
      </c>
      <c r="R221" s="82"/>
      <c r="S221" s="82"/>
      <c r="T221" s="71" t="str" cm="1">
        <f t="array" ref="T221">IFERROR(INDEX(Products[[ProdCode]:[Product]],_xlfn.XMATCH(Products[[#This Row],[Parent]],Products[Product],0),2),Products[[#This Row],[Product]])</f>
        <v>Gas biofuels products</v>
      </c>
      <c r="U221" s="71" t="str" cm="1">
        <f t="array" ref="U221">IFERROR(INDEX(Products[[ProdCode]:[Product]],_xlfn.XMATCH(INDEX(Products[[Product]:[Parent]],_xlfn.XMATCH(Products[[#This Row],[L1N]],Products[Product],0),2),Products[ProdCode],0),2),Products[[#This Row],[L1N]])</f>
        <v>Bioenergy</v>
      </c>
      <c r="V221" s="71" t="str" cm="1">
        <f t="array" ref="V221">IFERROR(INDEX(Products[[ProdCode]:[Product]],_xlfn.XMATCH(INDEX(Products[[Product]:[Parent]],_xlfn.XMATCH(Products[[#This Row],[L2N]],Products[Product],0),2),Products[ProdCode],0),2),Products[[#This Row],[L2N]])</f>
        <v>Renewable Energy</v>
      </c>
      <c r="W221" s="71" t="str" cm="1">
        <f t="array" ref="W221">IFERROR(INDEX(Products[[ProdCode]:[Product]],_xlfn.XMATCH(INDEX(Products[[Product]:[Parent]],_xlfn.XMATCH(Products[[#This Row],[L3N]],Products[Product],0),2),Products[ProdCode],0),2),Products[[#This Row],[L3N]])</f>
        <v>Energy</v>
      </c>
      <c r="X221" s="71" t="str" cm="1">
        <f t="array" ref="X221">IFERROR(INDEX(Products[[ProdCode]:[Product]],_xlfn.XMATCH(INDEX(Products[[Product]:[Parent]],_xlfn.XMATCH(Products[[#This Row],[L4N]],Products[Product],0),2),Products[ProdCode],0),2),Products[[#This Row],[L4N]])</f>
        <v>Energy</v>
      </c>
      <c r="Y221" s="71" t="str" cm="1">
        <f t="array" ref="Y221">IFERROR(INDEX(Products[[ProdCode]:[Product]],_xlfn.XMATCH(INDEX(Products[[Product]:[Parent]],_xlfn.XMATCH(Products[[#This Row],[L5N]],Products[Product],0),2),Products[ProdCode],0),2),Products[[#This Row],[L5N]])</f>
        <v>Energy</v>
      </c>
      <c r="Z221" s="71" t="str" cm="1">
        <f t="array" ref="Z221">IFERROR(INDEX(Products[[ProdCode]:[Product]],_xlfn.XMATCH(INDEX(Products[[Product]:[Parent]],_xlfn.XMATCH(Products[[#This Row],[L6N]],Products[Product],0),2),Products[ProdCode],0),2),Products[[#This Row],[L6N]])</f>
        <v>Energy</v>
      </c>
      <c r="AA221" s="71" t="str" cm="1">
        <f t="array" ref="AA221">IFERROR(INDEX(Products[[ProdCode]:[Product]],_xlfn.XMATCH(INDEX(Products[[Product]:[Parent]],_xlfn.XMATCH(Products[[#This Row],[L7N]],Products[Product],0),2),Products[ProdCode],0),2),Products[[#This Row],[L7N]])</f>
        <v>Energy</v>
      </c>
      <c r="AB22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biofuels products</v>
      </c>
      <c r="AG22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biofuels products</v>
      </c>
      <c r="AH22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biofuels products</v>
      </c>
      <c r="AI22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biofuels products</v>
      </c>
    </row>
    <row r="222" spans="2:35" x14ac:dyDescent="0.45">
      <c r="B222" s="107">
        <v>263310</v>
      </c>
      <c r="C222" s="88" t="s">
        <v>993</v>
      </c>
      <c r="D222" s="107">
        <v>263300</v>
      </c>
      <c r="E222" s="93" t="s">
        <v>1149</v>
      </c>
      <c r="F222" s="19" t="s">
        <v>1189</v>
      </c>
      <c r="G222" s="82" t="s">
        <v>1199</v>
      </c>
      <c r="H222" s="82" t="s">
        <v>83</v>
      </c>
      <c r="I222" s="82"/>
      <c r="J222" s="82"/>
      <c r="K222" s="82" t="s">
        <v>1649</v>
      </c>
      <c r="L222" s="82"/>
      <c r="M222" s="82"/>
      <c r="N222" s="119"/>
      <c r="O222" s="119"/>
      <c r="P222" s="82" t="s">
        <v>1224</v>
      </c>
      <c r="Q222" s="82" t="s">
        <v>1242</v>
      </c>
      <c r="R222" s="82"/>
      <c r="S222" s="82"/>
      <c r="T222" s="71" t="str" cm="1">
        <f t="array" ref="T222">IFERROR(INDEX(Products[[ProdCode]:[Product]],_xlfn.XMATCH(Products[[#This Row],[Parent]],Products[Product],0),2),Products[[#This Row],[Product]])</f>
        <v>Biomethane</v>
      </c>
      <c r="U222" s="71" t="str" cm="1">
        <f t="array" ref="U222">IFERROR(INDEX(Products[[ProdCode]:[Product]],_xlfn.XMATCH(INDEX(Products[[Product]:[Parent]],_xlfn.XMATCH(Products[[#This Row],[L1N]],Products[Product],0),2),Products[ProdCode],0),2),Products[[#This Row],[L1N]])</f>
        <v>Gas biofuels products</v>
      </c>
      <c r="V222" s="71" t="str" cm="1">
        <f t="array" ref="V222">IFERROR(INDEX(Products[[ProdCode]:[Product]],_xlfn.XMATCH(INDEX(Products[[Product]:[Parent]],_xlfn.XMATCH(Products[[#This Row],[L2N]],Products[Product],0),2),Products[ProdCode],0),2),Products[[#This Row],[L2N]])</f>
        <v>Bioenergy</v>
      </c>
      <c r="W222" s="71" t="str" cm="1">
        <f t="array" ref="W222">IFERROR(INDEX(Products[[ProdCode]:[Product]],_xlfn.XMATCH(INDEX(Products[[Product]:[Parent]],_xlfn.XMATCH(Products[[#This Row],[L3N]],Products[Product],0),2),Products[ProdCode],0),2),Products[[#This Row],[L3N]])</f>
        <v>Renewable Energy</v>
      </c>
      <c r="X222" s="71" t="str" cm="1">
        <f t="array" ref="X222">IFERROR(INDEX(Products[[ProdCode]:[Product]],_xlfn.XMATCH(INDEX(Products[[Product]:[Parent]],_xlfn.XMATCH(Products[[#This Row],[L4N]],Products[Product],0),2),Products[ProdCode],0),2),Products[[#This Row],[L4N]])</f>
        <v>Energy</v>
      </c>
      <c r="Y222" s="71" t="str" cm="1">
        <f t="array" ref="Y222">IFERROR(INDEX(Products[[ProdCode]:[Product]],_xlfn.XMATCH(INDEX(Products[[Product]:[Parent]],_xlfn.XMATCH(Products[[#This Row],[L5N]],Products[Product],0),2),Products[ProdCode],0),2),Products[[#This Row],[L5N]])</f>
        <v>Energy</v>
      </c>
      <c r="Z222" s="71" t="str" cm="1">
        <f t="array" ref="Z222">IFERROR(INDEX(Products[[ProdCode]:[Product]],_xlfn.XMATCH(INDEX(Products[[Product]:[Parent]],_xlfn.XMATCH(Products[[#This Row],[L6N]],Products[Product],0),2),Products[ProdCode],0),2),Products[[#This Row],[L6N]])</f>
        <v>Energy</v>
      </c>
      <c r="AA222" s="71" t="str" cm="1">
        <f t="array" ref="AA222">IFERROR(INDEX(Products[[ProdCode]:[Product]],_xlfn.XMATCH(INDEX(Products[[Product]:[Parent]],_xlfn.XMATCH(Products[[#This Row],[L7N]],Products[Product],0),2),Products[ProdCode],0),2),Products[[#This Row],[L7N]])</f>
        <v>Energy</v>
      </c>
      <c r="AB22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Biomethane</v>
      </c>
      <c r="AG22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Biomethane</v>
      </c>
      <c r="AH22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Biomethane</v>
      </c>
      <c r="AI22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Biomethane</v>
      </c>
    </row>
    <row r="223" spans="2:35" x14ac:dyDescent="0.45">
      <c r="B223" s="107">
        <v>263320</v>
      </c>
      <c r="C223" s="88" t="s">
        <v>994</v>
      </c>
      <c r="D223" s="107">
        <v>263300</v>
      </c>
      <c r="E223" s="93" t="s">
        <v>1149</v>
      </c>
      <c r="F223" s="19" t="s">
        <v>1189</v>
      </c>
      <c r="G223" s="82" t="s">
        <v>1199</v>
      </c>
      <c r="H223" s="82" t="s">
        <v>65</v>
      </c>
      <c r="I223" s="82"/>
      <c r="J223" s="82"/>
      <c r="K223" s="82" t="s">
        <v>1650</v>
      </c>
      <c r="L223" s="82"/>
      <c r="M223" s="82"/>
      <c r="N223" s="119"/>
      <c r="O223" s="119"/>
      <c r="P223" s="82" t="s">
        <v>1310</v>
      </c>
      <c r="Q223" s="82" t="s">
        <v>1242</v>
      </c>
      <c r="R223" s="82"/>
      <c r="S223" s="82"/>
      <c r="T223" s="71" t="str" cm="1">
        <f t="array" ref="T223">IFERROR(INDEX(Products[[ProdCode]:[Product]],_xlfn.XMATCH(Products[[#This Row],[Parent]],Products[Product],0),2),Products[[#This Row],[Product]])</f>
        <v>Biohydrogen</v>
      </c>
      <c r="U223" s="71" t="str" cm="1">
        <f t="array" ref="U223">IFERROR(INDEX(Products[[ProdCode]:[Product]],_xlfn.XMATCH(INDEX(Products[[Product]:[Parent]],_xlfn.XMATCH(Products[[#This Row],[L1N]],Products[Product],0),2),Products[ProdCode],0),2),Products[[#This Row],[L1N]])</f>
        <v>Gas biofuels products</v>
      </c>
      <c r="V223" s="71" t="str" cm="1">
        <f t="array" ref="V223">IFERROR(INDEX(Products[[ProdCode]:[Product]],_xlfn.XMATCH(INDEX(Products[[Product]:[Parent]],_xlfn.XMATCH(Products[[#This Row],[L2N]],Products[Product],0),2),Products[ProdCode],0),2),Products[[#This Row],[L2N]])</f>
        <v>Bioenergy</v>
      </c>
      <c r="W223" s="71" t="str" cm="1">
        <f t="array" ref="W223">IFERROR(INDEX(Products[[ProdCode]:[Product]],_xlfn.XMATCH(INDEX(Products[[Product]:[Parent]],_xlfn.XMATCH(Products[[#This Row],[L3N]],Products[Product],0),2),Products[ProdCode],0),2),Products[[#This Row],[L3N]])</f>
        <v>Renewable Energy</v>
      </c>
      <c r="X223" s="71" t="str" cm="1">
        <f t="array" ref="X223">IFERROR(INDEX(Products[[ProdCode]:[Product]],_xlfn.XMATCH(INDEX(Products[[Product]:[Parent]],_xlfn.XMATCH(Products[[#This Row],[L4N]],Products[Product],0),2),Products[ProdCode],0),2),Products[[#This Row],[L4N]])</f>
        <v>Energy</v>
      </c>
      <c r="Y223" s="71" t="str" cm="1">
        <f t="array" ref="Y223">IFERROR(INDEX(Products[[ProdCode]:[Product]],_xlfn.XMATCH(INDEX(Products[[Product]:[Parent]],_xlfn.XMATCH(Products[[#This Row],[L5N]],Products[Product],0),2),Products[ProdCode],0),2),Products[[#This Row],[L5N]])</f>
        <v>Energy</v>
      </c>
      <c r="Z223" s="71" t="str" cm="1">
        <f t="array" ref="Z223">IFERROR(INDEX(Products[[ProdCode]:[Product]],_xlfn.XMATCH(INDEX(Products[[Product]:[Parent]],_xlfn.XMATCH(Products[[#This Row],[L6N]],Products[Product],0),2),Products[ProdCode],0),2),Products[[#This Row],[L6N]])</f>
        <v>Energy</v>
      </c>
      <c r="AA223" s="71" t="str" cm="1">
        <f t="array" ref="AA223">IFERROR(INDEX(Products[[ProdCode]:[Product]],_xlfn.XMATCH(INDEX(Products[[Product]:[Parent]],_xlfn.XMATCH(Products[[#This Row],[L7N]],Products[Product],0),2),Products[ProdCode],0),2),Products[[#This Row],[L7N]])</f>
        <v>Energy</v>
      </c>
      <c r="AB22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Biohydrogen</v>
      </c>
      <c r="AG22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Biohydrogen</v>
      </c>
      <c r="AH22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Biohydrogen</v>
      </c>
      <c r="AI22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Biohydrogen</v>
      </c>
    </row>
    <row r="224" spans="2:35" x14ac:dyDescent="0.45">
      <c r="B224" s="108">
        <v>263321</v>
      </c>
      <c r="C224" s="91" t="s">
        <v>1102</v>
      </c>
      <c r="D224" s="108">
        <v>263320</v>
      </c>
      <c r="E224" s="93" t="s">
        <v>1149</v>
      </c>
      <c r="F224" s="19" t="s">
        <v>1189</v>
      </c>
      <c r="G224" s="82" t="s">
        <v>1200</v>
      </c>
      <c r="H224" s="82" t="s">
        <v>83</v>
      </c>
      <c r="I224" s="82"/>
      <c r="J224" s="82"/>
      <c r="K224" s="82" t="s">
        <v>1651</v>
      </c>
      <c r="L224" s="82"/>
      <c r="M224" s="82"/>
      <c r="N224" s="119"/>
      <c r="O224" s="119"/>
      <c r="P224" s="82" t="s">
        <v>1310</v>
      </c>
      <c r="Q224" s="82" t="s">
        <v>1242</v>
      </c>
      <c r="R224" s="82"/>
      <c r="S224" s="82"/>
      <c r="T224" s="71" t="str" cm="1">
        <f t="array" ref="T224">IFERROR(INDEX(Products[[ProdCode]:[Product]],_xlfn.XMATCH(Products[[#This Row],[Parent]],Products[Product],0),2),Products[[#This Row],[Product]])</f>
        <v>Biological hydrogen</v>
      </c>
      <c r="U224" s="71" t="str" cm="1">
        <f t="array" ref="U224">IFERROR(INDEX(Products[[ProdCode]:[Product]],_xlfn.XMATCH(INDEX(Products[[Product]:[Parent]],_xlfn.XMATCH(Products[[#This Row],[L1N]],Products[Product],0),2),Products[ProdCode],0),2),Products[[#This Row],[L1N]])</f>
        <v>Biohydrogen</v>
      </c>
      <c r="V224" s="71" t="str" cm="1">
        <f t="array" ref="V224">IFERROR(INDEX(Products[[ProdCode]:[Product]],_xlfn.XMATCH(INDEX(Products[[Product]:[Parent]],_xlfn.XMATCH(Products[[#This Row],[L2N]],Products[Product],0),2),Products[ProdCode],0),2),Products[[#This Row],[L2N]])</f>
        <v>Gas biofuels products</v>
      </c>
      <c r="W224" s="71" t="str" cm="1">
        <f t="array" ref="W224">IFERROR(INDEX(Products[[ProdCode]:[Product]],_xlfn.XMATCH(INDEX(Products[[Product]:[Parent]],_xlfn.XMATCH(Products[[#This Row],[L3N]],Products[Product],0),2),Products[ProdCode],0),2),Products[[#This Row],[L3N]])</f>
        <v>Bioenergy</v>
      </c>
      <c r="X224" s="71" t="str" cm="1">
        <f t="array" ref="X224">IFERROR(INDEX(Products[[ProdCode]:[Product]],_xlfn.XMATCH(INDEX(Products[[Product]:[Parent]],_xlfn.XMATCH(Products[[#This Row],[L4N]],Products[Product],0),2),Products[ProdCode],0),2),Products[[#This Row],[L4N]])</f>
        <v>Renewable Energy</v>
      </c>
      <c r="Y224" s="71" t="str" cm="1">
        <f t="array" ref="Y224">IFERROR(INDEX(Products[[ProdCode]:[Product]],_xlfn.XMATCH(INDEX(Products[[Product]:[Parent]],_xlfn.XMATCH(Products[[#This Row],[L5N]],Products[Product],0),2),Products[ProdCode],0),2),Products[[#This Row],[L5N]])</f>
        <v>Energy</v>
      </c>
      <c r="Z224" s="71" t="str" cm="1">
        <f t="array" ref="Z224">IFERROR(INDEX(Products[[ProdCode]:[Product]],_xlfn.XMATCH(INDEX(Products[[Product]:[Parent]],_xlfn.XMATCH(Products[[#This Row],[L6N]],Products[Product],0),2),Products[ProdCode],0),2),Products[[#This Row],[L6N]])</f>
        <v>Energy</v>
      </c>
      <c r="AA224" s="71" t="str" cm="1">
        <f t="array" ref="AA224">IFERROR(INDEX(Products[[ProdCode]:[Product]],_xlfn.XMATCH(INDEX(Products[[Product]:[Parent]],_xlfn.XMATCH(Products[[#This Row],[L7N]],Products[Product],0),2),Products[ProdCode],0),2),Products[[#This Row],[L7N]])</f>
        <v>Energy</v>
      </c>
      <c r="AB22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Biohydrogen</v>
      </c>
      <c r="AG22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Biological hydrogen</v>
      </c>
      <c r="AH22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Biological hydrogen</v>
      </c>
      <c r="AI22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Biological hydrogen</v>
      </c>
    </row>
    <row r="225" spans="2:35" x14ac:dyDescent="0.45">
      <c r="B225" s="108">
        <v>263322</v>
      </c>
      <c r="C225" s="91" t="s">
        <v>995</v>
      </c>
      <c r="D225" s="108">
        <v>263320</v>
      </c>
      <c r="E225" s="93" t="s">
        <v>1149</v>
      </c>
      <c r="F225" s="19" t="s">
        <v>1189</v>
      </c>
      <c r="G225" s="82" t="s">
        <v>1200</v>
      </c>
      <c r="H225" s="82" t="s">
        <v>83</v>
      </c>
      <c r="I225" s="82"/>
      <c r="J225" s="82"/>
      <c r="K225" s="82" t="s">
        <v>1652</v>
      </c>
      <c r="L225" s="82"/>
      <c r="M225" s="82"/>
      <c r="N225" s="119"/>
      <c r="O225" s="119"/>
      <c r="P225" s="82" t="s">
        <v>1310</v>
      </c>
      <c r="Q225" s="82" t="s">
        <v>1242</v>
      </c>
      <c r="R225" s="82"/>
      <c r="S225" s="82"/>
      <c r="T225" s="71" t="str" cm="1">
        <f t="array" ref="T225">IFERROR(INDEX(Products[[ProdCode]:[Product]],_xlfn.XMATCH(Products[[#This Row],[Parent]],Products[Product],0),2),Products[[#This Row],[Product]])</f>
        <v>Biothermal hydrogen</v>
      </c>
      <c r="U225" s="71" t="str" cm="1">
        <f t="array" ref="U225">IFERROR(INDEX(Products[[ProdCode]:[Product]],_xlfn.XMATCH(INDEX(Products[[Product]:[Parent]],_xlfn.XMATCH(Products[[#This Row],[L1N]],Products[Product],0),2),Products[ProdCode],0),2),Products[[#This Row],[L1N]])</f>
        <v>Biohydrogen</v>
      </c>
      <c r="V225" s="71" t="str" cm="1">
        <f t="array" ref="V225">IFERROR(INDEX(Products[[ProdCode]:[Product]],_xlfn.XMATCH(INDEX(Products[[Product]:[Parent]],_xlfn.XMATCH(Products[[#This Row],[L2N]],Products[Product],0),2),Products[ProdCode],0),2),Products[[#This Row],[L2N]])</f>
        <v>Gas biofuels products</v>
      </c>
      <c r="W225" s="71" t="str" cm="1">
        <f t="array" ref="W225">IFERROR(INDEX(Products[[ProdCode]:[Product]],_xlfn.XMATCH(INDEX(Products[[Product]:[Parent]],_xlfn.XMATCH(Products[[#This Row],[L3N]],Products[Product],0),2),Products[ProdCode],0),2),Products[[#This Row],[L3N]])</f>
        <v>Bioenergy</v>
      </c>
      <c r="X225" s="71" t="str" cm="1">
        <f t="array" ref="X225">IFERROR(INDEX(Products[[ProdCode]:[Product]],_xlfn.XMATCH(INDEX(Products[[Product]:[Parent]],_xlfn.XMATCH(Products[[#This Row],[L4N]],Products[Product],0),2),Products[ProdCode],0),2),Products[[#This Row],[L4N]])</f>
        <v>Renewable Energy</v>
      </c>
      <c r="Y225" s="71" t="str" cm="1">
        <f t="array" ref="Y225">IFERROR(INDEX(Products[[ProdCode]:[Product]],_xlfn.XMATCH(INDEX(Products[[Product]:[Parent]],_xlfn.XMATCH(Products[[#This Row],[L5N]],Products[Product],0),2),Products[ProdCode],0),2),Products[[#This Row],[L5N]])</f>
        <v>Energy</v>
      </c>
      <c r="Z225" s="71" t="str" cm="1">
        <f t="array" ref="Z225">IFERROR(INDEX(Products[[ProdCode]:[Product]],_xlfn.XMATCH(INDEX(Products[[Product]:[Parent]],_xlfn.XMATCH(Products[[#This Row],[L6N]],Products[Product],0),2),Products[ProdCode],0),2),Products[[#This Row],[L6N]])</f>
        <v>Energy</v>
      </c>
      <c r="AA225" s="71" t="str" cm="1">
        <f t="array" ref="AA225">IFERROR(INDEX(Products[[ProdCode]:[Product]],_xlfn.XMATCH(INDEX(Products[[Product]:[Parent]],_xlfn.XMATCH(Products[[#This Row],[L7N]],Products[Product],0),2),Products[ProdCode],0),2),Products[[#This Row],[L7N]])</f>
        <v>Energy</v>
      </c>
      <c r="AB22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Biohydrogen</v>
      </c>
      <c r="AG22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Biothermal hydrogen</v>
      </c>
      <c r="AH22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Biothermal hydrogen</v>
      </c>
      <c r="AI22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Biothermal hydrogen</v>
      </c>
    </row>
    <row r="226" spans="2:35" x14ac:dyDescent="0.45">
      <c r="B226" s="107">
        <v>263330</v>
      </c>
      <c r="C226" s="88" t="s">
        <v>1170</v>
      </c>
      <c r="D226" s="107">
        <v>263300</v>
      </c>
      <c r="E226" s="93" t="s">
        <v>1149</v>
      </c>
      <c r="F226" s="19" t="s">
        <v>1189</v>
      </c>
      <c r="G226" s="82" t="s">
        <v>1199</v>
      </c>
      <c r="H226" s="82" t="s">
        <v>83</v>
      </c>
      <c r="I226" s="82"/>
      <c r="J226" s="82"/>
      <c r="K226" s="82" t="s">
        <v>1653</v>
      </c>
      <c r="L226" s="82"/>
      <c r="M226" s="82"/>
      <c r="N226" s="119"/>
      <c r="O226" s="119"/>
      <c r="P226" s="82" t="s">
        <v>1226</v>
      </c>
      <c r="Q226" s="82" t="s">
        <v>1242</v>
      </c>
      <c r="R226" s="82"/>
      <c r="S226" s="82"/>
      <c r="T226" s="71" t="str" cm="1">
        <f t="array" ref="T226">IFERROR(INDEX(Products[[ProdCode]:[Product]],_xlfn.XMATCH(Products[[#This Row],[Parent]],Products[Product],0),2),Products[[#This Row],[Product]])</f>
        <v>Bio-DME</v>
      </c>
      <c r="U226" s="71" t="str" cm="1">
        <f t="array" ref="U226">IFERROR(INDEX(Products[[ProdCode]:[Product]],_xlfn.XMATCH(INDEX(Products[[Product]:[Parent]],_xlfn.XMATCH(Products[[#This Row],[L1N]],Products[Product],0),2),Products[ProdCode],0),2),Products[[#This Row],[L1N]])</f>
        <v>Gas biofuels products</v>
      </c>
      <c r="V226" s="71" t="str" cm="1">
        <f t="array" ref="V226">IFERROR(INDEX(Products[[ProdCode]:[Product]],_xlfn.XMATCH(INDEX(Products[[Product]:[Parent]],_xlfn.XMATCH(Products[[#This Row],[L2N]],Products[Product],0),2),Products[ProdCode],0),2),Products[[#This Row],[L2N]])</f>
        <v>Bioenergy</v>
      </c>
      <c r="W226" s="71" t="str" cm="1">
        <f t="array" ref="W226">IFERROR(INDEX(Products[[ProdCode]:[Product]],_xlfn.XMATCH(INDEX(Products[[Product]:[Parent]],_xlfn.XMATCH(Products[[#This Row],[L3N]],Products[Product],0),2),Products[ProdCode],0),2),Products[[#This Row],[L3N]])</f>
        <v>Renewable Energy</v>
      </c>
      <c r="X226" s="71" t="str" cm="1">
        <f t="array" ref="X226">IFERROR(INDEX(Products[[ProdCode]:[Product]],_xlfn.XMATCH(INDEX(Products[[Product]:[Parent]],_xlfn.XMATCH(Products[[#This Row],[L4N]],Products[Product],0),2),Products[ProdCode],0),2),Products[[#This Row],[L4N]])</f>
        <v>Energy</v>
      </c>
      <c r="Y226" s="71" t="str" cm="1">
        <f t="array" ref="Y226">IFERROR(INDEX(Products[[ProdCode]:[Product]],_xlfn.XMATCH(INDEX(Products[[Product]:[Parent]],_xlfn.XMATCH(Products[[#This Row],[L5N]],Products[Product],0),2),Products[ProdCode],0),2),Products[[#This Row],[L5N]])</f>
        <v>Energy</v>
      </c>
      <c r="Z226" s="71" t="str" cm="1">
        <f t="array" ref="Z226">IFERROR(INDEX(Products[[ProdCode]:[Product]],_xlfn.XMATCH(INDEX(Products[[Product]:[Parent]],_xlfn.XMATCH(Products[[#This Row],[L6N]],Products[Product],0),2),Products[ProdCode],0),2),Products[[#This Row],[L6N]])</f>
        <v>Energy</v>
      </c>
      <c r="AA226" s="71" t="str" cm="1">
        <f t="array" ref="AA226">IFERROR(INDEX(Products[[ProdCode]:[Product]],_xlfn.XMATCH(INDEX(Products[[Product]:[Parent]],_xlfn.XMATCH(Products[[#This Row],[L7N]],Products[Product],0),2),Products[ProdCode],0),2),Products[[#This Row],[L7N]])</f>
        <v>Energy</v>
      </c>
      <c r="AB22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Bio-DME</v>
      </c>
      <c r="AG22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Bio-DME</v>
      </c>
      <c r="AH22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Bio-DME</v>
      </c>
      <c r="AI22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Bio-DME</v>
      </c>
    </row>
    <row r="227" spans="2:35" x14ac:dyDescent="0.45">
      <c r="B227" s="107">
        <v>263390</v>
      </c>
      <c r="C227" s="88" t="s">
        <v>1171</v>
      </c>
      <c r="D227" s="107">
        <v>263300</v>
      </c>
      <c r="E227" s="93" t="s">
        <v>1149</v>
      </c>
      <c r="F227" s="19" t="s">
        <v>1189</v>
      </c>
      <c r="G227" s="82" t="s">
        <v>1199</v>
      </c>
      <c r="H227" s="82" t="s">
        <v>83</v>
      </c>
      <c r="I227" s="82"/>
      <c r="J227" s="82"/>
      <c r="K227" s="82" t="s">
        <v>1654</v>
      </c>
      <c r="L227" s="82"/>
      <c r="M227" s="82"/>
      <c r="N227" s="119"/>
      <c r="O227" s="119"/>
      <c r="P227" s="82"/>
      <c r="Q227" s="82" t="s">
        <v>1242</v>
      </c>
      <c r="R227" s="82"/>
      <c r="S227" s="82"/>
      <c r="T227" s="71" t="str" cm="1">
        <f t="array" ref="T227">IFERROR(INDEX(Products[[ProdCode]:[Product]],_xlfn.XMATCH(Products[[#This Row],[Parent]],Products[Product],0),2),Products[[#This Row],[Product]])</f>
        <v>Other gas biofuels products</v>
      </c>
      <c r="U227" s="71" t="str" cm="1">
        <f t="array" ref="U227">IFERROR(INDEX(Products[[ProdCode]:[Product]],_xlfn.XMATCH(INDEX(Products[[Product]:[Parent]],_xlfn.XMATCH(Products[[#This Row],[L1N]],Products[Product],0),2),Products[ProdCode],0),2),Products[[#This Row],[L1N]])</f>
        <v>Gas biofuels products</v>
      </c>
      <c r="V227" s="71" t="str" cm="1">
        <f t="array" ref="V227">IFERROR(INDEX(Products[[ProdCode]:[Product]],_xlfn.XMATCH(INDEX(Products[[Product]:[Parent]],_xlfn.XMATCH(Products[[#This Row],[L2N]],Products[Product],0),2),Products[ProdCode],0),2),Products[[#This Row],[L2N]])</f>
        <v>Bioenergy</v>
      </c>
      <c r="W227" s="71" t="str" cm="1">
        <f t="array" ref="W227">IFERROR(INDEX(Products[[ProdCode]:[Product]],_xlfn.XMATCH(INDEX(Products[[Product]:[Parent]],_xlfn.XMATCH(Products[[#This Row],[L3N]],Products[Product],0),2),Products[ProdCode],0),2),Products[[#This Row],[L3N]])</f>
        <v>Renewable Energy</v>
      </c>
      <c r="X227" s="71" t="str" cm="1">
        <f t="array" ref="X227">IFERROR(INDEX(Products[[ProdCode]:[Product]],_xlfn.XMATCH(INDEX(Products[[Product]:[Parent]],_xlfn.XMATCH(Products[[#This Row],[L4N]],Products[Product],0),2),Products[ProdCode],0),2),Products[[#This Row],[L4N]])</f>
        <v>Energy</v>
      </c>
      <c r="Y227" s="71" t="str" cm="1">
        <f t="array" ref="Y227">IFERROR(INDEX(Products[[ProdCode]:[Product]],_xlfn.XMATCH(INDEX(Products[[Product]:[Parent]],_xlfn.XMATCH(Products[[#This Row],[L5N]],Products[Product],0),2),Products[ProdCode],0),2),Products[[#This Row],[L5N]])</f>
        <v>Energy</v>
      </c>
      <c r="Z227" s="71" t="str" cm="1">
        <f t="array" ref="Z227">IFERROR(INDEX(Products[[ProdCode]:[Product]],_xlfn.XMATCH(INDEX(Products[[Product]:[Parent]],_xlfn.XMATCH(Products[[#This Row],[L6N]],Products[Product],0),2),Products[ProdCode],0),2),Products[[#This Row],[L6N]])</f>
        <v>Energy</v>
      </c>
      <c r="AA227" s="71" t="str" cm="1">
        <f t="array" ref="AA227">IFERROR(INDEX(Products[[ProdCode]:[Product]],_xlfn.XMATCH(INDEX(Products[[Product]:[Parent]],_xlfn.XMATCH(Products[[#This Row],[L7N]],Products[Product],0),2),Products[ProdCode],0),2),Products[[#This Row],[L7N]])</f>
        <v>Energy</v>
      </c>
      <c r="AB22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Gas biofuels products</v>
      </c>
      <c r="AF22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gas biofuels products</v>
      </c>
      <c r="AG22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gas biofuels products</v>
      </c>
      <c r="AH22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gas biofuels products</v>
      </c>
      <c r="AI22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gas biofuels products</v>
      </c>
    </row>
    <row r="228" spans="2:35" x14ac:dyDescent="0.45">
      <c r="B228" s="105">
        <v>264000</v>
      </c>
      <c r="C228" s="79" t="s">
        <v>1101</v>
      </c>
      <c r="D228" s="105">
        <v>260000</v>
      </c>
      <c r="E228" s="93" t="s">
        <v>1149</v>
      </c>
      <c r="F228" s="19" t="s">
        <v>1188</v>
      </c>
      <c r="G228" s="82" t="s">
        <v>54</v>
      </c>
      <c r="H228" s="82" t="s">
        <v>65</v>
      </c>
      <c r="I228" s="82"/>
      <c r="J228" s="82"/>
      <c r="K228" s="82" t="s">
        <v>1655</v>
      </c>
      <c r="L228" s="82"/>
      <c r="M228" s="82"/>
      <c r="N228" s="119"/>
      <c r="O228" s="119"/>
      <c r="P228" s="82"/>
      <c r="Q228" s="82" t="s">
        <v>1242</v>
      </c>
      <c r="R228" s="82"/>
      <c r="S228" s="82"/>
      <c r="T228" s="71" t="str" cm="1">
        <f t="array" ref="T228">IFERROR(INDEX(Products[[ProdCode]:[Product]],_xlfn.XMATCH(Products[[#This Row],[Parent]],Products[Product],0),2),Products[[#This Row],[Product]])</f>
        <v>Renewable waste</v>
      </c>
      <c r="U228" s="71" t="str" cm="1">
        <f t="array" ref="U228">IFERROR(INDEX(Products[[ProdCode]:[Product]],_xlfn.XMATCH(INDEX(Products[[Product]:[Parent]],_xlfn.XMATCH(Products[[#This Row],[L1N]],Products[Product],0),2),Products[ProdCode],0),2),Products[[#This Row],[L1N]])</f>
        <v>Bioenergy</v>
      </c>
      <c r="V228" s="71" t="str" cm="1">
        <f t="array" ref="V228">IFERROR(INDEX(Products[[ProdCode]:[Product]],_xlfn.XMATCH(INDEX(Products[[Product]:[Parent]],_xlfn.XMATCH(Products[[#This Row],[L2N]],Products[Product],0),2),Products[ProdCode],0),2),Products[[#This Row],[L2N]])</f>
        <v>Renewable Energy</v>
      </c>
      <c r="W228" s="71" t="str" cm="1">
        <f t="array" ref="W228">IFERROR(INDEX(Products[[ProdCode]:[Product]],_xlfn.XMATCH(INDEX(Products[[Product]:[Parent]],_xlfn.XMATCH(Products[[#This Row],[L3N]],Products[Product],0),2),Products[ProdCode],0),2),Products[[#This Row],[L3N]])</f>
        <v>Energy</v>
      </c>
      <c r="X228" s="71" t="str" cm="1">
        <f t="array" ref="X228">IFERROR(INDEX(Products[[ProdCode]:[Product]],_xlfn.XMATCH(INDEX(Products[[Product]:[Parent]],_xlfn.XMATCH(Products[[#This Row],[L4N]],Products[Product],0),2),Products[ProdCode],0),2),Products[[#This Row],[L4N]])</f>
        <v>Energy</v>
      </c>
      <c r="Y228" s="71" t="str" cm="1">
        <f t="array" ref="Y228">IFERROR(INDEX(Products[[ProdCode]:[Product]],_xlfn.XMATCH(INDEX(Products[[Product]:[Parent]],_xlfn.XMATCH(Products[[#This Row],[L5N]],Products[Product],0),2),Products[ProdCode],0),2),Products[[#This Row],[L5N]])</f>
        <v>Energy</v>
      </c>
      <c r="Z228" s="71" t="str" cm="1">
        <f t="array" ref="Z228">IFERROR(INDEX(Products[[ProdCode]:[Product]],_xlfn.XMATCH(INDEX(Products[[Product]:[Parent]],_xlfn.XMATCH(Products[[#This Row],[L6N]],Products[Product],0),2),Products[ProdCode],0),2),Products[[#This Row],[L6N]])</f>
        <v>Energy</v>
      </c>
      <c r="AA228" s="71" t="str" cm="1">
        <f t="array" ref="AA228">IFERROR(INDEX(Products[[ProdCode]:[Product]],_xlfn.XMATCH(INDEX(Products[[Product]:[Parent]],_xlfn.XMATCH(Products[[#This Row],[L7N]],Products[Product],0),2),Products[ProdCode],0),2),Products[[#This Row],[L7N]])</f>
        <v>Energy</v>
      </c>
      <c r="AB22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waste</v>
      </c>
      <c r="AF22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waste</v>
      </c>
      <c r="AG22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waste</v>
      </c>
      <c r="AH22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waste</v>
      </c>
      <c r="AI22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waste</v>
      </c>
    </row>
    <row r="229" spans="2:35" x14ac:dyDescent="0.45">
      <c r="B229" s="106">
        <v>264100</v>
      </c>
      <c r="C229" s="85" t="s">
        <v>455</v>
      </c>
      <c r="D229" s="106">
        <v>264000</v>
      </c>
      <c r="E229" s="93" t="s">
        <v>1149</v>
      </c>
      <c r="F229" s="19" t="s">
        <v>1188</v>
      </c>
      <c r="G229" s="82" t="s">
        <v>53</v>
      </c>
      <c r="H229" s="82" t="s">
        <v>83</v>
      </c>
      <c r="I229" s="82"/>
      <c r="J229" s="82"/>
      <c r="K229" s="82" t="s">
        <v>1656</v>
      </c>
      <c r="L229" s="82"/>
      <c r="M229" s="82"/>
      <c r="N229" s="119"/>
      <c r="O229" s="119"/>
      <c r="P229" s="82"/>
      <c r="Q229" s="82" t="s">
        <v>1242</v>
      </c>
      <c r="R229" s="82"/>
      <c r="S229" s="82"/>
      <c r="T229" s="71" t="str" cm="1">
        <f t="array" ref="T229">IFERROR(INDEX(Products[[ProdCode]:[Product]],_xlfn.XMATCH(Products[[#This Row],[Parent]],Products[Product],0),2),Products[[#This Row],[Product]])</f>
        <v>Renewable municipal waste</v>
      </c>
      <c r="U229" s="71" t="str" cm="1">
        <f t="array" ref="U229">IFERROR(INDEX(Products[[ProdCode]:[Product]],_xlfn.XMATCH(INDEX(Products[[Product]:[Parent]],_xlfn.XMATCH(Products[[#This Row],[L1N]],Products[Product],0),2),Products[ProdCode],0),2),Products[[#This Row],[L1N]])</f>
        <v>Renewable waste</v>
      </c>
      <c r="V229" s="71" t="str" cm="1">
        <f t="array" ref="V229">IFERROR(INDEX(Products[[ProdCode]:[Product]],_xlfn.XMATCH(INDEX(Products[[Product]:[Parent]],_xlfn.XMATCH(Products[[#This Row],[L2N]],Products[Product],0),2),Products[ProdCode],0),2),Products[[#This Row],[L2N]])</f>
        <v>Bioenergy</v>
      </c>
      <c r="W229" s="71" t="str" cm="1">
        <f t="array" ref="W229">IFERROR(INDEX(Products[[ProdCode]:[Product]],_xlfn.XMATCH(INDEX(Products[[Product]:[Parent]],_xlfn.XMATCH(Products[[#This Row],[L3N]],Products[Product],0),2),Products[ProdCode],0),2),Products[[#This Row],[L3N]])</f>
        <v>Renewable Energy</v>
      </c>
      <c r="X229" s="71" t="str" cm="1">
        <f t="array" ref="X229">IFERROR(INDEX(Products[[ProdCode]:[Product]],_xlfn.XMATCH(INDEX(Products[[Product]:[Parent]],_xlfn.XMATCH(Products[[#This Row],[L4N]],Products[Product],0),2),Products[ProdCode],0),2),Products[[#This Row],[L4N]])</f>
        <v>Energy</v>
      </c>
      <c r="Y229" s="71" t="str" cm="1">
        <f t="array" ref="Y229">IFERROR(INDEX(Products[[ProdCode]:[Product]],_xlfn.XMATCH(INDEX(Products[[Product]:[Parent]],_xlfn.XMATCH(Products[[#This Row],[L5N]],Products[Product],0),2),Products[ProdCode],0),2),Products[[#This Row],[L5N]])</f>
        <v>Energy</v>
      </c>
      <c r="Z229" s="71" t="str" cm="1">
        <f t="array" ref="Z229">IFERROR(INDEX(Products[[ProdCode]:[Product]],_xlfn.XMATCH(INDEX(Products[[Product]:[Parent]],_xlfn.XMATCH(Products[[#This Row],[L6N]],Products[Product],0),2),Products[ProdCode],0),2),Products[[#This Row],[L6N]])</f>
        <v>Energy</v>
      </c>
      <c r="AA229" s="71" t="str" cm="1">
        <f t="array" ref="AA229">IFERROR(INDEX(Products[[ProdCode]:[Product]],_xlfn.XMATCH(INDEX(Products[[Product]:[Parent]],_xlfn.XMATCH(Products[[#This Row],[L7N]],Products[Product],0),2),Products[ProdCode],0),2),Products[[#This Row],[L7N]])</f>
        <v>Energy</v>
      </c>
      <c r="AB22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2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2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2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waste</v>
      </c>
      <c r="AF22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municipal waste</v>
      </c>
      <c r="AG22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municipal waste</v>
      </c>
      <c r="AH22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municipal waste</v>
      </c>
      <c r="AI22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municipal waste</v>
      </c>
    </row>
    <row r="230" spans="2:35" x14ac:dyDescent="0.45">
      <c r="B230" s="106">
        <v>264200</v>
      </c>
      <c r="C230" s="85" t="s">
        <v>534</v>
      </c>
      <c r="D230" s="106">
        <v>264000</v>
      </c>
      <c r="E230" s="93" t="s">
        <v>1149</v>
      </c>
      <c r="F230" s="19" t="s">
        <v>1188</v>
      </c>
      <c r="G230" s="82" t="s">
        <v>53</v>
      </c>
      <c r="H230" s="82" t="s">
        <v>83</v>
      </c>
      <c r="I230" s="82"/>
      <c r="J230" s="82"/>
      <c r="K230" s="82" t="s">
        <v>1657</v>
      </c>
      <c r="L230" s="82"/>
      <c r="M230" s="82"/>
      <c r="N230" s="119"/>
      <c r="O230" s="119"/>
      <c r="P230" s="82"/>
      <c r="Q230" s="82" t="s">
        <v>1242</v>
      </c>
      <c r="R230" s="82"/>
      <c r="S230" s="82"/>
      <c r="T230" s="71" t="str" cm="1">
        <f t="array" ref="T230">IFERROR(INDEX(Products[[ProdCode]:[Product]],_xlfn.XMATCH(Products[[#This Row],[Parent]],Products[Product],0),2),Products[[#This Row],[Product]])</f>
        <v>Renewable industrial waste</v>
      </c>
      <c r="U230" s="71" t="str" cm="1">
        <f t="array" ref="U230">IFERROR(INDEX(Products[[ProdCode]:[Product]],_xlfn.XMATCH(INDEX(Products[[Product]:[Parent]],_xlfn.XMATCH(Products[[#This Row],[L1N]],Products[Product],0),2),Products[ProdCode],0),2),Products[[#This Row],[L1N]])</f>
        <v>Renewable waste</v>
      </c>
      <c r="V230" s="71" t="str" cm="1">
        <f t="array" ref="V230">IFERROR(INDEX(Products[[ProdCode]:[Product]],_xlfn.XMATCH(INDEX(Products[[Product]:[Parent]],_xlfn.XMATCH(Products[[#This Row],[L2N]],Products[Product],0),2),Products[ProdCode],0),2),Products[[#This Row],[L2N]])</f>
        <v>Bioenergy</v>
      </c>
      <c r="W230" s="71" t="str" cm="1">
        <f t="array" ref="W230">IFERROR(INDEX(Products[[ProdCode]:[Product]],_xlfn.XMATCH(INDEX(Products[[Product]:[Parent]],_xlfn.XMATCH(Products[[#This Row],[L3N]],Products[Product],0),2),Products[ProdCode],0),2),Products[[#This Row],[L3N]])</f>
        <v>Renewable Energy</v>
      </c>
      <c r="X230" s="71" t="str" cm="1">
        <f t="array" ref="X230">IFERROR(INDEX(Products[[ProdCode]:[Product]],_xlfn.XMATCH(INDEX(Products[[Product]:[Parent]],_xlfn.XMATCH(Products[[#This Row],[L4N]],Products[Product],0),2),Products[ProdCode],0),2),Products[[#This Row],[L4N]])</f>
        <v>Energy</v>
      </c>
      <c r="Y230" s="71" t="str" cm="1">
        <f t="array" ref="Y230">IFERROR(INDEX(Products[[ProdCode]:[Product]],_xlfn.XMATCH(INDEX(Products[[Product]:[Parent]],_xlfn.XMATCH(Products[[#This Row],[L5N]],Products[Product],0),2),Products[ProdCode],0),2),Products[[#This Row],[L5N]])</f>
        <v>Energy</v>
      </c>
      <c r="Z230" s="71" t="str" cm="1">
        <f t="array" ref="Z230">IFERROR(INDEX(Products[[ProdCode]:[Product]],_xlfn.XMATCH(INDEX(Products[[Product]:[Parent]],_xlfn.XMATCH(Products[[#This Row],[L6N]],Products[Product],0),2),Products[ProdCode],0),2),Products[[#This Row],[L6N]])</f>
        <v>Energy</v>
      </c>
      <c r="AA230" s="71" t="str" cm="1">
        <f t="array" ref="AA230">IFERROR(INDEX(Products[[ProdCode]:[Product]],_xlfn.XMATCH(INDEX(Products[[Product]:[Parent]],_xlfn.XMATCH(Products[[#This Row],[L7N]],Products[Product],0),2),Products[ProdCode],0),2),Products[[#This Row],[L7N]])</f>
        <v>Energy</v>
      </c>
      <c r="AB23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Bioenergy</v>
      </c>
      <c r="AE23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waste</v>
      </c>
      <c r="AF23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industrial waste</v>
      </c>
      <c r="AG23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industrial waste</v>
      </c>
      <c r="AH23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industrial waste</v>
      </c>
      <c r="AI23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industrial waste</v>
      </c>
    </row>
    <row r="231" spans="2:35" x14ac:dyDescent="0.45">
      <c r="B231" s="104">
        <v>270000</v>
      </c>
      <c r="C231" s="76" t="s">
        <v>1136</v>
      </c>
      <c r="D231" s="104">
        <v>200000</v>
      </c>
      <c r="E231" s="93" t="s">
        <v>1149</v>
      </c>
      <c r="F231" s="19" t="s">
        <v>1189</v>
      </c>
      <c r="G231" s="82" t="s">
        <v>55</v>
      </c>
      <c r="H231" s="82" t="s">
        <v>65</v>
      </c>
      <c r="I231" s="82"/>
      <c r="J231" s="82"/>
      <c r="K231" s="82" t="s">
        <v>1658</v>
      </c>
      <c r="L231" s="82"/>
      <c r="M231" s="82"/>
      <c r="N231" s="119"/>
      <c r="O231" s="119"/>
      <c r="P231" s="82"/>
      <c r="Q231" s="82"/>
      <c r="R231" s="82"/>
      <c r="S231" s="82"/>
      <c r="T231" s="71" t="str" cm="1">
        <f t="array" ref="T231">IFERROR(INDEX(Products[[ProdCode]:[Product]],_xlfn.XMATCH(Products[[#This Row],[Parent]],Products[Product],0),2),Products[[#This Row],[Product]])</f>
        <v>Non-bio renewable fuels</v>
      </c>
      <c r="U231" s="71" t="str" cm="1">
        <f t="array" ref="U231">IFERROR(INDEX(Products[[ProdCode]:[Product]],_xlfn.XMATCH(INDEX(Products[[Product]:[Parent]],_xlfn.XMATCH(Products[[#This Row],[L1N]],Products[Product],0),2),Products[ProdCode],0),2),Products[[#This Row],[L1N]])</f>
        <v>Renewable Energy</v>
      </c>
      <c r="V231" s="71" t="str" cm="1">
        <f t="array" ref="V231">IFERROR(INDEX(Products[[ProdCode]:[Product]],_xlfn.XMATCH(INDEX(Products[[Product]:[Parent]],_xlfn.XMATCH(Products[[#This Row],[L2N]],Products[Product],0),2),Products[ProdCode],0),2),Products[[#This Row],[L2N]])</f>
        <v>Energy</v>
      </c>
      <c r="W231" s="71" t="str" cm="1">
        <f t="array" ref="W231">IFERROR(INDEX(Products[[ProdCode]:[Product]],_xlfn.XMATCH(INDEX(Products[[Product]:[Parent]],_xlfn.XMATCH(Products[[#This Row],[L3N]],Products[Product],0),2),Products[ProdCode],0),2),Products[[#This Row],[L3N]])</f>
        <v>Energy</v>
      </c>
      <c r="X231" s="71" t="str" cm="1">
        <f t="array" ref="X231">IFERROR(INDEX(Products[[ProdCode]:[Product]],_xlfn.XMATCH(INDEX(Products[[Product]:[Parent]],_xlfn.XMATCH(Products[[#This Row],[L4N]],Products[Product],0),2),Products[ProdCode],0),2),Products[[#This Row],[L4N]])</f>
        <v>Energy</v>
      </c>
      <c r="Y231" s="71" t="str" cm="1">
        <f t="array" ref="Y231">IFERROR(INDEX(Products[[ProdCode]:[Product]],_xlfn.XMATCH(INDEX(Products[[Product]:[Parent]],_xlfn.XMATCH(Products[[#This Row],[L5N]],Products[Product],0),2),Products[ProdCode],0),2),Products[[#This Row],[L5N]])</f>
        <v>Energy</v>
      </c>
      <c r="Z231" s="71" t="str" cm="1">
        <f t="array" ref="Z231">IFERROR(INDEX(Products[[ProdCode]:[Product]],_xlfn.XMATCH(INDEX(Products[[Product]:[Parent]],_xlfn.XMATCH(Products[[#This Row],[L6N]],Products[Product],0),2),Products[ProdCode],0),2),Products[[#This Row],[L6N]])</f>
        <v>Energy</v>
      </c>
      <c r="AA231" s="71" t="str" cm="1">
        <f t="array" ref="AA231">IFERROR(INDEX(Products[[ProdCode]:[Product]],_xlfn.XMATCH(INDEX(Products[[Product]:[Parent]],_xlfn.XMATCH(Products[[#This Row],[L7N]],Products[Product],0),2),Products[ProdCode],0),2),Products[[#This Row],[L7N]])</f>
        <v>Energy</v>
      </c>
      <c r="AB23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fuels</v>
      </c>
      <c r="AF23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fuels</v>
      </c>
      <c r="AG23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fuels</v>
      </c>
      <c r="AH23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fuels</v>
      </c>
      <c r="AI23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fuels</v>
      </c>
    </row>
    <row r="232" spans="2:35" x14ac:dyDescent="0.45">
      <c r="B232" s="105">
        <v>271000</v>
      </c>
      <c r="C232" s="79" t="s">
        <v>1137</v>
      </c>
      <c r="D232" s="105">
        <v>270000</v>
      </c>
      <c r="E232" s="93" t="s">
        <v>1149</v>
      </c>
      <c r="F232" s="19" t="s">
        <v>1189</v>
      </c>
      <c r="G232" s="82" t="s">
        <v>54</v>
      </c>
      <c r="H232" s="82" t="s">
        <v>65</v>
      </c>
      <c r="I232" s="82"/>
      <c r="J232" s="82"/>
      <c r="K232" s="82" t="s">
        <v>1659</v>
      </c>
      <c r="L232" s="82"/>
      <c r="M232" s="82"/>
      <c r="N232" s="119"/>
      <c r="O232" s="119"/>
      <c r="P232" s="82"/>
      <c r="Q232" s="82"/>
      <c r="R232" s="82"/>
      <c r="S232" s="82"/>
      <c r="T232" s="71" t="str" cm="1">
        <f t="array" ref="T232">IFERROR(INDEX(Products[[ProdCode]:[Product]],_xlfn.XMATCH(Products[[#This Row],[Parent]],Products[Product],0),2),Products[[#This Row],[Product]])</f>
        <v>Non-bio renewable solid fuels</v>
      </c>
      <c r="U232" s="71" t="str" cm="1">
        <f t="array" ref="U232">IFERROR(INDEX(Products[[ProdCode]:[Product]],_xlfn.XMATCH(INDEX(Products[[Product]:[Parent]],_xlfn.XMATCH(Products[[#This Row],[L1N]],Products[Product],0),2),Products[ProdCode],0),2),Products[[#This Row],[L1N]])</f>
        <v>Non-bio renewable fuels</v>
      </c>
      <c r="V232" s="71" t="str" cm="1">
        <f t="array" ref="V232">IFERROR(INDEX(Products[[ProdCode]:[Product]],_xlfn.XMATCH(INDEX(Products[[Product]:[Parent]],_xlfn.XMATCH(Products[[#This Row],[L2N]],Products[Product],0),2),Products[ProdCode],0),2),Products[[#This Row],[L2N]])</f>
        <v>Renewable Energy</v>
      </c>
      <c r="W232" s="71" t="str" cm="1">
        <f t="array" ref="W232">IFERROR(INDEX(Products[[ProdCode]:[Product]],_xlfn.XMATCH(INDEX(Products[[Product]:[Parent]],_xlfn.XMATCH(Products[[#This Row],[L3N]],Products[Product],0),2),Products[ProdCode],0),2),Products[[#This Row],[L3N]])</f>
        <v>Energy</v>
      </c>
      <c r="X232" s="71" t="str" cm="1">
        <f t="array" ref="X232">IFERROR(INDEX(Products[[ProdCode]:[Product]],_xlfn.XMATCH(INDEX(Products[[Product]:[Parent]],_xlfn.XMATCH(Products[[#This Row],[L4N]],Products[Product],0),2),Products[ProdCode],0),2),Products[[#This Row],[L4N]])</f>
        <v>Energy</v>
      </c>
      <c r="Y232" s="71" t="str" cm="1">
        <f t="array" ref="Y232">IFERROR(INDEX(Products[[ProdCode]:[Product]],_xlfn.XMATCH(INDEX(Products[[Product]:[Parent]],_xlfn.XMATCH(Products[[#This Row],[L5N]],Products[Product],0),2),Products[ProdCode],0),2),Products[[#This Row],[L5N]])</f>
        <v>Energy</v>
      </c>
      <c r="Z232" s="71" t="str" cm="1">
        <f t="array" ref="Z232">IFERROR(INDEX(Products[[ProdCode]:[Product]],_xlfn.XMATCH(INDEX(Products[[Product]:[Parent]],_xlfn.XMATCH(Products[[#This Row],[L6N]],Products[Product],0),2),Products[ProdCode],0),2),Products[[#This Row],[L6N]])</f>
        <v>Energy</v>
      </c>
      <c r="AA232" s="71" t="str" cm="1">
        <f t="array" ref="AA232">IFERROR(INDEX(Products[[ProdCode]:[Product]],_xlfn.XMATCH(INDEX(Products[[Product]:[Parent]],_xlfn.XMATCH(Products[[#This Row],[L7N]],Products[Product],0),2),Products[ProdCode],0),2),Products[[#This Row],[L7N]])</f>
        <v>Energy</v>
      </c>
      <c r="AB23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solid fuels</v>
      </c>
      <c r="AF23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solid fuels</v>
      </c>
      <c r="AG23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solid fuels</v>
      </c>
      <c r="AH23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solid fuels</v>
      </c>
      <c r="AI23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solid fuels</v>
      </c>
    </row>
    <row r="233" spans="2:35" x14ac:dyDescent="0.45">
      <c r="B233" s="106">
        <v>271100</v>
      </c>
      <c r="C233" s="85" t="s">
        <v>1138</v>
      </c>
      <c r="D233" s="106">
        <v>272000</v>
      </c>
      <c r="E233" s="93" t="s">
        <v>1149</v>
      </c>
      <c r="F233" s="19" t="s">
        <v>1189</v>
      </c>
      <c r="G233" s="82" t="s">
        <v>53</v>
      </c>
      <c r="H233" s="82" t="s">
        <v>83</v>
      </c>
      <c r="I233" s="82"/>
      <c r="J233" s="82"/>
      <c r="K233" s="82" t="s">
        <v>1660</v>
      </c>
      <c r="L233" s="82"/>
      <c r="M233" s="82"/>
      <c r="N233" s="119"/>
      <c r="O233" s="119"/>
      <c r="P233" s="82"/>
      <c r="Q233" s="82"/>
      <c r="R233" s="82"/>
      <c r="S233" s="82"/>
      <c r="T233" s="71" t="str" cm="1">
        <f t="array" ref="T233">IFERROR(INDEX(Products[[ProdCode]:[Product]],_xlfn.XMATCH(Products[[#This Row],[Parent]],Products[Product],0),2),Products[[#This Row],[Product]])</f>
        <v>Non-bio renewable carbon</v>
      </c>
      <c r="U233" s="71" t="str" cm="1">
        <f t="array" ref="U233">IFERROR(INDEX(Products[[ProdCode]:[Product]],_xlfn.XMATCH(INDEX(Products[[Product]:[Parent]],_xlfn.XMATCH(Products[[#This Row],[L1N]],Products[Product],0),2),Products[ProdCode],0),2),Products[[#This Row],[L1N]])</f>
        <v>Non-bio renewable liquid fuels</v>
      </c>
      <c r="V233" s="71" t="str" cm="1">
        <f t="array" ref="V233">IFERROR(INDEX(Products[[ProdCode]:[Product]],_xlfn.XMATCH(INDEX(Products[[Product]:[Parent]],_xlfn.XMATCH(Products[[#This Row],[L2N]],Products[Product],0),2),Products[ProdCode],0),2),Products[[#This Row],[L2N]])</f>
        <v>Non-bio renewable fuels</v>
      </c>
      <c r="W233" s="71" t="str" cm="1">
        <f t="array" ref="W233">IFERROR(INDEX(Products[[ProdCode]:[Product]],_xlfn.XMATCH(INDEX(Products[[Product]:[Parent]],_xlfn.XMATCH(Products[[#This Row],[L3N]],Products[Product],0),2),Products[ProdCode],0),2),Products[[#This Row],[L3N]])</f>
        <v>Renewable Energy</v>
      </c>
      <c r="X233" s="71" t="str" cm="1">
        <f t="array" ref="X233">IFERROR(INDEX(Products[[ProdCode]:[Product]],_xlfn.XMATCH(INDEX(Products[[Product]:[Parent]],_xlfn.XMATCH(Products[[#This Row],[L4N]],Products[Product],0),2),Products[ProdCode],0),2),Products[[#This Row],[L4N]])</f>
        <v>Energy</v>
      </c>
      <c r="Y233" s="71" t="str" cm="1">
        <f t="array" ref="Y233">IFERROR(INDEX(Products[[ProdCode]:[Product]],_xlfn.XMATCH(INDEX(Products[[Product]:[Parent]],_xlfn.XMATCH(Products[[#This Row],[L5N]],Products[Product],0),2),Products[ProdCode],0),2),Products[[#This Row],[L5N]])</f>
        <v>Energy</v>
      </c>
      <c r="Z233" s="71" t="str" cm="1">
        <f t="array" ref="Z233">IFERROR(INDEX(Products[[ProdCode]:[Product]],_xlfn.XMATCH(INDEX(Products[[Product]:[Parent]],_xlfn.XMATCH(Products[[#This Row],[L6N]],Products[Product],0),2),Products[ProdCode],0),2),Products[[#This Row],[L6N]])</f>
        <v>Energy</v>
      </c>
      <c r="AA233" s="71" t="str" cm="1">
        <f t="array" ref="AA233">IFERROR(INDEX(Products[[ProdCode]:[Product]],_xlfn.XMATCH(INDEX(Products[[Product]:[Parent]],_xlfn.XMATCH(Products[[#This Row],[L7N]],Products[Product],0),2),Products[ProdCode],0),2),Products[[#This Row],[L7N]])</f>
        <v>Energy</v>
      </c>
      <c r="AB23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carbon</v>
      </c>
      <c r="AG23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carbon</v>
      </c>
      <c r="AH23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carbon</v>
      </c>
      <c r="AI23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carbon</v>
      </c>
    </row>
    <row r="234" spans="2:35" x14ac:dyDescent="0.45">
      <c r="B234" s="106">
        <v>271900</v>
      </c>
      <c r="C234" s="85" t="s">
        <v>1172</v>
      </c>
      <c r="D234" s="106">
        <v>272000</v>
      </c>
      <c r="E234" s="93" t="s">
        <v>1149</v>
      </c>
      <c r="F234" s="19" t="s">
        <v>1189</v>
      </c>
      <c r="G234" s="82" t="s">
        <v>53</v>
      </c>
      <c r="H234" s="82" t="s">
        <v>83</v>
      </c>
      <c r="I234" s="82"/>
      <c r="J234" s="82"/>
      <c r="K234" s="82" t="s">
        <v>1661</v>
      </c>
      <c r="L234" s="82"/>
      <c r="M234" s="82"/>
      <c r="N234" s="119"/>
      <c r="O234" s="119"/>
      <c r="P234" s="82"/>
      <c r="Q234" s="82"/>
      <c r="R234" s="82"/>
      <c r="S234" s="82"/>
      <c r="T234" s="71" t="str" cm="1">
        <f t="array" ref="T234">IFERROR(INDEX(Products[[ProdCode]:[Product]],_xlfn.XMATCH(Products[[#This Row],[Parent]],Products[Product],0),2),Products[[#This Row],[Product]])</f>
        <v>Other non-bio renewable solid fuels</v>
      </c>
      <c r="U234" s="71" t="str" cm="1">
        <f t="array" ref="U234">IFERROR(INDEX(Products[[ProdCode]:[Product]],_xlfn.XMATCH(INDEX(Products[[Product]:[Parent]],_xlfn.XMATCH(Products[[#This Row],[L1N]],Products[Product],0),2),Products[ProdCode],0),2),Products[[#This Row],[L1N]])</f>
        <v>Non-bio renewable liquid fuels</v>
      </c>
      <c r="V234" s="71" t="str" cm="1">
        <f t="array" ref="V234">IFERROR(INDEX(Products[[ProdCode]:[Product]],_xlfn.XMATCH(INDEX(Products[[Product]:[Parent]],_xlfn.XMATCH(Products[[#This Row],[L2N]],Products[Product],0),2),Products[ProdCode],0),2),Products[[#This Row],[L2N]])</f>
        <v>Non-bio renewable fuels</v>
      </c>
      <c r="W234" s="71" t="str" cm="1">
        <f t="array" ref="W234">IFERROR(INDEX(Products[[ProdCode]:[Product]],_xlfn.XMATCH(INDEX(Products[[Product]:[Parent]],_xlfn.XMATCH(Products[[#This Row],[L3N]],Products[Product],0),2),Products[ProdCode],0),2),Products[[#This Row],[L3N]])</f>
        <v>Renewable Energy</v>
      </c>
      <c r="X234" s="71" t="str" cm="1">
        <f t="array" ref="X234">IFERROR(INDEX(Products[[ProdCode]:[Product]],_xlfn.XMATCH(INDEX(Products[[Product]:[Parent]],_xlfn.XMATCH(Products[[#This Row],[L4N]],Products[Product],0),2),Products[ProdCode],0),2),Products[[#This Row],[L4N]])</f>
        <v>Energy</v>
      </c>
      <c r="Y234" s="71" t="str" cm="1">
        <f t="array" ref="Y234">IFERROR(INDEX(Products[[ProdCode]:[Product]],_xlfn.XMATCH(INDEX(Products[[Product]:[Parent]],_xlfn.XMATCH(Products[[#This Row],[L5N]],Products[Product],0),2),Products[ProdCode],0),2),Products[[#This Row],[L5N]])</f>
        <v>Energy</v>
      </c>
      <c r="Z234" s="71" t="str" cm="1">
        <f t="array" ref="Z234">IFERROR(INDEX(Products[[ProdCode]:[Product]],_xlfn.XMATCH(INDEX(Products[[Product]:[Parent]],_xlfn.XMATCH(Products[[#This Row],[L6N]],Products[Product],0),2),Products[ProdCode],0),2),Products[[#This Row],[L6N]])</f>
        <v>Energy</v>
      </c>
      <c r="AA234" s="71" t="str" cm="1">
        <f t="array" ref="AA234">IFERROR(INDEX(Products[[ProdCode]:[Product]],_xlfn.XMATCH(INDEX(Products[[Product]:[Parent]],_xlfn.XMATCH(Products[[#This Row],[L7N]],Products[Product],0),2),Products[ProdCode],0),2),Products[[#This Row],[L7N]])</f>
        <v>Energy</v>
      </c>
      <c r="AB23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non-bio renewable solid fuels</v>
      </c>
      <c r="AG23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non-bio renewable solid fuels</v>
      </c>
      <c r="AH23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non-bio renewable solid fuels</v>
      </c>
      <c r="AI23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non-bio renewable solid fuels</v>
      </c>
    </row>
    <row r="235" spans="2:35" x14ac:dyDescent="0.45">
      <c r="B235" s="105">
        <v>272000</v>
      </c>
      <c r="C235" s="79" t="s">
        <v>1139</v>
      </c>
      <c r="D235" s="105">
        <v>270000</v>
      </c>
      <c r="E235" s="93" t="s">
        <v>1149</v>
      </c>
      <c r="F235" s="19" t="s">
        <v>1189</v>
      </c>
      <c r="G235" s="82" t="s">
        <v>54</v>
      </c>
      <c r="H235" s="82" t="s">
        <v>65</v>
      </c>
      <c r="I235" s="82"/>
      <c r="J235" s="82"/>
      <c r="K235" s="82" t="s">
        <v>1662</v>
      </c>
      <c r="L235" s="82"/>
      <c r="M235" s="82"/>
      <c r="N235" s="119"/>
      <c r="O235" s="119"/>
      <c r="P235" s="82"/>
      <c r="Q235" s="82"/>
      <c r="R235" s="82"/>
      <c r="S235" s="82"/>
      <c r="T235" s="71" t="str" cm="1">
        <f t="array" ref="T235">IFERROR(INDEX(Products[[ProdCode]:[Product]],_xlfn.XMATCH(Products[[#This Row],[Parent]],Products[Product],0),2),Products[[#This Row],[Product]])</f>
        <v>Non-bio renewable liquid fuels</v>
      </c>
      <c r="U235" s="71" t="str" cm="1">
        <f t="array" ref="U235">IFERROR(INDEX(Products[[ProdCode]:[Product]],_xlfn.XMATCH(INDEX(Products[[Product]:[Parent]],_xlfn.XMATCH(Products[[#This Row],[L1N]],Products[Product],0),2),Products[ProdCode],0),2),Products[[#This Row],[L1N]])</f>
        <v>Non-bio renewable fuels</v>
      </c>
      <c r="V235" s="71" t="str" cm="1">
        <f t="array" ref="V235">IFERROR(INDEX(Products[[ProdCode]:[Product]],_xlfn.XMATCH(INDEX(Products[[Product]:[Parent]],_xlfn.XMATCH(Products[[#This Row],[L2N]],Products[Product],0),2),Products[ProdCode],0),2),Products[[#This Row],[L2N]])</f>
        <v>Renewable Energy</v>
      </c>
      <c r="W235" s="71" t="str" cm="1">
        <f t="array" ref="W235">IFERROR(INDEX(Products[[ProdCode]:[Product]],_xlfn.XMATCH(INDEX(Products[[Product]:[Parent]],_xlfn.XMATCH(Products[[#This Row],[L3N]],Products[Product],0),2),Products[ProdCode],0),2),Products[[#This Row],[L3N]])</f>
        <v>Energy</v>
      </c>
      <c r="X235" s="71" t="str" cm="1">
        <f t="array" ref="X235">IFERROR(INDEX(Products[[ProdCode]:[Product]],_xlfn.XMATCH(INDEX(Products[[Product]:[Parent]],_xlfn.XMATCH(Products[[#This Row],[L4N]],Products[Product],0),2),Products[ProdCode],0),2),Products[[#This Row],[L4N]])</f>
        <v>Energy</v>
      </c>
      <c r="Y235" s="71" t="str" cm="1">
        <f t="array" ref="Y235">IFERROR(INDEX(Products[[ProdCode]:[Product]],_xlfn.XMATCH(INDEX(Products[[Product]:[Parent]],_xlfn.XMATCH(Products[[#This Row],[L5N]],Products[Product],0),2),Products[ProdCode],0),2),Products[[#This Row],[L5N]])</f>
        <v>Energy</v>
      </c>
      <c r="Z235" s="71" t="str" cm="1">
        <f t="array" ref="Z235">IFERROR(INDEX(Products[[ProdCode]:[Product]],_xlfn.XMATCH(INDEX(Products[[Product]:[Parent]],_xlfn.XMATCH(Products[[#This Row],[L6N]],Products[Product],0),2),Products[ProdCode],0),2),Products[[#This Row],[L6N]])</f>
        <v>Energy</v>
      </c>
      <c r="AA235" s="71" t="str" cm="1">
        <f t="array" ref="AA235">IFERROR(INDEX(Products[[ProdCode]:[Product]],_xlfn.XMATCH(INDEX(Products[[Product]:[Parent]],_xlfn.XMATCH(Products[[#This Row],[L7N]],Products[Product],0),2),Products[ProdCode],0),2),Products[[#This Row],[L7N]])</f>
        <v>Energy</v>
      </c>
      <c r="AB23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liquid fuels</v>
      </c>
      <c r="AG23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liquid fuels</v>
      </c>
      <c r="AH23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liquid fuels</v>
      </c>
      <c r="AI23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liquid fuels</v>
      </c>
    </row>
    <row r="236" spans="2:35" x14ac:dyDescent="0.45">
      <c r="B236" s="106">
        <v>272100</v>
      </c>
      <c r="C236" s="85" t="s">
        <v>1184</v>
      </c>
      <c r="D236" s="106">
        <v>272000</v>
      </c>
      <c r="E236" s="93" t="s">
        <v>1149</v>
      </c>
      <c r="F236" s="19" t="s">
        <v>1189</v>
      </c>
      <c r="G236" s="82" t="s">
        <v>53</v>
      </c>
      <c r="H236" s="82" t="s">
        <v>83</v>
      </c>
      <c r="I236" s="82"/>
      <c r="J236" s="82"/>
      <c r="K236" s="82" t="s">
        <v>1663</v>
      </c>
      <c r="L236" s="82"/>
      <c r="M236" s="82"/>
      <c r="N236" s="119"/>
      <c r="O236" s="119"/>
      <c r="P236" s="82" t="s">
        <v>1537</v>
      </c>
      <c r="Q236" s="82"/>
      <c r="R236" s="82"/>
      <c r="S236" s="82"/>
      <c r="T236" s="71" t="str" cm="1">
        <f t="array" ref="T236">IFERROR(INDEX(Products[[ProdCode]:[Product]],_xlfn.XMATCH(Products[[#This Row],[Parent]],Products[Product],0),2),Products[[#This Row],[Product]])</f>
        <v>Non-bio renewable gasolines</v>
      </c>
      <c r="U236" s="71" t="str" cm="1">
        <f t="array" ref="U236">IFERROR(INDEX(Products[[ProdCode]:[Product]],_xlfn.XMATCH(INDEX(Products[[Product]:[Parent]],_xlfn.XMATCH(Products[[#This Row],[L1N]],Products[Product],0),2),Products[ProdCode],0),2),Products[[#This Row],[L1N]])</f>
        <v>Non-bio renewable liquid fuels</v>
      </c>
      <c r="V236" s="71" t="str" cm="1">
        <f t="array" ref="V236">IFERROR(INDEX(Products[[ProdCode]:[Product]],_xlfn.XMATCH(INDEX(Products[[Product]:[Parent]],_xlfn.XMATCH(Products[[#This Row],[L2N]],Products[Product],0),2),Products[ProdCode],0),2),Products[[#This Row],[L2N]])</f>
        <v>Non-bio renewable fuels</v>
      </c>
      <c r="W236" s="71" t="str" cm="1">
        <f t="array" ref="W236">IFERROR(INDEX(Products[[ProdCode]:[Product]],_xlfn.XMATCH(INDEX(Products[[Product]:[Parent]],_xlfn.XMATCH(Products[[#This Row],[L3N]],Products[Product],0),2),Products[ProdCode],0),2),Products[[#This Row],[L3N]])</f>
        <v>Renewable Energy</v>
      </c>
      <c r="X236" s="71" t="str" cm="1">
        <f t="array" ref="X236">IFERROR(INDEX(Products[[ProdCode]:[Product]],_xlfn.XMATCH(INDEX(Products[[Product]:[Parent]],_xlfn.XMATCH(Products[[#This Row],[L4N]],Products[Product],0),2),Products[ProdCode],0),2),Products[[#This Row],[L4N]])</f>
        <v>Energy</v>
      </c>
      <c r="Y236" s="71" t="str" cm="1">
        <f t="array" ref="Y236">IFERROR(INDEX(Products[[ProdCode]:[Product]],_xlfn.XMATCH(INDEX(Products[[Product]:[Parent]],_xlfn.XMATCH(Products[[#This Row],[L5N]],Products[Product],0),2),Products[ProdCode],0),2),Products[[#This Row],[L5N]])</f>
        <v>Energy</v>
      </c>
      <c r="Z236" s="71" t="str" cm="1">
        <f t="array" ref="Z236">IFERROR(INDEX(Products[[ProdCode]:[Product]],_xlfn.XMATCH(INDEX(Products[[Product]:[Parent]],_xlfn.XMATCH(Products[[#This Row],[L6N]],Products[Product],0),2),Products[ProdCode],0),2),Products[[#This Row],[L6N]])</f>
        <v>Energy</v>
      </c>
      <c r="AA236" s="71" t="str" cm="1">
        <f t="array" ref="AA236">IFERROR(INDEX(Products[[ProdCode]:[Product]],_xlfn.XMATCH(INDEX(Products[[Product]:[Parent]],_xlfn.XMATCH(Products[[#This Row],[L7N]],Products[Product],0),2),Products[ProdCode],0),2),Products[[#This Row],[L7N]])</f>
        <v>Energy</v>
      </c>
      <c r="AB23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gasolines</v>
      </c>
      <c r="AG23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gasolines</v>
      </c>
      <c r="AH23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gasolines</v>
      </c>
      <c r="AI23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gasolines</v>
      </c>
    </row>
    <row r="237" spans="2:35" x14ac:dyDescent="0.45">
      <c r="B237" s="106">
        <v>272200</v>
      </c>
      <c r="C237" s="85" t="s">
        <v>1185</v>
      </c>
      <c r="D237" s="106">
        <v>272000</v>
      </c>
      <c r="E237" s="93" t="s">
        <v>1149</v>
      </c>
      <c r="F237" s="19" t="s">
        <v>1189</v>
      </c>
      <c r="G237" s="82" t="s">
        <v>53</v>
      </c>
      <c r="H237" s="82" t="s">
        <v>83</v>
      </c>
      <c r="I237" s="82"/>
      <c r="J237" s="82"/>
      <c r="K237" s="82" t="s">
        <v>1664</v>
      </c>
      <c r="L237" s="82"/>
      <c r="M237" s="82"/>
      <c r="N237" s="119"/>
      <c r="O237" s="119"/>
      <c r="P237" s="82" t="s">
        <v>1519</v>
      </c>
      <c r="Q237" s="82"/>
      <c r="R237" s="82"/>
      <c r="S237" s="82"/>
      <c r="T237" s="71" t="str" cm="1">
        <f t="array" ref="T237">IFERROR(INDEX(Products[[ProdCode]:[Product]],_xlfn.XMATCH(Products[[#This Row],[Parent]],Products[Product],0),2),Products[[#This Row],[Product]])</f>
        <v>Non-bio renewable diesels</v>
      </c>
      <c r="U237" s="71" t="str" cm="1">
        <f t="array" ref="U237">IFERROR(INDEX(Products[[ProdCode]:[Product]],_xlfn.XMATCH(INDEX(Products[[Product]:[Parent]],_xlfn.XMATCH(Products[[#This Row],[L1N]],Products[Product],0),2),Products[ProdCode],0),2),Products[[#This Row],[L1N]])</f>
        <v>Non-bio renewable liquid fuels</v>
      </c>
      <c r="V237" s="71" t="str" cm="1">
        <f t="array" ref="V237">IFERROR(INDEX(Products[[ProdCode]:[Product]],_xlfn.XMATCH(INDEX(Products[[Product]:[Parent]],_xlfn.XMATCH(Products[[#This Row],[L2N]],Products[Product],0),2),Products[ProdCode],0),2),Products[[#This Row],[L2N]])</f>
        <v>Non-bio renewable fuels</v>
      </c>
      <c r="W237" s="71" t="str" cm="1">
        <f t="array" ref="W237">IFERROR(INDEX(Products[[ProdCode]:[Product]],_xlfn.XMATCH(INDEX(Products[[Product]:[Parent]],_xlfn.XMATCH(Products[[#This Row],[L3N]],Products[Product],0),2),Products[ProdCode],0),2),Products[[#This Row],[L3N]])</f>
        <v>Renewable Energy</v>
      </c>
      <c r="X237" s="71" t="str" cm="1">
        <f t="array" ref="X237">IFERROR(INDEX(Products[[ProdCode]:[Product]],_xlfn.XMATCH(INDEX(Products[[Product]:[Parent]],_xlfn.XMATCH(Products[[#This Row],[L4N]],Products[Product],0),2),Products[ProdCode],0),2),Products[[#This Row],[L4N]])</f>
        <v>Energy</v>
      </c>
      <c r="Y237" s="71" t="str" cm="1">
        <f t="array" ref="Y237">IFERROR(INDEX(Products[[ProdCode]:[Product]],_xlfn.XMATCH(INDEX(Products[[Product]:[Parent]],_xlfn.XMATCH(Products[[#This Row],[L5N]],Products[Product],0),2),Products[ProdCode],0),2),Products[[#This Row],[L5N]])</f>
        <v>Energy</v>
      </c>
      <c r="Z237" s="71" t="str" cm="1">
        <f t="array" ref="Z237">IFERROR(INDEX(Products[[ProdCode]:[Product]],_xlfn.XMATCH(INDEX(Products[[Product]:[Parent]],_xlfn.XMATCH(Products[[#This Row],[L6N]],Products[Product],0),2),Products[ProdCode],0),2),Products[[#This Row],[L6N]])</f>
        <v>Energy</v>
      </c>
      <c r="AA237" s="71" t="str" cm="1">
        <f t="array" ref="AA237">IFERROR(INDEX(Products[[ProdCode]:[Product]],_xlfn.XMATCH(INDEX(Products[[Product]:[Parent]],_xlfn.XMATCH(Products[[#This Row],[L7N]],Products[Product],0),2),Products[ProdCode],0),2),Products[[#This Row],[L7N]])</f>
        <v>Energy</v>
      </c>
      <c r="AB23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diesels</v>
      </c>
      <c r="AG23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diesels</v>
      </c>
      <c r="AH23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diesels</v>
      </c>
      <c r="AI23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diesels</v>
      </c>
    </row>
    <row r="238" spans="2:35" x14ac:dyDescent="0.45">
      <c r="B238" s="106">
        <v>272300</v>
      </c>
      <c r="C238" s="85" t="s">
        <v>1186</v>
      </c>
      <c r="D238" s="106">
        <v>272000</v>
      </c>
      <c r="E238" s="93" t="s">
        <v>1149</v>
      </c>
      <c r="F238" s="19" t="s">
        <v>1189</v>
      </c>
      <c r="G238" s="82" t="s">
        <v>53</v>
      </c>
      <c r="H238" s="82" t="s">
        <v>83</v>
      </c>
      <c r="I238" s="82"/>
      <c r="J238" s="82"/>
      <c r="K238" s="82" t="s">
        <v>1665</v>
      </c>
      <c r="L238" s="82"/>
      <c r="M238" s="82"/>
      <c r="N238" s="119"/>
      <c r="O238" s="119"/>
      <c r="P238" s="82" t="s">
        <v>1841</v>
      </c>
      <c r="Q238" s="82"/>
      <c r="R238" s="82"/>
      <c r="S238" s="82"/>
      <c r="T238" s="71" t="str" cm="1">
        <f t="array" ref="T238">IFERROR(INDEX(Products[[ProdCode]:[Product]],_xlfn.XMATCH(Products[[#This Row],[Parent]],Products[Product],0),2),Products[[#This Row],[Product]])</f>
        <v>Non-bio renewable kerosenes</v>
      </c>
      <c r="U238" s="71" t="str" cm="1">
        <f t="array" ref="U238">IFERROR(INDEX(Products[[ProdCode]:[Product]],_xlfn.XMATCH(INDEX(Products[[Product]:[Parent]],_xlfn.XMATCH(Products[[#This Row],[L1N]],Products[Product],0),2),Products[ProdCode],0),2),Products[[#This Row],[L1N]])</f>
        <v>Non-bio renewable liquid fuels</v>
      </c>
      <c r="V238" s="71" t="str" cm="1">
        <f t="array" ref="V238">IFERROR(INDEX(Products[[ProdCode]:[Product]],_xlfn.XMATCH(INDEX(Products[[Product]:[Parent]],_xlfn.XMATCH(Products[[#This Row],[L2N]],Products[Product],0),2),Products[ProdCode],0),2),Products[[#This Row],[L2N]])</f>
        <v>Non-bio renewable fuels</v>
      </c>
      <c r="W238" s="71" t="str" cm="1">
        <f t="array" ref="W238">IFERROR(INDEX(Products[[ProdCode]:[Product]],_xlfn.XMATCH(INDEX(Products[[Product]:[Parent]],_xlfn.XMATCH(Products[[#This Row],[L3N]],Products[Product],0),2),Products[ProdCode],0),2),Products[[#This Row],[L3N]])</f>
        <v>Renewable Energy</v>
      </c>
      <c r="X238" s="71" t="str" cm="1">
        <f t="array" ref="X238">IFERROR(INDEX(Products[[ProdCode]:[Product]],_xlfn.XMATCH(INDEX(Products[[Product]:[Parent]],_xlfn.XMATCH(Products[[#This Row],[L4N]],Products[Product],0),2),Products[ProdCode],0),2),Products[[#This Row],[L4N]])</f>
        <v>Energy</v>
      </c>
      <c r="Y238" s="71" t="str" cm="1">
        <f t="array" ref="Y238">IFERROR(INDEX(Products[[ProdCode]:[Product]],_xlfn.XMATCH(INDEX(Products[[Product]:[Parent]],_xlfn.XMATCH(Products[[#This Row],[L5N]],Products[Product],0),2),Products[ProdCode],0),2),Products[[#This Row],[L5N]])</f>
        <v>Energy</v>
      </c>
      <c r="Z238" s="71" t="str" cm="1">
        <f t="array" ref="Z238">IFERROR(INDEX(Products[[ProdCode]:[Product]],_xlfn.XMATCH(INDEX(Products[[Product]:[Parent]],_xlfn.XMATCH(Products[[#This Row],[L6N]],Products[Product],0),2),Products[ProdCode],0),2),Products[[#This Row],[L6N]])</f>
        <v>Energy</v>
      </c>
      <c r="AA238" s="71" t="str" cm="1">
        <f t="array" ref="AA238">IFERROR(INDEX(Products[[ProdCode]:[Product]],_xlfn.XMATCH(INDEX(Products[[Product]:[Parent]],_xlfn.XMATCH(Products[[#This Row],[L7N]],Products[Product],0),2),Products[ProdCode],0),2),Products[[#This Row],[L7N]])</f>
        <v>Energy</v>
      </c>
      <c r="AB23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kerosenes</v>
      </c>
      <c r="AG23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kerosenes</v>
      </c>
      <c r="AH23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kerosenes</v>
      </c>
      <c r="AI23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kerosenes</v>
      </c>
    </row>
    <row r="239" spans="2:35" x14ac:dyDescent="0.45">
      <c r="B239" s="106">
        <v>272400</v>
      </c>
      <c r="C239" s="85" t="s">
        <v>1804</v>
      </c>
      <c r="D239" s="106">
        <v>272000</v>
      </c>
      <c r="E239" s="93" t="s">
        <v>1149</v>
      </c>
      <c r="F239" s="19" t="s">
        <v>1189</v>
      </c>
      <c r="G239" s="82" t="s">
        <v>53</v>
      </c>
      <c r="H239" s="82" t="s">
        <v>83</v>
      </c>
      <c r="I239" s="82"/>
      <c r="J239" s="82"/>
      <c r="K239" s="82" t="s">
        <v>1805</v>
      </c>
      <c r="L239" s="82"/>
      <c r="M239" s="82"/>
      <c r="N239" s="119"/>
      <c r="O239" s="119"/>
      <c r="P239" s="82" t="s">
        <v>1842</v>
      </c>
      <c r="Q239" s="82"/>
      <c r="R239" s="82"/>
      <c r="S239" s="82"/>
      <c r="T239" s="71" t="str" cm="1">
        <f t="array" ref="T239">IFERROR(INDEX(Products[[ProdCode]:[Product]],_xlfn.XMATCH(Products[[#This Row],[Parent]],Products[Product],0),2),Products[[#This Row],[Product]])</f>
        <v>Non-bio renewable methanol</v>
      </c>
      <c r="U239" s="71" t="str" cm="1">
        <f t="array" ref="U239">IFERROR(INDEX(Products[[ProdCode]:[Product]],_xlfn.XMATCH(INDEX(Products[[Product]:[Parent]],_xlfn.XMATCH(Products[[#This Row],[L1N]],Products[Product],0),2),Products[ProdCode],0),2),Products[[#This Row],[L1N]])</f>
        <v>Non-bio renewable liquid fuels</v>
      </c>
      <c r="V239" s="71" t="str" cm="1">
        <f t="array" ref="V239">IFERROR(INDEX(Products[[ProdCode]:[Product]],_xlfn.XMATCH(INDEX(Products[[Product]:[Parent]],_xlfn.XMATCH(Products[[#This Row],[L2N]],Products[Product],0),2),Products[ProdCode],0),2),Products[[#This Row],[L2N]])</f>
        <v>Non-bio renewable fuels</v>
      </c>
      <c r="W239" s="71" t="str" cm="1">
        <f t="array" ref="W239">IFERROR(INDEX(Products[[ProdCode]:[Product]],_xlfn.XMATCH(INDEX(Products[[Product]:[Parent]],_xlfn.XMATCH(Products[[#This Row],[L3N]],Products[Product],0),2),Products[ProdCode],0),2),Products[[#This Row],[L3N]])</f>
        <v>Renewable Energy</v>
      </c>
      <c r="X239" s="71" t="str" cm="1">
        <f t="array" ref="X239">IFERROR(INDEX(Products[[ProdCode]:[Product]],_xlfn.XMATCH(INDEX(Products[[Product]:[Parent]],_xlfn.XMATCH(Products[[#This Row],[L4N]],Products[Product],0),2),Products[ProdCode],0),2),Products[[#This Row],[L4N]])</f>
        <v>Energy</v>
      </c>
      <c r="Y239" s="71" t="str" cm="1">
        <f t="array" ref="Y239">IFERROR(INDEX(Products[[ProdCode]:[Product]],_xlfn.XMATCH(INDEX(Products[[Product]:[Parent]],_xlfn.XMATCH(Products[[#This Row],[L5N]],Products[Product],0),2),Products[ProdCode],0),2),Products[[#This Row],[L5N]])</f>
        <v>Energy</v>
      </c>
      <c r="Z239" s="71" t="str" cm="1">
        <f t="array" ref="Z239">IFERROR(INDEX(Products[[ProdCode]:[Product]],_xlfn.XMATCH(INDEX(Products[[Product]:[Parent]],_xlfn.XMATCH(Products[[#This Row],[L6N]],Products[Product],0),2),Products[ProdCode],0),2),Products[[#This Row],[L6N]])</f>
        <v>Energy</v>
      </c>
      <c r="AA239" s="71" t="str" cm="1">
        <f t="array" ref="AA239">IFERROR(INDEX(Products[[ProdCode]:[Product]],_xlfn.XMATCH(INDEX(Products[[Product]:[Parent]],_xlfn.XMATCH(Products[[#This Row],[L7N]],Products[Product],0),2),Products[ProdCode],0),2),Products[[#This Row],[L7N]])</f>
        <v>Energy</v>
      </c>
      <c r="AB23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3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3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3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3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methanol</v>
      </c>
      <c r="AG23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methanol</v>
      </c>
      <c r="AH23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methanol</v>
      </c>
      <c r="AI23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methanol</v>
      </c>
    </row>
    <row r="240" spans="2:35" x14ac:dyDescent="0.45">
      <c r="B240" s="106">
        <v>272900</v>
      </c>
      <c r="C240" s="85" t="s">
        <v>1173</v>
      </c>
      <c r="D240" s="106">
        <v>272000</v>
      </c>
      <c r="E240" s="93" t="s">
        <v>1149</v>
      </c>
      <c r="F240" s="19" t="s">
        <v>1189</v>
      </c>
      <c r="G240" s="82" t="s">
        <v>53</v>
      </c>
      <c r="H240" s="82" t="s">
        <v>83</v>
      </c>
      <c r="I240" s="82"/>
      <c r="J240" s="82"/>
      <c r="K240" s="82" t="s">
        <v>1666</v>
      </c>
      <c r="L240" s="82"/>
      <c r="M240" s="82"/>
      <c r="N240" s="119"/>
      <c r="O240" s="119"/>
      <c r="P240" s="82"/>
      <c r="Q240" s="82"/>
      <c r="R240" s="82"/>
      <c r="S240" s="82"/>
      <c r="T240" s="71" t="str" cm="1">
        <f t="array" ref="T240">IFERROR(INDEX(Products[[ProdCode]:[Product]],_xlfn.XMATCH(Products[[#This Row],[Parent]],Products[Product],0),2),Products[[#This Row],[Product]])</f>
        <v>Other non-bio renewable liquid fuels</v>
      </c>
      <c r="U240" s="71" t="str" cm="1">
        <f t="array" ref="U240">IFERROR(INDEX(Products[[ProdCode]:[Product]],_xlfn.XMATCH(INDEX(Products[[Product]:[Parent]],_xlfn.XMATCH(Products[[#This Row],[L1N]],Products[Product],0),2),Products[ProdCode],0),2),Products[[#This Row],[L1N]])</f>
        <v>Non-bio renewable liquid fuels</v>
      </c>
      <c r="V240" s="71" t="str" cm="1">
        <f t="array" ref="V240">IFERROR(INDEX(Products[[ProdCode]:[Product]],_xlfn.XMATCH(INDEX(Products[[Product]:[Parent]],_xlfn.XMATCH(Products[[#This Row],[L2N]],Products[Product],0),2),Products[ProdCode],0),2),Products[[#This Row],[L2N]])</f>
        <v>Non-bio renewable fuels</v>
      </c>
      <c r="W240" s="71" t="str" cm="1">
        <f t="array" ref="W240">IFERROR(INDEX(Products[[ProdCode]:[Product]],_xlfn.XMATCH(INDEX(Products[[Product]:[Parent]],_xlfn.XMATCH(Products[[#This Row],[L3N]],Products[Product],0),2),Products[ProdCode],0),2),Products[[#This Row],[L3N]])</f>
        <v>Renewable Energy</v>
      </c>
      <c r="X240" s="71" t="str" cm="1">
        <f t="array" ref="X240">IFERROR(INDEX(Products[[ProdCode]:[Product]],_xlfn.XMATCH(INDEX(Products[[Product]:[Parent]],_xlfn.XMATCH(Products[[#This Row],[L4N]],Products[Product],0),2),Products[ProdCode],0),2),Products[[#This Row],[L4N]])</f>
        <v>Energy</v>
      </c>
      <c r="Y240" s="71" t="str" cm="1">
        <f t="array" ref="Y240">IFERROR(INDEX(Products[[ProdCode]:[Product]],_xlfn.XMATCH(INDEX(Products[[Product]:[Parent]],_xlfn.XMATCH(Products[[#This Row],[L5N]],Products[Product],0),2),Products[ProdCode],0),2),Products[[#This Row],[L5N]])</f>
        <v>Energy</v>
      </c>
      <c r="Z240" s="71" t="str" cm="1">
        <f t="array" ref="Z240">IFERROR(INDEX(Products[[ProdCode]:[Product]],_xlfn.XMATCH(INDEX(Products[[Product]:[Parent]],_xlfn.XMATCH(Products[[#This Row],[L6N]],Products[Product],0),2),Products[ProdCode],0),2),Products[[#This Row],[L6N]])</f>
        <v>Energy</v>
      </c>
      <c r="AA240" s="71" t="str" cm="1">
        <f t="array" ref="AA240">IFERROR(INDEX(Products[[ProdCode]:[Product]],_xlfn.XMATCH(INDEX(Products[[Product]:[Parent]],_xlfn.XMATCH(Products[[#This Row],[L7N]],Products[Product],0),2),Products[ProdCode],0),2),Products[[#This Row],[L7N]])</f>
        <v>Energy</v>
      </c>
      <c r="AB24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liquid fuels</v>
      </c>
      <c r="AF24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non-bio renewable liquid fuels</v>
      </c>
      <c r="AG24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non-bio renewable liquid fuels</v>
      </c>
      <c r="AH24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non-bio renewable liquid fuels</v>
      </c>
      <c r="AI24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non-bio renewable liquid fuels</v>
      </c>
    </row>
    <row r="241" spans="2:35" x14ac:dyDescent="0.45">
      <c r="B241" s="105">
        <v>273000</v>
      </c>
      <c r="C241" s="79" t="s">
        <v>1140</v>
      </c>
      <c r="D241" s="105">
        <v>270000</v>
      </c>
      <c r="E241" s="93" t="s">
        <v>1149</v>
      </c>
      <c r="F241" s="19" t="s">
        <v>1189</v>
      </c>
      <c r="G241" s="82" t="s">
        <v>54</v>
      </c>
      <c r="H241" s="82" t="s">
        <v>65</v>
      </c>
      <c r="I241" s="82"/>
      <c r="J241" s="82"/>
      <c r="K241" s="82" t="s">
        <v>1667</v>
      </c>
      <c r="L241" s="82"/>
      <c r="M241" s="82"/>
      <c r="N241" s="119"/>
      <c r="O241" s="119"/>
      <c r="P241" s="82"/>
      <c r="Q241" s="82"/>
      <c r="R241" s="82"/>
      <c r="S241" s="82"/>
      <c r="T241" s="71" t="str" cm="1">
        <f t="array" ref="T241">IFERROR(INDEX(Products[[ProdCode]:[Product]],_xlfn.XMATCH(Products[[#This Row],[Parent]],Products[Product],0),2),Products[[#This Row],[Product]])</f>
        <v>Non-bio renewable gas fuels</v>
      </c>
      <c r="U241" s="71" t="str" cm="1">
        <f t="array" ref="U241">IFERROR(INDEX(Products[[ProdCode]:[Product]],_xlfn.XMATCH(INDEX(Products[[Product]:[Parent]],_xlfn.XMATCH(Products[[#This Row],[L1N]],Products[Product],0),2),Products[ProdCode],0),2),Products[[#This Row],[L1N]])</f>
        <v>Non-bio renewable fuels</v>
      </c>
      <c r="V241" s="71" t="str" cm="1">
        <f t="array" ref="V241">IFERROR(INDEX(Products[[ProdCode]:[Product]],_xlfn.XMATCH(INDEX(Products[[Product]:[Parent]],_xlfn.XMATCH(Products[[#This Row],[L2N]],Products[Product],0),2),Products[ProdCode],0),2),Products[[#This Row],[L2N]])</f>
        <v>Renewable Energy</v>
      </c>
      <c r="W241" s="71" t="str" cm="1">
        <f t="array" ref="W241">IFERROR(INDEX(Products[[ProdCode]:[Product]],_xlfn.XMATCH(INDEX(Products[[Product]:[Parent]],_xlfn.XMATCH(Products[[#This Row],[L3N]],Products[Product],0),2),Products[ProdCode],0),2),Products[[#This Row],[L3N]])</f>
        <v>Energy</v>
      </c>
      <c r="X241" s="71" t="str" cm="1">
        <f t="array" ref="X241">IFERROR(INDEX(Products[[ProdCode]:[Product]],_xlfn.XMATCH(INDEX(Products[[Product]:[Parent]],_xlfn.XMATCH(Products[[#This Row],[L4N]],Products[Product],0),2),Products[ProdCode],0),2),Products[[#This Row],[L4N]])</f>
        <v>Energy</v>
      </c>
      <c r="Y241" s="71" t="str" cm="1">
        <f t="array" ref="Y241">IFERROR(INDEX(Products[[ProdCode]:[Product]],_xlfn.XMATCH(INDEX(Products[[Product]:[Parent]],_xlfn.XMATCH(Products[[#This Row],[L5N]],Products[Product],0),2),Products[ProdCode],0),2),Products[[#This Row],[L5N]])</f>
        <v>Energy</v>
      </c>
      <c r="Z241" s="71" t="str" cm="1">
        <f t="array" ref="Z241">IFERROR(INDEX(Products[[ProdCode]:[Product]],_xlfn.XMATCH(INDEX(Products[[Product]:[Parent]],_xlfn.XMATCH(Products[[#This Row],[L6N]],Products[Product],0),2),Products[ProdCode],0),2),Products[[#This Row],[L6N]])</f>
        <v>Energy</v>
      </c>
      <c r="AA241" s="71" t="str" cm="1">
        <f t="array" ref="AA241">IFERROR(INDEX(Products[[ProdCode]:[Product]],_xlfn.XMATCH(INDEX(Products[[Product]:[Parent]],_xlfn.XMATCH(Products[[#This Row],[L7N]],Products[Product],0),2),Products[ProdCode],0),2),Products[[#This Row],[L7N]])</f>
        <v>Energy</v>
      </c>
      <c r="AB24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gas fuels</v>
      </c>
      <c r="AG24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gas fuels</v>
      </c>
      <c r="AH24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gas fuels</v>
      </c>
      <c r="AI24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gas fuels</v>
      </c>
    </row>
    <row r="242" spans="2:35" x14ac:dyDescent="0.45">
      <c r="B242" s="106">
        <v>273100</v>
      </c>
      <c r="C242" s="85" t="s">
        <v>996</v>
      </c>
      <c r="D242" s="106">
        <v>273000</v>
      </c>
      <c r="E242" s="93" t="s">
        <v>1149</v>
      </c>
      <c r="F242" s="19" t="s">
        <v>1189</v>
      </c>
      <c r="G242" s="82" t="s">
        <v>53</v>
      </c>
      <c r="H242" s="82" t="s">
        <v>83</v>
      </c>
      <c r="I242" s="82"/>
      <c r="J242" s="82"/>
      <c r="K242" s="82" t="s">
        <v>1668</v>
      </c>
      <c r="L242" s="82"/>
      <c r="M242" s="82"/>
      <c r="N242" s="119"/>
      <c r="O242" s="119"/>
      <c r="P242" s="82" t="s">
        <v>1310</v>
      </c>
      <c r="Q242" s="82"/>
      <c r="R242" s="82"/>
      <c r="S242" s="82"/>
      <c r="T242" s="71" t="str" cm="1">
        <f t="array" ref="T242">IFERROR(INDEX(Products[[ProdCode]:[Product]],_xlfn.XMATCH(Products[[#This Row],[Parent]],Products[Product],0),2),Products[[#This Row],[Product]])</f>
        <v>Renewable electrolytic hydrogen</v>
      </c>
      <c r="U242" s="71" t="str" cm="1">
        <f t="array" ref="U242">IFERROR(INDEX(Products[[ProdCode]:[Product]],_xlfn.XMATCH(INDEX(Products[[Product]:[Parent]],_xlfn.XMATCH(Products[[#This Row],[L1N]],Products[Product],0),2),Products[ProdCode],0),2),Products[[#This Row],[L1N]])</f>
        <v>Non-bio renewable gas fuels</v>
      </c>
      <c r="V242" s="71" t="str" cm="1">
        <f t="array" ref="V242">IFERROR(INDEX(Products[[ProdCode]:[Product]],_xlfn.XMATCH(INDEX(Products[[Product]:[Parent]],_xlfn.XMATCH(Products[[#This Row],[L2N]],Products[Product],0),2),Products[ProdCode],0),2),Products[[#This Row],[L2N]])</f>
        <v>Non-bio renewable fuels</v>
      </c>
      <c r="W242" s="71" t="str" cm="1">
        <f t="array" ref="W242">IFERROR(INDEX(Products[[ProdCode]:[Product]],_xlfn.XMATCH(INDEX(Products[[Product]:[Parent]],_xlfn.XMATCH(Products[[#This Row],[L3N]],Products[Product],0),2),Products[ProdCode],0),2),Products[[#This Row],[L3N]])</f>
        <v>Renewable Energy</v>
      </c>
      <c r="X242" s="71" t="str" cm="1">
        <f t="array" ref="X242">IFERROR(INDEX(Products[[ProdCode]:[Product]],_xlfn.XMATCH(INDEX(Products[[Product]:[Parent]],_xlfn.XMATCH(Products[[#This Row],[L4N]],Products[Product],0),2),Products[ProdCode],0),2),Products[[#This Row],[L4N]])</f>
        <v>Energy</v>
      </c>
      <c r="Y242" s="71" t="str" cm="1">
        <f t="array" ref="Y242">IFERROR(INDEX(Products[[ProdCode]:[Product]],_xlfn.XMATCH(INDEX(Products[[Product]:[Parent]],_xlfn.XMATCH(Products[[#This Row],[L5N]],Products[Product],0),2),Products[ProdCode],0),2),Products[[#This Row],[L5N]])</f>
        <v>Energy</v>
      </c>
      <c r="Z242" s="71" t="str" cm="1">
        <f t="array" ref="Z242">IFERROR(INDEX(Products[[ProdCode]:[Product]],_xlfn.XMATCH(INDEX(Products[[Product]:[Parent]],_xlfn.XMATCH(Products[[#This Row],[L6N]],Products[Product],0),2),Products[ProdCode],0),2),Products[[#This Row],[L6N]])</f>
        <v>Energy</v>
      </c>
      <c r="AA242" s="71" t="str" cm="1">
        <f t="array" ref="AA242">IFERROR(INDEX(Products[[ProdCode]:[Product]],_xlfn.XMATCH(INDEX(Products[[Product]:[Parent]],_xlfn.XMATCH(Products[[#This Row],[L7N]],Products[Product],0),2),Products[ProdCode],0),2),Products[[#This Row],[L7N]])</f>
        <v>Energy</v>
      </c>
      <c r="AB24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electrolytic hydrogen</v>
      </c>
      <c r="AG24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electrolytic hydrogen</v>
      </c>
      <c r="AH24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electrolytic hydrogen</v>
      </c>
      <c r="AI24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electrolytic hydrogen</v>
      </c>
    </row>
    <row r="243" spans="2:35" x14ac:dyDescent="0.45">
      <c r="B243" s="106">
        <v>273200</v>
      </c>
      <c r="C243" s="85" t="s">
        <v>1097</v>
      </c>
      <c r="D243" s="106">
        <v>273000</v>
      </c>
      <c r="E243" s="93" t="s">
        <v>1149</v>
      </c>
      <c r="F243" s="19" t="s">
        <v>1189</v>
      </c>
      <c r="G243" s="82" t="s">
        <v>53</v>
      </c>
      <c r="H243" s="82" t="s">
        <v>83</v>
      </c>
      <c r="I243" s="82"/>
      <c r="J243" s="82"/>
      <c r="K243" s="82" t="s">
        <v>1669</v>
      </c>
      <c r="L243" s="82"/>
      <c r="M243" s="82"/>
      <c r="N243" s="119"/>
      <c r="O243" s="119"/>
      <c r="P243" s="82" t="s">
        <v>1310</v>
      </c>
      <c r="Q243" s="82"/>
      <c r="R243" s="82"/>
      <c r="S243" s="82"/>
      <c r="T243" s="71" t="str" cm="1">
        <f t="array" ref="T243">IFERROR(INDEX(Products[[ProdCode]:[Product]],_xlfn.XMATCH(Products[[#This Row],[Parent]],Products[Product],0),2),Products[[#This Row],[Product]])</f>
        <v>Renewable photolytic hydrogen</v>
      </c>
      <c r="U243" s="71" t="str" cm="1">
        <f t="array" ref="U243">IFERROR(INDEX(Products[[ProdCode]:[Product]],_xlfn.XMATCH(INDEX(Products[[Product]:[Parent]],_xlfn.XMATCH(Products[[#This Row],[L1N]],Products[Product],0),2),Products[ProdCode],0),2),Products[[#This Row],[L1N]])</f>
        <v>Non-bio renewable gas fuels</v>
      </c>
      <c r="V243" s="71" t="str" cm="1">
        <f t="array" ref="V243">IFERROR(INDEX(Products[[ProdCode]:[Product]],_xlfn.XMATCH(INDEX(Products[[Product]:[Parent]],_xlfn.XMATCH(Products[[#This Row],[L2N]],Products[Product],0),2),Products[ProdCode],0),2),Products[[#This Row],[L2N]])</f>
        <v>Non-bio renewable fuels</v>
      </c>
      <c r="W243" s="71" t="str" cm="1">
        <f t="array" ref="W243">IFERROR(INDEX(Products[[ProdCode]:[Product]],_xlfn.XMATCH(INDEX(Products[[Product]:[Parent]],_xlfn.XMATCH(Products[[#This Row],[L3N]],Products[Product],0),2),Products[ProdCode],0),2),Products[[#This Row],[L3N]])</f>
        <v>Renewable Energy</v>
      </c>
      <c r="X243" s="71" t="str" cm="1">
        <f t="array" ref="X243">IFERROR(INDEX(Products[[ProdCode]:[Product]],_xlfn.XMATCH(INDEX(Products[[Product]:[Parent]],_xlfn.XMATCH(Products[[#This Row],[L4N]],Products[Product],0),2),Products[ProdCode],0),2),Products[[#This Row],[L4N]])</f>
        <v>Energy</v>
      </c>
      <c r="Y243" s="71" t="str" cm="1">
        <f t="array" ref="Y243">IFERROR(INDEX(Products[[ProdCode]:[Product]],_xlfn.XMATCH(INDEX(Products[[Product]:[Parent]],_xlfn.XMATCH(Products[[#This Row],[L5N]],Products[Product],0),2),Products[ProdCode],0),2),Products[[#This Row],[L5N]])</f>
        <v>Energy</v>
      </c>
      <c r="Z243" s="71" t="str" cm="1">
        <f t="array" ref="Z243">IFERROR(INDEX(Products[[ProdCode]:[Product]],_xlfn.XMATCH(INDEX(Products[[Product]:[Parent]],_xlfn.XMATCH(Products[[#This Row],[L6N]],Products[Product],0),2),Products[ProdCode],0),2),Products[[#This Row],[L6N]])</f>
        <v>Energy</v>
      </c>
      <c r="AA243" s="71" t="str" cm="1">
        <f t="array" ref="AA243">IFERROR(INDEX(Products[[ProdCode]:[Product]],_xlfn.XMATCH(INDEX(Products[[Product]:[Parent]],_xlfn.XMATCH(Products[[#This Row],[L7N]],Products[Product],0),2),Products[ProdCode],0),2),Products[[#This Row],[L7N]])</f>
        <v>Energy</v>
      </c>
      <c r="AB24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photolytic hydrogen</v>
      </c>
      <c r="AG24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photolytic hydrogen</v>
      </c>
      <c r="AH24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photolytic hydrogen</v>
      </c>
      <c r="AI24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photolytic hydrogen</v>
      </c>
    </row>
    <row r="244" spans="2:35" x14ac:dyDescent="0.45">
      <c r="B244" s="106">
        <v>273300</v>
      </c>
      <c r="C244" s="85" t="s">
        <v>997</v>
      </c>
      <c r="D244" s="106">
        <v>273000</v>
      </c>
      <c r="E244" s="93" t="s">
        <v>1149</v>
      </c>
      <c r="F244" s="19" t="s">
        <v>1189</v>
      </c>
      <c r="G244" s="82" t="s">
        <v>53</v>
      </c>
      <c r="H244" s="82" t="s">
        <v>83</v>
      </c>
      <c r="I244" s="82"/>
      <c r="J244" s="82"/>
      <c r="K244" s="82" t="s">
        <v>1670</v>
      </c>
      <c r="L244" s="82"/>
      <c r="M244" s="82"/>
      <c r="N244" s="119"/>
      <c r="O244" s="119"/>
      <c r="P244" s="82" t="s">
        <v>1310</v>
      </c>
      <c r="Q244" s="82"/>
      <c r="R244" s="82"/>
      <c r="S244" s="82"/>
      <c r="T244" s="71" t="str" cm="1">
        <f t="array" ref="T244">IFERROR(INDEX(Products[[ProdCode]:[Product]],_xlfn.XMATCH(Products[[#This Row],[Parent]],Products[Product],0),2),Products[[#This Row],[Product]])</f>
        <v>Renewable thermolytic hydrogen</v>
      </c>
      <c r="U244" s="71" t="str" cm="1">
        <f t="array" ref="U244">IFERROR(INDEX(Products[[ProdCode]:[Product]],_xlfn.XMATCH(INDEX(Products[[Product]:[Parent]],_xlfn.XMATCH(Products[[#This Row],[L1N]],Products[Product],0),2),Products[ProdCode],0),2),Products[[#This Row],[L1N]])</f>
        <v>Non-bio renewable gas fuels</v>
      </c>
      <c r="V244" s="71" t="str" cm="1">
        <f t="array" ref="V244">IFERROR(INDEX(Products[[ProdCode]:[Product]],_xlfn.XMATCH(INDEX(Products[[Product]:[Parent]],_xlfn.XMATCH(Products[[#This Row],[L2N]],Products[Product],0),2),Products[ProdCode],0),2),Products[[#This Row],[L2N]])</f>
        <v>Non-bio renewable fuels</v>
      </c>
      <c r="W244" s="71" t="str" cm="1">
        <f t="array" ref="W244">IFERROR(INDEX(Products[[ProdCode]:[Product]],_xlfn.XMATCH(INDEX(Products[[Product]:[Parent]],_xlfn.XMATCH(Products[[#This Row],[L3N]],Products[Product],0),2),Products[ProdCode],0),2),Products[[#This Row],[L3N]])</f>
        <v>Renewable Energy</v>
      </c>
      <c r="X244" s="71" t="str" cm="1">
        <f t="array" ref="X244">IFERROR(INDEX(Products[[ProdCode]:[Product]],_xlfn.XMATCH(INDEX(Products[[Product]:[Parent]],_xlfn.XMATCH(Products[[#This Row],[L4N]],Products[Product],0),2),Products[ProdCode],0),2),Products[[#This Row],[L4N]])</f>
        <v>Energy</v>
      </c>
      <c r="Y244" s="71" t="str" cm="1">
        <f t="array" ref="Y244">IFERROR(INDEX(Products[[ProdCode]:[Product]],_xlfn.XMATCH(INDEX(Products[[Product]:[Parent]],_xlfn.XMATCH(Products[[#This Row],[L5N]],Products[Product],0),2),Products[ProdCode],0),2),Products[[#This Row],[L5N]])</f>
        <v>Energy</v>
      </c>
      <c r="Z244" s="71" t="str" cm="1">
        <f t="array" ref="Z244">IFERROR(INDEX(Products[[ProdCode]:[Product]],_xlfn.XMATCH(INDEX(Products[[Product]:[Parent]],_xlfn.XMATCH(Products[[#This Row],[L6N]],Products[Product],0),2),Products[ProdCode],0),2),Products[[#This Row],[L6N]])</f>
        <v>Energy</v>
      </c>
      <c r="AA244" s="71" t="str" cm="1">
        <f t="array" ref="AA244">IFERROR(INDEX(Products[[ProdCode]:[Product]],_xlfn.XMATCH(INDEX(Products[[Product]:[Parent]],_xlfn.XMATCH(Products[[#This Row],[L7N]],Products[Product],0),2),Products[ProdCode],0),2),Products[[#This Row],[L7N]])</f>
        <v>Energy</v>
      </c>
      <c r="AB24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thermolytic hydrogen</v>
      </c>
      <c r="AG24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thermolytic hydrogen</v>
      </c>
      <c r="AH24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thermolytic hydrogen</v>
      </c>
      <c r="AI24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thermolytic hydrogen</v>
      </c>
    </row>
    <row r="245" spans="2:35" ht="14.25" customHeight="1" x14ac:dyDescent="0.45">
      <c r="B245" s="106">
        <v>273400</v>
      </c>
      <c r="C245" s="85" t="s">
        <v>1141</v>
      </c>
      <c r="D245" s="106">
        <v>273000</v>
      </c>
      <c r="E245" s="93" t="s">
        <v>1149</v>
      </c>
      <c r="F245" s="19" t="s">
        <v>1189</v>
      </c>
      <c r="G245" s="82" t="s">
        <v>53</v>
      </c>
      <c r="H245" s="82" t="s">
        <v>83</v>
      </c>
      <c r="I245" s="82"/>
      <c r="J245" s="82"/>
      <c r="K245" s="82" t="s">
        <v>1671</v>
      </c>
      <c r="L245" s="82"/>
      <c r="M245" s="82"/>
      <c r="N245" s="119"/>
      <c r="O245" s="119"/>
      <c r="P245" s="82" t="s">
        <v>1229</v>
      </c>
      <c r="Q245" s="82"/>
      <c r="R245" s="82"/>
      <c r="S245" s="82"/>
      <c r="T245" s="71" t="str" cm="1">
        <f t="array" ref="T245">IFERROR(INDEX(Products[[ProdCode]:[Product]],_xlfn.XMATCH(Products[[#This Row],[Parent]],Products[Product],0),2),Products[[#This Row],[Product]])</f>
        <v>Non-bio renewable ammonia</v>
      </c>
      <c r="U245" s="71" t="str" cm="1">
        <f t="array" ref="U245">IFERROR(INDEX(Products[[ProdCode]:[Product]],_xlfn.XMATCH(INDEX(Products[[Product]:[Parent]],_xlfn.XMATCH(Products[[#This Row],[L1N]],Products[Product],0),2),Products[ProdCode],0),2),Products[[#This Row],[L1N]])</f>
        <v>Non-bio renewable gas fuels</v>
      </c>
      <c r="V245" s="71" t="str" cm="1">
        <f t="array" ref="V245">IFERROR(INDEX(Products[[ProdCode]:[Product]],_xlfn.XMATCH(INDEX(Products[[Product]:[Parent]],_xlfn.XMATCH(Products[[#This Row],[L2N]],Products[Product],0),2),Products[ProdCode],0),2),Products[[#This Row],[L2N]])</f>
        <v>Non-bio renewable fuels</v>
      </c>
      <c r="W245" s="71" t="str" cm="1">
        <f t="array" ref="W245">IFERROR(INDEX(Products[[ProdCode]:[Product]],_xlfn.XMATCH(INDEX(Products[[Product]:[Parent]],_xlfn.XMATCH(Products[[#This Row],[L3N]],Products[Product],0),2),Products[ProdCode],0),2),Products[[#This Row],[L3N]])</f>
        <v>Renewable Energy</v>
      </c>
      <c r="X245" s="71" t="str" cm="1">
        <f t="array" ref="X245">IFERROR(INDEX(Products[[ProdCode]:[Product]],_xlfn.XMATCH(INDEX(Products[[Product]:[Parent]],_xlfn.XMATCH(Products[[#This Row],[L4N]],Products[Product],0),2),Products[ProdCode],0),2),Products[[#This Row],[L4N]])</f>
        <v>Energy</v>
      </c>
      <c r="Y245" s="71" t="str" cm="1">
        <f t="array" ref="Y245">IFERROR(INDEX(Products[[ProdCode]:[Product]],_xlfn.XMATCH(INDEX(Products[[Product]:[Parent]],_xlfn.XMATCH(Products[[#This Row],[L5N]],Products[Product],0),2),Products[ProdCode],0),2),Products[[#This Row],[L5N]])</f>
        <v>Energy</v>
      </c>
      <c r="Z245" s="71" t="str" cm="1">
        <f t="array" ref="Z245">IFERROR(INDEX(Products[[ProdCode]:[Product]],_xlfn.XMATCH(INDEX(Products[[Product]:[Parent]],_xlfn.XMATCH(Products[[#This Row],[L6N]],Products[Product],0),2),Products[ProdCode],0),2),Products[[#This Row],[L6N]])</f>
        <v>Energy</v>
      </c>
      <c r="AA245" s="71" t="str" cm="1">
        <f t="array" ref="AA245">IFERROR(INDEX(Products[[ProdCode]:[Product]],_xlfn.XMATCH(INDEX(Products[[Product]:[Parent]],_xlfn.XMATCH(Products[[#This Row],[L7N]],Products[Product],0),2),Products[ProdCode],0),2),Products[[#This Row],[L7N]])</f>
        <v>Energy</v>
      </c>
      <c r="AB24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ammonia</v>
      </c>
      <c r="AG24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ammonia</v>
      </c>
      <c r="AH24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ammonia</v>
      </c>
      <c r="AI24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ammonia</v>
      </c>
    </row>
    <row r="246" spans="2:35" x14ac:dyDescent="0.45">
      <c r="B246" s="106">
        <v>273500</v>
      </c>
      <c r="C246" s="85" t="s">
        <v>1174</v>
      </c>
      <c r="D246" s="106">
        <v>273000</v>
      </c>
      <c r="E246" s="93" t="s">
        <v>1149</v>
      </c>
      <c r="F246" s="19" t="s">
        <v>1189</v>
      </c>
      <c r="G246" s="82" t="s">
        <v>53</v>
      </c>
      <c r="H246" s="82" t="s">
        <v>83</v>
      </c>
      <c r="I246" s="82"/>
      <c r="J246" s="82"/>
      <c r="K246" s="82" t="s">
        <v>1672</v>
      </c>
      <c r="L246" s="82"/>
      <c r="M246" s="82"/>
      <c r="N246" s="119"/>
      <c r="O246" s="119"/>
      <c r="P246" s="82" t="s">
        <v>1226</v>
      </c>
      <c r="Q246" s="82"/>
      <c r="R246" s="82"/>
      <c r="S246" s="82"/>
      <c r="T246" s="71" t="str" cm="1">
        <f t="array" ref="T246">IFERROR(INDEX(Products[[ProdCode]:[Product]],_xlfn.XMATCH(Products[[#This Row],[Parent]],Products[Product],0),2),Products[[#This Row],[Product]])</f>
        <v>Non-bio renewable DME</v>
      </c>
      <c r="U246" s="71" t="str" cm="1">
        <f t="array" ref="U246">IFERROR(INDEX(Products[[ProdCode]:[Product]],_xlfn.XMATCH(INDEX(Products[[Product]:[Parent]],_xlfn.XMATCH(Products[[#This Row],[L1N]],Products[Product],0),2),Products[ProdCode],0),2),Products[[#This Row],[L1N]])</f>
        <v>Non-bio renewable gas fuels</v>
      </c>
      <c r="V246" s="71" t="str" cm="1">
        <f t="array" ref="V246">IFERROR(INDEX(Products[[ProdCode]:[Product]],_xlfn.XMATCH(INDEX(Products[[Product]:[Parent]],_xlfn.XMATCH(Products[[#This Row],[L2N]],Products[Product],0),2),Products[ProdCode],0),2),Products[[#This Row],[L2N]])</f>
        <v>Non-bio renewable fuels</v>
      </c>
      <c r="W246" s="71" t="str" cm="1">
        <f t="array" ref="W246">IFERROR(INDEX(Products[[ProdCode]:[Product]],_xlfn.XMATCH(INDEX(Products[[Product]:[Parent]],_xlfn.XMATCH(Products[[#This Row],[L3N]],Products[Product],0),2),Products[ProdCode],0),2),Products[[#This Row],[L3N]])</f>
        <v>Renewable Energy</v>
      </c>
      <c r="X246" s="71" t="str" cm="1">
        <f t="array" ref="X246">IFERROR(INDEX(Products[[ProdCode]:[Product]],_xlfn.XMATCH(INDEX(Products[[Product]:[Parent]],_xlfn.XMATCH(Products[[#This Row],[L4N]],Products[Product],0),2),Products[ProdCode],0),2),Products[[#This Row],[L4N]])</f>
        <v>Energy</v>
      </c>
      <c r="Y246" s="71" t="str" cm="1">
        <f t="array" ref="Y246">IFERROR(INDEX(Products[[ProdCode]:[Product]],_xlfn.XMATCH(INDEX(Products[[Product]:[Parent]],_xlfn.XMATCH(Products[[#This Row],[L5N]],Products[Product],0),2),Products[ProdCode],0),2),Products[[#This Row],[L5N]])</f>
        <v>Energy</v>
      </c>
      <c r="Z246" s="71" t="str" cm="1">
        <f t="array" ref="Z246">IFERROR(INDEX(Products[[ProdCode]:[Product]],_xlfn.XMATCH(INDEX(Products[[Product]:[Parent]],_xlfn.XMATCH(Products[[#This Row],[L6N]],Products[Product],0),2),Products[ProdCode],0),2),Products[[#This Row],[L6N]])</f>
        <v>Energy</v>
      </c>
      <c r="AA246" s="71" t="str" cm="1">
        <f t="array" ref="AA246">IFERROR(INDEX(Products[[ProdCode]:[Product]],_xlfn.XMATCH(INDEX(Products[[Product]:[Parent]],_xlfn.XMATCH(Products[[#This Row],[L7N]],Products[Product],0),2),Products[ProdCode],0),2),Products[[#This Row],[L7N]])</f>
        <v>Energy</v>
      </c>
      <c r="AB24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DME</v>
      </c>
      <c r="AG24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DME</v>
      </c>
      <c r="AH24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DME</v>
      </c>
      <c r="AI24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DME</v>
      </c>
    </row>
    <row r="247" spans="2:35" x14ac:dyDescent="0.45">
      <c r="B247" s="106">
        <v>273600</v>
      </c>
      <c r="C247" s="85" t="s">
        <v>1142</v>
      </c>
      <c r="D247" s="106">
        <v>273000</v>
      </c>
      <c r="E247" s="93" t="s">
        <v>1149</v>
      </c>
      <c r="F247" s="19" t="s">
        <v>1189</v>
      </c>
      <c r="G247" s="82" t="s">
        <v>53</v>
      </c>
      <c r="H247" s="82" t="s">
        <v>83</v>
      </c>
      <c r="I247" s="82"/>
      <c r="J247" s="82"/>
      <c r="K247" s="82" t="s">
        <v>1673</v>
      </c>
      <c r="L247" s="82"/>
      <c r="M247" s="82"/>
      <c r="N247" s="119"/>
      <c r="O247" s="119"/>
      <c r="P247" s="82" t="s">
        <v>1224</v>
      </c>
      <c r="Q247" s="82"/>
      <c r="R247" s="82"/>
      <c r="S247" s="82"/>
      <c r="T247" s="71" t="str" cm="1">
        <f t="array" ref="T247">IFERROR(INDEX(Products[[ProdCode]:[Product]],_xlfn.XMATCH(Products[[#This Row],[Parent]],Products[Product],0),2),Products[[#This Row],[Product]])</f>
        <v>Non-bio renewable methane</v>
      </c>
      <c r="U247" s="71" t="str" cm="1">
        <f t="array" ref="U247">IFERROR(INDEX(Products[[ProdCode]:[Product]],_xlfn.XMATCH(INDEX(Products[[Product]:[Parent]],_xlfn.XMATCH(Products[[#This Row],[L1N]],Products[Product],0),2),Products[ProdCode],0),2),Products[[#This Row],[L1N]])</f>
        <v>Non-bio renewable gas fuels</v>
      </c>
      <c r="V247" s="71" t="str" cm="1">
        <f t="array" ref="V247">IFERROR(INDEX(Products[[ProdCode]:[Product]],_xlfn.XMATCH(INDEX(Products[[Product]:[Parent]],_xlfn.XMATCH(Products[[#This Row],[L2N]],Products[Product],0),2),Products[ProdCode],0),2),Products[[#This Row],[L2N]])</f>
        <v>Non-bio renewable fuels</v>
      </c>
      <c r="W247" s="71" t="str" cm="1">
        <f t="array" ref="W247">IFERROR(INDEX(Products[[ProdCode]:[Product]],_xlfn.XMATCH(INDEX(Products[[Product]:[Parent]],_xlfn.XMATCH(Products[[#This Row],[L3N]],Products[Product],0),2),Products[ProdCode],0),2),Products[[#This Row],[L3N]])</f>
        <v>Renewable Energy</v>
      </c>
      <c r="X247" s="71" t="str" cm="1">
        <f t="array" ref="X247">IFERROR(INDEX(Products[[ProdCode]:[Product]],_xlfn.XMATCH(INDEX(Products[[Product]:[Parent]],_xlfn.XMATCH(Products[[#This Row],[L4N]],Products[Product],0),2),Products[ProdCode],0),2),Products[[#This Row],[L4N]])</f>
        <v>Energy</v>
      </c>
      <c r="Y247" s="71" t="str" cm="1">
        <f t="array" ref="Y247">IFERROR(INDEX(Products[[ProdCode]:[Product]],_xlfn.XMATCH(INDEX(Products[[Product]:[Parent]],_xlfn.XMATCH(Products[[#This Row],[L5N]],Products[Product],0),2),Products[ProdCode],0),2),Products[[#This Row],[L5N]])</f>
        <v>Energy</v>
      </c>
      <c r="Z247" s="71" t="str" cm="1">
        <f t="array" ref="Z247">IFERROR(INDEX(Products[[ProdCode]:[Product]],_xlfn.XMATCH(INDEX(Products[[Product]:[Parent]],_xlfn.XMATCH(Products[[#This Row],[L6N]],Products[Product],0),2),Products[ProdCode],0),2),Products[[#This Row],[L6N]])</f>
        <v>Energy</v>
      </c>
      <c r="AA247" s="71" t="str" cm="1">
        <f t="array" ref="AA247">IFERROR(INDEX(Products[[ProdCode]:[Product]],_xlfn.XMATCH(INDEX(Products[[Product]:[Parent]],_xlfn.XMATCH(Products[[#This Row],[L7N]],Products[Product],0),2),Products[ProdCode],0),2),Products[[#This Row],[L7N]])</f>
        <v>Energy</v>
      </c>
      <c r="AB24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Non-bio renewable methane</v>
      </c>
      <c r="AG24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Non-bio renewable methane</v>
      </c>
      <c r="AH24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Non-bio renewable methane</v>
      </c>
      <c r="AI24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Non-bio renewable methane</v>
      </c>
    </row>
    <row r="248" spans="2:35" x14ac:dyDescent="0.45">
      <c r="B248" s="106">
        <v>273900</v>
      </c>
      <c r="C248" s="85" t="s">
        <v>1175</v>
      </c>
      <c r="D248" s="106">
        <v>273000</v>
      </c>
      <c r="E248" s="93" t="s">
        <v>1149</v>
      </c>
      <c r="F248" s="19" t="s">
        <v>1189</v>
      </c>
      <c r="G248" s="82" t="s">
        <v>53</v>
      </c>
      <c r="H248" s="82" t="s">
        <v>83</v>
      </c>
      <c r="I248" s="82"/>
      <c r="J248" s="82"/>
      <c r="K248" s="82" t="s">
        <v>1108</v>
      </c>
      <c r="L248" s="82"/>
      <c r="M248" s="82"/>
      <c r="N248" s="119"/>
      <c r="O248" s="119"/>
      <c r="P248" s="82"/>
      <c r="Q248" s="82"/>
      <c r="R248" s="82"/>
      <c r="S248" s="82"/>
      <c r="T248" s="71" t="str" cm="1">
        <f t="array" ref="T248">IFERROR(INDEX(Products[[ProdCode]:[Product]],_xlfn.XMATCH(Products[[#This Row],[Parent]],Products[Product],0),2),Products[[#This Row],[Product]])</f>
        <v>Other non-bio renewable gas fuels</v>
      </c>
      <c r="U248" s="71" t="str" cm="1">
        <f t="array" ref="U248">IFERROR(INDEX(Products[[ProdCode]:[Product]],_xlfn.XMATCH(INDEX(Products[[Product]:[Parent]],_xlfn.XMATCH(Products[[#This Row],[L1N]],Products[Product],0),2),Products[ProdCode],0),2),Products[[#This Row],[L1N]])</f>
        <v>Non-bio renewable gas fuels</v>
      </c>
      <c r="V248" s="71" t="str" cm="1">
        <f t="array" ref="V248">IFERROR(INDEX(Products[[ProdCode]:[Product]],_xlfn.XMATCH(INDEX(Products[[Product]:[Parent]],_xlfn.XMATCH(Products[[#This Row],[L2N]],Products[Product],0),2),Products[ProdCode],0),2),Products[[#This Row],[L2N]])</f>
        <v>Non-bio renewable fuels</v>
      </c>
      <c r="W248" s="71" t="str" cm="1">
        <f t="array" ref="W248">IFERROR(INDEX(Products[[ProdCode]:[Product]],_xlfn.XMATCH(INDEX(Products[[Product]:[Parent]],_xlfn.XMATCH(Products[[#This Row],[L3N]],Products[Product],0),2),Products[ProdCode],0),2),Products[[#This Row],[L3N]])</f>
        <v>Renewable Energy</v>
      </c>
      <c r="X248" s="71" t="str" cm="1">
        <f t="array" ref="X248">IFERROR(INDEX(Products[[ProdCode]:[Product]],_xlfn.XMATCH(INDEX(Products[[Product]:[Parent]],_xlfn.XMATCH(Products[[#This Row],[L4N]],Products[Product],0),2),Products[ProdCode],0),2),Products[[#This Row],[L4N]])</f>
        <v>Energy</v>
      </c>
      <c r="Y248" s="71" t="str" cm="1">
        <f t="array" ref="Y248">IFERROR(INDEX(Products[[ProdCode]:[Product]],_xlfn.XMATCH(INDEX(Products[[Product]:[Parent]],_xlfn.XMATCH(Products[[#This Row],[L5N]],Products[Product],0),2),Products[ProdCode],0),2),Products[[#This Row],[L5N]])</f>
        <v>Energy</v>
      </c>
      <c r="Z248" s="71" t="str" cm="1">
        <f t="array" ref="Z248">IFERROR(INDEX(Products[[ProdCode]:[Product]],_xlfn.XMATCH(INDEX(Products[[Product]:[Parent]],_xlfn.XMATCH(Products[[#This Row],[L6N]],Products[Product],0),2),Products[ProdCode],0),2),Products[[#This Row],[L6N]])</f>
        <v>Energy</v>
      </c>
      <c r="AA248" s="71" t="str" cm="1">
        <f t="array" ref="AA248">IFERROR(INDEX(Products[[ProdCode]:[Product]],_xlfn.XMATCH(INDEX(Products[[Product]:[Parent]],_xlfn.XMATCH(Products[[#This Row],[L7N]],Products[Product],0),2),Products[ProdCode],0),2),Products[[#This Row],[L7N]])</f>
        <v>Energy</v>
      </c>
      <c r="AB24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Non-bio renewable fuels</v>
      </c>
      <c r="AE24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Non-bio renewable gas fuels</v>
      </c>
      <c r="AF24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non-bio renewable gas fuels</v>
      </c>
      <c r="AG24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non-bio renewable gas fuels</v>
      </c>
      <c r="AH24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non-bio renewable gas fuels</v>
      </c>
      <c r="AI24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non-bio renewable gas fuels</v>
      </c>
    </row>
    <row r="249" spans="2:35" x14ac:dyDescent="0.45">
      <c r="B249" s="104">
        <v>280000</v>
      </c>
      <c r="C249" s="76" t="s">
        <v>916</v>
      </c>
      <c r="D249" s="104">
        <v>200000</v>
      </c>
      <c r="E249" s="93" t="s">
        <v>1149</v>
      </c>
      <c r="F249" s="19" t="s">
        <v>1188</v>
      </c>
      <c r="G249" s="82" t="s">
        <v>55</v>
      </c>
      <c r="H249" s="82" t="s">
        <v>83</v>
      </c>
      <c r="I249" s="82"/>
      <c r="J249" s="82"/>
      <c r="K249" s="82" t="s">
        <v>1432</v>
      </c>
      <c r="L249" s="82"/>
      <c r="M249" s="82"/>
      <c r="N249" s="119"/>
      <c r="O249" s="119"/>
      <c r="P249" s="82"/>
      <c r="Q249" s="82"/>
      <c r="R249" s="82"/>
      <c r="S249" s="82"/>
      <c r="T249" s="71" t="str" cm="1">
        <f t="array" ref="T249">IFERROR(INDEX(Products[[ProdCode]:[Product]],_xlfn.XMATCH(Products[[#This Row],[Parent]],Products[Product],0),2),Products[[#This Row],[Product]])</f>
        <v>Multiple renewables</v>
      </c>
      <c r="U249" s="71" t="str" cm="1">
        <f t="array" ref="U249">IFERROR(INDEX(Products[[ProdCode]:[Product]],_xlfn.XMATCH(INDEX(Products[[Product]:[Parent]],_xlfn.XMATCH(Products[[#This Row],[L1N]],Products[Product],0),2),Products[ProdCode],0),2),Products[[#This Row],[L1N]])</f>
        <v>Renewable Energy</v>
      </c>
      <c r="V249" s="71" t="str" cm="1">
        <f t="array" ref="V249">IFERROR(INDEX(Products[[ProdCode]:[Product]],_xlfn.XMATCH(INDEX(Products[[Product]:[Parent]],_xlfn.XMATCH(Products[[#This Row],[L2N]],Products[Product],0),2),Products[ProdCode],0),2),Products[[#This Row],[L2N]])</f>
        <v>Energy</v>
      </c>
      <c r="W249" s="71" t="str" cm="1">
        <f t="array" ref="W249">IFERROR(INDEX(Products[[ProdCode]:[Product]],_xlfn.XMATCH(INDEX(Products[[Product]:[Parent]],_xlfn.XMATCH(Products[[#This Row],[L3N]],Products[Product],0),2),Products[ProdCode],0),2),Products[[#This Row],[L3N]])</f>
        <v>Energy</v>
      </c>
      <c r="X249" s="71" t="str" cm="1">
        <f t="array" ref="X249">IFERROR(INDEX(Products[[ProdCode]:[Product]],_xlfn.XMATCH(INDEX(Products[[Product]:[Parent]],_xlfn.XMATCH(Products[[#This Row],[L4N]],Products[Product],0),2),Products[ProdCode],0),2),Products[[#This Row],[L4N]])</f>
        <v>Energy</v>
      </c>
      <c r="Y249" s="71" t="str" cm="1">
        <f t="array" ref="Y249">IFERROR(INDEX(Products[[ProdCode]:[Product]],_xlfn.XMATCH(INDEX(Products[[Product]:[Parent]],_xlfn.XMATCH(Products[[#This Row],[L5N]],Products[Product],0),2),Products[ProdCode],0),2),Products[[#This Row],[L5N]])</f>
        <v>Energy</v>
      </c>
      <c r="Z249" s="71" t="str" cm="1">
        <f t="array" ref="Z249">IFERROR(INDEX(Products[[ProdCode]:[Product]],_xlfn.XMATCH(INDEX(Products[[Product]:[Parent]],_xlfn.XMATCH(Products[[#This Row],[L6N]],Products[Product],0),2),Products[ProdCode],0),2),Products[[#This Row],[L6N]])</f>
        <v>Energy</v>
      </c>
      <c r="AA249" s="71" t="str" cm="1">
        <f t="array" ref="AA249">IFERROR(INDEX(Products[[ProdCode]:[Product]],_xlfn.XMATCH(INDEX(Products[[Product]:[Parent]],_xlfn.XMATCH(Products[[#This Row],[L7N]],Products[Product],0),2),Products[ProdCode],0),2),Products[[#This Row],[L7N]])</f>
        <v>Energy</v>
      </c>
      <c r="AB24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4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4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Multiple renewables</v>
      </c>
      <c r="AE24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Multiple renewables</v>
      </c>
      <c r="AF24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Multiple renewables</v>
      </c>
      <c r="AG24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Multiple renewables</v>
      </c>
      <c r="AH24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Multiple renewables</v>
      </c>
      <c r="AI24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Multiple renewables</v>
      </c>
    </row>
    <row r="250" spans="2:35" x14ac:dyDescent="0.45">
      <c r="B250" s="104">
        <v>290000</v>
      </c>
      <c r="C250" s="76" t="s">
        <v>707</v>
      </c>
      <c r="D250" s="104">
        <v>200000</v>
      </c>
      <c r="E250" s="93" t="s">
        <v>1149</v>
      </c>
      <c r="F250" s="19" t="s">
        <v>1188</v>
      </c>
      <c r="G250" s="82" t="s">
        <v>55</v>
      </c>
      <c r="H250" s="82" t="s">
        <v>65</v>
      </c>
      <c r="I250" s="82"/>
      <c r="J250" s="82"/>
      <c r="K250" s="82" t="s">
        <v>1674</v>
      </c>
      <c r="L250" s="82"/>
      <c r="M250" s="82"/>
      <c r="N250" s="119"/>
      <c r="O250" s="119"/>
      <c r="P250" s="82"/>
      <c r="Q250" s="82"/>
      <c r="R250" s="82"/>
      <c r="S250" s="82"/>
      <c r="T250" s="71" t="str" cm="1">
        <f t="array" ref="T250">IFERROR(INDEX(Products[[ProdCode]:[Product]],_xlfn.XMATCH(Products[[#This Row],[Parent]],Products[Product],0),2),Products[[#This Row],[Product]])</f>
        <v>Other renewable energy</v>
      </c>
      <c r="U250" s="71" t="str" cm="1">
        <f t="array" ref="U250">IFERROR(INDEX(Products[[ProdCode]:[Product]],_xlfn.XMATCH(INDEX(Products[[Product]:[Parent]],_xlfn.XMATCH(Products[[#This Row],[L1N]],Products[Product],0),2),Products[ProdCode],0),2),Products[[#This Row],[L1N]])</f>
        <v>Renewable Energy</v>
      </c>
      <c r="V250" s="71" t="str" cm="1">
        <f t="array" ref="V250">IFERROR(INDEX(Products[[ProdCode]:[Product]],_xlfn.XMATCH(INDEX(Products[[Product]:[Parent]],_xlfn.XMATCH(Products[[#This Row],[L2N]],Products[Product],0),2),Products[ProdCode],0),2),Products[[#This Row],[L2N]])</f>
        <v>Energy</v>
      </c>
      <c r="W250" s="71" t="str" cm="1">
        <f t="array" ref="W250">IFERROR(INDEX(Products[[ProdCode]:[Product]],_xlfn.XMATCH(INDEX(Products[[Product]:[Parent]],_xlfn.XMATCH(Products[[#This Row],[L3N]],Products[Product],0),2),Products[ProdCode],0),2),Products[[#This Row],[L3N]])</f>
        <v>Energy</v>
      </c>
      <c r="X250" s="71" t="str" cm="1">
        <f t="array" ref="X250">IFERROR(INDEX(Products[[ProdCode]:[Product]],_xlfn.XMATCH(INDEX(Products[[Product]:[Parent]],_xlfn.XMATCH(Products[[#This Row],[L4N]],Products[Product],0),2),Products[ProdCode],0),2),Products[[#This Row],[L4N]])</f>
        <v>Energy</v>
      </c>
      <c r="Y250" s="71" t="str" cm="1">
        <f t="array" ref="Y250">IFERROR(INDEX(Products[[ProdCode]:[Product]],_xlfn.XMATCH(INDEX(Products[[Product]:[Parent]],_xlfn.XMATCH(Products[[#This Row],[L5N]],Products[Product],0),2),Products[ProdCode],0),2),Products[[#This Row],[L5N]])</f>
        <v>Energy</v>
      </c>
      <c r="Z250" s="71" t="str" cm="1">
        <f t="array" ref="Z250">IFERROR(INDEX(Products[[ProdCode]:[Product]],_xlfn.XMATCH(INDEX(Products[[Product]:[Parent]],_xlfn.XMATCH(Products[[#This Row],[L6N]],Products[Product],0),2),Products[ProdCode],0),2),Products[[#This Row],[L6N]])</f>
        <v>Energy</v>
      </c>
      <c r="AA250" s="71" t="str" cm="1">
        <f t="array" ref="AA250">IFERROR(INDEX(Products[[ProdCode]:[Product]],_xlfn.XMATCH(INDEX(Products[[Product]:[Parent]],_xlfn.XMATCH(Products[[#This Row],[L7N]],Products[Product],0),2),Products[ProdCode],0),2),Products[[#This Row],[L7N]])</f>
        <v>Energy</v>
      </c>
      <c r="AB25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5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renewable energy</v>
      </c>
      <c r="AE25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renewable energy</v>
      </c>
      <c r="AF25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renewable energy</v>
      </c>
      <c r="AG25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renewable energy</v>
      </c>
      <c r="AH25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renewable energy</v>
      </c>
      <c r="AI25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renewable energy</v>
      </c>
    </row>
    <row r="251" spans="2:35" x14ac:dyDescent="0.45">
      <c r="B251" s="105">
        <v>291000</v>
      </c>
      <c r="C251" s="79" t="s">
        <v>998</v>
      </c>
      <c r="D251" s="105">
        <v>290000</v>
      </c>
      <c r="E251" s="93" t="s">
        <v>1149</v>
      </c>
      <c r="F251" s="19" t="s">
        <v>1188</v>
      </c>
      <c r="G251" s="82" t="s">
        <v>54</v>
      </c>
      <c r="H251" s="82" t="s">
        <v>83</v>
      </c>
      <c r="I251" s="82"/>
      <c r="J251" s="82"/>
      <c r="K251" s="82" t="s">
        <v>1675</v>
      </c>
      <c r="L251" s="82"/>
      <c r="M251" s="82"/>
      <c r="N251" s="119"/>
      <c r="O251" s="119"/>
      <c r="P251" s="82"/>
      <c r="Q251" s="82"/>
      <c r="R251" s="82"/>
      <c r="S251" s="82"/>
      <c r="T251" s="71" t="str" cm="1">
        <f t="array" ref="T251">IFERROR(INDEX(Products[[ProdCode]:[Product]],_xlfn.XMATCH(Products[[#This Row],[Parent]],Products[Product],0),2),Products[[#This Row],[Product]])</f>
        <v>Air source heat pump</v>
      </c>
      <c r="U251" s="71" t="str" cm="1">
        <f t="array" ref="U251">IFERROR(INDEX(Products[[ProdCode]:[Product]],_xlfn.XMATCH(INDEX(Products[[Product]:[Parent]],_xlfn.XMATCH(Products[[#This Row],[L1N]],Products[Product],0),2),Products[ProdCode],0),2),Products[[#This Row],[L1N]])</f>
        <v>Other renewable energy</v>
      </c>
      <c r="V251" s="71" t="str" cm="1">
        <f t="array" ref="V251">IFERROR(INDEX(Products[[ProdCode]:[Product]],_xlfn.XMATCH(INDEX(Products[[Product]:[Parent]],_xlfn.XMATCH(Products[[#This Row],[L2N]],Products[Product],0),2),Products[ProdCode],0),2),Products[[#This Row],[L2N]])</f>
        <v>Renewable Energy</v>
      </c>
      <c r="W251" s="71" t="str" cm="1">
        <f t="array" ref="W251">IFERROR(INDEX(Products[[ProdCode]:[Product]],_xlfn.XMATCH(INDEX(Products[[Product]:[Parent]],_xlfn.XMATCH(Products[[#This Row],[L3N]],Products[Product],0),2),Products[ProdCode],0),2),Products[[#This Row],[L3N]])</f>
        <v>Energy</v>
      </c>
      <c r="X251" s="71" t="str" cm="1">
        <f t="array" ref="X251">IFERROR(INDEX(Products[[ProdCode]:[Product]],_xlfn.XMATCH(INDEX(Products[[Product]:[Parent]],_xlfn.XMATCH(Products[[#This Row],[L4N]],Products[Product],0),2),Products[ProdCode],0),2),Products[[#This Row],[L4N]])</f>
        <v>Energy</v>
      </c>
      <c r="Y251" s="71" t="str" cm="1">
        <f t="array" ref="Y251">IFERROR(INDEX(Products[[ProdCode]:[Product]],_xlfn.XMATCH(INDEX(Products[[Product]:[Parent]],_xlfn.XMATCH(Products[[#This Row],[L5N]],Products[Product],0),2),Products[ProdCode],0),2),Products[[#This Row],[L5N]])</f>
        <v>Energy</v>
      </c>
      <c r="Z251" s="71" t="str" cm="1">
        <f t="array" ref="Z251">IFERROR(INDEX(Products[[ProdCode]:[Product]],_xlfn.XMATCH(INDEX(Products[[Product]:[Parent]],_xlfn.XMATCH(Products[[#This Row],[L6N]],Products[Product],0),2),Products[ProdCode],0),2),Products[[#This Row],[L6N]])</f>
        <v>Energy</v>
      </c>
      <c r="AA251" s="71" t="str" cm="1">
        <f t="array" ref="AA251">IFERROR(INDEX(Products[[ProdCode]:[Product]],_xlfn.XMATCH(INDEX(Products[[Product]:[Parent]],_xlfn.XMATCH(Products[[#This Row],[L7N]],Products[Product],0),2),Products[ProdCode],0),2),Products[[#This Row],[L7N]])</f>
        <v>Energy</v>
      </c>
      <c r="AB25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5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renewable energy</v>
      </c>
      <c r="AE25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Air source heat pump</v>
      </c>
      <c r="AF25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Air source heat pump</v>
      </c>
      <c r="AG25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Air source heat pump</v>
      </c>
      <c r="AH25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Air source heat pump</v>
      </c>
      <c r="AI25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Air source heat pump</v>
      </c>
    </row>
    <row r="252" spans="2:35" x14ac:dyDescent="0.45">
      <c r="B252" s="105">
        <v>292000</v>
      </c>
      <c r="C252" s="79" t="s">
        <v>999</v>
      </c>
      <c r="D252" s="105">
        <v>290000</v>
      </c>
      <c r="E252" s="93" t="s">
        <v>1149</v>
      </c>
      <c r="F252" s="19" t="s">
        <v>1188</v>
      </c>
      <c r="G252" s="82" t="s">
        <v>54</v>
      </c>
      <c r="H252" s="82" t="s">
        <v>83</v>
      </c>
      <c r="I252" s="82"/>
      <c r="J252" s="82"/>
      <c r="K252" s="82" t="s">
        <v>1676</v>
      </c>
      <c r="L252" s="82"/>
      <c r="M252" s="82"/>
      <c r="N252" s="119"/>
      <c r="O252" s="119"/>
      <c r="P252" s="82"/>
      <c r="Q252" s="82"/>
      <c r="R252" s="82"/>
      <c r="S252" s="82"/>
      <c r="T252" s="71" t="str" cm="1">
        <f t="array" ref="T252">IFERROR(INDEX(Products[[ProdCode]:[Product]],_xlfn.XMATCH(Products[[#This Row],[Parent]],Products[Product],0),2),Products[[#This Row],[Product]])</f>
        <v>Water source heat pump</v>
      </c>
      <c r="U252" s="71" t="str" cm="1">
        <f t="array" ref="U252">IFERROR(INDEX(Products[[ProdCode]:[Product]],_xlfn.XMATCH(INDEX(Products[[Product]:[Parent]],_xlfn.XMATCH(Products[[#This Row],[L1N]],Products[Product],0),2),Products[ProdCode],0),2),Products[[#This Row],[L1N]])</f>
        <v>Other renewable energy</v>
      </c>
      <c r="V252" s="71" t="str" cm="1">
        <f t="array" ref="V252">IFERROR(INDEX(Products[[ProdCode]:[Product]],_xlfn.XMATCH(INDEX(Products[[Product]:[Parent]],_xlfn.XMATCH(Products[[#This Row],[L2N]],Products[Product],0),2),Products[ProdCode],0),2),Products[[#This Row],[L2N]])</f>
        <v>Renewable Energy</v>
      </c>
      <c r="W252" s="71" t="str" cm="1">
        <f t="array" ref="W252">IFERROR(INDEX(Products[[ProdCode]:[Product]],_xlfn.XMATCH(INDEX(Products[[Product]:[Parent]],_xlfn.XMATCH(Products[[#This Row],[L3N]],Products[Product],0),2),Products[ProdCode],0),2),Products[[#This Row],[L3N]])</f>
        <v>Energy</v>
      </c>
      <c r="X252" s="71" t="str" cm="1">
        <f t="array" ref="X252">IFERROR(INDEX(Products[[ProdCode]:[Product]],_xlfn.XMATCH(INDEX(Products[[Product]:[Parent]],_xlfn.XMATCH(Products[[#This Row],[L4N]],Products[Product],0),2),Products[ProdCode],0),2),Products[[#This Row],[L4N]])</f>
        <v>Energy</v>
      </c>
      <c r="Y252" s="71" t="str" cm="1">
        <f t="array" ref="Y252">IFERROR(INDEX(Products[[ProdCode]:[Product]],_xlfn.XMATCH(INDEX(Products[[Product]:[Parent]],_xlfn.XMATCH(Products[[#This Row],[L5N]],Products[Product],0),2),Products[ProdCode],0),2),Products[[#This Row],[L5N]])</f>
        <v>Energy</v>
      </c>
      <c r="Z252" s="71" t="str" cm="1">
        <f t="array" ref="Z252">IFERROR(INDEX(Products[[ProdCode]:[Product]],_xlfn.XMATCH(INDEX(Products[[Product]:[Parent]],_xlfn.XMATCH(Products[[#This Row],[L6N]],Products[Product],0),2),Products[ProdCode],0),2),Products[[#This Row],[L6N]])</f>
        <v>Energy</v>
      </c>
      <c r="AA252" s="71" t="str" cm="1">
        <f t="array" ref="AA252">IFERROR(INDEX(Products[[ProdCode]:[Product]],_xlfn.XMATCH(INDEX(Products[[Product]:[Parent]],_xlfn.XMATCH(Products[[#This Row],[L7N]],Products[Product],0),2),Products[ProdCode],0),2),Products[[#This Row],[L7N]])</f>
        <v>Energy</v>
      </c>
      <c r="AB25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5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renewable energy</v>
      </c>
      <c r="AE25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Water source heat pump</v>
      </c>
      <c r="AF25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Water source heat pump</v>
      </c>
      <c r="AG25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Water source heat pump</v>
      </c>
      <c r="AH25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Water source heat pump</v>
      </c>
      <c r="AI25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Water source heat pump</v>
      </c>
    </row>
    <row r="253" spans="2:35" x14ac:dyDescent="0.45">
      <c r="B253" s="105">
        <v>293000</v>
      </c>
      <c r="C253" s="79" t="s">
        <v>1000</v>
      </c>
      <c r="D253" s="105">
        <v>290000</v>
      </c>
      <c r="E253" s="93" t="s">
        <v>1149</v>
      </c>
      <c r="F253" s="19" t="s">
        <v>1188</v>
      </c>
      <c r="G253" s="82" t="s">
        <v>54</v>
      </c>
      <c r="H253" s="82" t="s">
        <v>83</v>
      </c>
      <c r="I253" s="82"/>
      <c r="J253" s="82"/>
      <c r="K253" s="82" t="s">
        <v>1677</v>
      </c>
      <c r="L253" s="82"/>
      <c r="M253" s="82"/>
      <c r="N253" s="119"/>
      <c r="O253" s="119"/>
      <c r="P253" s="82"/>
      <c r="Q253" s="82"/>
      <c r="R253" s="82"/>
      <c r="S253" s="82"/>
      <c r="T253" s="71" t="str" cm="1">
        <f t="array" ref="T253">IFERROR(INDEX(Products[[ProdCode]:[Product]],_xlfn.XMATCH(Products[[#This Row],[Parent]],Products[Product],0),2),Products[[#This Row],[Product]])</f>
        <v>Ground source heat pump</v>
      </c>
      <c r="U253" s="71" t="str" cm="1">
        <f t="array" ref="U253">IFERROR(INDEX(Products[[ProdCode]:[Product]],_xlfn.XMATCH(INDEX(Products[[Product]:[Parent]],_xlfn.XMATCH(Products[[#This Row],[L1N]],Products[Product],0),2),Products[ProdCode],0),2),Products[[#This Row],[L1N]])</f>
        <v>Other renewable energy</v>
      </c>
      <c r="V253" s="71" t="str" cm="1">
        <f t="array" ref="V253">IFERROR(INDEX(Products[[ProdCode]:[Product]],_xlfn.XMATCH(INDEX(Products[[Product]:[Parent]],_xlfn.XMATCH(Products[[#This Row],[L2N]],Products[Product],0),2),Products[ProdCode],0),2),Products[[#This Row],[L2N]])</f>
        <v>Renewable Energy</v>
      </c>
      <c r="W253" s="71" t="str" cm="1">
        <f t="array" ref="W253">IFERROR(INDEX(Products[[ProdCode]:[Product]],_xlfn.XMATCH(INDEX(Products[[Product]:[Parent]],_xlfn.XMATCH(Products[[#This Row],[L3N]],Products[Product],0),2),Products[ProdCode],0),2),Products[[#This Row],[L3N]])</f>
        <v>Energy</v>
      </c>
      <c r="X253" s="71" t="str" cm="1">
        <f t="array" ref="X253">IFERROR(INDEX(Products[[ProdCode]:[Product]],_xlfn.XMATCH(INDEX(Products[[Product]:[Parent]],_xlfn.XMATCH(Products[[#This Row],[L4N]],Products[Product],0),2),Products[ProdCode],0),2),Products[[#This Row],[L4N]])</f>
        <v>Energy</v>
      </c>
      <c r="Y253" s="71" t="str" cm="1">
        <f t="array" ref="Y253">IFERROR(INDEX(Products[[ProdCode]:[Product]],_xlfn.XMATCH(INDEX(Products[[Product]:[Parent]],_xlfn.XMATCH(Products[[#This Row],[L5N]],Products[Product],0),2),Products[ProdCode],0),2),Products[[#This Row],[L5N]])</f>
        <v>Energy</v>
      </c>
      <c r="Z253" s="71" t="str" cm="1">
        <f t="array" ref="Z253">IFERROR(INDEX(Products[[ProdCode]:[Product]],_xlfn.XMATCH(INDEX(Products[[Product]:[Parent]],_xlfn.XMATCH(Products[[#This Row],[L6N]],Products[Product],0),2),Products[ProdCode],0),2),Products[[#This Row],[L6N]])</f>
        <v>Energy</v>
      </c>
      <c r="AA253" s="71" t="str" cm="1">
        <f t="array" ref="AA253">IFERROR(INDEX(Products[[ProdCode]:[Product]],_xlfn.XMATCH(INDEX(Products[[Product]:[Parent]],_xlfn.XMATCH(Products[[#This Row],[L7N]],Products[Product],0),2),Products[ProdCode],0),2),Products[[#This Row],[L7N]])</f>
        <v>Energy</v>
      </c>
      <c r="AB25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5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renewable energy</v>
      </c>
      <c r="AE25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Ground source heat pump</v>
      </c>
      <c r="AF25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Ground source heat pump</v>
      </c>
      <c r="AG25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Ground source heat pump</v>
      </c>
      <c r="AH25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Ground source heat pump</v>
      </c>
      <c r="AI25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Ground source heat pump</v>
      </c>
    </row>
    <row r="254" spans="2:35" x14ac:dyDescent="0.45">
      <c r="B254" s="105">
        <v>299000</v>
      </c>
      <c r="C254" s="79" t="s">
        <v>726</v>
      </c>
      <c r="D254" s="105">
        <v>290000</v>
      </c>
      <c r="E254" s="93" t="s">
        <v>1149</v>
      </c>
      <c r="F254" s="19" t="s">
        <v>1188</v>
      </c>
      <c r="G254" s="82" t="s">
        <v>54</v>
      </c>
      <c r="H254" s="82" t="s">
        <v>83</v>
      </c>
      <c r="I254" s="82"/>
      <c r="J254" s="82"/>
      <c r="K254" s="82" t="s">
        <v>1678</v>
      </c>
      <c r="L254" s="82"/>
      <c r="M254" s="82"/>
      <c r="N254" s="119"/>
      <c r="O254" s="119"/>
      <c r="P254" s="82"/>
      <c r="Q254" s="82"/>
      <c r="R254" s="82"/>
      <c r="S254" s="82"/>
      <c r="T254" s="71" t="str" cm="1">
        <f t="array" ref="T254">IFERROR(INDEX(Products[[ProdCode]:[Product]],_xlfn.XMATCH(Products[[#This Row],[Parent]],Products[Product],0),2),Products[[#This Row],[Product]])</f>
        <v>Other renewable energy n.e.s.</v>
      </c>
      <c r="U254" s="71" t="str" cm="1">
        <f t="array" ref="U254">IFERROR(INDEX(Products[[ProdCode]:[Product]],_xlfn.XMATCH(INDEX(Products[[Product]:[Parent]],_xlfn.XMATCH(Products[[#This Row],[L1N]],Products[Product],0),2),Products[ProdCode],0),2),Products[[#This Row],[L1N]])</f>
        <v>Other renewable energy</v>
      </c>
      <c r="V254" s="71" t="str" cm="1">
        <f t="array" ref="V254">IFERROR(INDEX(Products[[ProdCode]:[Product]],_xlfn.XMATCH(INDEX(Products[[Product]:[Parent]],_xlfn.XMATCH(Products[[#This Row],[L2N]],Products[Product],0),2),Products[ProdCode],0),2),Products[[#This Row],[L2N]])</f>
        <v>Renewable Energy</v>
      </c>
      <c r="W254" s="71" t="str" cm="1">
        <f t="array" ref="W254">IFERROR(INDEX(Products[[ProdCode]:[Product]],_xlfn.XMATCH(INDEX(Products[[Product]:[Parent]],_xlfn.XMATCH(Products[[#This Row],[L3N]],Products[Product],0),2),Products[ProdCode],0),2),Products[[#This Row],[L3N]])</f>
        <v>Energy</v>
      </c>
      <c r="X254" s="71" t="str" cm="1">
        <f t="array" ref="X254">IFERROR(INDEX(Products[[ProdCode]:[Product]],_xlfn.XMATCH(INDEX(Products[[Product]:[Parent]],_xlfn.XMATCH(Products[[#This Row],[L4N]],Products[Product],0),2),Products[ProdCode],0),2),Products[[#This Row],[L4N]])</f>
        <v>Energy</v>
      </c>
      <c r="Y254" s="71" t="str" cm="1">
        <f t="array" ref="Y254">IFERROR(INDEX(Products[[ProdCode]:[Product]],_xlfn.XMATCH(INDEX(Products[[Product]:[Parent]],_xlfn.XMATCH(Products[[#This Row],[L5N]],Products[Product],0),2),Products[ProdCode],0),2),Products[[#This Row],[L5N]])</f>
        <v>Energy</v>
      </c>
      <c r="Z254" s="71" t="str" cm="1">
        <f t="array" ref="Z254">IFERROR(INDEX(Products[[ProdCode]:[Product]],_xlfn.XMATCH(INDEX(Products[[Product]:[Parent]],_xlfn.XMATCH(Products[[#This Row],[L6N]],Products[Product],0),2),Products[ProdCode],0),2),Products[[#This Row],[L6N]])</f>
        <v>Energy</v>
      </c>
      <c r="AA254" s="71" t="str" cm="1">
        <f t="array" ref="AA254">IFERROR(INDEX(Products[[ProdCode]:[Product]],_xlfn.XMATCH(INDEX(Products[[Product]:[Parent]],_xlfn.XMATCH(Products[[#This Row],[L7N]],Products[Product],0),2),Products[ProdCode],0),2),Products[[#This Row],[L7N]])</f>
        <v>Energy</v>
      </c>
      <c r="AB25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Energy</v>
      </c>
      <c r="AD25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Other renewable energy</v>
      </c>
      <c r="AE25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renewable energy n.e.s.</v>
      </c>
      <c r="AF25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renewable energy n.e.s.</v>
      </c>
      <c r="AG25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renewable energy n.e.s.</v>
      </c>
      <c r="AH25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renewable energy n.e.s.</v>
      </c>
      <c r="AI25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renewable energy n.e.s.</v>
      </c>
    </row>
    <row r="255" spans="2:35" ht="15.75" x14ac:dyDescent="0.5">
      <c r="B255" s="109">
        <v>300000</v>
      </c>
      <c r="C255" s="74" t="s">
        <v>1001</v>
      </c>
      <c r="D255" s="109">
        <v>900000</v>
      </c>
      <c r="E255" s="83" t="s">
        <v>1093</v>
      </c>
      <c r="F255" s="19" t="s">
        <v>1189</v>
      </c>
      <c r="G255" s="81" t="s">
        <v>1198</v>
      </c>
      <c r="H255" s="81" t="s">
        <v>65</v>
      </c>
      <c r="I255" s="81"/>
      <c r="J255" s="81"/>
      <c r="K255" s="81" t="s">
        <v>1679</v>
      </c>
      <c r="L255" s="81"/>
      <c r="M255" s="81"/>
      <c r="N255" s="120"/>
      <c r="O255" s="120"/>
      <c r="P255" s="81"/>
      <c r="Q255" s="81"/>
      <c r="R255" s="81"/>
      <c r="S255" s="81"/>
      <c r="T255" s="71" t="str" cm="1">
        <f t="array" ref="T255">IFERROR(INDEX(Products[[ProdCode]:[Product]],_xlfn.XMATCH(Products[[#This Row],[Parent]],Products[Product],0),2),Products[[#This Row],[Product]])</f>
        <v>Energy storage</v>
      </c>
      <c r="U255" s="71" t="str" cm="1">
        <f t="array" ref="U255">IFERROR(INDEX(Products[[ProdCode]:[Product]],_xlfn.XMATCH(INDEX(Products[[Product]:[Parent]],_xlfn.XMATCH(Products[[#This Row],[L1N]],Products[Product],0),2),Products[ProdCode],0),2),Products[[#This Row],[L1N]])</f>
        <v>Energy</v>
      </c>
      <c r="V255" s="71" t="str" cm="1">
        <f t="array" ref="V255">IFERROR(INDEX(Products[[ProdCode]:[Product]],_xlfn.XMATCH(INDEX(Products[[Product]:[Parent]],_xlfn.XMATCH(Products[[#This Row],[L2N]],Products[Product],0),2),Products[ProdCode],0),2),Products[[#This Row],[L2N]])</f>
        <v>Energy</v>
      </c>
      <c r="W255" s="71" t="str" cm="1">
        <f t="array" ref="W255">IFERROR(INDEX(Products[[ProdCode]:[Product]],_xlfn.XMATCH(INDEX(Products[[Product]:[Parent]],_xlfn.XMATCH(Products[[#This Row],[L3N]],Products[Product],0),2),Products[ProdCode],0),2),Products[[#This Row],[L3N]])</f>
        <v>Energy</v>
      </c>
      <c r="X255" s="71" t="str" cm="1">
        <f t="array" ref="X255">IFERROR(INDEX(Products[[ProdCode]:[Product]],_xlfn.XMATCH(INDEX(Products[[Product]:[Parent]],_xlfn.XMATCH(Products[[#This Row],[L4N]],Products[Product],0),2),Products[ProdCode],0),2),Products[[#This Row],[L4N]])</f>
        <v>Energy</v>
      </c>
      <c r="Y255" s="71" t="str" cm="1">
        <f t="array" ref="Y255">IFERROR(INDEX(Products[[ProdCode]:[Product]],_xlfn.XMATCH(INDEX(Products[[Product]:[Parent]],_xlfn.XMATCH(Products[[#This Row],[L5N]],Products[Product],0),2),Products[ProdCode],0),2),Products[[#This Row],[L5N]])</f>
        <v>Energy</v>
      </c>
      <c r="Z255" s="71" t="str" cm="1">
        <f t="array" ref="Z255">IFERROR(INDEX(Products[[ProdCode]:[Product]],_xlfn.XMATCH(INDEX(Products[[Product]:[Parent]],_xlfn.XMATCH(Products[[#This Row],[L6N]],Products[Product],0),2),Products[ProdCode],0),2),Products[[#This Row],[L6N]])</f>
        <v>Energy</v>
      </c>
      <c r="AA255" s="71" t="str" cm="1">
        <f t="array" ref="AA255">IFERROR(INDEX(Products[[ProdCode]:[Product]],_xlfn.XMATCH(INDEX(Products[[Product]:[Parent]],_xlfn.XMATCH(Products[[#This Row],[L7N]],Products[Product],0),2),Products[ProdCode],0),2),Products[[#This Row],[L7N]])</f>
        <v>Energy</v>
      </c>
      <c r="AB25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5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Energy storage</v>
      </c>
      <c r="AE25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Energy storage</v>
      </c>
      <c r="AF25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Energy storage</v>
      </c>
      <c r="AG25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 storage</v>
      </c>
      <c r="AH25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Energy storage</v>
      </c>
      <c r="AI25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Energy storage</v>
      </c>
    </row>
    <row r="256" spans="2:35" x14ac:dyDescent="0.45">
      <c r="B256" s="110">
        <v>310000</v>
      </c>
      <c r="C256" s="77" t="s">
        <v>1002</v>
      </c>
      <c r="D256" s="110">
        <v>300000</v>
      </c>
      <c r="E256" s="83" t="s">
        <v>1093</v>
      </c>
      <c r="F256" s="19" t="s">
        <v>1189</v>
      </c>
      <c r="G256" s="81" t="s">
        <v>55</v>
      </c>
      <c r="H256" s="81" t="s">
        <v>65</v>
      </c>
      <c r="I256" s="81"/>
      <c r="J256" s="81"/>
      <c r="K256" s="81" t="s">
        <v>1680</v>
      </c>
      <c r="L256" s="81"/>
      <c r="M256" s="81"/>
      <c r="N256" s="120"/>
      <c r="O256" s="120"/>
      <c r="P256" s="81"/>
      <c r="Q256" s="81"/>
      <c r="R256" s="81"/>
      <c r="S256" s="81"/>
      <c r="T256" s="71" t="str" cm="1">
        <f t="array" ref="T256">IFERROR(INDEX(Products[[ProdCode]:[Product]],_xlfn.XMATCH(Products[[#This Row],[Parent]],Products[Product],0),2),Products[[#This Row],[Product]])</f>
        <v>Electric storage</v>
      </c>
      <c r="U256" s="71" t="str" cm="1">
        <f t="array" ref="U256">IFERROR(INDEX(Products[[ProdCode]:[Product]],_xlfn.XMATCH(INDEX(Products[[Product]:[Parent]],_xlfn.XMATCH(Products[[#This Row],[L1N]],Products[Product],0),2),Products[ProdCode],0),2),Products[[#This Row],[L1N]])</f>
        <v>Energy storage</v>
      </c>
      <c r="V256" s="71" t="str" cm="1">
        <f t="array" ref="V256">IFERROR(INDEX(Products[[ProdCode]:[Product]],_xlfn.XMATCH(INDEX(Products[[Product]:[Parent]],_xlfn.XMATCH(Products[[#This Row],[L2N]],Products[Product],0),2),Products[ProdCode],0),2),Products[[#This Row],[L2N]])</f>
        <v>Energy</v>
      </c>
      <c r="W256" s="71" t="str" cm="1">
        <f t="array" ref="W256">IFERROR(INDEX(Products[[ProdCode]:[Product]],_xlfn.XMATCH(INDEX(Products[[Product]:[Parent]],_xlfn.XMATCH(Products[[#This Row],[L3N]],Products[Product],0),2),Products[ProdCode],0),2),Products[[#This Row],[L3N]])</f>
        <v>Energy</v>
      </c>
      <c r="X256" s="71" t="str" cm="1">
        <f t="array" ref="X256">IFERROR(INDEX(Products[[ProdCode]:[Product]],_xlfn.XMATCH(INDEX(Products[[Product]:[Parent]],_xlfn.XMATCH(Products[[#This Row],[L4N]],Products[Product],0),2),Products[ProdCode],0),2),Products[[#This Row],[L4N]])</f>
        <v>Energy</v>
      </c>
      <c r="Y256" s="71" t="str" cm="1">
        <f t="array" ref="Y256">IFERROR(INDEX(Products[[ProdCode]:[Product]],_xlfn.XMATCH(INDEX(Products[[Product]:[Parent]],_xlfn.XMATCH(Products[[#This Row],[L5N]],Products[Product],0),2),Products[ProdCode],0),2),Products[[#This Row],[L5N]])</f>
        <v>Energy</v>
      </c>
      <c r="Z256" s="71" t="str" cm="1">
        <f t="array" ref="Z256">IFERROR(INDEX(Products[[ProdCode]:[Product]],_xlfn.XMATCH(INDEX(Products[[Product]:[Parent]],_xlfn.XMATCH(Products[[#This Row],[L6N]],Products[Product],0),2),Products[ProdCode],0),2),Products[[#This Row],[L6N]])</f>
        <v>Energy</v>
      </c>
      <c r="AA256" s="71" t="str" cm="1">
        <f t="array" ref="AA256">IFERROR(INDEX(Products[[ProdCode]:[Product]],_xlfn.XMATCH(INDEX(Products[[Product]:[Parent]],_xlfn.XMATCH(Products[[#This Row],[L7N]],Products[Product],0),2),Products[ProdCode],0),2),Products[[#This Row],[L7N]])</f>
        <v>Energy</v>
      </c>
      <c r="AB25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5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Electric storage</v>
      </c>
      <c r="AE25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Electric storage</v>
      </c>
      <c r="AF25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Electric storage</v>
      </c>
      <c r="AG25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Electric storage</v>
      </c>
      <c r="AH25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Electric storage</v>
      </c>
      <c r="AI25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Electric storage</v>
      </c>
    </row>
    <row r="257" spans="2:35" x14ac:dyDescent="0.45">
      <c r="B257" s="111">
        <v>311000</v>
      </c>
      <c r="C257" s="80" t="s">
        <v>1003</v>
      </c>
      <c r="D257" s="111">
        <v>310000</v>
      </c>
      <c r="E257" s="83" t="s">
        <v>1093</v>
      </c>
      <c r="F257" s="19" t="s">
        <v>1189</v>
      </c>
      <c r="G257" s="81" t="s">
        <v>54</v>
      </c>
      <c r="H257" s="81" t="s">
        <v>83</v>
      </c>
      <c r="I257" s="81"/>
      <c r="J257" s="81"/>
      <c r="K257" s="81" t="s">
        <v>1681</v>
      </c>
      <c r="L257" s="81"/>
      <c r="M257" s="81"/>
      <c r="N257" s="120"/>
      <c r="O257" s="120"/>
      <c r="P257" s="81"/>
      <c r="Q257" s="81"/>
      <c r="R257" s="81"/>
      <c r="S257" s="81"/>
      <c r="T257" s="71" t="str" cm="1">
        <f t="array" ref="T257">IFERROR(INDEX(Products[[ProdCode]:[Product]],_xlfn.XMATCH(Products[[#This Row],[Parent]],Products[Product],0),2),Products[[#This Row],[Product]])</f>
        <v>Supercapacitors</v>
      </c>
      <c r="U257" s="71" t="str" cm="1">
        <f t="array" ref="U257">IFERROR(INDEX(Products[[ProdCode]:[Product]],_xlfn.XMATCH(INDEX(Products[[Product]:[Parent]],_xlfn.XMATCH(Products[[#This Row],[L1N]],Products[Product],0),2),Products[ProdCode],0),2),Products[[#This Row],[L1N]])</f>
        <v>Electric storage</v>
      </c>
      <c r="V257" s="71" t="str" cm="1">
        <f t="array" ref="V257">IFERROR(INDEX(Products[[ProdCode]:[Product]],_xlfn.XMATCH(INDEX(Products[[Product]:[Parent]],_xlfn.XMATCH(Products[[#This Row],[L2N]],Products[Product],0),2),Products[ProdCode],0),2),Products[[#This Row],[L2N]])</f>
        <v>Energy storage</v>
      </c>
      <c r="W257" s="71" t="str" cm="1">
        <f t="array" ref="W257">IFERROR(INDEX(Products[[ProdCode]:[Product]],_xlfn.XMATCH(INDEX(Products[[Product]:[Parent]],_xlfn.XMATCH(Products[[#This Row],[L3N]],Products[Product],0),2),Products[ProdCode],0),2),Products[[#This Row],[L3N]])</f>
        <v>Energy</v>
      </c>
      <c r="X257" s="71" t="str" cm="1">
        <f t="array" ref="X257">IFERROR(INDEX(Products[[ProdCode]:[Product]],_xlfn.XMATCH(INDEX(Products[[Product]:[Parent]],_xlfn.XMATCH(Products[[#This Row],[L4N]],Products[Product],0),2),Products[ProdCode],0),2),Products[[#This Row],[L4N]])</f>
        <v>Energy</v>
      </c>
      <c r="Y257" s="71" t="str" cm="1">
        <f t="array" ref="Y257">IFERROR(INDEX(Products[[ProdCode]:[Product]],_xlfn.XMATCH(INDEX(Products[[Product]:[Parent]],_xlfn.XMATCH(Products[[#This Row],[L5N]],Products[Product],0),2),Products[ProdCode],0),2),Products[[#This Row],[L5N]])</f>
        <v>Energy</v>
      </c>
      <c r="Z257" s="71" t="str" cm="1">
        <f t="array" ref="Z257">IFERROR(INDEX(Products[[ProdCode]:[Product]],_xlfn.XMATCH(INDEX(Products[[Product]:[Parent]],_xlfn.XMATCH(Products[[#This Row],[L6N]],Products[Product],0),2),Products[ProdCode],0),2),Products[[#This Row],[L6N]])</f>
        <v>Energy</v>
      </c>
      <c r="AA257" s="71" t="str" cm="1">
        <f t="array" ref="AA257">IFERROR(INDEX(Products[[ProdCode]:[Product]],_xlfn.XMATCH(INDEX(Products[[Product]:[Parent]],_xlfn.XMATCH(Products[[#This Row],[L7N]],Products[Product],0),2),Products[ProdCode],0),2),Products[[#This Row],[L7N]])</f>
        <v>Energy</v>
      </c>
      <c r="AB25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5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Electric storage</v>
      </c>
      <c r="AE25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Supercapacitors</v>
      </c>
      <c r="AF25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Supercapacitors</v>
      </c>
      <c r="AG25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Supercapacitors</v>
      </c>
      <c r="AH25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Supercapacitors</v>
      </c>
      <c r="AI25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Supercapacitors</v>
      </c>
    </row>
    <row r="258" spans="2:35" x14ac:dyDescent="0.45">
      <c r="B258" s="111">
        <v>319000</v>
      </c>
      <c r="C258" s="80" t="s">
        <v>1176</v>
      </c>
      <c r="D258" s="111">
        <v>310000</v>
      </c>
      <c r="E258" s="83" t="s">
        <v>1093</v>
      </c>
      <c r="F258" s="19" t="s">
        <v>1189</v>
      </c>
      <c r="G258" s="81" t="s">
        <v>54</v>
      </c>
      <c r="H258" s="81" t="s">
        <v>83</v>
      </c>
      <c r="I258" s="81"/>
      <c r="J258" s="81"/>
      <c r="K258" s="81" t="s">
        <v>1682</v>
      </c>
      <c r="L258" s="81"/>
      <c r="M258" s="81"/>
      <c r="N258" s="120"/>
      <c r="O258" s="120"/>
      <c r="P258" s="81"/>
      <c r="Q258" s="81"/>
      <c r="R258" s="81"/>
      <c r="S258" s="81"/>
      <c r="T258" s="71" t="str" cm="1">
        <f t="array" ref="T258">IFERROR(INDEX(Products[[ProdCode]:[Product]],_xlfn.XMATCH(Products[[#This Row],[Parent]],Products[Product],0),2),Products[[#This Row],[Product]])</f>
        <v>Other electric storage</v>
      </c>
      <c r="U258" s="71" t="str" cm="1">
        <f t="array" ref="U258">IFERROR(INDEX(Products[[ProdCode]:[Product]],_xlfn.XMATCH(INDEX(Products[[Product]:[Parent]],_xlfn.XMATCH(Products[[#This Row],[L1N]],Products[Product],0),2),Products[ProdCode],0),2),Products[[#This Row],[L1N]])</f>
        <v>Electric storage</v>
      </c>
      <c r="V258" s="71" t="str" cm="1">
        <f t="array" ref="V258">IFERROR(INDEX(Products[[ProdCode]:[Product]],_xlfn.XMATCH(INDEX(Products[[Product]:[Parent]],_xlfn.XMATCH(Products[[#This Row],[L2N]],Products[Product],0),2),Products[ProdCode],0),2),Products[[#This Row],[L2N]])</f>
        <v>Energy storage</v>
      </c>
      <c r="W258" s="71" t="str" cm="1">
        <f t="array" ref="W258">IFERROR(INDEX(Products[[ProdCode]:[Product]],_xlfn.XMATCH(INDEX(Products[[Product]:[Parent]],_xlfn.XMATCH(Products[[#This Row],[L3N]],Products[Product],0),2),Products[ProdCode],0),2),Products[[#This Row],[L3N]])</f>
        <v>Energy</v>
      </c>
      <c r="X258" s="71" t="str" cm="1">
        <f t="array" ref="X258">IFERROR(INDEX(Products[[ProdCode]:[Product]],_xlfn.XMATCH(INDEX(Products[[Product]:[Parent]],_xlfn.XMATCH(Products[[#This Row],[L4N]],Products[Product],0),2),Products[ProdCode],0),2),Products[[#This Row],[L4N]])</f>
        <v>Energy</v>
      </c>
      <c r="Y258" s="71" t="str" cm="1">
        <f t="array" ref="Y258">IFERROR(INDEX(Products[[ProdCode]:[Product]],_xlfn.XMATCH(INDEX(Products[[Product]:[Parent]],_xlfn.XMATCH(Products[[#This Row],[L5N]],Products[Product],0),2),Products[ProdCode],0),2),Products[[#This Row],[L5N]])</f>
        <v>Energy</v>
      </c>
      <c r="Z258" s="71" t="str" cm="1">
        <f t="array" ref="Z258">IFERROR(INDEX(Products[[ProdCode]:[Product]],_xlfn.XMATCH(INDEX(Products[[Product]:[Parent]],_xlfn.XMATCH(Products[[#This Row],[L6N]],Products[Product],0),2),Products[ProdCode],0),2),Products[[#This Row],[L6N]])</f>
        <v>Energy</v>
      </c>
      <c r="AA258" s="71" t="str" cm="1">
        <f t="array" ref="AA258">IFERROR(INDEX(Products[[ProdCode]:[Product]],_xlfn.XMATCH(INDEX(Products[[Product]:[Parent]],_xlfn.XMATCH(Products[[#This Row],[L7N]],Products[Product],0),2),Products[ProdCode],0),2),Products[[#This Row],[L7N]])</f>
        <v>Energy</v>
      </c>
      <c r="AB25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5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Electric storage</v>
      </c>
      <c r="AE25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electric storage</v>
      </c>
      <c r="AF25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electric storage</v>
      </c>
      <c r="AG25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electric storage</v>
      </c>
      <c r="AH25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electric storage</v>
      </c>
      <c r="AI25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electric storage</v>
      </c>
    </row>
    <row r="259" spans="2:35" x14ac:dyDescent="0.45">
      <c r="B259" s="110">
        <v>320000</v>
      </c>
      <c r="C259" s="77" t="s">
        <v>1004</v>
      </c>
      <c r="D259" s="110">
        <v>300000</v>
      </c>
      <c r="E259" s="83" t="s">
        <v>1093</v>
      </c>
      <c r="F259" s="19" t="s">
        <v>1189</v>
      </c>
      <c r="G259" s="81" t="s">
        <v>55</v>
      </c>
      <c r="H259" s="81" t="s">
        <v>65</v>
      </c>
      <c r="I259" s="81"/>
      <c r="J259" s="81"/>
      <c r="K259" s="81" t="s">
        <v>1683</v>
      </c>
      <c r="L259" s="81"/>
      <c r="M259" s="81"/>
      <c r="N259" s="120"/>
      <c r="O259" s="120"/>
      <c r="P259" s="81"/>
      <c r="Q259" s="81"/>
      <c r="R259" s="81"/>
      <c r="S259" s="81"/>
      <c r="T259" s="71" t="str" cm="1">
        <f t="array" ref="T259">IFERROR(INDEX(Products[[ProdCode]:[Product]],_xlfn.XMATCH(Products[[#This Row],[Parent]],Products[Product],0),2),Products[[#This Row],[Product]])</f>
        <v>Electrochemical storage</v>
      </c>
      <c r="U259" s="71" t="str" cm="1">
        <f t="array" ref="U259">IFERROR(INDEX(Products[[ProdCode]:[Product]],_xlfn.XMATCH(INDEX(Products[[Product]:[Parent]],_xlfn.XMATCH(Products[[#This Row],[L1N]],Products[Product],0),2),Products[ProdCode],0),2),Products[[#This Row],[L1N]])</f>
        <v>Energy storage</v>
      </c>
      <c r="V259" s="71" t="str" cm="1">
        <f t="array" ref="V259">IFERROR(INDEX(Products[[ProdCode]:[Product]],_xlfn.XMATCH(INDEX(Products[[Product]:[Parent]],_xlfn.XMATCH(Products[[#This Row],[L2N]],Products[Product],0),2),Products[ProdCode],0),2),Products[[#This Row],[L2N]])</f>
        <v>Energy</v>
      </c>
      <c r="W259" s="71" t="str" cm="1">
        <f t="array" ref="W259">IFERROR(INDEX(Products[[ProdCode]:[Product]],_xlfn.XMATCH(INDEX(Products[[Product]:[Parent]],_xlfn.XMATCH(Products[[#This Row],[L3N]],Products[Product],0),2),Products[ProdCode],0),2),Products[[#This Row],[L3N]])</f>
        <v>Energy</v>
      </c>
      <c r="X259" s="71" t="str" cm="1">
        <f t="array" ref="X259">IFERROR(INDEX(Products[[ProdCode]:[Product]],_xlfn.XMATCH(INDEX(Products[[Product]:[Parent]],_xlfn.XMATCH(Products[[#This Row],[L4N]],Products[Product],0),2),Products[ProdCode],0),2),Products[[#This Row],[L4N]])</f>
        <v>Energy</v>
      </c>
      <c r="Y259" s="71" t="str" cm="1">
        <f t="array" ref="Y259">IFERROR(INDEX(Products[[ProdCode]:[Product]],_xlfn.XMATCH(INDEX(Products[[Product]:[Parent]],_xlfn.XMATCH(Products[[#This Row],[L5N]],Products[Product],0),2),Products[ProdCode],0),2),Products[[#This Row],[L5N]])</f>
        <v>Energy</v>
      </c>
      <c r="Z259" s="71" t="str" cm="1">
        <f t="array" ref="Z259">IFERROR(INDEX(Products[[ProdCode]:[Product]],_xlfn.XMATCH(INDEX(Products[[Product]:[Parent]],_xlfn.XMATCH(Products[[#This Row],[L6N]],Products[Product],0),2),Products[ProdCode],0),2),Products[[#This Row],[L6N]])</f>
        <v>Energy</v>
      </c>
      <c r="AA259" s="71" t="str" cm="1">
        <f t="array" ref="AA259">IFERROR(INDEX(Products[[ProdCode]:[Product]],_xlfn.XMATCH(INDEX(Products[[Product]:[Parent]],_xlfn.XMATCH(Products[[#This Row],[L7N]],Products[Product],0),2),Products[ProdCode],0),2),Products[[#This Row],[L7N]])</f>
        <v>Energy</v>
      </c>
      <c r="AB25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5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5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Electrochemical storage</v>
      </c>
      <c r="AE25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Electrochemical storage</v>
      </c>
      <c r="AF25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Electrochemical storage</v>
      </c>
      <c r="AG25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Electrochemical storage</v>
      </c>
      <c r="AH25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Electrochemical storage</v>
      </c>
      <c r="AI25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Electrochemical storage</v>
      </c>
    </row>
    <row r="260" spans="2:35" x14ac:dyDescent="0.45">
      <c r="B260" s="111">
        <v>321000</v>
      </c>
      <c r="C260" s="80" t="s">
        <v>1005</v>
      </c>
      <c r="D260" s="111">
        <v>320000</v>
      </c>
      <c r="E260" s="83" t="s">
        <v>1093</v>
      </c>
      <c r="F260" s="19" t="s">
        <v>1189</v>
      </c>
      <c r="G260" s="81" t="s">
        <v>54</v>
      </c>
      <c r="H260" s="81" t="s">
        <v>83</v>
      </c>
      <c r="I260" s="81"/>
      <c r="J260" s="81"/>
      <c r="K260" s="81" t="s">
        <v>1684</v>
      </c>
      <c r="L260" s="81"/>
      <c r="M260" s="81"/>
      <c r="N260" s="120"/>
      <c r="O260" s="120"/>
      <c r="P260" s="81"/>
      <c r="Q260" s="81"/>
      <c r="R260" s="81"/>
      <c r="S260" s="81"/>
      <c r="T260" s="71" t="str" cm="1">
        <f t="array" ref="T260">IFERROR(INDEX(Products[[ProdCode]:[Product]],_xlfn.XMATCH(Products[[#This Row],[Parent]],Products[Product],0),2),Products[[#This Row],[Product]])</f>
        <v>Stationary electric batteries</v>
      </c>
      <c r="U260" s="71" t="str" cm="1">
        <f t="array" ref="U260">IFERROR(INDEX(Products[[ProdCode]:[Product]],_xlfn.XMATCH(INDEX(Products[[Product]:[Parent]],_xlfn.XMATCH(Products[[#This Row],[L1N]],Products[Product],0),2),Products[ProdCode],0),2),Products[[#This Row],[L1N]])</f>
        <v>Electrochemical storage</v>
      </c>
      <c r="V260" s="71" t="str" cm="1">
        <f t="array" ref="V260">IFERROR(INDEX(Products[[ProdCode]:[Product]],_xlfn.XMATCH(INDEX(Products[[Product]:[Parent]],_xlfn.XMATCH(Products[[#This Row],[L2N]],Products[Product],0),2),Products[ProdCode],0),2),Products[[#This Row],[L2N]])</f>
        <v>Energy storage</v>
      </c>
      <c r="W260" s="71" t="str" cm="1">
        <f t="array" ref="W260">IFERROR(INDEX(Products[[ProdCode]:[Product]],_xlfn.XMATCH(INDEX(Products[[Product]:[Parent]],_xlfn.XMATCH(Products[[#This Row],[L3N]],Products[Product],0),2),Products[ProdCode],0),2),Products[[#This Row],[L3N]])</f>
        <v>Energy</v>
      </c>
      <c r="X260" s="71" t="str" cm="1">
        <f t="array" ref="X260">IFERROR(INDEX(Products[[ProdCode]:[Product]],_xlfn.XMATCH(INDEX(Products[[Product]:[Parent]],_xlfn.XMATCH(Products[[#This Row],[L4N]],Products[Product],0),2),Products[ProdCode],0),2),Products[[#This Row],[L4N]])</f>
        <v>Energy</v>
      </c>
      <c r="Y260" s="71" t="str" cm="1">
        <f t="array" ref="Y260">IFERROR(INDEX(Products[[ProdCode]:[Product]],_xlfn.XMATCH(INDEX(Products[[Product]:[Parent]],_xlfn.XMATCH(Products[[#This Row],[L5N]],Products[Product],0),2),Products[ProdCode],0),2),Products[[#This Row],[L5N]])</f>
        <v>Energy</v>
      </c>
      <c r="Z260" s="71" t="str" cm="1">
        <f t="array" ref="Z260">IFERROR(INDEX(Products[[ProdCode]:[Product]],_xlfn.XMATCH(INDEX(Products[[Product]:[Parent]],_xlfn.XMATCH(Products[[#This Row],[L6N]],Products[Product],0),2),Products[ProdCode],0),2),Products[[#This Row],[L6N]])</f>
        <v>Energy</v>
      </c>
      <c r="AA260" s="71" t="str" cm="1">
        <f t="array" ref="AA260">IFERROR(INDEX(Products[[ProdCode]:[Product]],_xlfn.XMATCH(INDEX(Products[[Product]:[Parent]],_xlfn.XMATCH(Products[[#This Row],[L7N]],Products[Product],0),2),Products[ProdCode],0),2),Products[[#This Row],[L7N]])</f>
        <v>Energy</v>
      </c>
      <c r="AB26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Electrochemical storage</v>
      </c>
      <c r="AE26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Stationary electric batteries</v>
      </c>
      <c r="AF26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Stationary electric batteries</v>
      </c>
      <c r="AG26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Stationary electric batteries</v>
      </c>
      <c r="AH26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Stationary electric batteries</v>
      </c>
      <c r="AI26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Stationary electric batteries</v>
      </c>
    </row>
    <row r="261" spans="2:35" ht="15.75" customHeight="1" x14ac:dyDescent="0.45">
      <c r="B261" s="111">
        <v>322000</v>
      </c>
      <c r="C261" s="80" t="s">
        <v>1082</v>
      </c>
      <c r="D261" s="111">
        <v>320000</v>
      </c>
      <c r="E261" s="83" t="s">
        <v>1093</v>
      </c>
      <c r="F261" s="19" t="s">
        <v>1189</v>
      </c>
      <c r="G261" s="81" t="s">
        <v>54</v>
      </c>
      <c r="H261" s="81" t="s">
        <v>83</v>
      </c>
      <c r="I261" s="81"/>
      <c r="J261" s="81"/>
      <c r="K261" s="81" t="s">
        <v>1685</v>
      </c>
      <c r="L261" s="81"/>
      <c r="M261" s="81"/>
      <c r="N261" s="120"/>
      <c r="O261" s="120"/>
      <c r="P261" s="81"/>
      <c r="Q261" s="81"/>
      <c r="R261" s="81"/>
      <c r="S261" s="81"/>
      <c r="T261" s="71" t="str" cm="1">
        <f t="array" ref="T261">IFERROR(INDEX(Products[[ProdCode]:[Product]],_xlfn.XMATCH(Products[[#This Row],[Parent]],Products[Product],0),2),Products[[#This Row],[Product]])</f>
        <v>Mobile electric batteries</v>
      </c>
      <c r="U261" s="71" t="str" cm="1">
        <f t="array" ref="U261">IFERROR(INDEX(Products[[ProdCode]:[Product]],_xlfn.XMATCH(INDEX(Products[[Product]:[Parent]],_xlfn.XMATCH(Products[[#This Row],[L1N]],Products[Product],0),2),Products[ProdCode],0),2),Products[[#This Row],[L1N]])</f>
        <v>Electrochemical storage</v>
      </c>
      <c r="V261" s="71" t="str" cm="1">
        <f t="array" ref="V261">IFERROR(INDEX(Products[[ProdCode]:[Product]],_xlfn.XMATCH(INDEX(Products[[Product]:[Parent]],_xlfn.XMATCH(Products[[#This Row],[L2N]],Products[Product],0),2),Products[ProdCode],0),2),Products[[#This Row],[L2N]])</f>
        <v>Energy storage</v>
      </c>
      <c r="W261" s="71" t="str" cm="1">
        <f t="array" ref="W261">IFERROR(INDEX(Products[[ProdCode]:[Product]],_xlfn.XMATCH(INDEX(Products[[Product]:[Parent]],_xlfn.XMATCH(Products[[#This Row],[L3N]],Products[Product],0),2),Products[ProdCode],0),2),Products[[#This Row],[L3N]])</f>
        <v>Energy</v>
      </c>
      <c r="X261" s="71" t="str" cm="1">
        <f t="array" ref="X261">IFERROR(INDEX(Products[[ProdCode]:[Product]],_xlfn.XMATCH(INDEX(Products[[Product]:[Parent]],_xlfn.XMATCH(Products[[#This Row],[L4N]],Products[Product],0),2),Products[ProdCode],0),2),Products[[#This Row],[L4N]])</f>
        <v>Energy</v>
      </c>
      <c r="Y261" s="71" t="str" cm="1">
        <f t="array" ref="Y261">IFERROR(INDEX(Products[[ProdCode]:[Product]],_xlfn.XMATCH(INDEX(Products[[Product]:[Parent]],_xlfn.XMATCH(Products[[#This Row],[L5N]],Products[Product],0),2),Products[ProdCode],0),2),Products[[#This Row],[L5N]])</f>
        <v>Energy</v>
      </c>
      <c r="Z261" s="71" t="str" cm="1">
        <f t="array" ref="Z261">IFERROR(INDEX(Products[[ProdCode]:[Product]],_xlfn.XMATCH(INDEX(Products[[Product]:[Parent]],_xlfn.XMATCH(Products[[#This Row],[L6N]],Products[Product],0),2),Products[ProdCode],0),2),Products[[#This Row],[L6N]])</f>
        <v>Energy</v>
      </c>
      <c r="AA261" s="71" t="str" cm="1">
        <f t="array" ref="AA261">IFERROR(INDEX(Products[[ProdCode]:[Product]],_xlfn.XMATCH(INDEX(Products[[Product]:[Parent]],_xlfn.XMATCH(Products[[#This Row],[L7N]],Products[Product],0),2),Products[ProdCode],0),2),Products[[#This Row],[L7N]])</f>
        <v>Energy</v>
      </c>
      <c r="AB26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Electrochemical storage</v>
      </c>
      <c r="AE26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Mobile electric batteries</v>
      </c>
      <c r="AF26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Mobile electric batteries</v>
      </c>
      <c r="AG26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Mobile electric batteries</v>
      </c>
      <c r="AH26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Mobile electric batteries</v>
      </c>
      <c r="AI26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Mobile electric batteries</v>
      </c>
    </row>
    <row r="262" spans="2:35" x14ac:dyDescent="0.45">
      <c r="B262" s="111">
        <v>329000</v>
      </c>
      <c r="C262" s="80" t="s">
        <v>1177</v>
      </c>
      <c r="D262" s="111">
        <v>320000</v>
      </c>
      <c r="E262" s="83" t="s">
        <v>1093</v>
      </c>
      <c r="F262" s="19" t="s">
        <v>1189</v>
      </c>
      <c r="G262" s="81" t="s">
        <v>54</v>
      </c>
      <c r="H262" s="81" t="s">
        <v>83</v>
      </c>
      <c r="I262" s="81"/>
      <c r="J262" s="81"/>
      <c r="K262" s="81" t="s">
        <v>1686</v>
      </c>
      <c r="L262" s="81"/>
      <c r="M262" s="81"/>
      <c r="N262" s="120"/>
      <c r="O262" s="120"/>
      <c r="P262" s="81"/>
      <c r="Q262" s="81"/>
      <c r="R262" s="81"/>
      <c r="S262" s="81"/>
      <c r="T262" s="71" t="str" cm="1">
        <f t="array" ref="T262">IFERROR(INDEX(Products[[ProdCode]:[Product]],_xlfn.XMATCH(Products[[#This Row],[Parent]],Products[Product],0),2),Products[[#This Row],[Product]])</f>
        <v>Other electrochemical storage</v>
      </c>
      <c r="U262" s="71" t="str" cm="1">
        <f t="array" ref="U262">IFERROR(INDEX(Products[[ProdCode]:[Product]],_xlfn.XMATCH(INDEX(Products[[Product]:[Parent]],_xlfn.XMATCH(Products[[#This Row],[L1N]],Products[Product],0),2),Products[ProdCode],0),2),Products[[#This Row],[L1N]])</f>
        <v>Electrochemical storage</v>
      </c>
      <c r="V262" s="71" t="str" cm="1">
        <f t="array" ref="V262">IFERROR(INDEX(Products[[ProdCode]:[Product]],_xlfn.XMATCH(INDEX(Products[[Product]:[Parent]],_xlfn.XMATCH(Products[[#This Row],[L2N]],Products[Product],0),2),Products[ProdCode],0),2),Products[[#This Row],[L2N]])</f>
        <v>Energy storage</v>
      </c>
      <c r="W262" s="71" t="str" cm="1">
        <f t="array" ref="W262">IFERROR(INDEX(Products[[ProdCode]:[Product]],_xlfn.XMATCH(INDEX(Products[[Product]:[Parent]],_xlfn.XMATCH(Products[[#This Row],[L3N]],Products[Product],0),2),Products[ProdCode],0),2),Products[[#This Row],[L3N]])</f>
        <v>Energy</v>
      </c>
      <c r="X262" s="71" t="str" cm="1">
        <f t="array" ref="X262">IFERROR(INDEX(Products[[ProdCode]:[Product]],_xlfn.XMATCH(INDEX(Products[[Product]:[Parent]],_xlfn.XMATCH(Products[[#This Row],[L4N]],Products[Product],0),2),Products[ProdCode],0),2),Products[[#This Row],[L4N]])</f>
        <v>Energy</v>
      </c>
      <c r="Y262" s="71" t="str" cm="1">
        <f t="array" ref="Y262">IFERROR(INDEX(Products[[ProdCode]:[Product]],_xlfn.XMATCH(INDEX(Products[[Product]:[Parent]],_xlfn.XMATCH(Products[[#This Row],[L5N]],Products[Product],0),2),Products[ProdCode],0),2),Products[[#This Row],[L5N]])</f>
        <v>Energy</v>
      </c>
      <c r="Z262" s="71" t="str" cm="1">
        <f t="array" ref="Z262">IFERROR(INDEX(Products[[ProdCode]:[Product]],_xlfn.XMATCH(INDEX(Products[[Product]:[Parent]],_xlfn.XMATCH(Products[[#This Row],[L6N]],Products[Product],0),2),Products[ProdCode],0),2),Products[[#This Row],[L6N]])</f>
        <v>Energy</v>
      </c>
      <c r="AA262" s="71" t="str" cm="1">
        <f t="array" ref="AA262">IFERROR(INDEX(Products[[ProdCode]:[Product]],_xlfn.XMATCH(INDEX(Products[[Product]:[Parent]],_xlfn.XMATCH(Products[[#This Row],[L7N]],Products[Product],0),2),Products[ProdCode],0),2),Products[[#This Row],[L7N]])</f>
        <v>Energy</v>
      </c>
      <c r="AB26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Electrochemical storage</v>
      </c>
      <c r="AE26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electrochemical storage</v>
      </c>
      <c r="AF26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electrochemical storage</v>
      </c>
      <c r="AG26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electrochemical storage</v>
      </c>
      <c r="AH26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electrochemical storage</v>
      </c>
      <c r="AI26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electrochemical storage</v>
      </c>
    </row>
    <row r="263" spans="2:35" x14ac:dyDescent="0.45">
      <c r="B263" s="110">
        <v>330000</v>
      </c>
      <c r="C263" s="77" t="s">
        <v>1006</v>
      </c>
      <c r="D263" s="110">
        <v>300000</v>
      </c>
      <c r="E263" s="83" t="s">
        <v>1093</v>
      </c>
      <c r="F263" s="19" t="s">
        <v>1189</v>
      </c>
      <c r="G263" s="81" t="s">
        <v>55</v>
      </c>
      <c r="H263" s="81" t="s">
        <v>65</v>
      </c>
      <c r="I263" s="81"/>
      <c r="J263" s="81"/>
      <c r="K263" s="81" t="s">
        <v>1687</v>
      </c>
      <c r="L263" s="81"/>
      <c r="M263" s="81"/>
      <c r="N263" s="120"/>
      <c r="O263" s="120"/>
      <c r="P263" s="81"/>
      <c r="Q263" s="81"/>
      <c r="R263" s="81"/>
      <c r="S263" s="81"/>
      <c r="T263" s="71" t="str" cm="1">
        <f t="array" ref="T263">IFERROR(INDEX(Products[[ProdCode]:[Product]],_xlfn.XMATCH(Products[[#This Row],[Parent]],Products[Product],0),2),Products[[#This Row],[Product]])</f>
        <v>Electromagnetic storage</v>
      </c>
      <c r="U263" s="71" t="str" cm="1">
        <f t="array" ref="U263">IFERROR(INDEX(Products[[ProdCode]:[Product]],_xlfn.XMATCH(INDEX(Products[[Product]:[Parent]],_xlfn.XMATCH(Products[[#This Row],[L1N]],Products[Product],0),2),Products[ProdCode],0),2),Products[[#This Row],[L1N]])</f>
        <v>Energy storage</v>
      </c>
      <c r="V263" s="71" t="str" cm="1">
        <f t="array" ref="V263">IFERROR(INDEX(Products[[ProdCode]:[Product]],_xlfn.XMATCH(INDEX(Products[[Product]:[Parent]],_xlfn.XMATCH(Products[[#This Row],[L2N]],Products[Product],0),2),Products[ProdCode],0),2),Products[[#This Row],[L2N]])</f>
        <v>Energy</v>
      </c>
      <c r="W263" s="71" t="str" cm="1">
        <f t="array" ref="W263">IFERROR(INDEX(Products[[ProdCode]:[Product]],_xlfn.XMATCH(INDEX(Products[[Product]:[Parent]],_xlfn.XMATCH(Products[[#This Row],[L3N]],Products[Product],0),2),Products[ProdCode],0),2),Products[[#This Row],[L3N]])</f>
        <v>Energy</v>
      </c>
      <c r="X263" s="71" t="str" cm="1">
        <f t="array" ref="X263">IFERROR(INDEX(Products[[ProdCode]:[Product]],_xlfn.XMATCH(INDEX(Products[[Product]:[Parent]],_xlfn.XMATCH(Products[[#This Row],[L4N]],Products[Product],0),2),Products[ProdCode],0),2),Products[[#This Row],[L4N]])</f>
        <v>Energy</v>
      </c>
      <c r="Y263" s="71" t="str" cm="1">
        <f t="array" ref="Y263">IFERROR(INDEX(Products[[ProdCode]:[Product]],_xlfn.XMATCH(INDEX(Products[[Product]:[Parent]],_xlfn.XMATCH(Products[[#This Row],[L5N]],Products[Product],0),2),Products[ProdCode],0),2),Products[[#This Row],[L5N]])</f>
        <v>Energy</v>
      </c>
      <c r="Z263" s="71" t="str" cm="1">
        <f t="array" ref="Z263">IFERROR(INDEX(Products[[ProdCode]:[Product]],_xlfn.XMATCH(INDEX(Products[[Product]:[Parent]],_xlfn.XMATCH(Products[[#This Row],[L6N]],Products[Product],0),2),Products[ProdCode],0),2),Products[[#This Row],[L6N]])</f>
        <v>Energy</v>
      </c>
      <c r="AA263" s="71" t="str" cm="1">
        <f t="array" ref="AA263">IFERROR(INDEX(Products[[ProdCode]:[Product]],_xlfn.XMATCH(INDEX(Products[[Product]:[Parent]],_xlfn.XMATCH(Products[[#This Row],[L7N]],Products[Product],0),2),Products[ProdCode],0),2),Products[[#This Row],[L7N]])</f>
        <v>Energy</v>
      </c>
      <c r="AB26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Electromagnetic storage</v>
      </c>
      <c r="AE26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Electromagnetic storage</v>
      </c>
      <c r="AF26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Electromagnetic storage</v>
      </c>
      <c r="AG26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Electromagnetic storage</v>
      </c>
      <c r="AH26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Electromagnetic storage</v>
      </c>
      <c r="AI26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Electromagnetic storage</v>
      </c>
    </row>
    <row r="264" spans="2:35" x14ac:dyDescent="0.45">
      <c r="B264" s="111">
        <v>331000</v>
      </c>
      <c r="C264" s="80" t="s">
        <v>1098</v>
      </c>
      <c r="D264" s="111">
        <v>330000</v>
      </c>
      <c r="E264" s="83" t="s">
        <v>1093</v>
      </c>
      <c r="F264" s="19" t="s">
        <v>1189</v>
      </c>
      <c r="G264" s="81" t="s">
        <v>54</v>
      </c>
      <c r="H264" s="81" t="s">
        <v>83</v>
      </c>
      <c r="I264" s="81"/>
      <c r="J264" s="81"/>
      <c r="K264" s="81" t="s">
        <v>1688</v>
      </c>
      <c r="L264" s="81"/>
      <c r="M264" s="81"/>
      <c r="N264" s="120"/>
      <c r="O264" s="120"/>
      <c r="P264" s="81"/>
      <c r="Q264" s="81"/>
      <c r="R264" s="81"/>
      <c r="S264" s="81"/>
      <c r="T264" s="71" t="str" cm="1">
        <f t="array" ref="T264">IFERROR(INDEX(Products[[ProdCode]:[Product]],_xlfn.XMATCH(Products[[#This Row],[Parent]],Products[Product],0),2),Products[[#This Row],[Product]])</f>
        <v>Superconducting magnetic storage</v>
      </c>
      <c r="U264" s="71" t="str" cm="1">
        <f t="array" ref="U264">IFERROR(INDEX(Products[[ProdCode]:[Product]],_xlfn.XMATCH(INDEX(Products[[Product]:[Parent]],_xlfn.XMATCH(Products[[#This Row],[L1N]],Products[Product],0),2),Products[ProdCode],0),2),Products[[#This Row],[L1N]])</f>
        <v>Electromagnetic storage</v>
      </c>
      <c r="V264" s="71" t="str" cm="1">
        <f t="array" ref="V264">IFERROR(INDEX(Products[[ProdCode]:[Product]],_xlfn.XMATCH(INDEX(Products[[Product]:[Parent]],_xlfn.XMATCH(Products[[#This Row],[L2N]],Products[Product],0),2),Products[ProdCode],0),2),Products[[#This Row],[L2N]])</f>
        <v>Energy storage</v>
      </c>
      <c r="W264" s="71" t="str" cm="1">
        <f t="array" ref="W264">IFERROR(INDEX(Products[[ProdCode]:[Product]],_xlfn.XMATCH(INDEX(Products[[Product]:[Parent]],_xlfn.XMATCH(Products[[#This Row],[L3N]],Products[Product],0),2),Products[ProdCode],0),2),Products[[#This Row],[L3N]])</f>
        <v>Energy</v>
      </c>
      <c r="X264" s="71" t="str" cm="1">
        <f t="array" ref="X264">IFERROR(INDEX(Products[[ProdCode]:[Product]],_xlfn.XMATCH(INDEX(Products[[Product]:[Parent]],_xlfn.XMATCH(Products[[#This Row],[L4N]],Products[Product],0),2),Products[ProdCode],0),2),Products[[#This Row],[L4N]])</f>
        <v>Energy</v>
      </c>
      <c r="Y264" s="71" t="str" cm="1">
        <f t="array" ref="Y264">IFERROR(INDEX(Products[[ProdCode]:[Product]],_xlfn.XMATCH(INDEX(Products[[Product]:[Parent]],_xlfn.XMATCH(Products[[#This Row],[L5N]],Products[Product],0),2),Products[ProdCode],0),2),Products[[#This Row],[L5N]])</f>
        <v>Energy</v>
      </c>
      <c r="Z264" s="71" t="str" cm="1">
        <f t="array" ref="Z264">IFERROR(INDEX(Products[[ProdCode]:[Product]],_xlfn.XMATCH(INDEX(Products[[Product]:[Parent]],_xlfn.XMATCH(Products[[#This Row],[L6N]],Products[Product],0),2),Products[ProdCode],0),2),Products[[#This Row],[L6N]])</f>
        <v>Energy</v>
      </c>
      <c r="AA264" s="71" t="str" cm="1">
        <f t="array" ref="AA264">IFERROR(INDEX(Products[[ProdCode]:[Product]],_xlfn.XMATCH(INDEX(Products[[Product]:[Parent]],_xlfn.XMATCH(Products[[#This Row],[L7N]],Products[Product],0),2),Products[ProdCode],0),2),Products[[#This Row],[L7N]])</f>
        <v>Energy</v>
      </c>
      <c r="AB26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Electromagnetic storage</v>
      </c>
      <c r="AE26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Superconducting magnetic storage</v>
      </c>
      <c r="AF26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Superconducting magnetic storage</v>
      </c>
      <c r="AG26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Superconducting magnetic storage</v>
      </c>
      <c r="AH26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Superconducting magnetic storage</v>
      </c>
      <c r="AI26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Superconducting magnetic storage</v>
      </c>
    </row>
    <row r="265" spans="2:35" x14ac:dyDescent="0.45">
      <c r="B265" s="111">
        <v>339000</v>
      </c>
      <c r="C265" s="80" t="s">
        <v>1178</v>
      </c>
      <c r="D265" s="111">
        <v>330000</v>
      </c>
      <c r="E265" s="83" t="s">
        <v>1093</v>
      </c>
      <c r="F265" s="19" t="s">
        <v>1189</v>
      </c>
      <c r="G265" s="81" t="s">
        <v>54</v>
      </c>
      <c r="H265" s="81" t="s">
        <v>83</v>
      </c>
      <c r="I265" s="81"/>
      <c r="J265" s="81"/>
      <c r="K265" s="81" t="s">
        <v>1689</v>
      </c>
      <c r="L265" s="81"/>
      <c r="M265" s="81"/>
      <c r="N265" s="120"/>
      <c r="O265" s="120"/>
      <c r="P265" s="81"/>
      <c r="Q265" s="81"/>
      <c r="R265" s="81"/>
      <c r="S265" s="81"/>
      <c r="T265" s="71" t="str" cm="1">
        <f t="array" ref="T265">IFERROR(INDEX(Products[[ProdCode]:[Product]],_xlfn.XMATCH(Products[[#This Row],[Parent]],Products[Product],0),2),Products[[#This Row],[Product]])</f>
        <v>Other electromagnetic storage</v>
      </c>
      <c r="U265" s="71" t="str" cm="1">
        <f t="array" ref="U265">IFERROR(INDEX(Products[[ProdCode]:[Product]],_xlfn.XMATCH(INDEX(Products[[Product]:[Parent]],_xlfn.XMATCH(Products[[#This Row],[L1N]],Products[Product],0),2),Products[ProdCode],0),2),Products[[#This Row],[L1N]])</f>
        <v>Electromagnetic storage</v>
      </c>
      <c r="V265" s="71" t="str" cm="1">
        <f t="array" ref="V265">IFERROR(INDEX(Products[[ProdCode]:[Product]],_xlfn.XMATCH(INDEX(Products[[Product]:[Parent]],_xlfn.XMATCH(Products[[#This Row],[L2N]],Products[Product],0),2),Products[ProdCode],0),2),Products[[#This Row],[L2N]])</f>
        <v>Energy storage</v>
      </c>
      <c r="W265" s="71" t="str" cm="1">
        <f t="array" ref="W265">IFERROR(INDEX(Products[[ProdCode]:[Product]],_xlfn.XMATCH(INDEX(Products[[Product]:[Parent]],_xlfn.XMATCH(Products[[#This Row],[L3N]],Products[Product],0),2),Products[ProdCode],0),2),Products[[#This Row],[L3N]])</f>
        <v>Energy</v>
      </c>
      <c r="X265" s="71" t="str" cm="1">
        <f t="array" ref="X265">IFERROR(INDEX(Products[[ProdCode]:[Product]],_xlfn.XMATCH(INDEX(Products[[Product]:[Parent]],_xlfn.XMATCH(Products[[#This Row],[L4N]],Products[Product],0),2),Products[ProdCode],0),2),Products[[#This Row],[L4N]])</f>
        <v>Energy</v>
      </c>
      <c r="Y265" s="71" t="str" cm="1">
        <f t="array" ref="Y265">IFERROR(INDEX(Products[[ProdCode]:[Product]],_xlfn.XMATCH(INDEX(Products[[Product]:[Parent]],_xlfn.XMATCH(Products[[#This Row],[L5N]],Products[Product],0),2),Products[ProdCode],0),2),Products[[#This Row],[L5N]])</f>
        <v>Energy</v>
      </c>
      <c r="Z265" s="71" t="str" cm="1">
        <f t="array" ref="Z265">IFERROR(INDEX(Products[[ProdCode]:[Product]],_xlfn.XMATCH(INDEX(Products[[Product]:[Parent]],_xlfn.XMATCH(Products[[#This Row],[L6N]],Products[Product],0),2),Products[ProdCode],0),2),Products[[#This Row],[L6N]])</f>
        <v>Energy</v>
      </c>
      <c r="AA265" s="71" t="str" cm="1">
        <f t="array" ref="AA265">IFERROR(INDEX(Products[[ProdCode]:[Product]],_xlfn.XMATCH(INDEX(Products[[Product]:[Parent]],_xlfn.XMATCH(Products[[#This Row],[L7N]],Products[Product],0),2),Products[ProdCode],0),2),Products[[#This Row],[L7N]])</f>
        <v>Energy</v>
      </c>
      <c r="AB26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Electromagnetic storage</v>
      </c>
      <c r="AE26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electromagnetic storage</v>
      </c>
      <c r="AF26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electromagnetic storage</v>
      </c>
      <c r="AG26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electromagnetic storage</v>
      </c>
      <c r="AH26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electromagnetic storage</v>
      </c>
      <c r="AI26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electromagnetic storage</v>
      </c>
    </row>
    <row r="266" spans="2:35" x14ac:dyDescent="0.45">
      <c r="B266" s="110">
        <v>340000</v>
      </c>
      <c r="C266" s="77" t="s">
        <v>1007</v>
      </c>
      <c r="D266" s="110">
        <v>300000</v>
      </c>
      <c r="E266" s="83" t="s">
        <v>1093</v>
      </c>
      <c r="F266" s="19" t="s">
        <v>1189</v>
      </c>
      <c r="G266" s="81" t="s">
        <v>55</v>
      </c>
      <c r="H266" s="81" t="s">
        <v>65</v>
      </c>
      <c r="I266" s="81"/>
      <c r="J266" s="81"/>
      <c r="K266" s="81" t="s">
        <v>1690</v>
      </c>
      <c r="L266" s="81"/>
      <c r="M266" s="81"/>
      <c r="N266" s="120"/>
      <c r="O266" s="120"/>
      <c r="P266" s="81"/>
      <c r="Q266" s="81"/>
      <c r="R266" s="81"/>
      <c r="S266" s="81"/>
      <c r="T266" s="71" t="str" cm="1">
        <f t="array" ref="T266">IFERROR(INDEX(Products[[ProdCode]:[Product]],_xlfn.XMATCH(Products[[#This Row],[Parent]],Products[Product],0),2),Products[[#This Row],[Product]])</f>
        <v>Mechanical storage</v>
      </c>
      <c r="U266" s="71" t="str" cm="1">
        <f t="array" ref="U266">IFERROR(INDEX(Products[[ProdCode]:[Product]],_xlfn.XMATCH(INDEX(Products[[Product]:[Parent]],_xlfn.XMATCH(Products[[#This Row],[L1N]],Products[Product],0),2),Products[ProdCode],0),2),Products[[#This Row],[L1N]])</f>
        <v>Energy storage</v>
      </c>
      <c r="V266" s="71" t="str" cm="1">
        <f t="array" ref="V266">IFERROR(INDEX(Products[[ProdCode]:[Product]],_xlfn.XMATCH(INDEX(Products[[Product]:[Parent]],_xlfn.XMATCH(Products[[#This Row],[L2N]],Products[Product],0),2),Products[ProdCode],0),2),Products[[#This Row],[L2N]])</f>
        <v>Energy</v>
      </c>
      <c r="W266" s="71" t="str" cm="1">
        <f t="array" ref="W266">IFERROR(INDEX(Products[[ProdCode]:[Product]],_xlfn.XMATCH(INDEX(Products[[Product]:[Parent]],_xlfn.XMATCH(Products[[#This Row],[L3N]],Products[Product],0),2),Products[ProdCode],0),2),Products[[#This Row],[L3N]])</f>
        <v>Energy</v>
      </c>
      <c r="X266" s="71" t="str" cm="1">
        <f t="array" ref="X266">IFERROR(INDEX(Products[[ProdCode]:[Product]],_xlfn.XMATCH(INDEX(Products[[Product]:[Parent]],_xlfn.XMATCH(Products[[#This Row],[L4N]],Products[Product],0),2),Products[ProdCode],0),2),Products[[#This Row],[L4N]])</f>
        <v>Energy</v>
      </c>
      <c r="Y266" s="71" t="str" cm="1">
        <f t="array" ref="Y266">IFERROR(INDEX(Products[[ProdCode]:[Product]],_xlfn.XMATCH(INDEX(Products[[Product]:[Parent]],_xlfn.XMATCH(Products[[#This Row],[L5N]],Products[Product],0),2),Products[ProdCode],0),2),Products[[#This Row],[L5N]])</f>
        <v>Energy</v>
      </c>
      <c r="Z266" s="71" t="str" cm="1">
        <f t="array" ref="Z266">IFERROR(INDEX(Products[[ProdCode]:[Product]],_xlfn.XMATCH(INDEX(Products[[Product]:[Parent]],_xlfn.XMATCH(Products[[#This Row],[L6N]],Products[Product],0),2),Products[ProdCode],0),2),Products[[#This Row],[L6N]])</f>
        <v>Energy</v>
      </c>
      <c r="AA266" s="71" t="str" cm="1">
        <f t="array" ref="AA266">IFERROR(INDEX(Products[[ProdCode]:[Product]],_xlfn.XMATCH(INDEX(Products[[Product]:[Parent]],_xlfn.XMATCH(Products[[#This Row],[L7N]],Products[Product],0),2),Products[ProdCode],0),2),Products[[#This Row],[L7N]])</f>
        <v>Energy</v>
      </c>
      <c r="AB26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6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Mechanical storage</v>
      </c>
      <c r="AF26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Mechanical storage</v>
      </c>
      <c r="AG26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Mechanical storage</v>
      </c>
      <c r="AH26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Mechanical storage</v>
      </c>
      <c r="AI26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Mechanical storage</v>
      </c>
    </row>
    <row r="267" spans="2:35" x14ac:dyDescent="0.45">
      <c r="B267" s="111">
        <v>341000</v>
      </c>
      <c r="C267" s="80" t="s">
        <v>1008</v>
      </c>
      <c r="D267" s="111">
        <v>340000</v>
      </c>
      <c r="E267" s="83" t="s">
        <v>1093</v>
      </c>
      <c r="F267" s="19" t="s">
        <v>1189</v>
      </c>
      <c r="G267" s="81" t="s">
        <v>54</v>
      </c>
      <c r="H267" s="81" t="s">
        <v>83</v>
      </c>
      <c r="I267" s="81"/>
      <c r="J267" s="81"/>
      <c r="K267" s="81" t="s">
        <v>1433</v>
      </c>
      <c r="L267" s="81"/>
      <c r="M267" s="81"/>
      <c r="N267" s="120"/>
      <c r="O267" s="120"/>
      <c r="P267" s="81"/>
      <c r="Q267" s="81"/>
      <c r="R267" s="81"/>
      <c r="S267" s="81"/>
      <c r="T267" s="71" t="str" cm="1">
        <f t="array" ref="T267">IFERROR(INDEX(Products[[ProdCode]:[Product]],_xlfn.XMATCH(Products[[#This Row],[Parent]],Products[Product],0),2),Products[[#This Row],[Product]])</f>
        <v>Pumped hydro</v>
      </c>
      <c r="U267" s="71" t="str" cm="1">
        <f t="array" ref="U267">IFERROR(INDEX(Products[[ProdCode]:[Product]],_xlfn.XMATCH(INDEX(Products[[Product]:[Parent]],_xlfn.XMATCH(Products[[#This Row],[L1N]],Products[Product],0),2),Products[ProdCode],0),2),Products[[#This Row],[L1N]])</f>
        <v>Mechanical storage</v>
      </c>
      <c r="V267" s="71" t="str" cm="1">
        <f t="array" ref="V267">IFERROR(INDEX(Products[[ProdCode]:[Product]],_xlfn.XMATCH(INDEX(Products[[Product]:[Parent]],_xlfn.XMATCH(Products[[#This Row],[L2N]],Products[Product],0),2),Products[ProdCode],0),2),Products[[#This Row],[L2N]])</f>
        <v>Energy storage</v>
      </c>
      <c r="W267" s="71" t="str" cm="1">
        <f t="array" ref="W267">IFERROR(INDEX(Products[[ProdCode]:[Product]],_xlfn.XMATCH(INDEX(Products[[Product]:[Parent]],_xlfn.XMATCH(Products[[#This Row],[L3N]],Products[Product],0),2),Products[ProdCode],0),2),Products[[#This Row],[L3N]])</f>
        <v>Energy</v>
      </c>
      <c r="X267" s="71" t="str" cm="1">
        <f t="array" ref="X267">IFERROR(INDEX(Products[[ProdCode]:[Product]],_xlfn.XMATCH(INDEX(Products[[Product]:[Parent]],_xlfn.XMATCH(Products[[#This Row],[L4N]],Products[Product],0),2),Products[ProdCode],0),2),Products[[#This Row],[L4N]])</f>
        <v>Energy</v>
      </c>
      <c r="Y267" s="71" t="str" cm="1">
        <f t="array" ref="Y267">IFERROR(INDEX(Products[[ProdCode]:[Product]],_xlfn.XMATCH(INDEX(Products[[Product]:[Parent]],_xlfn.XMATCH(Products[[#This Row],[L5N]],Products[Product],0),2),Products[ProdCode],0),2),Products[[#This Row],[L5N]])</f>
        <v>Energy</v>
      </c>
      <c r="Z267" s="71" t="str" cm="1">
        <f t="array" ref="Z267">IFERROR(INDEX(Products[[ProdCode]:[Product]],_xlfn.XMATCH(INDEX(Products[[Product]:[Parent]],_xlfn.XMATCH(Products[[#This Row],[L6N]],Products[Product],0),2),Products[ProdCode],0),2),Products[[#This Row],[L6N]])</f>
        <v>Energy</v>
      </c>
      <c r="AA267" s="71" t="str" cm="1">
        <f t="array" ref="AA267">IFERROR(INDEX(Products[[ProdCode]:[Product]],_xlfn.XMATCH(INDEX(Products[[Product]:[Parent]],_xlfn.XMATCH(Products[[#This Row],[L7N]],Products[Product],0),2),Products[ProdCode],0),2),Products[[#This Row],[L7N]])</f>
        <v>Energy</v>
      </c>
      <c r="AB26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6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Pumped hydro</v>
      </c>
      <c r="AF26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Pumped hydro</v>
      </c>
      <c r="AG26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Pumped hydro</v>
      </c>
      <c r="AH26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Pumped hydro</v>
      </c>
      <c r="AI26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Pumped hydro</v>
      </c>
    </row>
    <row r="268" spans="2:35" x14ac:dyDescent="0.45">
      <c r="B268" s="111">
        <v>342000</v>
      </c>
      <c r="C268" s="80" t="s">
        <v>1009</v>
      </c>
      <c r="D268" s="111">
        <v>340000</v>
      </c>
      <c r="E268" s="83" t="s">
        <v>1093</v>
      </c>
      <c r="F268" s="19" t="s">
        <v>1189</v>
      </c>
      <c r="G268" s="81" t="s">
        <v>54</v>
      </c>
      <c r="H268" s="81" t="s">
        <v>83</v>
      </c>
      <c r="I268" s="81"/>
      <c r="J268" s="81"/>
      <c r="K268" s="81" t="s">
        <v>1691</v>
      </c>
      <c r="L268" s="81"/>
      <c r="M268" s="81"/>
      <c r="N268" s="120"/>
      <c r="O268" s="120"/>
      <c r="P268" s="81"/>
      <c r="Q268" s="81"/>
      <c r="R268" s="81"/>
      <c r="S268" s="81"/>
      <c r="T268" s="71" t="str" cm="1">
        <f t="array" ref="T268">IFERROR(INDEX(Products[[ProdCode]:[Product]],_xlfn.XMATCH(Products[[#This Row],[Parent]],Products[Product],0),2),Products[[#This Row],[Product]])</f>
        <v>Compressed fluids</v>
      </c>
      <c r="U268" s="71" t="str" cm="1">
        <f t="array" ref="U268">IFERROR(INDEX(Products[[ProdCode]:[Product]],_xlfn.XMATCH(INDEX(Products[[Product]:[Parent]],_xlfn.XMATCH(Products[[#This Row],[L1N]],Products[Product],0),2),Products[ProdCode],0),2),Products[[#This Row],[L1N]])</f>
        <v>Mechanical storage</v>
      </c>
      <c r="V268" s="71" t="str" cm="1">
        <f t="array" ref="V268">IFERROR(INDEX(Products[[ProdCode]:[Product]],_xlfn.XMATCH(INDEX(Products[[Product]:[Parent]],_xlfn.XMATCH(Products[[#This Row],[L2N]],Products[Product],0),2),Products[ProdCode],0),2),Products[[#This Row],[L2N]])</f>
        <v>Energy storage</v>
      </c>
      <c r="W268" s="71" t="str" cm="1">
        <f t="array" ref="W268">IFERROR(INDEX(Products[[ProdCode]:[Product]],_xlfn.XMATCH(INDEX(Products[[Product]:[Parent]],_xlfn.XMATCH(Products[[#This Row],[L3N]],Products[Product],0),2),Products[ProdCode],0),2),Products[[#This Row],[L3N]])</f>
        <v>Energy</v>
      </c>
      <c r="X268" s="71" t="str" cm="1">
        <f t="array" ref="X268">IFERROR(INDEX(Products[[ProdCode]:[Product]],_xlfn.XMATCH(INDEX(Products[[Product]:[Parent]],_xlfn.XMATCH(Products[[#This Row],[L4N]],Products[Product],0),2),Products[ProdCode],0),2),Products[[#This Row],[L4N]])</f>
        <v>Energy</v>
      </c>
      <c r="Y268" s="71" t="str" cm="1">
        <f t="array" ref="Y268">IFERROR(INDEX(Products[[ProdCode]:[Product]],_xlfn.XMATCH(INDEX(Products[[Product]:[Parent]],_xlfn.XMATCH(Products[[#This Row],[L5N]],Products[Product],0),2),Products[ProdCode],0),2),Products[[#This Row],[L5N]])</f>
        <v>Energy</v>
      </c>
      <c r="Z268" s="71" t="str" cm="1">
        <f t="array" ref="Z268">IFERROR(INDEX(Products[[ProdCode]:[Product]],_xlfn.XMATCH(INDEX(Products[[Product]:[Parent]],_xlfn.XMATCH(Products[[#This Row],[L6N]],Products[Product],0),2),Products[ProdCode],0),2),Products[[#This Row],[L6N]])</f>
        <v>Energy</v>
      </c>
      <c r="AA268" s="71" t="str" cm="1">
        <f t="array" ref="AA268">IFERROR(INDEX(Products[[ProdCode]:[Product]],_xlfn.XMATCH(INDEX(Products[[Product]:[Parent]],_xlfn.XMATCH(Products[[#This Row],[L7N]],Products[Product],0),2),Products[ProdCode],0),2),Products[[#This Row],[L7N]])</f>
        <v>Energy</v>
      </c>
      <c r="AB26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6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Compressed fluids</v>
      </c>
      <c r="AF26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Compressed fluids</v>
      </c>
      <c r="AG26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Compressed fluids</v>
      </c>
      <c r="AH26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Compressed fluids</v>
      </c>
      <c r="AI26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Compressed fluids</v>
      </c>
    </row>
    <row r="269" spans="2:35" x14ac:dyDescent="0.45">
      <c r="B269" s="111">
        <v>343000</v>
      </c>
      <c r="C269" s="80" t="s">
        <v>1010</v>
      </c>
      <c r="D269" s="111">
        <v>340000</v>
      </c>
      <c r="E269" s="83" t="s">
        <v>1093</v>
      </c>
      <c r="F269" s="19" t="s">
        <v>1189</v>
      </c>
      <c r="G269" s="81" t="s">
        <v>54</v>
      </c>
      <c r="H269" s="81" t="s">
        <v>83</v>
      </c>
      <c r="I269" s="81"/>
      <c r="J269" s="81"/>
      <c r="K269" s="81" t="s">
        <v>1692</v>
      </c>
      <c r="L269" s="81"/>
      <c r="M269" s="81"/>
      <c r="N269" s="120"/>
      <c r="O269" s="120"/>
      <c r="P269" s="81"/>
      <c r="Q269" s="81"/>
      <c r="R269" s="81"/>
      <c r="S269" s="81"/>
      <c r="T269" s="71" t="str" cm="1">
        <f t="array" ref="T269">IFERROR(INDEX(Products[[ProdCode]:[Product]],_xlfn.XMATCH(Products[[#This Row],[Parent]],Products[Product],0),2),Products[[#This Row],[Product]])</f>
        <v>Flywheels</v>
      </c>
      <c r="U269" s="71" t="str" cm="1">
        <f t="array" ref="U269">IFERROR(INDEX(Products[[ProdCode]:[Product]],_xlfn.XMATCH(INDEX(Products[[Product]:[Parent]],_xlfn.XMATCH(Products[[#This Row],[L1N]],Products[Product],0),2),Products[ProdCode],0),2),Products[[#This Row],[L1N]])</f>
        <v>Mechanical storage</v>
      </c>
      <c r="V269" s="71" t="str" cm="1">
        <f t="array" ref="V269">IFERROR(INDEX(Products[[ProdCode]:[Product]],_xlfn.XMATCH(INDEX(Products[[Product]:[Parent]],_xlfn.XMATCH(Products[[#This Row],[L2N]],Products[Product],0),2),Products[ProdCode],0),2),Products[[#This Row],[L2N]])</f>
        <v>Energy storage</v>
      </c>
      <c r="W269" s="71" t="str" cm="1">
        <f t="array" ref="W269">IFERROR(INDEX(Products[[ProdCode]:[Product]],_xlfn.XMATCH(INDEX(Products[[Product]:[Parent]],_xlfn.XMATCH(Products[[#This Row],[L3N]],Products[Product],0),2),Products[ProdCode],0),2),Products[[#This Row],[L3N]])</f>
        <v>Energy</v>
      </c>
      <c r="X269" s="71" t="str" cm="1">
        <f t="array" ref="X269">IFERROR(INDEX(Products[[ProdCode]:[Product]],_xlfn.XMATCH(INDEX(Products[[Product]:[Parent]],_xlfn.XMATCH(Products[[#This Row],[L4N]],Products[Product],0),2),Products[ProdCode],0),2),Products[[#This Row],[L4N]])</f>
        <v>Energy</v>
      </c>
      <c r="Y269" s="71" t="str" cm="1">
        <f t="array" ref="Y269">IFERROR(INDEX(Products[[ProdCode]:[Product]],_xlfn.XMATCH(INDEX(Products[[Product]:[Parent]],_xlfn.XMATCH(Products[[#This Row],[L5N]],Products[Product],0),2),Products[ProdCode],0),2),Products[[#This Row],[L5N]])</f>
        <v>Energy</v>
      </c>
      <c r="Z269" s="71" t="str" cm="1">
        <f t="array" ref="Z269">IFERROR(INDEX(Products[[ProdCode]:[Product]],_xlfn.XMATCH(INDEX(Products[[Product]:[Parent]],_xlfn.XMATCH(Products[[#This Row],[L6N]],Products[Product],0),2),Products[ProdCode],0),2),Products[[#This Row],[L6N]])</f>
        <v>Energy</v>
      </c>
      <c r="AA269" s="71" t="str" cm="1">
        <f t="array" ref="AA269">IFERROR(INDEX(Products[[ProdCode]:[Product]],_xlfn.XMATCH(INDEX(Products[[Product]:[Parent]],_xlfn.XMATCH(Products[[#This Row],[L7N]],Products[Product],0),2),Products[ProdCode],0),2),Products[[#This Row],[L7N]])</f>
        <v>Energy</v>
      </c>
      <c r="AB26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6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6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6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Flywheels</v>
      </c>
      <c r="AF26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Flywheels</v>
      </c>
      <c r="AG26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Flywheels</v>
      </c>
      <c r="AH26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Flywheels</v>
      </c>
      <c r="AI26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Flywheels</v>
      </c>
    </row>
    <row r="270" spans="2:35" x14ac:dyDescent="0.45">
      <c r="B270" s="111">
        <v>344000</v>
      </c>
      <c r="C270" s="80" t="s">
        <v>1145</v>
      </c>
      <c r="D270" s="111">
        <v>340000</v>
      </c>
      <c r="E270" s="83" t="s">
        <v>1093</v>
      </c>
      <c r="F270" s="19" t="s">
        <v>1189</v>
      </c>
      <c r="G270" s="81" t="s">
        <v>54</v>
      </c>
      <c r="H270" s="81" t="s">
        <v>83</v>
      </c>
      <c r="I270" s="81"/>
      <c r="J270" s="81"/>
      <c r="K270" s="81" t="s">
        <v>1693</v>
      </c>
      <c r="L270" s="81"/>
      <c r="M270" s="81"/>
      <c r="N270" s="120"/>
      <c r="O270" s="120"/>
      <c r="P270" s="81"/>
      <c r="Q270" s="81"/>
      <c r="R270" s="81"/>
      <c r="S270" s="81"/>
      <c r="T270" s="71" t="str" cm="1">
        <f t="array" ref="T270">IFERROR(INDEX(Products[[ProdCode]:[Product]],_xlfn.XMATCH(Products[[#This Row],[Parent]],Products[Product],0),2),Products[[#This Row],[Product]])</f>
        <v>Gravitational storage</v>
      </c>
      <c r="U270" s="71" t="str" cm="1">
        <f t="array" ref="U270">IFERROR(INDEX(Products[[ProdCode]:[Product]],_xlfn.XMATCH(INDEX(Products[[Product]:[Parent]],_xlfn.XMATCH(Products[[#This Row],[L1N]],Products[Product],0),2),Products[ProdCode],0),2),Products[[#This Row],[L1N]])</f>
        <v>Mechanical storage</v>
      </c>
      <c r="V270" s="71" t="str" cm="1">
        <f t="array" ref="V270">IFERROR(INDEX(Products[[ProdCode]:[Product]],_xlfn.XMATCH(INDEX(Products[[Product]:[Parent]],_xlfn.XMATCH(Products[[#This Row],[L2N]],Products[Product],0),2),Products[ProdCode],0),2),Products[[#This Row],[L2N]])</f>
        <v>Energy storage</v>
      </c>
      <c r="W270" s="71" t="str" cm="1">
        <f t="array" ref="W270">IFERROR(INDEX(Products[[ProdCode]:[Product]],_xlfn.XMATCH(INDEX(Products[[Product]:[Parent]],_xlfn.XMATCH(Products[[#This Row],[L3N]],Products[Product],0),2),Products[ProdCode],0),2),Products[[#This Row],[L3N]])</f>
        <v>Energy</v>
      </c>
      <c r="X270" s="71" t="str" cm="1">
        <f t="array" ref="X270">IFERROR(INDEX(Products[[ProdCode]:[Product]],_xlfn.XMATCH(INDEX(Products[[Product]:[Parent]],_xlfn.XMATCH(Products[[#This Row],[L4N]],Products[Product],0),2),Products[ProdCode],0),2),Products[[#This Row],[L4N]])</f>
        <v>Energy</v>
      </c>
      <c r="Y270" s="71" t="str" cm="1">
        <f t="array" ref="Y270">IFERROR(INDEX(Products[[ProdCode]:[Product]],_xlfn.XMATCH(INDEX(Products[[Product]:[Parent]],_xlfn.XMATCH(Products[[#This Row],[L5N]],Products[Product],0),2),Products[ProdCode],0),2),Products[[#This Row],[L5N]])</f>
        <v>Energy</v>
      </c>
      <c r="Z270" s="71" t="str" cm="1">
        <f t="array" ref="Z270">IFERROR(INDEX(Products[[ProdCode]:[Product]],_xlfn.XMATCH(INDEX(Products[[Product]:[Parent]],_xlfn.XMATCH(Products[[#This Row],[L6N]],Products[Product],0),2),Products[ProdCode],0),2),Products[[#This Row],[L6N]])</f>
        <v>Energy</v>
      </c>
      <c r="AA270" s="71" t="str" cm="1">
        <f t="array" ref="AA270">IFERROR(INDEX(Products[[ProdCode]:[Product]],_xlfn.XMATCH(INDEX(Products[[Product]:[Parent]],_xlfn.XMATCH(Products[[#This Row],[L7N]],Products[Product],0),2),Products[ProdCode],0),2),Products[[#This Row],[L7N]])</f>
        <v>Energy</v>
      </c>
      <c r="AB27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7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Gravitational storage</v>
      </c>
      <c r="AF27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Gravitational storage</v>
      </c>
      <c r="AG27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Gravitational storage</v>
      </c>
      <c r="AH27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Gravitational storage</v>
      </c>
      <c r="AI27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Gravitational storage</v>
      </c>
    </row>
    <row r="271" spans="2:35" x14ac:dyDescent="0.45">
      <c r="B271" s="111">
        <v>349000</v>
      </c>
      <c r="C271" s="80" t="s">
        <v>1179</v>
      </c>
      <c r="D271" s="111">
        <v>340000</v>
      </c>
      <c r="E271" s="83" t="s">
        <v>1093</v>
      </c>
      <c r="F271" s="19" t="s">
        <v>1189</v>
      </c>
      <c r="G271" s="81" t="s">
        <v>54</v>
      </c>
      <c r="H271" s="81" t="s">
        <v>83</v>
      </c>
      <c r="I271" s="81"/>
      <c r="J271" s="81"/>
      <c r="K271" s="81" t="s">
        <v>1694</v>
      </c>
      <c r="L271" s="81"/>
      <c r="M271" s="81"/>
      <c r="N271" s="120"/>
      <c r="O271" s="120"/>
      <c r="P271" s="81"/>
      <c r="Q271" s="81"/>
      <c r="R271" s="81"/>
      <c r="S271" s="81"/>
      <c r="T271" s="71" t="str" cm="1">
        <f t="array" ref="T271">IFERROR(INDEX(Products[[ProdCode]:[Product]],_xlfn.XMATCH(Products[[#This Row],[Parent]],Products[Product],0),2),Products[[#This Row],[Product]])</f>
        <v>Other mechanical storage</v>
      </c>
      <c r="U271" s="71" t="str" cm="1">
        <f t="array" ref="U271">IFERROR(INDEX(Products[[ProdCode]:[Product]],_xlfn.XMATCH(INDEX(Products[[Product]:[Parent]],_xlfn.XMATCH(Products[[#This Row],[L1N]],Products[Product],0),2),Products[ProdCode],0),2),Products[[#This Row],[L1N]])</f>
        <v>Mechanical storage</v>
      </c>
      <c r="V271" s="71" t="str" cm="1">
        <f t="array" ref="V271">IFERROR(INDEX(Products[[ProdCode]:[Product]],_xlfn.XMATCH(INDEX(Products[[Product]:[Parent]],_xlfn.XMATCH(Products[[#This Row],[L2N]],Products[Product],0),2),Products[ProdCode],0),2),Products[[#This Row],[L2N]])</f>
        <v>Energy storage</v>
      </c>
      <c r="W271" s="71" t="str" cm="1">
        <f t="array" ref="W271">IFERROR(INDEX(Products[[ProdCode]:[Product]],_xlfn.XMATCH(INDEX(Products[[Product]:[Parent]],_xlfn.XMATCH(Products[[#This Row],[L3N]],Products[Product],0),2),Products[ProdCode],0),2),Products[[#This Row],[L3N]])</f>
        <v>Energy</v>
      </c>
      <c r="X271" s="71" t="str" cm="1">
        <f t="array" ref="X271">IFERROR(INDEX(Products[[ProdCode]:[Product]],_xlfn.XMATCH(INDEX(Products[[Product]:[Parent]],_xlfn.XMATCH(Products[[#This Row],[L4N]],Products[Product],0),2),Products[ProdCode],0),2),Products[[#This Row],[L4N]])</f>
        <v>Energy</v>
      </c>
      <c r="Y271" s="71" t="str" cm="1">
        <f t="array" ref="Y271">IFERROR(INDEX(Products[[ProdCode]:[Product]],_xlfn.XMATCH(INDEX(Products[[Product]:[Parent]],_xlfn.XMATCH(Products[[#This Row],[L5N]],Products[Product],0),2),Products[ProdCode],0),2),Products[[#This Row],[L5N]])</f>
        <v>Energy</v>
      </c>
      <c r="Z271" s="71" t="str" cm="1">
        <f t="array" ref="Z271">IFERROR(INDEX(Products[[ProdCode]:[Product]],_xlfn.XMATCH(INDEX(Products[[Product]:[Parent]],_xlfn.XMATCH(Products[[#This Row],[L6N]],Products[Product],0),2),Products[ProdCode],0),2),Products[[#This Row],[L6N]])</f>
        <v>Energy</v>
      </c>
      <c r="AA271" s="71" t="str" cm="1">
        <f t="array" ref="AA271">IFERROR(INDEX(Products[[ProdCode]:[Product]],_xlfn.XMATCH(INDEX(Products[[Product]:[Parent]],_xlfn.XMATCH(Products[[#This Row],[L7N]],Products[Product],0),2),Products[ProdCode],0),2),Products[[#This Row],[L7N]])</f>
        <v>Energy</v>
      </c>
      <c r="AB27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Mechanical storage</v>
      </c>
      <c r="AE27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mechanical storage</v>
      </c>
      <c r="AF27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mechanical storage</v>
      </c>
      <c r="AG27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mechanical storage</v>
      </c>
      <c r="AH27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mechanical storage</v>
      </c>
      <c r="AI27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mechanical storage</v>
      </c>
    </row>
    <row r="272" spans="2:35" x14ac:dyDescent="0.45">
      <c r="B272" s="110">
        <v>350000</v>
      </c>
      <c r="C272" s="77" t="s">
        <v>1011</v>
      </c>
      <c r="D272" s="110">
        <v>300000</v>
      </c>
      <c r="E272" s="83" t="s">
        <v>1093</v>
      </c>
      <c r="F272" s="19" t="s">
        <v>1189</v>
      </c>
      <c r="G272" s="81" t="s">
        <v>55</v>
      </c>
      <c r="H272" s="81" t="s">
        <v>65</v>
      </c>
      <c r="I272" s="81"/>
      <c r="J272" s="81"/>
      <c r="K272" s="81" t="s">
        <v>1695</v>
      </c>
      <c r="L272" s="81"/>
      <c r="M272" s="81"/>
      <c r="N272" s="120"/>
      <c r="O272" s="120"/>
      <c r="P272" s="81"/>
      <c r="Q272" s="81"/>
      <c r="R272" s="81"/>
      <c r="S272" s="81"/>
      <c r="T272" s="71" t="str" cm="1">
        <f t="array" ref="T272">IFERROR(INDEX(Products[[ProdCode]:[Product]],_xlfn.XMATCH(Products[[#This Row],[Parent]],Products[Product],0),2),Products[[#This Row],[Product]])</f>
        <v>Thermal storage</v>
      </c>
      <c r="U272" s="71" t="str" cm="1">
        <f t="array" ref="U272">IFERROR(INDEX(Products[[ProdCode]:[Product]],_xlfn.XMATCH(INDEX(Products[[Product]:[Parent]],_xlfn.XMATCH(Products[[#This Row],[L1N]],Products[Product],0),2),Products[ProdCode],0),2),Products[[#This Row],[L1N]])</f>
        <v>Energy storage</v>
      </c>
      <c r="V272" s="71" t="str" cm="1">
        <f t="array" ref="V272">IFERROR(INDEX(Products[[ProdCode]:[Product]],_xlfn.XMATCH(INDEX(Products[[Product]:[Parent]],_xlfn.XMATCH(Products[[#This Row],[L2N]],Products[Product],0),2),Products[ProdCode],0),2),Products[[#This Row],[L2N]])</f>
        <v>Energy</v>
      </c>
      <c r="W272" s="71" t="str" cm="1">
        <f t="array" ref="W272">IFERROR(INDEX(Products[[ProdCode]:[Product]],_xlfn.XMATCH(INDEX(Products[[Product]:[Parent]],_xlfn.XMATCH(Products[[#This Row],[L3N]],Products[Product],0),2),Products[ProdCode],0),2),Products[[#This Row],[L3N]])</f>
        <v>Energy</v>
      </c>
      <c r="X272" s="71" t="str" cm="1">
        <f t="array" ref="X272">IFERROR(INDEX(Products[[ProdCode]:[Product]],_xlfn.XMATCH(INDEX(Products[[Product]:[Parent]],_xlfn.XMATCH(Products[[#This Row],[L4N]],Products[Product],0),2),Products[ProdCode],0),2),Products[[#This Row],[L4N]])</f>
        <v>Energy</v>
      </c>
      <c r="Y272" s="71" t="str" cm="1">
        <f t="array" ref="Y272">IFERROR(INDEX(Products[[ProdCode]:[Product]],_xlfn.XMATCH(INDEX(Products[[Product]:[Parent]],_xlfn.XMATCH(Products[[#This Row],[L5N]],Products[Product],0),2),Products[ProdCode],0),2),Products[[#This Row],[L5N]])</f>
        <v>Energy</v>
      </c>
      <c r="Z272" s="71" t="str" cm="1">
        <f t="array" ref="Z272">IFERROR(INDEX(Products[[ProdCode]:[Product]],_xlfn.XMATCH(INDEX(Products[[Product]:[Parent]],_xlfn.XMATCH(Products[[#This Row],[L6N]],Products[Product],0),2),Products[ProdCode],0),2),Products[[#This Row],[L6N]])</f>
        <v>Energy</v>
      </c>
      <c r="AA272" s="71" t="str" cm="1">
        <f t="array" ref="AA272">IFERROR(INDEX(Products[[ProdCode]:[Product]],_xlfn.XMATCH(INDEX(Products[[Product]:[Parent]],_xlfn.XMATCH(Products[[#This Row],[L7N]],Products[Product],0),2),Products[ProdCode],0),2),Products[[#This Row],[L7N]])</f>
        <v>Energy</v>
      </c>
      <c r="AB27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Thermal storage</v>
      </c>
      <c r="AE27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Thermal storage</v>
      </c>
      <c r="AF27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Thermal storage</v>
      </c>
      <c r="AG27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Thermal storage</v>
      </c>
      <c r="AH27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Thermal storage</v>
      </c>
      <c r="AI27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Thermal storage</v>
      </c>
    </row>
    <row r="273" spans="2:35" x14ac:dyDescent="0.45">
      <c r="B273" s="111">
        <v>351000</v>
      </c>
      <c r="C273" s="80" t="s">
        <v>1477</v>
      </c>
      <c r="D273" s="111">
        <v>350000</v>
      </c>
      <c r="E273" s="83" t="s">
        <v>1093</v>
      </c>
      <c r="F273" s="19" t="s">
        <v>1189</v>
      </c>
      <c r="G273" s="81" t="s">
        <v>54</v>
      </c>
      <c r="H273" s="81" t="s">
        <v>83</v>
      </c>
      <c r="I273" s="81"/>
      <c r="J273" s="81"/>
      <c r="K273" s="81" t="s">
        <v>1696</v>
      </c>
      <c r="L273" s="81"/>
      <c r="M273" s="81"/>
      <c r="N273" s="120"/>
      <c r="O273" s="120"/>
      <c r="P273" s="81"/>
      <c r="Q273" s="81"/>
      <c r="R273" s="81"/>
      <c r="S273" s="81"/>
      <c r="T273" s="71" t="str" cm="1">
        <f t="array" ref="T273">IFERROR(INDEX(Products[[ProdCode]:[Product]],_xlfn.XMATCH(Products[[#This Row],[Parent]],Products[Product],0),2),Products[[#This Row],[Product]])</f>
        <v>Latent heat storage</v>
      </c>
      <c r="U273" s="71" t="str" cm="1">
        <f t="array" ref="U273">IFERROR(INDEX(Products[[ProdCode]:[Product]],_xlfn.XMATCH(INDEX(Products[[Product]:[Parent]],_xlfn.XMATCH(Products[[#This Row],[L1N]],Products[Product],0),2),Products[ProdCode],0),2),Products[[#This Row],[L1N]])</f>
        <v>Thermal storage</v>
      </c>
      <c r="V273" s="71" t="str" cm="1">
        <f t="array" ref="V273">IFERROR(INDEX(Products[[ProdCode]:[Product]],_xlfn.XMATCH(INDEX(Products[[Product]:[Parent]],_xlfn.XMATCH(Products[[#This Row],[L2N]],Products[Product],0),2),Products[ProdCode],0),2),Products[[#This Row],[L2N]])</f>
        <v>Energy storage</v>
      </c>
      <c r="W273" s="71" t="str" cm="1">
        <f t="array" ref="W273">IFERROR(INDEX(Products[[ProdCode]:[Product]],_xlfn.XMATCH(INDEX(Products[[Product]:[Parent]],_xlfn.XMATCH(Products[[#This Row],[L3N]],Products[Product],0),2),Products[ProdCode],0),2),Products[[#This Row],[L3N]])</f>
        <v>Energy</v>
      </c>
      <c r="X273" s="71" t="str" cm="1">
        <f t="array" ref="X273">IFERROR(INDEX(Products[[ProdCode]:[Product]],_xlfn.XMATCH(INDEX(Products[[Product]:[Parent]],_xlfn.XMATCH(Products[[#This Row],[L4N]],Products[Product],0),2),Products[ProdCode],0),2),Products[[#This Row],[L4N]])</f>
        <v>Energy</v>
      </c>
      <c r="Y273" s="71" t="str" cm="1">
        <f t="array" ref="Y273">IFERROR(INDEX(Products[[ProdCode]:[Product]],_xlfn.XMATCH(INDEX(Products[[Product]:[Parent]],_xlfn.XMATCH(Products[[#This Row],[L5N]],Products[Product],0),2),Products[ProdCode],0),2),Products[[#This Row],[L5N]])</f>
        <v>Energy</v>
      </c>
      <c r="Z273" s="71" t="str" cm="1">
        <f t="array" ref="Z273">IFERROR(INDEX(Products[[ProdCode]:[Product]],_xlfn.XMATCH(INDEX(Products[[Product]:[Parent]],_xlfn.XMATCH(Products[[#This Row],[L6N]],Products[Product],0),2),Products[ProdCode],0),2),Products[[#This Row],[L6N]])</f>
        <v>Energy</v>
      </c>
      <c r="AA273" s="71" t="str" cm="1">
        <f t="array" ref="AA273">IFERROR(INDEX(Products[[ProdCode]:[Product]],_xlfn.XMATCH(INDEX(Products[[Product]:[Parent]],_xlfn.XMATCH(Products[[#This Row],[L7N]],Products[Product],0),2),Products[ProdCode],0),2),Products[[#This Row],[L7N]])</f>
        <v>Energy</v>
      </c>
      <c r="AB27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Thermal storage</v>
      </c>
      <c r="AE27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Latent heat storage</v>
      </c>
      <c r="AF27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Latent heat storage</v>
      </c>
      <c r="AG27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Latent heat storage</v>
      </c>
      <c r="AH27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Latent heat storage</v>
      </c>
      <c r="AI27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Latent heat storage</v>
      </c>
    </row>
    <row r="274" spans="2:35" x14ac:dyDescent="0.45">
      <c r="B274" s="111">
        <v>352000</v>
      </c>
      <c r="C274" s="80" t="s">
        <v>1084</v>
      </c>
      <c r="D274" s="111">
        <v>350000</v>
      </c>
      <c r="E274" s="83" t="s">
        <v>1093</v>
      </c>
      <c r="F274" s="19" t="s">
        <v>1189</v>
      </c>
      <c r="G274" s="81" t="s">
        <v>54</v>
      </c>
      <c r="H274" s="81" t="s">
        <v>83</v>
      </c>
      <c r="I274" s="81"/>
      <c r="J274" s="81"/>
      <c r="K274" s="81" t="s">
        <v>1697</v>
      </c>
      <c r="L274" s="81"/>
      <c r="M274" s="81"/>
      <c r="N274" s="120"/>
      <c r="O274" s="120"/>
      <c r="P274" s="81"/>
      <c r="Q274" s="81"/>
      <c r="R274" s="81"/>
      <c r="S274" s="81"/>
      <c r="T274" s="71" t="str" cm="1">
        <f t="array" ref="T274">IFERROR(INDEX(Products[[ProdCode]:[Product]],_xlfn.XMATCH(Products[[#This Row],[Parent]],Products[Product],0),2),Products[[#This Row],[Product]])</f>
        <v>Sensible heat storage</v>
      </c>
      <c r="U274" s="71" t="str" cm="1">
        <f t="array" ref="U274">IFERROR(INDEX(Products[[ProdCode]:[Product]],_xlfn.XMATCH(INDEX(Products[[Product]:[Parent]],_xlfn.XMATCH(Products[[#This Row],[L1N]],Products[Product],0),2),Products[ProdCode],0),2),Products[[#This Row],[L1N]])</f>
        <v>Thermal storage</v>
      </c>
      <c r="V274" s="71" t="str" cm="1">
        <f t="array" ref="V274">IFERROR(INDEX(Products[[ProdCode]:[Product]],_xlfn.XMATCH(INDEX(Products[[Product]:[Parent]],_xlfn.XMATCH(Products[[#This Row],[L2N]],Products[Product],0),2),Products[ProdCode],0),2),Products[[#This Row],[L2N]])</f>
        <v>Energy storage</v>
      </c>
      <c r="W274" s="71" t="str" cm="1">
        <f t="array" ref="W274">IFERROR(INDEX(Products[[ProdCode]:[Product]],_xlfn.XMATCH(INDEX(Products[[Product]:[Parent]],_xlfn.XMATCH(Products[[#This Row],[L3N]],Products[Product],0),2),Products[ProdCode],0),2),Products[[#This Row],[L3N]])</f>
        <v>Energy</v>
      </c>
      <c r="X274" s="71" t="str" cm="1">
        <f t="array" ref="X274">IFERROR(INDEX(Products[[ProdCode]:[Product]],_xlfn.XMATCH(INDEX(Products[[Product]:[Parent]],_xlfn.XMATCH(Products[[#This Row],[L4N]],Products[Product],0),2),Products[ProdCode],0),2),Products[[#This Row],[L4N]])</f>
        <v>Energy</v>
      </c>
      <c r="Y274" s="71" t="str" cm="1">
        <f t="array" ref="Y274">IFERROR(INDEX(Products[[ProdCode]:[Product]],_xlfn.XMATCH(INDEX(Products[[Product]:[Parent]],_xlfn.XMATCH(Products[[#This Row],[L5N]],Products[Product],0),2),Products[ProdCode],0),2),Products[[#This Row],[L5N]])</f>
        <v>Energy</v>
      </c>
      <c r="Z274" s="71" t="str" cm="1">
        <f t="array" ref="Z274">IFERROR(INDEX(Products[[ProdCode]:[Product]],_xlfn.XMATCH(INDEX(Products[[Product]:[Parent]],_xlfn.XMATCH(Products[[#This Row],[L6N]],Products[Product],0),2),Products[ProdCode],0),2),Products[[#This Row],[L6N]])</f>
        <v>Energy</v>
      </c>
      <c r="AA274" s="71" t="str" cm="1">
        <f t="array" ref="AA274">IFERROR(INDEX(Products[[ProdCode]:[Product]],_xlfn.XMATCH(INDEX(Products[[Product]:[Parent]],_xlfn.XMATCH(Products[[#This Row],[L7N]],Products[Product],0),2),Products[ProdCode],0),2),Products[[#This Row],[L7N]])</f>
        <v>Energy</v>
      </c>
      <c r="AB27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Thermal storage</v>
      </c>
      <c r="AE27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Sensible heat storage</v>
      </c>
      <c r="AF27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Sensible heat storage</v>
      </c>
      <c r="AG27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Sensible heat storage</v>
      </c>
      <c r="AH27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Sensible heat storage</v>
      </c>
      <c r="AI27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Sensible heat storage</v>
      </c>
    </row>
    <row r="275" spans="2:35" x14ac:dyDescent="0.45">
      <c r="B275" s="111">
        <v>359000</v>
      </c>
      <c r="C275" s="80" t="s">
        <v>1180</v>
      </c>
      <c r="D275" s="111">
        <v>350000</v>
      </c>
      <c r="E275" s="83" t="s">
        <v>1093</v>
      </c>
      <c r="F275" s="19" t="s">
        <v>1189</v>
      </c>
      <c r="G275" s="81" t="s">
        <v>54</v>
      </c>
      <c r="H275" s="81" t="s">
        <v>83</v>
      </c>
      <c r="I275" s="81"/>
      <c r="J275" s="81"/>
      <c r="K275" s="81" t="s">
        <v>1698</v>
      </c>
      <c r="L275" s="81"/>
      <c r="M275" s="81"/>
      <c r="N275" s="120"/>
      <c r="O275" s="120"/>
      <c r="P275" s="81"/>
      <c r="Q275" s="81"/>
      <c r="R275" s="81"/>
      <c r="S275" s="81"/>
      <c r="T275" s="71" t="str" cm="1">
        <f t="array" ref="T275">IFERROR(INDEX(Products[[ProdCode]:[Product]],_xlfn.XMATCH(Products[[#This Row],[Parent]],Products[Product],0),2),Products[[#This Row],[Product]])</f>
        <v>Other thermal storage</v>
      </c>
      <c r="U275" s="71" t="str" cm="1">
        <f t="array" ref="U275">IFERROR(INDEX(Products[[ProdCode]:[Product]],_xlfn.XMATCH(INDEX(Products[[Product]:[Parent]],_xlfn.XMATCH(Products[[#This Row],[L1N]],Products[Product],0),2),Products[ProdCode],0),2),Products[[#This Row],[L1N]])</f>
        <v>Thermal storage</v>
      </c>
      <c r="V275" s="71" t="str" cm="1">
        <f t="array" ref="V275">IFERROR(INDEX(Products[[ProdCode]:[Product]],_xlfn.XMATCH(INDEX(Products[[Product]:[Parent]],_xlfn.XMATCH(Products[[#This Row],[L2N]],Products[Product],0),2),Products[ProdCode],0),2),Products[[#This Row],[L2N]])</f>
        <v>Energy storage</v>
      </c>
      <c r="W275" s="71" t="str" cm="1">
        <f t="array" ref="W275">IFERROR(INDEX(Products[[ProdCode]:[Product]],_xlfn.XMATCH(INDEX(Products[[Product]:[Parent]],_xlfn.XMATCH(Products[[#This Row],[L3N]],Products[Product],0),2),Products[ProdCode],0),2),Products[[#This Row],[L3N]])</f>
        <v>Energy</v>
      </c>
      <c r="X275" s="71" t="str" cm="1">
        <f t="array" ref="X275">IFERROR(INDEX(Products[[ProdCode]:[Product]],_xlfn.XMATCH(INDEX(Products[[Product]:[Parent]],_xlfn.XMATCH(Products[[#This Row],[L4N]],Products[Product],0),2),Products[ProdCode],0),2),Products[[#This Row],[L4N]])</f>
        <v>Energy</v>
      </c>
      <c r="Y275" s="71" t="str" cm="1">
        <f t="array" ref="Y275">IFERROR(INDEX(Products[[ProdCode]:[Product]],_xlfn.XMATCH(INDEX(Products[[Product]:[Parent]],_xlfn.XMATCH(Products[[#This Row],[L5N]],Products[Product],0),2),Products[ProdCode],0),2),Products[[#This Row],[L5N]])</f>
        <v>Energy</v>
      </c>
      <c r="Z275" s="71" t="str" cm="1">
        <f t="array" ref="Z275">IFERROR(INDEX(Products[[ProdCode]:[Product]],_xlfn.XMATCH(INDEX(Products[[Product]:[Parent]],_xlfn.XMATCH(Products[[#This Row],[L6N]],Products[Product],0),2),Products[ProdCode],0),2),Products[[#This Row],[L6N]])</f>
        <v>Energy</v>
      </c>
      <c r="AA275" s="71" t="str" cm="1">
        <f t="array" ref="AA275">IFERROR(INDEX(Products[[ProdCode]:[Product]],_xlfn.XMATCH(INDEX(Products[[Product]:[Parent]],_xlfn.XMATCH(Products[[#This Row],[L7N]],Products[Product],0),2),Products[ProdCode],0),2),Products[[#This Row],[L7N]])</f>
        <v>Energy</v>
      </c>
      <c r="AB27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Thermal storage</v>
      </c>
      <c r="AE27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thermal storage</v>
      </c>
      <c r="AF27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thermal storage</v>
      </c>
      <c r="AG27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thermal storage</v>
      </c>
      <c r="AH27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thermal storage</v>
      </c>
      <c r="AI27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thermal storage</v>
      </c>
    </row>
    <row r="276" spans="2:35" x14ac:dyDescent="0.45">
      <c r="B276" s="110">
        <v>360000</v>
      </c>
      <c r="C276" s="77" t="s">
        <v>1182</v>
      </c>
      <c r="D276" s="110">
        <v>300000</v>
      </c>
      <c r="E276" s="83" t="s">
        <v>1093</v>
      </c>
      <c r="F276" s="19" t="s">
        <v>1189</v>
      </c>
      <c r="G276" s="81" t="s">
        <v>55</v>
      </c>
      <c r="H276" s="81" t="s">
        <v>65</v>
      </c>
      <c r="I276" s="81"/>
      <c r="J276" s="81"/>
      <c r="K276" s="81" t="s">
        <v>1699</v>
      </c>
      <c r="L276" s="81"/>
      <c r="M276" s="81"/>
      <c r="N276" s="120"/>
      <c r="O276" s="120"/>
      <c r="P276" s="81"/>
      <c r="Q276" s="81"/>
      <c r="R276" s="81"/>
      <c r="S276" s="81"/>
      <c r="T276" s="71" t="str" cm="1">
        <f t="array" ref="T276">IFERROR(INDEX(Products[[ProdCode]:[Product]],_xlfn.XMATCH(Products[[#This Row],[Parent]],Products[Product],0),2),Products[[#This Row],[Product]])</f>
        <v>Chemical fuels storage</v>
      </c>
      <c r="U276" s="71" t="str" cm="1">
        <f t="array" ref="U276">IFERROR(INDEX(Products[[ProdCode]:[Product]],_xlfn.XMATCH(INDEX(Products[[Product]:[Parent]],_xlfn.XMATCH(Products[[#This Row],[L1N]],Products[Product],0),2),Products[ProdCode],0),2),Products[[#This Row],[L1N]])</f>
        <v>Energy storage</v>
      </c>
      <c r="V276" s="71" t="str" cm="1">
        <f t="array" ref="V276">IFERROR(INDEX(Products[[ProdCode]:[Product]],_xlfn.XMATCH(INDEX(Products[[Product]:[Parent]],_xlfn.XMATCH(Products[[#This Row],[L2N]],Products[Product],0),2),Products[ProdCode],0),2),Products[[#This Row],[L2N]])</f>
        <v>Energy</v>
      </c>
      <c r="W276" s="71" t="str" cm="1">
        <f t="array" ref="W276">IFERROR(INDEX(Products[[ProdCode]:[Product]],_xlfn.XMATCH(INDEX(Products[[Product]:[Parent]],_xlfn.XMATCH(Products[[#This Row],[L3N]],Products[Product],0),2),Products[ProdCode],0),2),Products[[#This Row],[L3N]])</f>
        <v>Energy</v>
      </c>
      <c r="X276" s="71" t="str" cm="1">
        <f t="array" ref="X276">IFERROR(INDEX(Products[[ProdCode]:[Product]],_xlfn.XMATCH(INDEX(Products[[Product]:[Parent]],_xlfn.XMATCH(Products[[#This Row],[L4N]],Products[Product],0),2),Products[ProdCode],0),2),Products[[#This Row],[L4N]])</f>
        <v>Energy</v>
      </c>
      <c r="Y276" s="71" t="str" cm="1">
        <f t="array" ref="Y276">IFERROR(INDEX(Products[[ProdCode]:[Product]],_xlfn.XMATCH(INDEX(Products[[Product]:[Parent]],_xlfn.XMATCH(Products[[#This Row],[L5N]],Products[Product],0),2),Products[ProdCode],0),2),Products[[#This Row],[L5N]])</f>
        <v>Energy</v>
      </c>
      <c r="Z276" s="71" t="str" cm="1">
        <f t="array" ref="Z276">IFERROR(INDEX(Products[[ProdCode]:[Product]],_xlfn.XMATCH(INDEX(Products[[Product]:[Parent]],_xlfn.XMATCH(Products[[#This Row],[L6N]],Products[Product],0),2),Products[ProdCode],0),2),Products[[#This Row],[L6N]])</f>
        <v>Energy</v>
      </c>
      <c r="AA276" s="71" t="str" cm="1">
        <f t="array" ref="AA276">IFERROR(INDEX(Products[[ProdCode]:[Product]],_xlfn.XMATCH(INDEX(Products[[Product]:[Parent]],_xlfn.XMATCH(Products[[#This Row],[L7N]],Products[Product],0),2),Products[ProdCode],0),2),Products[[#This Row],[L7N]])</f>
        <v>Energy</v>
      </c>
      <c r="AB27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7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Chemical fuels storage</v>
      </c>
      <c r="AF27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Chemical fuels storage</v>
      </c>
      <c r="AG27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Chemical fuels storage</v>
      </c>
      <c r="AH27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Chemical fuels storage</v>
      </c>
      <c r="AI27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Chemical fuels storage</v>
      </c>
    </row>
    <row r="277" spans="2:35" x14ac:dyDescent="0.45">
      <c r="B277" s="111">
        <v>361000</v>
      </c>
      <c r="C277" s="80" t="s">
        <v>1085</v>
      </c>
      <c r="D277" s="111">
        <v>360000</v>
      </c>
      <c r="E277" s="83" t="s">
        <v>1093</v>
      </c>
      <c r="F277" s="19" t="s">
        <v>1189</v>
      </c>
      <c r="G277" s="81" t="s">
        <v>54</v>
      </c>
      <c r="H277" s="81" t="s">
        <v>65</v>
      </c>
      <c r="I277" s="81"/>
      <c r="J277" s="81"/>
      <c r="K277" s="81" t="s">
        <v>1700</v>
      </c>
      <c r="L277" s="81"/>
      <c r="M277" s="81"/>
      <c r="N277" s="120"/>
      <c r="O277" s="120"/>
      <c r="P277" s="81"/>
      <c r="Q277" s="81"/>
      <c r="R277" s="81"/>
      <c r="S277" s="81"/>
      <c r="T277" s="71" t="str" cm="1">
        <f t="array" ref="T277">IFERROR(INDEX(Products[[ProdCode]:[Product]],_xlfn.XMATCH(Products[[#This Row],[Parent]],Products[Product],0),2),Products[[#This Row],[Product]])</f>
        <v>Hydrogen storage</v>
      </c>
      <c r="U277" s="71" t="str" cm="1">
        <f t="array" ref="U277">IFERROR(INDEX(Products[[ProdCode]:[Product]],_xlfn.XMATCH(INDEX(Products[[Product]:[Parent]],_xlfn.XMATCH(Products[[#This Row],[L1N]],Products[Product],0),2),Products[ProdCode],0),2),Products[[#This Row],[L1N]])</f>
        <v>Chemical fuels storage</v>
      </c>
      <c r="V277" s="71" t="str" cm="1">
        <f t="array" ref="V277">IFERROR(INDEX(Products[[ProdCode]:[Product]],_xlfn.XMATCH(INDEX(Products[[Product]:[Parent]],_xlfn.XMATCH(Products[[#This Row],[L2N]],Products[Product],0),2),Products[ProdCode],0),2),Products[[#This Row],[L2N]])</f>
        <v>Energy storage</v>
      </c>
      <c r="W277" s="71" t="str" cm="1">
        <f t="array" ref="W277">IFERROR(INDEX(Products[[ProdCode]:[Product]],_xlfn.XMATCH(INDEX(Products[[Product]:[Parent]],_xlfn.XMATCH(Products[[#This Row],[L3N]],Products[Product],0),2),Products[ProdCode],0),2),Products[[#This Row],[L3N]])</f>
        <v>Energy</v>
      </c>
      <c r="X277" s="71" t="str" cm="1">
        <f t="array" ref="X277">IFERROR(INDEX(Products[[ProdCode]:[Product]],_xlfn.XMATCH(INDEX(Products[[Product]:[Parent]],_xlfn.XMATCH(Products[[#This Row],[L4N]],Products[Product],0),2),Products[ProdCode],0),2),Products[[#This Row],[L4N]])</f>
        <v>Energy</v>
      </c>
      <c r="Y277" s="71" t="str" cm="1">
        <f t="array" ref="Y277">IFERROR(INDEX(Products[[ProdCode]:[Product]],_xlfn.XMATCH(INDEX(Products[[Product]:[Parent]],_xlfn.XMATCH(Products[[#This Row],[L5N]],Products[Product],0),2),Products[ProdCode],0),2),Products[[#This Row],[L5N]])</f>
        <v>Energy</v>
      </c>
      <c r="Z277" s="71" t="str" cm="1">
        <f t="array" ref="Z277">IFERROR(INDEX(Products[[ProdCode]:[Product]],_xlfn.XMATCH(INDEX(Products[[Product]:[Parent]],_xlfn.XMATCH(Products[[#This Row],[L6N]],Products[Product],0),2),Products[ProdCode],0),2),Products[[#This Row],[L6N]])</f>
        <v>Energy</v>
      </c>
      <c r="AA277" s="71" t="str" cm="1">
        <f t="array" ref="AA277">IFERROR(INDEX(Products[[ProdCode]:[Product]],_xlfn.XMATCH(INDEX(Products[[Product]:[Parent]],_xlfn.XMATCH(Products[[#This Row],[L7N]],Products[Product],0),2),Products[ProdCode],0),2),Products[[#This Row],[L7N]])</f>
        <v>Energy</v>
      </c>
      <c r="AB27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7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7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Hydrogen storage</v>
      </c>
      <c r="AG27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Hydrogen storage</v>
      </c>
      <c r="AH27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Hydrogen storage</v>
      </c>
      <c r="AI27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Hydrogen storage</v>
      </c>
    </row>
    <row r="278" spans="2:35" x14ac:dyDescent="0.45">
      <c r="B278" s="112">
        <v>361100</v>
      </c>
      <c r="C278" s="86" t="s">
        <v>1096</v>
      </c>
      <c r="D278" s="112">
        <v>361000</v>
      </c>
      <c r="E278" s="83" t="s">
        <v>1093</v>
      </c>
      <c r="F278" s="19" t="s">
        <v>1189</v>
      </c>
      <c r="G278" s="81" t="s">
        <v>53</v>
      </c>
      <c r="H278" s="81" t="s">
        <v>83</v>
      </c>
      <c r="I278" s="81"/>
      <c r="J278" s="81"/>
      <c r="K278" s="81" t="s">
        <v>1701</v>
      </c>
      <c r="L278" s="81"/>
      <c r="M278" s="81"/>
      <c r="N278" s="120"/>
      <c r="O278" s="120"/>
      <c r="P278" s="81"/>
      <c r="Q278" s="81"/>
      <c r="R278" s="81"/>
      <c r="S278" s="81"/>
      <c r="T278" s="71" t="str" cm="1">
        <f t="array" ref="T278">IFERROR(INDEX(Products[[ProdCode]:[Product]],_xlfn.XMATCH(Products[[#This Row],[Parent]],Products[Product],0),2),Products[[#This Row],[Product]])</f>
        <v>Gas hydrogen storage</v>
      </c>
      <c r="U278" s="71" t="str" cm="1">
        <f t="array" ref="U278">IFERROR(INDEX(Products[[ProdCode]:[Product]],_xlfn.XMATCH(INDEX(Products[[Product]:[Parent]],_xlfn.XMATCH(Products[[#This Row],[L1N]],Products[Product],0),2),Products[ProdCode],0),2),Products[[#This Row],[L1N]])</f>
        <v>Hydrogen storage</v>
      </c>
      <c r="V278" s="71" t="str" cm="1">
        <f t="array" ref="V278">IFERROR(INDEX(Products[[ProdCode]:[Product]],_xlfn.XMATCH(INDEX(Products[[Product]:[Parent]],_xlfn.XMATCH(Products[[#This Row],[L2N]],Products[Product],0),2),Products[ProdCode],0),2),Products[[#This Row],[L2N]])</f>
        <v>Chemical fuels storage</v>
      </c>
      <c r="W278" s="71" t="str" cm="1">
        <f t="array" ref="W278">IFERROR(INDEX(Products[[ProdCode]:[Product]],_xlfn.XMATCH(INDEX(Products[[Product]:[Parent]],_xlfn.XMATCH(Products[[#This Row],[L3N]],Products[Product],0),2),Products[ProdCode],0),2),Products[[#This Row],[L3N]])</f>
        <v>Energy storage</v>
      </c>
      <c r="X278" s="71" t="str" cm="1">
        <f t="array" ref="X278">IFERROR(INDEX(Products[[ProdCode]:[Product]],_xlfn.XMATCH(INDEX(Products[[Product]:[Parent]],_xlfn.XMATCH(Products[[#This Row],[L4N]],Products[Product],0),2),Products[ProdCode],0),2),Products[[#This Row],[L4N]])</f>
        <v>Energy</v>
      </c>
      <c r="Y278" s="71" t="str" cm="1">
        <f t="array" ref="Y278">IFERROR(INDEX(Products[[ProdCode]:[Product]],_xlfn.XMATCH(INDEX(Products[[Product]:[Parent]],_xlfn.XMATCH(Products[[#This Row],[L5N]],Products[Product],0),2),Products[ProdCode],0),2),Products[[#This Row],[L5N]])</f>
        <v>Energy</v>
      </c>
      <c r="Z278" s="71" t="str" cm="1">
        <f t="array" ref="Z278">IFERROR(INDEX(Products[[ProdCode]:[Product]],_xlfn.XMATCH(INDEX(Products[[Product]:[Parent]],_xlfn.XMATCH(Products[[#This Row],[L6N]],Products[Product],0),2),Products[ProdCode],0),2),Products[[#This Row],[L6N]])</f>
        <v>Energy</v>
      </c>
      <c r="AA278" s="71" t="str" cm="1">
        <f t="array" ref="AA278">IFERROR(INDEX(Products[[ProdCode]:[Product]],_xlfn.XMATCH(INDEX(Products[[Product]:[Parent]],_xlfn.XMATCH(Products[[#This Row],[L7N]],Products[Product],0),2),Products[ProdCode],0),2),Products[[#This Row],[L7N]])</f>
        <v>Energy</v>
      </c>
      <c r="AB27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7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7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hydrogen storage</v>
      </c>
      <c r="AG27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Gas hydrogen storage</v>
      </c>
      <c r="AH27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Gas hydrogen storage</v>
      </c>
      <c r="AI27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Gas hydrogen storage</v>
      </c>
    </row>
    <row r="279" spans="2:35" x14ac:dyDescent="0.45">
      <c r="B279" s="113">
        <v>361110</v>
      </c>
      <c r="C279" s="89" t="s">
        <v>1437</v>
      </c>
      <c r="D279" s="113">
        <v>361100</v>
      </c>
      <c r="E279" s="83" t="s">
        <v>1093</v>
      </c>
      <c r="F279" s="19" t="s">
        <v>1189</v>
      </c>
      <c r="G279" s="81" t="s">
        <v>1199</v>
      </c>
      <c r="H279" s="81" t="s">
        <v>83</v>
      </c>
      <c r="I279" s="81"/>
      <c r="J279" s="81"/>
      <c r="K279" s="81" t="s">
        <v>1702</v>
      </c>
      <c r="L279" s="81"/>
      <c r="M279" s="81"/>
      <c r="N279" s="120"/>
      <c r="O279" s="120"/>
      <c r="P279" s="81" t="s">
        <v>1435</v>
      </c>
      <c r="Q279" s="81"/>
      <c r="R279" s="81"/>
      <c r="S279" s="81"/>
      <c r="T279" s="71" t="str" cm="1">
        <f t="array" ref="T279">IFERROR(INDEX(Products[[ProdCode]:[Product]],_xlfn.XMATCH(Products[[#This Row],[Parent]],Products[Product],0),2),Products[[#This Row],[Product]])</f>
        <v>Centralised underground hydrogen storage</v>
      </c>
      <c r="U279" s="71" t="str" cm="1">
        <f t="array" ref="U279">IFERROR(INDEX(Products[[ProdCode]:[Product]],_xlfn.XMATCH(INDEX(Products[[Product]:[Parent]],_xlfn.XMATCH(Products[[#This Row],[L1N]],Products[Product],0),2),Products[ProdCode],0),2),Products[[#This Row],[L1N]])</f>
        <v>Gas hydrogen storage</v>
      </c>
      <c r="V279" s="71" t="str" cm="1">
        <f t="array" ref="V279">IFERROR(INDEX(Products[[ProdCode]:[Product]],_xlfn.XMATCH(INDEX(Products[[Product]:[Parent]],_xlfn.XMATCH(Products[[#This Row],[L2N]],Products[Product],0),2),Products[ProdCode],0),2),Products[[#This Row],[L2N]])</f>
        <v>Hydrogen storage</v>
      </c>
      <c r="W279" s="71" t="str" cm="1">
        <f t="array" ref="W279">IFERROR(INDEX(Products[[ProdCode]:[Product]],_xlfn.XMATCH(INDEX(Products[[Product]:[Parent]],_xlfn.XMATCH(Products[[#This Row],[L3N]],Products[Product],0),2),Products[ProdCode],0),2),Products[[#This Row],[L3N]])</f>
        <v>Chemical fuels storage</v>
      </c>
      <c r="X279" s="71" t="str" cm="1">
        <f t="array" ref="X279">IFERROR(INDEX(Products[[ProdCode]:[Product]],_xlfn.XMATCH(INDEX(Products[[Product]:[Parent]],_xlfn.XMATCH(Products[[#This Row],[L4N]],Products[Product],0),2),Products[ProdCode],0),2),Products[[#This Row],[L4N]])</f>
        <v>Energy storage</v>
      </c>
      <c r="Y279" s="71" t="str" cm="1">
        <f t="array" ref="Y279">IFERROR(INDEX(Products[[ProdCode]:[Product]],_xlfn.XMATCH(INDEX(Products[[Product]:[Parent]],_xlfn.XMATCH(Products[[#This Row],[L5N]],Products[Product],0),2),Products[ProdCode],0),2),Products[[#This Row],[L5N]])</f>
        <v>Energy</v>
      </c>
      <c r="Z279" s="71" t="str" cm="1">
        <f t="array" ref="Z279">IFERROR(INDEX(Products[[ProdCode]:[Product]],_xlfn.XMATCH(INDEX(Products[[Product]:[Parent]],_xlfn.XMATCH(Products[[#This Row],[L6N]],Products[Product],0),2),Products[ProdCode],0),2),Products[[#This Row],[L6N]])</f>
        <v>Energy</v>
      </c>
      <c r="AA279" s="71" t="str" cm="1">
        <f t="array" ref="AA279">IFERROR(INDEX(Products[[ProdCode]:[Product]],_xlfn.XMATCH(INDEX(Products[[Product]:[Parent]],_xlfn.XMATCH(Products[[#This Row],[L7N]],Products[Product],0),2),Products[ProdCode],0),2),Products[[#This Row],[L7N]])</f>
        <v>Energy</v>
      </c>
      <c r="AB27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7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7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7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7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hydrogen storage</v>
      </c>
      <c r="AG27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Centralised underground hydrogen storage</v>
      </c>
      <c r="AH27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Centralised underground hydrogen storage</v>
      </c>
      <c r="AI27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Centralised underground hydrogen storage</v>
      </c>
    </row>
    <row r="280" spans="2:35" x14ac:dyDescent="0.45">
      <c r="B280" s="113">
        <v>361120</v>
      </c>
      <c r="C280" s="89" t="s">
        <v>1439</v>
      </c>
      <c r="D280" s="113">
        <v>361100</v>
      </c>
      <c r="E280" s="83" t="s">
        <v>1093</v>
      </c>
      <c r="F280" s="19" t="s">
        <v>1189</v>
      </c>
      <c r="G280" s="81" t="s">
        <v>1199</v>
      </c>
      <c r="H280" s="81" t="s">
        <v>83</v>
      </c>
      <c r="I280" s="81"/>
      <c r="J280" s="81"/>
      <c r="K280" s="81" t="s">
        <v>1703</v>
      </c>
      <c r="L280" s="81"/>
      <c r="M280" s="81"/>
      <c r="N280" s="120"/>
      <c r="O280" s="120"/>
      <c r="P280" s="81" t="s">
        <v>1441</v>
      </c>
      <c r="Q280" s="81"/>
      <c r="R280" s="81"/>
      <c r="S280" s="81"/>
      <c r="T280" s="71" t="str" cm="1">
        <f t="array" ref="T280">IFERROR(INDEX(Products[[ProdCode]:[Product]],_xlfn.XMATCH(Products[[#This Row],[Parent]],Products[Product],0),2),Products[[#This Row],[Product]])</f>
        <v>Centralised hydrogen gas tank storage</v>
      </c>
      <c r="U280" s="71" t="str" cm="1">
        <f t="array" ref="U280">IFERROR(INDEX(Products[[ProdCode]:[Product]],_xlfn.XMATCH(INDEX(Products[[Product]:[Parent]],_xlfn.XMATCH(Products[[#This Row],[L1N]],Products[Product],0),2),Products[ProdCode],0),2),Products[[#This Row],[L1N]])</f>
        <v>Gas hydrogen storage</v>
      </c>
      <c r="V280" s="71" t="str" cm="1">
        <f t="array" ref="V280">IFERROR(INDEX(Products[[ProdCode]:[Product]],_xlfn.XMATCH(INDEX(Products[[Product]:[Parent]],_xlfn.XMATCH(Products[[#This Row],[L2N]],Products[Product],0),2),Products[ProdCode],0),2),Products[[#This Row],[L2N]])</f>
        <v>Hydrogen storage</v>
      </c>
      <c r="W280" s="71" t="str" cm="1">
        <f t="array" ref="W280">IFERROR(INDEX(Products[[ProdCode]:[Product]],_xlfn.XMATCH(INDEX(Products[[Product]:[Parent]],_xlfn.XMATCH(Products[[#This Row],[L3N]],Products[Product],0),2),Products[ProdCode],0),2),Products[[#This Row],[L3N]])</f>
        <v>Chemical fuels storage</v>
      </c>
      <c r="X280" s="71" t="str" cm="1">
        <f t="array" ref="X280">IFERROR(INDEX(Products[[ProdCode]:[Product]],_xlfn.XMATCH(INDEX(Products[[Product]:[Parent]],_xlfn.XMATCH(Products[[#This Row],[L4N]],Products[Product],0),2),Products[ProdCode],0),2),Products[[#This Row],[L4N]])</f>
        <v>Energy storage</v>
      </c>
      <c r="Y280" s="71" t="str" cm="1">
        <f t="array" ref="Y280">IFERROR(INDEX(Products[[ProdCode]:[Product]],_xlfn.XMATCH(INDEX(Products[[Product]:[Parent]],_xlfn.XMATCH(Products[[#This Row],[L5N]],Products[Product],0),2),Products[ProdCode],0),2),Products[[#This Row],[L5N]])</f>
        <v>Energy</v>
      </c>
      <c r="Z280" s="71" t="str" cm="1">
        <f t="array" ref="Z280">IFERROR(INDEX(Products[[ProdCode]:[Product]],_xlfn.XMATCH(INDEX(Products[[Product]:[Parent]],_xlfn.XMATCH(Products[[#This Row],[L6N]],Products[Product],0),2),Products[ProdCode],0),2),Products[[#This Row],[L6N]])</f>
        <v>Energy</v>
      </c>
      <c r="AA280" s="71" t="str" cm="1">
        <f t="array" ref="AA280">IFERROR(INDEX(Products[[ProdCode]:[Product]],_xlfn.XMATCH(INDEX(Products[[Product]:[Parent]],_xlfn.XMATCH(Products[[#This Row],[L7N]],Products[Product],0),2),Products[ProdCode],0),2),Products[[#This Row],[L7N]])</f>
        <v>Energy</v>
      </c>
      <c r="AB28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hydrogen storage</v>
      </c>
      <c r="AG28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Centralised hydrogen gas tank storage</v>
      </c>
      <c r="AH28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Centralised hydrogen gas tank storage</v>
      </c>
      <c r="AI28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Centralised hydrogen gas tank storage</v>
      </c>
    </row>
    <row r="281" spans="2:35" x14ac:dyDescent="0.45">
      <c r="B281" s="113">
        <v>361130</v>
      </c>
      <c r="C281" s="89" t="s">
        <v>1438</v>
      </c>
      <c r="D281" s="113">
        <v>361100</v>
      </c>
      <c r="E281" s="83" t="s">
        <v>1093</v>
      </c>
      <c r="F281" s="19" t="s">
        <v>1189</v>
      </c>
      <c r="G281" s="81" t="s">
        <v>1199</v>
      </c>
      <c r="H281" s="81" t="s">
        <v>83</v>
      </c>
      <c r="I281" s="81"/>
      <c r="J281" s="81"/>
      <c r="K281" s="81" t="s">
        <v>1704</v>
      </c>
      <c r="L281" s="81"/>
      <c r="M281" s="81"/>
      <c r="N281" s="120"/>
      <c r="O281" s="120"/>
      <c r="P281" s="81" t="s">
        <v>1440</v>
      </c>
      <c r="Q281" s="81"/>
      <c r="R281" s="81"/>
      <c r="S281" s="81"/>
      <c r="T281" s="71" t="str" cm="1">
        <f t="array" ref="T281">IFERROR(INDEX(Products[[ProdCode]:[Product]],_xlfn.XMATCH(Products[[#This Row],[Parent]],Products[Product],0),2),Products[[#This Row],[Product]])</f>
        <v>Distributed hydrogen gas tank storage</v>
      </c>
      <c r="U281" s="71" t="str" cm="1">
        <f t="array" ref="U281">IFERROR(INDEX(Products[[ProdCode]:[Product]],_xlfn.XMATCH(INDEX(Products[[Product]:[Parent]],_xlfn.XMATCH(Products[[#This Row],[L1N]],Products[Product],0),2),Products[ProdCode],0),2),Products[[#This Row],[L1N]])</f>
        <v>Gas hydrogen storage</v>
      </c>
      <c r="V281" s="71" t="str" cm="1">
        <f t="array" ref="V281">IFERROR(INDEX(Products[[ProdCode]:[Product]],_xlfn.XMATCH(INDEX(Products[[Product]:[Parent]],_xlfn.XMATCH(Products[[#This Row],[L2N]],Products[Product],0),2),Products[ProdCode],0),2),Products[[#This Row],[L2N]])</f>
        <v>Hydrogen storage</v>
      </c>
      <c r="W281" s="71" t="str" cm="1">
        <f t="array" ref="W281">IFERROR(INDEX(Products[[ProdCode]:[Product]],_xlfn.XMATCH(INDEX(Products[[Product]:[Parent]],_xlfn.XMATCH(Products[[#This Row],[L3N]],Products[Product],0),2),Products[ProdCode],0),2),Products[[#This Row],[L3N]])</f>
        <v>Chemical fuels storage</v>
      </c>
      <c r="X281" s="71" t="str" cm="1">
        <f t="array" ref="X281">IFERROR(INDEX(Products[[ProdCode]:[Product]],_xlfn.XMATCH(INDEX(Products[[Product]:[Parent]],_xlfn.XMATCH(Products[[#This Row],[L4N]],Products[Product],0),2),Products[ProdCode],0),2),Products[[#This Row],[L4N]])</f>
        <v>Energy storage</v>
      </c>
      <c r="Y281" s="71" t="str" cm="1">
        <f t="array" ref="Y281">IFERROR(INDEX(Products[[ProdCode]:[Product]],_xlfn.XMATCH(INDEX(Products[[Product]:[Parent]],_xlfn.XMATCH(Products[[#This Row],[L5N]],Products[Product],0),2),Products[ProdCode],0),2),Products[[#This Row],[L5N]])</f>
        <v>Energy</v>
      </c>
      <c r="Z281" s="71" t="str" cm="1">
        <f t="array" ref="Z281">IFERROR(INDEX(Products[[ProdCode]:[Product]],_xlfn.XMATCH(INDEX(Products[[Product]:[Parent]],_xlfn.XMATCH(Products[[#This Row],[L6N]],Products[Product],0),2),Products[ProdCode],0),2),Products[[#This Row],[L6N]])</f>
        <v>Energy</v>
      </c>
      <c r="AA281" s="71" t="str" cm="1">
        <f t="array" ref="AA281">IFERROR(INDEX(Products[[ProdCode]:[Product]],_xlfn.XMATCH(INDEX(Products[[Product]:[Parent]],_xlfn.XMATCH(Products[[#This Row],[L7N]],Products[Product],0),2),Products[ProdCode],0),2),Products[[#This Row],[L7N]])</f>
        <v>Energy</v>
      </c>
      <c r="AB28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hydrogen storage</v>
      </c>
      <c r="AG28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Distributed hydrogen gas tank storage</v>
      </c>
      <c r="AH28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Distributed hydrogen gas tank storage</v>
      </c>
      <c r="AI28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Distributed hydrogen gas tank storage</v>
      </c>
    </row>
    <row r="282" spans="2:35" x14ac:dyDescent="0.45">
      <c r="B282" s="113">
        <v>361190</v>
      </c>
      <c r="C282" s="89" t="s">
        <v>1436</v>
      </c>
      <c r="D282" s="113">
        <v>361100</v>
      </c>
      <c r="E282" s="83" t="s">
        <v>1093</v>
      </c>
      <c r="F282" s="19" t="s">
        <v>1189</v>
      </c>
      <c r="G282" s="81" t="s">
        <v>1199</v>
      </c>
      <c r="H282" s="81" t="s">
        <v>83</v>
      </c>
      <c r="I282" s="81"/>
      <c r="J282" s="81"/>
      <c r="K282" s="81" t="s">
        <v>1705</v>
      </c>
      <c r="L282" s="81"/>
      <c r="M282" s="81"/>
      <c r="N282" s="120"/>
      <c r="O282" s="120"/>
      <c r="P282" s="81"/>
      <c r="Q282" s="81"/>
      <c r="R282" s="81"/>
      <c r="S282" s="81"/>
      <c r="T282" s="71" t="str" cm="1">
        <f t="array" ref="T282">IFERROR(INDEX(Products[[ProdCode]:[Product]],_xlfn.XMATCH(Products[[#This Row],[Parent]],Products[Product],0),2),Products[[#This Row],[Product]])</f>
        <v>Other gas hydrogen storage</v>
      </c>
      <c r="U282" s="71" t="str" cm="1">
        <f t="array" ref="U282">IFERROR(INDEX(Products[[ProdCode]:[Product]],_xlfn.XMATCH(INDEX(Products[[Product]:[Parent]],_xlfn.XMATCH(Products[[#This Row],[L1N]],Products[Product],0),2),Products[ProdCode],0),2),Products[[#This Row],[L1N]])</f>
        <v>Gas hydrogen storage</v>
      </c>
      <c r="V282" s="71" t="str" cm="1">
        <f t="array" ref="V282">IFERROR(INDEX(Products[[ProdCode]:[Product]],_xlfn.XMATCH(INDEX(Products[[Product]:[Parent]],_xlfn.XMATCH(Products[[#This Row],[L2N]],Products[Product],0),2),Products[ProdCode],0),2),Products[[#This Row],[L2N]])</f>
        <v>Hydrogen storage</v>
      </c>
      <c r="W282" s="71" t="str" cm="1">
        <f t="array" ref="W282">IFERROR(INDEX(Products[[ProdCode]:[Product]],_xlfn.XMATCH(INDEX(Products[[Product]:[Parent]],_xlfn.XMATCH(Products[[#This Row],[L3N]],Products[Product],0),2),Products[ProdCode],0),2),Products[[#This Row],[L3N]])</f>
        <v>Chemical fuels storage</v>
      </c>
      <c r="X282" s="71" t="str" cm="1">
        <f t="array" ref="X282">IFERROR(INDEX(Products[[ProdCode]:[Product]],_xlfn.XMATCH(INDEX(Products[[Product]:[Parent]],_xlfn.XMATCH(Products[[#This Row],[L4N]],Products[Product],0),2),Products[ProdCode],0),2),Products[[#This Row],[L4N]])</f>
        <v>Energy storage</v>
      </c>
      <c r="Y282" s="71" t="str" cm="1">
        <f t="array" ref="Y282">IFERROR(INDEX(Products[[ProdCode]:[Product]],_xlfn.XMATCH(INDEX(Products[[Product]:[Parent]],_xlfn.XMATCH(Products[[#This Row],[L5N]],Products[Product],0),2),Products[ProdCode],0),2),Products[[#This Row],[L5N]])</f>
        <v>Energy</v>
      </c>
      <c r="Z282" s="71" t="str" cm="1">
        <f t="array" ref="Z282">IFERROR(INDEX(Products[[ProdCode]:[Product]],_xlfn.XMATCH(INDEX(Products[[Product]:[Parent]],_xlfn.XMATCH(Products[[#This Row],[L6N]],Products[Product],0),2),Products[ProdCode],0),2),Products[[#This Row],[L6N]])</f>
        <v>Energy</v>
      </c>
      <c r="AA282" s="71" t="str" cm="1">
        <f t="array" ref="AA282">IFERROR(INDEX(Products[[ProdCode]:[Product]],_xlfn.XMATCH(INDEX(Products[[Product]:[Parent]],_xlfn.XMATCH(Products[[#This Row],[L7N]],Products[Product],0),2),Products[ProdCode],0),2),Products[[#This Row],[L7N]])</f>
        <v>Energy</v>
      </c>
      <c r="AB28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Gas hydrogen storage</v>
      </c>
      <c r="AG28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gas hydrogen storage</v>
      </c>
      <c r="AH28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gas hydrogen storage</v>
      </c>
      <c r="AI28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gas hydrogen storage</v>
      </c>
    </row>
    <row r="283" spans="2:35" x14ac:dyDescent="0.45">
      <c r="B283" s="112">
        <v>361200</v>
      </c>
      <c r="C283" s="86" t="s">
        <v>1094</v>
      </c>
      <c r="D283" s="112">
        <v>361000</v>
      </c>
      <c r="E283" s="83" t="s">
        <v>1093</v>
      </c>
      <c r="F283" s="19" t="s">
        <v>1189</v>
      </c>
      <c r="G283" s="81" t="s">
        <v>53</v>
      </c>
      <c r="H283" s="81" t="s">
        <v>83</v>
      </c>
      <c r="I283" s="81"/>
      <c r="J283" s="81"/>
      <c r="K283" s="81" t="s">
        <v>1706</v>
      </c>
      <c r="L283" s="81"/>
      <c r="M283" s="81"/>
      <c r="N283" s="120"/>
      <c r="O283" s="120"/>
      <c r="P283" s="81"/>
      <c r="Q283" s="81"/>
      <c r="R283" s="81"/>
      <c r="S283" s="81"/>
      <c r="T283" s="71" t="str" cm="1">
        <f t="array" ref="T283">IFERROR(INDEX(Products[[ProdCode]:[Product]],_xlfn.XMATCH(Products[[#This Row],[Parent]],Products[Product],0),2),Products[[#This Row],[Product]])</f>
        <v>Liquid hydrogen storage</v>
      </c>
      <c r="U283" s="71" t="str" cm="1">
        <f t="array" ref="U283">IFERROR(INDEX(Products[[ProdCode]:[Product]],_xlfn.XMATCH(INDEX(Products[[Product]:[Parent]],_xlfn.XMATCH(Products[[#This Row],[L1N]],Products[Product],0),2),Products[ProdCode],0),2),Products[[#This Row],[L1N]])</f>
        <v>Hydrogen storage</v>
      </c>
      <c r="V283" s="71" t="str" cm="1">
        <f t="array" ref="V283">IFERROR(INDEX(Products[[ProdCode]:[Product]],_xlfn.XMATCH(INDEX(Products[[Product]:[Parent]],_xlfn.XMATCH(Products[[#This Row],[L2N]],Products[Product],0),2),Products[ProdCode],0),2),Products[[#This Row],[L2N]])</f>
        <v>Chemical fuels storage</v>
      </c>
      <c r="W283" s="71" t="str" cm="1">
        <f t="array" ref="W283">IFERROR(INDEX(Products[[ProdCode]:[Product]],_xlfn.XMATCH(INDEX(Products[[Product]:[Parent]],_xlfn.XMATCH(Products[[#This Row],[L3N]],Products[Product],0),2),Products[ProdCode],0),2),Products[[#This Row],[L3N]])</f>
        <v>Energy storage</v>
      </c>
      <c r="X283" s="71" t="str" cm="1">
        <f t="array" ref="X283">IFERROR(INDEX(Products[[ProdCode]:[Product]],_xlfn.XMATCH(INDEX(Products[[Product]:[Parent]],_xlfn.XMATCH(Products[[#This Row],[L4N]],Products[Product],0),2),Products[ProdCode],0),2),Products[[#This Row],[L4N]])</f>
        <v>Energy</v>
      </c>
      <c r="Y283" s="71" t="str" cm="1">
        <f t="array" ref="Y283">IFERROR(INDEX(Products[[ProdCode]:[Product]],_xlfn.XMATCH(INDEX(Products[[Product]:[Parent]],_xlfn.XMATCH(Products[[#This Row],[L5N]],Products[Product],0),2),Products[ProdCode],0),2),Products[[#This Row],[L5N]])</f>
        <v>Energy</v>
      </c>
      <c r="Z283" s="71" t="str" cm="1">
        <f t="array" ref="Z283">IFERROR(INDEX(Products[[ProdCode]:[Product]],_xlfn.XMATCH(INDEX(Products[[Product]:[Parent]],_xlfn.XMATCH(Products[[#This Row],[L6N]],Products[Product],0),2),Products[ProdCode],0),2),Products[[#This Row],[L6N]])</f>
        <v>Energy</v>
      </c>
      <c r="AA283" s="71" t="str" cm="1">
        <f t="array" ref="AA283">IFERROR(INDEX(Products[[ProdCode]:[Product]],_xlfn.XMATCH(INDEX(Products[[Product]:[Parent]],_xlfn.XMATCH(Products[[#This Row],[L7N]],Products[Product],0),2),Products[ProdCode],0),2),Products[[#This Row],[L7N]])</f>
        <v>Energy</v>
      </c>
      <c r="AB28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Liquid hydrogen storage</v>
      </c>
      <c r="AG28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Liquid hydrogen storage</v>
      </c>
      <c r="AH28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Liquid hydrogen storage</v>
      </c>
      <c r="AI28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Liquid hydrogen storage</v>
      </c>
    </row>
    <row r="284" spans="2:35" x14ac:dyDescent="0.45">
      <c r="B284" s="112">
        <v>361300</v>
      </c>
      <c r="C284" s="86" t="s">
        <v>1095</v>
      </c>
      <c r="D284" s="112">
        <v>361000</v>
      </c>
      <c r="E284" s="83" t="s">
        <v>1093</v>
      </c>
      <c r="F284" s="19" t="s">
        <v>1189</v>
      </c>
      <c r="G284" s="81" t="s">
        <v>53</v>
      </c>
      <c r="H284" s="81" t="s">
        <v>65</v>
      </c>
      <c r="I284" s="81"/>
      <c r="J284" s="81"/>
      <c r="K284" s="81" t="s">
        <v>1707</v>
      </c>
      <c r="L284" s="81"/>
      <c r="M284" s="81"/>
      <c r="N284" s="120"/>
      <c r="O284" s="120"/>
      <c r="P284" s="81"/>
      <c r="Q284" s="81"/>
      <c r="R284" s="81"/>
      <c r="S284" s="81"/>
      <c r="T284" s="71" t="str" cm="1">
        <f t="array" ref="T284">IFERROR(INDEX(Products[[ProdCode]:[Product]],_xlfn.XMATCH(Products[[#This Row],[Parent]],Products[Product],0),2),Products[[#This Row],[Product]])</f>
        <v>Solid hydrogen storage</v>
      </c>
      <c r="U284" s="71" t="str" cm="1">
        <f t="array" ref="U284">IFERROR(INDEX(Products[[ProdCode]:[Product]],_xlfn.XMATCH(INDEX(Products[[Product]:[Parent]],_xlfn.XMATCH(Products[[#This Row],[L1N]],Products[Product],0),2),Products[ProdCode],0),2),Products[[#This Row],[L1N]])</f>
        <v>Hydrogen storage</v>
      </c>
      <c r="V284" s="71" t="str" cm="1">
        <f t="array" ref="V284">IFERROR(INDEX(Products[[ProdCode]:[Product]],_xlfn.XMATCH(INDEX(Products[[Product]:[Parent]],_xlfn.XMATCH(Products[[#This Row],[L2N]],Products[Product],0),2),Products[ProdCode],0),2),Products[[#This Row],[L2N]])</f>
        <v>Chemical fuels storage</v>
      </c>
      <c r="W284" s="71" t="str" cm="1">
        <f t="array" ref="W284">IFERROR(INDEX(Products[[ProdCode]:[Product]],_xlfn.XMATCH(INDEX(Products[[Product]:[Parent]],_xlfn.XMATCH(Products[[#This Row],[L3N]],Products[Product],0),2),Products[ProdCode],0),2),Products[[#This Row],[L3N]])</f>
        <v>Energy storage</v>
      </c>
      <c r="X284" s="71" t="str" cm="1">
        <f t="array" ref="X284">IFERROR(INDEX(Products[[ProdCode]:[Product]],_xlfn.XMATCH(INDEX(Products[[Product]:[Parent]],_xlfn.XMATCH(Products[[#This Row],[L4N]],Products[Product],0),2),Products[ProdCode],0),2),Products[[#This Row],[L4N]])</f>
        <v>Energy</v>
      </c>
      <c r="Y284" s="71" t="str" cm="1">
        <f t="array" ref="Y284">IFERROR(INDEX(Products[[ProdCode]:[Product]],_xlfn.XMATCH(INDEX(Products[[Product]:[Parent]],_xlfn.XMATCH(Products[[#This Row],[L5N]],Products[Product],0),2),Products[ProdCode],0),2),Products[[#This Row],[L5N]])</f>
        <v>Energy</v>
      </c>
      <c r="Z284" s="71" t="str" cm="1">
        <f t="array" ref="Z284">IFERROR(INDEX(Products[[ProdCode]:[Product]],_xlfn.XMATCH(INDEX(Products[[Product]:[Parent]],_xlfn.XMATCH(Products[[#This Row],[L6N]],Products[Product],0),2),Products[ProdCode],0),2),Products[[#This Row],[L6N]])</f>
        <v>Energy</v>
      </c>
      <c r="AA284" s="71" t="str" cm="1">
        <f t="array" ref="AA284">IFERROR(INDEX(Products[[ProdCode]:[Product]],_xlfn.XMATCH(INDEX(Products[[Product]:[Parent]],_xlfn.XMATCH(Products[[#This Row],[L7N]],Products[Product],0),2),Products[ProdCode],0),2),Products[[#This Row],[L7N]])</f>
        <v>Energy</v>
      </c>
      <c r="AB28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Solid hydrogen storage</v>
      </c>
      <c r="AG28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Solid hydrogen storage</v>
      </c>
      <c r="AH28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Solid hydrogen storage</v>
      </c>
      <c r="AI28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Solid hydrogen storage</v>
      </c>
    </row>
    <row r="285" spans="2:35" x14ac:dyDescent="0.45">
      <c r="B285" s="113">
        <v>361310</v>
      </c>
      <c r="C285" s="89" t="s">
        <v>1204</v>
      </c>
      <c r="D285" s="113">
        <v>361300</v>
      </c>
      <c r="E285" s="83" t="s">
        <v>1093</v>
      </c>
      <c r="F285" s="19" t="s">
        <v>1189</v>
      </c>
      <c r="G285" s="81" t="s">
        <v>1199</v>
      </c>
      <c r="H285" s="81" t="s">
        <v>83</v>
      </c>
      <c r="I285" s="81"/>
      <c r="J285" s="81"/>
      <c r="K285" s="81" t="s">
        <v>1708</v>
      </c>
      <c r="L285" s="81"/>
      <c r="M285" s="81"/>
      <c r="N285" s="120"/>
      <c r="O285" s="120"/>
      <c r="P285" s="81"/>
      <c r="Q285" s="81"/>
      <c r="R285" s="81"/>
      <c r="S285" s="81"/>
      <c r="T285" s="71" t="str" cm="1">
        <f t="array" ref="T285">IFERROR(INDEX(Products[[ProdCode]:[Product]],_xlfn.XMATCH(Products[[#This Row],[Parent]],Products[Product],0),2),Products[[#This Row],[Product]])</f>
        <v>Metal hydride hydrogen storage</v>
      </c>
      <c r="U285" s="71" t="str" cm="1">
        <f t="array" ref="U285">IFERROR(INDEX(Products[[ProdCode]:[Product]],_xlfn.XMATCH(INDEX(Products[[Product]:[Parent]],_xlfn.XMATCH(Products[[#This Row],[L1N]],Products[Product],0),2),Products[ProdCode],0),2),Products[[#This Row],[L1N]])</f>
        <v>Solid hydrogen storage</v>
      </c>
      <c r="V285" s="71" t="str" cm="1">
        <f t="array" ref="V285">IFERROR(INDEX(Products[[ProdCode]:[Product]],_xlfn.XMATCH(INDEX(Products[[Product]:[Parent]],_xlfn.XMATCH(Products[[#This Row],[L2N]],Products[Product],0),2),Products[ProdCode],0),2),Products[[#This Row],[L2N]])</f>
        <v>Hydrogen storage</v>
      </c>
      <c r="W285" s="71" t="str" cm="1">
        <f t="array" ref="W285">IFERROR(INDEX(Products[[ProdCode]:[Product]],_xlfn.XMATCH(INDEX(Products[[Product]:[Parent]],_xlfn.XMATCH(Products[[#This Row],[L3N]],Products[Product],0),2),Products[ProdCode],0),2),Products[[#This Row],[L3N]])</f>
        <v>Chemical fuels storage</v>
      </c>
      <c r="X285" s="71" t="str" cm="1">
        <f t="array" ref="X285">IFERROR(INDEX(Products[[ProdCode]:[Product]],_xlfn.XMATCH(INDEX(Products[[Product]:[Parent]],_xlfn.XMATCH(Products[[#This Row],[L4N]],Products[Product],0),2),Products[ProdCode],0),2),Products[[#This Row],[L4N]])</f>
        <v>Energy storage</v>
      </c>
      <c r="Y285" s="71" t="str" cm="1">
        <f t="array" ref="Y285">IFERROR(INDEX(Products[[ProdCode]:[Product]],_xlfn.XMATCH(INDEX(Products[[Product]:[Parent]],_xlfn.XMATCH(Products[[#This Row],[L5N]],Products[Product],0),2),Products[ProdCode],0),2),Products[[#This Row],[L5N]])</f>
        <v>Energy</v>
      </c>
      <c r="Z285" s="71" t="str" cm="1">
        <f t="array" ref="Z285">IFERROR(INDEX(Products[[ProdCode]:[Product]],_xlfn.XMATCH(INDEX(Products[[Product]:[Parent]],_xlfn.XMATCH(Products[[#This Row],[L6N]],Products[Product],0),2),Products[ProdCode],0),2),Products[[#This Row],[L6N]])</f>
        <v>Energy</v>
      </c>
      <c r="AA285" s="71" t="str" cm="1">
        <f t="array" ref="AA285">IFERROR(INDEX(Products[[ProdCode]:[Product]],_xlfn.XMATCH(INDEX(Products[[Product]:[Parent]],_xlfn.XMATCH(Products[[#This Row],[L7N]],Products[Product],0),2),Products[ProdCode],0),2),Products[[#This Row],[L7N]])</f>
        <v>Energy</v>
      </c>
      <c r="AB28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Solid hydrogen storage</v>
      </c>
      <c r="AG28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Metal hydride hydrogen storage</v>
      </c>
      <c r="AH28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Metal hydride hydrogen storage</v>
      </c>
      <c r="AI28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Metal hydride hydrogen storage</v>
      </c>
    </row>
    <row r="286" spans="2:35" x14ac:dyDescent="0.45">
      <c r="B286" s="113">
        <v>361320</v>
      </c>
      <c r="C286" s="89" t="s">
        <v>1205</v>
      </c>
      <c r="D286" s="113">
        <v>361300</v>
      </c>
      <c r="E286" s="83" t="s">
        <v>1093</v>
      </c>
      <c r="F286" s="19" t="s">
        <v>1189</v>
      </c>
      <c r="G286" s="81" t="s">
        <v>1199</v>
      </c>
      <c r="H286" s="81" t="s">
        <v>83</v>
      </c>
      <c r="I286" s="81"/>
      <c r="J286" s="81"/>
      <c r="K286" s="81" t="s">
        <v>1709</v>
      </c>
      <c r="L286" s="81"/>
      <c r="M286" s="81"/>
      <c r="N286" s="120"/>
      <c r="O286" s="120"/>
      <c r="P286" s="81"/>
      <c r="Q286" s="81"/>
      <c r="R286" s="81"/>
      <c r="S286" s="81"/>
      <c r="T286" s="71" t="str" cm="1">
        <f t="array" ref="T286">IFERROR(INDEX(Products[[ProdCode]:[Product]],_xlfn.XMATCH(Products[[#This Row],[Parent]],Products[Product],0),2),Products[[#This Row],[Product]])</f>
        <v>Adsorbent hydrogen storage</v>
      </c>
      <c r="U286" s="71" t="str" cm="1">
        <f t="array" ref="U286">IFERROR(INDEX(Products[[ProdCode]:[Product]],_xlfn.XMATCH(INDEX(Products[[Product]:[Parent]],_xlfn.XMATCH(Products[[#This Row],[L1N]],Products[Product],0),2),Products[ProdCode],0),2),Products[[#This Row],[L1N]])</f>
        <v>Solid hydrogen storage</v>
      </c>
      <c r="V286" s="71" t="str" cm="1">
        <f t="array" ref="V286">IFERROR(INDEX(Products[[ProdCode]:[Product]],_xlfn.XMATCH(INDEX(Products[[Product]:[Parent]],_xlfn.XMATCH(Products[[#This Row],[L2N]],Products[Product],0),2),Products[ProdCode],0),2),Products[[#This Row],[L2N]])</f>
        <v>Hydrogen storage</v>
      </c>
      <c r="W286" s="71" t="str" cm="1">
        <f t="array" ref="W286">IFERROR(INDEX(Products[[ProdCode]:[Product]],_xlfn.XMATCH(INDEX(Products[[Product]:[Parent]],_xlfn.XMATCH(Products[[#This Row],[L3N]],Products[Product],0),2),Products[ProdCode],0),2),Products[[#This Row],[L3N]])</f>
        <v>Chemical fuels storage</v>
      </c>
      <c r="X286" s="71" t="str" cm="1">
        <f t="array" ref="X286">IFERROR(INDEX(Products[[ProdCode]:[Product]],_xlfn.XMATCH(INDEX(Products[[Product]:[Parent]],_xlfn.XMATCH(Products[[#This Row],[L4N]],Products[Product],0),2),Products[ProdCode],0),2),Products[[#This Row],[L4N]])</f>
        <v>Energy storage</v>
      </c>
      <c r="Y286" s="71" t="str" cm="1">
        <f t="array" ref="Y286">IFERROR(INDEX(Products[[ProdCode]:[Product]],_xlfn.XMATCH(INDEX(Products[[Product]:[Parent]],_xlfn.XMATCH(Products[[#This Row],[L5N]],Products[Product],0),2),Products[ProdCode],0),2),Products[[#This Row],[L5N]])</f>
        <v>Energy</v>
      </c>
      <c r="Z286" s="71" t="str" cm="1">
        <f t="array" ref="Z286">IFERROR(INDEX(Products[[ProdCode]:[Product]],_xlfn.XMATCH(INDEX(Products[[Product]:[Parent]],_xlfn.XMATCH(Products[[#This Row],[L6N]],Products[Product],0),2),Products[ProdCode],0),2),Products[[#This Row],[L6N]])</f>
        <v>Energy</v>
      </c>
      <c r="AA286" s="71" t="str" cm="1">
        <f t="array" ref="AA286">IFERROR(INDEX(Products[[ProdCode]:[Product]],_xlfn.XMATCH(INDEX(Products[[Product]:[Parent]],_xlfn.XMATCH(Products[[#This Row],[L7N]],Products[Product],0),2),Products[ProdCode],0),2),Products[[#This Row],[L7N]])</f>
        <v>Energy</v>
      </c>
      <c r="AB28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Solid hydrogen storage</v>
      </c>
      <c r="AG28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Adsorbent hydrogen storage</v>
      </c>
      <c r="AH28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Adsorbent hydrogen storage</v>
      </c>
      <c r="AI28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Adsorbent hydrogen storage</v>
      </c>
    </row>
    <row r="287" spans="2:35" x14ac:dyDescent="0.45">
      <c r="B287" s="113">
        <v>361390</v>
      </c>
      <c r="C287" s="89" t="s">
        <v>1183</v>
      </c>
      <c r="D287" s="113">
        <v>361300</v>
      </c>
      <c r="E287" s="83" t="s">
        <v>1093</v>
      </c>
      <c r="F287" s="19" t="s">
        <v>1189</v>
      </c>
      <c r="G287" s="81" t="s">
        <v>1199</v>
      </c>
      <c r="H287" s="81" t="s">
        <v>83</v>
      </c>
      <c r="I287" s="81"/>
      <c r="J287" s="81"/>
      <c r="K287" s="81" t="s">
        <v>1710</v>
      </c>
      <c r="L287" s="81"/>
      <c r="M287" s="81"/>
      <c r="N287" s="120"/>
      <c r="O287" s="120"/>
      <c r="P287" s="81"/>
      <c r="Q287" s="81"/>
      <c r="R287" s="81"/>
      <c r="S287" s="81"/>
      <c r="T287" s="71" t="str" cm="1">
        <f t="array" ref="T287">IFERROR(INDEX(Products[[ProdCode]:[Product]],_xlfn.XMATCH(Products[[#This Row],[Parent]],Products[Product],0),2),Products[[#This Row],[Product]])</f>
        <v>Other solid hydrogen storage</v>
      </c>
      <c r="U287" s="71" t="str" cm="1">
        <f t="array" ref="U287">IFERROR(INDEX(Products[[ProdCode]:[Product]],_xlfn.XMATCH(INDEX(Products[[Product]:[Parent]],_xlfn.XMATCH(Products[[#This Row],[L1N]],Products[Product],0),2),Products[ProdCode],0),2),Products[[#This Row],[L1N]])</f>
        <v>Solid hydrogen storage</v>
      </c>
      <c r="V287" s="71" t="str" cm="1">
        <f t="array" ref="V287">IFERROR(INDEX(Products[[ProdCode]:[Product]],_xlfn.XMATCH(INDEX(Products[[Product]:[Parent]],_xlfn.XMATCH(Products[[#This Row],[L2N]],Products[Product],0),2),Products[ProdCode],0),2),Products[[#This Row],[L2N]])</f>
        <v>Hydrogen storage</v>
      </c>
      <c r="W287" s="71" t="str" cm="1">
        <f t="array" ref="W287">IFERROR(INDEX(Products[[ProdCode]:[Product]],_xlfn.XMATCH(INDEX(Products[[Product]:[Parent]],_xlfn.XMATCH(Products[[#This Row],[L3N]],Products[Product],0),2),Products[ProdCode],0),2),Products[[#This Row],[L3N]])</f>
        <v>Chemical fuels storage</v>
      </c>
      <c r="X287" s="71" t="str" cm="1">
        <f t="array" ref="X287">IFERROR(INDEX(Products[[ProdCode]:[Product]],_xlfn.XMATCH(INDEX(Products[[Product]:[Parent]],_xlfn.XMATCH(Products[[#This Row],[L4N]],Products[Product],0),2),Products[ProdCode],0),2),Products[[#This Row],[L4N]])</f>
        <v>Energy storage</v>
      </c>
      <c r="Y287" s="71" t="str" cm="1">
        <f t="array" ref="Y287">IFERROR(INDEX(Products[[ProdCode]:[Product]],_xlfn.XMATCH(INDEX(Products[[Product]:[Parent]],_xlfn.XMATCH(Products[[#This Row],[L5N]],Products[Product],0),2),Products[ProdCode],0),2),Products[[#This Row],[L5N]])</f>
        <v>Energy</v>
      </c>
      <c r="Z287" s="71" t="str" cm="1">
        <f t="array" ref="Z287">IFERROR(INDEX(Products[[ProdCode]:[Product]],_xlfn.XMATCH(INDEX(Products[[Product]:[Parent]],_xlfn.XMATCH(Products[[#This Row],[L6N]],Products[Product],0),2),Products[ProdCode],0),2),Products[[#This Row],[L6N]])</f>
        <v>Energy</v>
      </c>
      <c r="AA287" s="71" t="str" cm="1">
        <f t="array" ref="AA287">IFERROR(INDEX(Products[[ProdCode]:[Product]],_xlfn.XMATCH(INDEX(Products[[Product]:[Parent]],_xlfn.XMATCH(Products[[#This Row],[L7N]],Products[Product],0),2),Products[ProdCode],0),2),Products[[#This Row],[L7N]])</f>
        <v>Energy</v>
      </c>
      <c r="AB28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Hydrogen storage</v>
      </c>
      <c r="AF28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Solid hydrogen storage</v>
      </c>
      <c r="AG28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solid hydrogen storage</v>
      </c>
      <c r="AH28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solid hydrogen storage</v>
      </c>
      <c r="AI28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solid hydrogen storage</v>
      </c>
    </row>
    <row r="288" spans="2:35" x14ac:dyDescent="0.45">
      <c r="B288" s="111">
        <v>362000</v>
      </c>
      <c r="C288" s="80" t="s">
        <v>1086</v>
      </c>
      <c r="D288" s="111">
        <v>360000</v>
      </c>
      <c r="E288" s="83" t="s">
        <v>1093</v>
      </c>
      <c r="F288" s="19" t="s">
        <v>1189</v>
      </c>
      <c r="G288" s="81" t="s">
        <v>54</v>
      </c>
      <c r="H288" s="81" t="s">
        <v>83</v>
      </c>
      <c r="I288" s="81"/>
      <c r="J288" s="81"/>
      <c r="K288" s="81" t="s">
        <v>1711</v>
      </c>
      <c r="L288" s="81"/>
      <c r="M288" s="81"/>
      <c r="N288" s="120"/>
      <c r="O288" s="120"/>
      <c r="P288" s="81"/>
      <c r="Q288" s="81"/>
      <c r="R288" s="81"/>
      <c r="S288" s="81"/>
      <c r="T288" s="71" t="str" cm="1">
        <f t="array" ref="T288">IFERROR(INDEX(Products[[ProdCode]:[Product]],_xlfn.XMATCH(Products[[#This Row],[Parent]],Products[Product],0),2),Products[[#This Row],[Product]])</f>
        <v>Ammonia storage</v>
      </c>
      <c r="U288" s="71" t="str" cm="1">
        <f t="array" ref="U288">IFERROR(INDEX(Products[[ProdCode]:[Product]],_xlfn.XMATCH(INDEX(Products[[Product]:[Parent]],_xlfn.XMATCH(Products[[#This Row],[L1N]],Products[Product],0),2),Products[ProdCode],0),2),Products[[#This Row],[L1N]])</f>
        <v>Chemical fuels storage</v>
      </c>
      <c r="V288" s="71" t="str" cm="1">
        <f t="array" ref="V288">IFERROR(INDEX(Products[[ProdCode]:[Product]],_xlfn.XMATCH(INDEX(Products[[Product]:[Parent]],_xlfn.XMATCH(Products[[#This Row],[L2N]],Products[Product],0),2),Products[ProdCode],0),2),Products[[#This Row],[L2N]])</f>
        <v>Energy storage</v>
      </c>
      <c r="W288" s="71" t="str" cm="1">
        <f t="array" ref="W288">IFERROR(INDEX(Products[[ProdCode]:[Product]],_xlfn.XMATCH(INDEX(Products[[Product]:[Parent]],_xlfn.XMATCH(Products[[#This Row],[L3N]],Products[Product],0),2),Products[ProdCode],0),2),Products[[#This Row],[L3N]])</f>
        <v>Energy</v>
      </c>
      <c r="X288" s="71" t="str" cm="1">
        <f t="array" ref="X288">IFERROR(INDEX(Products[[ProdCode]:[Product]],_xlfn.XMATCH(INDEX(Products[[Product]:[Parent]],_xlfn.XMATCH(Products[[#This Row],[L4N]],Products[Product],0),2),Products[ProdCode],0),2),Products[[#This Row],[L4N]])</f>
        <v>Energy</v>
      </c>
      <c r="Y288" s="71" t="str" cm="1">
        <f t="array" ref="Y288">IFERROR(INDEX(Products[[ProdCode]:[Product]],_xlfn.XMATCH(INDEX(Products[[Product]:[Parent]],_xlfn.XMATCH(Products[[#This Row],[L5N]],Products[Product],0),2),Products[ProdCode],0),2),Products[[#This Row],[L5N]])</f>
        <v>Energy</v>
      </c>
      <c r="Z288" s="71" t="str" cm="1">
        <f t="array" ref="Z288">IFERROR(INDEX(Products[[ProdCode]:[Product]],_xlfn.XMATCH(INDEX(Products[[Product]:[Parent]],_xlfn.XMATCH(Products[[#This Row],[L6N]],Products[Product],0),2),Products[ProdCode],0),2),Products[[#This Row],[L6N]])</f>
        <v>Energy</v>
      </c>
      <c r="AA288" s="71" t="str" cm="1">
        <f t="array" ref="AA288">IFERROR(INDEX(Products[[ProdCode]:[Product]],_xlfn.XMATCH(INDEX(Products[[Product]:[Parent]],_xlfn.XMATCH(Products[[#This Row],[L7N]],Products[Product],0),2),Products[ProdCode],0),2),Products[[#This Row],[L7N]])</f>
        <v>Energy</v>
      </c>
      <c r="AB28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Ammonia storage</v>
      </c>
      <c r="AF28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Ammonia storage</v>
      </c>
      <c r="AG28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Ammonia storage</v>
      </c>
      <c r="AH28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Ammonia storage</v>
      </c>
      <c r="AI28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Ammonia storage</v>
      </c>
    </row>
    <row r="289" spans="2:35" x14ac:dyDescent="0.45">
      <c r="B289" s="111">
        <v>369000</v>
      </c>
      <c r="C289" s="80" t="s">
        <v>1181</v>
      </c>
      <c r="D289" s="111">
        <v>360000</v>
      </c>
      <c r="E289" s="83" t="s">
        <v>1093</v>
      </c>
      <c r="F289" s="19" t="s">
        <v>1189</v>
      </c>
      <c r="G289" s="81" t="s">
        <v>54</v>
      </c>
      <c r="H289" s="81" t="s">
        <v>83</v>
      </c>
      <c r="I289" s="81"/>
      <c r="J289" s="81"/>
      <c r="K289" s="81" t="s">
        <v>1712</v>
      </c>
      <c r="L289" s="81"/>
      <c r="M289" s="81"/>
      <c r="N289" s="120"/>
      <c r="O289" s="120"/>
      <c r="P289" s="81"/>
      <c r="Q289" s="81"/>
      <c r="R289" s="81"/>
      <c r="S289" s="81"/>
      <c r="T289" s="71" t="str" cm="1">
        <f t="array" ref="T289">IFERROR(INDEX(Products[[ProdCode]:[Product]],_xlfn.XMATCH(Products[[#This Row],[Parent]],Products[Product],0),2),Products[[#This Row],[Product]])</f>
        <v>Other chemical fuels storage</v>
      </c>
      <c r="U289" s="71" t="str" cm="1">
        <f t="array" ref="U289">IFERROR(INDEX(Products[[ProdCode]:[Product]],_xlfn.XMATCH(INDEX(Products[[Product]:[Parent]],_xlfn.XMATCH(Products[[#This Row],[L1N]],Products[Product],0),2),Products[ProdCode],0),2),Products[[#This Row],[L1N]])</f>
        <v>Chemical fuels storage</v>
      </c>
      <c r="V289" s="71" t="str" cm="1">
        <f t="array" ref="V289">IFERROR(INDEX(Products[[ProdCode]:[Product]],_xlfn.XMATCH(INDEX(Products[[Product]:[Parent]],_xlfn.XMATCH(Products[[#This Row],[L2N]],Products[Product],0),2),Products[ProdCode],0),2),Products[[#This Row],[L2N]])</f>
        <v>Energy storage</v>
      </c>
      <c r="W289" s="71" t="str" cm="1">
        <f t="array" ref="W289">IFERROR(INDEX(Products[[ProdCode]:[Product]],_xlfn.XMATCH(INDEX(Products[[Product]:[Parent]],_xlfn.XMATCH(Products[[#This Row],[L3N]],Products[Product],0),2),Products[ProdCode],0),2),Products[[#This Row],[L3N]])</f>
        <v>Energy</v>
      </c>
      <c r="X289" s="71" t="str" cm="1">
        <f t="array" ref="X289">IFERROR(INDEX(Products[[ProdCode]:[Product]],_xlfn.XMATCH(INDEX(Products[[Product]:[Parent]],_xlfn.XMATCH(Products[[#This Row],[L4N]],Products[Product],0),2),Products[ProdCode],0),2),Products[[#This Row],[L4N]])</f>
        <v>Energy</v>
      </c>
      <c r="Y289" s="71" t="str" cm="1">
        <f t="array" ref="Y289">IFERROR(INDEX(Products[[ProdCode]:[Product]],_xlfn.XMATCH(INDEX(Products[[Product]:[Parent]],_xlfn.XMATCH(Products[[#This Row],[L5N]],Products[Product],0),2),Products[ProdCode],0),2),Products[[#This Row],[L5N]])</f>
        <v>Energy</v>
      </c>
      <c r="Z289" s="71" t="str" cm="1">
        <f t="array" ref="Z289">IFERROR(INDEX(Products[[ProdCode]:[Product]],_xlfn.XMATCH(INDEX(Products[[Product]:[Parent]],_xlfn.XMATCH(Products[[#This Row],[L6N]],Products[Product],0),2),Products[ProdCode],0),2),Products[[#This Row],[L6N]])</f>
        <v>Energy</v>
      </c>
      <c r="AA289" s="71" t="str" cm="1">
        <f t="array" ref="AA289">IFERROR(INDEX(Products[[ProdCode]:[Product]],_xlfn.XMATCH(INDEX(Products[[Product]:[Parent]],_xlfn.XMATCH(Products[[#This Row],[L7N]],Products[Product],0),2),Products[ProdCode],0),2),Products[[#This Row],[L7N]])</f>
        <v>Energy</v>
      </c>
      <c r="AB289"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89"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 storage</v>
      </c>
      <c r="AD289"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Chemical fuels storage</v>
      </c>
      <c r="AE289"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Other chemical fuels storage</v>
      </c>
      <c r="AF289"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Other chemical fuels storage</v>
      </c>
      <c r="AG289"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Other chemical fuels storage</v>
      </c>
      <c r="AH289"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Other chemical fuels storage</v>
      </c>
      <c r="AI289"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Other chemical fuels storage</v>
      </c>
    </row>
    <row r="290" spans="2:35" ht="15.75" x14ac:dyDescent="0.5">
      <c r="B290" s="114">
        <v>900000</v>
      </c>
      <c r="C290" s="68" t="s">
        <v>925</v>
      </c>
      <c r="D290" s="114"/>
      <c r="E290" s="19" t="s">
        <v>1092</v>
      </c>
      <c r="F290" s="19" t="s">
        <v>1188</v>
      </c>
      <c r="G290" t="s">
        <v>1197</v>
      </c>
      <c r="H290" t="s">
        <v>65</v>
      </c>
      <c r="K290" t="s">
        <v>1381</v>
      </c>
      <c r="N290" s="121"/>
      <c r="O290" s="121"/>
      <c r="T290" s="71" t="str" cm="1">
        <f t="array" ref="T290">IFERROR(INDEX(Products[[ProdCode]:[Product]],_xlfn.XMATCH(Products[[#This Row],[Parent]],Products[Product],0),2),Products[[#This Row],[Product]])</f>
        <v>Energy</v>
      </c>
      <c r="U290" s="71" t="str" cm="1">
        <f t="array" ref="U290">IFERROR(INDEX(Products[[ProdCode]:[Product]],_xlfn.XMATCH(INDEX(Products[[Product]:[Parent]],_xlfn.XMATCH(Products[[#This Row],[L1N]],Products[Product],0),2),Products[ProdCode],0),2),Products[[#This Row],[L1N]])</f>
        <v>Energy</v>
      </c>
      <c r="V290" s="71" t="str" cm="1">
        <f t="array" ref="V290">IFERROR(INDEX(Products[[ProdCode]:[Product]],_xlfn.XMATCH(INDEX(Products[[Product]:[Parent]],_xlfn.XMATCH(Products[[#This Row],[L2N]],Products[Product],0),2),Products[ProdCode],0),2),Products[[#This Row],[L2N]])</f>
        <v>Energy</v>
      </c>
      <c r="W290" s="71" t="str" cm="1">
        <f t="array" ref="W290">IFERROR(INDEX(Products[[ProdCode]:[Product]],_xlfn.XMATCH(INDEX(Products[[Product]:[Parent]],_xlfn.XMATCH(Products[[#This Row],[L3N]],Products[Product],0),2),Products[ProdCode],0),2),Products[[#This Row],[L3N]])</f>
        <v>Energy</v>
      </c>
      <c r="X290" s="71" t="str" cm="1">
        <f t="array" ref="X290">IFERROR(INDEX(Products[[ProdCode]:[Product]],_xlfn.XMATCH(INDEX(Products[[Product]:[Parent]],_xlfn.XMATCH(Products[[#This Row],[L4N]],Products[Product],0),2),Products[ProdCode],0),2),Products[[#This Row],[L4N]])</f>
        <v>Energy</v>
      </c>
      <c r="Y290" s="71" t="str" cm="1">
        <f t="array" ref="Y290">IFERROR(INDEX(Products[[ProdCode]:[Product]],_xlfn.XMATCH(INDEX(Products[[Product]:[Parent]],_xlfn.XMATCH(Products[[#This Row],[L5N]],Products[Product],0),2),Products[ProdCode],0),2),Products[[#This Row],[L5N]])</f>
        <v>Energy</v>
      </c>
      <c r="Z290" s="71" t="str" cm="1">
        <f t="array" ref="Z290">IFERROR(INDEX(Products[[ProdCode]:[Product]],_xlfn.XMATCH(INDEX(Products[[Product]:[Parent]],_xlfn.XMATCH(Products[[#This Row],[L6N]],Products[Product],0),2),Products[ProdCode],0),2),Products[[#This Row],[L6N]])</f>
        <v>Energy</v>
      </c>
      <c r="AA290" s="71" t="str" cm="1">
        <f t="array" ref="AA290">IFERROR(INDEX(Products[[ProdCode]:[Product]],_xlfn.XMATCH(INDEX(Products[[Product]:[Parent]],_xlfn.XMATCH(Products[[#This Row],[L7N]],Products[Product],0),2),Products[ProdCode],0),2),Products[[#This Row],[L7N]])</f>
        <v>Energy</v>
      </c>
      <c r="AB290"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Energy</v>
      </c>
      <c r="AC290"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Energy</v>
      </c>
      <c r="AD290"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Energy</v>
      </c>
      <c r="AE290"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Energy</v>
      </c>
      <c r="AF290"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Energy</v>
      </c>
      <c r="AG290"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Energy</v>
      </c>
      <c r="AH290"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Energy</v>
      </c>
      <c r="AI290"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Energy</v>
      </c>
    </row>
    <row r="291" spans="2:35" ht="15.75" x14ac:dyDescent="0.5">
      <c r="B291" s="114">
        <v>700000</v>
      </c>
      <c r="C291" s="68" t="s">
        <v>709</v>
      </c>
      <c r="D291" s="114"/>
      <c r="E291" s="19" t="s">
        <v>1092</v>
      </c>
      <c r="F291" s="83" t="s">
        <v>1191</v>
      </c>
      <c r="G291" s="81" t="s">
        <v>1197</v>
      </c>
      <c r="H291" s="81" t="s">
        <v>65</v>
      </c>
      <c r="I291" s="81"/>
      <c r="J291" s="81"/>
      <c r="K291" s="81" t="s">
        <v>1434</v>
      </c>
      <c r="L291" s="81" t="s">
        <v>1954</v>
      </c>
      <c r="M291" s="81">
        <v>3.6</v>
      </c>
      <c r="N291" s="120"/>
      <c r="O291" s="120"/>
      <c r="P291" s="81"/>
      <c r="Q291" s="81" t="s">
        <v>709</v>
      </c>
      <c r="R291" s="81"/>
      <c r="S291" s="81"/>
      <c r="T291" s="71" t="str" cm="1">
        <f t="array" ref="T291">IFERROR(INDEX(Products[[ProdCode]:[Product]],_xlfn.XMATCH(Products[[#This Row],[Parent]],Products[Product],0),2),Products[[#This Row],[Product]])</f>
        <v>Electricity</v>
      </c>
      <c r="U291" s="71" t="str" cm="1">
        <f t="array" ref="U291">IFERROR(INDEX(Products[[ProdCode]:[Product]],_xlfn.XMATCH(INDEX(Products[[Product]:[Parent]],_xlfn.XMATCH(Products[[#This Row],[L1N]],Products[Product],0),2),Products[ProdCode],0),2),Products[[#This Row],[L1N]])</f>
        <v>Electricity</v>
      </c>
      <c r="V291" s="71" t="str" cm="1">
        <f t="array" ref="V291">IFERROR(INDEX(Products[[ProdCode]:[Product]],_xlfn.XMATCH(INDEX(Products[[Product]:[Parent]],_xlfn.XMATCH(Products[[#This Row],[L2N]],Products[Product],0),2),Products[ProdCode],0),2),Products[[#This Row],[L2N]])</f>
        <v>Electricity</v>
      </c>
      <c r="W291" s="71" t="str" cm="1">
        <f t="array" ref="W291">IFERROR(INDEX(Products[[ProdCode]:[Product]],_xlfn.XMATCH(INDEX(Products[[Product]:[Parent]],_xlfn.XMATCH(Products[[#This Row],[L3N]],Products[Product],0),2),Products[ProdCode],0),2),Products[[#This Row],[L3N]])</f>
        <v>Electricity</v>
      </c>
      <c r="X291" s="71" t="str" cm="1">
        <f t="array" ref="X291">IFERROR(INDEX(Products[[ProdCode]:[Product]],_xlfn.XMATCH(INDEX(Products[[Product]:[Parent]],_xlfn.XMATCH(Products[[#This Row],[L4N]],Products[Product],0),2),Products[ProdCode],0),2),Products[[#This Row],[L4N]])</f>
        <v>Electricity</v>
      </c>
      <c r="Y291" s="71" t="str" cm="1">
        <f t="array" ref="Y291">IFERROR(INDEX(Products[[ProdCode]:[Product]],_xlfn.XMATCH(INDEX(Products[[Product]:[Parent]],_xlfn.XMATCH(Products[[#This Row],[L5N]],Products[Product],0),2),Products[ProdCode],0),2),Products[[#This Row],[L5N]])</f>
        <v>Electricity</v>
      </c>
      <c r="Z291" s="71" t="str" cm="1">
        <f t="array" ref="Z291">IFERROR(INDEX(Products[[ProdCode]:[Product]],_xlfn.XMATCH(INDEX(Products[[Product]:[Parent]],_xlfn.XMATCH(Products[[#This Row],[L6N]],Products[Product],0),2),Products[ProdCode],0),2),Products[[#This Row],[L6N]])</f>
        <v>Electricity</v>
      </c>
      <c r="AA291" s="71" t="str" cm="1">
        <f t="array" ref="AA291">IFERROR(INDEX(Products[[ProdCode]:[Product]],_xlfn.XMATCH(INDEX(Products[[Product]:[Parent]],_xlfn.XMATCH(Products[[#This Row],[L7N]],Products[Product],0),2),Products[ProdCode],0),2),Products[[#This Row],[L7N]])</f>
        <v>Electricity</v>
      </c>
      <c r="AB291"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Electricity</v>
      </c>
      <c r="AC291"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Electricity</v>
      </c>
      <c r="AD291"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Electricity</v>
      </c>
      <c r="AE291"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Electricity</v>
      </c>
      <c r="AF291"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Electricity</v>
      </c>
      <c r="AG291"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Electricity</v>
      </c>
      <c r="AH291"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Electricity</v>
      </c>
      <c r="AI291"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Electricity</v>
      </c>
    </row>
    <row r="292" spans="2:35" ht="15.75" x14ac:dyDescent="0.5">
      <c r="B292" s="114">
        <v>800000</v>
      </c>
      <c r="C292" s="68" t="s">
        <v>714</v>
      </c>
      <c r="D292" s="114"/>
      <c r="E292" s="19" t="s">
        <v>1092</v>
      </c>
      <c r="F292" s="83" t="s">
        <v>1191</v>
      </c>
      <c r="G292" s="81" t="s">
        <v>1197</v>
      </c>
      <c r="H292" s="81" t="s">
        <v>65</v>
      </c>
      <c r="I292" s="81"/>
      <c r="J292" s="81"/>
      <c r="K292" s="81" t="s">
        <v>745</v>
      </c>
      <c r="L292" s="81" t="s">
        <v>1955</v>
      </c>
      <c r="M292" s="81">
        <v>1</v>
      </c>
      <c r="N292" s="120"/>
      <c r="O292" s="120"/>
      <c r="P292" s="81"/>
      <c r="Q292" s="81" t="s">
        <v>714</v>
      </c>
      <c r="R292" s="81"/>
      <c r="S292" s="81"/>
      <c r="T292" s="71" t="str" cm="1">
        <f t="array" ref="T292">IFERROR(INDEX(Products[[ProdCode]:[Product]],_xlfn.XMATCH(Products[[#This Row],[Parent]],Products[Product],0),2),Products[[#This Row],[Product]])</f>
        <v>Heat</v>
      </c>
      <c r="U292" s="71" t="str" cm="1">
        <f t="array" ref="U292">IFERROR(INDEX(Products[[ProdCode]:[Product]],_xlfn.XMATCH(INDEX(Products[[Product]:[Parent]],_xlfn.XMATCH(Products[[#This Row],[L1N]],Products[Product],0),2),Products[ProdCode],0),2),Products[[#This Row],[L1N]])</f>
        <v>Heat</v>
      </c>
      <c r="V292" s="71" t="str" cm="1">
        <f t="array" ref="V292">IFERROR(INDEX(Products[[ProdCode]:[Product]],_xlfn.XMATCH(INDEX(Products[[Product]:[Parent]],_xlfn.XMATCH(Products[[#This Row],[L2N]],Products[Product],0),2),Products[ProdCode],0),2),Products[[#This Row],[L2N]])</f>
        <v>Heat</v>
      </c>
      <c r="W292" s="71" t="str" cm="1">
        <f t="array" ref="W292">IFERROR(INDEX(Products[[ProdCode]:[Product]],_xlfn.XMATCH(INDEX(Products[[Product]:[Parent]],_xlfn.XMATCH(Products[[#This Row],[L3N]],Products[Product],0),2),Products[ProdCode],0),2),Products[[#This Row],[L3N]])</f>
        <v>Heat</v>
      </c>
      <c r="X292" s="71" t="str" cm="1">
        <f t="array" ref="X292">IFERROR(INDEX(Products[[ProdCode]:[Product]],_xlfn.XMATCH(INDEX(Products[[Product]:[Parent]],_xlfn.XMATCH(Products[[#This Row],[L4N]],Products[Product],0),2),Products[ProdCode],0),2),Products[[#This Row],[L4N]])</f>
        <v>Heat</v>
      </c>
      <c r="Y292" s="71" t="str" cm="1">
        <f t="array" ref="Y292">IFERROR(INDEX(Products[[ProdCode]:[Product]],_xlfn.XMATCH(INDEX(Products[[Product]:[Parent]],_xlfn.XMATCH(Products[[#This Row],[L5N]],Products[Product],0),2),Products[ProdCode],0),2),Products[[#This Row],[L5N]])</f>
        <v>Heat</v>
      </c>
      <c r="Z292" s="71" t="str" cm="1">
        <f t="array" ref="Z292">IFERROR(INDEX(Products[[ProdCode]:[Product]],_xlfn.XMATCH(INDEX(Products[[Product]:[Parent]],_xlfn.XMATCH(Products[[#This Row],[L6N]],Products[Product],0),2),Products[ProdCode],0),2),Products[[#This Row],[L6N]])</f>
        <v>Heat</v>
      </c>
      <c r="AA292" s="71" t="str" cm="1">
        <f t="array" ref="AA292">IFERROR(INDEX(Products[[ProdCode]:[Product]],_xlfn.XMATCH(INDEX(Products[[Product]:[Parent]],_xlfn.XMATCH(Products[[#This Row],[L7N]],Products[Product],0),2),Products[ProdCode],0),2),Products[[#This Row],[L7N]])</f>
        <v>Heat</v>
      </c>
      <c r="AB292"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Heat</v>
      </c>
      <c r="AC292"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Heat</v>
      </c>
      <c r="AD292"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Heat</v>
      </c>
      <c r="AE292"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Heat</v>
      </c>
      <c r="AF292"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Heat</v>
      </c>
      <c r="AG292"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Heat</v>
      </c>
      <c r="AH292"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Heat</v>
      </c>
      <c r="AI292"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Heat</v>
      </c>
    </row>
    <row r="293" spans="2:35" x14ac:dyDescent="0.45">
      <c r="B293" s="116">
        <v>710000</v>
      </c>
      <c r="C293" t="s">
        <v>1465</v>
      </c>
      <c r="D293" s="116">
        <v>700000</v>
      </c>
      <c r="E293" s="19"/>
      <c r="F293" s="83"/>
      <c r="G293" s="81"/>
      <c r="H293" s="81"/>
      <c r="I293" s="81"/>
      <c r="J293" s="81"/>
      <c r="K293" s="81"/>
      <c r="L293" s="81"/>
      <c r="M293" s="81"/>
      <c r="N293" s="120"/>
      <c r="O293" s="120"/>
      <c r="P293" s="81"/>
      <c r="Q293" s="81" t="s">
        <v>709</v>
      </c>
      <c r="R293" s="81"/>
      <c r="S293" s="81"/>
      <c r="T293" s="71" t="str" cm="1">
        <f t="array" ref="T293">IFERROR(INDEX(Products[[ProdCode]:[Product]],_xlfn.XMATCH(Products[[#This Row],[Parent]],Products[Product],0),2),Products[[#This Row],[Product]])</f>
        <v>Non-renewable Electricity</v>
      </c>
      <c r="U293" s="71" t="str" cm="1">
        <f t="array" ref="U293">IFERROR(INDEX(Products[[ProdCode]:[Product]],_xlfn.XMATCH(INDEX(Products[[Product]:[Parent]],_xlfn.XMATCH(Products[[#This Row],[L1N]],Products[Product],0),2),Products[ProdCode],0),2),Products[[#This Row],[L1N]])</f>
        <v>Electricity</v>
      </c>
      <c r="V293" s="71" t="str" cm="1">
        <f t="array" ref="V293">IFERROR(INDEX(Products[[ProdCode]:[Product]],_xlfn.XMATCH(INDEX(Products[[Product]:[Parent]],_xlfn.XMATCH(Products[[#This Row],[L2N]],Products[Product],0),2),Products[ProdCode],0),2),Products[[#This Row],[L2N]])</f>
        <v>Electricity</v>
      </c>
      <c r="W293" s="71" t="str" cm="1">
        <f t="array" ref="W293">IFERROR(INDEX(Products[[ProdCode]:[Product]],_xlfn.XMATCH(INDEX(Products[[Product]:[Parent]],_xlfn.XMATCH(Products[[#This Row],[L3N]],Products[Product],0),2),Products[ProdCode],0),2),Products[[#This Row],[L3N]])</f>
        <v>Electricity</v>
      </c>
      <c r="X293" s="71" t="str" cm="1">
        <f t="array" ref="X293">IFERROR(INDEX(Products[[ProdCode]:[Product]],_xlfn.XMATCH(INDEX(Products[[Product]:[Parent]],_xlfn.XMATCH(Products[[#This Row],[L4N]],Products[Product],0),2),Products[ProdCode],0),2),Products[[#This Row],[L4N]])</f>
        <v>Electricity</v>
      </c>
      <c r="Y293" s="71" t="str" cm="1">
        <f t="array" ref="Y293">IFERROR(INDEX(Products[[ProdCode]:[Product]],_xlfn.XMATCH(INDEX(Products[[Product]:[Parent]],_xlfn.XMATCH(Products[[#This Row],[L5N]],Products[Product],0),2),Products[ProdCode],0),2),Products[[#This Row],[L5N]])</f>
        <v>Electricity</v>
      </c>
      <c r="Z293" s="71" t="str" cm="1">
        <f t="array" ref="Z293">IFERROR(INDEX(Products[[ProdCode]:[Product]],_xlfn.XMATCH(INDEX(Products[[Product]:[Parent]],_xlfn.XMATCH(Products[[#This Row],[L6N]],Products[Product],0),2),Products[ProdCode],0),2),Products[[#This Row],[L6N]])</f>
        <v>Electricity</v>
      </c>
      <c r="AA293" s="71" t="str" cm="1">
        <f t="array" ref="AA293">IFERROR(INDEX(Products[[ProdCode]:[Product]],_xlfn.XMATCH(INDEX(Products[[Product]:[Parent]],_xlfn.XMATCH(Products[[#This Row],[L7N]],Products[Product],0),2),Products[ProdCode],0),2),Products[[#This Row],[L7N]])</f>
        <v>Electricity</v>
      </c>
      <c r="AB293"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Electricity</v>
      </c>
      <c r="AC293"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Non-renewable Electricity</v>
      </c>
      <c r="AD293"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Non-renewable Electricity</v>
      </c>
      <c r="AE293"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Non-renewable Electricity</v>
      </c>
      <c r="AF293"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Non-renewable Electricity</v>
      </c>
      <c r="AG293"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Non-renewable Electricity</v>
      </c>
      <c r="AH293"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Non-renewable Electricity</v>
      </c>
      <c r="AI293"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Non-renewable Electricity</v>
      </c>
    </row>
    <row r="294" spans="2:35" x14ac:dyDescent="0.45">
      <c r="B294" s="116">
        <v>720000</v>
      </c>
      <c r="C294" t="s">
        <v>1466</v>
      </c>
      <c r="D294" s="116">
        <v>700000</v>
      </c>
      <c r="E294" s="19"/>
      <c r="F294" s="83"/>
      <c r="G294" s="81"/>
      <c r="H294" s="81"/>
      <c r="I294" s="81"/>
      <c r="J294" s="81"/>
      <c r="K294" s="81"/>
      <c r="L294" s="81"/>
      <c r="M294" s="81"/>
      <c r="N294" s="120"/>
      <c r="O294" s="120"/>
      <c r="P294" s="81"/>
      <c r="Q294" s="81" t="s">
        <v>709</v>
      </c>
      <c r="R294" s="81"/>
      <c r="S294" s="81"/>
      <c r="T294" s="71" t="str" cm="1">
        <f t="array" ref="T294">IFERROR(INDEX(Products[[ProdCode]:[Product]],_xlfn.XMATCH(Products[[#This Row],[Parent]],Products[Product],0),2),Products[[#This Row],[Product]])</f>
        <v>Renewable Electricity</v>
      </c>
      <c r="U294" s="71" t="str" cm="1">
        <f t="array" ref="U294">IFERROR(INDEX(Products[[ProdCode]:[Product]],_xlfn.XMATCH(INDEX(Products[[Product]:[Parent]],_xlfn.XMATCH(Products[[#This Row],[L1N]],Products[Product],0),2),Products[ProdCode],0),2),Products[[#This Row],[L1N]])</f>
        <v>Electricity</v>
      </c>
      <c r="V294" s="71" t="str" cm="1">
        <f t="array" ref="V294">IFERROR(INDEX(Products[[ProdCode]:[Product]],_xlfn.XMATCH(INDEX(Products[[Product]:[Parent]],_xlfn.XMATCH(Products[[#This Row],[L2N]],Products[Product],0),2),Products[ProdCode],0),2),Products[[#This Row],[L2N]])</f>
        <v>Electricity</v>
      </c>
      <c r="W294" s="71" t="str" cm="1">
        <f t="array" ref="W294">IFERROR(INDEX(Products[[ProdCode]:[Product]],_xlfn.XMATCH(INDEX(Products[[Product]:[Parent]],_xlfn.XMATCH(Products[[#This Row],[L3N]],Products[Product],0),2),Products[ProdCode],0),2),Products[[#This Row],[L3N]])</f>
        <v>Electricity</v>
      </c>
      <c r="X294" s="71" t="str" cm="1">
        <f t="array" ref="X294">IFERROR(INDEX(Products[[ProdCode]:[Product]],_xlfn.XMATCH(INDEX(Products[[Product]:[Parent]],_xlfn.XMATCH(Products[[#This Row],[L4N]],Products[Product],0),2),Products[ProdCode],0),2),Products[[#This Row],[L4N]])</f>
        <v>Electricity</v>
      </c>
      <c r="Y294" s="71" t="str" cm="1">
        <f t="array" ref="Y294">IFERROR(INDEX(Products[[ProdCode]:[Product]],_xlfn.XMATCH(INDEX(Products[[Product]:[Parent]],_xlfn.XMATCH(Products[[#This Row],[L5N]],Products[Product],0),2),Products[ProdCode],0),2),Products[[#This Row],[L5N]])</f>
        <v>Electricity</v>
      </c>
      <c r="Z294" s="71" t="str" cm="1">
        <f t="array" ref="Z294">IFERROR(INDEX(Products[[ProdCode]:[Product]],_xlfn.XMATCH(INDEX(Products[[Product]:[Parent]],_xlfn.XMATCH(Products[[#This Row],[L6N]],Products[Product],0),2),Products[ProdCode],0),2),Products[[#This Row],[L6N]])</f>
        <v>Electricity</v>
      </c>
      <c r="AA294" s="71" t="str" cm="1">
        <f t="array" ref="AA294">IFERROR(INDEX(Products[[ProdCode]:[Product]],_xlfn.XMATCH(INDEX(Products[[Product]:[Parent]],_xlfn.XMATCH(Products[[#This Row],[L7N]],Products[Product],0),2),Products[ProdCode],0),2),Products[[#This Row],[L7N]])</f>
        <v>Electricity</v>
      </c>
      <c r="AB294"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Electricity</v>
      </c>
      <c r="AC294"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Renewable Electricity</v>
      </c>
      <c r="AD294"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Renewable Electricity</v>
      </c>
      <c r="AE294"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Renewable Electricity</v>
      </c>
      <c r="AF294"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Renewable Electricity</v>
      </c>
      <c r="AG294"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Renewable Electricity</v>
      </c>
      <c r="AH294"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Renewable Electricity</v>
      </c>
      <c r="AI294"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Renewable Electricity</v>
      </c>
    </row>
    <row r="295" spans="2:35" x14ac:dyDescent="0.45">
      <c r="B295" s="116">
        <v>810000</v>
      </c>
      <c r="C295" t="s">
        <v>1800</v>
      </c>
      <c r="D295" s="116">
        <v>800000</v>
      </c>
      <c r="E295" s="19"/>
      <c r="F295" s="83"/>
      <c r="G295" s="81"/>
      <c r="H295" s="81"/>
      <c r="I295" s="81"/>
      <c r="J295" s="81"/>
      <c r="K295" s="81" t="s">
        <v>1802</v>
      </c>
      <c r="L295" s="81"/>
      <c r="M295" s="81"/>
      <c r="N295" s="120"/>
      <c r="O295" s="120"/>
      <c r="P295" s="81"/>
      <c r="Q295" s="81" t="s">
        <v>714</v>
      </c>
      <c r="R295" s="81"/>
      <c r="S295" s="81"/>
      <c r="T295" s="71" t="str" cm="1">
        <f t="array" ref="T295">IFERROR(INDEX(Products[[ProdCode]:[Product]],_xlfn.XMATCH(Products[[#This Row],[Parent]],Products[Product],0),2),Products[[#This Row],[Product]])</f>
        <v>Heat High Temperature</v>
      </c>
      <c r="U295" s="71" t="str" cm="1">
        <f t="array" ref="U295">IFERROR(INDEX(Products[[ProdCode]:[Product]],_xlfn.XMATCH(INDEX(Products[[Product]:[Parent]],_xlfn.XMATCH(Products[[#This Row],[L1N]],Products[Product],0),2),Products[ProdCode],0),2),Products[[#This Row],[L1N]])</f>
        <v>Heat</v>
      </c>
      <c r="V295" s="71" t="str" cm="1">
        <f t="array" ref="V295">IFERROR(INDEX(Products[[ProdCode]:[Product]],_xlfn.XMATCH(INDEX(Products[[Product]:[Parent]],_xlfn.XMATCH(Products[[#This Row],[L2N]],Products[Product],0),2),Products[ProdCode],0),2),Products[[#This Row],[L2N]])</f>
        <v>Heat</v>
      </c>
      <c r="W295" s="71" t="str" cm="1">
        <f t="array" ref="W295">IFERROR(INDEX(Products[[ProdCode]:[Product]],_xlfn.XMATCH(INDEX(Products[[Product]:[Parent]],_xlfn.XMATCH(Products[[#This Row],[L3N]],Products[Product],0),2),Products[ProdCode],0),2),Products[[#This Row],[L3N]])</f>
        <v>Heat</v>
      </c>
      <c r="X295" s="71" t="str" cm="1">
        <f t="array" ref="X295">IFERROR(INDEX(Products[[ProdCode]:[Product]],_xlfn.XMATCH(INDEX(Products[[Product]:[Parent]],_xlfn.XMATCH(Products[[#This Row],[L4N]],Products[Product],0),2),Products[ProdCode],0),2),Products[[#This Row],[L4N]])</f>
        <v>Heat</v>
      </c>
      <c r="Y295" s="71" t="str" cm="1">
        <f t="array" ref="Y295">IFERROR(INDEX(Products[[ProdCode]:[Product]],_xlfn.XMATCH(INDEX(Products[[Product]:[Parent]],_xlfn.XMATCH(Products[[#This Row],[L5N]],Products[Product],0),2),Products[ProdCode],0),2),Products[[#This Row],[L5N]])</f>
        <v>Heat</v>
      </c>
      <c r="Z295" s="71" t="str" cm="1">
        <f t="array" ref="Z295">IFERROR(INDEX(Products[[ProdCode]:[Product]],_xlfn.XMATCH(INDEX(Products[[Product]:[Parent]],_xlfn.XMATCH(Products[[#This Row],[L6N]],Products[Product],0),2),Products[ProdCode],0),2),Products[[#This Row],[L6N]])</f>
        <v>Heat</v>
      </c>
      <c r="AA295" s="71" t="str" cm="1">
        <f t="array" ref="AA295">IFERROR(INDEX(Products[[ProdCode]:[Product]],_xlfn.XMATCH(INDEX(Products[[Product]:[Parent]],_xlfn.XMATCH(Products[[#This Row],[L7N]],Products[Product],0),2),Products[ProdCode],0),2),Products[[#This Row],[L7N]])</f>
        <v>Heat</v>
      </c>
      <c r="AB295"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Heat</v>
      </c>
      <c r="AC295"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Heat High Temperature</v>
      </c>
      <c r="AD295"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Heat High Temperature</v>
      </c>
      <c r="AE295"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Heat High Temperature</v>
      </c>
      <c r="AF295"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Heat High Temperature</v>
      </c>
      <c r="AG295"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Heat High Temperature</v>
      </c>
      <c r="AH295"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Heat High Temperature</v>
      </c>
      <c r="AI295"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Heat High Temperature</v>
      </c>
    </row>
    <row r="296" spans="2:35" ht="15.75" customHeight="1" x14ac:dyDescent="0.45">
      <c r="B296" s="116">
        <v>820000</v>
      </c>
      <c r="C296" t="s">
        <v>1801</v>
      </c>
      <c r="D296" s="116">
        <v>800000</v>
      </c>
      <c r="E296" s="19"/>
      <c r="F296" s="83"/>
      <c r="G296" s="81"/>
      <c r="H296" s="81"/>
      <c r="I296" s="81"/>
      <c r="J296" s="81"/>
      <c r="K296" s="81" t="s">
        <v>1803</v>
      </c>
      <c r="L296" s="81"/>
      <c r="M296" s="81"/>
      <c r="N296" s="120"/>
      <c r="O296" s="120"/>
      <c r="P296" s="81"/>
      <c r="Q296" s="81" t="s">
        <v>714</v>
      </c>
      <c r="R296" s="81"/>
      <c r="S296" s="81"/>
      <c r="T296" s="71" t="str" cm="1">
        <f t="array" ref="T296">IFERROR(INDEX(Products[[ProdCode]:[Product]],_xlfn.XMATCH(Products[[#This Row],[Parent]],Products[Product],0),2),Products[[#This Row],[Product]])</f>
        <v>Heat Low Temperature</v>
      </c>
      <c r="U296" s="71" t="str" cm="1">
        <f t="array" ref="U296">IFERROR(INDEX(Products[[ProdCode]:[Product]],_xlfn.XMATCH(INDEX(Products[[Product]:[Parent]],_xlfn.XMATCH(Products[[#This Row],[L1N]],Products[Product],0),2),Products[ProdCode],0),2),Products[[#This Row],[L1N]])</f>
        <v>Heat</v>
      </c>
      <c r="V296" s="71" t="str" cm="1">
        <f t="array" ref="V296">IFERROR(INDEX(Products[[ProdCode]:[Product]],_xlfn.XMATCH(INDEX(Products[[Product]:[Parent]],_xlfn.XMATCH(Products[[#This Row],[L2N]],Products[Product],0),2),Products[ProdCode],0),2),Products[[#This Row],[L2N]])</f>
        <v>Heat</v>
      </c>
      <c r="W296" s="71" t="str" cm="1">
        <f t="array" ref="W296">IFERROR(INDEX(Products[[ProdCode]:[Product]],_xlfn.XMATCH(INDEX(Products[[Product]:[Parent]],_xlfn.XMATCH(Products[[#This Row],[L3N]],Products[Product],0),2),Products[ProdCode],0),2),Products[[#This Row],[L3N]])</f>
        <v>Heat</v>
      </c>
      <c r="X296" s="71" t="str" cm="1">
        <f t="array" ref="X296">IFERROR(INDEX(Products[[ProdCode]:[Product]],_xlfn.XMATCH(INDEX(Products[[Product]:[Parent]],_xlfn.XMATCH(Products[[#This Row],[L4N]],Products[Product],0),2),Products[ProdCode],0),2),Products[[#This Row],[L4N]])</f>
        <v>Heat</v>
      </c>
      <c r="Y296" s="71" t="str" cm="1">
        <f t="array" ref="Y296">IFERROR(INDEX(Products[[ProdCode]:[Product]],_xlfn.XMATCH(INDEX(Products[[Product]:[Parent]],_xlfn.XMATCH(Products[[#This Row],[L5N]],Products[Product],0),2),Products[ProdCode],0),2),Products[[#This Row],[L5N]])</f>
        <v>Heat</v>
      </c>
      <c r="Z296" s="71" t="str" cm="1">
        <f t="array" ref="Z296">IFERROR(INDEX(Products[[ProdCode]:[Product]],_xlfn.XMATCH(INDEX(Products[[Product]:[Parent]],_xlfn.XMATCH(Products[[#This Row],[L6N]],Products[Product],0),2),Products[ProdCode],0),2),Products[[#This Row],[L6N]])</f>
        <v>Heat</v>
      </c>
      <c r="AA296" s="71" t="str" cm="1">
        <f t="array" ref="AA296">IFERROR(INDEX(Products[[ProdCode]:[Product]],_xlfn.XMATCH(INDEX(Products[[Product]:[Parent]],_xlfn.XMATCH(Products[[#This Row],[L7N]],Products[Product],0),2),Products[ProdCode],0),2),Products[[#This Row],[L7N]])</f>
        <v>Heat</v>
      </c>
      <c r="AB296"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Heat</v>
      </c>
      <c r="AC296"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Heat Low Temperature</v>
      </c>
      <c r="AD296"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Heat Low Temperature</v>
      </c>
      <c r="AE296"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Heat Low Temperature</v>
      </c>
      <c r="AF296"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Heat Low Temperature</v>
      </c>
      <c r="AG296"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Heat Low Temperature</v>
      </c>
      <c r="AH296"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Heat Low Temperature</v>
      </c>
      <c r="AI296"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Heat Low Temperature</v>
      </c>
    </row>
    <row r="297" spans="2:35" ht="15.75" customHeight="1" x14ac:dyDescent="0.45">
      <c r="B297" s="116">
        <v>410000</v>
      </c>
      <c r="C297" t="s">
        <v>1838</v>
      </c>
      <c r="D297" s="116"/>
      <c r="E297" s="19"/>
      <c r="F297" s="83"/>
      <c r="G297" s="81"/>
      <c r="H297" s="81"/>
      <c r="I297" s="81"/>
      <c r="J297" s="81"/>
      <c r="K297" s="81" t="s">
        <v>1836</v>
      </c>
      <c r="L297" s="81" t="s">
        <v>1956</v>
      </c>
      <c r="M297" s="81"/>
      <c r="N297" s="120"/>
      <c r="O297" s="120"/>
      <c r="P297" s="81"/>
      <c r="Q297" s="81" t="s">
        <v>1242</v>
      </c>
      <c r="R297" s="81"/>
      <c r="S297" s="81"/>
      <c r="T297" s="71" t="str" cm="1">
        <f t="array" ref="T297">IFERROR(INDEX(Products[[ProdCode]:[Product]],_xlfn.XMATCH(Products[[#This Row],[Parent]],Products[Product],0),2),Products[[#This Row],[Product]])</f>
        <v>Industrial solid waste</v>
      </c>
      <c r="U297" s="71" t="str" cm="1">
        <f t="array" ref="U297">IFERROR(INDEX(Products[[ProdCode]:[Product]],_xlfn.XMATCH(INDEX(Products[[Product]:[Parent]],_xlfn.XMATCH(Products[[#This Row],[L1N]],Products[Product],0),2),Products[ProdCode],0),2),Products[[#This Row],[L1N]])</f>
        <v>Industrial solid waste</v>
      </c>
      <c r="V297" s="71" t="str" cm="1">
        <f t="array" ref="V297">IFERROR(INDEX(Products[[ProdCode]:[Product]],_xlfn.XMATCH(INDEX(Products[[Product]:[Parent]],_xlfn.XMATCH(Products[[#This Row],[L2N]],Products[Product],0),2),Products[ProdCode],0),2),Products[[#This Row],[L2N]])</f>
        <v>Industrial solid waste</v>
      </c>
      <c r="W297" s="71" t="str" cm="1">
        <f t="array" ref="W297">IFERROR(INDEX(Products[[ProdCode]:[Product]],_xlfn.XMATCH(INDEX(Products[[Product]:[Parent]],_xlfn.XMATCH(Products[[#This Row],[L3N]],Products[Product],0),2),Products[ProdCode],0),2),Products[[#This Row],[L3N]])</f>
        <v>Industrial solid waste</v>
      </c>
      <c r="X297" s="71" t="str" cm="1">
        <f t="array" ref="X297">IFERROR(INDEX(Products[[ProdCode]:[Product]],_xlfn.XMATCH(INDEX(Products[[Product]:[Parent]],_xlfn.XMATCH(Products[[#This Row],[L4N]],Products[Product],0),2),Products[ProdCode],0),2),Products[[#This Row],[L4N]])</f>
        <v>Industrial solid waste</v>
      </c>
      <c r="Y297" s="71" t="str" cm="1">
        <f t="array" ref="Y297">IFERROR(INDEX(Products[[ProdCode]:[Product]],_xlfn.XMATCH(INDEX(Products[[Product]:[Parent]],_xlfn.XMATCH(Products[[#This Row],[L5N]],Products[Product],0),2),Products[ProdCode],0),2),Products[[#This Row],[L5N]])</f>
        <v>Industrial solid waste</v>
      </c>
      <c r="Z297" s="71" t="str" cm="1">
        <f t="array" ref="Z297">IFERROR(INDEX(Products[[ProdCode]:[Product]],_xlfn.XMATCH(INDEX(Products[[Product]:[Parent]],_xlfn.XMATCH(Products[[#This Row],[L6N]],Products[Product],0),2),Products[ProdCode],0),2),Products[[#This Row],[L6N]])</f>
        <v>Industrial solid waste</v>
      </c>
      <c r="AA297" s="71" t="str" cm="1">
        <f t="array" ref="AA297">IFERROR(INDEX(Products[[ProdCode]:[Product]],_xlfn.XMATCH(INDEX(Products[[Product]:[Parent]],_xlfn.XMATCH(Products[[#This Row],[L7N]],Products[Product],0),2),Products[ProdCode],0),2),Products[[#This Row],[L7N]])</f>
        <v>Industrial solid waste</v>
      </c>
      <c r="AB297"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Industrial solid waste</v>
      </c>
      <c r="AC297"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Industrial solid waste</v>
      </c>
      <c r="AD297"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Industrial solid waste</v>
      </c>
      <c r="AE297"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Industrial solid waste</v>
      </c>
      <c r="AF297"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Industrial solid waste</v>
      </c>
      <c r="AG297"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Industrial solid waste</v>
      </c>
      <c r="AH297"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Industrial solid waste</v>
      </c>
      <c r="AI297"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Industrial solid waste</v>
      </c>
    </row>
    <row r="298" spans="2:35" ht="15.75" customHeight="1" x14ac:dyDescent="0.45">
      <c r="B298" s="116">
        <v>420000</v>
      </c>
      <c r="C298" t="s">
        <v>1839</v>
      </c>
      <c r="D298" s="116"/>
      <c r="E298" s="19"/>
      <c r="F298" s="83"/>
      <c r="G298" s="81"/>
      <c r="H298" s="81"/>
      <c r="I298" s="81"/>
      <c r="J298" s="81"/>
      <c r="K298" s="81" t="s">
        <v>1837</v>
      </c>
      <c r="L298" s="81" t="s">
        <v>1957</v>
      </c>
      <c r="M298" s="81"/>
      <c r="N298" s="120"/>
      <c r="O298" s="120"/>
      <c r="P298" s="81"/>
      <c r="Q298" s="81" t="s">
        <v>1242</v>
      </c>
      <c r="R298" s="81"/>
      <c r="S298" s="81"/>
      <c r="T298" s="71" t="str" cm="1">
        <f t="array" ref="T298">IFERROR(INDEX(Products[[ProdCode]:[Product]],_xlfn.XMATCH(Products[[#This Row],[Parent]],Products[Product],0),2),Products[[#This Row],[Product]])</f>
        <v>Municipal solid waste</v>
      </c>
      <c r="U298" s="71" t="str" cm="1">
        <f t="array" ref="U298">IFERROR(INDEX(Products[[ProdCode]:[Product]],_xlfn.XMATCH(INDEX(Products[[Product]:[Parent]],_xlfn.XMATCH(Products[[#This Row],[L1N]],Products[Product],0),2),Products[ProdCode],0),2),Products[[#This Row],[L1N]])</f>
        <v>Municipal solid waste</v>
      </c>
      <c r="V298" s="71" t="str" cm="1">
        <f t="array" ref="V298">IFERROR(INDEX(Products[[ProdCode]:[Product]],_xlfn.XMATCH(INDEX(Products[[Product]:[Parent]],_xlfn.XMATCH(Products[[#This Row],[L2N]],Products[Product],0),2),Products[ProdCode],0),2),Products[[#This Row],[L2N]])</f>
        <v>Municipal solid waste</v>
      </c>
      <c r="W298" s="71" t="str" cm="1">
        <f t="array" ref="W298">IFERROR(INDEX(Products[[ProdCode]:[Product]],_xlfn.XMATCH(INDEX(Products[[Product]:[Parent]],_xlfn.XMATCH(Products[[#This Row],[L3N]],Products[Product],0),2),Products[ProdCode],0),2),Products[[#This Row],[L3N]])</f>
        <v>Municipal solid waste</v>
      </c>
      <c r="X298" s="71" t="str" cm="1">
        <f t="array" ref="X298">IFERROR(INDEX(Products[[ProdCode]:[Product]],_xlfn.XMATCH(INDEX(Products[[Product]:[Parent]],_xlfn.XMATCH(Products[[#This Row],[L4N]],Products[Product],0),2),Products[ProdCode],0),2),Products[[#This Row],[L4N]])</f>
        <v>Municipal solid waste</v>
      </c>
      <c r="Y298" s="71" t="str" cm="1">
        <f t="array" ref="Y298">IFERROR(INDEX(Products[[ProdCode]:[Product]],_xlfn.XMATCH(INDEX(Products[[Product]:[Parent]],_xlfn.XMATCH(Products[[#This Row],[L5N]],Products[Product],0),2),Products[ProdCode],0),2),Products[[#This Row],[L5N]])</f>
        <v>Municipal solid waste</v>
      </c>
      <c r="Z298" s="71" t="str" cm="1">
        <f t="array" ref="Z298">IFERROR(INDEX(Products[[ProdCode]:[Product]],_xlfn.XMATCH(INDEX(Products[[Product]:[Parent]],_xlfn.XMATCH(Products[[#This Row],[L6N]],Products[Product],0),2),Products[ProdCode],0),2),Products[[#This Row],[L6N]])</f>
        <v>Municipal solid waste</v>
      </c>
      <c r="AA298" s="71" t="str" cm="1">
        <f t="array" ref="AA298">IFERROR(INDEX(Products[[ProdCode]:[Product]],_xlfn.XMATCH(INDEX(Products[[Product]:[Parent]],_xlfn.XMATCH(Products[[#This Row],[L7N]],Products[Product],0),2),Products[ProdCode],0),2),Products[[#This Row],[L7N]])</f>
        <v>Municipal solid waste</v>
      </c>
      <c r="AB298" s="71" t="str">
        <f>IF(Products[[#This Row],[L8N]]=Products[[#This Row],[L7N]],Products[[#This Row],[L8N]],IF(Products[[#This Row],[L7N]]=Products[[#This Row],[L6N]],Products[[#This Row],[L7N]],IF(Products[[#This Row],[L6N]]=Products[[#This Row],[L5N]],Products[[#This Row],[L6N]],IF(Products[[#This Row],[L5N]]=Products[[#This Row],[L4N]],Products[[#This Row],[L5N]],IF(Products[[#This Row],[L4N]]=Products[[#This Row],[L3N]],Products[[#This Row],[L4N]],IF(Products[[#This Row],[L3N]]=Products[[#This Row],[L2N]],Products[[#This Row],[L3N]],IF(Products[[#This Row],[L2N]]=Products[[#This Row],[L1N]],Products[[#This Row],[L2N]],IF(Products[[#This Row],[L1N]]=Products[[#This Row],[Product]],Products[[#This Row],[L1N]],Products[[#This Row],[Product]]))))))))</f>
        <v>Municipal solid waste</v>
      </c>
      <c r="AC298" s="71" t="str">
        <f>IF(Products[[#This Row],[Level 0]]=Products[[#This Row],[Product]],Products[[#This Row],[Product]],IF(Products[[#This Row],[Level 0]]=Products[[#This Row],[L1N]],Products[[#This Row],[Product]],IF(Products[[#This Row],[Level 0]]=Products[[#This Row],[L2N]],Products[[#This Row],[L1N]],IF(Products[[#This Row],[Level 0]]=Products[[#This Row],[L3N]],Products[[#This Row],[L2N]],IF(Products[[#This Row],[Level 0]]=Products[[#This Row],[L4N]],Products[[#This Row],[L3N]],IF(Products[[#This Row],[Level 0]]=Products[[#This Row],[L5N]],Products[[#This Row],[L4N]],IF(Products[[#This Row],[Level 0]]=Products[[#This Row],[L6N]],Products[[#This Row],[L5N]],IF(Products[[#This Row],[Level 0]]=Products[[#This Row],[L7N]],Products[[#This Row],[L6N]],Products[[#This Row],[L7N]]))))))))</f>
        <v>Municipal solid waste</v>
      </c>
      <c r="AD298" s="71" t="str">
        <f>IF(Products[[#This Row],[Level 1]]=Products[[#This Row],[Product]],Products[[#This Row],[Product]],IF(Products[[#This Row],[Level 1]]=Products[[#This Row],[L1N]],Products[[#This Row],[Product]],IF(Products[[#This Row],[Level 1]]=Products[[#This Row],[L2N]],Products[[#This Row],[L1N]],IF(Products[[#This Row],[Level 1]]=Products[[#This Row],[L3N]],Products[[#This Row],[L2N]],IF(Products[[#This Row],[Level 1]]=Products[[#This Row],[L4N]],Products[[#This Row],[L3N]],IF(Products[[#This Row],[Level 1]]=Products[[#This Row],[L5N]],Products[[#This Row],[L4N]],IF(Products[[#This Row],[Level 1]]=Products[[#This Row],[L6N]],Products[[#This Row],[L5N]],IF(Products[[#This Row],[Level 1]]=Products[[#This Row],[L7N]],Products[[#This Row],[L6N]],Products[[#This Row],[L7N]]))))))))</f>
        <v>Municipal solid waste</v>
      </c>
      <c r="AE298" s="71" t="str">
        <f>IF(Products[[#This Row],[Level 2]]=Products[[#This Row],[Product]],Products[[#This Row],[Product]],IF(Products[[#This Row],[Level 2]]=Products[[#This Row],[L1N]],Products[[#This Row],[Product]],IF(Products[[#This Row],[Level 2]]=Products[[#This Row],[L2N]],Products[[#This Row],[L1N]],IF(Products[[#This Row],[Level 2]]=Products[[#This Row],[L3N]],Products[[#This Row],[L2N]],IF(Products[[#This Row],[Level 2]]=Products[[#This Row],[L4N]],Products[[#This Row],[L3N]],IF(Products[[#This Row],[Level 2]]=Products[[#This Row],[L5N]],Products[[#This Row],[L4N]],IF(Products[[#This Row],[Level 2]]=Products[[#This Row],[L6N]],Products[[#This Row],[L5N]],IF(Products[[#This Row],[Level 2]]=Products[[#This Row],[L7N]],Products[[#This Row],[L6N]],Products[[#This Row],[L7N]]))))))))</f>
        <v>Municipal solid waste</v>
      </c>
      <c r="AF298" s="71" t="str">
        <f>IF(Products[[#This Row],[Level 3]]=Products[[#This Row],[Product]],Products[[#This Row],[Product]],IF(Products[[#This Row],[Level 3]]=Products[[#This Row],[L1N]],Products[[#This Row],[Product]],IF(Products[[#This Row],[Level 3]]=Products[[#This Row],[L2N]],Products[[#This Row],[L1N]],IF(Products[[#This Row],[Level 3]]=Products[[#This Row],[L3N]],Products[[#This Row],[L2N]],IF(Products[[#This Row],[Level 3]]=Products[[#This Row],[L4N]],Products[[#This Row],[L3N]],IF(Products[[#This Row],[Level 3]]=Products[[#This Row],[L5N]],Products[[#This Row],[L4N]],IF(Products[[#This Row],[Level 3]]=Products[[#This Row],[L6N]],Products[[#This Row],[L5N]],IF(Products[[#This Row],[Level 3]]=Products[[#This Row],[L7N]],Products[[#This Row],[L6N]],Products[[#This Row],[L7N]]))))))))</f>
        <v>Municipal solid waste</v>
      </c>
      <c r="AG298" s="71" t="str">
        <f>IF(Products[[#This Row],[Level 4]]=Products[[#This Row],[Product]],Products[[#This Row],[Product]],IF(Products[[#This Row],[Level 4]]=Products[[#This Row],[L1N]],Products[[#This Row],[Product]],IF(Products[[#This Row],[Level 4]]=Products[[#This Row],[L2N]],Products[[#This Row],[L1N]],IF(Products[[#This Row],[Level 4]]=Products[[#This Row],[L3N]],Products[[#This Row],[L2N]],IF(Products[[#This Row],[Level 4]]=Products[[#This Row],[L4N]],Products[[#This Row],[L3N]],IF(Products[[#This Row],[Level 4]]=Products[[#This Row],[L5N]],Products[[#This Row],[L4N]],IF(Products[[#This Row],[Level 4]]=Products[[#This Row],[L6N]],Products[[#This Row],[L5N]],IF(Products[[#This Row],[Level 4]]=Products[[#This Row],[L7N]],Products[[#This Row],[L6N]],Products[[#This Row],[L7N]]))))))))</f>
        <v>Municipal solid waste</v>
      </c>
      <c r="AH298" s="71" t="str">
        <f>IF(Products[[#This Row],[Level 5]]=Products[[#This Row],[Product]],Products[[#This Row],[Product]],IF(Products[[#This Row],[Level 5]]=Products[[#This Row],[L1N]],Products[[#This Row],[Product]],IF(Products[[#This Row],[Level 5]]=Products[[#This Row],[L2N]],Products[[#This Row],[L1N]],IF(Products[[#This Row],[Level 5]]=Products[[#This Row],[L3N]],Products[[#This Row],[L2N]],IF(Products[[#This Row],[Level 5]]=Products[[#This Row],[L4N]],Products[[#This Row],[L3N]],IF(Products[[#This Row],[Level 5]]=Products[[#This Row],[L5N]],Products[[#This Row],[L4N]],IF(Products[[#This Row],[Level 5]]=Products[[#This Row],[L6N]],Products[[#This Row],[L5N]],IF(Products[[#This Row],[Level 5]]=Products[[#This Row],[L7N]],Products[[#This Row],[L6N]],Products[[#This Row],[L7N]]))))))))</f>
        <v>Municipal solid waste</v>
      </c>
      <c r="AI298" s="71" t="str">
        <f>IF(Products[[#This Row],[Level 6]]=Products[[#This Row],[Product]],Products[[#This Row],[Product]],IF(Products[[#This Row],[Level 6]]=Products[[#This Row],[L1N]],Products[[#This Row],[Product]],IF(Products[[#This Row],[Level 6]]=Products[[#This Row],[L2N]],Products[[#This Row],[L1N]],IF(Products[[#This Row],[Level 6]]=Products[[#This Row],[L3N]],Products[[#This Row],[L2N]],IF(Products[[#This Row],[Level 6]]=Products[[#This Row],[L4N]],Products[[#This Row],[L3N]],IF(Products[[#This Row],[Level 6]]=Products[[#This Row],[L5N]],Products[[#This Row],[L4N]],IF(Products[[#This Row],[Level 6]]=Products[[#This Row],[L6N]],Products[[#This Row],[L5N]],IF(Products[[#This Row],[Level 6]]=Products[[#This Row],[L7N]],Products[[#This Row],[L6N]],Products[[#This Row],[L7N]]))))))))</f>
        <v>Municipal solid waste</v>
      </c>
    </row>
  </sheetData>
  <conditionalFormatting sqref="F4:F298">
    <cfRule type="containsText" dxfId="44" priority="3" operator="containsText" text="/">
      <formula>NOT(ISERROR(SEARCH("/",F4)))</formula>
    </cfRule>
    <cfRule type="cellIs" dxfId="43" priority="4" operator="equal">
      <formula>"Primary"</formula>
    </cfRule>
    <cfRule type="cellIs" dxfId="42" priority="5" operator="equal">
      <formula>"Primary"</formula>
    </cfRule>
    <cfRule type="cellIs" dxfId="41" priority="6" operator="equal">
      <formula>"Secondary"</formula>
    </cfRule>
  </conditionalFormatting>
  <conditionalFormatting sqref="K4:L298">
    <cfRule type="duplicateValues" dxfId="40" priority="709"/>
    <cfRule type="duplicateValues" dxfId="39" priority="710"/>
  </conditionalFormatting>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0B96D-A49A-4543-A4E3-DA7D580133AE}">
  <sheetPr codeName="Sheet5"/>
  <dimension ref="A1:G21"/>
  <sheetViews>
    <sheetView workbookViewId="0"/>
  </sheetViews>
  <sheetFormatPr defaultRowHeight="14.25" x14ac:dyDescent="0.45"/>
  <cols>
    <col min="1" max="1" width="36.59765625" bestFit="1" customWidth="1"/>
    <col min="2" max="2" width="36.59765625" customWidth="1"/>
    <col min="3" max="3" width="60.265625" bestFit="1" customWidth="1"/>
    <col min="4" max="4" width="11.265625" customWidth="1"/>
    <col min="5" max="5" width="20" bestFit="1" customWidth="1"/>
    <col min="6" max="6" width="12.86328125" bestFit="1" customWidth="1"/>
  </cols>
  <sheetData>
    <row r="1" spans="1:7" x14ac:dyDescent="0.45">
      <c r="A1" t="s">
        <v>52</v>
      </c>
      <c r="B1" t="s">
        <v>1259</v>
      </c>
      <c r="C1" t="s">
        <v>1211</v>
      </c>
      <c r="D1" t="s">
        <v>1262</v>
      </c>
      <c r="E1" t="s">
        <v>1261</v>
      </c>
      <c r="F1" t="s">
        <v>1230</v>
      </c>
      <c r="G1" t="s">
        <v>1237</v>
      </c>
    </row>
    <row r="2" spans="1:7" x14ac:dyDescent="0.45">
      <c r="A2" t="s">
        <v>1212</v>
      </c>
      <c r="B2" t="s">
        <v>1260</v>
      </c>
      <c r="C2" t="s">
        <v>1208</v>
      </c>
      <c r="D2" t="s">
        <v>709</v>
      </c>
      <c r="E2" t="s">
        <v>1263</v>
      </c>
    </row>
    <row r="3" spans="1:7" x14ac:dyDescent="0.45">
      <c r="A3" t="s">
        <v>1212</v>
      </c>
      <c r="B3" t="s">
        <v>1260</v>
      </c>
      <c r="C3" t="s">
        <v>1209</v>
      </c>
    </row>
    <row r="4" spans="1:7" x14ac:dyDescent="0.45">
      <c r="A4" t="s">
        <v>1212</v>
      </c>
      <c r="C4" t="s">
        <v>1210</v>
      </c>
    </row>
    <row r="5" spans="1:7" x14ac:dyDescent="0.45">
      <c r="A5" t="s">
        <v>1213</v>
      </c>
      <c r="C5" t="s">
        <v>1214</v>
      </c>
    </row>
    <row r="6" spans="1:7" x14ac:dyDescent="0.45">
      <c r="A6" t="s">
        <v>1213</v>
      </c>
      <c r="C6" t="s">
        <v>1215</v>
      </c>
    </row>
    <row r="7" spans="1:7" x14ac:dyDescent="0.45">
      <c r="A7" t="s">
        <v>1213</v>
      </c>
      <c r="C7" t="s">
        <v>1216</v>
      </c>
    </row>
    <row r="8" spans="1:7" x14ac:dyDescent="0.45">
      <c r="C8" t="s">
        <v>1221</v>
      </c>
      <c r="E8" t="s">
        <v>1218</v>
      </c>
      <c r="G8" s="94">
        <f>229.3/360</f>
        <v>0.63694444444444442</v>
      </c>
    </row>
    <row r="9" spans="1:7" x14ac:dyDescent="0.45">
      <c r="C9" t="s">
        <v>1219</v>
      </c>
      <c r="E9" t="s">
        <v>1218</v>
      </c>
      <c r="G9" s="94">
        <f>225.3/360</f>
        <v>0.62583333333333335</v>
      </c>
    </row>
    <row r="10" spans="1:7" x14ac:dyDescent="0.45">
      <c r="C10" t="s">
        <v>1221</v>
      </c>
      <c r="E10" t="s">
        <v>1220</v>
      </c>
      <c r="G10" s="94">
        <f>116.4/360</f>
        <v>0.32333333333333336</v>
      </c>
    </row>
    <row r="11" spans="1:7" x14ac:dyDescent="0.45">
      <c r="C11" t="s">
        <v>1219</v>
      </c>
      <c r="E11" t="s">
        <v>1220</v>
      </c>
      <c r="G11" s="94">
        <f>114.4/360</f>
        <v>0.31777777777777777</v>
      </c>
    </row>
    <row r="12" spans="1:7" x14ac:dyDescent="0.45">
      <c r="C12" t="s">
        <v>1223</v>
      </c>
      <c r="E12" t="s">
        <v>1222</v>
      </c>
      <c r="G12" s="94">
        <f>246.6/360</f>
        <v>0.68499999999999994</v>
      </c>
    </row>
    <row r="13" spans="1:7" x14ac:dyDescent="0.45">
      <c r="C13" t="s">
        <v>1225</v>
      </c>
      <c r="E13" t="s">
        <v>1224</v>
      </c>
      <c r="G13" s="94">
        <f>124.6/360</f>
        <v>0.34611111111111109</v>
      </c>
    </row>
    <row r="14" spans="1:7" x14ac:dyDescent="0.45">
      <c r="C14" t="s">
        <v>1227</v>
      </c>
      <c r="E14" t="s">
        <v>1226</v>
      </c>
      <c r="G14" s="94">
        <f>186.7/360</f>
        <v>0.51861111111111113</v>
      </c>
    </row>
    <row r="15" spans="1:7" x14ac:dyDescent="0.45">
      <c r="C15" t="s">
        <v>1228</v>
      </c>
      <c r="E15" t="s">
        <v>1229</v>
      </c>
      <c r="G15" s="94">
        <f>277.4/360</f>
        <v>0.77055555555555544</v>
      </c>
    </row>
    <row r="16" spans="1:7" x14ac:dyDescent="0.45">
      <c r="C16" t="s">
        <v>1231</v>
      </c>
      <c r="E16" t="s">
        <v>1232</v>
      </c>
      <c r="G16" s="94">
        <f>491.8/360</f>
        <v>1.3661111111111111</v>
      </c>
    </row>
    <row r="17" spans="3:7" x14ac:dyDescent="0.45">
      <c r="C17" t="s">
        <v>1235</v>
      </c>
      <c r="E17" t="s">
        <v>1233</v>
      </c>
      <c r="G17" s="94">
        <f>93.8/360</f>
        <v>0.26055555555555554</v>
      </c>
    </row>
    <row r="18" spans="3:7" x14ac:dyDescent="0.45">
      <c r="C18" t="s">
        <v>1236</v>
      </c>
      <c r="E18" t="s">
        <v>1234</v>
      </c>
      <c r="G18" s="94">
        <f>97.2/360</f>
        <v>0.27</v>
      </c>
    </row>
    <row r="19" spans="3:7" x14ac:dyDescent="0.45">
      <c r="C19" t="s">
        <v>1437</v>
      </c>
    </row>
    <row r="20" spans="3:7" x14ac:dyDescent="0.45">
      <c r="C20" t="s">
        <v>1439</v>
      </c>
    </row>
    <row r="21" spans="3:7" x14ac:dyDescent="0.45">
      <c r="C21" t="s">
        <v>1438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C007-4DE0-4A6F-84B7-20D817BB79F7}">
  <sheetPr codeName="Sheet1"/>
  <dimension ref="A1:BT150"/>
  <sheetViews>
    <sheetView workbookViewId="0"/>
  </sheetViews>
  <sheetFormatPr defaultColWidth="8.73046875" defaultRowHeight="14.25" outlineLevelCol="1" x14ac:dyDescent="0.45"/>
  <cols>
    <col min="3" max="3" width="19" bestFit="1" customWidth="1"/>
    <col min="4" max="4" width="31.265625" customWidth="1"/>
    <col min="5" max="5" width="26.73046875" customWidth="1"/>
    <col min="6" max="6" width="27" customWidth="1"/>
    <col min="7" max="7" width="9.3984375" customWidth="1"/>
    <col min="8" max="8" width="8.265625" customWidth="1"/>
    <col min="9" max="11" width="10.3984375" customWidth="1"/>
    <col min="12" max="12" width="15.3984375" customWidth="1"/>
    <col min="13" max="14" width="10" customWidth="1"/>
    <col min="15" max="15" width="11.3984375" customWidth="1" outlineLevel="1"/>
    <col min="16" max="22" width="16.73046875" customWidth="1" outlineLevel="1"/>
    <col min="23" max="23" width="33.73046875" customWidth="1" outlineLevel="1"/>
    <col min="24" max="25" width="31.3984375" customWidth="1" outlineLevel="1"/>
    <col min="26" max="26" width="23.1328125" customWidth="1" outlineLevel="1"/>
    <col min="27" max="27" width="15.3984375" customWidth="1"/>
    <col min="28" max="28" width="5.3984375" customWidth="1"/>
    <col min="29" max="29" width="3.73046875" bestFit="1" customWidth="1"/>
    <col min="30" max="30" width="9.3984375" customWidth="1"/>
    <col min="31" max="31" width="9.73046875" customWidth="1"/>
    <col min="32" max="35" width="9.3984375" customWidth="1"/>
    <col min="36" max="36" width="28.73046875" customWidth="1"/>
    <col min="37" max="38" width="9.3984375" customWidth="1"/>
    <col min="39" max="39" width="10" customWidth="1"/>
    <col min="40" max="40" width="13.3984375" bestFit="1" customWidth="1"/>
    <col min="41" max="41" width="29.73046875" bestFit="1" customWidth="1"/>
    <col min="42" max="42" width="59.73046875" customWidth="1"/>
    <col min="43" max="44" width="60.73046875" bestFit="1" customWidth="1"/>
    <col min="45" max="45" width="13.1328125" customWidth="1"/>
    <col min="46" max="46" width="7.73046875" customWidth="1"/>
    <col min="47" max="48" width="6.73046875" bestFit="1" customWidth="1"/>
    <col min="49" max="49" width="3.73046875" bestFit="1" customWidth="1"/>
    <col min="50" max="51" width="2" bestFit="1" customWidth="1"/>
    <col min="52" max="52" width="13" customWidth="1"/>
    <col min="53" max="53" width="9.73046875" customWidth="1"/>
    <col min="56" max="56" width="19.3984375" bestFit="1" customWidth="1"/>
    <col min="57" max="57" width="9.73046875" hidden="1" customWidth="1" outlineLevel="1"/>
    <col min="58" max="58" width="14" hidden="1" customWidth="1" outlineLevel="1"/>
    <col min="59" max="60" width="18.73046875" hidden="1" customWidth="1" outlineLevel="1"/>
    <col min="61" max="61" width="9" collapsed="1"/>
    <col min="63" max="64" width="19.3984375" customWidth="1"/>
    <col min="65" max="67" width="27" customWidth="1"/>
    <col min="68" max="68" width="38" bestFit="1" customWidth="1"/>
    <col min="69" max="69" width="38" customWidth="1"/>
    <col min="70" max="70" width="9" bestFit="1" customWidth="1"/>
    <col min="71" max="72" width="9.73046875" customWidth="1"/>
    <col min="74" max="74" width="3.73046875" bestFit="1" customWidth="1"/>
    <col min="75" max="75" width="6.73046875" bestFit="1" customWidth="1"/>
    <col min="76" max="76" width="3.73046875" bestFit="1" customWidth="1"/>
    <col min="77" max="77" width="6.73046875" bestFit="1" customWidth="1"/>
    <col min="78" max="78" width="3.73046875" bestFit="1" customWidth="1"/>
    <col min="79" max="87" width="2" bestFit="1" customWidth="1"/>
    <col min="88" max="88" width="6.73046875" bestFit="1" customWidth="1"/>
    <col min="89" max="89" width="3.73046875" bestFit="1" customWidth="1"/>
    <col min="90" max="90" width="6.73046875" bestFit="1" customWidth="1"/>
    <col min="91" max="91" width="3.73046875" bestFit="1" customWidth="1"/>
    <col min="92" max="92" width="6.73046875" bestFit="1" customWidth="1"/>
    <col min="93" max="93" width="3.73046875" bestFit="1" customWidth="1"/>
    <col min="94" max="94" width="6.73046875" bestFit="1" customWidth="1"/>
    <col min="95" max="95" width="3.73046875" bestFit="1" customWidth="1"/>
    <col min="96" max="97" width="6.73046875" bestFit="1" customWidth="1"/>
    <col min="98" max="98" width="3.73046875" bestFit="1" customWidth="1"/>
    <col min="99" max="99" width="6.73046875" bestFit="1" customWidth="1"/>
    <col min="100" max="100" width="3.73046875" bestFit="1" customWidth="1"/>
    <col min="101" max="102" width="2" bestFit="1" customWidth="1"/>
    <col min="103" max="103" width="6.73046875" bestFit="1" customWidth="1"/>
    <col min="104" max="104" width="3.73046875" bestFit="1" customWidth="1"/>
    <col min="105" max="106" width="2" bestFit="1" customWidth="1"/>
    <col min="107" max="107" width="6.73046875" bestFit="1" customWidth="1"/>
    <col min="108" max="108" width="3.73046875" bestFit="1" customWidth="1"/>
    <col min="109" max="109" width="6.73046875" bestFit="1" customWidth="1"/>
    <col min="110" max="110" width="3.73046875" bestFit="1" customWidth="1"/>
    <col min="111" max="112" width="2" bestFit="1" customWidth="1"/>
    <col min="113" max="114" width="6.73046875" bestFit="1" customWidth="1"/>
    <col min="115" max="115" width="3.73046875" bestFit="1" customWidth="1"/>
    <col min="116" max="116" width="6.73046875" bestFit="1" customWidth="1"/>
    <col min="117" max="117" width="3.73046875" bestFit="1" customWidth="1"/>
    <col min="118" max="119" width="2" bestFit="1" customWidth="1"/>
    <col min="120" max="120" width="6.73046875" bestFit="1" customWidth="1"/>
    <col min="121" max="121" width="3.73046875" bestFit="1" customWidth="1"/>
    <col min="122" max="122" width="6.73046875" bestFit="1" customWidth="1"/>
    <col min="123" max="123" width="3.73046875" bestFit="1" customWidth="1"/>
    <col min="124" max="126" width="6.73046875" bestFit="1" customWidth="1"/>
    <col min="127" max="127" width="3.73046875" bestFit="1" customWidth="1"/>
    <col min="128" max="130" width="6.73046875" bestFit="1" customWidth="1"/>
    <col min="131" max="131" width="3.73046875" bestFit="1" customWidth="1"/>
    <col min="132" max="133" width="6.73046875" bestFit="1" customWidth="1"/>
    <col min="134" max="134" width="3.73046875" bestFit="1" customWidth="1"/>
    <col min="135" max="136" width="6.73046875" bestFit="1" customWidth="1"/>
    <col min="137" max="137" width="3.73046875" bestFit="1" customWidth="1"/>
    <col min="138" max="139" width="6.73046875" bestFit="1" customWidth="1"/>
    <col min="140" max="140" width="3.73046875" bestFit="1" customWidth="1"/>
    <col min="141" max="143" width="6.73046875" bestFit="1" customWidth="1"/>
    <col min="144" max="144" width="11.1328125" bestFit="1" customWidth="1"/>
    <col min="145" max="145" width="2" bestFit="1" customWidth="1"/>
    <col min="146" max="146" width="6.73046875" bestFit="1" customWidth="1"/>
    <col min="147" max="147" width="3.73046875" bestFit="1" customWidth="1"/>
    <col min="148" max="148" width="6.73046875" bestFit="1" customWidth="1"/>
    <col min="149" max="149" width="3.73046875" bestFit="1" customWidth="1"/>
    <col min="150" max="152" width="6.73046875" bestFit="1" customWidth="1"/>
    <col min="153" max="153" width="3.73046875" bestFit="1" customWidth="1"/>
    <col min="154" max="156" width="6.73046875" bestFit="1" customWidth="1"/>
    <col min="157" max="157" width="3.73046875" bestFit="1" customWidth="1"/>
    <col min="158" max="159" width="6.73046875" bestFit="1" customWidth="1"/>
    <col min="160" max="160" width="3.73046875" bestFit="1" customWidth="1"/>
    <col min="161" max="162" width="6.73046875" bestFit="1" customWidth="1"/>
    <col min="163" max="163" width="3.73046875" bestFit="1" customWidth="1"/>
    <col min="164" max="165" width="6.73046875" bestFit="1" customWidth="1"/>
    <col min="166" max="166" width="3.73046875" bestFit="1" customWidth="1"/>
    <col min="167" max="170" width="6.73046875" bestFit="1" customWidth="1"/>
    <col min="171" max="171" width="3.73046875" bestFit="1" customWidth="1"/>
    <col min="172" max="174" width="6.73046875" bestFit="1" customWidth="1"/>
    <col min="175" max="175" width="3.73046875" bestFit="1" customWidth="1"/>
    <col min="176" max="178" width="6.73046875" bestFit="1" customWidth="1"/>
    <col min="179" max="179" width="3.73046875" bestFit="1" customWidth="1"/>
    <col min="180" max="183" width="6.73046875" bestFit="1" customWidth="1"/>
    <col min="184" max="184" width="3.73046875" bestFit="1" customWidth="1"/>
    <col min="185" max="187" width="6.73046875" bestFit="1" customWidth="1"/>
    <col min="188" max="188" width="3.73046875" bestFit="1" customWidth="1"/>
    <col min="189" max="191" width="6.73046875" bestFit="1" customWidth="1"/>
    <col min="192" max="192" width="3.73046875" bestFit="1" customWidth="1"/>
    <col min="193" max="196" width="6.73046875" bestFit="1" customWidth="1"/>
    <col min="197" max="197" width="3.73046875" bestFit="1" customWidth="1"/>
    <col min="198" max="200" width="6.73046875" bestFit="1" customWidth="1"/>
    <col min="201" max="201" width="3.73046875" bestFit="1" customWidth="1"/>
    <col min="202" max="204" width="6.73046875" bestFit="1" customWidth="1"/>
    <col min="205" max="205" width="3.73046875" bestFit="1" customWidth="1"/>
    <col min="206" max="209" width="6.73046875" bestFit="1" customWidth="1"/>
    <col min="210" max="210" width="11.1328125" bestFit="1" customWidth="1"/>
  </cols>
  <sheetData>
    <row r="1" spans="1:72" x14ac:dyDescent="0.45">
      <c r="C1" s="1" t="s">
        <v>0</v>
      </c>
      <c r="AD1" s="1" t="s">
        <v>1</v>
      </c>
      <c r="AO1" s="1" t="s">
        <v>2</v>
      </c>
      <c r="AZ1" s="1" t="s">
        <v>3</v>
      </c>
      <c r="BC1" s="1" t="s">
        <v>4</v>
      </c>
      <c r="BJ1" s="1" t="s">
        <v>5</v>
      </c>
      <c r="BK1" s="1"/>
      <c r="BL1" s="1"/>
      <c r="BM1" s="1"/>
      <c r="BN1" s="1"/>
      <c r="BO1" s="1"/>
    </row>
    <row r="2" spans="1:72" ht="39" customHeight="1" x14ac:dyDescent="0.45">
      <c r="H2" s="4" t="s">
        <v>6</v>
      </c>
      <c r="I2" s="4" t="s">
        <v>7</v>
      </c>
      <c r="J2" s="4" t="s">
        <v>8</v>
      </c>
      <c r="K2" s="4" t="s">
        <v>9</v>
      </c>
      <c r="L2" s="4"/>
      <c r="M2" s="4"/>
      <c r="N2" s="4"/>
      <c r="AO2" t="s">
        <v>10</v>
      </c>
      <c r="AP2" s="10" t="s">
        <v>11</v>
      </c>
      <c r="BJ2" t="s">
        <v>12</v>
      </c>
    </row>
    <row r="3" spans="1:72" x14ac:dyDescent="0.45">
      <c r="C3" t="s">
        <v>13</v>
      </c>
      <c r="D3" t="s">
        <v>14</v>
      </c>
      <c r="E3" t="s">
        <v>15</v>
      </c>
      <c r="F3" t="s">
        <v>16</v>
      </c>
      <c r="G3" t="s">
        <v>17</v>
      </c>
      <c r="H3" t="s">
        <v>18</v>
      </c>
      <c r="I3" t="s">
        <v>19</v>
      </c>
      <c r="J3" t="s">
        <v>20</v>
      </c>
      <c r="K3" t="s">
        <v>21</v>
      </c>
      <c r="L3" t="s">
        <v>22</v>
      </c>
      <c r="M3" t="s">
        <v>23</v>
      </c>
      <c r="N3" t="s">
        <v>1187</v>
      </c>
      <c r="O3" t="s">
        <v>24</v>
      </c>
      <c r="P3" t="s">
        <v>25</v>
      </c>
      <c r="Q3" t="s">
        <v>26</v>
      </c>
      <c r="R3" t="s">
        <v>27</v>
      </c>
      <c r="S3" t="s">
        <v>28</v>
      </c>
      <c r="T3" t="s">
        <v>29</v>
      </c>
      <c r="U3" t="s">
        <v>30</v>
      </c>
      <c r="V3" t="s">
        <v>31</v>
      </c>
      <c r="W3" t="s">
        <v>32</v>
      </c>
      <c r="X3" t="s">
        <v>33</v>
      </c>
      <c r="Y3" t="s">
        <v>34</v>
      </c>
      <c r="Z3" t="s">
        <v>35</v>
      </c>
      <c r="AA3" t="s">
        <v>36</v>
      </c>
      <c r="AD3" t="s">
        <v>37</v>
      </c>
      <c r="AE3" t="s">
        <v>38</v>
      </c>
      <c r="AF3" t="s">
        <v>39</v>
      </c>
      <c r="AG3" t="s">
        <v>40</v>
      </c>
      <c r="AH3" t="s">
        <v>41</v>
      </c>
      <c r="AI3" t="s">
        <v>36</v>
      </c>
      <c r="AJ3" t="s">
        <v>42</v>
      </c>
      <c r="AK3" t="s">
        <v>17</v>
      </c>
      <c r="AL3" t="s">
        <v>43</v>
      </c>
      <c r="AM3" t="s">
        <v>44</v>
      </c>
      <c r="AO3" t="s">
        <v>37</v>
      </c>
      <c r="AP3" t="s">
        <v>38</v>
      </c>
      <c r="AQ3" t="s">
        <v>39</v>
      </c>
      <c r="AR3" t="s">
        <v>40</v>
      </c>
      <c r="AS3" t="s">
        <v>45</v>
      </c>
      <c r="AT3" t="s">
        <v>17</v>
      </c>
      <c r="AU3" t="s">
        <v>18</v>
      </c>
      <c r="AV3" t="s">
        <v>46</v>
      </c>
      <c r="AZ3" t="s">
        <v>47</v>
      </c>
      <c r="BA3" t="s">
        <v>48</v>
      </c>
      <c r="BC3" t="s">
        <v>49</v>
      </c>
      <c r="BD3" t="s">
        <v>50</v>
      </c>
      <c r="BE3" t="s">
        <v>51</v>
      </c>
      <c r="BF3" t="s">
        <v>24</v>
      </c>
      <c r="BG3" t="s">
        <v>25</v>
      </c>
      <c r="BH3" t="s">
        <v>26</v>
      </c>
      <c r="BJ3" t="s">
        <v>13</v>
      </c>
      <c r="BK3" t="s">
        <v>52</v>
      </c>
      <c r="BL3" t="s">
        <v>53</v>
      </c>
      <c r="BM3" t="s">
        <v>54</v>
      </c>
      <c r="BN3" t="s">
        <v>55</v>
      </c>
      <c r="BO3" t="s">
        <v>56</v>
      </c>
      <c r="BP3" t="s">
        <v>57</v>
      </c>
      <c r="BQ3" t="s">
        <v>58</v>
      </c>
      <c r="BR3" t="s">
        <v>17</v>
      </c>
      <c r="BS3" t="s">
        <v>59</v>
      </c>
      <c r="BT3" t="s">
        <v>60</v>
      </c>
    </row>
    <row r="4" spans="1:72" ht="16.899999999999999" x14ac:dyDescent="0.5">
      <c r="A4" t="s">
        <v>61</v>
      </c>
      <c r="C4" s="33">
        <v>10000</v>
      </c>
      <c r="D4" s="33" t="s">
        <v>62</v>
      </c>
      <c r="E4" s="33" t="s">
        <v>63</v>
      </c>
      <c r="F4" s="33" t="s">
        <v>64</v>
      </c>
      <c r="G4" s="39">
        <v>90000</v>
      </c>
      <c r="H4" t="s">
        <v>65</v>
      </c>
      <c r="I4" t="s">
        <v>66</v>
      </c>
      <c r="J4" t="s">
        <v>66</v>
      </c>
      <c r="K4" t="s">
        <v>21</v>
      </c>
      <c r="M4">
        <v>33</v>
      </c>
      <c r="N4" t="s">
        <v>66</v>
      </c>
      <c r="O4" s="41" t="str">
        <f>IFERROR(INDEX(TechCodes[[IRENA code]:[Technology]],MATCH(TechCodes[[#This Row],[Parent]],TechCodes[IRENA code],0),2),TechCodes[[#This Row],[Technology]])</f>
        <v>TOTAL</v>
      </c>
      <c r="P4" s="41" t="str">
        <f>IFERROR(INDEX(TechCodes[[IRENA code]:[Technology]],MATCH(INDEX(TechCodes[[Technology]:[Parent]],MATCH(TechCodes[[#This Row],[L1N]],TechCodes[Technology],0),4),TechCodes[IRENA code],0),2),TechCodes[[#This Row],[L1N]])</f>
        <v>TOTAL</v>
      </c>
      <c r="Q4" s="41" t="str">
        <f>IFERROR(INDEX(TechCodes[[IRENA code]:[Technology]],MATCH(INDEX(TechCodes[[Technology]:[Parent]],MATCH(TechCodes[[#This Row],[L2N]],TechCodes[Technology],0),4),TechCodes[IRENA code],0),2),TechCodes[[#This Row],[L2N]])</f>
        <v>TOTAL</v>
      </c>
      <c r="R4" s="41" t="str">
        <f>IFERROR(INDEX(TechCodes[[IRENA code]:[Technology]],MATCH(INDEX(TechCodes[[Technology]:[Parent]],MATCH(TechCodes[[#This Row],[L3N]],TechCodes[Technology],0),4),TechCodes[IRENA code],0),2),TechCodes[[#This Row],[L3N]])</f>
        <v>TOTAL</v>
      </c>
      <c r="S4" s="41" t="str">
        <f>IFERROR(INDEX(TechCodes[[IRENA code]:[Technology]],MATCH(INDEX(TechCodes[[Technology]:[Parent]],MATCH(TechCodes[[#This Row],[L4N]],TechCodes[Technology],0),4),TechCodes[IRENA code],0),2),TechCodes[[#This Row],[L4N]])</f>
        <v>TOTAL</v>
      </c>
      <c r="T4" s="41" t="str">
        <f>IFERROR(INDEX(TechCodes[[IRENA code]:[Technology]],MATCH(INDEX(TechCodes[[Technology]:[Parent]],MATCH(TechCodes[[#This Row],[L5N]],TechCodes[Technology],0),4),TechCodes[IRENA code],0),2),TechCodes[[#This Row],[L5N]])</f>
        <v>TOTAL</v>
      </c>
      <c r="U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Total Non-Renewable</v>
      </c>
      <c r="X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Total Non-Renewable</v>
      </c>
      <c r="Y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Total Non-Renewable</v>
      </c>
      <c r="Z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Total Non-Renewable</v>
      </c>
      <c r="AA4" s="43"/>
      <c r="AC4" s="3"/>
      <c r="AD4" s="9">
        <v>0</v>
      </c>
      <c r="AE4" s="9"/>
      <c r="AF4" s="9"/>
      <c r="AG4" s="9"/>
      <c r="AI4" s="9" t="s">
        <v>67</v>
      </c>
      <c r="AJ4" t="s">
        <v>68</v>
      </c>
      <c r="AK4" s="9"/>
      <c r="AO4" t="s">
        <v>69</v>
      </c>
      <c r="AP4" t="s">
        <v>69</v>
      </c>
      <c r="AQ4" t="s">
        <v>69</v>
      </c>
      <c r="AR4" t="s">
        <v>69</v>
      </c>
      <c r="AS4" s="9" t="s">
        <v>70</v>
      </c>
      <c r="AT4" s="9"/>
      <c r="AU4" t="s">
        <v>65</v>
      </c>
      <c r="AZ4" t="s">
        <v>71</v>
      </c>
      <c r="BA4">
        <v>1</v>
      </c>
      <c r="BC4">
        <v>200</v>
      </c>
      <c r="BD4" t="s">
        <v>72</v>
      </c>
      <c r="BE4" t="s">
        <v>31</v>
      </c>
      <c r="BF4" t="s">
        <v>72</v>
      </c>
      <c r="BG4" t="s">
        <v>72</v>
      </c>
      <c r="BH4" t="s">
        <v>72</v>
      </c>
      <c r="BJ4">
        <v>421</v>
      </c>
      <c r="BK4" t="s">
        <v>73</v>
      </c>
      <c r="BL4" t="s">
        <v>74</v>
      </c>
      <c r="BM4" t="s">
        <v>75</v>
      </c>
      <c r="BN4" t="s">
        <v>76</v>
      </c>
      <c r="BO4" s="19">
        <v>110</v>
      </c>
      <c r="BP4" s="47" t="s">
        <v>77</v>
      </c>
      <c r="BQ4" s="47"/>
      <c r="BS4" t="s">
        <v>78</v>
      </c>
      <c r="BT4" t="s">
        <v>79</v>
      </c>
    </row>
    <row r="5" spans="1:72" ht="15.75" x14ac:dyDescent="0.5">
      <c r="C5" s="34">
        <v>11000</v>
      </c>
      <c r="D5" s="34" t="s">
        <v>80</v>
      </c>
      <c r="E5" s="34" t="s">
        <v>81</v>
      </c>
      <c r="F5" s="34" t="s">
        <v>82</v>
      </c>
      <c r="G5" s="38">
        <v>10000</v>
      </c>
      <c r="H5" t="s">
        <v>83</v>
      </c>
      <c r="I5" t="s">
        <v>84</v>
      </c>
      <c r="J5" t="s">
        <v>66</v>
      </c>
      <c r="K5" t="s">
        <v>21</v>
      </c>
      <c r="M5">
        <v>33</v>
      </c>
      <c r="N5" t="s">
        <v>1192</v>
      </c>
      <c r="O5" s="41" t="str">
        <f>IFERROR(INDEX(TechCodes[[IRENA code]:[Technology]],MATCH(TechCodes[[#This Row],[Parent]],TechCodes[IRENA code],0),2),TechCodes[[#This Row],[Technology]])</f>
        <v>Total Non-Renewable</v>
      </c>
      <c r="P5" s="41" t="str">
        <f>IFERROR(INDEX(TechCodes[[IRENA code]:[Technology]],MATCH(INDEX(TechCodes[[Technology]:[Parent]],MATCH(TechCodes[[#This Row],[L1N]],TechCodes[Technology],0),4),TechCodes[IRENA code],0),2),TechCodes[[#This Row],[L1N]])</f>
        <v>TOTAL</v>
      </c>
      <c r="Q5" s="41" t="str">
        <f>IFERROR(INDEX(TechCodes[[IRENA code]:[Technology]],MATCH(INDEX(TechCodes[[Technology]:[Parent]],MATCH(TechCodes[[#This Row],[L2N]],TechCodes[Technology],0),4),TechCodes[IRENA code],0),2),TechCodes[[#This Row],[L2N]])</f>
        <v>TOTAL</v>
      </c>
      <c r="R5" s="41" t="str">
        <f>IFERROR(INDEX(TechCodes[[IRENA code]:[Technology]],MATCH(INDEX(TechCodes[[Technology]:[Parent]],MATCH(TechCodes[[#This Row],[L3N]],TechCodes[Technology],0),4),TechCodes[IRENA code],0),2),TechCodes[[#This Row],[L3N]])</f>
        <v>TOTAL</v>
      </c>
      <c r="S5" s="41" t="str">
        <f>IFERROR(INDEX(TechCodes[[IRENA code]:[Technology]],MATCH(INDEX(TechCodes[[Technology]:[Parent]],MATCH(TechCodes[[#This Row],[L4N]],TechCodes[Technology],0),4),TechCodes[IRENA code],0),2),TechCodes[[#This Row],[L4N]])</f>
        <v>TOTAL</v>
      </c>
      <c r="T5" s="41" t="str">
        <f>IFERROR(INDEX(TechCodes[[IRENA code]:[Technology]],MATCH(INDEX(TechCodes[[Technology]:[Parent]],MATCH(TechCodes[[#This Row],[L5N]],TechCodes[Technology],0),4),TechCodes[IRENA code],0),2),TechCodes[[#This Row],[L5N]])</f>
        <v>TOTAL</v>
      </c>
      <c r="U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Fossil fuels</v>
      </c>
      <c r="Y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Fossil fuels</v>
      </c>
      <c r="Z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Fossil fuels</v>
      </c>
      <c r="AA5" s="43"/>
      <c r="AC5" s="3"/>
      <c r="AD5" s="9">
        <v>0</v>
      </c>
      <c r="AE5" s="9" t="s">
        <v>85</v>
      </c>
      <c r="AF5" s="9"/>
      <c r="AG5" s="9"/>
      <c r="AI5" s="9" t="s">
        <v>86</v>
      </c>
      <c r="AJ5" s="44" t="s">
        <v>87</v>
      </c>
      <c r="AK5" s="9" t="s">
        <v>67</v>
      </c>
      <c r="AO5" t="s">
        <v>69</v>
      </c>
      <c r="AP5" t="s">
        <v>88</v>
      </c>
      <c r="AQ5" t="s">
        <v>88</v>
      </c>
      <c r="AR5" t="s">
        <v>88</v>
      </c>
      <c r="AS5" s="9" t="s">
        <v>86</v>
      </c>
      <c r="AT5" s="9" t="s">
        <v>70</v>
      </c>
      <c r="AU5" t="s">
        <v>65</v>
      </c>
      <c r="AZ5" t="s">
        <v>89</v>
      </c>
      <c r="BA5">
        <v>2</v>
      </c>
      <c r="BC5">
        <v>210</v>
      </c>
      <c r="BD5" t="s">
        <v>90</v>
      </c>
      <c r="BE5" t="s">
        <v>32</v>
      </c>
      <c r="BF5" t="s">
        <v>72</v>
      </c>
      <c r="BG5" t="s">
        <v>90</v>
      </c>
      <c r="BH5" t="s">
        <v>90</v>
      </c>
      <c r="BJ5">
        <v>422</v>
      </c>
      <c r="BK5" t="s">
        <v>73</v>
      </c>
      <c r="BL5" t="s">
        <v>74</v>
      </c>
      <c r="BM5" t="s">
        <v>75</v>
      </c>
      <c r="BN5" t="s">
        <v>76</v>
      </c>
      <c r="BO5" s="19">
        <v>111</v>
      </c>
      <c r="BP5" s="48" t="s">
        <v>91</v>
      </c>
      <c r="BQ5" s="48" t="s">
        <v>91</v>
      </c>
      <c r="BS5" t="s">
        <v>78</v>
      </c>
      <c r="BT5" t="s">
        <v>92</v>
      </c>
    </row>
    <row r="6" spans="1:72" x14ac:dyDescent="0.45">
      <c r="C6" s="32">
        <v>11100</v>
      </c>
      <c r="D6" s="32" t="s">
        <v>93</v>
      </c>
      <c r="E6" s="32" t="s">
        <v>94</v>
      </c>
      <c r="F6" s="32" t="s">
        <v>95</v>
      </c>
      <c r="G6" s="37">
        <v>11000</v>
      </c>
      <c r="H6" t="s">
        <v>83</v>
      </c>
      <c r="I6" t="s">
        <v>66</v>
      </c>
      <c r="J6" t="s">
        <v>84</v>
      </c>
      <c r="K6" t="s">
        <v>21</v>
      </c>
      <c r="N6" t="s">
        <v>1192</v>
      </c>
      <c r="O6" s="41" t="str">
        <f>IFERROR(INDEX(TechCodes[[IRENA code]:[Technology]],MATCH(TechCodes[[#This Row],[Parent]],TechCodes[IRENA code],0),2),TechCodes[[#This Row],[Technology]])</f>
        <v>Fossil fuels</v>
      </c>
      <c r="P6" s="41" t="str">
        <f>IFERROR(INDEX(TechCodes[[IRENA code]:[Technology]],MATCH(INDEX(TechCodes[[Technology]:[Parent]],MATCH(TechCodes[[#This Row],[L1N]],TechCodes[Technology],0),4),TechCodes[IRENA code],0),2),TechCodes[[#This Row],[L1N]])</f>
        <v>Total Non-Renewable</v>
      </c>
      <c r="Q6" s="41" t="str">
        <f>IFERROR(INDEX(TechCodes[[IRENA code]:[Technology]],MATCH(INDEX(TechCodes[[Technology]:[Parent]],MATCH(TechCodes[[#This Row],[L2N]],TechCodes[Technology],0),4),TechCodes[IRENA code],0),2),TechCodes[[#This Row],[L2N]])</f>
        <v>TOTAL</v>
      </c>
      <c r="R6" s="41" t="str">
        <f>IFERROR(INDEX(TechCodes[[IRENA code]:[Technology]],MATCH(INDEX(TechCodes[[Technology]:[Parent]],MATCH(TechCodes[[#This Row],[L3N]],TechCodes[Technology],0),4),TechCodes[IRENA code],0),2),TechCodes[[#This Row],[L3N]])</f>
        <v>TOTAL</v>
      </c>
      <c r="S6" s="41" t="str">
        <f>IFERROR(INDEX(TechCodes[[IRENA code]:[Technology]],MATCH(INDEX(TechCodes[[Technology]:[Parent]],MATCH(TechCodes[[#This Row],[L4N]],TechCodes[Technology],0),4),TechCodes[IRENA code],0),2),TechCodes[[#This Row],[L4N]])</f>
        <v>TOTAL</v>
      </c>
      <c r="T6" s="41" t="str">
        <f>IFERROR(INDEX(TechCodes[[IRENA code]:[Technology]],MATCH(INDEX(TechCodes[[Technology]:[Parent]],MATCH(TechCodes[[#This Row],[L5N]],TechCodes[Technology],0),4),TechCodes[IRENA code],0),2),TechCodes[[#This Row],[L5N]])</f>
        <v>TOTAL</v>
      </c>
      <c r="U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Coal and peat</v>
      </c>
      <c r="Y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Coal and peat</v>
      </c>
      <c r="Z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Coal and peat</v>
      </c>
      <c r="AA6" s="43" t="s">
        <v>96</v>
      </c>
      <c r="AC6" s="3"/>
      <c r="AD6" s="9">
        <v>0</v>
      </c>
      <c r="AE6" s="9" t="s">
        <v>85</v>
      </c>
      <c r="AF6" s="9" t="s">
        <v>97</v>
      </c>
      <c r="AG6" s="9" t="s">
        <v>98</v>
      </c>
      <c r="AI6" s="9" t="s">
        <v>98</v>
      </c>
      <c r="AJ6" s="45" t="s">
        <v>99</v>
      </c>
      <c r="AK6" s="9" t="s">
        <v>86</v>
      </c>
      <c r="AO6" t="s">
        <v>69</v>
      </c>
      <c r="AP6" t="s">
        <v>88</v>
      </c>
      <c r="AQ6" t="s">
        <v>100</v>
      </c>
      <c r="AR6" t="s">
        <v>100</v>
      </c>
      <c r="AS6" s="9" t="s">
        <v>98</v>
      </c>
      <c r="AT6" s="9" t="s">
        <v>86</v>
      </c>
      <c r="AU6" t="s">
        <v>65</v>
      </c>
      <c r="AZ6" t="s">
        <v>101</v>
      </c>
      <c r="BA6">
        <v>3</v>
      </c>
      <c r="BC6">
        <v>211</v>
      </c>
      <c r="BD6" t="s">
        <v>102</v>
      </c>
      <c r="BE6" t="s">
        <v>33</v>
      </c>
      <c r="BF6" t="s">
        <v>72</v>
      </c>
      <c r="BG6" t="s">
        <v>90</v>
      </c>
      <c r="BH6" t="s">
        <v>102</v>
      </c>
      <c r="BJ6">
        <v>423</v>
      </c>
      <c r="BK6" t="s">
        <v>73</v>
      </c>
      <c r="BL6" t="s">
        <v>74</v>
      </c>
      <c r="BM6" t="s">
        <v>75</v>
      </c>
      <c r="BN6" t="s">
        <v>76</v>
      </c>
      <c r="BO6" s="19">
        <v>112</v>
      </c>
      <c r="BP6" s="49" t="s">
        <v>103</v>
      </c>
      <c r="BQ6" s="50"/>
      <c r="BS6" t="s">
        <v>78</v>
      </c>
      <c r="BT6" t="s">
        <v>92</v>
      </c>
    </row>
    <row r="7" spans="1:72" x14ac:dyDescent="0.45">
      <c r="C7" s="35">
        <v>11110</v>
      </c>
      <c r="D7" s="35" t="s">
        <v>68</v>
      </c>
      <c r="E7" s="35" t="s">
        <v>104</v>
      </c>
      <c r="F7" s="35" t="s">
        <v>105</v>
      </c>
      <c r="G7" s="28">
        <v>11100</v>
      </c>
      <c r="H7" t="s">
        <v>106</v>
      </c>
      <c r="I7" t="s">
        <v>66</v>
      </c>
      <c r="J7" t="s">
        <v>66</v>
      </c>
      <c r="K7" t="s">
        <v>107</v>
      </c>
      <c r="N7" t="s">
        <v>1192</v>
      </c>
      <c r="O7" s="41" t="str">
        <f>IFERROR(INDEX(TechCodes[[IRENA code]:[Technology]],MATCH(TechCodes[[#This Row],[Parent]],TechCodes[IRENA code],0),2),TechCodes[[#This Row],[Technology]])</f>
        <v>Coal and peat</v>
      </c>
      <c r="P7" s="41" t="str">
        <f>IFERROR(INDEX(TechCodes[[IRENA code]:[Technology]],MATCH(INDEX(TechCodes[[Technology]:[Parent]],MATCH(TechCodes[[#This Row],[L1N]],TechCodes[Technology],0),4),TechCodes[IRENA code],0),2),TechCodes[[#This Row],[L1N]])</f>
        <v>Fossil fuels</v>
      </c>
      <c r="Q7" s="41" t="str">
        <f>IFERROR(INDEX(TechCodes[[IRENA code]:[Technology]],MATCH(INDEX(TechCodes[[Technology]:[Parent]],MATCH(TechCodes[[#This Row],[L2N]],TechCodes[Technology],0),4),TechCodes[IRENA code],0),2),TechCodes[[#This Row],[L2N]])</f>
        <v>Total Non-Renewable</v>
      </c>
      <c r="R7" s="41" t="str">
        <f>IFERROR(INDEX(TechCodes[[IRENA code]:[Technology]],MATCH(INDEX(TechCodes[[Technology]:[Parent]],MATCH(TechCodes[[#This Row],[L3N]],TechCodes[Technology],0),4),TechCodes[IRENA code],0),2),TechCodes[[#This Row],[L3N]])</f>
        <v>TOTAL</v>
      </c>
      <c r="S7" s="41" t="str">
        <f>IFERROR(INDEX(TechCodes[[IRENA code]:[Technology]],MATCH(INDEX(TechCodes[[Technology]:[Parent]],MATCH(TechCodes[[#This Row],[L4N]],TechCodes[Technology],0),4),TechCodes[IRENA code],0),2),TechCodes[[#This Row],[L4N]])</f>
        <v>TOTAL</v>
      </c>
      <c r="T7" s="41" t="str">
        <f>IFERROR(INDEX(TechCodes[[IRENA code]:[Technology]],MATCH(INDEX(TechCodes[[Technology]:[Parent]],MATCH(TechCodes[[#This Row],[L5N]],TechCodes[Technology],0),4),TechCodes[IRENA code],0),2),TechCodes[[#This Row],[L5N]])</f>
        <v>TOTAL</v>
      </c>
      <c r="U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Coal and peat</v>
      </c>
      <c r="Y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Coal</v>
      </c>
      <c r="Z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Coal</v>
      </c>
      <c r="AA7" s="43" t="s">
        <v>108</v>
      </c>
      <c r="AC7" s="3"/>
      <c r="AD7" s="9">
        <v>0</v>
      </c>
      <c r="AE7" s="9" t="s">
        <v>85</v>
      </c>
      <c r="AF7" s="9" t="s">
        <v>109</v>
      </c>
      <c r="AG7" s="9"/>
      <c r="AI7" s="9" t="s">
        <v>110</v>
      </c>
      <c r="AJ7" s="45" t="s">
        <v>111</v>
      </c>
      <c r="AK7" s="9" t="s">
        <v>86</v>
      </c>
      <c r="AO7" t="s">
        <v>69</v>
      </c>
      <c r="AP7" t="s">
        <v>88</v>
      </c>
      <c r="AQ7" t="s">
        <v>100</v>
      </c>
      <c r="AR7" t="s">
        <v>112</v>
      </c>
      <c r="AS7" s="9" t="s">
        <v>113</v>
      </c>
      <c r="AT7" s="9" t="s">
        <v>98</v>
      </c>
      <c r="AU7" t="s">
        <v>83</v>
      </c>
      <c r="AZ7" t="s">
        <v>114</v>
      </c>
      <c r="BA7">
        <v>4</v>
      </c>
      <c r="BC7">
        <v>212</v>
      </c>
      <c r="BD7" t="s">
        <v>115</v>
      </c>
      <c r="BE7" t="s">
        <v>33</v>
      </c>
      <c r="BF7" t="s">
        <v>72</v>
      </c>
      <c r="BG7" t="s">
        <v>90</v>
      </c>
      <c r="BH7" t="s">
        <v>115</v>
      </c>
      <c r="BJ7">
        <v>424</v>
      </c>
      <c r="BK7" t="s">
        <v>73</v>
      </c>
      <c r="BL7" t="s">
        <v>74</v>
      </c>
      <c r="BM7" t="s">
        <v>75</v>
      </c>
      <c r="BN7" t="s">
        <v>76</v>
      </c>
      <c r="BO7" s="19">
        <v>120</v>
      </c>
      <c r="BP7" s="50" t="s">
        <v>116</v>
      </c>
      <c r="BQ7" s="50" t="s">
        <v>116</v>
      </c>
      <c r="BS7" t="s">
        <v>78</v>
      </c>
      <c r="BT7" t="s">
        <v>79</v>
      </c>
    </row>
    <row r="8" spans="1:72" x14ac:dyDescent="0.45">
      <c r="C8" s="35">
        <v>11120</v>
      </c>
      <c r="D8" s="35" t="s">
        <v>117</v>
      </c>
      <c r="E8" s="35" t="s">
        <v>118</v>
      </c>
      <c r="F8" s="35" t="s">
        <v>119</v>
      </c>
      <c r="G8" s="28">
        <v>11100</v>
      </c>
      <c r="H8" t="s">
        <v>106</v>
      </c>
      <c r="I8" t="s">
        <v>66</v>
      </c>
      <c r="J8" t="s">
        <v>66</v>
      </c>
      <c r="K8" t="s">
        <v>107</v>
      </c>
      <c r="N8" t="s">
        <v>1192</v>
      </c>
      <c r="O8" s="41" t="str">
        <f>IFERROR(INDEX(TechCodes[[IRENA code]:[Technology]],MATCH(TechCodes[[#This Row],[Parent]],TechCodes[IRENA code],0),2),TechCodes[[#This Row],[Technology]])</f>
        <v>Coal and peat</v>
      </c>
      <c r="P8" s="41" t="str">
        <f>IFERROR(INDEX(TechCodes[[IRENA code]:[Technology]],MATCH(INDEX(TechCodes[[Technology]:[Parent]],MATCH(TechCodes[[#This Row],[L1N]],TechCodes[Technology],0),4),TechCodes[IRENA code],0),2),TechCodes[[#This Row],[L1N]])</f>
        <v>Fossil fuels</v>
      </c>
      <c r="Q8" s="41" t="str">
        <f>IFERROR(INDEX(TechCodes[[IRENA code]:[Technology]],MATCH(INDEX(TechCodes[[Technology]:[Parent]],MATCH(TechCodes[[#This Row],[L2N]],TechCodes[Technology],0),4),TechCodes[IRENA code],0),2),TechCodes[[#This Row],[L2N]])</f>
        <v>Total Non-Renewable</v>
      </c>
      <c r="R8" s="41" t="str">
        <f>IFERROR(INDEX(TechCodes[[IRENA code]:[Technology]],MATCH(INDEX(TechCodes[[Technology]:[Parent]],MATCH(TechCodes[[#This Row],[L3N]],TechCodes[Technology],0),4),TechCodes[IRENA code],0),2),TechCodes[[#This Row],[L3N]])</f>
        <v>TOTAL</v>
      </c>
      <c r="S8" s="41" t="str">
        <f>IFERROR(INDEX(TechCodes[[IRENA code]:[Technology]],MATCH(INDEX(TechCodes[[Technology]:[Parent]],MATCH(TechCodes[[#This Row],[L4N]],TechCodes[Technology],0),4),TechCodes[IRENA code],0),2),TechCodes[[#This Row],[L4N]])</f>
        <v>TOTAL</v>
      </c>
      <c r="T8" s="41" t="str">
        <f>IFERROR(INDEX(TechCodes[[IRENA code]:[Technology]],MATCH(INDEX(TechCodes[[Technology]:[Parent]],MATCH(TechCodes[[#This Row],[L5N]],TechCodes[Technology],0),4),TechCodes[IRENA code],0),2),TechCodes[[#This Row],[L5N]])</f>
        <v>TOTAL</v>
      </c>
      <c r="U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Coal and peat</v>
      </c>
      <c r="Y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Coal products</v>
      </c>
      <c r="Z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Coal products</v>
      </c>
      <c r="AA8" s="43" t="str">
        <f>IFERROR(VLOOKUP(TechCodes[[#This Row],[IRENA code]],SIEC[[IRENA]:[SIEC]],2,0),"")</f>
        <v>0300</v>
      </c>
      <c r="AC8" s="3"/>
      <c r="AD8" s="9">
        <v>0</v>
      </c>
      <c r="AE8" s="9" t="s">
        <v>85</v>
      </c>
      <c r="AF8" s="9" t="s">
        <v>109</v>
      </c>
      <c r="AG8" s="9" t="s">
        <v>120</v>
      </c>
      <c r="AI8" s="9" t="s">
        <v>120</v>
      </c>
      <c r="AJ8" s="46" t="s">
        <v>121</v>
      </c>
      <c r="AK8" s="9" t="s">
        <v>110</v>
      </c>
      <c r="AO8" t="s">
        <v>69</v>
      </c>
      <c r="AP8" t="s">
        <v>88</v>
      </c>
      <c r="AQ8" t="s">
        <v>100</v>
      </c>
      <c r="AR8" t="s">
        <v>122</v>
      </c>
      <c r="AS8" s="9" t="s">
        <v>123</v>
      </c>
      <c r="AT8" s="9" t="s">
        <v>98</v>
      </c>
      <c r="AU8" t="s">
        <v>83</v>
      </c>
      <c r="BC8">
        <v>220</v>
      </c>
      <c r="BD8" t="s">
        <v>124</v>
      </c>
      <c r="BE8" t="s">
        <v>32</v>
      </c>
      <c r="BF8" t="s">
        <v>72</v>
      </c>
      <c r="BG8" t="s">
        <v>124</v>
      </c>
      <c r="BH8" t="s">
        <v>124</v>
      </c>
      <c r="BJ8">
        <v>425</v>
      </c>
      <c r="BK8" t="s">
        <v>73</v>
      </c>
      <c r="BL8" t="s">
        <v>74</v>
      </c>
      <c r="BM8" t="s">
        <v>75</v>
      </c>
      <c r="BN8" t="s">
        <v>76</v>
      </c>
      <c r="BO8" s="19">
        <v>130</v>
      </c>
      <c r="BP8" s="50" t="s">
        <v>125</v>
      </c>
      <c r="BQ8" s="50" t="s">
        <v>125</v>
      </c>
      <c r="BS8" t="s">
        <v>78</v>
      </c>
      <c r="BT8" t="s">
        <v>79</v>
      </c>
    </row>
    <row r="9" spans="1:72" x14ac:dyDescent="0.45">
      <c r="C9" s="32">
        <v>11200</v>
      </c>
      <c r="D9" s="32" t="s">
        <v>126</v>
      </c>
      <c r="E9" s="32" t="s">
        <v>127</v>
      </c>
      <c r="F9" s="32" t="s">
        <v>128</v>
      </c>
      <c r="G9" s="37">
        <v>11000</v>
      </c>
      <c r="H9" t="s">
        <v>83</v>
      </c>
      <c r="I9" t="s">
        <v>66</v>
      </c>
      <c r="J9" t="s">
        <v>84</v>
      </c>
      <c r="K9" t="s">
        <v>21</v>
      </c>
      <c r="N9" t="s">
        <v>1192</v>
      </c>
      <c r="O9" s="41" t="str">
        <f>IFERROR(INDEX(TechCodes[[IRENA code]:[Technology]],MATCH(TechCodes[[#This Row],[Parent]],TechCodes[IRENA code],0),2),TechCodes[[#This Row],[Technology]])</f>
        <v>Fossil fuels</v>
      </c>
      <c r="P9" s="41" t="str">
        <f>IFERROR(INDEX(TechCodes[[IRENA code]:[Technology]],MATCH(INDEX(TechCodes[[Technology]:[Parent]],MATCH(TechCodes[[#This Row],[L1N]],TechCodes[Technology],0),4),TechCodes[IRENA code],0),2),TechCodes[[#This Row],[L1N]])</f>
        <v>Total Non-Renewable</v>
      </c>
      <c r="Q9" s="41" t="str">
        <f>IFERROR(INDEX(TechCodes[[IRENA code]:[Technology]],MATCH(INDEX(TechCodes[[Technology]:[Parent]],MATCH(TechCodes[[#This Row],[L2N]],TechCodes[Technology],0),4),TechCodes[IRENA code],0),2),TechCodes[[#This Row],[L2N]])</f>
        <v>TOTAL</v>
      </c>
      <c r="R9" s="41" t="str">
        <f>IFERROR(INDEX(TechCodes[[IRENA code]:[Technology]],MATCH(INDEX(TechCodes[[Technology]:[Parent]],MATCH(TechCodes[[#This Row],[L3N]],TechCodes[Technology],0),4),TechCodes[IRENA code],0),2),TechCodes[[#This Row],[L3N]])</f>
        <v>TOTAL</v>
      </c>
      <c r="S9" s="41" t="str">
        <f>IFERROR(INDEX(TechCodes[[IRENA code]:[Technology]],MATCH(INDEX(TechCodes[[Technology]:[Parent]],MATCH(TechCodes[[#This Row],[L4N]],TechCodes[Technology],0),4),TechCodes[IRENA code],0),2),TechCodes[[#This Row],[L4N]])</f>
        <v>TOTAL</v>
      </c>
      <c r="T9" s="41" t="str">
        <f>IFERROR(INDEX(TechCodes[[IRENA code]:[Technology]],MATCH(INDEX(TechCodes[[Technology]:[Parent]],MATCH(TechCodes[[#This Row],[L5N]],TechCodes[Technology],0),4),TechCodes[IRENA code],0),2),TechCodes[[#This Row],[L5N]])</f>
        <v>TOTAL</v>
      </c>
      <c r="U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Oil</v>
      </c>
      <c r="Y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Oil</v>
      </c>
      <c r="Z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Oil</v>
      </c>
      <c r="AA9" s="43" t="str">
        <f>IFERROR(VLOOKUP(TechCodes[[#This Row],[IRENA code]],SIEC[[IRENA]:[SIEC]],2,0),"")</f>
        <v>4000</v>
      </c>
      <c r="AC9" s="3"/>
      <c r="AD9" s="9">
        <v>0</v>
      </c>
      <c r="AE9" s="9" t="s">
        <v>85</v>
      </c>
      <c r="AF9" s="9" t="s">
        <v>109</v>
      </c>
      <c r="AG9" s="9" t="s">
        <v>129</v>
      </c>
      <c r="AI9" s="9" t="s">
        <v>129</v>
      </c>
      <c r="AJ9" s="46" t="s">
        <v>130</v>
      </c>
      <c r="AK9" s="9" t="s">
        <v>110</v>
      </c>
      <c r="AO9" t="s">
        <v>69</v>
      </c>
      <c r="AP9" t="s">
        <v>88</v>
      </c>
      <c r="AQ9" t="s">
        <v>100</v>
      </c>
      <c r="AR9" t="s">
        <v>131</v>
      </c>
      <c r="AS9" s="9" t="s">
        <v>132</v>
      </c>
      <c r="AT9" s="9" t="s">
        <v>98</v>
      </c>
      <c r="AU9" t="s">
        <v>83</v>
      </c>
      <c r="BC9">
        <v>221</v>
      </c>
      <c r="BD9" t="s">
        <v>133</v>
      </c>
      <c r="BE9" t="s">
        <v>33</v>
      </c>
      <c r="BF9" t="s">
        <v>72</v>
      </c>
      <c r="BG9" t="s">
        <v>124</v>
      </c>
      <c r="BH9" t="s">
        <v>133</v>
      </c>
      <c r="BJ9">
        <v>426</v>
      </c>
      <c r="BK9" t="s">
        <v>73</v>
      </c>
      <c r="BL9" t="s">
        <v>74</v>
      </c>
      <c r="BM9" t="s">
        <v>75</v>
      </c>
      <c r="BN9" t="s">
        <v>76</v>
      </c>
      <c r="BO9" s="19">
        <v>140</v>
      </c>
      <c r="BP9" s="50" t="s">
        <v>134</v>
      </c>
      <c r="BQ9" s="50" t="s">
        <v>134</v>
      </c>
      <c r="BS9" t="s">
        <v>78</v>
      </c>
      <c r="BT9" t="s">
        <v>79</v>
      </c>
    </row>
    <row r="10" spans="1:72" x14ac:dyDescent="0.45">
      <c r="C10" s="35">
        <v>11210</v>
      </c>
      <c r="D10" s="35" t="s">
        <v>135</v>
      </c>
      <c r="E10" s="35" t="s">
        <v>136</v>
      </c>
      <c r="F10" s="35" t="s">
        <v>137</v>
      </c>
      <c r="G10" s="28">
        <v>11100</v>
      </c>
      <c r="H10" t="s">
        <v>106</v>
      </c>
      <c r="I10" t="s">
        <v>66</v>
      </c>
      <c r="J10" t="s">
        <v>66</v>
      </c>
      <c r="K10" t="s">
        <v>107</v>
      </c>
      <c r="N10" t="s">
        <v>1192</v>
      </c>
      <c r="O10" s="41" t="str">
        <f>IFERROR(INDEX(TechCodes[[IRENA code]:[Technology]],MATCH(TechCodes[[#This Row],[Parent]],TechCodes[IRENA code],0),2),TechCodes[[#This Row],[Technology]])</f>
        <v>Coal and peat</v>
      </c>
      <c r="P10" s="41" t="str">
        <f>IFERROR(INDEX(TechCodes[[IRENA code]:[Technology]],MATCH(INDEX(TechCodes[[Technology]:[Parent]],MATCH(TechCodes[[#This Row],[L1N]],TechCodes[Technology],0),4),TechCodes[IRENA code],0),2),TechCodes[[#This Row],[L1N]])</f>
        <v>Fossil fuels</v>
      </c>
      <c r="Q10" s="41" t="str">
        <f>IFERROR(INDEX(TechCodes[[IRENA code]:[Technology]],MATCH(INDEX(TechCodes[[Technology]:[Parent]],MATCH(TechCodes[[#This Row],[L2N]],TechCodes[Technology],0),4),TechCodes[IRENA code],0),2),TechCodes[[#This Row],[L2N]])</f>
        <v>Total Non-Renewable</v>
      </c>
      <c r="R10" s="41" t="str">
        <f>IFERROR(INDEX(TechCodes[[IRENA code]:[Technology]],MATCH(INDEX(TechCodes[[Technology]:[Parent]],MATCH(TechCodes[[#This Row],[L3N]],TechCodes[Technology],0),4),TechCodes[IRENA code],0),2),TechCodes[[#This Row],[L3N]])</f>
        <v>TOTAL</v>
      </c>
      <c r="S10" s="41" t="str">
        <f>IFERROR(INDEX(TechCodes[[IRENA code]:[Technology]],MATCH(INDEX(TechCodes[[Technology]:[Parent]],MATCH(TechCodes[[#This Row],[L4N]],TechCodes[Technology],0),4),TechCodes[IRENA code],0),2),TechCodes[[#This Row],[L4N]])</f>
        <v>TOTAL</v>
      </c>
      <c r="T10" s="41" t="str">
        <f>IFERROR(INDEX(TechCodes[[IRENA code]:[Technology]],MATCH(INDEX(TechCodes[[Technology]:[Parent]],MATCH(TechCodes[[#This Row],[L5N]],TechCodes[Technology],0),4),TechCodes[IRENA code],0),2),TechCodes[[#This Row],[L5N]])</f>
        <v>TOTAL</v>
      </c>
      <c r="U1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1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Coal and peat</v>
      </c>
      <c r="Y1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Crude oil</v>
      </c>
      <c r="Z1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Crude oil</v>
      </c>
      <c r="AA10" s="43" t="s">
        <v>138</v>
      </c>
      <c r="AC10" s="3"/>
      <c r="AD10" s="9">
        <v>0</v>
      </c>
      <c r="AE10" s="9"/>
      <c r="AF10" s="9"/>
      <c r="AG10" s="9"/>
      <c r="AI10" s="9" t="s">
        <v>139</v>
      </c>
      <c r="AJ10" s="44" t="s">
        <v>140</v>
      </c>
      <c r="AK10" s="9" t="s">
        <v>67</v>
      </c>
      <c r="AO10" t="s">
        <v>69</v>
      </c>
      <c r="AP10" t="s">
        <v>88</v>
      </c>
      <c r="AQ10" t="s">
        <v>100</v>
      </c>
      <c r="AR10" t="s">
        <v>141</v>
      </c>
      <c r="AS10" s="9" t="s">
        <v>142</v>
      </c>
      <c r="AT10" s="9" t="s">
        <v>98</v>
      </c>
      <c r="AU10" t="s">
        <v>83</v>
      </c>
      <c r="BC10">
        <v>222</v>
      </c>
      <c r="BD10" t="s">
        <v>143</v>
      </c>
      <c r="BE10" t="s">
        <v>33</v>
      </c>
      <c r="BF10" t="s">
        <v>72</v>
      </c>
      <c r="BG10" t="s">
        <v>124</v>
      </c>
      <c r="BH10" t="s">
        <v>143</v>
      </c>
      <c r="BJ10">
        <v>427</v>
      </c>
      <c r="BK10" t="s">
        <v>73</v>
      </c>
      <c r="BL10" t="s">
        <v>74</v>
      </c>
      <c r="BM10" t="s">
        <v>75</v>
      </c>
      <c r="BN10" t="s">
        <v>76</v>
      </c>
      <c r="BO10" s="19">
        <v>141</v>
      </c>
      <c r="BP10" s="51" t="s">
        <v>144</v>
      </c>
      <c r="BQ10" s="51" t="s">
        <v>144</v>
      </c>
      <c r="BS10" t="s">
        <v>78</v>
      </c>
      <c r="BT10" t="s">
        <v>92</v>
      </c>
    </row>
    <row r="11" spans="1:72" x14ac:dyDescent="0.45">
      <c r="C11" s="35">
        <v>11220</v>
      </c>
      <c r="D11" s="35" t="s">
        <v>145</v>
      </c>
      <c r="E11" s="35" t="s">
        <v>146</v>
      </c>
      <c r="F11" s="35" t="s">
        <v>147</v>
      </c>
      <c r="G11" s="28">
        <v>11100</v>
      </c>
      <c r="H11" t="s">
        <v>106</v>
      </c>
      <c r="I11" t="s">
        <v>66</v>
      </c>
      <c r="J11" t="s">
        <v>66</v>
      </c>
      <c r="K11" t="s">
        <v>107</v>
      </c>
      <c r="N11" t="s">
        <v>1192</v>
      </c>
      <c r="O11" s="41" t="str">
        <f>IFERROR(INDEX(TechCodes[[IRENA code]:[Technology]],MATCH(TechCodes[[#This Row],[Parent]],TechCodes[IRENA code],0),2),TechCodes[[#This Row],[Technology]])</f>
        <v>Coal and peat</v>
      </c>
      <c r="P11" s="41" t="str">
        <f>IFERROR(INDEX(TechCodes[[IRENA code]:[Technology]],MATCH(INDEX(TechCodes[[Technology]:[Parent]],MATCH(TechCodes[[#This Row],[L1N]],TechCodes[Technology],0),4),TechCodes[IRENA code],0),2),TechCodes[[#This Row],[L1N]])</f>
        <v>Fossil fuels</v>
      </c>
      <c r="Q11" s="41" t="str">
        <f>IFERROR(INDEX(TechCodes[[IRENA code]:[Technology]],MATCH(INDEX(TechCodes[[Technology]:[Parent]],MATCH(TechCodes[[#This Row],[L2N]],TechCodes[Technology],0),4),TechCodes[IRENA code],0),2),TechCodes[[#This Row],[L2N]])</f>
        <v>Total Non-Renewable</v>
      </c>
      <c r="R11" s="41" t="str">
        <f>IFERROR(INDEX(TechCodes[[IRENA code]:[Technology]],MATCH(INDEX(TechCodes[[Technology]:[Parent]],MATCH(TechCodes[[#This Row],[L3N]],TechCodes[Technology],0),4),TechCodes[IRENA code],0),2),TechCodes[[#This Row],[L3N]])</f>
        <v>TOTAL</v>
      </c>
      <c r="S11" s="41" t="str">
        <f>IFERROR(INDEX(TechCodes[[IRENA code]:[Technology]],MATCH(INDEX(TechCodes[[Technology]:[Parent]],MATCH(TechCodes[[#This Row],[L4N]],TechCodes[Technology],0),4),TechCodes[IRENA code],0),2),TechCodes[[#This Row],[L4N]])</f>
        <v>TOTAL</v>
      </c>
      <c r="T11" s="41" t="str">
        <f>IFERROR(INDEX(TechCodes[[IRENA code]:[Technology]],MATCH(INDEX(TechCodes[[Technology]:[Parent]],MATCH(TechCodes[[#This Row],[L5N]],TechCodes[Technology],0),4),TechCodes[IRENA code],0),2),TechCodes[[#This Row],[L5N]])</f>
        <v>TOTAL</v>
      </c>
      <c r="U1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1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Coal and peat</v>
      </c>
      <c r="Y1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Oil products</v>
      </c>
      <c r="Z1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Oil products</v>
      </c>
      <c r="AA11" s="43" t="str">
        <f>IFERROR(VLOOKUP(TechCodes[[#This Row],[IRENA code]],SIEC[[IRENA]:[SIEC]],2,0),"")</f>
        <v>4600</v>
      </c>
      <c r="AC11" s="3"/>
      <c r="AD11" s="9">
        <v>0</v>
      </c>
      <c r="AE11" s="9"/>
      <c r="AF11" s="9"/>
      <c r="AG11" s="9"/>
      <c r="AI11" s="9" t="s">
        <v>148</v>
      </c>
      <c r="AJ11" s="45" t="s">
        <v>149</v>
      </c>
      <c r="AK11" s="9" t="s">
        <v>139</v>
      </c>
      <c r="AO11" t="s">
        <v>69</v>
      </c>
      <c r="AP11" t="s">
        <v>88</v>
      </c>
      <c r="AQ11" t="s">
        <v>100</v>
      </c>
      <c r="AR11" t="s">
        <v>150</v>
      </c>
      <c r="AS11" s="9" t="s">
        <v>151</v>
      </c>
      <c r="AT11" s="9" t="s">
        <v>98</v>
      </c>
      <c r="AU11" t="s">
        <v>83</v>
      </c>
      <c r="BC11">
        <v>230</v>
      </c>
      <c r="BD11" t="s">
        <v>152</v>
      </c>
      <c r="BE11" t="s">
        <v>32</v>
      </c>
      <c r="BF11" t="s">
        <v>72</v>
      </c>
      <c r="BG11" t="s">
        <v>152</v>
      </c>
      <c r="BH11" t="s">
        <v>152</v>
      </c>
      <c r="BJ11">
        <v>428</v>
      </c>
      <c r="BK11" t="s">
        <v>73</v>
      </c>
      <c r="BL11" t="s">
        <v>74</v>
      </c>
      <c r="BM11" t="s">
        <v>75</v>
      </c>
      <c r="BN11" t="s">
        <v>76</v>
      </c>
      <c r="BO11" s="19">
        <v>142</v>
      </c>
      <c r="BP11" s="51" t="s">
        <v>153</v>
      </c>
      <c r="BQ11" s="51" t="s">
        <v>153</v>
      </c>
      <c r="BS11" t="s">
        <v>78</v>
      </c>
      <c r="BT11" t="s">
        <v>92</v>
      </c>
    </row>
    <row r="12" spans="1:72" x14ac:dyDescent="0.45">
      <c r="C12" s="32">
        <v>11300</v>
      </c>
      <c r="D12" s="32" t="s">
        <v>154</v>
      </c>
      <c r="E12" s="32" t="s">
        <v>155</v>
      </c>
      <c r="F12" s="32" t="s">
        <v>156</v>
      </c>
      <c r="G12" s="37">
        <v>11000</v>
      </c>
      <c r="H12" t="s">
        <v>83</v>
      </c>
      <c r="I12" t="s">
        <v>66</v>
      </c>
      <c r="J12" t="s">
        <v>84</v>
      </c>
      <c r="K12" t="s">
        <v>21</v>
      </c>
      <c r="N12" t="s">
        <v>1192</v>
      </c>
      <c r="O12" s="41" t="str">
        <f>IFERROR(INDEX(TechCodes[[IRENA code]:[Technology]],MATCH(TechCodes[[#This Row],[Parent]],TechCodes[IRENA code],0),2),TechCodes[[#This Row],[Technology]])</f>
        <v>Fossil fuels</v>
      </c>
      <c r="P12" s="41" t="str">
        <f>IFERROR(INDEX(TechCodes[[IRENA code]:[Technology]],MATCH(INDEX(TechCodes[[Technology]:[Parent]],MATCH(TechCodes[[#This Row],[L1N]],TechCodes[Technology],0),4),TechCodes[IRENA code],0),2),TechCodes[[#This Row],[L1N]])</f>
        <v>Total Non-Renewable</v>
      </c>
      <c r="Q12" s="41" t="str">
        <f>IFERROR(INDEX(TechCodes[[IRENA code]:[Technology]],MATCH(INDEX(TechCodes[[Technology]:[Parent]],MATCH(TechCodes[[#This Row],[L2N]],TechCodes[Technology],0),4),TechCodes[IRENA code],0),2),TechCodes[[#This Row],[L2N]])</f>
        <v>TOTAL</v>
      </c>
      <c r="R12" s="41" t="str">
        <f>IFERROR(INDEX(TechCodes[[IRENA code]:[Technology]],MATCH(INDEX(TechCodes[[Technology]:[Parent]],MATCH(TechCodes[[#This Row],[L3N]],TechCodes[Technology],0),4),TechCodes[IRENA code],0),2),TechCodes[[#This Row],[L3N]])</f>
        <v>TOTAL</v>
      </c>
      <c r="S12" s="41" t="str">
        <f>IFERROR(INDEX(TechCodes[[IRENA code]:[Technology]],MATCH(INDEX(TechCodes[[Technology]:[Parent]],MATCH(TechCodes[[#This Row],[L4N]],TechCodes[Technology],0),4),TechCodes[IRENA code],0),2),TechCodes[[#This Row],[L4N]])</f>
        <v>TOTAL</v>
      </c>
      <c r="T12" s="41" t="str">
        <f>IFERROR(INDEX(TechCodes[[IRENA code]:[Technology]],MATCH(INDEX(TechCodes[[Technology]:[Parent]],MATCH(TechCodes[[#This Row],[L5N]],TechCodes[Technology],0),4),TechCodes[IRENA code],0),2),TechCodes[[#This Row],[L5N]])</f>
        <v>TOTAL</v>
      </c>
      <c r="U1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1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Natural gas</v>
      </c>
      <c r="Y1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Natural gas</v>
      </c>
      <c r="Z1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Natural gas</v>
      </c>
      <c r="AA12" s="43" t="str">
        <f>IFERROR(VLOOKUP(TechCodes[[#This Row],[IRENA code]],SIEC[[IRENA]:[SIEC]],2,0),"")</f>
        <v>3000</v>
      </c>
      <c r="AC12" s="3"/>
      <c r="AD12" s="9">
        <v>0</v>
      </c>
      <c r="AE12" s="9"/>
      <c r="AF12" s="9"/>
      <c r="AG12" s="9"/>
      <c r="AI12" s="9" t="s">
        <v>157</v>
      </c>
      <c r="AJ12" s="45" t="s">
        <v>158</v>
      </c>
      <c r="AK12" s="9" t="s">
        <v>139</v>
      </c>
      <c r="AO12" t="s">
        <v>69</v>
      </c>
      <c r="AP12" t="s">
        <v>88</v>
      </c>
      <c r="AQ12" t="s">
        <v>100</v>
      </c>
      <c r="AR12" t="s">
        <v>159</v>
      </c>
      <c r="AS12" s="9" t="s">
        <v>160</v>
      </c>
      <c r="AT12" s="9" t="s">
        <v>98</v>
      </c>
      <c r="AU12" t="s">
        <v>83</v>
      </c>
      <c r="BC12">
        <v>231</v>
      </c>
      <c r="BD12" t="s">
        <v>161</v>
      </c>
      <c r="BE12" t="s">
        <v>33</v>
      </c>
      <c r="BF12" t="s">
        <v>72</v>
      </c>
      <c r="BG12" t="s">
        <v>152</v>
      </c>
      <c r="BH12" t="s">
        <v>161</v>
      </c>
      <c r="BJ12" t="s">
        <v>162</v>
      </c>
      <c r="BK12" t="s">
        <v>73</v>
      </c>
      <c r="BL12" t="s">
        <v>74</v>
      </c>
      <c r="BM12" t="s">
        <v>75</v>
      </c>
      <c r="BN12" t="s">
        <v>76</v>
      </c>
      <c r="BO12" s="19">
        <v>150</v>
      </c>
      <c r="BP12" s="52" t="s">
        <v>163</v>
      </c>
      <c r="BQ12" s="52" t="s">
        <v>163</v>
      </c>
      <c r="BS12" t="s">
        <v>78</v>
      </c>
      <c r="BT12" t="s">
        <v>79</v>
      </c>
    </row>
    <row r="13" spans="1:72" x14ac:dyDescent="0.45">
      <c r="C13" s="32">
        <v>11900</v>
      </c>
      <c r="D13" s="32" t="s">
        <v>164</v>
      </c>
      <c r="E13" s="32" t="s">
        <v>165</v>
      </c>
      <c r="F13" s="32" t="s">
        <v>166</v>
      </c>
      <c r="G13" s="37">
        <v>11000</v>
      </c>
      <c r="H13" t="s">
        <v>83</v>
      </c>
      <c r="I13" t="s">
        <v>66</v>
      </c>
      <c r="J13" t="s">
        <v>84</v>
      </c>
      <c r="K13" t="s">
        <v>21</v>
      </c>
      <c r="N13" t="s">
        <v>1192</v>
      </c>
      <c r="O13" s="41" t="str">
        <f>IFERROR(INDEX(TechCodes[[IRENA code]:[Technology]],MATCH(TechCodes[[#This Row],[Parent]],TechCodes[IRENA code],0),2),TechCodes[[#This Row],[Technology]])</f>
        <v>Fossil fuels</v>
      </c>
      <c r="P13" s="41" t="str">
        <f>IFERROR(INDEX(TechCodes[[IRENA code]:[Technology]],MATCH(INDEX(TechCodes[[Technology]:[Parent]],MATCH(TechCodes[[#This Row],[L1N]],TechCodes[Technology],0),4),TechCodes[IRENA code],0),2),TechCodes[[#This Row],[L1N]])</f>
        <v>Total Non-Renewable</v>
      </c>
      <c r="Q13" s="41" t="str">
        <f>IFERROR(INDEX(TechCodes[[IRENA code]:[Technology]],MATCH(INDEX(TechCodes[[Technology]:[Parent]],MATCH(TechCodes[[#This Row],[L2N]],TechCodes[Technology],0),4),TechCodes[IRENA code],0),2),TechCodes[[#This Row],[L2N]])</f>
        <v>TOTAL</v>
      </c>
      <c r="R13" s="41" t="str">
        <f>IFERROR(INDEX(TechCodes[[IRENA code]:[Technology]],MATCH(INDEX(TechCodes[[Technology]:[Parent]],MATCH(TechCodes[[#This Row],[L3N]],TechCodes[Technology],0),4),TechCodes[IRENA code],0),2),TechCodes[[#This Row],[L3N]])</f>
        <v>TOTAL</v>
      </c>
      <c r="S13" s="41" t="str">
        <f>IFERROR(INDEX(TechCodes[[IRENA code]:[Technology]],MATCH(INDEX(TechCodes[[Technology]:[Parent]],MATCH(TechCodes[[#This Row],[L4N]],TechCodes[Technology],0),4),TechCodes[IRENA code],0),2),TechCodes[[#This Row],[L4N]])</f>
        <v>TOTAL</v>
      </c>
      <c r="T13" s="41" t="str">
        <f>IFERROR(INDEX(TechCodes[[IRENA code]:[Technology]],MATCH(INDEX(TechCodes[[Technology]:[Parent]],MATCH(TechCodes[[#This Row],[L5N]],TechCodes[Technology],0),4),TechCodes[IRENA code],0),2),TechCodes[[#This Row],[L5N]])</f>
        <v>TOTAL</v>
      </c>
      <c r="U1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Fossil fuels</v>
      </c>
      <c r="X1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Fossil fuels n.e.s.</v>
      </c>
      <c r="Y1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Fossil fuels n.e.s.</v>
      </c>
      <c r="Z1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Fossil fuels n.e.s.</v>
      </c>
      <c r="AA13" s="43" t="str">
        <f>IFERROR(VLOOKUP(TechCodes[[#This Row],[IRENA code]],SIEC[[IRENA]:[SIEC]],2,0),"")</f>
        <v>4699</v>
      </c>
      <c r="AC13" s="3"/>
      <c r="AD13" s="9">
        <v>0</v>
      </c>
      <c r="AE13" s="9"/>
      <c r="AF13" s="9"/>
      <c r="AG13" s="9"/>
      <c r="AH13">
        <v>11120</v>
      </c>
      <c r="AI13" s="9" t="s">
        <v>167</v>
      </c>
      <c r="AJ13" s="44" t="s">
        <v>117</v>
      </c>
      <c r="AK13" s="9" t="s">
        <v>67</v>
      </c>
      <c r="AO13" t="s">
        <v>69</v>
      </c>
      <c r="AP13" t="s">
        <v>88</v>
      </c>
      <c r="AQ13" t="s">
        <v>100</v>
      </c>
      <c r="AR13" t="s">
        <v>168</v>
      </c>
      <c r="AS13" s="9" t="s">
        <v>169</v>
      </c>
      <c r="AT13" s="9" t="s">
        <v>98</v>
      </c>
      <c r="AU13" t="s">
        <v>83</v>
      </c>
      <c r="BC13">
        <v>232</v>
      </c>
      <c r="BD13" t="s">
        <v>170</v>
      </c>
      <c r="BE13" t="s">
        <v>33</v>
      </c>
      <c r="BF13" t="s">
        <v>72</v>
      </c>
      <c r="BG13" t="s">
        <v>152</v>
      </c>
      <c r="BH13" t="s">
        <v>170</v>
      </c>
      <c r="BK13" t="s">
        <v>73</v>
      </c>
      <c r="BL13" t="s">
        <v>74</v>
      </c>
      <c r="BM13" t="s">
        <v>75</v>
      </c>
      <c r="BN13" t="s">
        <v>76</v>
      </c>
      <c r="BO13" s="19">
        <v>100</v>
      </c>
      <c r="BP13" s="53" t="s">
        <v>171</v>
      </c>
      <c r="BQ13" s="64" t="s">
        <v>172</v>
      </c>
      <c r="BS13" t="s">
        <v>78</v>
      </c>
      <c r="BT13" t="s">
        <v>79</v>
      </c>
    </row>
    <row r="14" spans="1:72" ht="15.75" x14ac:dyDescent="0.5">
      <c r="C14" s="34">
        <v>12000</v>
      </c>
      <c r="D14" s="34" t="s">
        <v>173</v>
      </c>
      <c r="E14" s="34" t="s">
        <v>173</v>
      </c>
      <c r="F14" s="34" t="s">
        <v>174</v>
      </c>
      <c r="G14" s="38">
        <v>10000</v>
      </c>
      <c r="H14" t="s">
        <v>83</v>
      </c>
      <c r="I14" t="s">
        <v>84</v>
      </c>
      <c r="J14" t="s">
        <v>84</v>
      </c>
      <c r="K14" t="s">
        <v>21</v>
      </c>
      <c r="N14" t="s">
        <v>173</v>
      </c>
      <c r="O14" s="41" t="str">
        <f>IFERROR(INDEX(TechCodes[[IRENA code]:[Technology]],MATCH(TechCodes[[#This Row],[Parent]],TechCodes[IRENA code],0),2),TechCodes[[#This Row],[Technology]])</f>
        <v>Total Non-Renewable</v>
      </c>
      <c r="P14" s="41" t="str">
        <f>IFERROR(INDEX(TechCodes[[IRENA code]:[Technology]],MATCH(INDEX(TechCodes[[Technology]:[Parent]],MATCH(TechCodes[[#This Row],[L1N]],TechCodes[Technology],0),4),TechCodes[IRENA code],0),2),TechCodes[[#This Row],[L1N]])</f>
        <v>TOTAL</v>
      </c>
      <c r="Q14" s="41" t="str">
        <f>IFERROR(INDEX(TechCodes[[IRENA code]:[Technology]],MATCH(INDEX(TechCodes[[Technology]:[Parent]],MATCH(TechCodes[[#This Row],[L2N]],TechCodes[Technology],0),4),TechCodes[IRENA code],0),2),TechCodes[[#This Row],[L2N]])</f>
        <v>TOTAL</v>
      </c>
      <c r="R14" s="41" t="str">
        <f>IFERROR(INDEX(TechCodes[[IRENA code]:[Technology]],MATCH(INDEX(TechCodes[[Technology]:[Parent]],MATCH(TechCodes[[#This Row],[L3N]],TechCodes[Technology],0),4),TechCodes[IRENA code],0),2),TechCodes[[#This Row],[L3N]])</f>
        <v>TOTAL</v>
      </c>
      <c r="S14" s="41" t="str">
        <f>IFERROR(INDEX(TechCodes[[IRENA code]:[Technology]],MATCH(INDEX(TechCodes[[Technology]:[Parent]],MATCH(TechCodes[[#This Row],[L4N]],TechCodes[Technology],0),4),TechCodes[IRENA code],0),2),TechCodes[[#This Row],[L4N]])</f>
        <v>TOTAL</v>
      </c>
      <c r="T14" s="41" t="str">
        <f>IFERROR(INDEX(TechCodes[[IRENA code]:[Technology]],MATCH(INDEX(TechCodes[[Technology]:[Parent]],MATCH(TechCodes[[#This Row],[L5N]],TechCodes[Technology],0),4),TechCodes[IRENA code],0),2),TechCodes[[#This Row],[L5N]])</f>
        <v>TOTAL</v>
      </c>
      <c r="U1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Nuclear</v>
      </c>
      <c r="X1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Nuclear</v>
      </c>
      <c r="Y1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Nuclear</v>
      </c>
      <c r="Z1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Nuclear</v>
      </c>
      <c r="AA14" s="43" t="str">
        <f>IFERROR(VLOOKUP(TechCodes[[#This Row],[IRENA code]],SIEC[[IRENA]:[SIEC]],2,0),"")</f>
        <v>9000</v>
      </c>
      <c r="AC14" s="3"/>
      <c r="AD14" s="9">
        <v>0</v>
      </c>
      <c r="AE14" s="9"/>
      <c r="AF14" s="9"/>
      <c r="AG14" s="9"/>
      <c r="AI14" s="9" t="s">
        <v>175</v>
      </c>
      <c r="AJ14" s="45" t="s">
        <v>176</v>
      </c>
      <c r="AK14" s="9" t="s">
        <v>167</v>
      </c>
      <c r="AO14" t="s">
        <v>69</v>
      </c>
      <c r="AP14" t="s">
        <v>88</v>
      </c>
      <c r="AQ14" t="s">
        <v>177</v>
      </c>
      <c r="AR14" t="s">
        <v>177</v>
      </c>
      <c r="AS14" s="9" t="s">
        <v>110</v>
      </c>
      <c r="AT14" s="9" t="s">
        <v>86</v>
      </c>
      <c r="BK14" t="s">
        <v>178</v>
      </c>
      <c r="BL14" t="s">
        <v>74</v>
      </c>
      <c r="BM14" t="s">
        <v>75</v>
      </c>
      <c r="BN14" t="s">
        <v>76</v>
      </c>
      <c r="BO14" s="19">
        <v>200</v>
      </c>
      <c r="BP14" s="54" t="s">
        <v>179</v>
      </c>
      <c r="BQ14" s="64" t="s">
        <v>179</v>
      </c>
      <c r="BS14" t="s">
        <v>78</v>
      </c>
      <c r="BT14" t="s">
        <v>79</v>
      </c>
    </row>
    <row r="15" spans="1:72" ht="15.75" x14ac:dyDescent="0.5">
      <c r="C15" s="34">
        <v>21500</v>
      </c>
      <c r="D15" s="34" t="s">
        <v>180</v>
      </c>
      <c r="E15" s="34" t="s">
        <v>181</v>
      </c>
      <c r="F15" s="34" t="s">
        <v>182</v>
      </c>
      <c r="G15" s="38">
        <v>10000</v>
      </c>
      <c r="H15" t="s">
        <v>83</v>
      </c>
      <c r="I15" t="s">
        <v>84</v>
      </c>
      <c r="J15" t="s">
        <v>84</v>
      </c>
      <c r="K15" t="s">
        <v>21</v>
      </c>
      <c r="L15" s="26" t="s">
        <v>183</v>
      </c>
      <c r="M15" s="26"/>
      <c r="N15" t="s">
        <v>1093</v>
      </c>
      <c r="O15" s="41" t="str">
        <f>IFERROR(INDEX(TechCodes[[IRENA code]:[Technology]],MATCH(TechCodes[[#This Row],[Parent]],TechCodes[IRENA code],0),2),TechCodes[[#This Row],[Technology]])</f>
        <v>Total Non-Renewable</v>
      </c>
      <c r="P15" s="41" t="str">
        <f>IFERROR(INDEX(TechCodes[[IRENA code]:[Technology]],MATCH(INDEX(TechCodes[[Technology]:[Parent]],MATCH(TechCodes[[#This Row],[L1N]],TechCodes[Technology],0),4),TechCodes[IRENA code],0),2),TechCodes[[#This Row],[L1N]])</f>
        <v>TOTAL</v>
      </c>
      <c r="Q15" s="41" t="str">
        <f>IFERROR(INDEX(TechCodes[[IRENA code]:[Technology]],MATCH(INDEX(TechCodes[[Technology]:[Parent]],MATCH(TechCodes[[#This Row],[L2N]],TechCodes[Technology],0),4),TechCodes[IRENA code],0),2),TechCodes[[#This Row],[L2N]])</f>
        <v>TOTAL</v>
      </c>
      <c r="R15" s="41" t="str">
        <f>IFERROR(INDEX(TechCodes[[IRENA code]:[Technology]],MATCH(INDEX(TechCodes[[Technology]:[Parent]],MATCH(TechCodes[[#This Row],[L3N]],TechCodes[Technology],0),4),TechCodes[IRENA code],0),2),TechCodes[[#This Row],[L3N]])</f>
        <v>TOTAL</v>
      </c>
      <c r="S15" s="41" t="str">
        <f>IFERROR(INDEX(TechCodes[[IRENA code]:[Technology]],MATCH(INDEX(TechCodes[[Technology]:[Parent]],MATCH(TechCodes[[#This Row],[L4N]],TechCodes[Technology],0),4),TechCodes[IRENA code],0),2),TechCodes[[#This Row],[L4N]])</f>
        <v>TOTAL</v>
      </c>
      <c r="T15" s="41" t="str">
        <f>IFERROR(INDEX(TechCodes[[IRENA code]:[Technology]],MATCH(INDEX(TechCodes[[Technology]:[Parent]],MATCH(TechCodes[[#This Row],[L5N]],TechCodes[Technology],0),4),TechCodes[IRENA code],0),2),TechCodes[[#This Row],[L5N]])</f>
        <v>TOTAL</v>
      </c>
      <c r="U1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Pumped storage</v>
      </c>
      <c r="X1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Pumped storage</v>
      </c>
      <c r="Y1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Pumped storage</v>
      </c>
      <c r="Z1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Pumped storage</v>
      </c>
      <c r="AA15" s="43" t="str">
        <f>IFERROR(VLOOKUP(TechCodes[[#This Row],[IRENA code]],SIEC[[IRENA]:[SIEC]],2,0),"")</f>
        <v/>
      </c>
      <c r="AC15" s="3"/>
      <c r="AD15" s="9">
        <v>0</v>
      </c>
      <c r="AE15" s="9"/>
      <c r="AF15" s="9"/>
      <c r="AG15" s="9"/>
      <c r="AI15" s="9" t="s">
        <v>184</v>
      </c>
      <c r="AJ15" s="46" t="s">
        <v>185</v>
      </c>
      <c r="AK15" s="9" t="s">
        <v>175</v>
      </c>
      <c r="AO15" t="s">
        <v>69</v>
      </c>
      <c r="AP15" t="s">
        <v>88</v>
      </c>
      <c r="AQ15" t="s">
        <v>177</v>
      </c>
      <c r="AR15" t="str">
        <f>RIGHT(Table8[[#This Row],[Column1]],LEN(Table8[[#This Row],[Column1]])-5)</f>
        <v>Growing of grapes</v>
      </c>
      <c r="AS15" t="str">
        <f>LEFT(Table8[[#This Row],[Column1]],4)</f>
        <v>0121</v>
      </c>
      <c r="AT15" s="9" t="s">
        <v>110</v>
      </c>
      <c r="AU15" t="s">
        <v>83</v>
      </c>
      <c r="AV15" t="s">
        <v>186</v>
      </c>
      <c r="BK15" t="s">
        <v>178</v>
      </c>
      <c r="BL15" t="s">
        <v>74</v>
      </c>
      <c r="BM15" t="s">
        <v>75</v>
      </c>
      <c r="BN15" t="s">
        <v>76</v>
      </c>
      <c r="BO15" s="19">
        <v>300</v>
      </c>
      <c r="BP15" s="54" t="s">
        <v>187</v>
      </c>
      <c r="BQ15" s="64" t="s">
        <v>187</v>
      </c>
      <c r="BS15" t="s">
        <v>78</v>
      </c>
      <c r="BT15" t="s">
        <v>79</v>
      </c>
    </row>
    <row r="16" spans="1:72" ht="15.75" x14ac:dyDescent="0.5">
      <c r="C16" s="34">
        <v>13000</v>
      </c>
      <c r="D16" s="34" t="s">
        <v>188</v>
      </c>
      <c r="E16" s="34" t="s">
        <v>189</v>
      </c>
      <c r="F16" s="34" t="s">
        <v>190</v>
      </c>
      <c r="G16" s="38">
        <v>10000</v>
      </c>
      <c r="H16" t="s">
        <v>83</v>
      </c>
      <c r="I16" t="s">
        <v>84</v>
      </c>
      <c r="J16" t="s">
        <v>84</v>
      </c>
      <c r="K16" t="s">
        <v>21</v>
      </c>
      <c r="N16" t="s">
        <v>66</v>
      </c>
      <c r="O16" s="41" t="str">
        <f>IFERROR(INDEX(TechCodes[[IRENA code]:[Technology]],MATCH(TechCodes[[#This Row],[Parent]],TechCodes[IRENA code],0),2),TechCodes[[#This Row],[Technology]])</f>
        <v>Total Non-Renewable</v>
      </c>
      <c r="P16" s="41" t="str">
        <f>IFERROR(INDEX(TechCodes[[IRENA code]:[Technology]],MATCH(INDEX(TechCodes[[Technology]:[Parent]],MATCH(TechCodes[[#This Row],[L1N]],TechCodes[Technology],0),4),TechCodes[IRENA code],0),2),TechCodes[[#This Row],[L1N]])</f>
        <v>TOTAL</v>
      </c>
      <c r="Q16" s="41" t="str">
        <f>IFERROR(INDEX(TechCodes[[IRENA code]:[Technology]],MATCH(INDEX(TechCodes[[Technology]:[Parent]],MATCH(TechCodes[[#This Row],[L2N]],TechCodes[Technology],0),4),TechCodes[IRENA code],0),2),TechCodes[[#This Row],[L2N]])</f>
        <v>TOTAL</v>
      </c>
      <c r="R16" s="41" t="str">
        <f>IFERROR(INDEX(TechCodes[[IRENA code]:[Technology]],MATCH(INDEX(TechCodes[[Technology]:[Parent]],MATCH(TechCodes[[#This Row],[L3N]],TechCodes[Technology],0),4),TechCodes[IRENA code],0),2),TechCodes[[#This Row],[L3N]])</f>
        <v>TOTAL</v>
      </c>
      <c r="S16" s="41" t="str">
        <f>IFERROR(INDEX(TechCodes[[IRENA code]:[Technology]],MATCH(INDEX(TechCodes[[Technology]:[Parent]],MATCH(TechCodes[[#This Row],[L4N]],TechCodes[Technology],0),4),TechCodes[IRENA code],0),2),TechCodes[[#This Row],[L4N]])</f>
        <v>TOTAL</v>
      </c>
      <c r="T16" s="41" t="str">
        <f>IFERROR(INDEX(TechCodes[[IRENA code]:[Technology]],MATCH(INDEX(TechCodes[[Technology]:[Parent]],MATCH(TechCodes[[#This Row],[L5N]],TechCodes[Technology],0),4),TechCodes[IRENA code],0),2),TechCodes[[#This Row],[L5N]])</f>
        <v>TOTAL</v>
      </c>
      <c r="U1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non-renewable energy</v>
      </c>
      <c r="X1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Other non-renewable energy</v>
      </c>
      <c r="Y1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non-renewable energy</v>
      </c>
      <c r="Z1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non-renewable energy</v>
      </c>
      <c r="AA16" s="43" t="str">
        <f>IFERROR(VLOOKUP(TechCodes[[#This Row],[IRENA code]],SIEC[[IRENA]:[SIEC]],2,0),"")</f>
        <v>9900</v>
      </c>
      <c r="AC16" s="3"/>
      <c r="AD16" s="9">
        <v>0</v>
      </c>
      <c r="AE16" s="9"/>
      <c r="AF16" s="9"/>
      <c r="AG16" s="9"/>
      <c r="AI16" s="9" t="s">
        <v>191</v>
      </c>
      <c r="AJ16" s="46" t="s">
        <v>192</v>
      </c>
      <c r="AK16" s="9" t="s">
        <v>175</v>
      </c>
      <c r="AO16" t="s">
        <v>69</v>
      </c>
      <c r="AP16" t="s">
        <v>88</v>
      </c>
      <c r="AQ16" t="s">
        <v>177</v>
      </c>
      <c r="AR16" t="str">
        <f>RIGHT(Table8[[#This Row],[Column1]],LEN(Table8[[#This Row],[Column1]])-5)</f>
        <v>Growing of tropical and subtropical fruits</v>
      </c>
      <c r="AS16" t="str">
        <f>LEFT(Table8[[#This Row],[Column1]],4)</f>
        <v>0122</v>
      </c>
      <c r="AT16" s="9" t="s">
        <v>110</v>
      </c>
      <c r="AU16" t="s">
        <v>83</v>
      </c>
      <c r="AV16" t="s">
        <v>193</v>
      </c>
      <c r="BK16" t="s">
        <v>178</v>
      </c>
      <c r="BL16" t="s">
        <v>74</v>
      </c>
      <c r="BM16" t="s">
        <v>75</v>
      </c>
      <c r="BN16" t="s">
        <v>76</v>
      </c>
      <c r="BO16" s="19">
        <v>400</v>
      </c>
      <c r="BP16" s="55" t="s">
        <v>194</v>
      </c>
      <c r="BQ16" s="65" t="s">
        <v>195</v>
      </c>
      <c r="BS16" t="s">
        <v>78</v>
      </c>
      <c r="BT16" t="s">
        <v>92</v>
      </c>
    </row>
    <row r="17" spans="3:72" x14ac:dyDescent="0.45">
      <c r="C17" s="32">
        <v>13100</v>
      </c>
      <c r="D17" s="32" t="s">
        <v>196</v>
      </c>
      <c r="E17" s="32" t="s">
        <v>197</v>
      </c>
      <c r="F17" s="32" t="s">
        <v>198</v>
      </c>
      <c r="G17" s="37">
        <v>13000</v>
      </c>
      <c r="H17" t="s">
        <v>106</v>
      </c>
      <c r="I17" t="s">
        <v>66</v>
      </c>
      <c r="J17" t="s">
        <v>66</v>
      </c>
      <c r="K17" t="s">
        <v>107</v>
      </c>
      <c r="N17" t="s">
        <v>66</v>
      </c>
      <c r="O17" s="41" t="str">
        <f>IFERROR(INDEX(TechCodes[[IRENA code]:[Technology]],MATCH(TechCodes[[#This Row],[Parent]],TechCodes[IRENA code],0),2),TechCodes[[#This Row],[Technology]])</f>
        <v>Other non-renewable energy</v>
      </c>
      <c r="P17" s="41" t="str">
        <f>IFERROR(INDEX(TechCodes[[IRENA code]:[Technology]],MATCH(INDEX(TechCodes[[Technology]:[Parent]],MATCH(TechCodes[[#This Row],[L1N]],TechCodes[Technology],0),4),TechCodes[IRENA code],0),2),TechCodes[[#This Row],[L1N]])</f>
        <v>Total Non-Renewable</v>
      </c>
      <c r="Q17" s="41" t="str">
        <f>IFERROR(INDEX(TechCodes[[IRENA code]:[Technology]],MATCH(INDEX(TechCodes[[Technology]:[Parent]],MATCH(TechCodes[[#This Row],[L2N]],TechCodes[Technology],0),4),TechCodes[IRENA code],0),2),TechCodes[[#This Row],[L2N]])</f>
        <v>TOTAL</v>
      </c>
      <c r="R17" s="41" t="str">
        <f>IFERROR(INDEX(TechCodes[[IRENA code]:[Technology]],MATCH(INDEX(TechCodes[[Technology]:[Parent]],MATCH(TechCodes[[#This Row],[L3N]],TechCodes[Technology],0),4),TechCodes[IRENA code],0),2),TechCodes[[#This Row],[L3N]])</f>
        <v>TOTAL</v>
      </c>
      <c r="S17" s="41" t="str">
        <f>IFERROR(INDEX(TechCodes[[IRENA code]:[Technology]],MATCH(INDEX(TechCodes[[Technology]:[Parent]],MATCH(TechCodes[[#This Row],[L4N]],TechCodes[Technology],0),4),TechCodes[IRENA code],0),2),TechCodes[[#This Row],[L4N]])</f>
        <v>TOTAL</v>
      </c>
      <c r="T17" s="41" t="str">
        <f>IFERROR(INDEX(TechCodes[[IRENA code]:[Technology]],MATCH(INDEX(TechCodes[[Technology]:[Parent]],MATCH(TechCodes[[#This Row],[L5N]],TechCodes[Technology],0),4),TechCodes[IRENA code],0),2),TechCodes[[#This Row],[L5N]])</f>
        <v>TOTAL</v>
      </c>
      <c r="U1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non-renewable energy</v>
      </c>
      <c r="X1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Non-renewable industrial waste</v>
      </c>
      <c r="Y1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Non-renewable industrial waste</v>
      </c>
      <c r="Z1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Non-renewable industrial waste</v>
      </c>
      <c r="AA17" s="43" t="str">
        <f>IFERROR(VLOOKUP(TechCodes[[#This Row],[IRENA code]],SIEC[[IRENA]:[SIEC]],2,0),"")</f>
        <v>6100</v>
      </c>
      <c r="AC17" s="3"/>
      <c r="AD17" s="9">
        <v>0</v>
      </c>
      <c r="AE17" s="9"/>
      <c r="AF17" s="9"/>
      <c r="AG17" s="9"/>
      <c r="AI17" s="9" t="s">
        <v>199</v>
      </c>
      <c r="AJ17" s="46" t="s">
        <v>200</v>
      </c>
      <c r="AK17" s="9" t="s">
        <v>175</v>
      </c>
      <c r="AO17" t="s">
        <v>69</v>
      </c>
      <c r="AP17" t="s">
        <v>88</v>
      </c>
      <c r="AQ17" t="s">
        <v>177</v>
      </c>
      <c r="AR17" t="str">
        <f>RIGHT(Table8[[#This Row],[Column1]],LEN(Table8[[#This Row],[Column1]])-5)</f>
        <v>Growing of citrus fruits</v>
      </c>
      <c r="AS17" t="str">
        <f>LEFT(Table8[[#This Row],[Column1]],4)</f>
        <v>0123</v>
      </c>
      <c r="AT17" s="9" t="s">
        <v>110</v>
      </c>
      <c r="AU17" t="s">
        <v>83</v>
      </c>
      <c r="AV17" t="s">
        <v>201</v>
      </c>
      <c r="BJ17">
        <v>450</v>
      </c>
      <c r="BK17" t="s">
        <v>178</v>
      </c>
      <c r="BL17" t="s">
        <v>74</v>
      </c>
      <c r="BM17" t="s">
        <v>75</v>
      </c>
      <c r="BN17" t="s">
        <v>202</v>
      </c>
      <c r="BO17" s="19">
        <v>410</v>
      </c>
      <c r="BP17" s="52" t="s">
        <v>203</v>
      </c>
      <c r="BQ17" s="52" t="s">
        <v>203</v>
      </c>
      <c r="BS17" t="s">
        <v>78</v>
      </c>
      <c r="BT17" t="s">
        <v>79</v>
      </c>
    </row>
    <row r="18" spans="3:72" x14ac:dyDescent="0.45">
      <c r="C18" s="32">
        <v>13200</v>
      </c>
      <c r="D18" s="32" t="s">
        <v>204</v>
      </c>
      <c r="E18" s="32" t="s">
        <v>205</v>
      </c>
      <c r="F18" s="32" t="s">
        <v>206</v>
      </c>
      <c r="G18" s="37">
        <v>13000</v>
      </c>
      <c r="H18" t="s">
        <v>106</v>
      </c>
      <c r="I18" t="s">
        <v>66</v>
      </c>
      <c r="J18" t="s">
        <v>66</v>
      </c>
      <c r="K18" t="s">
        <v>107</v>
      </c>
      <c r="N18" t="s">
        <v>66</v>
      </c>
      <c r="O18" s="41" t="str">
        <f>IFERROR(INDEX(TechCodes[[IRENA code]:[Technology]],MATCH(TechCodes[[#This Row],[Parent]],TechCodes[IRENA code],0),2),TechCodes[[#This Row],[Technology]])</f>
        <v>Other non-renewable energy</v>
      </c>
      <c r="P18" s="41" t="str">
        <f>IFERROR(INDEX(TechCodes[[IRENA code]:[Technology]],MATCH(INDEX(TechCodes[[Technology]:[Parent]],MATCH(TechCodes[[#This Row],[L1N]],TechCodes[Technology],0),4),TechCodes[IRENA code],0),2),TechCodes[[#This Row],[L1N]])</f>
        <v>Total Non-Renewable</v>
      </c>
      <c r="Q18" s="41" t="str">
        <f>IFERROR(INDEX(TechCodes[[IRENA code]:[Technology]],MATCH(INDEX(TechCodes[[Technology]:[Parent]],MATCH(TechCodes[[#This Row],[L2N]],TechCodes[Technology],0),4),TechCodes[IRENA code],0),2),TechCodes[[#This Row],[L2N]])</f>
        <v>TOTAL</v>
      </c>
      <c r="R18" s="41" t="str">
        <f>IFERROR(INDEX(TechCodes[[IRENA code]:[Technology]],MATCH(INDEX(TechCodes[[Technology]:[Parent]],MATCH(TechCodes[[#This Row],[L3N]],TechCodes[Technology],0),4),TechCodes[IRENA code],0),2),TechCodes[[#This Row],[L3N]])</f>
        <v>TOTAL</v>
      </c>
      <c r="S18" s="41" t="str">
        <f>IFERROR(INDEX(TechCodes[[IRENA code]:[Technology]],MATCH(INDEX(TechCodes[[Technology]:[Parent]],MATCH(TechCodes[[#This Row],[L4N]],TechCodes[Technology],0),4),TechCodes[IRENA code],0),2),TechCodes[[#This Row],[L4N]])</f>
        <v>TOTAL</v>
      </c>
      <c r="T18" s="41" t="str">
        <f>IFERROR(INDEX(TechCodes[[IRENA code]:[Technology]],MATCH(INDEX(TechCodes[[Technology]:[Parent]],MATCH(TechCodes[[#This Row],[L5N]],TechCodes[Technology],0),4),TechCodes[IRENA code],0),2),TechCodes[[#This Row],[L5N]])</f>
        <v>TOTAL</v>
      </c>
      <c r="U1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non-renewable energy</v>
      </c>
      <c r="X1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Non-renewable municipal waste</v>
      </c>
      <c r="Y1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Non-renewable municipal waste</v>
      </c>
      <c r="Z1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Non-renewable municipal waste</v>
      </c>
      <c r="AA18" s="43" t="str">
        <f>IFERROR(VLOOKUP(TechCodes[[#This Row],[IRENA code]],SIEC[[IRENA]:[SIEC]],2,0),"")</f>
        <v/>
      </c>
      <c r="AC18" s="3"/>
      <c r="AD18" s="9">
        <v>0</v>
      </c>
      <c r="AE18" s="9"/>
      <c r="AF18" s="9"/>
      <c r="AG18" s="9"/>
      <c r="AI18" s="9" t="s">
        <v>207</v>
      </c>
      <c r="AJ18" s="46" t="s">
        <v>208</v>
      </c>
      <c r="AK18" s="9" t="s">
        <v>175</v>
      </c>
      <c r="AO18" t="s">
        <v>69</v>
      </c>
      <c r="AP18" t="s">
        <v>88</v>
      </c>
      <c r="AQ18" t="s">
        <v>177</v>
      </c>
      <c r="AR18" t="str">
        <f>RIGHT(Table8[[#This Row],[Column1]],LEN(Table8[[#This Row],[Column1]])-5)</f>
        <v>Growing of pome fruits and stone fruits</v>
      </c>
      <c r="AS18" t="str">
        <f>LEFT(Table8[[#This Row],[Column1]],4)</f>
        <v>0124</v>
      </c>
      <c r="AT18" s="9" t="s">
        <v>110</v>
      </c>
      <c r="AU18" t="s">
        <v>83</v>
      </c>
      <c r="AV18" t="s">
        <v>209</v>
      </c>
      <c r="BJ18">
        <v>460</v>
      </c>
      <c r="BK18" t="s">
        <v>178</v>
      </c>
      <c r="BL18" t="s">
        <v>74</v>
      </c>
      <c r="BM18" t="s">
        <v>75</v>
      </c>
      <c r="BN18" t="s">
        <v>202</v>
      </c>
      <c r="BO18" s="19">
        <v>411</v>
      </c>
      <c r="BP18" s="48" t="s">
        <v>210</v>
      </c>
      <c r="BQ18" s="48" t="s">
        <v>210</v>
      </c>
      <c r="BS18" t="s">
        <v>78</v>
      </c>
      <c r="BT18" t="s">
        <v>92</v>
      </c>
    </row>
    <row r="19" spans="3:72" x14ac:dyDescent="0.45">
      <c r="C19" s="32">
        <v>13300</v>
      </c>
      <c r="D19" s="32" t="s">
        <v>211</v>
      </c>
      <c r="E19" s="32" t="s">
        <v>212</v>
      </c>
      <c r="F19" s="32" t="s">
        <v>213</v>
      </c>
      <c r="G19" s="37">
        <v>13000</v>
      </c>
      <c r="H19" t="s">
        <v>106</v>
      </c>
      <c r="I19" t="s">
        <v>66</v>
      </c>
      <c r="J19" t="s">
        <v>66</v>
      </c>
      <c r="K19" t="s">
        <v>107</v>
      </c>
      <c r="N19" t="s">
        <v>66</v>
      </c>
      <c r="O19" s="41" t="str">
        <f>IFERROR(INDEX(TechCodes[[IRENA code]:[Technology]],MATCH(TechCodes[[#This Row],[Parent]],TechCodes[IRENA code],0),2),TechCodes[[#This Row],[Technology]])</f>
        <v>Other non-renewable energy</v>
      </c>
      <c r="P19" s="41" t="str">
        <f>IFERROR(INDEX(TechCodes[[IRENA code]:[Technology]],MATCH(INDEX(TechCodes[[Technology]:[Parent]],MATCH(TechCodes[[#This Row],[L1N]],TechCodes[Technology],0),4),TechCodes[IRENA code],0),2),TechCodes[[#This Row],[L1N]])</f>
        <v>Total Non-Renewable</v>
      </c>
      <c r="Q19" s="41" t="str">
        <f>IFERROR(INDEX(TechCodes[[IRENA code]:[Technology]],MATCH(INDEX(TechCodes[[Technology]:[Parent]],MATCH(TechCodes[[#This Row],[L2N]],TechCodes[Technology],0),4),TechCodes[IRENA code],0),2),TechCodes[[#This Row],[L2N]])</f>
        <v>TOTAL</v>
      </c>
      <c r="R19" s="41" t="str">
        <f>IFERROR(INDEX(TechCodes[[IRENA code]:[Technology]],MATCH(INDEX(TechCodes[[Technology]:[Parent]],MATCH(TechCodes[[#This Row],[L3N]],TechCodes[Technology],0),4),TechCodes[IRENA code],0),2),TechCodes[[#This Row],[L3N]])</f>
        <v>TOTAL</v>
      </c>
      <c r="S19" s="41" t="str">
        <f>IFERROR(INDEX(TechCodes[[IRENA code]:[Technology]],MATCH(INDEX(TechCodes[[Technology]:[Parent]],MATCH(TechCodes[[#This Row],[L4N]],TechCodes[Technology],0),4),TechCodes[IRENA code],0),2),TechCodes[[#This Row],[L4N]])</f>
        <v>TOTAL</v>
      </c>
      <c r="T19" s="41" t="str">
        <f>IFERROR(INDEX(TechCodes[[IRENA code]:[Technology]],MATCH(INDEX(TechCodes[[Technology]:[Parent]],MATCH(TechCodes[[#This Row],[L5N]],TechCodes[Technology],0),4),TechCodes[IRENA code],0),2),TechCodes[[#This Row],[L5N]])</f>
        <v>TOTAL</v>
      </c>
      <c r="U1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non-renewable energy</v>
      </c>
      <c r="X1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Chemical heat</v>
      </c>
      <c r="Y1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Chemical heat</v>
      </c>
      <c r="Z1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Chemical heat</v>
      </c>
      <c r="AA19" s="43" t="str">
        <f>IFERROR(VLOOKUP(TechCodes[[#This Row],[IRENA code]],SIEC[[IRENA]:[SIEC]],2,0),"")</f>
        <v/>
      </c>
      <c r="AC19" s="3"/>
      <c r="AD19" s="9">
        <v>0</v>
      </c>
      <c r="AE19" s="9"/>
      <c r="AF19" s="9"/>
      <c r="AG19" s="9"/>
      <c r="AI19" s="9" t="s">
        <v>214</v>
      </c>
      <c r="AJ19" s="45" t="s">
        <v>215</v>
      </c>
      <c r="AK19" s="9" t="s">
        <v>167</v>
      </c>
      <c r="AO19" t="s">
        <v>69</v>
      </c>
      <c r="AP19" t="s">
        <v>88</v>
      </c>
      <c r="AQ19" t="s">
        <v>177</v>
      </c>
      <c r="AR19" t="str">
        <f>RIGHT(Table8[[#This Row],[Column1]],LEN(Table8[[#This Row],[Column1]])-5)</f>
        <v>Growing of other tree and bush fruits and nuts</v>
      </c>
      <c r="AS19" t="str">
        <f>LEFT(Table8[[#This Row],[Column1]],4)</f>
        <v>0125</v>
      </c>
      <c r="AT19" s="9" t="s">
        <v>110</v>
      </c>
      <c r="AU19" t="s">
        <v>83</v>
      </c>
      <c r="AV19" t="s">
        <v>216</v>
      </c>
      <c r="BK19" t="s">
        <v>178</v>
      </c>
      <c r="BL19" t="s">
        <v>74</v>
      </c>
      <c r="BM19" t="s">
        <v>75</v>
      </c>
      <c r="BN19" t="s">
        <v>202</v>
      </c>
      <c r="BO19" s="19">
        <v>412</v>
      </c>
      <c r="BP19" s="48" t="s">
        <v>217</v>
      </c>
      <c r="BQ19" s="48" t="s">
        <v>217</v>
      </c>
      <c r="BS19" t="s">
        <v>78</v>
      </c>
      <c r="BT19" t="s">
        <v>92</v>
      </c>
    </row>
    <row r="20" spans="3:72" x14ac:dyDescent="0.45">
      <c r="C20" s="32">
        <v>13900</v>
      </c>
      <c r="D20" s="32" t="s">
        <v>218</v>
      </c>
      <c r="E20" s="32" t="s">
        <v>219</v>
      </c>
      <c r="F20" s="32" t="s">
        <v>220</v>
      </c>
      <c r="G20" s="37">
        <v>13000</v>
      </c>
      <c r="H20" t="s">
        <v>106</v>
      </c>
      <c r="I20" t="s">
        <v>66</v>
      </c>
      <c r="J20" t="s">
        <v>66</v>
      </c>
      <c r="K20" t="s">
        <v>107</v>
      </c>
      <c r="N20" t="s">
        <v>66</v>
      </c>
      <c r="O20" s="41" t="str">
        <f>IFERROR(INDEX(TechCodes[[IRENA code]:[Technology]],MATCH(TechCodes[[#This Row],[Parent]],TechCodes[IRENA code],0),2),TechCodes[[#This Row],[Technology]])</f>
        <v>Other non-renewable energy</v>
      </c>
      <c r="P20" s="41" t="str">
        <f>IFERROR(INDEX(TechCodes[[IRENA code]:[Technology]],MATCH(INDEX(TechCodes[[Technology]:[Parent]],MATCH(TechCodes[[#This Row],[L1N]],TechCodes[Technology],0),4),TechCodes[IRENA code],0),2),TechCodes[[#This Row],[L1N]])</f>
        <v>Total Non-Renewable</v>
      </c>
      <c r="Q20" s="41" t="str">
        <f>IFERROR(INDEX(TechCodes[[IRENA code]:[Technology]],MATCH(INDEX(TechCodes[[Technology]:[Parent]],MATCH(TechCodes[[#This Row],[L2N]],TechCodes[Technology],0),4),TechCodes[IRENA code],0),2),TechCodes[[#This Row],[L2N]])</f>
        <v>TOTAL</v>
      </c>
      <c r="R20" s="41" t="str">
        <f>IFERROR(INDEX(TechCodes[[IRENA code]:[Technology]],MATCH(INDEX(TechCodes[[Technology]:[Parent]],MATCH(TechCodes[[#This Row],[L3N]],TechCodes[Technology],0),4),TechCodes[IRENA code],0),2),TechCodes[[#This Row],[L3N]])</f>
        <v>TOTAL</v>
      </c>
      <c r="S20" s="41" t="str">
        <f>IFERROR(INDEX(TechCodes[[IRENA code]:[Technology]],MATCH(INDEX(TechCodes[[Technology]:[Parent]],MATCH(TechCodes[[#This Row],[L4N]],TechCodes[Technology],0),4),TechCodes[IRENA code],0),2),TechCodes[[#This Row],[L4N]])</f>
        <v>TOTAL</v>
      </c>
      <c r="T20" s="41" t="str">
        <f>IFERROR(INDEX(TechCodes[[IRENA code]:[Technology]],MATCH(INDEX(TechCodes[[Technology]:[Parent]],MATCH(TechCodes[[#This Row],[L5N]],TechCodes[Technology],0),4),TechCodes[IRENA code],0),2),TechCodes[[#This Row],[L5N]])</f>
        <v>TOTAL</v>
      </c>
      <c r="U2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2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non-renewable energy</v>
      </c>
      <c r="X2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Other non-renewable energy n.e.s.</v>
      </c>
      <c r="Y2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non-renewable energy n.e.s.</v>
      </c>
      <c r="Z2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non-renewable energy n.e.s.</v>
      </c>
      <c r="AA20" s="43" t="str">
        <f>IFERROR(VLOOKUP(TechCodes[[#This Row],[IRENA code]],SIEC[[IRENA]:[SIEC]],2,0),"")</f>
        <v/>
      </c>
      <c r="AC20" s="3"/>
      <c r="AD20" s="9">
        <v>0</v>
      </c>
      <c r="AE20" s="9"/>
      <c r="AF20" s="9"/>
      <c r="AG20" s="9"/>
      <c r="AI20" s="9" t="s">
        <v>221</v>
      </c>
      <c r="AJ20" s="45" t="s">
        <v>222</v>
      </c>
      <c r="AK20" s="9" t="s">
        <v>167</v>
      </c>
      <c r="AO20" t="s">
        <v>69</v>
      </c>
      <c r="AP20" t="s">
        <v>88</v>
      </c>
      <c r="AQ20" t="s">
        <v>177</v>
      </c>
      <c r="AR20" t="str">
        <f>RIGHT(Table8[[#This Row],[Column1]],LEN(Table8[[#This Row],[Column1]])-5)</f>
        <v>Growing of oleaginous fruits</v>
      </c>
      <c r="AS20" t="str">
        <f>LEFT(Table8[[#This Row],[Column1]],4)</f>
        <v>0126</v>
      </c>
      <c r="AT20" s="9" t="s">
        <v>110</v>
      </c>
      <c r="AU20" t="s">
        <v>83</v>
      </c>
      <c r="AV20" t="s">
        <v>223</v>
      </c>
      <c r="BK20" t="s">
        <v>178</v>
      </c>
      <c r="BL20" t="s">
        <v>74</v>
      </c>
      <c r="BM20" t="s">
        <v>75</v>
      </c>
      <c r="BN20" t="s">
        <v>202</v>
      </c>
      <c r="BO20" s="19">
        <v>420</v>
      </c>
      <c r="BP20" s="56" t="s">
        <v>224</v>
      </c>
      <c r="BQ20" s="56" t="s">
        <v>224</v>
      </c>
      <c r="BS20" t="s">
        <v>78</v>
      </c>
      <c r="BT20" t="s">
        <v>79</v>
      </c>
    </row>
    <row r="21" spans="3:72" ht="16.899999999999999" x14ac:dyDescent="0.5">
      <c r="C21" s="33">
        <v>20000</v>
      </c>
      <c r="D21" s="33" t="s">
        <v>225</v>
      </c>
      <c r="E21" s="33" t="s">
        <v>226</v>
      </c>
      <c r="F21" s="33" t="s">
        <v>227</v>
      </c>
      <c r="G21" s="39">
        <v>90000</v>
      </c>
      <c r="H21" t="s">
        <v>65</v>
      </c>
      <c r="I21" t="s">
        <v>66</v>
      </c>
      <c r="J21" t="s">
        <v>66</v>
      </c>
      <c r="K21" t="s">
        <v>21</v>
      </c>
      <c r="M21">
        <v>33</v>
      </c>
      <c r="N21" t="s">
        <v>66</v>
      </c>
      <c r="O21" s="41" t="str">
        <f>IFERROR(INDEX(TechCodes[[IRENA code]:[Technology]],MATCH(TechCodes[[#This Row],[Parent]],TechCodes[IRENA code],0),2),TechCodes[[#This Row],[Technology]])</f>
        <v>TOTAL</v>
      </c>
      <c r="P21" s="41" t="str">
        <f>IFERROR(INDEX(TechCodes[[IRENA code]:[Technology]],MATCH(INDEX(TechCodes[[Technology]:[Parent]],MATCH(TechCodes[[#This Row],[L1N]],TechCodes[Technology],0),4),TechCodes[IRENA code],0),2),TechCodes[[#This Row],[L1N]])</f>
        <v>TOTAL</v>
      </c>
      <c r="Q21" s="41" t="str">
        <f>IFERROR(INDEX(TechCodes[[IRENA code]:[Technology]],MATCH(INDEX(TechCodes[[Technology]:[Parent]],MATCH(TechCodes[[#This Row],[L2N]],TechCodes[Technology],0),4),TechCodes[IRENA code],0),2),TechCodes[[#This Row],[L2N]])</f>
        <v>TOTAL</v>
      </c>
      <c r="R21" s="41" t="str">
        <f>IFERROR(INDEX(TechCodes[[IRENA code]:[Technology]],MATCH(INDEX(TechCodes[[Technology]:[Parent]],MATCH(TechCodes[[#This Row],[L3N]],TechCodes[Technology],0),4),TechCodes[IRENA code],0),2),TechCodes[[#This Row],[L3N]])</f>
        <v>TOTAL</v>
      </c>
      <c r="S21" s="41" t="str">
        <f>IFERROR(INDEX(TechCodes[[IRENA code]:[Technology]],MATCH(INDEX(TechCodes[[Technology]:[Parent]],MATCH(TechCodes[[#This Row],[L4N]],TechCodes[Technology],0),4),TechCodes[IRENA code],0),2),TechCodes[[#This Row],[L4N]])</f>
        <v>TOTAL</v>
      </c>
      <c r="T21" s="41" t="str">
        <f>IFERROR(INDEX(TechCodes[[IRENA code]:[Technology]],MATCH(INDEX(TechCodes[[Technology]:[Parent]],MATCH(TechCodes[[#This Row],[L5N]],TechCodes[Technology],0),4),TechCodes[IRENA code],0),2),TechCodes[[#This Row],[L5N]])</f>
        <v>TOTAL</v>
      </c>
      <c r="U2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Total Renewable</v>
      </c>
      <c r="X2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Total Renewable</v>
      </c>
      <c r="Y2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Total Renewable</v>
      </c>
      <c r="Z2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Total Renewable</v>
      </c>
      <c r="AA21" s="43" t="str">
        <f>IFERROR(VLOOKUP(TechCodes[[#This Row],[IRENA code]],SIEC[[IRENA]:[SIEC]],2,0),"")</f>
        <v/>
      </c>
      <c r="AC21" s="3"/>
      <c r="AD21" s="9">
        <v>0</v>
      </c>
      <c r="AE21" s="9"/>
      <c r="AF21" s="9"/>
      <c r="AG21" s="9"/>
      <c r="AI21" s="9" t="s">
        <v>228</v>
      </c>
      <c r="AJ21" s="45" t="s">
        <v>229</v>
      </c>
      <c r="AK21" s="9" t="s">
        <v>167</v>
      </c>
      <c r="AO21" t="s">
        <v>69</v>
      </c>
      <c r="AP21" t="s">
        <v>88</v>
      </c>
      <c r="AQ21" t="s">
        <v>177</v>
      </c>
      <c r="AR21" t="str">
        <f>RIGHT(Table8[[#This Row],[Column1]],LEN(Table8[[#This Row],[Column1]])-5)</f>
        <v>Growing of beverage crops</v>
      </c>
      <c r="AS21" t="str">
        <f>LEFT(Table8[[#This Row],[Column1]],4)</f>
        <v>0127</v>
      </c>
      <c r="AT21" s="9" t="s">
        <v>110</v>
      </c>
      <c r="AU21" t="s">
        <v>83</v>
      </c>
      <c r="AV21" t="s">
        <v>230</v>
      </c>
      <c r="BK21" t="s">
        <v>178</v>
      </c>
      <c r="BL21" t="s">
        <v>74</v>
      </c>
      <c r="BM21" t="s">
        <v>75</v>
      </c>
      <c r="BN21" t="s">
        <v>202</v>
      </c>
      <c r="BO21" s="19">
        <v>421</v>
      </c>
      <c r="BP21" s="48" t="s">
        <v>231</v>
      </c>
      <c r="BQ21" s="48" t="s">
        <v>231</v>
      </c>
      <c r="BS21" t="s">
        <v>78</v>
      </c>
      <c r="BT21" t="s">
        <v>92</v>
      </c>
    </row>
    <row r="22" spans="3:72" ht="15.75" x14ac:dyDescent="0.5">
      <c r="C22" s="34">
        <v>21001</v>
      </c>
      <c r="D22" s="34" t="s">
        <v>232</v>
      </c>
      <c r="E22" s="34" t="s">
        <v>233</v>
      </c>
      <c r="F22" s="34" t="s">
        <v>234</v>
      </c>
      <c r="G22" s="38">
        <v>20000</v>
      </c>
      <c r="H22" t="s">
        <v>65</v>
      </c>
      <c r="I22" t="s">
        <v>66</v>
      </c>
      <c r="J22" t="s">
        <v>66</v>
      </c>
      <c r="K22" t="s">
        <v>21</v>
      </c>
      <c r="L22" s="26"/>
      <c r="M22">
        <v>33</v>
      </c>
      <c r="N22" t="s">
        <v>183</v>
      </c>
      <c r="O22" s="41" t="str">
        <f>IFERROR(INDEX(TechCodes[[IRENA code]:[Technology]],MATCH(TechCodes[[#This Row],[Parent]],TechCodes[IRENA code],0),2),TechCodes[[#This Row],[Technology]])</f>
        <v>Total Renewable</v>
      </c>
      <c r="P22" s="41" t="str">
        <f>IFERROR(INDEX(TechCodes[[IRENA code]:[Technology]],MATCH(INDEX(TechCodes[[Technology]:[Parent]],MATCH(TechCodes[[#This Row],[L1N]],TechCodes[Technology],0),4),TechCodes[IRENA code],0),2),TechCodes[[#This Row],[L1N]])</f>
        <v>TOTAL</v>
      </c>
      <c r="Q22" s="41" t="str">
        <f>IFERROR(INDEX(TechCodes[[IRENA code]:[Technology]],MATCH(INDEX(TechCodes[[Technology]:[Parent]],MATCH(TechCodes[[#This Row],[L2N]],TechCodes[Technology],0),4),TechCodes[IRENA code],0),2),TechCodes[[#This Row],[L2N]])</f>
        <v>TOTAL</v>
      </c>
      <c r="R22" s="41" t="str">
        <f>IFERROR(INDEX(TechCodes[[IRENA code]:[Technology]],MATCH(INDEX(TechCodes[[Technology]:[Parent]],MATCH(TechCodes[[#This Row],[L3N]],TechCodes[Technology],0),4),TechCodes[IRENA code],0),2),TechCodes[[#This Row],[L3N]])</f>
        <v>TOTAL</v>
      </c>
      <c r="S22" s="41" t="str">
        <f>IFERROR(INDEX(TechCodes[[IRENA code]:[Technology]],MATCH(INDEX(TechCodes[[Technology]:[Parent]],MATCH(TechCodes[[#This Row],[L4N]],TechCodes[Technology],0),4),TechCodes[IRENA code],0),2),TechCodes[[#This Row],[L4N]])</f>
        <v>TOTAL</v>
      </c>
      <c r="T22" s="41" t="str">
        <f>IFERROR(INDEX(TechCodes[[IRENA code]:[Technology]],MATCH(INDEX(TechCodes[[Technology]:[Parent]],MATCH(TechCodes[[#This Row],[L5N]],TechCodes[Technology],0),4),TechCodes[IRENA code],0),2),TechCodes[[#This Row],[L5N]])</f>
        <v>TOTAL</v>
      </c>
      <c r="U2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Hydropower (excl. Pumped Storage)</v>
      </c>
      <c r="X2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Hydropower (excl. Pumped Storage)</v>
      </c>
      <c r="Y2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Hydropower (excl. Pumped Storage)</v>
      </c>
      <c r="Z2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Hydropower (excl. Pumped Storage)</v>
      </c>
      <c r="AA22" s="43" t="str">
        <f>IFERROR(VLOOKUP(TechCodes[[#This Row],[IRENA code]],SIEC[[IRENA]:[SIEC]],2,0),"")</f>
        <v/>
      </c>
      <c r="AC22" s="3"/>
      <c r="AD22" s="9">
        <v>0</v>
      </c>
      <c r="AE22" s="9"/>
      <c r="AF22" s="9"/>
      <c r="AG22" s="9"/>
      <c r="AI22" s="9" t="s">
        <v>235</v>
      </c>
      <c r="AJ22" s="45" t="s">
        <v>236</v>
      </c>
      <c r="AK22" s="9" t="s">
        <v>167</v>
      </c>
      <c r="AO22" t="s">
        <v>69</v>
      </c>
      <c r="AP22" t="s">
        <v>88</v>
      </c>
      <c r="AQ22" t="s">
        <v>177</v>
      </c>
      <c r="AR22" t="str">
        <f>RIGHT(Table8[[#This Row],[Column1]],LEN(Table8[[#This Row],[Column1]])-5)</f>
        <v>Growing of spices, aromatic, drug and pharmaceutical crops</v>
      </c>
      <c r="AS22" t="str">
        <f>LEFT(Table8[[#This Row],[Column1]],4)</f>
        <v>0128</v>
      </c>
      <c r="AT22" s="9" t="s">
        <v>110</v>
      </c>
      <c r="AU22" t="s">
        <v>83</v>
      </c>
      <c r="AV22" t="s">
        <v>237</v>
      </c>
      <c r="BJ22">
        <v>410</v>
      </c>
      <c r="BK22" t="s">
        <v>178</v>
      </c>
      <c r="BL22" t="s">
        <v>74</v>
      </c>
      <c r="BM22" t="s">
        <v>75</v>
      </c>
      <c r="BN22" t="s">
        <v>75</v>
      </c>
      <c r="BO22" s="19">
        <v>422</v>
      </c>
      <c r="BP22" s="48" t="s">
        <v>238</v>
      </c>
      <c r="BQ22" s="48" t="s">
        <v>238</v>
      </c>
      <c r="BS22" t="s">
        <v>78</v>
      </c>
      <c r="BT22" t="s">
        <v>92</v>
      </c>
    </row>
    <row r="23" spans="3:72" x14ac:dyDescent="0.45">
      <c r="C23" s="32">
        <v>21100</v>
      </c>
      <c r="D23" s="32" t="s">
        <v>239</v>
      </c>
      <c r="E23" s="32" t="s">
        <v>240</v>
      </c>
      <c r="F23" s="32" t="s">
        <v>241</v>
      </c>
      <c r="G23" s="37">
        <v>21001</v>
      </c>
      <c r="H23" t="s">
        <v>83</v>
      </c>
      <c r="I23" t="s">
        <v>242</v>
      </c>
      <c r="J23" t="s">
        <v>242</v>
      </c>
      <c r="K23" t="s">
        <v>21</v>
      </c>
      <c r="L23" s="26" t="s">
        <v>183</v>
      </c>
      <c r="M23" s="26"/>
      <c r="N23" t="s">
        <v>183</v>
      </c>
      <c r="O23" s="41" t="str">
        <f>IFERROR(INDEX(TechCodes[[IRENA code]:[Technology]],MATCH(TechCodes[[#This Row],[Parent]],TechCodes[IRENA code],0),2),TechCodes[[#This Row],[Technology]])</f>
        <v>Hydropower (excl. Pumped Storage)</v>
      </c>
      <c r="P23" s="41" t="str">
        <f>IFERROR(INDEX(TechCodes[[IRENA code]:[Technology]],MATCH(INDEX(TechCodes[[Technology]:[Parent]],MATCH(TechCodes[[#This Row],[L1N]],TechCodes[Technology],0),4),TechCodes[IRENA code],0),2),TechCodes[[#This Row],[L1N]])</f>
        <v>Total Renewable</v>
      </c>
      <c r="Q23" s="41" t="str">
        <f>IFERROR(INDEX(TechCodes[[IRENA code]:[Technology]],MATCH(INDEX(TechCodes[[Technology]:[Parent]],MATCH(TechCodes[[#This Row],[L2N]],TechCodes[Technology],0),4),TechCodes[IRENA code],0),2),TechCodes[[#This Row],[L2N]])</f>
        <v>TOTAL</v>
      </c>
      <c r="R23" s="41" t="str">
        <f>IFERROR(INDEX(TechCodes[[IRENA code]:[Technology]],MATCH(INDEX(TechCodes[[Technology]:[Parent]],MATCH(TechCodes[[#This Row],[L3N]],TechCodes[Technology],0),4),TechCodes[IRENA code],0),2),TechCodes[[#This Row],[L3N]])</f>
        <v>TOTAL</v>
      </c>
      <c r="S23" s="41" t="str">
        <f>IFERROR(INDEX(TechCodes[[IRENA code]:[Technology]],MATCH(INDEX(TechCodes[[Technology]:[Parent]],MATCH(TechCodes[[#This Row],[L4N]],TechCodes[Technology],0),4),TechCodes[IRENA code],0),2),TechCodes[[#This Row],[L4N]])</f>
        <v>TOTAL</v>
      </c>
      <c r="T23" s="41" t="str">
        <f>IFERROR(INDEX(TechCodes[[IRENA code]:[Technology]],MATCH(INDEX(TechCodes[[Technology]:[Parent]],MATCH(TechCodes[[#This Row],[L5N]],TechCodes[Technology],0),4),TechCodes[IRENA code],0),2),TechCodes[[#This Row],[L5N]])</f>
        <v>TOTAL</v>
      </c>
      <c r="U2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Hydropower (excl. Pumped Storage)</v>
      </c>
      <c r="X2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Renewable hydropower</v>
      </c>
      <c r="Y2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Renewable hydropower</v>
      </c>
      <c r="Z2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Renewable hydropower</v>
      </c>
      <c r="AA23" s="43" t="str">
        <f>IFERROR(VLOOKUP(TechCodes[[#This Row],[IRENA code]],SIEC[[IRENA]:[SIEC]],2,0),"")</f>
        <v/>
      </c>
      <c r="AC23" s="3"/>
      <c r="AD23" s="9">
        <v>0</v>
      </c>
      <c r="AE23" s="9"/>
      <c r="AF23" s="9"/>
      <c r="AG23" s="9"/>
      <c r="AI23" s="9" t="s">
        <v>243</v>
      </c>
      <c r="AJ23" s="45" t="s">
        <v>244</v>
      </c>
      <c r="AK23" s="9" t="s">
        <v>167</v>
      </c>
      <c r="AO23" t="s">
        <v>69</v>
      </c>
      <c r="AP23" t="s">
        <v>88</v>
      </c>
      <c r="AQ23" t="s">
        <v>177</v>
      </c>
      <c r="AR23" t="str">
        <f>RIGHT(Table8[[#This Row],[Column1]],LEN(Table8[[#This Row],[Column1]])-5)</f>
        <v>Growing of other perennial crops</v>
      </c>
      <c r="AS23" t="str">
        <f>LEFT(Table8[[#This Row],[Column1]],4)</f>
        <v>0129</v>
      </c>
      <c r="AT23" s="9" t="s">
        <v>110</v>
      </c>
      <c r="AU23" t="s">
        <v>83</v>
      </c>
      <c r="AV23" t="s">
        <v>245</v>
      </c>
      <c r="BJ23">
        <v>495</v>
      </c>
      <c r="BK23" t="s">
        <v>178</v>
      </c>
      <c r="BL23" t="s">
        <v>74</v>
      </c>
      <c r="BM23" t="s">
        <v>246</v>
      </c>
      <c r="BN23" t="s">
        <v>246</v>
      </c>
      <c r="BO23" s="19">
        <v>430</v>
      </c>
      <c r="BP23" s="56" t="s">
        <v>247</v>
      </c>
      <c r="BQ23" s="56" t="s">
        <v>247</v>
      </c>
      <c r="BS23" t="s">
        <v>78</v>
      </c>
      <c r="BT23" t="s">
        <v>79</v>
      </c>
    </row>
    <row r="24" spans="3:72" x14ac:dyDescent="0.45">
      <c r="C24" s="32">
        <v>21400</v>
      </c>
      <c r="D24" s="32" t="s">
        <v>248</v>
      </c>
      <c r="E24" s="32" t="s">
        <v>249</v>
      </c>
      <c r="F24" s="32" t="s">
        <v>250</v>
      </c>
      <c r="G24" s="37">
        <v>21001</v>
      </c>
      <c r="H24" t="s">
        <v>83</v>
      </c>
      <c r="I24" t="s">
        <v>242</v>
      </c>
      <c r="J24" t="s">
        <v>242</v>
      </c>
      <c r="K24" t="s">
        <v>21</v>
      </c>
      <c r="L24" s="26" t="s">
        <v>183</v>
      </c>
      <c r="M24" s="26"/>
      <c r="N24" t="s">
        <v>183</v>
      </c>
      <c r="O24" s="41" t="str">
        <f>IFERROR(INDEX(TechCodes[[IRENA code]:[Technology]],MATCH(TechCodes[[#This Row],[Parent]],TechCodes[IRENA code],0),2),TechCodes[[#This Row],[Technology]])</f>
        <v>Hydropower (excl. Pumped Storage)</v>
      </c>
      <c r="P24" s="41" t="str">
        <f>IFERROR(INDEX(TechCodes[[IRENA code]:[Technology]],MATCH(INDEX(TechCodes[[Technology]:[Parent]],MATCH(TechCodes[[#This Row],[L1N]],TechCodes[Technology],0),4),TechCodes[IRENA code],0),2),TechCodes[[#This Row],[L1N]])</f>
        <v>Total Renewable</v>
      </c>
      <c r="Q24" s="41" t="str">
        <f>IFERROR(INDEX(TechCodes[[IRENA code]:[Technology]],MATCH(INDEX(TechCodes[[Technology]:[Parent]],MATCH(TechCodes[[#This Row],[L2N]],TechCodes[Technology],0),4),TechCodes[IRENA code],0),2),TechCodes[[#This Row],[L2N]])</f>
        <v>TOTAL</v>
      </c>
      <c r="R24" s="41" t="str">
        <f>IFERROR(INDEX(TechCodes[[IRENA code]:[Technology]],MATCH(INDEX(TechCodes[[Technology]:[Parent]],MATCH(TechCodes[[#This Row],[L3N]],TechCodes[Technology],0),4),TechCodes[IRENA code],0),2),TechCodes[[#This Row],[L3N]])</f>
        <v>TOTAL</v>
      </c>
      <c r="S24" s="41" t="str">
        <f>IFERROR(INDEX(TechCodes[[IRENA code]:[Technology]],MATCH(INDEX(TechCodes[[Technology]:[Parent]],MATCH(TechCodes[[#This Row],[L4N]],TechCodes[Technology],0),4),TechCodes[IRENA code],0),2),TechCodes[[#This Row],[L4N]])</f>
        <v>TOTAL</v>
      </c>
      <c r="T24" s="41" t="str">
        <f>IFERROR(INDEX(TechCodes[[IRENA code]:[Technology]],MATCH(INDEX(TechCodes[[Technology]:[Parent]],MATCH(TechCodes[[#This Row],[L5N]],TechCodes[Technology],0),4),TechCodes[IRENA code],0),2),TechCodes[[#This Row],[L5N]])</f>
        <v>TOTAL</v>
      </c>
      <c r="U2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Hydropower (excl. Pumped Storage)</v>
      </c>
      <c r="X2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Mixed Hydro Plants</v>
      </c>
      <c r="Y2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Mixed Hydro Plants</v>
      </c>
      <c r="Z2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Mixed Hydro Plants</v>
      </c>
      <c r="AA24" s="43" t="str">
        <f>IFERROR(VLOOKUP(TechCodes[[#This Row],[IRENA code]],SIEC[[IRENA]:[SIEC]],2,0),"")</f>
        <v/>
      </c>
      <c r="AC24" s="3"/>
      <c r="AD24" s="9">
        <v>0</v>
      </c>
      <c r="AE24" s="9"/>
      <c r="AF24" s="9"/>
      <c r="AG24" s="9"/>
      <c r="AI24" s="9" t="s">
        <v>251</v>
      </c>
      <c r="AJ24" s="45" t="s">
        <v>252</v>
      </c>
      <c r="AK24" s="9" t="s">
        <v>167</v>
      </c>
      <c r="AO24" t="s">
        <v>69</v>
      </c>
      <c r="AP24" t="s">
        <v>88</v>
      </c>
      <c r="AQ24" t="s">
        <v>253</v>
      </c>
      <c r="AR24" t="s">
        <v>253</v>
      </c>
      <c r="AS24" s="9" t="s">
        <v>254</v>
      </c>
      <c r="AT24" s="9" t="s">
        <v>86</v>
      </c>
      <c r="AU24" t="s">
        <v>83</v>
      </c>
      <c r="BJ24">
        <v>420</v>
      </c>
      <c r="BK24" t="s">
        <v>178</v>
      </c>
      <c r="BL24" t="s">
        <v>74</v>
      </c>
      <c r="BM24" t="s">
        <v>75</v>
      </c>
      <c r="BN24" t="s">
        <v>76</v>
      </c>
      <c r="BO24" s="19">
        <v>431</v>
      </c>
      <c r="BP24" s="48" t="s">
        <v>255</v>
      </c>
      <c r="BQ24" s="48" t="s">
        <v>255</v>
      </c>
      <c r="BS24" t="s">
        <v>78</v>
      </c>
      <c r="BT24" t="s">
        <v>92</v>
      </c>
    </row>
    <row r="25" spans="3:72" ht="15.75" x14ac:dyDescent="0.5">
      <c r="C25" s="34">
        <v>22000</v>
      </c>
      <c r="D25" s="34" t="s">
        <v>256</v>
      </c>
      <c r="E25" s="34" t="s">
        <v>257</v>
      </c>
      <c r="F25" s="34" t="s">
        <v>258</v>
      </c>
      <c r="G25" s="38">
        <v>20000</v>
      </c>
      <c r="H25" t="s">
        <v>83</v>
      </c>
      <c r="I25" t="s">
        <v>242</v>
      </c>
      <c r="J25" t="s">
        <v>242</v>
      </c>
      <c r="K25" t="s">
        <v>21</v>
      </c>
      <c r="N25" t="s">
        <v>1196</v>
      </c>
      <c r="O25" s="41" t="str">
        <f>IFERROR(INDEX(TechCodes[[IRENA code]:[Technology]],MATCH(TechCodes[[#This Row],[Parent]],TechCodes[IRENA code],0),2),TechCodes[[#This Row],[Technology]])</f>
        <v>Total Renewable</v>
      </c>
      <c r="P25" s="41" t="str">
        <f>IFERROR(INDEX(TechCodes[[IRENA code]:[Technology]],MATCH(INDEX(TechCodes[[Technology]:[Parent]],MATCH(TechCodes[[#This Row],[L1N]],TechCodes[Technology],0),4),TechCodes[IRENA code],0),2),TechCodes[[#This Row],[L1N]])</f>
        <v>TOTAL</v>
      </c>
      <c r="Q25" s="41" t="str">
        <f>IFERROR(INDEX(TechCodes[[IRENA code]:[Technology]],MATCH(INDEX(TechCodes[[Technology]:[Parent]],MATCH(TechCodes[[#This Row],[L2N]],TechCodes[Technology],0),4),TechCodes[IRENA code],0),2),TechCodes[[#This Row],[L2N]])</f>
        <v>TOTAL</v>
      </c>
      <c r="R25" s="41" t="str">
        <f>IFERROR(INDEX(TechCodes[[IRENA code]:[Technology]],MATCH(INDEX(TechCodes[[Technology]:[Parent]],MATCH(TechCodes[[#This Row],[L3N]],TechCodes[Technology],0),4),TechCodes[IRENA code],0),2),TechCodes[[#This Row],[L3N]])</f>
        <v>TOTAL</v>
      </c>
      <c r="S25" s="41" t="str">
        <f>IFERROR(INDEX(TechCodes[[IRENA code]:[Technology]],MATCH(INDEX(TechCodes[[Technology]:[Parent]],MATCH(TechCodes[[#This Row],[L4N]],TechCodes[Technology],0),4),TechCodes[IRENA code],0),2),TechCodes[[#This Row],[L4N]])</f>
        <v>TOTAL</v>
      </c>
      <c r="T25" s="41" t="str">
        <f>IFERROR(INDEX(TechCodes[[IRENA code]:[Technology]],MATCH(INDEX(TechCodes[[Technology]:[Parent]],MATCH(TechCodes[[#This Row],[L5N]],TechCodes[Technology],0),4),TechCodes[IRENA code],0),2),TechCodes[[#This Row],[L5N]])</f>
        <v>TOTAL</v>
      </c>
      <c r="U2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Marine energy</v>
      </c>
      <c r="X2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Marine energy</v>
      </c>
      <c r="Y2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Marine energy</v>
      </c>
      <c r="Z2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Marine energy</v>
      </c>
      <c r="AA25" s="43" t="str">
        <f>IFERROR(VLOOKUP(TechCodes[[#This Row],[IRENA code]],SIEC[[IRENA]:[SIEC]],2,0),"")</f>
        <v/>
      </c>
      <c r="AC25" s="3"/>
      <c r="AD25" s="9">
        <v>0</v>
      </c>
      <c r="AE25" s="9"/>
      <c r="AF25" s="9"/>
      <c r="AG25" s="9"/>
      <c r="AI25" s="9" t="s">
        <v>259</v>
      </c>
      <c r="AJ25" s="46" t="s">
        <v>260</v>
      </c>
      <c r="AK25" s="9" t="s">
        <v>251</v>
      </c>
      <c r="AO25" t="s">
        <v>69</v>
      </c>
      <c r="AP25" t="s">
        <v>88</v>
      </c>
      <c r="AQ25" t="s">
        <v>261</v>
      </c>
      <c r="AR25" t="str">
        <f>RIGHT(Table8[[#This Row],[Column1]],LEN(Table8[[#This Row],[Column1]])-5)</f>
        <v>Raising of cattle and buffaloes</v>
      </c>
      <c r="AS25" t="str">
        <f>LEFT(Table8[[#This Row],[Column1]],4)</f>
        <v>0141</v>
      </c>
      <c r="AT25" s="9" t="s">
        <v>262</v>
      </c>
      <c r="AU25" t="s">
        <v>83</v>
      </c>
      <c r="AV25" t="s">
        <v>263</v>
      </c>
      <c r="BJ25">
        <v>440</v>
      </c>
      <c r="BK25" t="s">
        <v>178</v>
      </c>
      <c r="BL25" t="s">
        <v>74</v>
      </c>
      <c r="BM25" t="s">
        <v>75</v>
      </c>
      <c r="BN25" t="s">
        <v>264</v>
      </c>
      <c r="BO25" s="19">
        <v>432</v>
      </c>
      <c r="BP25" s="48" t="s">
        <v>265</v>
      </c>
      <c r="BQ25" s="48" t="s">
        <v>265</v>
      </c>
      <c r="BS25" t="s">
        <v>78</v>
      </c>
      <c r="BT25" t="s">
        <v>92</v>
      </c>
    </row>
    <row r="26" spans="3:72" ht="15.75" x14ac:dyDescent="0.5">
      <c r="C26" s="34">
        <v>23000</v>
      </c>
      <c r="D26" s="34" t="s">
        <v>266</v>
      </c>
      <c r="E26" s="34" t="s">
        <v>267</v>
      </c>
      <c r="F26" s="34" t="s">
        <v>268</v>
      </c>
      <c r="G26" s="38">
        <v>20000</v>
      </c>
      <c r="H26" t="s">
        <v>65</v>
      </c>
      <c r="I26" t="s">
        <v>242</v>
      </c>
      <c r="J26" t="s">
        <v>66</v>
      </c>
      <c r="K26" t="s">
        <v>21</v>
      </c>
      <c r="M26">
        <v>33</v>
      </c>
      <c r="N26" t="s">
        <v>1195</v>
      </c>
      <c r="O26" s="41" t="str">
        <f>IFERROR(INDEX(TechCodes[[IRENA code]:[Technology]],MATCH(TechCodes[[#This Row],[Parent]],TechCodes[IRENA code],0),2),TechCodes[[#This Row],[Technology]])</f>
        <v>Total Renewable</v>
      </c>
      <c r="P26" s="41" t="str">
        <f>IFERROR(INDEX(TechCodes[[IRENA code]:[Technology]],MATCH(INDEX(TechCodes[[Technology]:[Parent]],MATCH(TechCodes[[#This Row],[L1N]],TechCodes[Technology],0),4),TechCodes[IRENA code],0),2),TechCodes[[#This Row],[L1N]])</f>
        <v>TOTAL</v>
      </c>
      <c r="Q26" s="41" t="str">
        <f>IFERROR(INDEX(TechCodes[[IRENA code]:[Technology]],MATCH(INDEX(TechCodes[[Technology]:[Parent]],MATCH(TechCodes[[#This Row],[L2N]],TechCodes[Technology],0),4),TechCodes[IRENA code],0),2),TechCodes[[#This Row],[L2N]])</f>
        <v>TOTAL</v>
      </c>
      <c r="R26" s="41" t="str">
        <f>IFERROR(INDEX(TechCodes[[IRENA code]:[Technology]],MATCH(INDEX(TechCodes[[Technology]:[Parent]],MATCH(TechCodes[[#This Row],[L3N]],TechCodes[Technology],0),4),TechCodes[IRENA code],0),2),TechCodes[[#This Row],[L3N]])</f>
        <v>TOTAL</v>
      </c>
      <c r="S26" s="41" t="str">
        <f>IFERROR(INDEX(TechCodes[[IRENA code]:[Technology]],MATCH(INDEX(TechCodes[[Technology]:[Parent]],MATCH(TechCodes[[#This Row],[L4N]],TechCodes[Technology],0),4),TechCodes[IRENA code],0),2),TechCodes[[#This Row],[L4N]])</f>
        <v>TOTAL</v>
      </c>
      <c r="T26" s="41" t="str">
        <f>IFERROR(INDEX(TechCodes[[IRENA code]:[Technology]],MATCH(INDEX(TechCodes[[Technology]:[Parent]],MATCH(TechCodes[[#This Row],[L5N]],TechCodes[Technology],0),4),TechCodes[IRENA code],0),2),TechCodes[[#This Row],[L5N]])</f>
        <v>TOTAL</v>
      </c>
      <c r="U2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Wind energy</v>
      </c>
      <c r="X2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Wind energy</v>
      </c>
      <c r="Y2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Wind energy</v>
      </c>
      <c r="Z2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Wind energy</v>
      </c>
      <c r="AA26" s="43" t="str">
        <f>IFERROR(VLOOKUP(TechCodes[[#This Row],[IRENA code]],SIEC[[IRENA]:[SIEC]],2,0),"")</f>
        <v/>
      </c>
      <c r="AC26" s="3"/>
      <c r="AD26" s="9"/>
      <c r="AE26" s="9"/>
      <c r="AF26" s="9"/>
      <c r="AG26" s="9"/>
      <c r="AI26" s="9" t="s">
        <v>269</v>
      </c>
      <c r="AJ26" s="46" t="s">
        <v>270</v>
      </c>
      <c r="AK26" s="9" t="s">
        <v>251</v>
      </c>
      <c r="AO26" t="s">
        <v>69</v>
      </c>
      <c r="AP26" t="s">
        <v>88</v>
      </c>
      <c r="AQ26" t="s">
        <v>261</v>
      </c>
      <c r="AR26" t="str">
        <f>RIGHT(Table8[[#This Row],[Column1]],LEN(Table8[[#This Row],[Column1]])-5)</f>
        <v>Raising of horses and other equines</v>
      </c>
      <c r="AS26" t="str">
        <f>LEFT(Table8[[#This Row],[Column1]],4)</f>
        <v>0142</v>
      </c>
      <c r="AT26" s="9" t="s">
        <v>262</v>
      </c>
      <c r="AU26" t="s">
        <v>83</v>
      </c>
      <c r="AV26" t="s">
        <v>271</v>
      </c>
      <c r="BJ26">
        <v>490</v>
      </c>
      <c r="BK26" t="s">
        <v>178</v>
      </c>
      <c r="BL26" t="s">
        <v>74</v>
      </c>
      <c r="BM26" t="s">
        <v>75</v>
      </c>
      <c r="BN26" t="s">
        <v>202</v>
      </c>
      <c r="BO26" s="19">
        <v>440</v>
      </c>
      <c r="BP26" s="56" t="s">
        <v>272</v>
      </c>
      <c r="BQ26" s="56" t="s">
        <v>272</v>
      </c>
      <c r="BS26" t="s">
        <v>78</v>
      </c>
      <c r="BT26" t="s">
        <v>79</v>
      </c>
    </row>
    <row r="27" spans="3:72" x14ac:dyDescent="0.45">
      <c r="C27" s="32">
        <v>23100</v>
      </c>
      <c r="D27" s="32" t="s">
        <v>273</v>
      </c>
      <c r="E27" s="32" t="s">
        <v>274</v>
      </c>
      <c r="F27" s="32" t="s">
        <v>275</v>
      </c>
      <c r="G27" s="37">
        <v>23000</v>
      </c>
      <c r="H27" t="s">
        <v>83</v>
      </c>
      <c r="I27" t="s">
        <v>242</v>
      </c>
      <c r="J27" t="s">
        <v>242</v>
      </c>
      <c r="K27" t="s">
        <v>21</v>
      </c>
      <c r="N27" t="s">
        <v>1195</v>
      </c>
      <c r="O27" s="41" t="str">
        <f>IFERROR(INDEX(TechCodes[[IRENA code]:[Technology]],MATCH(TechCodes[[#This Row],[Parent]],TechCodes[IRENA code],0),2),TechCodes[[#This Row],[Technology]])</f>
        <v>Wind energy</v>
      </c>
      <c r="P27" s="41" t="str">
        <f>IFERROR(INDEX(TechCodes[[IRENA code]:[Technology]],MATCH(INDEX(TechCodes[[Technology]:[Parent]],MATCH(TechCodes[[#This Row],[L1N]],TechCodes[Technology],0),4),TechCodes[IRENA code],0),2),TechCodes[[#This Row],[L1N]])</f>
        <v>Total Renewable</v>
      </c>
      <c r="Q27" s="41" t="str">
        <f>IFERROR(INDEX(TechCodes[[IRENA code]:[Technology]],MATCH(INDEX(TechCodes[[Technology]:[Parent]],MATCH(TechCodes[[#This Row],[L2N]],TechCodes[Technology],0),4),TechCodes[IRENA code],0),2),TechCodes[[#This Row],[L2N]])</f>
        <v>TOTAL</v>
      </c>
      <c r="R27" s="41" t="str">
        <f>IFERROR(INDEX(TechCodes[[IRENA code]:[Technology]],MATCH(INDEX(TechCodes[[Technology]:[Parent]],MATCH(TechCodes[[#This Row],[L3N]],TechCodes[Technology],0),4),TechCodes[IRENA code],0),2),TechCodes[[#This Row],[L3N]])</f>
        <v>TOTAL</v>
      </c>
      <c r="S27" s="41" t="str">
        <f>IFERROR(INDEX(TechCodes[[IRENA code]:[Technology]],MATCH(INDEX(TechCodes[[Technology]:[Parent]],MATCH(TechCodes[[#This Row],[L4N]],TechCodes[Technology],0),4),TechCodes[IRENA code],0),2),TechCodes[[#This Row],[L4N]])</f>
        <v>TOTAL</v>
      </c>
      <c r="T27" s="41" t="str">
        <f>IFERROR(INDEX(TechCodes[[IRENA code]:[Technology]],MATCH(INDEX(TechCodes[[Technology]:[Parent]],MATCH(TechCodes[[#This Row],[L5N]],TechCodes[Technology],0),4),TechCodes[IRENA code],0),2),TechCodes[[#This Row],[L5N]])</f>
        <v>TOTAL</v>
      </c>
      <c r="U2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Wind energy</v>
      </c>
      <c r="X2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Onshore wind energy</v>
      </c>
      <c r="Y2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Onshore wind energy</v>
      </c>
      <c r="Z2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Onshore wind energy</v>
      </c>
      <c r="AA27" s="43" t="str">
        <f>IFERROR(VLOOKUP(TechCodes[[#This Row],[IRENA code]],SIEC[[IRENA]:[SIEC]],2,0),"")</f>
        <v/>
      </c>
      <c r="AC27" s="3"/>
      <c r="AD27" s="9"/>
      <c r="AE27" s="9"/>
      <c r="AF27" s="9"/>
      <c r="AG27" s="9"/>
      <c r="AI27" s="9" t="s">
        <v>276</v>
      </c>
      <c r="AJ27" s="46" t="s">
        <v>277</v>
      </c>
      <c r="AK27" s="9" t="s">
        <v>251</v>
      </c>
      <c r="AO27" t="s">
        <v>69</v>
      </c>
      <c r="AP27" t="s">
        <v>88</v>
      </c>
      <c r="AQ27" t="s">
        <v>261</v>
      </c>
      <c r="AR27" t="str">
        <f>RIGHT(Table8[[#This Row],[Column1]],LEN(Table8[[#This Row],[Column1]])-5)</f>
        <v>Raising of camels and camelids</v>
      </c>
      <c r="AS27" t="str">
        <f>LEFT(Table8[[#This Row],[Column1]],4)</f>
        <v>0143</v>
      </c>
      <c r="AT27" s="9" t="s">
        <v>262</v>
      </c>
      <c r="AU27" t="s">
        <v>83</v>
      </c>
      <c r="AV27" t="s">
        <v>278</v>
      </c>
      <c r="BJ27">
        <v>441</v>
      </c>
      <c r="BK27" t="s">
        <v>178</v>
      </c>
      <c r="BL27" t="s">
        <v>74</v>
      </c>
      <c r="BM27" t="s">
        <v>75</v>
      </c>
      <c r="BN27" t="s">
        <v>264</v>
      </c>
      <c r="BO27" s="19"/>
      <c r="BP27" s="56" t="s">
        <v>279</v>
      </c>
      <c r="BQ27" s="56" t="s">
        <v>279</v>
      </c>
      <c r="BS27" t="s">
        <v>78</v>
      </c>
      <c r="BT27" t="s">
        <v>79</v>
      </c>
    </row>
    <row r="28" spans="3:72" x14ac:dyDescent="0.45">
      <c r="C28" s="32">
        <v>23200</v>
      </c>
      <c r="D28" s="32" t="s">
        <v>280</v>
      </c>
      <c r="E28" s="32" t="s">
        <v>281</v>
      </c>
      <c r="F28" s="32" t="s">
        <v>282</v>
      </c>
      <c r="G28" s="37">
        <v>23000</v>
      </c>
      <c r="H28" t="s">
        <v>83</v>
      </c>
      <c r="I28" t="s">
        <v>242</v>
      </c>
      <c r="J28" t="s">
        <v>242</v>
      </c>
      <c r="K28" t="s">
        <v>21</v>
      </c>
      <c r="N28" t="s">
        <v>1195</v>
      </c>
      <c r="O28" s="41" t="str">
        <f>IFERROR(INDEX(TechCodes[[IRENA code]:[Technology]],MATCH(TechCodes[[#This Row],[Parent]],TechCodes[IRENA code],0),2),TechCodes[[#This Row],[Technology]])</f>
        <v>Wind energy</v>
      </c>
      <c r="P28" s="41" t="str">
        <f>IFERROR(INDEX(TechCodes[[IRENA code]:[Technology]],MATCH(INDEX(TechCodes[[Technology]:[Parent]],MATCH(TechCodes[[#This Row],[L1N]],TechCodes[Technology],0),4),TechCodes[IRENA code],0),2),TechCodes[[#This Row],[L1N]])</f>
        <v>Total Renewable</v>
      </c>
      <c r="Q28" s="41" t="str">
        <f>IFERROR(INDEX(TechCodes[[IRENA code]:[Technology]],MATCH(INDEX(TechCodes[[Technology]:[Parent]],MATCH(TechCodes[[#This Row],[L2N]],TechCodes[Technology],0),4),TechCodes[IRENA code],0),2),TechCodes[[#This Row],[L2N]])</f>
        <v>TOTAL</v>
      </c>
      <c r="R28" s="41" t="str">
        <f>IFERROR(INDEX(TechCodes[[IRENA code]:[Technology]],MATCH(INDEX(TechCodes[[Technology]:[Parent]],MATCH(TechCodes[[#This Row],[L3N]],TechCodes[Technology],0),4),TechCodes[IRENA code],0),2),TechCodes[[#This Row],[L3N]])</f>
        <v>TOTAL</v>
      </c>
      <c r="S28" s="41" t="str">
        <f>IFERROR(INDEX(TechCodes[[IRENA code]:[Technology]],MATCH(INDEX(TechCodes[[Technology]:[Parent]],MATCH(TechCodes[[#This Row],[L4N]],TechCodes[Technology],0),4),TechCodes[IRENA code],0),2),TechCodes[[#This Row],[L4N]])</f>
        <v>TOTAL</v>
      </c>
      <c r="T28" s="41" t="str">
        <f>IFERROR(INDEX(TechCodes[[IRENA code]:[Technology]],MATCH(INDEX(TechCodes[[Technology]:[Parent]],MATCH(TechCodes[[#This Row],[L5N]],TechCodes[Technology],0),4),TechCodes[IRENA code],0),2),TechCodes[[#This Row],[L5N]])</f>
        <v>TOTAL</v>
      </c>
      <c r="U2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Wind energy</v>
      </c>
      <c r="X2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Offshore wind energy</v>
      </c>
      <c r="Y2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Offshore wind energy</v>
      </c>
      <c r="Z2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Offshore wind energy</v>
      </c>
      <c r="AA28" s="43" t="str">
        <f>IFERROR(VLOOKUP(TechCodes[[#This Row],[IRENA code]],SIEC[[IRENA]:[SIEC]],2,0),"")</f>
        <v/>
      </c>
      <c r="AC28" s="3"/>
      <c r="AD28" s="9"/>
      <c r="AE28" s="9"/>
      <c r="AF28" s="9"/>
      <c r="AG28" s="9"/>
      <c r="AI28" s="9" t="s">
        <v>283</v>
      </c>
      <c r="AJ28" s="45" t="s">
        <v>284</v>
      </c>
      <c r="AK28" s="9" t="s">
        <v>167</v>
      </c>
      <c r="AO28" t="s">
        <v>69</v>
      </c>
      <c r="AP28" t="s">
        <v>88</v>
      </c>
      <c r="AQ28" t="s">
        <v>261</v>
      </c>
      <c r="AR28" t="str">
        <f>RIGHT(Table8[[#This Row],[Column1]],LEN(Table8[[#This Row],[Column1]])-5)</f>
        <v>Raising of sheep and goats</v>
      </c>
      <c r="AS28" t="str">
        <f>LEFT(Table8[[#This Row],[Column1]],4)</f>
        <v>0144</v>
      </c>
      <c r="AT28" s="9" t="s">
        <v>262</v>
      </c>
      <c r="AU28" t="s">
        <v>83</v>
      </c>
      <c r="AV28" t="s">
        <v>285</v>
      </c>
      <c r="BK28" t="s">
        <v>178</v>
      </c>
      <c r="BL28" t="s">
        <v>74</v>
      </c>
      <c r="BM28" t="s">
        <v>75</v>
      </c>
      <c r="BN28" t="s">
        <v>264</v>
      </c>
      <c r="BO28" s="19"/>
      <c r="BP28" s="56" t="s">
        <v>286</v>
      </c>
      <c r="BQ28" s="56" t="s">
        <v>286</v>
      </c>
      <c r="BS28" t="s">
        <v>78</v>
      </c>
      <c r="BT28" t="s">
        <v>92</v>
      </c>
    </row>
    <row r="29" spans="3:72" x14ac:dyDescent="0.45">
      <c r="C29" s="32">
        <v>23900</v>
      </c>
      <c r="D29" s="32" t="s">
        <v>287</v>
      </c>
      <c r="E29" s="32" t="s">
        <v>288</v>
      </c>
      <c r="F29" s="32" t="s">
        <v>289</v>
      </c>
      <c r="G29" s="37">
        <v>23000</v>
      </c>
      <c r="H29" t="s">
        <v>83</v>
      </c>
      <c r="I29" t="s">
        <v>66</v>
      </c>
      <c r="J29" t="s">
        <v>66</v>
      </c>
      <c r="K29" t="s">
        <v>107</v>
      </c>
      <c r="N29" t="s">
        <v>1195</v>
      </c>
      <c r="O29" s="41" t="str">
        <f>IFERROR(INDEX(TechCodes[[IRENA code]:[Technology]],MATCH(TechCodes[[#This Row],[Parent]],TechCodes[IRENA code],0),2),TechCodes[[#This Row],[Technology]])</f>
        <v>Wind energy</v>
      </c>
      <c r="P29" s="41" t="str">
        <f>IFERROR(INDEX(TechCodes[[IRENA code]:[Technology]],MATCH(INDEX(TechCodes[[Technology]:[Parent]],MATCH(TechCodes[[#This Row],[L1N]],TechCodes[Technology],0),4),TechCodes[IRENA code],0),2),TechCodes[[#This Row],[L1N]])</f>
        <v>Total Renewable</v>
      </c>
      <c r="Q29" s="41" t="str">
        <f>IFERROR(INDEX(TechCodes[[IRENA code]:[Technology]],MATCH(INDEX(TechCodes[[Technology]:[Parent]],MATCH(TechCodes[[#This Row],[L2N]],TechCodes[Technology],0),4),TechCodes[IRENA code],0),2),TechCodes[[#This Row],[L2N]])</f>
        <v>TOTAL</v>
      </c>
      <c r="R29" s="41" t="str">
        <f>IFERROR(INDEX(TechCodes[[IRENA code]:[Technology]],MATCH(INDEX(TechCodes[[Technology]:[Parent]],MATCH(TechCodes[[#This Row],[L3N]],TechCodes[Technology],0),4),TechCodes[IRENA code],0),2),TechCodes[[#This Row],[L3N]])</f>
        <v>TOTAL</v>
      </c>
      <c r="S29" s="41" t="str">
        <f>IFERROR(INDEX(TechCodes[[IRENA code]:[Technology]],MATCH(INDEX(TechCodes[[Technology]:[Parent]],MATCH(TechCodes[[#This Row],[L4N]],TechCodes[Technology],0),4),TechCodes[IRENA code],0),2),TechCodes[[#This Row],[L4N]])</f>
        <v>TOTAL</v>
      </c>
      <c r="T29" s="41" t="str">
        <f>IFERROR(INDEX(TechCodes[[IRENA code]:[Technology]],MATCH(INDEX(TechCodes[[Technology]:[Parent]],MATCH(TechCodes[[#This Row],[L5N]],TechCodes[Technology],0),4),TechCodes[IRENA code],0),2),TechCodes[[#This Row],[L5N]])</f>
        <v>TOTAL</v>
      </c>
      <c r="U2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2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2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Wind energy</v>
      </c>
      <c r="X2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Wind energy n.e.s.</v>
      </c>
      <c r="Y2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Wind energy n.e.s.</v>
      </c>
      <c r="Z2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Wind energy n.e.s.</v>
      </c>
      <c r="AA29" s="43" t="str">
        <f>IFERROR(VLOOKUP(TechCodes[[#This Row],[IRENA code]],SIEC[[IRENA]:[SIEC]],2,0),"")</f>
        <v/>
      </c>
      <c r="AC29" s="3"/>
      <c r="AD29" s="9"/>
      <c r="AE29" s="9"/>
      <c r="AF29" s="9"/>
      <c r="AG29" s="9"/>
      <c r="AI29" s="9" t="s">
        <v>290</v>
      </c>
      <c r="AJ29" t="s">
        <v>291</v>
      </c>
      <c r="AK29" s="9"/>
      <c r="AO29" t="s">
        <v>69</v>
      </c>
      <c r="AP29" t="s">
        <v>88</v>
      </c>
      <c r="AQ29" t="s">
        <v>261</v>
      </c>
      <c r="AR29" t="str">
        <f>RIGHT(Table8[[#This Row],[Column1]],LEN(Table8[[#This Row],[Column1]])-5)</f>
        <v>Raising of swine/pigs</v>
      </c>
      <c r="AS29" t="str">
        <f>LEFT(Table8[[#This Row],[Column1]],4)</f>
        <v>0145</v>
      </c>
      <c r="AT29" s="9" t="s">
        <v>262</v>
      </c>
      <c r="AU29" t="s">
        <v>83</v>
      </c>
      <c r="AV29" t="s">
        <v>292</v>
      </c>
      <c r="BK29" t="s">
        <v>178</v>
      </c>
      <c r="BL29" t="s">
        <v>74</v>
      </c>
      <c r="BM29" t="s">
        <v>75</v>
      </c>
      <c r="BN29" t="s">
        <v>264</v>
      </c>
      <c r="BO29" s="19"/>
      <c r="BP29" s="56" t="s">
        <v>293</v>
      </c>
      <c r="BQ29" s="56" t="s">
        <v>293</v>
      </c>
      <c r="BS29" t="s">
        <v>78</v>
      </c>
      <c r="BT29" t="s">
        <v>92</v>
      </c>
    </row>
    <row r="30" spans="3:72" ht="15.75" x14ac:dyDescent="0.5">
      <c r="C30" s="34">
        <v>24000</v>
      </c>
      <c r="D30" s="34" t="s">
        <v>294</v>
      </c>
      <c r="E30" s="34" t="s">
        <v>295</v>
      </c>
      <c r="F30" s="34" t="s">
        <v>296</v>
      </c>
      <c r="G30" s="38">
        <v>20000</v>
      </c>
      <c r="H30" t="s">
        <v>65</v>
      </c>
      <c r="I30" t="s">
        <v>242</v>
      </c>
      <c r="J30" t="s">
        <v>66</v>
      </c>
      <c r="K30" t="s">
        <v>21</v>
      </c>
      <c r="M30">
        <v>33</v>
      </c>
      <c r="N30" t="s">
        <v>1194</v>
      </c>
      <c r="O30" s="41" t="str">
        <f>IFERROR(INDEX(TechCodes[[IRENA code]:[Technology]],MATCH(TechCodes[[#This Row],[Parent]],TechCodes[IRENA code],0),2),TechCodes[[#This Row],[Technology]])</f>
        <v>Total Renewable</v>
      </c>
      <c r="P30" s="41" t="str">
        <f>IFERROR(INDEX(TechCodes[[IRENA code]:[Technology]],MATCH(INDEX(TechCodes[[Technology]:[Parent]],MATCH(TechCodes[[#This Row],[L1N]],TechCodes[Technology],0),4),TechCodes[IRENA code],0),2),TechCodes[[#This Row],[L1N]])</f>
        <v>TOTAL</v>
      </c>
      <c r="Q30" s="41" t="str">
        <f>IFERROR(INDEX(TechCodes[[IRENA code]:[Technology]],MATCH(INDEX(TechCodes[[Technology]:[Parent]],MATCH(TechCodes[[#This Row],[L2N]],TechCodes[Technology],0),4),TechCodes[IRENA code],0),2),TechCodes[[#This Row],[L2N]])</f>
        <v>TOTAL</v>
      </c>
      <c r="R30" s="41" t="str">
        <f>IFERROR(INDEX(TechCodes[[IRENA code]:[Technology]],MATCH(INDEX(TechCodes[[Technology]:[Parent]],MATCH(TechCodes[[#This Row],[L3N]],TechCodes[Technology],0),4),TechCodes[IRENA code],0),2),TechCodes[[#This Row],[L3N]])</f>
        <v>TOTAL</v>
      </c>
      <c r="S30" s="41" t="str">
        <f>IFERROR(INDEX(TechCodes[[IRENA code]:[Technology]],MATCH(INDEX(TechCodes[[Technology]:[Parent]],MATCH(TechCodes[[#This Row],[L4N]],TechCodes[Technology],0),4),TechCodes[IRENA code],0),2),TechCodes[[#This Row],[L4N]])</f>
        <v>TOTAL</v>
      </c>
      <c r="T30" s="41" t="str">
        <f>IFERROR(INDEX(TechCodes[[IRENA code]:[Technology]],MATCH(INDEX(TechCodes[[Technology]:[Parent]],MATCH(TechCodes[[#This Row],[L5N]],TechCodes[Technology],0),4),TechCodes[IRENA code],0),2),TechCodes[[#This Row],[L5N]])</f>
        <v>TOTAL</v>
      </c>
      <c r="U3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energy</v>
      </c>
      <c r="Y3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Solar energy</v>
      </c>
      <c r="Z3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energy</v>
      </c>
      <c r="AA30" s="43" t="str">
        <f>IFERROR(VLOOKUP(TechCodes[[#This Row],[IRENA code]],SIEC[[IRENA]:[SIEC]],2,0),"")</f>
        <v/>
      </c>
      <c r="AC30" s="3"/>
      <c r="AD30" s="9"/>
      <c r="AE30" s="9"/>
      <c r="AF30" s="9"/>
      <c r="AG30" s="9"/>
      <c r="AI30" s="9" t="s">
        <v>297</v>
      </c>
      <c r="AJ30" s="44" t="s">
        <v>298</v>
      </c>
      <c r="AK30" s="9" t="s">
        <v>290</v>
      </c>
      <c r="AO30" t="s">
        <v>69</v>
      </c>
      <c r="AP30" t="s">
        <v>88</v>
      </c>
      <c r="AQ30" t="s">
        <v>261</v>
      </c>
      <c r="AR30" t="str">
        <f>RIGHT(Table8[[#This Row],[Column1]],LEN(Table8[[#This Row],[Column1]])-5)</f>
        <v>Raising of poultry</v>
      </c>
      <c r="AS30" t="str">
        <f>LEFT(Table8[[#This Row],[Column1]],4)</f>
        <v>0146</v>
      </c>
      <c r="AT30" s="9" t="s">
        <v>262</v>
      </c>
      <c r="AU30" t="s">
        <v>83</v>
      </c>
      <c r="AV30" t="s">
        <v>299</v>
      </c>
      <c r="BK30" t="s">
        <v>178</v>
      </c>
      <c r="BL30" t="s">
        <v>74</v>
      </c>
      <c r="BM30" t="s">
        <v>75</v>
      </c>
      <c r="BN30" t="s">
        <v>264</v>
      </c>
      <c r="BO30" s="19"/>
      <c r="BP30" s="56" t="s">
        <v>300</v>
      </c>
      <c r="BQ30" s="56" t="s">
        <v>300</v>
      </c>
      <c r="BS30" t="s">
        <v>78</v>
      </c>
      <c r="BT30" t="s">
        <v>92</v>
      </c>
    </row>
    <row r="31" spans="3:72" x14ac:dyDescent="0.45">
      <c r="C31" s="32">
        <v>24100</v>
      </c>
      <c r="D31" s="32" t="s">
        <v>301</v>
      </c>
      <c r="E31" s="32" t="s">
        <v>302</v>
      </c>
      <c r="F31" s="32" t="s">
        <v>303</v>
      </c>
      <c r="G31" s="37">
        <v>24000</v>
      </c>
      <c r="H31" t="s">
        <v>65</v>
      </c>
      <c r="I31" t="s">
        <v>66</v>
      </c>
      <c r="J31" t="s">
        <v>66</v>
      </c>
      <c r="K31" t="s">
        <v>21</v>
      </c>
      <c r="M31">
        <v>33</v>
      </c>
      <c r="N31" t="s">
        <v>1194</v>
      </c>
      <c r="O31" s="41" t="str">
        <f>IFERROR(INDEX(TechCodes[[IRENA code]:[Technology]],MATCH(TechCodes[[#This Row],[Parent]],TechCodes[IRENA code],0),2),TechCodes[[#This Row],[Technology]])</f>
        <v>Solar energy</v>
      </c>
      <c r="P31" s="41" t="str">
        <f>IFERROR(INDEX(TechCodes[[IRENA code]:[Technology]],MATCH(INDEX(TechCodes[[Technology]:[Parent]],MATCH(TechCodes[[#This Row],[L1N]],TechCodes[Technology],0),4),TechCodes[IRENA code],0),2),TechCodes[[#This Row],[L1N]])</f>
        <v>Total Renewable</v>
      </c>
      <c r="Q31" s="41" t="str">
        <f>IFERROR(INDEX(TechCodes[[IRENA code]:[Technology]],MATCH(INDEX(TechCodes[[Technology]:[Parent]],MATCH(TechCodes[[#This Row],[L2N]],TechCodes[Technology],0),4),TechCodes[IRENA code],0),2),TechCodes[[#This Row],[L2N]])</f>
        <v>TOTAL</v>
      </c>
      <c r="R31" s="41" t="str">
        <f>IFERROR(INDEX(TechCodes[[IRENA code]:[Technology]],MATCH(INDEX(TechCodes[[Technology]:[Parent]],MATCH(TechCodes[[#This Row],[L3N]],TechCodes[Technology],0),4),TechCodes[IRENA code],0),2),TechCodes[[#This Row],[L3N]])</f>
        <v>TOTAL</v>
      </c>
      <c r="S31" s="41" t="str">
        <f>IFERROR(INDEX(TechCodes[[IRENA code]:[Technology]],MATCH(INDEX(TechCodes[[Technology]:[Parent]],MATCH(TechCodes[[#This Row],[L4N]],TechCodes[Technology],0),4),TechCodes[IRENA code],0),2),TechCodes[[#This Row],[L4N]])</f>
        <v>TOTAL</v>
      </c>
      <c r="T31" s="41" t="str">
        <f>IFERROR(INDEX(TechCodes[[IRENA code]:[Technology]],MATCH(INDEX(TechCodes[[Technology]:[Parent]],MATCH(TechCodes[[#This Row],[L5N]],TechCodes[Technology],0),4),TechCodes[IRENA code],0),2),TechCodes[[#This Row],[L5N]])</f>
        <v>TOTAL</v>
      </c>
      <c r="U3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Solar photovoltaic</v>
      </c>
      <c r="Z3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photovoltaic</v>
      </c>
      <c r="AA31" s="43" t="str">
        <f>IFERROR(VLOOKUP(TechCodes[[#This Row],[IRENA code]],SIEC[[IRENA]:[SIEC]],2,0),"")</f>
        <v/>
      </c>
      <c r="AC31" s="3"/>
      <c r="AD31" s="9"/>
      <c r="AE31" s="9"/>
      <c r="AF31" s="9"/>
      <c r="AG31" s="9"/>
      <c r="AI31" s="9" t="s">
        <v>304</v>
      </c>
      <c r="AJ31" s="45" t="s">
        <v>305</v>
      </c>
      <c r="AK31" s="9" t="s">
        <v>297</v>
      </c>
      <c r="AO31" t="s">
        <v>69</v>
      </c>
      <c r="AP31" t="s">
        <v>88</v>
      </c>
      <c r="AQ31" t="s">
        <v>261</v>
      </c>
      <c r="AR31" t="str">
        <f>RIGHT(Table8[[#This Row],[Column1]],LEN(Table8[[#This Row],[Column1]])-5)</f>
        <v>Raising of other animals</v>
      </c>
      <c r="AS31" t="str">
        <f>LEFT(Table8[[#This Row],[Column1]],4)</f>
        <v>0149</v>
      </c>
      <c r="AT31" s="9" t="s">
        <v>262</v>
      </c>
      <c r="AU31" t="s">
        <v>83</v>
      </c>
      <c r="AV31" t="s">
        <v>306</v>
      </c>
      <c r="BK31" t="s">
        <v>178</v>
      </c>
      <c r="BL31" t="s">
        <v>74</v>
      </c>
      <c r="BM31" t="s">
        <v>75</v>
      </c>
      <c r="BN31" t="s">
        <v>264</v>
      </c>
      <c r="BO31" s="19"/>
      <c r="BP31" s="56" t="s">
        <v>307</v>
      </c>
      <c r="BQ31" s="56" t="s">
        <v>307</v>
      </c>
      <c r="BS31" t="s">
        <v>78</v>
      </c>
      <c r="BT31" t="s">
        <v>92</v>
      </c>
    </row>
    <row r="32" spans="3:72" x14ac:dyDescent="0.45">
      <c r="C32" s="35">
        <v>24110</v>
      </c>
      <c r="D32" s="35" t="s">
        <v>308</v>
      </c>
      <c r="E32" s="35" t="s">
        <v>309</v>
      </c>
      <c r="F32" s="35" t="s">
        <v>310</v>
      </c>
      <c r="G32" s="28">
        <v>24100</v>
      </c>
      <c r="H32" t="s">
        <v>83</v>
      </c>
      <c r="I32" t="s">
        <v>242</v>
      </c>
      <c r="J32" t="s">
        <v>242</v>
      </c>
      <c r="K32" t="s">
        <v>21</v>
      </c>
      <c r="N32" t="s">
        <v>1194</v>
      </c>
      <c r="O32" s="41" t="str">
        <f>IFERROR(INDEX(TechCodes[[IRENA code]:[Technology]],MATCH(TechCodes[[#This Row],[Parent]],TechCodes[IRENA code],0),2),TechCodes[[#This Row],[Technology]])</f>
        <v>Solar photovoltaic</v>
      </c>
      <c r="P32" s="41" t="str">
        <f>IFERROR(INDEX(TechCodes[[IRENA code]:[Technology]],MATCH(INDEX(TechCodes[[Technology]:[Parent]],MATCH(TechCodes[[#This Row],[L1N]],TechCodes[Technology],0),4),TechCodes[IRENA code],0),2),TechCodes[[#This Row],[L1N]])</f>
        <v>Solar energy</v>
      </c>
      <c r="Q32" s="41" t="str">
        <f>IFERROR(INDEX(TechCodes[[IRENA code]:[Technology]],MATCH(INDEX(TechCodes[[Technology]:[Parent]],MATCH(TechCodes[[#This Row],[L2N]],TechCodes[Technology],0),4),TechCodes[IRENA code],0),2),TechCodes[[#This Row],[L2N]])</f>
        <v>Total Renewable</v>
      </c>
      <c r="R32" s="41" t="str">
        <f>IFERROR(INDEX(TechCodes[[IRENA code]:[Technology]],MATCH(INDEX(TechCodes[[Technology]:[Parent]],MATCH(TechCodes[[#This Row],[L3N]],TechCodes[Technology],0),4),TechCodes[IRENA code],0),2),TechCodes[[#This Row],[L3N]])</f>
        <v>TOTAL</v>
      </c>
      <c r="S32" s="41" t="str">
        <f>IFERROR(INDEX(TechCodes[[IRENA code]:[Technology]],MATCH(INDEX(TechCodes[[Technology]:[Parent]],MATCH(TechCodes[[#This Row],[L4N]],TechCodes[Technology],0),4),TechCodes[IRENA code],0),2),TechCodes[[#This Row],[L4N]])</f>
        <v>TOTAL</v>
      </c>
      <c r="T32" s="41" t="str">
        <f>IFERROR(INDEX(TechCodes[[IRENA code]:[Technology]],MATCH(INDEX(TechCodes[[Technology]:[Parent]],MATCH(TechCodes[[#This Row],[L5N]],TechCodes[Technology],0),4),TechCodes[IRENA code],0),2),TechCodes[[#This Row],[L5N]])</f>
        <v>TOTAL</v>
      </c>
      <c r="U3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On-grid Solar photovoltaic</v>
      </c>
      <c r="Z3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On-grid Solar photovoltaic</v>
      </c>
      <c r="AA32" s="43" t="str">
        <f>IFERROR(VLOOKUP(TechCodes[[#This Row],[IRENA code]],SIEC[[IRENA]:[SIEC]],2,0),"")</f>
        <v/>
      </c>
      <c r="AC32" s="3"/>
      <c r="AD32" s="9"/>
      <c r="AE32" s="9"/>
      <c r="AF32" s="9"/>
      <c r="AG32" s="9"/>
      <c r="AI32" s="9" t="s">
        <v>311</v>
      </c>
      <c r="AJ32" s="45" t="s">
        <v>312</v>
      </c>
      <c r="AK32" s="9" t="s">
        <v>297</v>
      </c>
      <c r="AO32" t="s">
        <v>69</v>
      </c>
      <c r="AP32" t="s">
        <v>88</v>
      </c>
      <c r="AQ32" t="s">
        <v>313</v>
      </c>
      <c r="AR32" t="s">
        <v>313</v>
      </c>
      <c r="AS32" s="9" t="s">
        <v>314</v>
      </c>
      <c r="AT32" s="9" t="s">
        <v>86</v>
      </c>
      <c r="AU32" t="s">
        <v>83</v>
      </c>
      <c r="BJ32">
        <v>400</v>
      </c>
      <c r="BK32" t="s">
        <v>178</v>
      </c>
      <c r="BL32" t="s">
        <v>74</v>
      </c>
      <c r="BM32" t="s">
        <v>74</v>
      </c>
      <c r="BN32" t="s">
        <v>74</v>
      </c>
      <c r="BO32" s="19"/>
      <c r="BP32" s="56" t="s">
        <v>315</v>
      </c>
      <c r="BQ32" s="56" t="s">
        <v>315</v>
      </c>
      <c r="BS32" t="s">
        <v>78</v>
      </c>
      <c r="BT32" t="s">
        <v>92</v>
      </c>
    </row>
    <row r="33" spans="3:72" x14ac:dyDescent="0.45">
      <c r="C33" s="36">
        <v>24111</v>
      </c>
      <c r="D33" s="36" t="s">
        <v>316</v>
      </c>
      <c r="E33" s="36" t="s">
        <v>317</v>
      </c>
      <c r="F33" s="36" t="s">
        <v>318</v>
      </c>
      <c r="G33" s="29">
        <v>24110</v>
      </c>
      <c r="H33" t="s">
        <v>106</v>
      </c>
      <c r="I33" t="s">
        <v>66</v>
      </c>
      <c r="J33" t="s">
        <v>66</v>
      </c>
      <c r="K33" t="s">
        <v>107</v>
      </c>
      <c r="N33" t="s">
        <v>1194</v>
      </c>
      <c r="O33" s="41" t="str">
        <f>IFERROR(INDEX(TechCodes[[IRENA code]:[Technology]],MATCH(TechCodes[[#This Row],[Parent]],TechCodes[IRENA code],0),2),TechCodes[[#This Row],[Technology]])</f>
        <v>On-grid Solar photovoltaic</v>
      </c>
      <c r="P33" s="41" t="str">
        <f>IFERROR(INDEX(TechCodes[[IRENA code]:[Technology]],MATCH(INDEX(TechCodes[[Technology]:[Parent]],MATCH(TechCodes[[#This Row],[L1N]],TechCodes[Technology],0),4),TechCodes[IRENA code],0),2),TechCodes[[#This Row],[L1N]])</f>
        <v>Solar photovoltaic</v>
      </c>
      <c r="Q33" s="41" t="str">
        <f>IFERROR(INDEX(TechCodes[[IRENA code]:[Technology]],MATCH(INDEX(TechCodes[[Technology]:[Parent]],MATCH(TechCodes[[#This Row],[L2N]],TechCodes[Technology],0),4),TechCodes[IRENA code],0),2),TechCodes[[#This Row],[L2N]])</f>
        <v>Solar energy</v>
      </c>
      <c r="R33" s="41" t="str">
        <f>IFERROR(INDEX(TechCodes[[IRENA code]:[Technology]],MATCH(INDEX(TechCodes[[Technology]:[Parent]],MATCH(TechCodes[[#This Row],[L3N]],TechCodes[Technology],0),4),TechCodes[IRENA code],0),2),TechCodes[[#This Row],[L3N]])</f>
        <v>Total Renewable</v>
      </c>
      <c r="S33" s="41" t="str">
        <f>IFERROR(INDEX(TechCodes[[IRENA code]:[Technology]],MATCH(INDEX(TechCodes[[Technology]:[Parent]],MATCH(TechCodes[[#This Row],[L4N]],TechCodes[Technology],0),4),TechCodes[IRENA code],0),2),TechCodes[[#This Row],[L4N]])</f>
        <v>TOTAL</v>
      </c>
      <c r="T33" s="41" t="str">
        <f>IFERROR(INDEX(TechCodes[[IRENA code]:[Technology]],MATCH(INDEX(TechCodes[[Technology]:[Parent]],MATCH(TechCodes[[#This Row],[L5N]],TechCodes[Technology],0),4),TechCodes[IRENA code],0),2),TechCodes[[#This Row],[L5N]])</f>
        <v>TOTAL</v>
      </c>
      <c r="U3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On-grid Solar photovoltaic</v>
      </c>
      <c r="Z3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Photovoltaic Panels (&lt;20kW)</v>
      </c>
      <c r="AA33" s="43" t="str">
        <f>IFERROR(VLOOKUP(TechCodes[[#This Row],[IRENA code]],SIEC[[IRENA]:[SIEC]],2,0),"")</f>
        <v/>
      </c>
      <c r="AC33" s="3"/>
      <c r="AD33" s="9"/>
      <c r="AE33" s="9"/>
      <c r="AF33" s="9"/>
      <c r="AG33" s="9"/>
      <c r="AI33" s="9" t="s">
        <v>319</v>
      </c>
      <c r="AJ33" s="44" t="s">
        <v>320</v>
      </c>
      <c r="AK33" s="9" t="s">
        <v>290</v>
      </c>
      <c r="AO33" t="s">
        <v>69</v>
      </c>
      <c r="AP33" t="s">
        <v>88</v>
      </c>
      <c r="AQ33" t="s">
        <v>261</v>
      </c>
      <c r="AR33" t="s">
        <v>261</v>
      </c>
      <c r="AS33" s="9" t="s">
        <v>262</v>
      </c>
      <c r="AT33" s="9" t="s">
        <v>86</v>
      </c>
      <c r="BJ33">
        <v>116</v>
      </c>
      <c r="BK33" t="s">
        <v>178</v>
      </c>
      <c r="BL33" t="s">
        <v>321</v>
      </c>
      <c r="BM33" t="s">
        <v>322</v>
      </c>
      <c r="BN33" t="s">
        <v>134</v>
      </c>
      <c r="BO33" s="19"/>
      <c r="BP33" s="56" t="s">
        <v>323</v>
      </c>
      <c r="BQ33" s="56" t="s">
        <v>323</v>
      </c>
      <c r="BS33" t="s">
        <v>78</v>
      </c>
      <c r="BT33" t="s">
        <v>92</v>
      </c>
    </row>
    <row r="34" spans="3:72" x14ac:dyDescent="0.45">
      <c r="C34" s="36">
        <v>24112</v>
      </c>
      <c r="D34" s="36" t="s">
        <v>324</v>
      </c>
      <c r="E34" s="36" t="s">
        <v>325</v>
      </c>
      <c r="F34" s="36" t="s">
        <v>326</v>
      </c>
      <c r="G34" s="29">
        <v>24110</v>
      </c>
      <c r="H34" t="s">
        <v>106</v>
      </c>
      <c r="I34" t="s">
        <v>66</v>
      </c>
      <c r="J34" t="s">
        <v>66</v>
      </c>
      <c r="K34" t="s">
        <v>107</v>
      </c>
      <c r="N34" t="s">
        <v>1194</v>
      </c>
      <c r="O34" s="41" t="str">
        <f>IFERROR(INDEX(TechCodes[[IRENA code]:[Technology]],MATCH(TechCodes[[#This Row],[Parent]],TechCodes[IRENA code],0),2),TechCodes[[#This Row],[Technology]])</f>
        <v>On-grid Solar photovoltaic</v>
      </c>
      <c r="P34" s="41" t="str">
        <f>IFERROR(INDEX(TechCodes[[IRENA code]:[Technology]],MATCH(INDEX(TechCodes[[Technology]:[Parent]],MATCH(TechCodes[[#This Row],[L1N]],TechCodes[Technology],0),4),TechCodes[IRENA code],0),2),TechCodes[[#This Row],[L1N]])</f>
        <v>Solar photovoltaic</v>
      </c>
      <c r="Q34" s="41" t="str">
        <f>IFERROR(INDEX(TechCodes[[IRENA code]:[Technology]],MATCH(INDEX(TechCodes[[Technology]:[Parent]],MATCH(TechCodes[[#This Row],[L2N]],TechCodes[Technology],0),4),TechCodes[IRENA code],0),2),TechCodes[[#This Row],[L2N]])</f>
        <v>Solar energy</v>
      </c>
      <c r="R34" s="41" t="str">
        <f>IFERROR(INDEX(TechCodes[[IRENA code]:[Technology]],MATCH(INDEX(TechCodes[[Technology]:[Parent]],MATCH(TechCodes[[#This Row],[L3N]],TechCodes[Technology],0),4),TechCodes[IRENA code],0),2),TechCodes[[#This Row],[L3N]])</f>
        <v>Total Renewable</v>
      </c>
      <c r="S34" s="41" t="str">
        <f>IFERROR(INDEX(TechCodes[[IRENA code]:[Technology]],MATCH(INDEX(TechCodes[[Technology]:[Parent]],MATCH(TechCodes[[#This Row],[L4N]],TechCodes[Technology],0),4),TechCodes[IRENA code],0),2),TechCodes[[#This Row],[L4N]])</f>
        <v>TOTAL</v>
      </c>
      <c r="T34" s="41" t="str">
        <f>IFERROR(INDEX(TechCodes[[IRENA code]:[Technology]],MATCH(INDEX(TechCodes[[Technology]:[Parent]],MATCH(TechCodes[[#This Row],[L5N]],TechCodes[Technology],0),4),TechCodes[IRENA code],0),2),TechCodes[[#This Row],[L5N]])</f>
        <v>TOTAL</v>
      </c>
      <c r="U3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On-grid Solar photovoltaic</v>
      </c>
      <c r="Z3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Photovoltaic Panels (20-1000kW)</v>
      </c>
      <c r="AA34" s="43" t="str">
        <f>IFERROR(VLOOKUP(TechCodes[[#This Row],[IRENA code]],SIEC[[IRENA]:[SIEC]],2,0),"")</f>
        <v/>
      </c>
      <c r="AD34" s="9"/>
      <c r="AE34" s="9"/>
      <c r="AF34" s="9"/>
      <c r="AG34" s="9"/>
      <c r="AI34" s="9" t="s">
        <v>327</v>
      </c>
      <c r="AJ34" s="45" t="s">
        <v>328</v>
      </c>
      <c r="AK34" s="9" t="s">
        <v>319</v>
      </c>
      <c r="AO34" t="s">
        <v>69</v>
      </c>
      <c r="AP34" t="s">
        <v>88</v>
      </c>
      <c r="AQ34" t="s">
        <v>329</v>
      </c>
      <c r="AR34" t="s">
        <v>329</v>
      </c>
      <c r="AS34" s="9" t="s">
        <v>330</v>
      </c>
      <c r="AT34" s="9" t="s">
        <v>86</v>
      </c>
      <c r="BJ34">
        <v>117</v>
      </c>
      <c r="BK34" t="s">
        <v>178</v>
      </c>
      <c r="BL34" t="s">
        <v>321</v>
      </c>
      <c r="BM34" t="s">
        <v>322</v>
      </c>
      <c r="BN34" t="s">
        <v>134</v>
      </c>
      <c r="BO34" s="19"/>
      <c r="BP34" s="56" t="s">
        <v>331</v>
      </c>
      <c r="BQ34" s="56" t="s">
        <v>331</v>
      </c>
      <c r="BS34" t="s">
        <v>78</v>
      </c>
      <c r="BT34" t="s">
        <v>92</v>
      </c>
    </row>
    <row r="35" spans="3:72" x14ac:dyDescent="0.45">
      <c r="C35" s="36">
        <v>24113</v>
      </c>
      <c r="D35" s="36" t="s">
        <v>332</v>
      </c>
      <c r="E35" s="36" t="s">
        <v>333</v>
      </c>
      <c r="F35" s="36" t="s">
        <v>334</v>
      </c>
      <c r="G35" s="29">
        <v>24110</v>
      </c>
      <c r="H35" t="s">
        <v>106</v>
      </c>
      <c r="I35" t="s">
        <v>66</v>
      </c>
      <c r="J35" t="s">
        <v>66</v>
      </c>
      <c r="K35" t="s">
        <v>107</v>
      </c>
      <c r="N35" t="s">
        <v>1194</v>
      </c>
      <c r="O35" s="41" t="str">
        <f>IFERROR(INDEX(TechCodes[[IRENA code]:[Technology]],MATCH(TechCodes[[#This Row],[Parent]],TechCodes[IRENA code],0),2),TechCodes[[#This Row],[Technology]])</f>
        <v>On-grid Solar photovoltaic</v>
      </c>
      <c r="P35" s="41" t="str">
        <f>IFERROR(INDEX(TechCodes[[IRENA code]:[Technology]],MATCH(INDEX(TechCodes[[Technology]:[Parent]],MATCH(TechCodes[[#This Row],[L1N]],TechCodes[Technology],0),4),TechCodes[IRENA code],0),2),TechCodes[[#This Row],[L1N]])</f>
        <v>Solar photovoltaic</v>
      </c>
      <c r="Q35" s="41" t="str">
        <f>IFERROR(INDEX(TechCodes[[IRENA code]:[Technology]],MATCH(INDEX(TechCodes[[Technology]:[Parent]],MATCH(TechCodes[[#This Row],[L2N]],TechCodes[Technology],0),4),TechCodes[IRENA code],0),2),TechCodes[[#This Row],[L2N]])</f>
        <v>Solar energy</v>
      </c>
      <c r="R35" s="41" t="str">
        <f>IFERROR(INDEX(TechCodes[[IRENA code]:[Technology]],MATCH(INDEX(TechCodes[[Technology]:[Parent]],MATCH(TechCodes[[#This Row],[L3N]],TechCodes[Technology],0),4),TechCodes[IRENA code],0),2),TechCodes[[#This Row],[L3N]])</f>
        <v>Total Renewable</v>
      </c>
      <c r="S35" s="41" t="str">
        <f>IFERROR(INDEX(TechCodes[[IRENA code]:[Technology]],MATCH(INDEX(TechCodes[[Technology]:[Parent]],MATCH(TechCodes[[#This Row],[L4N]],TechCodes[Technology],0),4),TechCodes[IRENA code],0),2),TechCodes[[#This Row],[L4N]])</f>
        <v>TOTAL</v>
      </c>
      <c r="T35" s="41" t="str">
        <f>IFERROR(INDEX(TechCodes[[IRENA code]:[Technology]],MATCH(INDEX(TechCodes[[Technology]:[Parent]],MATCH(TechCodes[[#This Row],[L5N]],TechCodes[Technology],0),4),TechCodes[IRENA code],0),2),TechCodes[[#This Row],[L5N]])</f>
        <v>TOTAL</v>
      </c>
      <c r="U3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On-grid Solar photovoltaic</v>
      </c>
      <c r="Z3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Photovoltaic Panels (&gt;1MW)</v>
      </c>
      <c r="AA35" s="43" t="str">
        <f>IFERROR(VLOOKUP(TechCodes[[#This Row],[IRENA code]],SIEC[[IRENA]:[SIEC]],2,0),"")</f>
        <v/>
      </c>
      <c r="AD35" s="9"/>
      <c r="AE35" s="9"/>
      <c r="AF35" s="9"/>
      <c r="AG35" s="9"/>
      <c r="AI35" s="9" t="s">
        <v>335</v>
      </c>
      <c r="AJ35" s="45" t="s">
        <v>336</v>
      </c>
      <c r="AK35" s="9" t="s">
        <v>319</v>
      </c>
      <c r="AO35" t="s">
        <v>69</v>
      </c>
      <c r="AP35" t="s">
        <v>88</v>
      </c>
      <c r="AQ35" t="s">
        <v>329</v>
      </c>
      <c r="AR35" t="str">
        <f>RIGHT(Table8[[#This Row],[Column1]],LEN(Table8[[#This Row],[Column1]])-5)</f>
        <v>Support activities for crop production</v>
      </c>
      <c r="AS35" t="str">
        <f>LEFT(Table8[[#This Row],[Column1]],4)</f>
        <v>0161</v>
      </c>
      <c r="AT35" s="9" t="s">
        <v>330</v>
      </c>
      <c r="AU35" t="s">
        <v>83</v>
      </c>
      <c r="AV35" t="s">
        <v>337</v>
      </c>
      <c r="BK35" t="s">
        <v>178</v>
      </c>
      <c r="BL35" t="s">
        <v>321</v>
      </c>
      <c r="BM35" t="s">
        <v>322</v>
      </c>
      <c r="BN35" t="s">
        <v>77</v>
      </c>
      <c r="BO35" s="19"/>
      <c r="BP35" s="56" t="s">
        <v>338</v>
      </c>
      <c r="BQ35" s="56" t="s">
        <v>338</v>
      </c>
      <c r="BS35" t="s">
        <v>78</v>
      </c>
      <c r="BT35" t="s">
        <v>92</v>
      </c>
    </row>
    <row r="36" spans="3:72" x14ac:dyDescent="0.45">
      <c r="C36" s="35">
        <v>24120</v>
      </c>
      <c r="D36" s="35" t="s">
        <v>339</v>
      </c>
      <c r="E36" s="35" t="s">
        <v>340</v>
      </c>
      <c r="F36" s="35" t="s">
        <v>341</v>
      </c>
      <c r="G36" s="28">
        <v>24100</v>
      </c>
      <c r="H36" t="s">
        <v>83</v>
      </c>
      <c r="I36" t="s">
        <v>242</v>
      </c>
      <c r="J36" t="s">
        <v>242</v>
      </c>
      <c r="K36" t="s">
        <v>21</v>
      </c>
      <c r="N36" t="s">
        <v>1194</v>
      </c>
      <c r="O36" s="41" t="str">
        <f>IFERROR(INDEX(TechCodes[[IRENA code]:[Technology]],MATCH(TechCodes[[#This Row],[Parent]],TechCodes[IRENA code],0),2),TechCodes[[#This Row],[Technology]])</f>
        <v>Solar photovoltaic</v>
      </c>
      <c r="P36" s="41" t="str">
        <f>IFERROR(INDEX(TechCodes[[IRENA code]:[Technology]],MATCH(INDEX(TechCodes[[Technology]:[Parent]],MATCH(TechCodes[[#This Row],[L1N]],TechCodes[Technology],0),4),TechCodes[IRENA code],0),2),TechCodes[[#This Row],[L1N]])</f>
        <v>Solar energy</v>
      </c>
      <c r="Q36" s="41" t="str">
        <f>IFERROR(INDEX(TechCodes[[IRENA code]:[Technology]],MATCH(INDEX(TechCodes[[Technology]:[Parent]],MATCH(TechCodes[[#This Row],[L2N]],TechCodes[Technology],0),4),TechCodes[IRENA code],0),2),TechCodes[[#This Row],[L2N]])</f>
        <v>Total Renewable</v>
      </c>
      <c r="R36" s="41" t="str">
        <f>IFERROR(INDEX(TechCodes[[IRENA code]:[Technology]],MATCH(INDEX(TechCodes[[Technology]:[Parent]],MATCH(TechCodes[[#This Row],[L3N]],TechCodes[Technology],0),4),TechCodes[IRENA code],0),2),TechCodes[[#This Row],[L3N]])</f>
        <v>TOTAL</v>
      </c>
      <c r="S36" s="41" t="str">
        <f>IFERROR(INDEX(TechCodes[[IRENA code]:[Technology]],MATCH(INDEX(TechCodes[[Technology]:[Parent]],MATCH(TechCodes[[#This Row],[L4N]],TechCodes[Technology],0),4),TechCodes[IRENA code],0),2),TechCodes[[#This Row],[L4N]])</f>
        <v>TOTAL</v>
      </c>
      <c r="T36" s="41" t="str">
        <f>IFERROR(INDEX(TechCodes[[IRENA code]:[Technology]],MATCH(INDEX(TechCodes[[Technology]:[Parent]],MATCH(TechCodes[[#This Row],[L5N]],TechCodes[Technology],0),4),TechCodes[IRENA code],0),2),TechCodes[[#This Row],[L5N]])</f>
        <v>TOTAL</v>
      </c>
      <c r="U3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3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Off-grid Solar photovoltaic</v>
      </c>
      <c r="AA36" s="43" t="str">
        <f>IFERROR(VLOOKUP(TechCodes[[#This Row],[IRENA code]],SIEC[[IRENA]:[SIEC]],2,0),"")</f>
        <v/>
      </c>
      <c r="AD36" s="9"/>
      <c r="AE36" s="9"/>
      <c r="AF36" s="9"/>
      <c r="AG36" s="9"/>
      <c r="AI36" s="9" t="s">
        <v>342</v>
      </c>
      <c r="AJ36" t="s">
        <v>343</v>
      </c>
      <c r="AK36" s="9"/>
      <c r="AO36" t="s">
        <v>69</v>
      </c>
      <c r="AP36" t="s">
        <v>88</v>
      </c>
      <c r="AQ36" t="s">
        <v>329</v>
      </c>
      <c r="AR36" t="str">
        <f>RIGHT(Table8[[#This Row],[Column1]],LEN(Table8[[#This Row],[Column1]])-5)</f>
        <v>Support activities for animal production</v>
      </c>
      <c r="AS36" t="str">
        <f>LEFT(Table8[[#This Row],[Column1]],4)</f>
        <v>0162</v>
      </c>
      <c r="AT36" s="9" t="s">
        <v>330</v>
      </c>
      <c r="AU36" t="s">
        <v>83</v>
      </c>
      <c r="AV36" t="s">
        <v>344</v>
      </c>
      <c r="BK36" t="s">
        <v>178</v>
      </c>
      <c r="BL36" t="s">
        <v>321</v>
      </c>
      <c r="BM36" t="s">
        <v>322</v>
      </c>
      <c r="BN36" t="s">
        <v>77</v>
      </c>
      <c r="BO36" s="19"/>
      <c r="BP36" s="56" t="s">
        <v>345</v>
      </c>
      <c r="BQ36" s="56" t="s">
        <v>345</v>
      </c>
      <c r="BS36" t="s">
        <v>78</v>
      </c>
      <c r="BT36" t="s">
        <v>92</v>
      </c>
    </row>
    <row r="37" spans="3:72" x14ac:dyDescent="0.45">
      <c r="C37" s="36">
        <v>24121</v>
      </c>
      <c r="D37" s="36" t="s">
        <v>346</v>
      </c>
      <c r="E37" s="36" t="s">
        <v>347</v>
      </c>
      <c r="F37" s="36" t="s">
        <v>348</v>
      </c>
      <c r="G37" s="29">
        <v>24120</v>
      </c>
      <c r="H37" t="s">
        <v>106</v>
      </c>
      <c r="I37" t="s">
        <v>66</v>
      </c>
      <c r="J37" t="s">
        <v>66</v>
      </c>
      <c r="K37" t="s">
        <v>107</v>
      </c>
      <c r="N37" t="s">
        <v>1194</v>
      </c>
      <c r="O37" s="41" t="str">
        <f>IFERROR(INDEX(TechCodes[[IRENA code]:[Technology]],MATCH(TechCodes[[#This Row],[Parent]],TechCodes[IRENA code],0),2),TechCodes[[#This Row],[Technology]])</f>
        <v>Off-grid Solar photovoltaic</v>
      </c>
      <c r="P37" s="41" t="str">
        <f>IFERROR(INDEX(TechCodes[[IRENA code]:[Technology]],MATCH(INDEX(TechCodes[[Technology]:[Parent]],MATCH(TechCodes[[#This Row],[L1N]],TechCodes[Technology],0),4),TechCodes[IRENA code],0),2),TechCodes[[#This Row],[L1N]])</f>
        <v>Solar photovoltaic</v>
      </c>
      <c r="Q37" s="41" t="str">
        <f>IFERROR(INDEX(TechCodes[[IRENA code]:[Technology]],MATCH(INDEX(TechCodes[[Technology]:[Parent]],MATCH(TechCodes[[#This Row],[L2N]],TechCodes[Technology],0),4),TechCodes[IRENA code],0),2),TechCodes[[#This Row],[L2N]])</f>
        <v>Solar energy</v>
      </c>
      <c r="R37" s="41" t="str">
        <f>IFERROR(INDEX(TechCodes[[IRENA code]:[Technology]],MATCH(INDEX(TechCodes[[Technology]:[Parent]],MATCH(TechCodes[[#This Row],[L3N]],TechCodes[Technology],0),4),TechCodes[IRENA code],0),2),TechCodes[[#This Row],[L3N]])</f>
        <v>Total Renewable</v>
      </c>
      <c r="S37" s="41" t="str">
        <f>IFERROR(INDEX(TechCodes[[IRENA code]:[Technology]],MATCH(INDEX(TechCodes[[Technology]:[Parent]],MATCH(TechCodes[[#This Row],[L4N]],TechCodes[Technology],0),4),TechCodes[IRENA code],0),2),TechCodes[[#This Row],[L4N]])</f>
        <v>TOTAL</v>
      </c>
      <c r="T37" s="41" t="str">
        <f>IFERROR(INDEX(TechCodes[[IRENA code]:[Technology]],MATCH(INDEX(TechCodes[[Technology]:[Parent]],MATCH(TechCodes[[#This Row],[L5N]],TechCodes[Technology],0),4),TechCodes[IRENA code],0),2),TechCodes[[#This Row],[L5N]])</f>
        <v>TOTAL</v>
      </c>
      <c r="U3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3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lights (&lt;11W)</v>
      </c>
      <c r="AA37" s="43" t="str">
        <f>IFERROR(VLOOKUP(TechCodes[[#This Row],[IRENA code]],SIEC[[IRENA]:[SIEC]],2,0),"")</f>
        <v/>
      </c>
      <c r="AD37" s="9"/>
      <c r="AE37" s="9"/>
      <c r="AF37" s="9"/>
      <c r="AG37" s="9"/>
      <c r="AH37">
        <v>11300</v>
      </c>
      <c r="AI37" s="9" t="s">
        <v>349</v>
      </c>
      <c r="AJ37" t="s">
        <v>154</v>
      </c>
      <c r="AK37" s="9"/>
      <c r="AO37" t="s">
        <v>69</v>
      </c>
      <c r="AP37" t="s">
        <v>88</v>
      </c>
      <c r="AQ37" t="s">
        <v>329</v>
      </c>
      <c r="AR37" t="str">
        <f>RIGHT(Table8[[#This Row],[Column1]],LEN(Table8[[#This Row],[Column1]])-5)</f>
        <v>Post-harvest crop activities</v>
      </c>
      <c r="AS37" t="str">
        <f>LEFT(Table8[[#This Row],[Column1]],4)</f>
        <v>0163</v>
      </c>
      <c r="AT37" s="9" t="s">
        <v>330</v>
      </c>
      <c r="AU37" t="s">
        <v>83</v>
      </c>
      <c r="AV37" t="s">
        <v>350</v>
      </c>
      <c r="BJ37">
        <v>111</v>
      </c>
      <c r="BK37" t="s">
        <v>178</v>
      </c>
      <c r="BL37" t="s">
        <v>321</v>
      </c>
      <c r="BM37" t="s">
        <v>322</v>
      </c>
      <c r="BN37" t="s">
        <v>77</v>
      </c>
      <c r="BO37" s="19"/>
      <c r="BP37" s="56" t="s">
        <v>351</v>
      </c>
      <c r="BQ37" s="56" t="s">
        <v>351</v>
      </c>
      <c r="BS37" t="s">
        <v>78</v>
      </c>
      <c r="BT37" t="s">
        <v>92</v>
      </c>
    </row>
    <row r="38" spans="3:72" x14ac:dyDescent="0.45">
      <c r="C38" s="36">
        <v>24122</v>
      </c>
      <c r="D38" s="36" t="s">
        <v>352</v>
      </c>
      <c r="E38" s="36" t="s">
        <v>353</v>
      </c>
      <c r="F38" s="36" t="s">
        <v>354</v>
      </c>
      <c r="G38" s="29">
        <v>24120</v>
      </c>
      <c r="H38" t="s">
        <v>106</v>
      </c>
      <c r="I38" t="s">
        <v>66</v>
      </c>
      <c r="J38" t="s">
        <v>66</v>
      </c>
      <c r="K38" t="s">
        <v>107</v>
      </c>
      <c r="N38" t="s">
        <v>1194</v>
      </c>
      <c r="O38" s="41" t="str">
        <f>IFERROR(INDEX(TechCodes[[IRENA code]:[Technology]],MATCH(TechCodes[[#This Row],[Parent]],TechCodes[IRENA code],0),2),TechCodes[[#This Row],[Technology]])</f>
        <v>Off-grid Solar photovoltaic</v>
      </c>
      <c r="P38" s="41" t="str">
        <f>IFERROR(INDEX(TechCodes[[IRENA code]:[Technology]],MATCH(INDEX(TechCodes[[Technology]:[Parent]],MATCH(TechCodes[[#This Row],[L1N]],TechCodes[Technology],0),4),TechCodes[IRENA code],0),2),TechCodes[[#This Row],[L1N]])</f>
        <v>Solar photovoltaic</v>
      </c>
      <c r="Q38" s="41" t="str">
        <f>IFERROR(INDEX(TechCodes[[IRENA code]:[Technology]],MATCH(INDEX(TechCodes[[Technology]:[Parent]],MATCH(TechCodes[[#This Row],[L2N]],TechCodes[Technology],0),4),TechCodes[IRENA code],0),2),TechCodes[[#This Row],[L2N]])</f>
        <v>Solar energy</v>
      </c>
      <c r="R38" s="41" t="str">
        <f>IFERROR(INDEX(TechCodes[[IRENA code]:[Technology]],MATCH(INDEX(TechCodes[[Technology]:[Parent]],MATCH(TechCodes[[#This Row],[L3N]],TechCodes[Technology],0),4),TechCodes[IRENA code],0),2),TechCodes[[#This Row],[L3N]])</f>
        <v>Total Renewable</v>
      </c>
      <c r="S38" s="41" t="str">
        <f>IFERROR(INDEX(TechCodes[[IRENA code]:[Technology]],MATCH(INDEX(TechCodes[[Technology]:[Parent]],MATCH(TechCodes[[#This Row],[L4N]],TechCodes[Technology],0),4),TechCodes[IRENA code],0),2),TechCodes[[#This Row],[L4N]])</f>
        <v>TOTAL</v>
      </c>
      <c r="T38" s="41" t="str">
        <f>IFERROR(INDEX(TechCodes[[IRENA code]:[Technology]],MATCH(INDEX(TechCodes[[Technology]:[Parent]],MATCH(TechCodes[[#This Row],[L5N]],TechCodes[Technology],0),4),TechCodes[IRENA code],0),2),TechCodes[[#This Row],[L5N]])</f>
        <v>TOTAL</v>
      </c>
      <c r="U3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3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SHS (11-50W)</v>
      </c>
      <c r="AA38" s="43" t="str">
        <f>IFERROR(VLOOKUP(TechCodes[[#This Row],[IRENA code]],SIEC[[IRENA]:[SIEC]],2,0),"")</f>
        <v/>
      </c>
      <c r="AD38" s="9"/>
      <c r="AE38" s="9"/>
      <c r="AF38" s="9"/>
      <c r="AG38" s="9"/>
      <c r="AH38">
        <v>11200</v>
      </c>
      <c r="AI38" s="9" t="s">
        <v>355</v>
      </c>
      <c r="AJ38" t="s">
        <v>126</v>
      </c>
      <c r="AK38" s="9"/>
      <c r="AO38" t="s">
        <v>69</v>
      </c>
      <c r="AP38" t="s">
        <v>88</v>
      </c>
      <c r="AQ38" t="s">
        <v>329</v>
      </c>
      <c r="AR38" t="str">
        <f>RIGHT(Table8[[#This Row],[Column1]],LEN(Table8[[#This Row],[Column1]])-5)</f>
        <v>Seed processing for propagation</v>
      </c>
      <c r="AS38" t="str">
        <f>LEFT(Table8[[#This Row],[Column1]],4)</f>
        <v>0164</v>
      </c>
      <c r="AT38" s="9" t="s">
        <v>330</v>
      </c>
      <c r="AU38" t="s">
        <v>83</v>
      </c>
      <c r="AV38" t="s">
        <v>356</v>
      </c>
      <c r="BJ38">
        <v>112</v>
      </c>
      <c r="BK38" t="s">
        <v>178</v>
      </c>
      <c r="BL38" t="s">
        <v>321</v>
      </c>
      <c r="BM38" t="s">
        <v>322</v>
      </c>
      <c r="BN38" t="s">
        <v>116</v>
      </c>
      <c r="BO38" s="19">
        <v>299</v>
      </c>
      <c r="BP38" s="56" t="s">
        <v>357</v>
      </c>
      <c r="BQ38" s="56" t="s">
        <v>357</v>
      </c>
      <c r="BS38" t="s">
        <v>78</v>
      </c>
      <c r="BT38" t="s">
        <v>79</v>
      </c>
    </row>
    <row r="39" spans="3:72" x14ac:dyDescent="0.45">
      <c r="C39" s="36">
        <v>24123</v>
      </c>
      <c r="D39" s="36" t="s">
        <v>358</v>
      </c>
      <c r="E39" s="36" t="s">
        <v>359</v>
      </c>
      <c r="F39" s="36" t="s">
        <v>360</v>
      </c>
      <c r="G39" s="29">
        <v>24120</v>
      </c>
      <c r="H39" t="s">
        <v>106</v>
      </c>
      <c r="I39" t="s">
        <v>66</v>
      </c>
      <c r="J39" t="s">
        <v>66</v>
      </c>
      <c r="K39" t="s">
        <v>107</v>
      </c>
      <c r="N39" t="s">
        <v>1194</v>
      </c>
      <c r="O39" s="41" t="str">
        <f>IFERROR(INDEX(TechCodes[[IRENA code]:[Technology]],MATCH(TechCodes[[#This Row],[Parent]],TechCodes[IRENA code],0),2),TechCodes[[#This Row],[Technology]])</f>
        <v>Off-grid Solar photovoltaic</v>
      </c>
      <c r="P39" s="41" t="str">
        <f>IFERROR(INDEX(TechCodes[[IRENA code]:[Technology]],MATCH(INDEX(TechCodes[[Technology]:[Parent]],MATCH(TechCodes[[#This Row],[L1N]],TechCodes[Technology],0),4),TechCodes[IRENA code],0),2),TechCodes[[#This Row],[L1N]])</f>
        <v>Solar photovoltaic</v>
      </c>
      <c r="Q39" s="41" t="str">
        <f>IFERROR(INDEX(TechCodes[[IRENA code]:[Technology]],MATCH(INDEX(TechCodes[[Technology]:[Parent]],MATCH(TechCodes[[#This Row],[L2N]],TechCodes[Technology],0),4),TechCodes[IRENA code],0),2),TechCodes[[#This Row],[L2N]])</f>
        <v>Solar energy</v>
      </c>
      <c r="R39" s="41" t="str">
        <f>IFERROR(INDEX(TechCodes[[IRENA code]:[Technology]],MATCH(INDEX(TechCodes[[Technology]:[Parent]],MATCH(TechCodes[[#This Row],[L3N]],TechCodes[Technology],0),4),TechCodes[IRENA code],0),2),TechCodes[[#This Row],[L3N]])</f>
        <v>Total Renewable</v>
      </c>
      <c r="S39" s="41" t="str">
        <f>IFERROR(INDEX(TechCodes[[IRENA code]:[Technology]],MATCH(INDEX(TechCodes[[Technology]:[Parent]],MATCH(TechCodes[[#This Row],[L4N]],TechCodes[Technology],0),4),TechCodes[IRENA code],0),2),TechCodes[[#This Row],[L4N]])</f>
        <v>TOTAL</v>
      </c>
      <c r="T39" s="41" t="str">
        <f>IFERROR(INDEX(TechCodes[[IRENA code]:[Technology]],MATCH(INDEX(TechCodes[[Technology]:[Parent]],MATCH(TechCodes[[#This Row],[L5N]],TechCodes[Technology],0),4),TechCodes[IRENA code],0),2),TechCodes[[#This Row],[L5N]])</f>
        <v>TOTAL</v>
      </c>
      <c r="U3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3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3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3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3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3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SHS (&gt;50W)</v>
      </c>
      <c r="AA39" s="43" t="str">
        <f>IFERROR(VLOOKUP(TechCodes[[#This Row],[IRENA code]],SIEC[[IRENA]:[SIEC]],2,0),"")</f>
        <v/>
      </c>
      <c r="AD39" s="9"/>
      <c r="AE39" s="9"/>
      <c r="AF39" s="9"/>
      <c r="AG39" s="9"/>
      <c r="AI39" s="9" t="s">
        <v>361</v>
      </c>
      <c r="AJ39" s="44" t="s">
        <v>362</v>
      </c>
      <c r="AK39" s="9" t="s">
        <v>355</v>
      </c>
      <c r="AO39" t="s">
        <v>69</v>
      </c>
      <c r="AP39" t="s">
        <v>88</v>
      </c>
      <c r="AQ39" t="s">
        <v>363</v>
      </c>
      <c r="AR39" t="s">
        <v>363</v>
      </c>
      <c r="AS39" s="9" t="s">
        <v>364</v>
      </c>
      <c r="AT39" s="9" t="s">
        <v>86</v>
      </c>
      <c r="AU39" t="s">
        <v>83</v>
      </c>
      <c r="BJ39">
        <v>113</v>
      </c>
      <c r="BK39" t="s">
        <v>178</v>
      </c>
      <c r="BL39" t="s">
        <v>321</v>
      </c>
      <c r="BM39" t="s">
        <v>322</v>
      </c>
      <c r="BN39" t="s">
        <v>125</v>
      </c>
      <c r="BO39" s="19">
        <v>310</v>
      </c>
      <c r="BP39" s="57" t="s">
        <v>365</v>
      </c>
      <c r="BQ39" s="66" t="s">
        <v>365</v>
      </c>
      <c r="BS39" t="s">
        <v>78</v>
      </c>
      <c r="BT39" t="s">
        <v>79</v>
      </c>
    </row>
    <row r="40" spans="3:72" x14ac:dyDescent="0.45">
      <c r="C40" s="25">
        <v>24124</v>
      </c>
      <c r="D40" s="25" t="s">
        <v>366</v>
      </c>
      <c r="E40" s="25" t="s">
        <v>367</v>
      </c>
      <c r="F40" s="25" t="s">
        <v>368</v>
      </c>
      <c r="G40" s="29">
        <v>24120</v>
      </c>
      <c r="H40" t="s">
        <v>106</v>
      </c>
      <c r="I40" t="s">
        <v>66</v>
      </c>
      <c r="J40" t="s">
        <v>66</v>
      </c>
      <c r="K40" t="s">
        <v>107</v>
      </c>
      <c r="N40" t="s">
        <v>1194</v>
      </c>
      <c r="O40" s="41" t="str">
        <f>IFERROR(INDEX(TechCodes[[IRENA code]:[Technology]],MATCH(TechCodes[[#This Row],[Parent]],TechCodes[IRENA code],0),2),TechCodes[[#This Row],[Technology]])</f>
        <v>Off-grid Solar photovoltaic</v>
      </c>
      <c r="P40" s="41" t="str">
        <f>IFERROR(INDEX(TechCodes[[IRENA code]:[Technology]],MATCH(INDEX(TechCodes[[Technology]:[Parent]],MATCH(TechCodes[[#This Row],[L1N]],TechCodes[Technology],0),4),TechCodes[IRENA code],0),2),TechCodes[[#This Row],[L1N]])</f>
        <v>Solar photovoltaic</v>
      </c>
      <c r="Q40" s="41" t="str">
        <f>IFERROR(INDEX(TechCodes[[IRENA code]:[Technology]],MATCH(INDEX(TechCodes[[Technology]:[Parent]],MATCH(TechCodes[[#This Row],[L2N]],TechCodes[Technology],0),4),TechCodes[IRENA code],0),2),TechCodes[[#This Row],[L2N]])</f>
        <v>Solar energy</v>
      </c>
      <c r="R40" s="41" t="str">
        <f>IFERROR(INDEX(TechCodes[[IRENA code]:[Technology]],MATCH(INDEX(TechCodes[[Technology]:[Parent]],MATCH(TechCodes[[#This Row],[L3N]],TechCodes[Technology],0),4),TechCodes[IRENA code],0),2),TechCodes[[#This Row],[L3N]])</f>
        <v>Total Renewable</v>
      </c>
      <c r="S40" s="41" t="str">
        <f>IFERROR(INDEX(TechCodes[[IRENA code]:[Technology]],MATCH(INDEX(TechCodes[[Technology]:[Parent]],MATCH(TechCodes[[#This Row],[L4N]],TechCodes[Technology],0),4),TechCodes[IRENA code],0),2),TechCodes[[#This Row],[L4N]])</f>
        <v>TOTAL</v>
      </c>
      <c r="T40" s="41" t="str">
        <f>IFERROR(INDEX(TechCodes[[IRENA code]:[Technology]],MATCH(INDEX(TechCodes[[Technology]:[Parent]],MATCH(TechCodes[[#This Row],[L5N]],TechCodes[Technology],0),4),TechCodes[IRENA code],0),2),TechCodes[[#This Row],[L5N]])</f>
        <v>TOTAL</v>
      </c>
      <c r="U4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4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4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towers</v>
      </c>
      <c r="AA40" s="43" t="str">
        <f>IFERROR(VLOOKUP(TechCodes[[#This Row],[IRENA code]],SIEC[[IRENA]:[SIEC]],2,0),"")</f>
        <v/>
      </c>
      <c r="AD40" s="9"/>
      <c r="AE40" s="9"/>
      <c r="AF40" s="9"/>
      <c r="AG40" s="9"/>
      <c r="AI40" s="9" t="s">
        <v>369</v>
      </c>
      <c r="AJ40" s="44" t="s">
        <v>370</v>
      </c>
      <c r="AK40" s="9" t="s">
        <v>355</v>
      </c>
      <c r="AO40" t="s">
        <v>69</v>
      </c>
      <c r="AP40" t="s">
        <v>371</v>
      </c>
      <c r="AQ40" t="s">
        <v>371</v>
      </c>
      <c r="AR40" t="s">
        <v>371</v>
      </c>
      <c r="AS40" s="9" t="s">
        <v>139</v>
      </c>
      <c r="AT40" s="9" t="s">
        <v>70</v>
      </c>
      <c r="BJ40">
        <v>114</v>
      </c>
      <c r="BK40" t="s">
        <v>178</v>
      </c>
      <c r="BL40" t="s">
        <v>321</v>
      </c>
      <c r="BM40" t="s">
        <v>322</v>
      </c>
      <c r="BN40" t="s">
        <v>163</v>
      </c>
      <c r="BO40" s="19">
        <v>320</v>
      </c>
      <c r="BP40" s="58" t="s">
        <v>372</v>
      </c>
      <c r="BQ40" s="66" t="s">
        <v>372</v>
      </c>
      <c r="BS40" t="s">
        <v>78</v>
      </c>
      <c r="BT40" t="s">
        <v>79</v>
      </c>
    </row>
    <row r="41" spans="3:72" x14ac:dyDescent="0.45">
      <c r="C41" s="25">
        <v>24125</v>
      </c>
      <c r="D41" s="25" t="s">
        <v>373</v>
      </c>
      <c r="E41" s="25" t="s">
        <v>374</v>
      </c>
      <c r="F41" s="25" t="s">
        <v>375</v>
      </c>
      <c r="G41" s="29">
        <v>24120</v>
      </c>
      <c r="H41" t="s">
        <v>106</v>
      </c>
      <c r="I41" t="s">
        <v>66</v>
      </c>
      <c r="J41" t="s">
        <v>66</v>
      </c>
      <c r="K41" t="s">
        <v>107</v>
      </c>
      <c r="N41" t="s">
        <v>1194</v>
      </c>
      <c r="O41" s="41" t="str">
        <f>IFERROR(INDEX(TechCodes[[IRENA code]:[Technology]],MATCH(TechCodes[[#This Row],[Parent]],TechCodes[IRENA code],0),2),TechCodes[[#This Row],[Technology]])</f>
        <v>Off-grid Solar photovoltaic</v>
      </c>
      <c r="P41" s="41" t="str">
        <f>IFERROR(INDEX(TechCodes[[IRENA code]:[Technology]],MATCH(INDEX(TechCodes[[Technology]:[Parent]],MATCH(TechCodes[[#This Row],[L1N]],TechCodes[Technology],0),4),TechCodes[IRENA code],0),2),TechCodes[[#This Row],[L1N]])</f>
        <v>Solar photovoltaic</v>
      </c>
      <c r="Q41" s="41" t="str">
        <f>IFERROR(INDEX(TechCodes[[IRENA code]:[Technology]],MATCH(INDEX(TechCodes[[Technology]:[Parent]],MATCH(TechCodes[[#This Row],[L2N]],TechCodes[Technology],0),4),TechCodes[IRENA code],0),2),TechCodes[[#This Row],[L2N]])</f>
        <v>Solar energy</v>
      </c>
      <c r="R41" s="41" t="str">
        <f>IFERROR(INDEX(TechCodes[[IRENA code]:[Technology]],MATCH(INDEX(TechCodes[[Technology]:[Parent]],MATCH(TechCodes[[#This Row],[L3N]],TechCodes[Technology],0),4),TechCodes[IRENA code],0),2),TechCodes[[#This Row],[L3N]])</f>
        <v>Total Renewable</v>
      </c>
      <c r="S41" s="41" t="str">
        <f>IFERROR(INDEX(TechCodes[[IRENA code]:[Technology]],MATCH(INDEX(TechCodes[[Technology]:[Parent]],MATCH(TechCodes[[#This Row],[L4N]],TechCodes[Technology],0),4),TechCodes[IRENA code],0),2),TechCodes[[#This Row],[L4N]])</f>
        <v>TOTAL</v>
      </c>
      <c r="T41" s="41" t="str">
        <f>IFERROR(INDEX(TechCodes[[IRENA code]:[Technology]],MATCH(INDEX(TechCodes[[Technology]:[Parent]],MATCH(TechCodes[[#This Row],[L5N]],TechCodes[Technology],0),4),TechCodes[IRENA code],0),2),TechCodes[[#This Row],[L5N]])</f>
        <v>TOTAL</v>
      </c>
      <c r="U4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4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4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pumps</v>
      </c>
      <c r="AA41" s="43" t="str">
        <f>IFERROR(VLOOKUP(TechCodes[[#This Row],[IRENA code]],SIEC[[IRENA]:[SIEC]],2,0),"")</f>
        <v/>
      </c>
      <c r="AD41" s="9"/>
      <c r="AE41" s="9"/>
      <c r="AF41" s="9"/>
      <c r="AG41" s="9"/>
      <c r="AI41" s="9" t="s">
        <v>376</v>
      </c>
      <c r="AJ41" s="44" t="s">
        <v>377</v>
      </c>
      <c r="AK41" s="9" t="s">
        <v>355</v>
      </c>
      <c r="AO41" t="s">
        <v>69</v>
      </c>
      <c r="AP41" t="s">
        <v>371</v>
      </c>
      <c r="AQ41" t="s">
        <v>378</v>
      </c>
      <c r="AR41" t="s">
        <v>378</v>
      </c>
      <c r="AS41" s="9" t="s">
        <v>148</v>
      </c>
      <c r="AT41" s="9" t="s">
        <v>139</v>
      </c>
      <c r="AU41" t="s">
        <v>83</v>
      </c>
      <c r="BJ41">
        <v>115</v>
      </c>
      <c r="BK41" t="s">
        <v>379</v>
      </c>
      <c r="BL41" t="s">
        <v>321</v>
      </c>
      <c r="BM41" t="s">
        <v>322</v>
      </c>
      <c r="BN41" t="s">
        <v>134</v>
      </c>
      <c r="BO41" s="19">
        <v>400</v>
      </c>
      <c r="BP41" s="58" t="s">
        <v>380</v>
      </c>
      <c r="BQ41" s="66" t="s">
        <v>380</v>
      </c>
      <c r="BS41" t="s">
        <v>78</v>
      </c>
      <c r="BT41" t="s">
        <v>79</v>
      </c>
    </row>
    <row r="42" spans="3:72" x14ac:dyDescent="0.45">
      <c r="C42" s="25">
        <v>24126</v>
      </c>
      <c r="D42" s="25" t="s">
        <v>381</v>
      </c>
      <c r="E42" s="25" t="s">
        <v>382</v>
      </c>
      <c r="F42" s="25" t="s">
        <v>383</v>
      </c>
      <c r="G42" s="29">
        <v>24120</v>
      </c>
      <c r="H42" t="s">
        <v>106</v>
      </c>
      <c r="I42" t="s">
        <v>66</v>
      </c>
      <c r="J42" t="s">
        <v>66</v>
      </c>
      <c r="K42" t="s">
        <v>107</v>
      </c>
      <c r="N42" t="s">
        <v>1194</v>
      </c>
      <c r="O42" s="41" t="str">
        <f>IFERROR(INDEX(TechCodes[[IRENA code]:[Technology]],MATCH(TechCodes[[#This Row],[Parent]],TechCodes[IRENA code],0),2),TechCodes[[#This Row],[Technology]])</f>
        <v>Off-grid Solar photovoltaic</v>
      </c>
      <c r="P42" s="41" t="str">
        <f>IFERROR(INDEX(TechCodes[[IRENA code]:[Technology]],MATCH(INDEX(TechCodes[[Technology]:[Parent]],MATCH(TechCodes[[#This Row],[L1N]],TechCodes[Technology],0),4),TechCodes[IRENA code],0),2),TechCodes[[#This Row],[L1N]])</f>
        <v>Solar photovoltaic</v>
      </c>
      <c r="Q42" s="41" t="str">
        <f>IFERROR(INDEX(TechCodes[[IRENA code]:[Technology]],MATCH(INDEX(TechCodes[[Technology]:[Parent]],MATCH(TechCodes[[#This Row],[L2N]],TechCodes[Technology],0),4),TechCodes[IRENA code],0),2),TechCodes[[#This Row],[L2N]])</f>
        <v>Solar energy</v>
      </c>
      <c r="R42" s="41" t="str">
        <f>IFERROR(INDEX(TechCodes[[IRENA code]:[Technology]],MATCH(INDEX(TechCodes[[Technology]:[Parent]],MATCH(TechCodes[[#This Row],[L3N]],TechCodes[Technology],0),4),TechCodes[IRENA code],0),2),TechCodes[[#This Row],[L3N]])</f>
        <v>Total Renewable</v>
      </c>
      <c r="S42" s="41" t="str">
        <f>IFERROR(INDEX(TechCodes[[IRENA code]:[Technology]],MATCH(INDEX(TechCodes[[Technology]:[Parent]],MATCH(TechCodes[[#This Row],[L4N]],TechCodes[Technology],0),4),TechCodes[IRENA code],0),2),TechCodes[[#This Row],[L4N]])</f>
        <v>TOTAL</v>
      </c>
      <c r="T42" s="41" t="str">
        <f>IFERROR(INDEX(TechCodes[[IRENA code]:[Technology]],MATCH(INDEX(TechCodes[[Technology]:[Parent]],MATCH(TechCodes[[#This Row],[L5N]],TechCodes[Technology],0),4),TechCodes[IRENA code],0),2),TechCodes[[#This Row],[L5N]])</f>
        <v>TOTAL</v>
      </c>
      <c r="U4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4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4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mini-grids</v>
      </c>
      <c r="AA42" s="43" t="str">
        <f>IFERROR(VLOOKUP(TechCodes[[#This Row],[IRENA code]],SIEC[[IRENA]:[SIEC]],2,0),"")</f>
        <v/>
      </c>
      <c r="AD42" s="9"/>
      <c r="AE42" s="9"/>
      <c r="AF42" s="9"/>
      <c r="AG42" s="9"/>
      <c r="AI42" s="9" t="s">
        <v>384</v>
      </c>
      <c r="AJ42" s="44" t="s">
        <v>385</v>
      </c>
      <c r="AK42" s="9" t="s">
        <v>355</v>
      </c>
      <c r="AO42" t="s">
        <v>69</v>
      </c>
      <c r="AP42" t="s">
        <v>371</v>
      </c>
      <c r="AQ42" t="s">
        <v>386</v>
      </c>
      <c r="AR42" t="s">
        <v>386</v>
      </c>
      <c r="AS42" s="9" t="s">
        <v>157</v>
      </c>
      <c r="AT42" s="9" t="s">
        <v>139</v>
      </c>
      <c r="AU42" t="s">
        <v>83</v>
      </c>
      <c r="BJ42">
        <v>119</v>
      </c>
      <c r="BK42" t="s">
        <v>379</v>
      </c>
      <c r="BL42" t="s">
        <v>321</v>
      </c>
      <c r="BM42" t="s">
        <v>322</v>
      </c>
      <c r="BN42" t="s">
        <v>322</v>
      </c>
      <c r="BO42" s="19">
        <v>410</v>
      </c>
      <c r="BP42" s="59" t="s">
        <v>387</v>
      </c>
      <c r="BQ42" s="67" t="s">
        <v>387</v>
      </c>
      <c r="BS42" t="s">
        <v>78</v>
      </c>
      <c r="BT42" t="s">
        <v>79</v>
      </c>
    </row>
    <row r="43" spans="3:72" x14ac:dyDescent="0.45">
      <c r="C43" s="25">
        <v>24129</v>
      </c>
      <c r="D43" s="25" t="s">
        <v>388</v>
      </c>
      <c r="E43" s="25" t="s">
        <v>389</v>
      </c>
      <c r="F43" s="25" t="s">
        <v>390</v>
      </c>
      <c r="G43" s="29">
        <v>24120</v>
      </c>
      <c r="H43" t="s">
        <v>106</v>
      </c>
      <c r="I43" t="s">
        <v>66</v>
      </c>
      <c r="J43" t="s">
        <v>66</v>
      </c>
      <c r="K43" t="s">
        <v>107</v>
      </c>
      <c r="N43" t="s">
        <v>1194</v>
      </c>
      <c r="O43" s="41" t="str">
        <f>IFERROR(INDEX(TechCodes[[IRENA code]:[Technology]],MATCH(TechCodes[[#This Row],[Parent]],TechCodes[IRENA code],0),2),TechCodes[[#This Row],[Technology]])</f>
        <v>Off-grid Solar photovoltaic</v>
      </c>
      <c r="P43" s="41" t="str">
        <f>IFERROR(INDEX(TechCodes[[IRENA code]:[Technology]],MATCH(INDEX(TechCodes[[Technology]:[Parent]],MATCH(TechCodes[[#This Row],[L1N]],TechCodes[Technology],0),4),TechCodes[IRENA code],0),2),TechCodes[[#This Row],[L1N]])</f>
        <v>Solar photovoltaic</v>
      </c>
      <c r="Q43" s="41" t="str">
        <f>IFERROR(INDEX(TechCodes[[IRENA code]:[Technology]],MATCH(INDEX(TechCodes[[Technology]:[Parent]],MATCH(TechCodes[[#This Row],[L2N]],TechCodes[Technology],0),4),TechCodes[IRENA code],0),2),TechCodes[[#This Row],[L2N]])</f>
        <v>Solar energy</v>
      </c>
      <c r="R43" s="41" t="str">
        <f>IFERROR(INDEX(TechCodes[[IRENA code]:[Technology]],MATCH(INDEX(TechCodes[[Technology]:[Parent]],MATCH(TechCodes[[#This Row],[L3N]],TechCodes[Technology],0),4),TechCodes[IRENA code],0),2),TechCodes[[#This Row],[L3N]])</f>
        <v>Total Renewable</v>
      </c>
      <c r="S43" s="41" t="str">
        <f>IFERROR(INDEX(TechCodes[[IRENA code]:[Technology]],MATCH(INDEX(TechCodes[[Technology]:[Parent]],MATCH(TechCodes[[#This Row],[L4N]],TechCodes[Technology],0),4),TechCodes[IRENA code],0),2),TechCodes[[#This Row],[L4N]])</f>
        <v>TOTAL</v>
      </c>
      <c r="T43" s="41" t="str">
        <f>IFERROR(INDEX(TechCodes[[IRENA code]:[Technology]],MATCH(INDEX(TechCodes[[Technology]:[Parent]],MATCH(TechCodes[[#This Row],[L5N]],TechCodes[Technology],0),4),TechCodes[IRENA code],0),2),TechCodes[[#This Row],[L5N]])</f>
        <v>TOTAL</v>
      </c>
      <c r="U4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photovoltaic</v>
      </c>
      <c r="Y4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Off-grid Solar photovoltaic</v>
      </c>
      <c r="Z4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off-grid PV</v>
      </c>
      <c r="AA43" s="43" t="str">
        <f>IFERROR(VLOOKUP(TechCodes[[#This Row],[IRENA code]],SIEC[[IRENA]:[SIEC]],2,0),"")</f>
        <v/>
      </c>
      <c r="AD43" s="9"/>
      <c r="AE43" s="9"/>
      <c r="AF43" s="9"/>
      <c r="AG43" s="9"/>
      <c r="AI43" s="9" t="s">
        <v>391</v>
      </c>
      <c r="AJ43" s="44" t="s">
        <v>392</v>
      </c>
      <c r="AK43" s="9" t="s">
        <v>355</v>
      </c>
      <c r="AO43" t="s">
        <v>69</v>
      </c>
      <c r="AP43" t="s">
        <v>371</v>
      </c>
      <c r="AQ43" t="s">
        <v>393</v>
      </c>
      <c r="AR43" t="s">
        <v>393</v>
      </c>
      <c r="AS43" s="9" t="s">
        <v>394</v>
      </c>
      <c r="AT43" s="9" t="s">
        <v>139</v>
      </c>
      <c r="AU43" t="s">
        <v>83</v>
      </c>
      <c r="BJ43">
        <v>121</v>
      </c>
      <c r="BK43" t="s">
        <v>379</v>
      </c>
      <c r="BL43" t="s">
        <v>321</v>
      </c>
      <c r="BM43" t="s">
        <v>322</v>
      </c>
      <c r="BN43" t="s">
        <v>187</v>
      </c>
      <c r="BO43" s="19">
        <v>420</v>
      </c>
      <c r="BP43" s="48" t="s">
        <v>395</v>
      </c>
      <c r="BQ43" s="48" t="s">
        <v>395</v>
      </c>
      <c r="BS43" t="s">
        <v>78</v>
      </c>
      <c r="BT43" t="s">
        <v>79</v>
      </c>
    </row>
    <row r="44" spans="3:72" x14ac:dyDescent="0.45">
      <c r="C44" s="32">
        <v>24200</v>
      </c>
      <c r="D44" s="32" t="s">
        <v>396</v>
      </c>
      <c r="E44" s="32" t="s">
        <v>397</v>
      </c>
      <c r="F44" s="32" t="s">
        <v>398</v>
      </c>
      <c r="G44" s="37">
        <v>24000</v>
      </c>
      <c r="H44" t="s">
        <v>65</v>
      </c>
      <c r="I44" t="s">
        <v>66</v>
      </c>
      <c r="J44" t="s">
        <v>66</v>
      </c>
      <c r="K44" t="s">
        <v>21</v>
      </c>
      <c r="M44">
        <v>33</v>
      </c>
      <c r="N44" t="s">
        <v>1194</v>
      </c>
      <c r="O44" s="41" t="str">
        <f>IFERROR(INDEX(TechCodes[[IRENA code]:[Technology]],MATCH(TechCodes[[#This Row],[Parent]],TechCodes[IRENA code],0),2),TechCodes[[#This Row],[Technology]])</f>
        <v>Solar energy</v>
      </c>
      <c r="P44" s="41" t="str">
        <f>IFERROR(INDEX(TechCodes[[IRENA code]:[Technology]],MATCH(INDEX(TechCodes[[Technology]:[Parent]],MATCH(TechCodes[[#This Row],[L1N]],TechCodes[Technology],0),4),TechCodes[IRENA code],0),2),TechCodes[[#This Row],[L1N]])</f>
        <v>Total Renewable</v>
      </c>
      <c r="Q44" s="41" t="str">
        <f>IFERROR(INDEX(TechCodes[[IRENA code]:[Technology]],MATCH(INDEX(TechCodes[[Technology]:[Parent]],MATCH(TechCodes[[#This Row],[L2N]],TechCodes[Technology],0),4),TechCodes[IRENA code],0),2),TechCodes[[#This Row],[L2N]])</f>
        <v>TOTAL</v>
      </c>
      <c r="R44" s="41" t="str">
        <f>IFERROR(INDEX(TechCodes[[IRENA code]:[Technology]],MATCH(INDEX(TechCodes[[Technology]:[Parent]],MATCH(TechCodes[[#This Row],[L3N]],TechCodes[Technology],0),4),TechCodes[IRENA code],0),2),TechCodes[[#This Row],[L3N]])</f>
        <v>TOTAL</v>
      </c>
      <c r="S44" s="41" t="str">
        <f>IFERROR(INDEX(TechCodes[[IRENA code]:[Technology]],MATCH(INDEX(TechCodes[[Technology]:[Parent]],MATCH(TechCodes[[#This Row],[L4N]],TechCodes[Technology],0),4),TechCodes[IRENA code],0),2),TechCodes[[#This Row],[L4N]])</f>
        <v>TOTAL</v>
      </c>
      <c r="T44" s="41" t="str">
        <f>IFERROR(INDEX(TechCodes[[IRENA code]:[Technology]],MATCH(INDEX(TechCodes[[Technology]:[Parent]],MATCH(TechCodes[[#This Row],[L5N]],TechCodes[Technology],0),4),TechCodes[IRENA code],0),2),TechCodes[[#This Row],[L5N]])</f>
        <v>TOTAL</v>
      </c>
      <c r="U4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Solar thermal energy</v>
      </c>
      <c r="Z4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thermal energy</v>
      </c>
      <c r="AA44" s="43" t="str">
        <f>IFERROR(VLOOKUP(TechCodes[[#This Row],[IRENA code]],SIEC[[IRENA]:[SIEC]],2,0),"")</f>
        <v/>
      </c>
      <c r="AD44" s="9"/>
      <c r="AE44" s="9"/>
      <c r="AF44" s="9"/>
      <c r="AG44" s="9"/>
      <c r="AH44">
        <v>11220</v>
      </c>
      <c r="AI44" s="9" t="s">
        <v>399</v>
      </c>
      <c r="AJ44" s="44" t="s">
        <v>145</v>
      </c>
      <c r="AK44" s="9" t="s">
        <v>355</v>
      </c>
      <c r="AO44" t="s">
        <v>69</v>
      </c>
      <c r="AP44" t="s">
        <v>371</v>
      </c>
      <c r="AQ44" t="s">
        <v>400</v>
      </c>
      <c r="AR44" t="s">
        <v>400</v>
      </c>
      <c r="AS44" s="9" t="s">
        <v>401</v>
      </c>
      <c r="AT44" s="9" t="s">
        <v>139</v>
      </c>
      <c r="AU44" t="s">
        <v>83</v>
      </c>
      <c r="BJ44">
        <v>122</v>
      </c>
      <c r="BK44" t="s">
        <v>379</v>
      </c>
      <c r="BL44" t="s">
        <v>321</v>
      </c>
      <c r="BM44" t="s">
        <v>322</v>
      </c>
      <c r="BN44" t="s">
        <v>402</v>
      </c>
      <c r="BO44" s="19"/>
      <c r="BP44" s="60" t="s">
        <v>403</v>
      </c>
      <c r="BQ44" s="60" t="s">
        <v>403</v>
      </c>
      <c r="BS44" t="s">
        <v>78</v>
      </c>
      <c r="BT44" t="s">
        <v>92</v>
      </c>
    </row>
    <row r="45" spans="3:72" x14ac:dyDescent="0.45">
      <c r="C45" s="24">
        <v>24210</v>
      </c>
      <c r="D45" s="24" t="s">
        <v>404</v>
      </c>
      <c r="E45" s="24" t="s">
        <v>405</v>
      </c>
      <c r="F45" s="24" t="s">
        <v>406</v>
      </c>
      <c r="G45" s="28">
        <v>24200</v>
      </c>
      <c r="H45" t="s">
        <v>83</v>
      </c>
      <c r="I45" t="s">
        <v>242</v>
      </c>
      <c r="J45" t="s">
        <v>242</v>
      </c>
      <c r="K45" t="s">
        <v>21</v>
      </c>
      <c r="N45" t="s">
        <v>1194</v>
      </c>
      <c r="O45" s="41" t="str">
        <f>IFERROR(INDEX(TechCodes[[IRENA code]:[Technology]],MATCH(TechCodes[[#This Row],[Parent]],TechCodes[IRENA code],0),2),TechCodes[[#This Row],[Technology]])</f>
        <v>Solar thermal energy</v>
      </c>
      <c r="P45" s="41" t="str">
        <f>IFERROR(INDEX(TechCodes[[IRENA code]:[Technology]],MATCH(INDEX(TechCodes[[Technology]:[Parent]],MATCH(TechCodes[[#This Row],[L1N]],TechCodes[Technology],0),4),TechCodes[IRENA code],0),2),TechCodes[[#This Row],[L1N]])</f>
        <v>Solar energy</v>
      </c>
      <c r="Q45" s="41" t="str">
        <f>IFERROR(INDEX(TechCodes[[IRENA code]:[Technology]],MATCH(INDEX(TechCodes[[Technology]:[Parent]],MATCH(TechCodes[[#This Row],[L2N]],TechCodes[Technology],0),4),TechCodes[IRENA code],0),2),TechCodes[[#This Row],[L2N]])</f>
        <v>Total Renewable</v>
      </c>
      <c r="R45" s="41" t="str">
        <f>IFERROR(INDEX(TechCodes[[IRENA code]:[Technology]],MATCH(INDEX(TechCodes[[Technology]:[Parent]],MATCH(TechCodes[[#This Row],[L3N]],TechCodes[Technology],0),4),TechCodes[IRENA code],0),2),TechCodes[[#This Row],[L3N]])</f>
        <v>TOTAL</v>
      </c>
      <c r="S45" s="41" t="str">
        <f>IFERROR(INDEX(TechCodes[[IRENA code]:[Technology]],MATCH(INDEX(TechCodes[[Technology]:[Parent]],MATCH(TechCodes[[#This Row],[L4N]],TechCodes[Technology],0),4),TechCodes[IRENA code],0),2),TechCodes[[#This Row],[L4N]])</f>
        <v>TOTAL</v>
      </c>
      <c r="T45" s="41" t="str">
        <f>IFERROR(INDEX(TechCodes[[IRENA code]:[Technology]],MATCH(INDEX(TechCodes[[Technology]:[Parent]],MATCH(TechCodes[[#This Row],[L5N]],TechCodes[Technology],0),4),TechCodes[IRENA code],0),2),TechCodes[[#This Row],[L5N]])</f>
        <v>TOTAL</v>
      </c>
      <c r="U4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Concentrated solar power</v>
      </c>
      <c r="Z4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Concentrated solar power</v>
      </c>
      <c r="AA45" s="43" t="str">
        <f>IFERROR(VLOOKUP(TechCodes[[#This Row],[IRENA code]],SIEC[[IRENA]:[SIEC]],2,0),"")</f>
        <v/>
      </c>
      <c r="AD45" s="9"/>
      <c r="AE45" s="9"/>
      <c r="AF45" s="9"/>
      <c r="AG45" s="9"/>
      <c r="AI45" s="9" t="s">
        <v>407</v>
      </c>
      <c r="AJ45" s="45" t="s">
        <v>408</v>
      </c>
      <c r="AK45" s="9" t="s">
        <v>399</v>
      </c>
      <c r="AO45" t="s">
        <v>69</v>
      </c>
      <c r="AP45" t="s">
        <v>409</v>
      </c>
      <c r="AQ45" t="s">
        <v>409</v>
      </c>
      <c r="AR45" t="s">
        <v>409</v>
      </c>
      <c r="AS45" s="9" t="s">
        <v>167</v>
      </c>
      <c r="AT45" s="9" t="s">
        <v>70</v>
      </c>
      <c r="BK45" t="s">
        <v>379</v>
      </c>
      <c r="BL45" t="s">
        <v>321</v>
      </c>
      <c r="BM45" t="s">
        <v>322</v>
      </c>
      <c r="BN45" t="s">
        <v>187</v>
      </c>
      <c r="BO45" s="19"/>
      <c r="BP45" s="60" t="s">
        <v>410</v>
      </c>
      <c r="BQ45" s="60" t="s">
        <v>410</v>
      </c>
      <c r="BS45" t="s">
        <v>78</v>
      </c>
      <c r="BT45" t="s">
        <v>92</v>
      </c>
    </row>
    <row r="46" spans="3:72" x14ac:dyDescent="0.45">
      <c r="C46" s="24">
        <v>24220</v>
      </c>
      <c r="D46" s="24" t="s">
        <v>411</v>
      </c>
      <c r="E46" s="24" t="s">
        <v>412</v>
      </c>
      <c r="F46" s="24" t="s">
        <v>413</v>
      </c>
      <c r="G46" s="28">
        <v>24200</v>
      </c>
      <c r="H46" t="s">
        <v>83</v>
      </c>
      <c r="I46" t="s">
        <v>242</v>
      </c>
      <c r="J46" t="s">
        <v>242</v>
      </c>
      <c r="K46" t="s">
        <v>21</v>
      </c>
      <c r="N46" t="s">
        <v>1194</v>
      </c>
      <c r="O46" s="41" t="str">
        <f>IFERROR(INDEX(TechCodes[[IRENA code]:[Technology]],MATCH(TechCodes[[#This Row],[Parent]],TechCodes[IRENA code],0),2),TechCodes[[#This Row],[Technology]])</f>
        <v>Solar thermal energy</v>
      </c>
      <c r="P46" s="41" t="str">
        <f>IFERROR(INDEX(TechCodes[[IRENA code]:[Technology]],MATCH(INDEX(TechCodes[[Technology]:[Parent]],MATCH(TechCodes[[#This Row],[L1N]],TechCodes[Technology],0),4),TechCodes[IRENA code],0),2),TechCodes[[#This Row],[L1N]])</f>
        <v>Solar energy</v>
      </c>
      <c r="Q46" s="41" t="str">
        <f>IFERROR(INDEX(TechCodes[[IRENA code]:[Technology]],MATCH(INDEX(TechCodes[[Technology]:[Parent]],MATCH(TechCodes[[#This Row],[L2N]],TechCodes[Technology],0),4),TechCodes[IRENA code],0),2),TechCodes[[#This Row],[L2N]])</f>
        <v>Total Renewable</v>
      </c>
      <c r="R46" s="41" t="str">
        <f>IFERROR(INDEX(TechCodes[[IRENA code]:[Technology]],MATCH(INDEX(TechCodes[[Technology]:[Parent]],MATCH(TechCodes[[#This Row],[L3N]],TechCodes[Technology],0),4),TechCodes[IRENA code],0),2),TechCodes[[#This Row],[L3N]])</f>
        <v>TOTAL</v>
      </c>
      <c r="S46" s="41" t="str">
        <f>IFERROR(INDEX(TechCodes[[IRENA code]:[Technology]],MATCH(INDEX(TechCodes[[Technology]:[Parent]],MATCH(TechCodes[[#This Row],[L4N]],TechCodes[Technology],0),4),TechCodes[IRENA code],0),2),TechCodes[[#This Row],[L4N]])</f>
        <v>TOTAL</v>
      </c>
      <c r="T46" s="41" t="str">
        <f>IFERROR(INDEX(TechCodes[[IRENA code]:[Technology]],MATCH(INDEX(TechCodes[[Technology]:[Parent]],MATCH(TechCodes[[#This Row],[L5N]],TechCodes[Technology],0),4),TechCodes[IRENA code],0),2),TechCodes[[#This Row],[L5N]])</f>
        <v>TOTAL</v>
      </c>
      <c r="U4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solar thermal energy</v>
      </c>
      <c r="Z4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solar thermal energy</v>
      </c>
      <c r="AA46" s="43" t="str">
        <f>IFERROR(VLOOKUP(TechCodes[[#This Row],[IRENA code]],SIEC[[IRENA]:[SIEC]],2,0),"")</f>
        <v/>
      </c>
      <c r="AD46" s="9"/>
      <c r="AE46" s="9"/>
      <c r="AF46" s="9"/>
      <c r="AG46" s="9"/>
      <c r="AI46" s="9" t="s">
        <v>414</v>
      </c>
      <c r="AJ46" s="45" t="s">
        <v>415</v>
      </c>
      <c r="AK46" s="9" t="s">
        <v>399</v>
      </c>
      <c r="AO46" t="s">
        <v>69</v>
      </c>
      <c r="AP46" t="s">
        <v>409</v>
      </c>
      <c r="AQ46" t="s">
        <v>416</v>
      </c>
      <c r="AR46" t="s">
        <v>416</v>
      </c>
      <c r="AS46" s="9" t="s">
        <v>175</v>
      </c>
      <c r="AT46" s="9" t="s">
        <v>167</v>
      </c>
      <c r="BK46" t="s">
        <v>379</v>
      </c>
      <c r="BL46" t="s">
        <v>321</v>
      </c>
      <c r="BM46" t="s">
        <v>322</v>
      </c>
      <c r="BN46" t="s">
        <v>187</v>
      </c>
      <c r="BO46" s="19"/>
      <c r="BP46" s="60" t="s">
        <v>417</v>
      </c>
      <c r="BQ46" s="60" t="s">
        <v>417</v>
      </c>
      <c r="BS46" t="s">
        <v>78</v>
      </c>
      <c r="BT46" t="s">
        <v>92</v>
      </c>
    </row>
    <row r="47" spans="3:72" x14ac:dyDescent="0.45">
      <c r="C47" s="25">
        <v>24221</v>
      </c>
      <c r="D47" s="25" t="s">
        <v>418</v>
      </c>
      <c r="E47" s="25" t="s">
        <v>397</v>
      </c>
      <c r="F47" s="25" t="s">
        <v>406</v>
      </c>
      <c r="G47" s="29">
        <v>24220</v>
      </c>
      <c r="H47" t="s">
        <v>83</v>
      </c>
      <c r="I47" t="s">
        <v>66</v>
      </c>
      <c r="J47" t="s">
        <v>66</v>
      </c>
      <c r="K47" t="s">
        <v>107</v>
      </c>
      <c r="N47" t="s">
        <v>1194</v>
      </c>
      <c r="O47" s="41" t="str">
        <f>IFERROR(INDEX(TechCodes[[IRENA code]:[Technology]],MATCH(TechCodes[[#This Row],[Parent]],TechCodes[IRENA code],0),2),TechCodes[[#This Row],[Technology]])</f>
        <v>Other solar thermal energy</v>
      </c>
      <c r="P47" s="41" t="str">
        <f>IFERROR(INDEX(TechCodes[[IRENA code]:[Technology]],MATCH(INDEX(TechCodes[[Technology]:[Parent]],MATCH(TechCodes[[#This Row],[L1N]],TechCodes[Technology],0),4),TechCodes[IRENA code],0),2),TechCodes[[#This Row],[L1N]])</f>
        <v>Solar thermal energy</v>
      </c>
      <c r="Q47" s="41" t="str">
        <f>IFERROR(INDEX(TechCodes[[IRENA code]:[Technology]],MATCH(INDEX(TechCodes[[Technology]:[Parent]],MATCH(TechCodes[[#This Row],[L2N]],TechCodes[Technology],0),4),TechCodes[IRENA code],0),2),TechCodes[[#This Row],[L2N]])</f>
        <v>Solar energy</v>
      </c>
      <c r="R47" s="41" t="str">
        <f>IFERROR(INDEX(TechCodes[[IRENA code]:[Technology]],MATCH(INDEX(TechCodes[[Technology]:[Parent]],MATCH(TechCodes[[#This Row],[L3N]],TechCodes[Technology],0),4),TechCodes[IRENA code],0),2),TechCodes[[#This Row],[L3N]])</f>
        <v>Total Renewable</v>
      </c>
      <c r="S47" s="41" t="str">
        <f>IFERROR(INDEX(TechCodes[[IRENA code]:[Technology]],MATCH(INDEX(TechCodes[[Technology]:[Parent]],MATCH(TechCodes[[#This Row],[L4N]],TechCodes[Technology],0),4),TechCodes[IRENA code],0),2),TechCodes[[#This Row],[L4N]])</f>
        <v>TOTAL</v>
      </c>
      <c r="T47" s="41" t="str">
        <f>IFERROR(INDEX(TechCodes[[IRENA code]:[Technology]],MATCH(INDEX(TechCodes[[Technology]:[Parent]],MATCH(TechCodes[[#This Row],[L5N]],TechCodes[Technology],0),4),TechCodes[IRENA code],0),2),TechCodes[[#This Row],[L5N]])</f>
        <v>TOTAL</v>
      </c>
      <c r="U4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solar thermal energy</v>
      </c>
      <c r="Z4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Concentrated solar thermal</v>
      </c>
      <c r="AA47" s="43" t="str">
        <f>IFERROR(VLOOKUP(TechCodes[[#This Row],[IRENA code]],SIEC[[IRENA]:[SIEC]],2,0),"")</f>
        <v/>
      </c>
      <c r="AD47" s="9"/>
      <c r="AE47" s="9"/>
      <c r="AF47" s="9"/>
      <c r="AG47" s="9"/>
      <c r="AI47" s="9" t="s">
        <v>419</v>
      </c>
      <c r="AJ47" s="45" t="s">
        <v>420</v>
      </c>
      <c r="AK47" s="9" t="s">
        <v>399</v>
      </c>
      <c r="AO47" t="s">
        <v>69</v>
      </c>
      <c r="AP47" t="s">
        <v>409</v>
      </c>
      <c r="AQ47" t="s">
        <v>416</v>
      </c>
      <c r="AR47" t="s">
        <v>421</v>
      </c>
      <c r="AS47" s="9" t="s">
        <v>184</v>
      </c>
      <c r="AT47" s="9" t="s">
        <v>175</v>
      </c>
      <c r="AU47" t="s">
        <v>83</v>
      </c>
      <c r="BJ47">
        <v>101</v>
      </c>
      <c r="BK47" t="s">
        <v>379</v>
      </c>
      <c r="BL47" t="s">
        <v>321</v>
      </c>
      <c r="BM47" t="s">
        <v>321</v>
      </c>
      <c r="BN47" t="s">
        <v>321</v>
      </c>
      <c r="BO47" s="19"/>
      <c r="BP47" s="60" t="s">
        <v>422</v>
      </c>
      <c r="BQ47" s="60" t="s">
        <v>422</v>
      </c>
      <c r="BS47" t="s">
        <v>78</v>
      </c>
      <c r="BT47" t="s">
        <v>92</v>
      </c>
    </row>
    <row r="48" spans="3:72" x14ac:dyDescent="0.45">
      <c r="C48" s="25">
        <v>24222</v>
      </c>
      <c r="D48" s="25" t="s">
        <v>423</v>
      </c>
      <c r="E48" s="25" t="s">
        <v>424</v>
      </c>
      <c r="F48" s="25" t="s">
        <v>425</v>
      </c>
      <c r="G48" s="29">
        <v>24220</v>
      </c>
      <c r="H48" t="s">
        <v>83</v>
      </c>
      <c r="I48" t="s">
        <v>66</v>
      </c>
      <c r="J48" t="s">
        <v>66</v>
      </c>
      <c r="K48" t="s">
        <v>107</v>
      </c>
      <c r="N48" t="s">
        <v>1194</v>
      </c>
      <c r="O48" s="41" t="str">
        <f>IFERROR(INDEX(TechCodes[[IRENA code]:[Technology]],MATCH(TechCodes[[#This Row],[Parent]],TechCodes[IRENA code],0),2),TechCodes[[#This Row],[Technology]])</f>
        <v>Other solar thermal energy</v>
      </c>
      <c r="P48" s="41" t="str">
        <f>IFERROR(INDEX(TechCodes[[IRENA code]:[Technology]],MATCH(INDEX(TechCodes[[Technology]:[Parent]],MATCH(TechCodes[[#This Row],[L1N]],TechCodes[Technology],0),4),TechCodes[IRENA code],0),2),TechCodes[[#This Row],[L1N]])</f>
        <v>Solar thermal energy</v>
      </c>
      <c r="Q48" s="41" t="str">
        <f>IFERROR(INDEX(TechCodes[[IRENA code]:[Technology]],MATCH(INDEX(TechCodes[[Technology]:[Parent]],MATCH(TechCodes[[#This Row],[L2N]],TechCodes[Technology],0),4),TechCodes[IRENA code],0),2),TechCodes[[#This Row],[L2N]])</f>
        <v>Solar energy</v>
      </c>
      <c r="R48" s="41" t="str">
        <f>IFERROR(INDEX(TechCodes[[IRENA code]:[Technology]],MATCH(INDEX(TechCodes[[Technology]:[Parent]],MATCH(TechCodes[[#This Row],[L3N]],TechCodes[Technology],0),4),TechCodes[IRENA code],0),2),TechCodes[[#This Row],[L3N]])</f>
        <v>Total Renewable</v>
      </c>
      <c r="S48" s="41" t="str">
        <f>IFERROR(INDEX(TechCodes[[IRENA code]:[Technology]],MATCH(INDEX(TechCodes[[Technology]:[Parent]],MATCH(TechCodes[[#This Row],[L4N]],TechCodes[Technology],0),4),TechCodes[IRENA code],0),2),TechCodes[[#This Row],[L4N]])</f>
        <v>TOTAL</v>
      </c>
      <c r="T48" s="41" t="str">
        <f>IFERROR(INDEX(TechCodes[[IRENA code]:[Technology]],MATCH(INDEX(TechCodes[[Technology]:[Parent]],MATCH(TechCodes[[#This Row],[L5N]],TechCodes[Technology],0),4),TechCodes[IRENA code],0),2),TechCodes[[#This Row],[L5N]])</f>
        <v>TOTAL</v>
      </c>
      <c r="U4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solar thermal energy</v>
      </c>
      <c r="Z4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water heaters</v>
      </c>
      <c r="AA48" s="43" t="str">
        <f>IFERROR(VLOOKUP(TechCodes[[#This Row],[IRENA code]],SIEC[[IRENA]:[SIEC]],2,0),"")</f>
        <v/>
      </c>
      <c r="AD48" s="9"/>
      <c r="AE48" s="9"/>
      <c r="AF48" s="9"/>
      <c r="AG48" s="9"/>
      <c r="AI48" s="9" t="s">
        <v>426</v>
      </c>
      <c r="AJ48" s="45" t="s">
        <v>427</v>
      </c>
      <c r="AK48" s="9" t="s">
        <v>399</v>
      </c>
      <c r="AO48" t="s">
        <v>69</v>
      </c>
      <c r="AP48" t="s">
        <v>409</v>
      </c>
      <c r="AQ48" t="s">
        <v>416</v>
      </c>
      <c r="AR48" t="s">
        <v>428</v>
      </c>
      <c r="AS48" s="9" t="s">
        <v>191</v>
      </c>
      <c r="AT48" s="9" t="s">
        <v>175</v>
      </c>
      <c r="AU48" t="s">
        <v>83</v>
      </c>
      <c r="BJ48">
        <v>210</v>
      </c>
      <c r="BK48" t="s">
        <v>379</v>
      </c>
      <c r="BL48" t="s">
        <v>429</v>
      </c>
      <c r="BM48" t="s">
        <v>429</v>
      </c>
      <c r="BN48" t="s">
        <v>430</v>
      </c>
      <c r="BO48" s="19"/>
      <c r="BP48" s="60" t="s">
        <v>431</v>
      </c>
      <c r="BQ48" s="60" t="s">
        <v>431</v>
      </c>
      <c r="BR48">
        <v>200</v>
      </c>
      <c r="BS48" t="s">
        <v>78</v>
      </c>
      <c r="BT48" t="s">
        <v>92</v>
      </c>
    </row>
    <row r="49" spans="3:72" x14ac:dyDescent="0.45">
      <c r="C49" s="25">
        <v>24229</v>
      </c>
      <c r="D49" s="25" t="s">
        <v>432</v>
      </c>
      <c r="E49" s="25" t="s">
        <v>433</v>
      </c>
      <c r="F49" s="25" t="s">
        <v>434</v>
      </c>
      <c r="G49" s="29">
        <v>24220</v>
      </c>
      <c r="H49" t="s">
        <v>83</v>
      </c>
      <c r="I49" t="s">
        <v>66</v>
      </c>
      <c r="J49" t="s">
        <v>66</v>
      </c>
      <c r="K49" t="s">
        <v>107</v>
      </c>
      <c r="N49" t="s">
        <v>1194</v>
      </c>
      <c r="O49" s="41" t="str">
        <f>IFERROR(INDEX(TechCodes[[IRENA code]:[Technology]],MATCH(TechCodes[[#This Row],[Parent]],TechCodes[IRENA code],0),2),TechCodes[[#This Row],[Technology]])</f>
        <v>Other solar thermal energy</v>
      </c>
      <c r="P49" s="41" t="str">
        <f>IFERROR(INDEX(TechCodes[[IRENA code]:[Technology]],MATCH(INDEX(TechCodes[[Technology]:[Parent]],MATCH(TechCodes[[#This Row],[L1N]],TechCodes[Technology],0),4),TechCodes[IRENA code],0),2),TechCodes[[#This Row],[L1N]])</f>
        <v>Solar thermal energy</v>
      </c>
      <c r="Q49" s="41" t="str">
        <f>IFERROR(INDEX(TechCodes[[IRENA code]:[Technology]],MATCH(INDEX(TechCodes[[Technology]:[Parent]],MATCH(TechCodes[[#This Row],[L2N]],TechCodes[Technology],0),4),TechCodes[IRENA code],0),2),TechCodes[[#This Row],[L2N]])</f>
        <v>Solar energy</v>
      </c>
      <c r="R49" s="41" t="str">
        <f>IFERROR(INDEX(TechCodes[[IRENA code]:[Technology]],MATCH(INDEX(TechCodes[[Technology]:[Parent]],MATCH(TechCodes[[#This Row],[L3N]],TechCodes[Technology],0),4),TechCodes[IRENA code],0),2),TechCodes[[#This Row],[L3N]])</f>
        <v>Total Renewable</v>
      </c>
      <c r="S49" s="41" t="str">
        <f>IFERROR(INDEX(TechCodes[[IRENA code]:[Technology]],MATCH(INDEX(TechCodes[[Technology]:[Parent]],MATCH(TechCodes[[#This Row],[L4N]],TechCodes[Technology],0),4),TechCodes[IRENA code],0),2),TechCodes[[#This Row],[L4N]])</f>
        <v>TOTAL</v>
      </c>
      <c r="T49" s="41" t="str">
        <f>IFERROR(INDEX(TechCodes[[IRENA code]:[Technology]],MATCH(INDEX(TechCodes[[Technology]:[Parent]],MATCH(TechCodes[[#This Row],[L5N]],TechCodes[Technology],0),4),TechCodes[IRENA code],0),2),TechCodes[[#This Row],[L5N]])</f>
        <v>TOTAL</v>
      </c>
      <c r="U4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4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4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4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thermal energy</v>
      </c>
      <c r="Y4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solar thermal energy</v>
      </c>
      <c r="Z4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solar heaters</v>
      </c>
      <c r="AA49" s="43" t="str">
        <f>IFERROR(VLOOKUP(TechCodes[[#This Row],[IRENA code]],SIEC[[IRENA]:[SIEC]],2,0),"")</f>
        <v/>
      </c>
      <c r="AD49" s="9"/>
      <c r="AE49" s="9"/>
      <c r="AF49" s="9"/>
      <c r="AG49" s="9"/>
      <c r="AI49" s="9" t="s">
        <v>435</v>
      </c>
      <c r="AJ49" s="45" t="s">
        <v>436</v>
      </c>
      <c r="AK49" s="9" t="s">
        <v>399</v>
      </c>
      <c r="AO49" t="s">
        <v>69</v>
      </c>
      <c r="AP49" t="s">
        <v>409</v>
      </c>
      <c r="AQ49" t="s">
        <v>437</v>
      </c>
      <c r="AR49" t="s">
        <v>437</v>
      </c>
      <c r="AS49" s="9" t="s">
        <v>214</v>
      </c>
      <c r="AT49" s="9" t="s">
        <v>167</v>
      </c>
      <c r="BJ49">
        <v>220</v>
      </c>
      <c r="BK49" t="s">
        <v>379</v>
      </c>
      <c r="BL49" t="s">
        <v>429</v>
      </c>
      <c r="BM49" t="s">
        <v>429</v>
      </c>
      <c r="BN49" t="s">
        <v>430</v>
      </c>
      <c r="BO49" s="19"/>
      <c r="BP49" s="60" t="s">
        <v>438</v>
      </c>
      <c r="BQ49" s="60" t="s">
        <v>438</v>
      </c>
      <c r="BR49">
        <v>200</v>
      </c>
      <c r="BS49" t="s">
        <v>78</v>
      </c>
      <c r="BT49" t="s">
        <v>92</v>
      </c>
    </row>
    <row r="50" spans="3:72" x14ac:dyDescent="0.45">
      <c r="C50" s="32">
        <v>24900</v>
      </c>
      <c r="D50" s="32" t="s">
        <v>439</v>
      </c>
      <c r="E50" s="32" t="s">
        <v>440</v>
      </c>
      <c r="F50" s="32" t="s">
        <v>441</v>
      </c>
      <c r="G50" s="37">
        <v>24000</v>
      </c>
      <c r="H50" t="s">
        <v>83</v>
      </c>
      <c r="I50" t="s">
        <v>66</v>
      </c>
      <c r="J50" t="s">
        <v>66</v>
      </c>
      <c r="K50" t="s">
        <v>107</v>
      </c>
      <c r="N50" t="s">
        <v>1194</v>
      </c>
      <c r="O50" s="41" t="str">
        <f>IFERROR(INDEX(TechCodes[[IRENA code]:[Technology]],MATCH(TechCodes[[#This Row],[Parent]],TechCodes[IRENA code],0),2),TechCodes[[#This Row],[Technology]])</f>
        <v>Solar energy</v>
      </c>
      <c r="P50" s="41" t="str">
        <f>IFERROR(INDEX(TechCodes[[IRENA code]:[Technology]],MATCH(INDEX(TechCodes[[Technology]:[Parent]],MATCH(TechCodes[[#This Row],[L1N]],TechCodes[Technology],0),4),TechCodes[IRENA code],0),2),TechCodes[[#This Row],[L1N]])</f>
        <v>Total Renewable</v>
      </c>
      <c r="Q50" s="41" t="str">
        <f>IFERROR(INDEX(TechCodes[[IRENA code]:[Technology]],MATCH(INDEX(TechCodes[[Technology]:[Parent]],MATCH(TechCodes[[#This Row],[L2N]],TechCodes[Technology],0),4),TechCodes[IRENA code],0),2),TechCodes[[#This Row],[L2N]])</f>
        <v>TOTAL</v>
      </c>
      <c r="R50" s="41" t="str">
        <f>IFERROR(INDEX(TechCodes[[IRENA code]:[Technology]],MATCH(INDEX(TechCodes[[Technology]:[Parent]],MATCH(TechCodes[[#This Row],[L3N]],TechCodes[Technology],0),4),TechCodes[IRENA code],0),2),TechCodes[[#This Row],[L3N]])</f>
        <v>TOTAL</v>
      </c>
      <c r="S50" s="41" t="str">
        <f>IFERROR(INDEX(TechCodes[[IRENA code]:[Technology]],MATCH(INDEX(TechCodes[[Technology]:[Parent]],MATCH(TechCodes[[#This Row],[L4N]],TechCodes[Technology],0),4),TechCodes[IRENA code],0),2),TechCodes[[#This Row],[L4N]])</f>
        <v>TOTAL</v>
      </c>
      <c r="T50" s="41" t="str">
        <f>IFERROR(INDEX(TechCodes[[IRENA code]:[Technology]],MATCH(INDEX(TechCodes[[Technology]:[Parent]],MATCH(TechCodes[[#This Row],[L5N]],TechCodes[Technology],0),4),TechCodes[IRENA code],0),2),TechCodes[[#This Row],[L5N]])</f>
        <v>TOTAL</v>
      </c>
      <c r="U5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Solar energy</v>
      </c>
      <c r="X5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Solar energy n.e.s.</v>
      </c>
      <c r="Y5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Solar energy n.e.s.</v>
      </c>
      <c r="Z5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Solar energy n.e.s.</v>
      </c>
      <c r="AA50" s="43" t="str">
        <f>IFERROR(VLOOKUP(TechCodes[[#This Row],[IRENA code]],SIEC[[IRENA]:[SIEC]],2,0),"")</f>
        <v/>
      </c>
      <c r="AD50" s="9"/>
      <c r="AE50" s="9"/>
      <c r="AF50" s="9"/>
      <c r="AG50" s="9"/>
      <c r="AI50" s="9" t="s">
        <v>442</v>
      </c>
      <c r="AJ50" s="46" t="s">
        <v>443</v>
      </c>
      <c r="AK50" s="9" t="s">
        <v>435</v>
      </c>
      <c r="AO50" t="s">
        <v>69</v>
      </c>
      <c r="AP50" t="s">
        <v>409</v>
      </c>
      <c r="AQ50" t="s">
        <v>437</v>
      </c>
      <c r="AR50" t="s">
        <v>444</v>
      </c>
      <c r="AS50" s="9" t="s">
        <v>445</v>
      </c>
      <c r="AT50" s="9" t="s">
        <v>214</v>
      </c>
      <c r="AU50" t="s">
        <v>83</v>
      </c>
      <c r="BJ50">
        <v>230</v>
      </c>
      <c r="BK50" t="s">
        <v>379</v>
      </c>
      <c r="BL50" t="s">
        <v>429</v>
      </c>
      <c r="BM50" t="s">
        <v>429</v>
      </c>
      <c r="BN50" t="s">
        <v>430</v>
      </c>
      <c r="BO50" s="19"/>
      <c r="BP50" s="60" t="s">
        <v>446</v>
      </c>
      <c r="BQ50" s="60" t="s">
        <v>446</v>
      </c>
      <c r="BR50">
        <v>200</v>
      </c>
      <c r="BS50" t="s">
        <v>78</v>
      </c>
      <c r="BT50" t="s">
        <v>92</v>
      </c>
    </row>
    <row r="51" spans="3:72" ht="15.75" x14ac:dyDescent="0.5">
      <c r="C51" s="34">
        <v>25000</v>
      </c>
      <c r="D51" s="34" t="s">
        <v>447</v>
      </c>
      <c r="E51" s="34" t="s">
        <v>448</v>
      </c>
      <c r="F51" s="34" t="s">
        <v>449</v>
      </c>
      <c r="G51" s="38">
        <v>20000</v>
      </c>
      <c r="H51" t="s">
        <v>65</v>
      </c>
      <c r="I51" t="s">
        <v>242</v>
      </c>
      <c r="J51" t="s">
        <v>66</v>
      </c>
      <c r="K51" t="s">
        <v>21</v>
      </c>
      <c r="M51">
        <v>33</v>
      </c>
      <c r="N51" t="s">
        <v>447</v>
      </c>
      <c r="O51" s="41" t="str">
        <f>IFERROR(INDEX(TechCodes[[IRENA code]:[Technology]],MATCH(TechCodes[[#This Row],[Parent]],TechCodes[IRENA code],0),2),TechCodes[[#This Row],[Technology]])</f>
        <v>Total Renewable</v>
      </c>
      <c r="P51" s="41" t="str">
        <f>IFERROR(INDEX(TechCodes[[IRENA code]:[Technology]],MATCH(INDEX(TechCodes[[Technology]:[Parent]],MATCH(TechCodes[[#This Row],[L1N]],TechCodes[Technology],0),4),TechCodes[IRENA code],0),2),TechCodes[[#This Row],[L1N]])</f>
        <v>TOTAL</v>
      </c>
      <c r="Q51" s="41" t="str">
        <f>IFERROR(INDEX(TechCodes[[IRENA code]:[Technology]],MATCH(INDEX(TechCodes[[Technology]:[Parent]],MATCH(TechCodes[[#This Row],[L2N]],TechCodes[Technology],0),4),TechCodes[IRENA code],0),2),TechCodes[[#This Row],[L2N]])</f>
        <v>TOTAL</v>
      </c>
      <c r="R51" s="41" t="str">
        <f>IFERROR(INDEX(TechCodes[[IRENA code]:[Technology]],MATCH(INDEX(TechCodes[[Technology]:[Parent]],MATCH(TechCodes[[#This Row],[L3N]],TechCodes[Technology],0),4),TechCodes[IRENA code],0),2),TechCodes[[#This Row],[L3N]])</f>
        <v>TOTAL</v>
      </c>
      <c r="S51" s="41" t="str">
        <f>IFERROR(INDEX(TechCodes[[IRENA code]:[Technology]],MATCH(INDEX(TechCodes[[Technology]:[Parent]],MATCH(TechCodes[[#This Row],[L4N]],TechCodes[Technology],0),4),TechCodes[IRENA code],0),2),TechCodes[[#This Row],[L4N]])</f>
        <v>TOTAL</v>
      </c>
      <c r="T51" s="41" t="str">
        <f>IFERROR(INDEX(TechCodes[[IRENA code]:[Technology]],MATCH(INDEX(TechCodes[[Technology]:[Parent]],MATCH(TechCodes[[#This Row],[L5N]],TechCodes[Technology],0),4),TechCodes[IRENA code],0),2),TechCodes[[#This Row],[L5N]])</f>
        <v>TOTAL</v>
      </c>
      <c r="U5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Bioenergy</v>
      </c>
      <c r="Y5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Bioenergy</v>
      </c>
      <c r="Z5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Bioenergy</v>
      </c>
      <c r="AA51" s="43" t="str">
        <f>IFERROR(VLOOKUP(TechCodes[[#This Row],[IRENA code]],SIEC[[IRENA]:[SIEC]],2,0),"")</f>
        <v/>
      </c>
      <c r="AD51" s="9"/>
      <c r="AE51" s="9"/>
      <c r="AF51" s="9"/>
      <c r="AG51" s="9"/>
      <c r="AI51" s="9" t="s">
        <v>450</v>
      </c>
      <c r="AJ51" s="46" t="s">
        <v>451</v>
      </c>
      <c r="AK51" s="9" t="s">
        <v>435</v>
      </c>
      <c r="AO51" t="s">
        <v>69</v>
      </c>
      <c r="AP51" t="s">
        <v>409</v>
      </c>
      <c r="AQ51" t="s">
        <v>437</v>
      </c>
      <c r="AR51" t="s">
        <v>452</v>
      </c>
      <c r="AS51" s="9" t="s">
        <v>453</v>
      </c>
      <c r="AT51" s="9" t="s">
        <v>214</v>
      </c>
      <c r="AU51" t="s">
        <v>83</v>
      </c>
      <c r="BJ51">
        <v>200</v>
      </c>
      <c r="BK51" t="s">
        <v>379</v>
      </c>
      <c r="BL51" t="s">
        <v>429</v>
      </c>
      <c r="BM51" t="s">
        <v>429</v>
      </c>
      <c r="BN51" t="s">
        <v>430</v>
      </c>
      <c r="BO51" s="19"/>
      <c r="BP51" s="60" t="s">
        <v>454</v>
      </c>
      <c r="BQ51" s="60" t="s">
        <v>454</v>
      </c>
      <c r="BR51">
        <v>300</v>
      </c>
      <c r="BS51" t="s">
        <v>78</v>
      </c>
      <c r="BT51" t="s">
        <v>92</v>
      </c>
    </row>
    <row r="52" spans="3:72" x14ac:dyDescent="0.45">
      <c r="C52" s="32">
        <v>25110</v>
      </c>
      <c r="D52" s="32" t="s">
        <v>455</v>
      </c>
      <c r="E52" s="32" t="s">
        <v>456</v>
      </c>
      <c r="F52" s="32" t="s">
        <v>457</v>
      </c>
      <c r="G52" s="37">
        <v>25000</v>
      </c>
      <c r="H52" t="s">
        <v>83</v>
      </c>
      <c r="I52" t="s">
        <v>242</v>
      </c>
      <c r="J52" t="s">
        <v>242</v>
      </c>
      <c r="K52" t="s">
        <v>21</v>
      </c>
      <c r="L52" s="26" t="s">
        <v>458</v>
      </c>
      <c r="M52" s="26"/>
      <c r="N52" t="s">
        <v>447</v>
      </c>
      <c r="O52" s="41" t="str">
        <f>IFERROR(INDEX(TechCodes[[IRENA code]:[Technology]],MATCH(TechCodes[[#This Row],[Parent]],TechCodes[IRENA code],0),2),TechCodes[[#This Row],[Technology]])</f>
        <v>Bioenergy</v>
      </c>
      <c r="P52" s="41" t="str">
        <f>IFERROR(INDEX(TechCodes[[IRENA code]:[Technology]],MATCH(INDEX(TechCodes[[Technology]:[Parent]],MATCH(TechCodes[[#This Row],[L1N]],TechCodes[Technology],0),4),TechCodes[IRENA code],0),2),TechCodes[[#This Row],[L1N]])</f>
        <v>Total Renewable</v>
      </c>
      <c r="Q52" s="41" t="str">
        <f>IFERROR(INDEX(TechCodes[[IRENA code]:[Technology]],MATCH(INDEX(TechCodes[[Technology]:[Parent]],MATCH(TechCodes[[#This Row],[L2N]],TechCodes[Technology],0),4),TechCodes[IRENA code],0),2),TechCodes[[#This Row],[L2N]])</f>
        <v>TOTAL</v>
      </c>
      <c r="R52" s="41" t="str">
        <f>IFERROR(INDEX(TechCodes[[IRENA code]:[Technology]],MATCH(INDEX(TechCodes[[Technology]:[Parent]],MATCH(TechCodes[[#This Row],[L3N]],TechCodes[Technology],0),4),TechCodes[IRENA code],0),2),TechCodes[[#This Row],[L3N]])</f>
        <v>TOTAL</v>
      </c>
      <c r="S52" s="41" t="str">
        <f>IFERROR(INDEX(TechCodes[[IRENA code]:[Technology]],MATCH(INDEX(TechCodes[[Technology]:[Parent]],MATCH(TechCodes[[#This Row],[L4N]],TechCodes[Technology],0),4),TechCodes[IRENA code],0),2),TechCodes[[#This Row],[L4N]])</f>
        <v>TOTAL</v>
      </c>
      <c r="T52" s="41" t="str">
        <f>IFERROR(INDEX(TechCodes[[IRENA code]:[Technology]],MATCH(INDEX(TechCodes[[Technology]:[Parent]],MATCH(TechCodes[[#This Row],[L5N]],TechCodes[Technology],0),4),TechCodes[IRENA code],0),2),TechCodes[[#This Row],[L5N]])</f>
        <v>TOTAL</v>
      </c>
      <c r="U5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Renewable municipal waste</v>
      </c>
      <c r="Y5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Renewable municipal waste</v>
      </c>
      <c r="Z5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Renewable municipal waste</v>
      </c>
      <c r="AA52" s="43" t="str">
        <f>IFERROR(VLOOKUP(TechCodes[[#This Row],[IRENA code]],SIEC[[IRENA]:[SIEC]],2,0),"")</f>
        <v/>
      </c>
      <c r="AD52" s="9"/>
      <c r="AE52" s="9"/>
      <c r="AF52" s="9"/>
      <c r="AG52" s="9"/>
      <c r="AI52" s="9" t="s">
        <v>459</v>
      </c>
      <c r="AJ52" s="46" t="s">
        <v>460</v>
      </c>
      <c r="AK52" s="9" t="s">
        <v>435</v>
      </c>
      <c r="AO52" t="s">
        <v>446</v>
      </c>
      <c r="AP52" t="s">
        <v>446</v>
      </c>
      <c r="AQ52" t="s">
        <v>446</v>
      </c>
      <c r="AR52" t="s">
        <v>446</v>
      </c>
      <c r="AS52" s="9" t="s">
        <v>461</v>
      </c>
      <c r="AT52" s="9"/>
      <c r="BJ52">
        <v>299</v>
      </c>
      <c r="BK52" t="s">
        <v>379</v>
      </c>
      <c r="BL52" t="s">
        <v>429</v>
      </c>
      <c r="BM52" t="s">
        <v>429</v>
      </c>
      <c r="BN52" t="s">
        <v>429</v>
      </c>
      <c r="BO52" s="19"/>
      <c r="BP52" s="60" t="s">
        <v>462</v>
      </c>
      <c r="BQ52" s="60" t="s">
        <v>462</v>
      </c>
      <c r="BR52">
        <v>300</v>
      </c>
      <c r="BS52" t="s">
        <v>78</v>
      </c>
      <c r="BT52" t="s">
        <v>92</v>
      </c>
    </row>
    <row r="53" spans="3:72" x14ac:dyDescent="0.45">
      <c r="C53" s="32">
        <v>25120</v>
      </c>
      <c r="D53" s="32" t="s">
        <v>463</v>
      </c>
      <c r="E53" s="32" t="s">
        <v>464</v>
      </c>
      <c r="F53" s="32" t="s">
        <v>465</v>
      </c>
      <c r="G53" s="37">
        <v>25000</v>
      </c>
      <c r="H53" t="s">
        <v>83</v>
      </c>
      <c r="I53" t="s">
        <v>242</v>
      </c>
      <c r="J53" t="s">
        <v>66</v>
      </c>
      <c r="K53" t="s">
        <v>21</v>
      </c>
      <c r="L53" s="26" t="s">
        <v>458</v>
      </c>
      <c r="M53" s="26"/>
      <c r="N53" t="s">
        <v>447</v>
      </c>
      <c r="O53" s="41" t="str">
        <f>IFERROR(INDEX(TechCodes[[IRENA code]:[Technology]],MATCH(TechCodes[[#This Row],[Parent]],TechCodes[IRENA code],0),2),TechCodes[[#This Row],[Technology]])</f>
        <v>Bioenergy</v>
      </c>
      <c r="P53" s="41" t="str">
        <f>IFERROR(INDEX(TechCodes[[IRENA code]:[Technology]],MATCH(INDEX(TechCodes[[Technology]:[Parent]],MATCH(TechCodes[[#This Row],[L1N]],TechCodes[Technology],0),4),TechCodes[IRENA code],0),2),TechCodes[[#This Row],[L1N]])</f>
        <v>Total Renewable</v>
      </c>
      <c r="Q53" s="41" t="str">
        <f>IFERROR(INDEX(TechCodes[[IRENA code]:[Technology]],MATCH(INDEX(TechCodes[[Technology]:[Parent]],MATCH(TechCodes[[#This Row],[L2N]],TechCodes[Technology],0),4),TechCodes[IRENA code],0),2),TechCodes[[#This Row],[L2N]])</f>
        <v>TOTAL</v>
      </c>
      <c r="R53" s="41" t="str">
        <f>IFERROR(INDEX(TechCodes[[IRENA code]:[Technology]],MATCH(INDEX(TechCodes[[Technology]:[Parent]],MATCH(TechCodes[[#This Row],[L3N]],TechCodes[Technology],0),4),TechCodes[IRENA code],0),2),TechCodes[[#This Row],[L3N]])</f>
        <v>TOTAL</v>
      </c>
      <c r="S53" s="41" t="str">
        <f>IFERROR(INDEX(TechCodes[[IRENA code]:[Technology]],MATCH(INDEX(TechCodes[[Technology]:[Parent]],MATCH(TechCodes[[#This Row],[L4N]],TechCodes[Technology],0),4),TechCodes[IRENA code],0),2),TechCodes[[#This Row],[L4N]])</f>
        <v>TOTAL</v>
      </c>
      <c r="T53" s="41" t="str">
        <f>IFERROR(INDEX(TechCodes[[IRENA code]:[Technology]],MATCH(INDEX(TechCodes[[Technology]:[Parent]],MATCH(TechCodes[[#This Row],[L5N]],TechCodes[Technology],0),4),TechCodes[IRENA code],0),2),TechCodes[[#This Row],[L5N]])</f>
        <v>TOTAL</v>
      </c>
      <c r="U5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Solid biofuels</v>
      </c>
      <c r="Z5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Solid biofuels</v>
      </c>
      <c r="AA53" s="43" t="str">
        <f>IFERROR(VLOOKUP(TechCodes[[#This Row],[IRENA code]],SIEC[[IRENA]:[SIEC]],2,0),"")</f>
        <v/>
      </c>
      <c r="AD53" s="9"/>
      <c r="AE53" s="9"/>
      <c r="AF53" s="9"/>
      <c r="AG53" s="9"/>
      <c r="AI53" s="9" t="s">
        <v>466</v>
      </c>
      <c r="AJ53" s="45" t="s">
        <v>467</v>
      </c>
      <c r="AK53" s="9" t="s">
        <v>399</v>
      </c>
      <c r="AO53" t="s">
        <v>446</v>
      </c>
      <c r="AP53" t="s">
        <v>468</v>
      </c>
      <c r="AQ53" t="s">
        <v>468</v>
      </c>
      <c r="AR53" t="s">
        <v>468</v>
      </c>
      <c r="AS53" s="9" t="s">
        <v>469</v>
      </c>
      <c r="AT53" s="9" t="s">
        <v>461</v>
      </c>
      <c r="BJ53">
        <v>310</v>
      </c>
      <c r="BK53" t="s">
        <v>379</v>
      </c>
      <c r="BL53" t="s">
        <v>429</v>
      </c>
      <c r="BM53" t="s">
        <v>429</v>
      </c>
      <c r="BN53" t="s">
        <v>429</v>
      </c>
      <c r="BO53" s="19"/>
      <c r="BP53" s="60" t="s">
        <v>470</v>
      </c>
      <c r="BQ53" s="60" t="s">
        <v>470</v>
      </c>
      <c r="BR53">
        <v>300</v>
      </c>
      <c r="BS53" t="s">
        <v>78</v>
      </c>
      <c r="BT53" t="s">
        <v>92</v>
      </c>
    </row>
    <row r="54" spans="3:72" x14ac:dyDescent="0.45">
      <c r="C54" s="24">
        <v>25121</v>
      </c>
      <c r="D54" s="24" t="s">
        <v>471</v>
      </c>
      <c r="E54" s="24" t="s">
        <v>472</v>
      </c>
      <c r="F54" s="24" t="s">
        <v>473</v>
      </c>
      <c r="G54" s="28">
        <v>25120</v>
      </c>
      <c r="H54" t="s">
        <v>83</v>
      </c>
      <c r="I54" t="s">
        <v>66</v>
      </c>
      <c r="J54" t="s">
        <v>242</v>
      </c>
      <c r="K54" t="s">
        <v>107</v>
      </c>
      <c r="L54" t="s">
        <v>474</v>
      </c>
      <c r="N54" t="s">
        <v>447</v>
      </c>
      <c r="O54" s="41" t="str">
        <f>IFERROR(INDEX(TechCodes[[IRENA code]:[Technology]],MATCH(TechCodes[[#This Row],[Parent]],TechCodes[IRENA code],0),2),TechCodes[[#This Row],[Technology]])</f>
        <v>Solid biofuels</v>
      </c>
      <c r="P54" s="41" t="str">
        <f>IFERROR(INDEX(TechCodes[[IRENA code]:[Technology]],MATCH(INDEX(TechCodes[[Technology]:[Parent]],MATCH(TechCodes[[#This Row],[L1N]],TechCodes[Technology],0),4),TechCodes[IRENA code],0),2),TechCodes[[#This Row],[L1N]])</f>
        <v>Bioenergy</v>
      </c>
      <c r="Q54" s="41" t="str">
        <f>IFERROR(INDEX(TechCodes[[IRENA code]:[Technology]],MATCH(INDEX(TechCodes[[Technology]:[Parent]],MATCH(TechCodes[[#This Row],[L2N]],TechCodes[Technology],0),4),TechCodes[IRENA code],0),2),TechCodes[[#This Row],[L2N]])</f>
        <v>Total Renewable</v>
      </c>
      <c r="R54" s="41" t="str">
        <f>IFERROR(INDEX(TechCodes[[IRENA code]:[Technology]],MATCH(INDEX(TechCodes[[Technology]:[Parent]],MATCH(TechCodes[[#This Row],[L3N]],TechCodes[Technology],0),4),TechCodes[IRENA code],0),2),TechCodes[[#This Row],[L3N]])</f>
        <v>TOTAL</v>
      </c>
      <c r="S54" s="41" t="str">
        <f>IFERROR(INDEX(TechCodes[[IRENA code]:[Technology]],MATCH(INDEX(TechCodes[[Technology]:[Parent]],MATCH(TechCodes[[#This Row],[L4N]],TechCodes[Technology],0),4),TechCodes[IRENA code],0),2),TechCodes[[#This Row],[L4N]])</f>
        <v>TOTAL</v>
      </c>
      <c r="T54" s="41" t="str">
        <f>IFERROR(INDEX(TechCodes[[IRENA code]:[Technology]],MATCH(INDEX(TechCodes[[Technology]:[Parent]],MATCH(TechCodes[[#This Row],[L5N]],TechCodes[Technology],0),4),TechCodes[IRENA code],0),2),TechCodes[[#This Row],[L5N]])</f>
        <v>TOTAL</v>
      </c>
      <c r="U5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Wood fuel</v>
      </c>
      <c r="Z5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Wood fuel</v>
      </c>
      <c r="AA54" s="43" t="str">
        <f>IFERROR(VLOOKUP(TechCodes[[#This Row],[IRENA code]],SIEC[[IRENA]:[SIEC]],2,0),"")</f>
        <v/>
      </c>
      <c r="AD54" s="9"/>
      <c r="AE54" s="9"/>
      <c r="AF54" s="9"/>
      <c r="AG54" s="9"/>
      <c r="AI54" s="9" t="s">
        <v>475</v>
      </c>
      <c r="AJ54" s="46" t="s">
        <v>476</v>
      </c>
      <c r="AK54" s="9" t="s">
        <v>466</v>
      </c>
      <c r="AO54" t="s">
        <v>446</v>
      </c>
      <c r="AP54" t="s">
        <v>468</v>
      </c>
      <c r="AQ54" s="9" t="s">
        <v>477</v>
      </c>
      <c r="AR54" s="9" t="s">
        <v>477</v>
      </c>
      <c r="AS54" s="9" t="s">
        <v>478</v>
      </c>
      <c r="AT54" s="9" t="s">
        <v>469</v>
      </c>
      <c r="AU54" t="s">
        <v>83</v>
      </c>
      <c r="BJ54">
        <v>320</v>
      </c>
      <c r="BK54" t="s">
        <v>379</v>
      </c>
      <c r="BL54" t="s">
        <v>429</v>
      </c>
      <c r="BM54" t="s">
        <v>429</v>
      </c>
      <c r="BN54" t="s">
        <v>429</v>
      </c>
      <c r="BO54" s="19"/>
      <c r="BP54" s="60" t="s">
        <v>479</v>
      </c>
      <c r="BQ54" s="60" t="s">
        <v>479</v>
      </c>
      <c r="BR54">
        <v>300</v>
      </c>
      <c r="BS54" t="s">
        <v>78</v>
      </c>
      <c r="BT54" t="s">
        <v>92</v>
      </c>
    </row>
    <row r="55" spans="3:72" x14ac:dyDescent="0.45">
      <c r="C55" s="24">
        <v>25122</v>
      </c>
      <c r="D55" s="24" t="s">
        <v>480</v>
      </c>
      <c r="E55" s="24" t="s">
        <v>481</v>
      </c>
      <c r="F55" s="24" t="s">
        <v>482</v>
      </c>
      <c r="G55" s="28">
        <v>25120</v>
      </c>
      <c r="H55" t="s">
        <v>83</v>
      </c>
      <c r="I55" t="s">
        <v>66</v>
      </c>
      <c r="J55" t="s">
        <v>242</v>
      </c>
      <c r="K55" t="s">
        <v>107</v>
      </c>
      <c r="L55" t="s">
        <v>474</v>
      </c>
      <c r="N55" t="s">
        <v>447</v>
      </c>
      <c r="O55" s="41" t="str">
        <f>IFERROR(INDEX(TechCodes[[IRENA code]:[Technology]],MATCH(TechCodes[[#This Row],[Parent]],TechCodes[IRENA code],0),2),TechCodes[[#This Row],[Technology]])</f>
        <v>Solid biofuels</v>
      </c>
      <c r="P55" s="41" t="str">
        <f>IFERROR(INDEX(TechCodes[[IRENA code]:[Technology]],MATCH(INDEX(TechCodes[[Technology]:[Parent]],MATCH(TechCodes[[#This Row],[L1N]],TechCodes[Technology],0),4),TechCodes[IRENA code],0),2),TechCodes[[#This Row],[L1N]])</f>
        <v>Bioenergy</v>
      </c>
      <c r="Q55" s="41" t="str">
        <f>IFERROR(INDEX(TechCodes[[IRENA code]:[Technology]],MATCH(INDEX(TechCodes[[Technology]:[Parent]],MATCH(TechCodes[[#This Row],[L2N]],TechCodes[Technology],0),4),TechCodes[IRENA code],0),2),TechCodes[[#This Row],[L2N]])</f>
        <v>Total Renewable</v>
      </c>
      <c r="R55" s="41" t="str">
        <f>IFERROR(INDEX(TechCodes[[IRENA code]:[Technology]],MATCH(INDEX(TechCodes[[Technology]:[Parent]],MATCH(TechCodes[[#This Row],[L3N]],TechCodes[Technology],0),4),TechCodes[IRENA code],0),2),TechCodes[[#This Row],[L3N]])</f>
        <v>TOTAL</v>
      </c>
      <c r="S55" s="41" t="str">
        <f>IFERROR(INDEX(TechCodes[[IRENA code]:[Technology]],MATCH(INDEX(TechCodes[[Technology]:[Parent]],MATCH(TechCodes[[#This Row],[L4N]],TechCodes[Technology],0),4),TechCodes[IRENA code],0),2),TechCodes[[#This Row],[L4N]])</f>
        <v>TOTAL</v>
      </c>
      <c r="T55" s="41" t="str">
        <f>IFERROR(INDEX(TechCodes[[IRENA code]:[Technology]],MATCH(INDEX(TechCodes[[Technology]:[Parent]],MATCH(TechCodes[[#This Row],[L5N]],TechCodes[Technology],0),4),TechCodes[IRENA code],0),2),TechCodes[[#This Row],[L5N]])</f>
        <v>TOTAL</v>
      </c>
      <c r="U5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Energy crops</v>
      </c>
      <c r="Z5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Energy crops</v>
      </c>
      <c r="AA55" s="43" t="str">
        <f>IFERROR(VLOOKUP(TechCodes[[#This Row],[IRENA code]],SIEC[[IRENA]:[SIEC]],2,0),"")</f>
        <v/>
      </c>
      <c r="AD55" s="9"/>
      <c r="AE55" s="9"/>
      <c r="AF55" s="9"/>
      <c r="AG55" s="9"/>
      <c r="AI55" s="9" t="s">
        <v>483</v>
      </c>
      <c r="AJ55" s="46" t="s">
        <v>484</v>
      </c>
      <c r="AK55" s="9" t="s">
        <v>466</v>
      </c>
      <c r="AO55" t="s">
        <v>446</v>
      </c>
      <c r="AP55" t="s">
        <v>468</v>
      </c>
      <c r="AQ55" t="s">
        <v>485</v>
      </c>
      <c r="AR55" t="s">
        <v>485</v>
      </c>
      <c r="AS55" s="9" t="s">
        <v>486</v>
      </c>
      <c r="AT55" s="9" t="s">
        <v>469</v>
      </c>
      <c r="AU55" t="s">
        <v>83</v>
      </c>
      <c r="BK55" t="s">
        <v>379</v>
      </c>
      <c r="BL55" t="s">
        <v>429</v>
      </c>
      <c r="BM55" t="s">
        <v>429</v>
      </c>
      <c r="BN55" t="s">
        <v>429</v>
      </c>
      <c r="BO55" s="19"/>
      <c r="BP55" s="60" t="s">
        <v>487</v>
      </c>
      <c r="BQ55" s="60" t="s">
        <v>487</v>
      </c>
      <c r="BR55">
        <v>300</v>
      </c>
      <c r="BS55" t="s">
        <v>78</v>
      </c>
      <c r="BT55" t="s">
        <v>92</v>
      </c>
    </row>
    <row r="56" spans="3:72" x14ac:dyDescent="0.45">
      <c r="C56" s="24">
        <v>25123</v>
      </c>
      <c r="D56" s="24" t="s">
        <v>488</v>
      </c>
      <c r="E56" s="24" t="s">
        <v>489</v>
      </c>
      <c r="F56" s="24" t="s">
        <v>490</v>
      </c>
      <c r="G56" s="28">
        <v>25120</v>
      </c>
      <c r="H56" t="s">
        <v>83</v>
      </c>
      <c r="I56" t="s">
        <v>66</v>
      </c>
      <c r="J56" t="s">
        <v>242</v>
      </c>
      <c r="K56" t="s">
        <v>107</v>
      </c>
      <c r="L56" t="s">
        <v>474</v>
      </c>
      <c r="N56" t="s">
        <v>447</v>
      </c>
      <c r="O56" s="41" t="str">
        <f>IFERROR(INDEX(TechCodes[[IRENA code]:[Technology]],MATCH(TechCodes[[#This Row],[Parent]],TechCodes[IRENA code],0),2),TechCodes[[#This Row],[Technology]])</f>
        <v>Solid biofuels</v>
      </c>
      <c r="P56" s="41" t="str">
        <f>IFERROR(INDEX(TechCodes[[IRENA code]:[Technology]],MATCH(INDEX(TechCodes[[Technology]:[Parent]],MATCH(TechCodes[[#This Row],[L1N]],TechCodes[Technology],0),4),TechCodes[IRENA code],0),2),TechCodes[[#This Row],[L1N]])</f>
        <v>Bioenergy</v>
      </c>
      <c r="Q56" s="41" t="str">
        <f>IFERROR(INDEX(TechCodes[[IRENA code]:[Technology]],MATCH(INDEX(TechCodes[[Technology]:[Parent]],MATCH(TechCodes[[#This Row],[L2N]],TechCodes[Technology],0),4),TechCodes[IRENA code],0),2),TechCodes[[#This Row],[L2N]])</f>
        <v>Total Renewable</v>
      </c>
      <c r="R56" s="41" t="str">
        <f>IFERROR(INDEX(TechCodes[[IRENA code]:[Technology]],MATCH(INDEX(TechCodes[[Technology]:[Parent]],MATCH(TechCodes[[#This Row],[L3N]],TechCodes[Technology],0),4),TechCodes[IRENA code],0),2),TechCodes[[#This Row],[L3N]])</f>
        <v>TOTAL</v>
      </c>
      <c r="S56" s="41" t="str">
        <f>IFERROR(INDEX(TechCodes[[IRENA code]:[Technology]],MATCH(INDEX(TechCodes[[Technology]:[Parent]],MATCH(TechCodes[[#This Row],[L4N]],TechCodes[Technology],0),4),TechCodes[IRENA code],0),2),TechCodes[[#This Row],[L4N]])</f>
        <v>TOTAL</v>
      </c>
      <c r="T56" s="41" t="str">
        <f>IFERROR(INDEX(TechCodes[[IRENA code]:[Technology]],MATCH(INDEX(TechCodes[[Technology]:[Parent]],MATCH(TechCodes[[#This Row],[L5N]],TechCodes[Technology],0),4),TechCodes[IRENA code],0),2),TechCodes[[#This Row],[L5N]])</f>
        <v>TOTAL</v>
      </c>
      <c r="U5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Wood waste</v>
      </c>
      <c r="Z5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Wood waste</v>
      </c>
      <c r="AA56" s="43" t="str">
        <f>IFERROR(VLOOKUP(TechCodes[[#This Row],[IRENA code]],SIEC[[IRENA]:[SIEC]],2,0),"")</f>
        <v/>
      </c>
      <c r="AD56" s="9"/>
      <c r="AE56" s="9"/>
      <c r="AF56" s="9"/>
      <c r="AG56" s="9"/>
      <c r="AI56" s="9" t="s">
        <v>491</v>
      </c>
      <c r="AJ56" s="45" t="s">
        <v>492</v>
      </c>
      <c r="AK56" s="9" t="s">
        <v>399</v>
      </c>
      <c r="AO56" t="s">
        <v>446</v>
      </c>
      <c r="AP56" t="s">
        <v>493</v>
      </c>
      <c r="AQ56" t="s">
        <v>493</v>
      </c>
      <c r="AR56" t="s">
        <v>493</v>
      </c>
      <c r="AS56" s="9" t="s">
        <v>494</v>
      </c>
      <c r="AT56" s="9" t="s">
        <v>461</v>
      </c>
      <c r="BK56" t="s">
        <v>379</v>
      </c>
      <c r="BL56" t="s">
        <v>429</v>
      </c>
      <c r="BM56" t="s">
        <v>429</v>
      </c>
      <c r="BN56" t="s">
        <v>429</v>
      </c>
      <c r="BO56" s="19"/>
      <c r="BP56" s="60" t="s">
        <v>495</v>
      </c>
      <c r="BQ56" s="60" t="s">
        <v>495</v>
      </c>
      <c r="BR56">
        <v>300</v>
      </c>
      <c r="BS56" t="s">
        <v>78</v>
      </c>
      <c r="BT56" t="s">
        <v>92</v>
      </c>
    </row>
    <row r="57" spans="3:72" x14ac:dyDescent="0.45">
      <c r="C57" s="24">
        <v>25124</v>
      </c>
      <c r="D57" s="24" t="s">
        <v>496</v>
      </c>
      <c r="E57" s="24" t="s">
        <v>497</v>
      </c>
      <c r="F57" s="24" t="s">
        <v>498</v>
      </c>
      <c r="G57" s="28">
        <v>25120</v>
      </c>
      <c r="H57" t="s">
        <v>83</v>
      </c>
      <c r="I57" t="s">
        <v>66</v>
      </c>
      <c r="J57" t="s">
        <v>242</v>
      </c>
      <c r="K57" t="s">
        <v>107</v>
      </c>
      <c r="L57" t="s">
        <v>474</v>
      </c>
      <c r="N57" t="s">
        <v>447</v>
      </c>
      <c r="O57" s="41" t="str">
        <f>IFERROR(INDEX(TechCodes[[IRENA code]:[Technology]],MATCH(TechCodes[[#This Row],[Parent]],TechCodes[IRENA code],0),2),TechCodes[[#This Row],[Technology]])</f>
        <v>Solid biofuels</v>
      </c>
      <c r="P57" s="41" t="str">
        <f>IFERROR(INDEX(TechCodes[[IRENA code]:[Technology]],MATCH(INDEX(TechCodes[[Technology]:[Parent]],MATCH(TechCodes[[#This Row],[L1N]],TechCodes[Technology],0),4),TechCodes[IRENA code],0),2),TechCodes[[#This Row],[L1N]])</f>
        <v>Bioenergy</v>
      </c>
      <c r="Q57" s="41" t="str">
        <f>IFERROR(INDEX(TechCodes[[IRENA code]:[Technology]],MATCH(INDEX(TechCodes[[Technology]:[Parent]],MATCH(TechCodes[[#This Row],[L2N]],TechCodes[Technology],0),4),TechCodes[IRENA code],0),2),TechCodes[[#This Row],[L2N]])</f>
        <v>Total Renewable</v>
      </c>
      <c r="R57" s="41" t="str">
        <f>IFERROR(INDEX(TechCodes[[IRENA code]:[Technology]],MATCH(INDEX(TechCodes[[Technology]:[Parent]],MATCH(TechCodes[[#This Row],[L3N]],TechCodes[Technology],0),4),TechCodes[IRENA code],0),2),TechCodes[[#This Row],[L3N]])</f>
        <v>TOTAL</v>
      </c>
      <c r="S57" s="41" t="str">
        <f>IFERROR(INDEX(TechCodes[[IRENA code]:[Technology]],MATCH(INDEX(TechCodes[[Technology]:[Parent]],MATCH(TechCodes[[#This Row],[L4N]],TechCodes[Technology],0),4),TechCodes[IRENA code],0),2),TechCodes[[#This Row],[L4N]])</f>
        <v>TOTAL</v>
      </c>
      <c r="T57" s="41" t="str">
        <f>IFERROR(INDEX(TechCodes[[IRENA code]:[Technology]],MATCH(INDEX(TechCodes[[Technology]:[Parent]],MATCH(TechCodes[[#This Row],[L5N]],TechCodes[Technology],0),4),TechCodes[IRENA code],0),2),TechCodes[[#This Row],[L5N]])</f>
        <v>TOTAL</v>
      </c>
      <c r="U5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Black liquor</v>
      </c>
      <c r="Z5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Black liquor</v>
      </c>
      <c r="AA57" s="43" t="str">
        <f>IFERROR(VLOOKUP(TechCodes[[#This Row],[IRENA code]],SIEC[[IRENA]:[SIEC]],2,0),"")</f>
        <v/>
      </c>
      <c r="AD57" s="9"/>
      <c r="AE57" s="9"/>
      <c r="AF57" s="9"/>
      <c r="AG57" s="9"/>
      <c r="AI57" s="9" t="s">
        <v>499</v>
      </c>
      <c r="AJ57" s="46" t="s">
        <v>500</v>
      </c>
      <c r="AK57" s="9" t="s">
        <v>491</v>
      </c>
      <c r="AO57" t="s">
        <v>446</v>
      </c>
      <c r="AP57" t="s">
        <v>493</v>
      </c>
      <c r="AQ57" t="s">
        <v>501</v>
      </c>
      <c r="AR57" t="s">
        <v>501</v>
      </c>
      <c r="AS57" s="9" t="s">
        <v>502</v>
      </c>
      <c r="AT57" s="9" t="s">
        <v>494</v>
      </c>
      <c r="AU57" t="s">
        <v>83</v>
      </c>
      <c r="BK57" t="s">
        <v>379</v>
      </c>
      <c r="BL57" t="s">
        <v>429</v>
      </c>
      <c r="BM57" t="s">
        <v>429</v>
      </c>
      <c r="BN57" t="s">
        <v>429</v>
      </c>
      <c r="BO57" s="19">
        <v>440</v>
      </c>
      <c r="BP57" s="61" t="s">
        <v>264</v>
      </c>
      <c r="BQ57" s="61" t="s">
        <v>264</v>
      </c>
      <c r="BR57">
        <v>300</v>
      </c>
      <c r="BS57" t="s">
        <v>78</v>
      </c>
      <c r="BT57" t="s">
        <v>79</v>
      </c>
    </row>
    <row r="58" spans="3:72" x14ac:dyDescent="0.45">
      <c r="C58" s="24">
        <v>25125</v>
      </c>
      <c r="D58" s="24" t="s">
        <v>503</v>
      </c>
      <c r="E58" s="24" t="s">
        <v>504</v>
      </c>
      <c r="F58" s="24" t="s">
        <v>505</v>
      </c>
      <c r="G58" s="28">
        <v>25120</v>
      </c>
      <c r="H58" t="s">
        <v>83</v>
      </c>
      <c r="I58" t="s">
        <v>66</v>
      </c>
      <c r="J58" t="s">
        <v>242</v>
      </c>
      <c r="K58" t="s">
        <v>107</v>
      </c>
      <c r="L58" t="s">
        <v>474</v>
      </c>
      <c r="N58" t="s">
        <v>447</v>
      </c>
      <c r="O58" s="41" t="str">
        <f>IFERROR(INDEX(TechCodes[[IRENA code]:[Technology]],MATCH(TechCodes[[#This Row],[Parent]],TechCodes[IRENA code],0),2),TechCodes[[#This Row],[Technology]])</f>
        <v>Solid biofuels</v>
      </c>
      <c r="P58" s="41" t="str">
        <f>IFERROR(INDEX(TechCodes[[IRENA code]:[Technology]],MATCH(INDEX(TechCodes[[Technology]:[Parent]],MATCH(TechCodes[[#This Row],[L1N]],TechCodes[Technology],0),4),TechCodes[IRENA code],0),2),TechCodes[[#This Row],[L1N]])</f>
        <v>Bioenergy</v>
      </c>
      <c r="Q58" s="41" t="str">
        <f>IFERROR(INDEX(TechCodes[[IRENA code]:[Technology]],MATCH(INDEX(TechCodes[[Technology]:[Parent]],MATCH(TechCodes[[#This Row],[L2N]],TechCodes[Technology],0),4),TechCodes[IRENA code],0),2),TechCodes[[#This Row],[L2N]])</f>
        <v>Total Renewable</v>
      </c>
      <c r="R58" s="41" t="str">
        <f>IFERROR(INDEX(TechCodes[[IRENA code]:[Technology]],MATCH(INDEX(TechCodes[[Technology]:[Parent]],MATCH(TechCodes[[#This Row],[L3N]],TechCodes[Technology],0),4),TechCodes[IRENA code],0),2),TechCodes[[#This Row],[L3N]])</f>
        <v>TOTAL</v>
      </c>
      <c r="S58" s="41" t="str">
        <f>IFERROR(INDEX(TechCodes[[IRENA code]:[Technology]],MATCH(INDEX(TechCodes[[Technology]:[Parent]],MATCH(TechCodes[[#This Row],[L4N]],TechCodes[Technology],0),4),TechCodes[IRENA code],0),2),TechCodes[[#This Row],[L4N]])</f>
        <v>TOTAL</v>
      </c>
      <c r="T58" s="41" t="str">
        <f>IFERROR(INDEX(TechCodes[[IRENA code]:[Technology]],MATCH(INDEX(TechCodes[[Technology]:[Parent]],MATCH(TechCodes[[#This Row],[L5N]],TechCodes[Technology],0),4),TechCodes[IRENA code],0),2),TechCodes[[#This Row],[L5N]])</f>
        <v>TOTAL</v>
      </c>
      <c r="U5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Straw</v>
      </c>
      <c r="Z5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Straw</v>
      </c>
      <c r="AA58" s="43" t="str">
        <f>IFERROR(VLOOKUP(TechCodes[[#This Row],[IRENA code]],SIEC[[IRENA]:[SIEC]],2,0),"")</f>
        <v/>
      </c>
      <c r="AD58" s="9"/>
      <c r="AE58" s="9"/>
      <c r="AF58" s="9"/>
      <c r="AG58" s="9"/>
      <c r="AI58" s="9" t="s">
        <v>506</v>
      </c>
      <c r="AJ58" s="46" t="s">
        <v>507</v>
      </c>
      <c r="AK58" s="9" t="s">
        <v>491</v>
      </c>
      <c r="AO58" t="s">
        <v>446</v>
      </c>
      <c r="AP58" t="s">
        <v>493</v>
      </c>
      <c r="AQ58" t="s">
        <v>508</v>
      </c>
      <c r="AR58" t="s">
        <v>508</v>
      </c>
      <c r="AS58" s="9" t="s">
        <v>509</v>
      </c>
      <c r="AT58" s="9" t="s">
        <v>494</v>
      </c>
      <c r="AU58" t="s">
        <v>83</v>
      </c>
      <c r="BK58" t="s">
        <v>379</v>
      </c>
      <c r="BL58" t="s">
        <v>429</v>
      </c>
      <c r="BM58" t="s">
        <v>429</v>
      </c>
      <c r="BN58" t="s">
        <v>429</v>
      </c>
      <c r="BO58" s="19">
        <v>441</v>
      </c>
      <c r="BP58" s="60" t="s">
        <v>510</v>
      </c>
      <c r="BQ58" s="60" t="s">
        <v>510</v>
      </c>
      <c r="BR58">
        <v>300</v>
      </c>
      <c r="BS58" t="s">
        <v>78</v>
      </c>
      <c r="BT58" t="s">
        <v>79</v>
      </c>
    </row>
    <row r="59" spans="3:72" x14ac:dyDescent="0.45">
      <c r="C59" s="24">
        <v>25126</v>
      </c>
      <c r="D59" s="24" t="s">
        <v>511</v>
      </c>
      <c r="E59" s="24" t="s">
        <v>512</v>
      </c>
      <c r="F59" s="24" t="s">
        <v>511</v>
      </c>
      <c r="G59" s="28">
        <v>25120</v>
      </c>
      <c r="H59" t="s">
        <v>83</v>
      </c>
      <c r="I59" t="s">
        <v>66</v>
      </c>
      <c r="J59" t="s">
        <v>242</v>
      </c>
      <c r="K59" t="s">
        <v>107</v>
      </c>
      <c r="L59" t="s">
        <v>474</v>
      </c>
      <c r="N59" t="s">
        <v>447</v>
      </c>
      <c r="O59" s="41" t="str">
        <f>IFERROR(INDEX(TechCodes[[IRENA code]:[Technology]],MATCH(TechCodes[[#This Row],[Parent]],TechCodes[IRENA code],0),2),TechCodes[[#This Row],[Technology]])</f>
        <v>Solid biofuels</v>
      </c>
      <c r="P59" s="41" t="str">
        <f>IFERROR(INDEX(TechCodes[[IRENA code]:[Technology]],MATCH(INDEX(TechCodes[[Technology]:[Parent]],MATCH(TechCodes[[#This Row],[L1N]],TechCodes[Technology],0),4),TechCodes[IRENA code],0),2),TechCodes[[#This Row],[L1N]])</f>
        <v>Bioenergy</v>
      </c>
      <c r="Q59" s="41" t="str">
        <f>IFERROR(INDEX(TechCodes[[IRENA code]:[Technology]],MATCH(INDEX(TechCodes[[Technology]:[Parent]],MATCH(TechCodes[[#This Row],[L2N]],TechCodes[Technology],0),4),TechCodes[IRENA code],0),2),TechCodes[[#This Row],[L2N]])</f>
        <v>Total Renewable</v>
      </c>
      <c r="R59" s="41" t="str">
        <f>IFERROR(INDEX(TechCodes[[IRENA code]:[Technology]],MATCH(INDEX(TechCodes[[Technology]:[Parent]],MATCH(TechCodes[[#This Row],[L3N]],TechCodes[Technology],0),4),TechCodes[IRENA code],0),2),TechCodes[[#This Row],[L3N]])</f>
        <v>TOTAL</v>
      </c>
      <c r="S59" s="41" t="str">
        <f>IFERROR(INDEX(TechCodes[[IRENA code]:[Technology]],MATCH(INDEX(TechCodes[[Technology]:[Parent]],MATCH(TechCodes[[#This Row],[L4N]],TechCodes[Technology],0),4),TechCodes[IRENA code],0),2),TechCodes[[#This Row],[L4N]])</f>
        <v>TOTAL</v>
      </c>
      <c r="T59" s="41" t="str">
        <f>IFERROR(INDEX(TechCodes[[IRENA code]:[Technology]],MATCH(INDEX(TechCodes[[Technology]:[Parent]],MATCH(TechCodes[[#This Row],[L5N]],TechCodes[Technology],0),4),TechCodes[IRENA code],0),2),TechCodes[[#This Row],[L5N]])</f>
        <v>TOTAL</v>
      </c>
      <c r="U5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5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5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5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5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Bagasse</v>
      </c>
      <c r="Z5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Bagasse</v>
      </c>
      <c r="AA59" s="43" t="str">
        <f>IFERROR(VLOOKUP(TechCodes[[#This Row],[IRENA code]],SIEC[[IRENA]:[SIEC]],2,0),"")</f>
        <v/>
      </c>
      <c r="AD59" s="9"/>
      <c r="AE59" s="9"/>
      <c r="AF59" s="9"/>
      <c r="AG59" s="9"/>
      <c r="AI59" s="9" t="s">
        <v>513</v>
      </c>
      <c r="AJ59" s="45" t="s">
        <v>514</v>
      </c>
      <c r="AK59" s="9" t="s">
        <v>399</v>
      </c>
      <c r="AO59" t="s">
        <v>446</v>
      </c>
      <c r="AP59" t="s">
        <v>515</v>
      </c>
      <c r="AQ59" t="s">
        <v>515</v>
      </c>
      <c r="AR59" t="s">
        <v>515</v>
      </c>
      <c r="AS59" s="9" t="s">
        <v>516</v>
      </c>
      <c r="AT59" s="9" t="s">
        <v>461</v>
      </c>
      <c r="BK59" t="s">
        <v>379</v>
      </c>
      <c r="BL59" t="s">
        <v>429</v>
      </c>
      <c r="BM59" t="s">
        <v>429</v>
      </c>
      <c r="BN59" t="s">
        <v>429</v>
      </c>
      <c r="BO59" s="19"/>
      <c r="BP59" s="60" t="s">
        <v>517</v>
      </c>
      <c r="BQ59" s="60" t="s">
        <v>517</v>
      </c>
      <c r="BR59">
        <v>300</v>
      </c>
      <c r="BS59" t="s">
        <v>78</v>
      </c>
      <c r="BT59" t="s">
        <v>92</v>
      </c>
    </row>
    <row r="60" spans="3:72" x14ac:dyDescent="0.45">
      <c r="C60" s="24">
        <v>25127</v>
      </c>
      <c r="D60" s="24" t="s">
        <v>518</v>
      </c>
      <c r="E60" s="24" t="s">
        <v>519</v>
      </c>
      <c r="F60" s="24" t="s">
        <v>520</v>
      </c>
      <c r="G60" s="28">
        <v>25120</v>
      </c>
      <c r="H60" t="s">
        <v>83</v>
      </c>
      <c r="I60" t="s">
        <v>66</v>
      </c>
      <c r="J60" t="s">
        <v>242</v>
      </c>
      <c r="K60" t="s">
        <v>107</v>
      </c>
      <c r="L60" t="s">
        <v>474</v>
      </c>
      <c r="N60" t="s">
        <v>447</v>
      </c>
      <c r="O60" s="41" t="str">
        <f>IFERROR(INDEX(TechCodes[[IRENA code]:[Technology]],MATCH(TechCodes[[#This Row],[Parent]],TechCodes[IRENA code],0),2),TechCodes[[#This Row],[Technology]])</f>
        <v>Solid biofuels</v>
      </c>
      <c r="P60" s="41" t="str">
        <f>IFERROR(INDEX(TechCodes[[IRENA code]:[Technology]],MATCH(INDEX(TechCodes[[Technology]:[Parent]],MATCH(TechCodes[[#This Row],[L1N]],TechCodes[Technology],0),4),TechCodes[IRENA code],0),2),TechCodes[[#This Row],[L1N]])</f>
        <v>Bioenergy</v>
      </c>
      <c r="Q60" s="41" t="str">
        <f>IFERROR(INDEX(TechCodes[[IRENA code]:[Technology]],MATCH(INDEX(TechCodes[[Technology]:[Parent]],MATCH(TechCodes[[#This Row],[L2N]],TechCodes[Technology],0),4),TechCodes[IRENA code],0),2),TechCodes[[#This Row],[L2N]])</f>
        <v>Total Renewable</v>
      </c>
      <c r="R60" s="41" t="str">
        <f>IFERROR(INDEX(TechCodes[[IRENA code]:[Technology]],MATCH(INDEX(TechCodes[[Technology]:[Parent]],MATCH(TechCodes[[#This Row],[L3N]],TechCodes[Technology],0),4),TechCodes[IRENA code],0),2),TechCodes[[#This Row],[L3N]])</f>
        <v>TOTAL</v>
      </c>
      <c r="S60" s="41" t="str">
        <f>IFERROR(INDEX(TechCodes[[IRENA code]:[Technology]],MATCH(INDEX(TechCodes[[Technology]:[Parent]],MATCH(TechCodes[[#This Row],[L4N]],TechCodes[Technology],0),4),TechCodes[IRENA code],0),2),TechCodes[[#This Row],[L4N]])</f>
        <v>TOTAL</v>
      </c>
      <c r="T60" s="41" t="str">
        <f>IFERROR(INDEX(TechCodes[[IRENA code]:[Technology]],MATCH(INDEX(TechCodes[[Technology]:[Parent]],MATCH(TechCodes[[#This Row],[L5N]],TechCodes[Technology],0),4),TechCodes[IRENA code],0),2),TechCodes[[#This Row],[L5N]])</f>
        <v>TOTAL</v>
      </c>
      <c r="U6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Rice husks</v>
      </c>
      <c r="Z6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Rice husks</v>
      </c>
      <c r="AA60" s="43" t="str">
        <f>IFERROR(VLOOKUP(TechCodes[[#This Row],[IRENA code]],SIEC[[IRENA]:[SIEC]],2,0),"")</f>
        <v/>
      </c>
      <c r="AD60" s="9"/>
      <c r="AE60" s="9"/>
      <c r="AF60" s="9"/>
      <c r="AG60" s="9"/>
      <c r="AI60" s="9" t="s">
        <v>521</v>
      </c>
      <c r="AJ60" s="45" t="s">
        <v>522</v>
      </c>
      <c r="AK60" s="9" t="s">
        <v>399</v>
      </c>
      <c r="AO60" t="s">
        <v>446</v>
      </c>
      <c r="AP60" t="s">
        <v>515</v>
      </c>
      <c r="AQ60" t="s">
        <v>523</v>
      </c>
      <c r="AR60" t="s">
        <v>523</v>
      </c>
      <c r="AS60" s="9" t="s">
        <v>524</v>
      </c>
      <c r="AT60" s="9" t="s">
        <v>516</v>
      </c>
      <c r="AU60" t="s">
        <v>83</v>
      </c>
      <c r="BK60" t="s">
        <v>379</v>
      </c>
      <c r="BL60" t="s">
        <v>429</v>
      </c>
      <c r="BM60" t="s">
        <v>429</v>
      </c>
      <c r="BN60" t="s">
        <v>429</v>
      </c>
      <c r="BO60" s="19"/>
      <c r="BP60" s="60" t="s">
        <v>525</v>
      </c>
      <c r="BQ60" s="60" t="s">
        <v>525</v>
      </c>
      <c r="BR60">
        <v>300</v>
      </c>
      <c r="BS60" t="s">
        <v>78</v>
      </c>
      <c r="BT60" t="s">
        <v>92</v>
      </c>
    </row>
    <row r="61" spans="3:72" x14ac:dyDescent="0.45">
      <c r="C61" s="24">
        <v>25128</v>
      </c>
      <c r="D61" s="24" t="s">
        <v>526</v>
      </c>
      <c r="E61" s="24" t="s">
        <v>527</v>
      </c>
      <c r="F61" s="24" t="s">
        <v>528</v>
      </c>
      <c r="G61" s="28">
        <v>25120</v>
      </c>
      <c r="H61" t="s">
        <v>83</v>
      </c>
      <c r="I61" t="s">
        <v>66</v>
      </c>
      <c r="J61" t="s">
        <v>242</v>
      </c>
      <c r="K61" t="s">
        <v>107</v>
      </c>
      <c r="L61" t="s">
        <v>474</v>
      </c>
      <c r="N61" t="s">
        <v>447</v>
      </c>
      <c r="O61" s="41" t="str">
        <f>IFERROR(INDEX(TechCodes[[IRENA code]:[Technology]],MATCH(TechCodes[[#This Row],[Parent]],TechCodes[IRENA code],0),2),TechCodes[[#This Row],[Technology]])</f>
        <v>Solid biofuels</v>
      </c>
      <c r="P61" s="41" t="str">
        <f>IFERROR(INDEX(TechCodes[[IRENA code]:[Technology]],MATCH(INDEX(TechCodes[[Technology]:[Parent]],MATCH(TechCodes[[#This Row],[L1N]],TechCodes[Technology],0),4),TechCodes[IRENA code],0),2),TechCodes[[#This Row],[L1N]])</f>
        <v>Bioenergy</v>
      </c>
      <c r="Q61" s="41" t="str">
        <f>IFERROR(INDEX(TechCodes[[IRENA code]:[Technology]],MATCH(INDEX(TechCodes[[Technology]:[Parent]],MATCH(TechCodes[[#This Row],[L2N]],TechCodes[Technology],0),4),TechCodes[IRENA code],0),2),TechCodes[[#This Row],[L2N]])</f>
        <v>Total Renewable</v>
      </c>
      <c r="R61" s="41" t="str">
        <f>IFERROR(INDEX(TechCodes[[IRENA code]:[Technology]],MATCH(INDEX(TechCodes[[Technology]:[Parent]],MATCH(TechCodes[[#This Row],[L3N]],TechCodes[Technology],0),4),TechCodes[IRENA code],0),2),TechCodes[[#This Row],[L3N]])</f>
        <v>TOTAL</v>
      </c>
      <c r="S61" s="41" t="str">
        <f>IFERROR(INDEX(TechCodes[[IRENA code]:[Technology]],MATCH(INDEX(TechCodes[[Technology]:[Parent]],MATCH(TechCodes[[#This Row],[L4N]],TechCodes[Technology],0),4),TechCodes[IRENA code],0),2),TechCodes[[#This Row],[L4N]])</f>
        <v>TOTAL</v>
      </c>
      <c r="T61" s="41" t="str">
        <f>IFERROR(INDEX(TechCodes[[IRENA code]:[Technology]],MATCH(INDEX(TechCodes[[Technology]:[Parent]],MATCH(TechCodes[[#This Row],[L5N]],TechCodes[Technology],0),4),TechCodes[IRENA code],0),2),TechCodes[[#This Row],[L5N]])</f>
        <v>TOTAL</v>
      </c>
      <c r="U6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vegetal and agricultural waste</v>
      </c>
      <c r="Z6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vegetal and agricultural waste</v>
      </c>
      <c r="AA61" s="43" t="str">
        <f>IFERROR(VLOOKUP(TechCodes[[#This Row],[IRENA code]],SIEC[[IRENA]:[SIEC]],2,0),"")</f>
        <v/>
      </c>
      <c r="AD61" s="9"/>
      <c r="AE61" s="9"/>
      <c r="AF61" s="9"/>
      <c r="AG61" s="9"/>
      <c r="AI61" s="9" t="s">
        <v>529</v>
      </c>
      <c r="AJ61" s="46" t="s">
        <v>530</v>
      </c>
      <c r="AK61" s="9" t="s">
        <v>521</v>
      </c>
      <c r="AO61" t="s">
        <v>446</v>
      </c>
      <c r="AP61" t="s">
        <v>515</v>
      </c>
      <c r="AQ61" t="s">
        <v>531</v>
      </c>
      <c r="AR61" t="s">
        <v>531</v>
      </c>
      <c r="AS61" s="9" t="s">
        <v>532</v>
      </c>
      <c r="AT61" s="9" t="s">
        <v>516</v>
      </c>
      <c r="BK61" t="s">
        <v>379</v>
      </c>
      <c r="BL61" t="s">
        <v>429</v>
      </c>
      <c r="BM61" t="s">
        <v>429</v>
      </c>
      <c r="BN61" t="s">
        <v>429</v>
      </c>
      <c r="BO61" s="19"/>
      <c r="BP61" s="60" t="s">
        <v>533</v>
      </c>
      <c r="BQ61" s="60" t="s">
        <v>533</v>
      </c>
      <c r="BR61">
        <v>300</v>
      </c>
      <c r="BS61" t="s">
        <v>78</v>
      </c>
      <c r="BT61" t="s">
        <v>92</v>
      </c>
    </row>
    <row r="62" spans="3:72" x14ac:dyDescent="0.45">
      <c r="C62" s="24">
        <v>25129</v>
      </c>
      <c r="D62" s="24" t="s">
        <v>534</v>
      </c>
      <c r="E62" s="24" t="s">
        <v>535</v>
      </c>
      <c r="F62" s="24" t="s">
        <v>536</v>
      </c>
      <c r="G62" s="28">
        <v>25120</v>
      </c>
      <c r="H62" t="s">
        <v>83</v>
      </c>
      <c r="I62" t="s">
        <v>66</v>
      </c>
      <c r="J62" t="s">
        <v>242</v>
      </c>
      <c r="K62" t="s">
        <v>107</v>
      </c>
      <c r="L62" t="s">
        <v>474</v>
      </c>
      <c r="N62" t="s">
        <v>447</v>
      </c>
      <c r="O62" s="41" t="str">
        <f>IFERROR(INDEX(TechCodes[[IRENA code]:[Technology]],MATCH(TechCodes[[#This Row],[Parent]],TechCodes[IRENA code],0),2),TechCodes[[#This Row],[Technology]])</f>
        <v>Solid biofuels</v>
      </c>
      <c r="P62" s="41" t="str">
        <f>IFERROR(INDEX(TechCodes[[IRENA code]:[Technology]],MATCH(INDEX(TechCodes[[Technology]:[Parent]],MATCH(TechCodes[[#This Row],[L1N]],TechCodes[Technology],0),4),TechCodes[IRENA code],0),2),TechCodes[[#This Row],[L1N]])</f>
        <v>Bioenergy</v>
      </c>
      <c r="Q62" s="41" t="str">
        <f>IFERROR(INDEX(TechCodes[[IRENA code]:[Technology]],MATCH(INDEX(TechCodes[[Technology]:[Parent]],MATCH(TechCodes[[#This Row],[L2N]],TechCodes[Technology],0),4),TechCodes[IRENA code],0),2),TechCodes[[#This Row],[L2N]])</f>
        <v>Total Renewable</v>
      </c>
      <c r="R62" s="41" t="str">
        <f>IFERROR(INDEX(TechCodes[[IRENA code]:[Technology]],MATCH(INDEX(TechCodes[[Technology]:[Parent]],MATCH(TechCodes[[#This Row],[L3N]],TechCodes[Technology],0),4),TechCodes[IRENA code],0),2),TechCodes[[#This Row],[L3N]])</f>
        <v>TOTAL</v>
      </c>
      <c r="S62" s="41" t="str">
        <f>IFERROR(INDEX(TechCodes[[IRENA code]:[Technology]],MATCH(INDEX(TechCodes[[Technology]:[Parent]],MATCH(TechCodes[[#This Row],[L4N]],TechCodes[Technology],0),4),TechCodes[IRENA code],0),2),TechCodes[[#This Row],[L4N]])</f>
        <v>TOTAL</v>
      </c>
      <c r="T62" s="41" t="str">
        <f>IFERROR(INDEX(TechCodes[[IRENA code]:[Technology]],MATCH(INDEX(TechCodes[[Technology]:[Parent]],MATCH(TechCodes[[#This Row],[L5N]],TechCodes[Technology],0),4),TechCodes[IRENA code],0),2),TechCodes[[#This Row],[L5N]])</f>
        <v>TOTAL</v>
      </c>
      <c r="U6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Renewable industrial waste</v>
      </c>
      <c r="Z6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Renewable industrial waste</v>
      </c>
      <c r="AA62" s="43" t="str">
        <f>IFERROR(VLOOKUP(TechCodes[[#This Row],[IRENA code]],SIEC[[IRENA]:[SIEC]],2,0),"")</f>
        <v/>
      </c>
      <c r="AD62" s="9"/>
      <c r="AE62" s="9"/>
      <c r="AF62" s="9"/>
      <c r="AG62" s="9"/>
      <c r="AI62" s="9" t="s">
        <v>537</v>
      </c>
      <c r="AJ62" s="46" t="s">
        <v>538</v>
      </c>
      <c r="AK62" s="9" t="s">
        <v>521</v>
      </c>
      <c r="AO62" t="s">
        <v>446</v>
      </c>
      <c r="AP62" t="s">
        <v>515</v>
      </c>
      <c r="AQ62" t="s">
        <v>531</v>
      </c>
      <c r="AR62" t="s">
        <v>539</v>
      </c>
      <c r="AS62" s="9" t="s">
        <v>540</v>
      </c>
      <c r="AT62" s="9" t="s">
        <v>532</v>
      </c>
      <c r="AU62" t="s">
        <v>83</v>
      </c>
      <c r="BK62" t="s">
        <v>379</v>
      </c>
      <c r="BL62" t="s">
        <v>429</v>
      </c>
      <c r="BM62" t="s">
        <v>429</v>
      </c>
      <c r="BN62" t="s">
        <v>429</v>
      </c>
      <c r="BO62" s="19"/>
      <c r="BP62" s="62" t="s">
        <v>541</v>
      </c>
      <c r="BQ62" s="62" t="s">
        <v>541</v>
      </c>
      <c r="BR62">
        <v>300</v>
      </c>
      <c r="BS62" t="s">
        <v>78</v>
      </c>
      <c r="BT62" t="s">
        <v>92</v>
      </c>
    </row>
    <row r="63" spans="3:72" x14ac:dyDescent="0.45">
      <c r="C63" s="24">
        <v>25130</v>
      </c>
      <c r="D63" s="24" t="s">
        <v>542</v>
      </c>
      <c r="E63" s="24" t="s">
        <v>543</v>
      </c>
      <c r="F63" s="24" t="s">
        <v>544</v>
      </c>
      <c r="G63" s="28">
        <v>25120</v>
      </c>
      <c r="H63" t="s">
        <v>83</v>
      </c>
      <c r="I63" t="s">
        <v>66</v>
      </c>
      <c r="J63" t="s">
        <v>242</v>
      </c>
      <c r="K63" t="s">
        <v>107</v>
      </c>
      <c r="L63" t="s">
        <v>474</v>
      </c>
      <c r="N63" t="s">
        <v>447</v>
      </c>
      <c r="O63" s="41" t="str">
        <f>IFERROR(INDEX(TechCodes[[IRENA code]:[Technology]],MATCH(TechCodes[[#This Row],[Parent]],TechCodes[IRENA code],0),2),TechCodes[[#This Row],[Technology]])</f>
        <v>Solid biofuels</v>
      </c>
      <c r="P63" s="41" t="str">
        <f>IFERROR(INDEX(TechCodes[[IRENA code]:[Technology]],MATCH(INDEX(TechCodes[[Technology]:[Parent]],MATCH(TechCodes[[#This Row],[L1N]],TechCodes[Technology],0),4),TechCodes[IRENA code],0),2),TechCodes[[#This Row],[L1N]])</f>
        <v>Bioenergy</v>
      </c>
      <c r="Q63" s="41" t="str">
        <f>IFERROR(INDEX(TechCodes[[IRENA code]:[Technology]],MATCH(INDEX(TechCodes[[Technology]:[Parent]],MATCH(TechCodes[[#This Row],[L2N]],TechCodes[Technology],0),4),TechCodes[IRENA code],0),2),TechCodes[[#This Row],[L2N]])</f>
        <v>Total Renewable</v>
      </c>
      <c r="R63" s="41" t="str">
        <f>IFERROR(INDEX(TechCodes[[IRENA code]:[Technology]],MATCH(INDEX(TechCodes[[Technology]:[Parent]],MATCH(TechCodes[[#This Row],[L3N]],TechCodes[Technology],0),4),TechCodes[IRENA code],0),2),TechCodes[[#This Row],[L3N]])</f>
        <v>TOTAL</v>
      </c>
      <c r="S63" s="41" t="str">
        <f>IFERROR(INDEX(TechCodes[[IRENA code]:[Technology]],MATCH(INDEX(TechCodes[[Technology]:[Parent]],MATCH(TechCodes[[#This Row],[L4N]],TechCodes[Technology],0),4),TechCodes[IRENA code],0),2),TechCodes[[#This Row],[L4N]])</f>
        <v>TOTAL</v>
      </c>
      <c r="T63" s="41" t="str">
        <f>IFERROR(INDEX(TechCodes[[IRENA code]:[Technology]],MATCH(INDEX(TechCodes[[Technology]:[Parent]],MATCH(TechCodes[[#This Row],[L5N]],TechCodes[Technology],0),4),TechCodes[IRENA code],0),2),TechCodes[[#This Row],[L5N]])</f>
        <v>TOTAL</v>
      </c>
      <c r="U6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Animal waste</v>
      </c>
      <c r="Z6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Animal waste</v>
      </c>
      <c r="AA63" s="43" t="str">
        <f>IFERROR(VLOOKUP(TechCodes[[#This Row],[IRENA code]],SIEC[[IRENA]:[SIEC]],2,0),"")</f>
        <v/>
      </c>
      <c r="AD63" s="9"/>
      <c r="AE63" s="9"/>
      <c r="AF63" s="9"/>
      <c r="AG63" s="9"/>
      <c r="AI63" s="9" t="s">
        <v>545</v>
      </c>
      <c r="AJ63" s="46" t="s">
        <v>546</v>
      </c>
      <c r="AK63" s="9" t="s">
        <v>521</v>
      </c>
      <c r="AO63" t="s">
        <v>446</v>
      </c>
      <c r="AP63" t="s">
        <v>515</v>
      </c>
      <c r="AQ63" t="s">
        <v>531</v>
      </c>
      <c r="AR63" t="s">
        <v>547</v>
      </c>
      <c r="AS63" s="9" t="s">
        <v>548</v>
      </c>
      <c r="AT63" s="9" t="s">
        <v>532</v>
      </c>
      <c r="AU63" t="s">
        <v>83</v>
      </c>
      <c r="BK63" t="s">
        <v>379</v>
      </c>
      <c r="BL63" t="s">
        <v>429</v>
      </c>
      <c r="BM63" t="s">
        <v>429</v>
      </c>
      <c r="BN63" t="s">
        <v>429</v>
      </c>
      <c r="BO63" s="19"/>
      <c r="BP63" s="62" t="s">
        <v>549</v>
      </c>
      <c r="BQ63" s="62" t="s">
        <v>549</v>
      </c>
      <c r="BR63">
        <v>300</v>
      </c>
      <c r="BS63" t="s">
        <v>78</v>
      </c>
      <c r="BT63" t="s">
        <v>92</v>
      </c>
    </row>
    <row r="64" spans="3:72" x14ac:dyDescent="0.45">
      <c r="C64" s="24">
        <v>25149</v>
      </c>
      <c r="D64" s="24" t="s">
        <v>550</v>
      </c>
      <c r="E64" s="24" t="s">
        <v>551</v>
      </c>
      <c r="F64" s="24" t="s">
        <v>552</v>
      </c>
      <c r="G64" s="28">
        <v>25120</v>
      </c>
      <c r="H64" t="s">
        <v>83</v>
      </c>
      <c r="I64" t="s">
        <v>66</v>
      </c>
      <c r="J64" t="s">
        <v>242</v>
      </c>
      <c r="K64" t="s">
        <v>107</v>
      </c>
      <c r="L64" t="s">
        <v>474</v>
      </c>
      <c r="N64" t="s">
        <v>447</v>
      </c>
      <c r="O64" s="41" t="str">
        <f>IFERROR(INDEX(TechCodes[[IRENA code]:[Technology]],MATCH(TechCodes[[#This Row],[Parent]],TechCodes[IRENA code],0),2),TechCodes[[#This Row],[Technology]])</f>
        <v>Solid biofuels</v>
      </c>
      <c r="P64" s="41" t="str">
        <f>IFERROR(INDEX(TechCodes[[IRENA code]:[Technology]],MATCH(INDEX(TechCodes[[Technology]:[Parent]],MATCH(TechCodes[[#This Row],[L1N]],TechCodes[Technology],0),4),TechCodes[IRENA code],0),2),TechCodes[[#This Row],[L1N]])</f>
        <v>Bioenergy</v>
      </c>
      <c r="Q64" s="41" t="str">
        <f>IFERROR(INDEX(TechCodes[[IRENA code]:[Technology]],MATCH(INDEX(TechCodes[[Technology]:[Parent]],MATCH(TechCodes[[#This Row],[L2N]],TechCodes[Technology],0),4),TechCodes[IRENA code],0),2),TechCodes[[#This Row],[L2N]])</f>
        <v>Total Renewable</v>
      </c>
      <c r="R64" s="41" t="str">
        <f>IFERROR(INDEX(TechCodes[[IRENA code]:[Technology]],MATCH(INDEX(TechCodes[[Technology]:[Parent]],MATCH(TechCodes[[#This Row],[L3N]],TechCodes[Technology],0),4),TechCodes[IRENA code],0),2),TechCodes[[#This Row],[L3N]])</f>
        <v>TOTAL</v>
      </c>
      <c r="S64" s="41" t="str">
        <f>IFERROR(INDEX(TechCodes[[IRENA code]:[Technology]],MATCH(INDEX(TechCodes[[Technology]:[Parent]],MATCH(TechCodes[[#This Row],[L4N]],TechCodes[Technology],0),4),TechCodes[IRENA code],0),2),TechCodes[[#This Row],[L4N]])</f>
        <v>TOTAL</v>
      </c>
      <c r="T64" s="41" t="str">
        <f>IFERROR(INDEX(TechCodes[[IRENA code]:[Technology]],MATCH(INDEX(TechCodes[[Technology]:[Parent]],MATCH(TechCodes[[#This Row],[L5N]],TechCodes[Technology],0),4),TechCodes[IRENA code],0),2),TechCodes[[#This Row],[L5N]])</f>
        <v>TOTAL</v>
      </c>
      <c r="U6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primary solid biofuels n.e.s.</v>
      </c>
      <c r="Z6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primary solid biofuels n.e.s.</v>
      </c>
      <c r="AA64" s="43" t="str">
        <f>IFERROR(VLOOKUP(TechCodes[[#This Row],[IRENA code]],SIEC[[IRENA]:[SIEC]],2,0),"")</f>
        <v/>
      </c>
      <c r="AD64" s="9"/>
      <c r="AE64" s="9"/>
      <c r="AF64" s="9"/>
      <c r="AG64" s="9"/>
      <c r="AI64" s="9" t="s">
        <v>553</v>
      </c>
      <c r="AJ64" s="46" t="s">
        <v>554</v>
      </c>
      <c r="AK64" s="9" t="s">
        <v>521</v>
      </c>
      <c r="AO64" t="s">
        <v>446</v>
      </c>
      <c r="AP64" t="s">
        <v>555</v>
      </c>
      <c r="AQ64" t="s">
        <v>555</v>
      </c>
      <c r="AR64" t="s">
        <v>555</v>
      </c>
      <c r="AS64" s="9" t="s">
        <v>556</v>
      </c>
      <c r="AT64" s="9" t="s">
        <v>461</v>
      </c>
      <c r="BJ64">
        <v>300</v>
      </c>
      <c r="BK64" t="s">
        <v>379</v>
      </c>
      <c r="BL64" t="s">
        <v>429</v>
      </c>
      <c r="BM64" t="s">
        <v>429</v>
      </c>
      <c r="BN64" t="s">
        <v>429</v>
      </c>
      <c r="BO64" s="19"/>
      <c r="BP64" s="61" t="s">
        <v>114</v>
      </c>
      <c r="BQ64" s="61" t="s">
        <v>114</v>
      </c>
      <c r="BS64" t="s">
        <v>78</v>
      </c>
      <c r="BT64" t="s">
        <v>92</v>
      </c>
    </row>
    <row r="65" spans="3:72" x14ac:dyDescent="0.45">
      <c r="C65" s="24">
        <v>25150</v>
      </c>
      <c r="D65" s="24" t="s">
        <v>557</v>
      </c>
      <c r="E65" s="24" t="s">
        <v>558</v>
      </c>
      <c r="F65" s="24" t="s">
        <v>559</v>
      </c>
      <c r="G65" s="28">
        <v>25120</v>
      </c>
      <c r="H65" t="s">
        <v>83</v>
      </c>
      <c r="I65" t="s">
        <v>66</v>
      </c>
      <c r="J65" t="s">
        <v>242</v>
      </c>
      <c r="K65" t="s">
        <v>107</v>
      </c>
      <c r="L65" t="s">
        <v>560</v>
      </c>
      <c r="N65" t="s">
        <v>447</v>
      </c>
      <c r="O65" s="41" t="str">
        <f>IFERROR(INDEX(TechCodes[[IRENA code]:[Technology]],MATCH(TechCodes[[#This Row],[Parent]],TechCodes[IRENA code],0),2),TechCodes[[#This Row],[Technology]])</f>
        <v>Solid biofuels</v>
      </c>
      <c r="P65" s="41" t="str">
        <f>IFERROR(INDEX(TechCodes[[IRENA code]:[Technology]],MATCH(INDEX(TechCodes[[Technology]:[Parent]],MATCH(TechCodes[[#This Row],[L1N]],TechCodes[Technology],0),4),TechCodes[IRENA code],0),2),TechCodes[[#This Row],[L1N]])</f>
        <v>Bioenergy</v>
      </c>
      <c r="Q65" s="41" t="str">
        <f>IFERROR(INDEX(TechCodes[[IRENA code]:[Technology]],MATCH(INDEX(TechCodes[[Technology]:[Parent]],MATCH(TechCodes[[#This Row],[L2N]],TechCodes[Technology],0),4),TechCodes[IRENA code],0),2),TechCodes[[#This Row],[L2N]])</f>
        <v>Total Renewable</v>
      </c>
      <c r="R65" s="41" t="str">
        <f>IFERROR(INDEX(TechCodes[[IRENA code]:[Technology]],MATCH(INDEX(TechCodes[[Technology]:[Parent]],MATCH(TechCodes[[#This Row],[L3N]],TechCodes[Technology],0),4),TechCodes[IRENA code],0),2),TechCodes[[#This Row],[L3N]])</f>
        <v>TOTAL</v>
      </c>
      <c r="S65" s="41" t="str">
        <f>IFERROR(INDEX(TechCodes[[IRENA code]:[Technology]],MATCH(INDEX(TechCodes[[Technology]:[Parent]],MATCH(TechCodes[[#This Row],[L4N]],TechCodes[Technology],0),4),TechCodes[IRENA code],0),2),TechCodes[[#This Row],[L4N]])</f>
        <v>TOTAL</v>
      </c>
      <c r="T65" s="41" t="str">
        <f>IFERROR(INDEX(TechCodes[[IRENA code]:[Technology]],MATCH(INDEX(TechCodes[[Technology]:[Parent]],MATCH(TechCodes[[#This Row],[L5N]],TechCodes[Technology],0),4),TechCodes[IRENA code],0),2),TechCodes[[#This Row],[L5N]])</f>
        <v>TOTAL</v>
      </c>
      <c r="U6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Biomass pellets and briquettes</v>
      </c>
      <c r="Z6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Biomass pellets and briquettes</v>
      </c>
      <c r="AA65" s="43" t="str">
        <f>IFERROR(VLOOKUP(TechCodes[[#This Row],[IRENA code]],SIEC[[IRENA]:[SIEC]],2,0),"")</f>
        <v/>
      </c>
      <c r="AD65" s="9"/>
      <c r="AE65" s="9"/>
      <c r="AF65" s="9"/>
      <c r="AG65" s="9"/>
      <c r="AI65" s="9" t="s">
        <v>561</v>
      </c>
      <c r="AJ65" s="46" t="s">
        <v>562</v>
      </c>
      <c r="AK65" s="9" t="s">
        <v>521</v>
      </c>
      <c r="AO65" t="s">
        <v>446</v>
      </c>
      <c r="AP65" t="s">
        <v>555</v>
      </c>
      <c r="AQ65" t="s">
        <v>563</v>
      </c>
      <c r="AR65" t="s">
        <v>563</v>
      </c>
      <c r="AS65" s="9" t="s">
        <v>564</v>
      </c>
      <c r="AT65" s="9" t="s">
        <v>556</v>
      </c>
      <c r="AU65" t="s">
        <v>83</v>
      </c>
      <c r="BJ65">
        <v>241</v>
      </c>
      <c r="BK65" t="s">
        <v>379</v>
      </c>
      <c r="BM65" t="e">
        <v>#N/A</v>
      </c>
      <c r="BO65" s="19">
        <v>460</v>
      </c>
      <c r="BP65" s="62" t="s">
        <v>565</v>
      </c>
      <c r="BQ65" s="62" t="s">
        <v>565</v>
      </c>
      <c r="BS65" t="s">
        <v>78</v>
      </c>
      <c r="BT65" t="s">
        <v>79</v>
      </c>
    </row>
    <row r="66" spans="3:72" x14ac:dyDescent="0.45">
      <c r="C66" s="24">
        <v>25160</v>
      </c>
      <c r="D66" s="24" t="s">
        <v>566</v>
      </c>
      <c r="E66" s="24" t="s">
        <v>567</v>
      </c>
      <c r="F66" s="24" t="s">
        <v>568</v>
      </c>
      <c r="G66" s="28">
        <v>25120</v>
      </c>
      <c r="H66" t="s">
        <v>83</v>
      </c>
      <c r="I66" t="s">
        <v>66</v>
      </c>
      <c r="J66" t="s">
        <v>242</v>
      </c>
      <c r="K66" t="s">
        <v>107</v>
      </c>
      <c r="L66" t="s">
        <v>560</v>
      </c>
      <c r="N66" t="s">
        <v>447</v>
      </c>
      <c r="O66" s="41" t="str">
        <f>IFERROR(INDEX(TechCodes[[IRENA code]:[Technology]],MATCH(TechCodes[[#This Row],[Parent]],TechCodes[IRENA code],0),2),TechCodes[[#This Row],[Technology]])</f>
        <v>Solid biofuels</v>
      </c>
      <c r="P66" s="41" t="str">
        <f>IFERROR(INDEX(TechCodes[[IRENA code]:[Technology]],MATCH(INDEX(TechCodes[[Technology]:[Parent]],MATCH(TechCodes[[#This Row],[L1N]],TechCodes[Technology],0),4),TechCodes[IRENA code],0),2),TechCodes[[#This Row],[L1N]])</f>
        <v>Bioenergy</v>
      </c>
      <c r="Q66" s="41" t="str">
        <f>IFERROR(INDEX(TechCodes[[IRENA code]:[Technology]],MATCH(INDEX(TechCodes[[Technology]:[Parent]],MATCH(TechCodes[[#This Row],[L2N]],TechCodes[Technology],0),4),TechCodes[IRENA code],0),2),TechCodes[[#This Row],[L2N]])</f>
        <v>Total Renewable</v>
      </c>
      <c r="R66" s="41" t="str">
        <f>IFERROR(INDEX(TechCodes[[IRENA code]:[Technology]],MATCH(INDEX(TechCodes[[Technology]:[Parent]],MATCH(TechCodes[[#This Row],[L3N]],TechCodes[Technology],0),4),TechCodes[IRENA code],0),2),TechCodes[[#This Row],[L3N]])</f>
        <v>TOTAL</v>
      </c>
      <c r="S66" s="41" t="str">
        <f>IFERROR(INDEX(TechCodes[[IRENA code]:[Technology]],MATCH(INDEX(TechCodes[[Technology]:[Parent]],MATCH(TechCodes[[#This Row],[L4N]],TechCodes[Technology],0),4),TechCodes[IRENA code],0),2),TechCodes[[#This Row],[L4N]])</f>
        <v>TOTAL</v>
      </c>
      <c r="T66" s="41" t="str">
        <f>IFERROR(INDEX(TechCodes[[IRENA code]:[Technology]],MATCH(INDEX(TechCodes[[Technology]:[Parent]],MATCH(TechCodes[[#This Row],[L5N]],TechCodes[Technology],0),4),TechCodes[IRENA code],0),2),TechCodes[[#This Row],[L5N]])</f>
        <v>TOTAL</v>
      </c>
      <c r="U6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v>
      </c>
      <c r="Y6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Charcoal</v>
      </c>
      <c r="Z6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Charcoal</v>
      </c>
      <c r="AA66" s="43" t="str">
        <f>IFERROR(VLOOKUP(TechCodes[[#This Row],[IRENA code]],SIEC[[IRENA]:[SIEC]],2,0),"")</f>
        <v/>
      </c>
      <c r="AD66" s="9"/>
      <c r="AE66" s="9"/>
      <c r="AF66" s="9"/>
      <c r="AG66" s="9"/>
      <c r="AH66">
        <v>11900</v>
      </c>
      <c r="AI66" s="9" t="s">
        <v>569</v>
      </c>
      <c r="AJ66" s="46" t="s">
        <v>570</v>
      </c>
      <c r="AK66" s="9" t="s">
        <v>521</v>
      </c>
      <c r="AO66" t="s">
        <v>446</v>
      </c>
      <c r="AP66" t="s">
        <v>555</v>
      </c>
      <c r="AQ66" t="s">
        <v>571</v>
      </c>
      <c r="AR66" t="s">
        <v>571</v>
      </c>
      <c r="AS66" s="9" t="s">
        <v>572</v>
      </c>
      <c r="AT66" s="9" t="s">
        <v>556</v>
      </c>
      <c r="BK66" t="s">
        <v>379</v>
      </c>
      <c r="BM66" t="e">
        <v>#N/A</v>
      </c>
      <c r="BO66" s="19">
        <v>450</v>
      </c>
      <c r="BP66" s="62" t="s">
        <v>573</v>
      </c>
      <c r="BQ66" s="62" t="s">
        <v>573</v>
      </c>
      <c r="BS66" t="s">
        <v>78</v>
      </c>
      <c r="BT66" t="s">
        <v>79</v>
      </c>
    </row>
    <row r="67" spans="3:72" x14ac:dyDescent="0.45">
      <c r="C67" s="32">
        <v>25200</v>
      </c>
      <c r="D67" s="32" t="s">
        <v>574</v>
      </c>
      <c r="E67" s="32" t="s">
        <v>575</v>
      </c>
      <c r="F67" s="32" t="s">
        <v>576</v>
      </c>
      <c r="G67" s="37">
        <v>25000</v>
      </c>
      <c r="H67" t="s">
        <v>83</v>
      </c>
      <c r="I67" t="s">
        <v>242</v>
      </c>
      <c r="J67" t="s">
        <v>66</v>
      </c>
      <c r="K67" t="s">
        <v>21</v>
      </c>
      <c r="N67" t="s">
        <v>447</v>
      </c>
      <c r="O67" s="41" t="str">
        <f>IFERROR(INDEX(TechCodes[[IRENA code]:[Technology]],MATCH(TechCodes[[#This Row],[Parent]],TechCodes[IRENA code],0),2),TechCodes[[#This Row],[Technology]])</f>
        <v>Bioenergy</v>
      </c>
      <c r="P67" s="41" t="str">
        <f>IFERROR(INDEX(TechCodes[[IRENA code]:[Technology]],MATCH(INDEX(TechCodes[[Technology]:[Parent]],MATCH(TechCodes[[#This Row],[L1N]],TechCodes[Technology],0),4),TechCodes[IRENA code],0),2),TechCodes[[#This Row],[L1N]])</f>
        <v>Total Renewable</v>
      </c>
      <c r="Q67" s="41" t="str">
        <f>IFERROR(INDEX(TechCodes[[IRENA code]:[Technology]],MATCH(INDEX(TechCodes[[Technology]:[Parent]],MATCH(TechCodes[[#This Row],[L2N]],TechCodes[Technology],0),4),TechCodes[IRENA code],0),2),TechCodes[[#This Row],[L2N]])</f>
        <v>TOTAL</v>
      </c>
      <c r="R67" s="41" t="str">
        <f>IFERROR(INDEX(TechCodes[[IRENA code]:[Technology]],MATCH(INDEX(TechCodes[[Technology]:[Parent]],MATCH(TechCodes[[#This Row],[L3N]],TechCodes[Technology],0),4),TechCodes[IRENA code],0),2),TechCodes[[#This Row],[L3N]])</f>
        <v>TOTAL</v>
      </c>
      <c r="S67" s="41" t="str">
        <f>IFERROR(INDEX(TechCodes[[IRENA code]:[Technology]],MATCH(INDEX(TechCodes[[Technology]:[Parent]],MATCH(TechCodes[[#This Row],[L4N]],TechCodes[Technology],0),4),TechCodes[IRENA code],0),2),TechCodes[[#This Row],[L4N]])</f>
        <v>TOTAL</v>
      </c>
      <c r="T67" s="41" t="str">
        <f>IFERROR(INDEX(TechCodes[[IRENA code]:[Technology]],MATCH(INDEX(TechCodes[[Technology]:[Parent]],MATCH(TechCodes[[#This Row],[L5N]],TechCodes[Technology],0),4),TechCodes[IRENA code],0),2),TechCodes[[#This Row],[L5N]])</f>
        <v>TOTAL</v>
      </c>
      <c r="U6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6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Liquid biofuels</v>
      </c>
      <c r="Z6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Liquid biofuels</v>
      </c>
      <c r="AA67" s="43" t="str">
        <f>IFERROR(VLOOKUP(TechCodes[[#This Row],[IRENA code]],SIEC[[IRENA]:[SIEC]],2,0),"")</f>
        <v/>
      </c>
      <c r="AD67" s="9"/>
      <c r="AE67" s="9"/>
      <c r="AF67" s="9"/>
      <c r="AG67" s="9"/>
      <c r="AI67" s="9" t="s">
        <v>577</v>
      </c>
      <c r="AJ67" t="s">
        <v>578</v>
      </c>
      <c r="AK67" s="9"/>
      <c r="AO67" t="s">
        <v>446</v>
      </c>
      <c r="AP67" t="s">
        <v>555</v>
      </c>
      <c r="AQ67" t="s">
        <v>571</v>
      </c>
      <c r="AR67" t="str">
        <f>RIGHT(Table8[[#This Row],[Column1]],LEN(Table8[[#This Row],[Column1]])-5)</f>
        <v>Mining of chemical and fertilizer minerals</v>
      </c>
      <c r="AS67" s="9" t="str">
        <f>LEFT(Table8[[#This Row],[Column1]],4)</f>
        <v>0891</v>
      </c>
      <c r="AT67" s="9" t="s">
        <v>572</v>
      </c>
      <c r="AU67" t="s">
        <v>83</v>
      </c>
      <c r="AV67" t="s">
        <v>579</v>
      </c>
      <c r="BK67" t="s">
        <v>379</v>
      </c>
      <c r="BM67" t="e">
        <v>#N/A</v>
      </c>
      <c r="BO67" s="19"/>
      <c r="BP67" s="62" t="s">
        <v>580</v>
      </c>
      <c r="BQ67" s="62" t="s">
        <v>580</v>
      </c>
      <c r="BS67" t="s">
        <v>78</v>
      </c>
      <c r="BT67" t="s">
        <v>92</v>
      </c>
    </row>
    <row r="68" spans="3:72" x14ac:dyDescent="0.45">
      <c r="C68" s="24">
        <v>25210</v>
      </c>
      <c r="D68" s="24" t="s">
        <v>581</v>
      </c>
      <c r="E68" s="24" t="s">
        <v>582</v>
      </c>
      <c r="F68" s="24" t="s">
        <v>581</v>
      </c>
      <c r="G68" s="28">
        <v>25200</v>
      </c>
      <c r="H68" t="s">
        <v>65</v>
      </c>
      <c r="I68" t="s">
        <v>66</v>
      </c>
      <c r="J68" t="s">
        <v>66</v>
      </c>
      <c r="K68" t="s">
        <v>107</v>
      </c>
      <c r="M68">
        <v>33</v>
      </c>
      <c r="N68" t="s">
        <v>447</v>
      </c>
      <c r="O68" s="41" t="str">
        <f>IFERROR(INDEX(TechCodes[[IRENA code]:[Technology]],MATCH(TechCodes[[#This Row],[Parent]],TechCodes[IRENA code],0),2),TechCodes[[#This Row],[Technology]])</f>
        <v>Liquid biofuels</v>
      </c>
      <c r="P68" s="41" t="str">
        <f>IFERROR(INDEX(TechCodes[[IRENA code]:[Technology]],MATCH(INDEX(TechCodes[[Technology]:[Parent]],MATCH(TechCodes[[#This Row],[L1N]],TechCodes[Technology],0),4),TechCodes[IRENA code],0),2),TechCodes[[#This Row],[L1N]])</f>
        <v>Bioenergy</v>
      </c>
      <c r="Q68" s="41" t="str">
        <f>IFERROR(INDEX(TechCodes[[IRENA code]:[Technology]],MATCH(INDEX(TechCodes[[Technology]:[Parent]],MATCH(TechCodes[[#This Row],[L2N]],TechCodes[Technology],0),4),TechCodes[IRENA code],0),2),TechCodes[[#This Row],[L2N]])</f>
        <v>Total Renewable</v>
      </c>
      <c r="R68" s="41" t="str">
        <f>IFERROR(INDEX(TechCodes[[IRENA code]:[Technology]],MATCH(INDEX(TechCodes[[Technology]:[Parent]],MATCH(TechCodes[[#This Row],[L3N]],TechCodes[Technology],0),4),TechCodes[IRENA code],0),2),TechCodes[[#This Row],[L3N]])</f>
        <v>TOTAL</v>
      </c>
      <c r="S68" s="41" t="str">
        <f>IFERROR(INDEX(TechCodes[[IRENA code]:[Technology]],MATCH(INDEX(TechCodes[[Technology]:[Parent]],MATCH(TechCodes[[#This Row],[L4N]],TechCodes[Technology],0),4),TechCodes[IRENA code],0),2),TechCodes[[#This Row],[L4N]])</f>
        <v>TOTAL</v>
      </c>
      <c r="T68" s="41" t="str">
        <f>IFERROR(INDEX(TechCodes[[IRENA code]:[Technology]],MATCH(INDEX(TechCodes[[Technology]:[Parent]],MATCH(TechCodes[[#This Row],[L5N]],TechCodes[Technology],0),4),TechCodes[IRENA code],0),2),TechCodes[[#This Row],[L5N]])</f>
        <v>TOTAL</v>
      </c>
      <c r="U6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6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Biogasoline</v>
      </c>
      <c r="Z6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Biogasoline</v>
      </c>
      <c r="AA68" s="43" t="str">
        <f>IFERROR(VLOOKUP(TechCodes[[#This Row],[IRENA code]],SIEC[[IRENA]:[SIEC]],2,0),"")</f>
        <v/>
      </c>
      <c r="AD68" s="9"/>
      <c r="AE68" s="9"/>
      <c r="AF68" s="9"/>
      <c r="AG68" s="9"/>
      <c r="AI68" s="9" t="s">
        <v>583</v>
      </c>
      <c r="AJ68" s="44" t="s">
        <v>463</v>
      </c>
      <c r="AK68" s="9" t="s">
        <v>577</v>
      </c>
      <c r="AO68" t="s">
        <v>446</v>
      </c>
      <c r="AP68" t="s">
        <v>555</v>
      </c>
      <c r="AQ68" t="s">
        <v>571</v>
      </c>
      <c r="AR68" t="str">
        <f>RIGHT(Table8[[#This Row],[Column1]],LEN(Table8[[#This Row],[Column1]])-5)</f>
        <v>Extraction of peat</v>
      </c>
      <c r="AS68" s="9" t="str">
        <f>LEFT(Table8[[#This Row],[Column1]],4)</f>
        <v>0892</v>
      </c>
      <c r="AT68" s="9" t="s">
        <v>572</v>
      </c>
      <c r="AU68" t="s">
        <v>83</v>
      </c>
      <c r="AV68" t="s">
        <v>584</v>
      </c>
      <c r="BK68" t="s">
        <v>379</v>
      </c>
      <c r="BM68" t="e">
        <v>#N/A</v>
      </c>
      <c r="BO68" s="19"/>
      <c r="BP68" s="62" t="s">
        <v>416</v>
      </c>
      <c r="BQ68" s="62" t="s">
        <v>416</v>
      </c>
      <c r="BS68" t="s">
        <v>78</v>
      </c>
      <c r="BT68" t="s">
        <v>92</v>
      </c>
    </row>
    <row r="69" spans="3:72" x14ac:dyDescent="0.45">
      <c r="C69" s="25">
        <v>25211</v>
      </c>
      <c r="D69" s="25" t="s">
        <v>585</v>
      </c>
      <c r="E69" s="25" t="s">
        <v>586</v>
      </c>
      <c r="F69" s="25" t="s">
        <v>587</v>
      </c>
      <c r="G69" s="29">
        <v>25210</v>
      </c>
      <c r="H69" t="s">
        <v>83</v>
      </c>
      <c r="I69" t="s">
        <v>66</v>
      </c>
      <c r="J69" t="s">
        <v>242</v>
      </c>
      <c r="K69" t="s">
        <v>107</v>
      </c>
      <c r="N69" t="s">
        <v>447</v>
      </c>
      <c r="O69" s="41" t="str">
        <f>IFERROR(INDEX(TechCodes[[IRENA code]:[Technology]],MATCH(TechCodes[[#This Row],[Parent]],TechCodes[IRENA code],0),2),TechCodes[[#This Row],[Technology]])</f>
        <v>Biogasoline</v>
      </c>
      <c r="P69" s="41" t="str">
        <f>IFERROR(INDEX(TechCodes[[IRENA code]:[Technology]],MATCH(INDEX(TechCodes[[Technology]:[Parent]],MATCH(TechCodes[[#This Row],[L1N]],TechCodes[Technology],0),4),TechCodes[IRENA code],0),2),TechCodes[[#This Row],[L1N]])</f>
        <v>Liquid biofuels</v>
      </c>
      <c r="Q69" s="41" t="str">
        <f>IFERROR(INDEX(TechCodes[[IRENA code]:[Technology]],MATCH(INDEX(TechCodes[[Technology]:[Parent]],MATCH(TechCodes[[#This Row],[L2N]],TechCodes[Technology],0),4),TechCodes[IRENA code],0),2),TechCodes[[#This Row],[L2N]])</f>
        <v>Bioenergy</v>
      </c>
      <c r="R69" s="41" t="str">
        <f>IFERROR(INDEX(TechCodes[[IRENA code]:[Technology]],MATCH(INDEX(TechCodes[[Technology]:[Parent]],MATCH(TechCodes[[#This Row],[L3N]],TechCodes[Technology],0),4),TechCodes[IRENA code],0),2),TechCodes[[#This Row],[L3N]])</f>
        <v>Total Renewable</v>
      </c>
      <c r="S69" s="41" t="str">
        <f>IFERROR(INDEX(TechCodes[[IRENA code]:[Technology]],MATCH(INDEX(TechCodes[[Technology]:[Parent]],MATCH(TechCodes[[#This Row],[L4N]],TechCodes[Technology],0),4),TechCodes[IRENA code],0),2),TechCodes[[#This Row],[L4N]])</f>
        <v>TOTAL</v>
      </c>
      <c r="T69" s="41" t="str">
        <f>IFERROR(INDEX(TechCodes[[IRENA code]:[Technology]],MATCH(INDEX(TechCodes[[Technology]:[Parent]],MATCH(TechCodes[[#This Row],[L5N]],TechCodes[Technology],0),4),TechCodes[IRENA code],0),2),TechCodes[[#This Row],[L5N]])</f>
        <v>TOTAL</v>
      </c>
      <c r="U6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6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6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6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6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Biogasoline</v>
      </c>
      <c r="Z6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Conventional biogasoline</v>
      </c>
      <c r="AA69" s="43" t="str">
        <f>IFERROR(VLOOKUP(TechCodes[[#This Row],[IRENA code]],SIEC[[IRENA]:[SIEC]],2,0),"")</f>
        <v/>
      </c>
      <c r="AD69" s="9"/>
      <c r="AE69" s="9"/>
      <c r="AF69" s="9"/>
      <c r="AG69" s="9"/>
      <c r="AI69" s="9" t="s">
        <v>588</v>
      </c>
      <c r="AJ69" s="45" t="s">
        <v>589</v>
      </c>
      <c r="AK69" s="9" t="s">
        <v>583</v>
      </c>
      <c r="AO69" t="s">
        <v>446</v>
      </c>
      <c r="AP69" t="s">
        <v>555</v>
      </c>
      <c r="AQ69" t="s">
        <v>571</v>
      </c>
      <c r="AR69" t="str">
        <f>RIGHT(Table8[[#This Row],[Column1]],LEN(Table8[[#This Row],[Column1]])-5)</f>
        <v>Extraction of salt</v>
      </c>
      <c r="AS69" s="9" t="str">
        <f>LEFT(Table8[[#This Row],[Column1]],4)</f>
        <v>0893</v>
      </c>
      <c r="AT69" s="9" t="s">
        <v>572</v>
      </c>
      <c r="AU69" t="s">
        <v>83</v>
      </c>
      <c r="AV69" t="s">
        <v>590</v>
      </c>
      <c r="BK69" t="s">
        <v>379</v>
      </c>
      <c r="BM69" t="e">
        <v>#N/A</v>
      </c>
      <c r="BO69" s="19">
        <v>490</v>
      </c>
      <c r="BP69" s="62" t="s">
        <v>591</v>
      </c>
      <c r="BQ69" s="62" t="s">
        <v>591</v>
      </c>
      <c r="BS69" t="s">
        <v>78</v>
      </c>
      <c r="BT69" t="s">
        <v>79</v>
      </c>
    </row>
    <row r="70" spans="3:72" x14ac:dyDescent="0.45">
      <c r="C70" s="25">
        <v>25212</v>
      </c>
      <c r="D70" s="25" t="s">
        <v>592</v>
      </c>
      <c r="E70" s="25" t="s">
        <v>593</v>
      </c>
      <c r="F70" s="25" t="s">
        <v>594</v>
      </c>
      <c r="G70" s="29">
        <v>25210</v>
      </c>
      <c r="H70" t="s">
        <v>83</v>
      </c>
      <c r="I70" t="s">
        <v>66</v>
      </c>
      <c r="J70" t="s">
        <v>242</v>
      </c>
      <c r="K70" t="s">
        <v>107</v>
      </c>
      <c r="N70" t="s">
        <v>447</v>
      </c>
      <c r="O70" s="41" t="str">
        <f>IFERROR(INDEX(TechCodes[[IRENA code]:[Technology]],MATCH(TechCodes[[#This Row],[Parent]],TechCodes[IRENA code],0),2),TechCodes[[#This Row],[Technology]])</f>
        <v>Biogasoline</v>
      </c>
      <c r="P70" s="41" t="str">
        <f>IFERROR(INDEX(TechCodes[[IRENA code]:[Technology]],MATCH(INDEX(TechCodes[[Technology]:[Parent]],MATCH(TechCodes[[#This Row],[L1N]],TechCodes[Technology],0),4),TechCodes[IRENA code],0),2),TechCodes[[#This Row],[L1N]])</f>
        <v>Liquid biofuels</v>
      </c>
      <c r="Q70" s="41" t="str">
        <f>IFERROR(INDEX(TechCodes[[IRENA code]:[Technology]],MATCH(INDEX(TechCodes[[Technology]:[Parent]],MATCH(TechCodes[[#This Row],[L2N]],TechCodes[Technology],0),4),TechCodes[IRENA code],0),2),TechCodes[[#This Row],[L2N]])</f>
        <v>Bioenergy</v>
      </c>
      <c r="R70" s="41" t="str">
        <f>IFERROR(INDEX(TechCodes[[IRENA code]:[Technology]],MATCH(INDEX(TechCodes[[Technology]:[Parent]],MATCH(TechCodes[[#This Row],[L3N]],TechCodes[Technology],0),4),TechCodes[IRENA code],0),2),TechCodes[[#This Row],[L3N]])</f>
        <v>Total Renewable</v>
      </c>
      <c r="S70" s="41" t="str">
        <f>IFERROR(INDEX(TechCodes[[IRENA code]:[Technology]],MATCH(INDEX(TechCodes[[Technology]:[Parent]],MATCH(TechCodes[[#This Row],[L4N]],TechCodes[Technology],0),4),TechCodes[IRENA code],0),2),TechCodes[[#This Row],[L4N]])</f>
        <v>TOTAL</v>
      </c>
      <c r="T70" s="41" t="str">
        <f>IFERROR(INDEX(TechCodes[[IRENA code]:[Technology]],MATCH(INDEX(TechCodes[[Technology]:[Parent]],MATCH(TechCodes[[#This Row],[L5N]],TechCodes[Technology],0),4),TechCodes[IRENA code],0),2),TechCodes[[#This Row],[L5N]])</f>
        <v>TOTAL</v>
      </c>
      <c r="U7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Biogasoline</v>
      </c>
      <c r="Z7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Advanced biogasoline</v>
      </c>
      <c r="AA70" s="43" t="str">
        <f>IFERROR(VLOOKUP(TechCodes[[#This Row],[IRENA code]],SIEC[[IRENA]:[SIEC]],2,0),"")</f>
        <v/>
      </c>
      <c r="AD70" s="9"/>
      <c r="AE70" s="9"/>
      <c r="AF70" s="9"/>
      <c r="AG70" s="9"/>
      <c r="AI70" s="9" t="s">
        <v>595</v>
      </c>
      <c r="AJ70" s="46" t="s">
        <v>596</v>
      </c>
      <c r="AK70" s="9" t="s">
        <v>588</v>
      </c>
      <c r="AO70" t="s">
        <v>446</v>
      </c>
      <c r="AP70" t="s">
        <v>555</v>
      </c>
      <c r="AQ70" t="s">
        <v>571</v>
      </c>
      <c r="AR70" t="str">
        <f>RIGHT(Table8[[#This Row],[Column1]],LEN(Table8[[#This Row],[Column1]])-5)</f>
        <v>Other mining and quarrying n.e.c.</v>
      </c>
      <c r="AS70" s="9" t="str">
        <f>LEFT(Table8[[#This Row],[Column1]],4)</f>
        <v>0899</v>
      </c>
      <c r="AT70" s="9" t="s">
        <v>572</v>
      </c>
      <c r="AU70" t="s">
        <v>83</v>
      </c>
      <c r="AV70" t="s">
        <v>597</v>
      </c>
      <c r="BK70" t="s">
        <v>379</v>
      </c>
      <c r="BM70" t="e">
        <v>#N/A</v>
      </c>
      <c r="BO70" s="19">
        <v>495</v>
      </c>
      <c r="BP70" s="63" t="s">
        <v>246</v>
      </c>
      <c r="BQ70" s="66" t="s">
        <v>246</v>
      </c>
      <c r="BS70" t="s">
        <v>78</v>
      </c>
      <c r="BT70" t="s">
        <v>79</v>
      </c>
    </row>
    <row r="71" spans="3:72" x14ac:dyDescent="0.45">
      <c r="C71" s="24">
        <v>25220</v>
      </c>
      <c r="D71" s="24" t="s">
        <v>598</v>
      </c>
      <c r="E71" s="24" t="s">
        <v>599</v>
      </c>
      <c r="F71" s="24" t="s">
        <v>598</v>
      </c>
      <c r="G71" s="28">
        <v>25200</v>
      </c>
      <c r="H71" t="s">
        <v>65</v>
      </c>
      <c r="I71" t="s">
        <v>66</v>
      </c>
      <c r="J71" t="s">
        <v>66</v>
      </c>
      <c r="K71" t="s">
        <v>107</v>
      </c>
      <c r="M71">
        <v>33</v>
      </c>
      <c r="N71" t="s">
        <v>447</v>
      </c>
      <c r="O71" s="41" t="str">
        <f>IFERROR(INDEX(TechCodes[[IRENA code]:[Technology]],MATCH(TechCodes[[#This Row],[Parent]],TechCodes[IRENA code],0),2),TechCodes[[#This Row],[Technology]])</f>
        <v>Liquid biofuels</v>
      </c>
      <c r="P71" s="41" t="str">
        <f>IFERROR(INDEX(TechCodes[[IRENA code]:[Technology]],MATCH(INDEX(TechCodes[[Technology]:[Parent]],MATCH(TechCodes[[#This Row],[L1N]],TechCodes[Technology],0),4),TechCodes[IRENA code],0),2),TechCodes[[#This Row],[L1N]])</f>
        <v>Bioenergy</v>
      </c>
      <c r="Q71" s="41" t="str">
        <f>IFERROR(INDEX(TechCodes[[IRENA code]:[Technology]],MATCH(INDEX(TechCodes[[Technology]:[Parent]],MATCH(TechCodes[[#This Row],[L2N]],TechCodes[Technology],0),4),TechCodes[IRENA code],0),2),TechCodes[[#This Row],[L2N]])</f>
        <v>Total Renewable</v>
      </c>
      <c r="R71" s="41" t="str">
        <f>IFERROR(INDEX(TechCodes[[IRENA code]:[Technology]],MATCH(INDEX(TechCodes[[Technology]:[Parent]],MATCH(TechCodes[[#This Row],[L3N]],TechCodes[Technology],0),4),TechCodes[IRENA code],0),2),TechCodes[[#This Row],[L3N]])</f>
        <v>TOTAL</v>
      </c>
      <c r="S71" s="41" t="str">
        <f>IFERROR(INDEX(TechCodes[[IRENA code]:[Technology]],MATCH(INDEX(TechCodes[[Technology]:[Parent]],MATCH(TechCodes[[#This Row],[L4N]],TechCodes[Technology],0),4),TechCodes[IRENA code],0),2),TechCodes[[#This Row],[L4N]])</f>
        <v>TOTAL</v>
      </c>
      <c r="T71" s="41" t="str">
        <f>IFERROR(INDEX(TechCodes[[IRENA code]:[Technology]],MATCH(INDEX(TechCodes[[Technology]:[Parent]],MATCH(TechCodes[[#This Row],[L5N]],TechCodes[Technology],0),4),TechCodes[IRENA code],0),2),TechCodes[[#This Row],[L5N]])</f>
        <v>TOTAL</v>
      </c>
      <c r="U7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Biodiesel</v>
      </c>
      <c r="Z7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Biodiesel</v>
      </c>
      <c r="AA71" s="43" t="str">
        <f>IFERROR(VLOOKUP(TechCodes[[#This Row],[IRENA code]],SIEC[[IRENA]:[SIEC]],2,0),"")</f>
        <v/>
      </c>
      <c r="AD71" s="9"/>
      <c r="AE71" s="9"/>
      <c r="AF71" s="9"/>
      <c r="AG71" s="9"/>
      <c r="AI71" s="9" t="s">
        <v>600</v>
      </c>
      <c r="AJ71" s="46" t="s">
        <v>601</v>
      </c>
      <c r="AK71" s="9" t="s">
        <v>588</v>
      </c>
      <c r="AO71" t="s">
        <v>446</v>
      </c>
      <c r="AP71" t="s">
        <v>602</v>
      </c>
      <c r="AQ71" t="s">
        <v>603</v>
      </c>
      <c r="AR71" t="s">
        <v>603</v>
      </c>
      <c r="AS71" s="9" t="s">
        <v>604</v>
      </c>
      <c r="AT71" s="9" t="s">
        <v>605</v>
      </c>
      <c r="AU71" t="s">
        <v>83</v>
      </c>
    </row>
    <row r="72" spans="3:72" x14ac:dyDescent="0.45">
      <c r="C72" s="25">
        <v>25221</v>
      </c>
      <c r="D72" s="25" t="s">
        <v>606</v>
      </c>
      <c r="E72" s="25" t="s">
        <v>607</v>
      </c>
      <c r="F72" s="25" t="s">
        <v>608</v>
      </c>
      <c r="G72" s="29">
        <v>25220</v>
      </c>
      <c r="H72" t="s">
        <v>83</v>
      </c>
      <c r="I72" t="s">
        <v>66</v>
      </c>
      <c r="J72" t="s">
        <v>242</v>
      </c>
      <c r="K72" t="s">
        <v>107</v>
      </c>
      <c r="N72" t="s">
        <v>447</v>
      </c>
      <c r="O72" s="41" t="str">
        <f>IFERROR(INDEX(TechCodes[[IRENA code]:[Technology]],MATCH(TechCodes[[#This Row],[Parent]],TechCodes[IRENA code],0),2),TechCodes[[#This Row],[Technology]])</f>
        <v>Biodiesel</v>
      </c>
      <c r="P72" s="41" t="str">
        <f>IFERROR(INDEX(TechCodes[[IRENA code]:[Technology]],MATCH(INDEX(TechCodes[[Technology]:[Parent]],MATCH(TechCodes[[#This Row],[L1N]],TechCodes[Technology],0),4),TechCodes[IRENA code],0),2),TechCodes[[#This Row],[L1N]])</f>
        <v>Liquid biofuels</v>
      </c>
      <c r="Q72" s="41" t="str">
        <f>IFERROR(INDEX(TechCodes[[IRENA code]:[Technology]],MATCH(INDEX(TechCodes[[Technology]:[Parent]],MATCH(TechCodes[[#This Row],[L2N]],TechCodes[Technology],0),4),TechCodes[IRENA code],0),2),TechCodes[[#This Row],[L2N]])</f>
        <v>Bioenergy</v>
      </c>
      <c r="R72" s="41" t="str">
        <f>IFERROR(INDEX(TechCodes[[IRENA code]:[Technology]],MATCH(INDEX(TechCodes[[Technology]:[Parent]],MATCH(TechCodes[[#This Row],[L3N]],TechCodes[Technology],0),4),TechCodes[IRENA code],0),2),TechCodes[[#This Row],[L3N]])</f>
        <v>Total Renewable</v>
      </c>
      <c r="S72" s="41" t="str">
        <f>IFERROR(INDEX(TechCodes[[IRENA code]:[Technology]],MATCH(INDEX(TechCodes[[Technology]:[Parent]],MATCH(TechCodes[[#This Row],[L4N]],TechCodes[Technology],0),4),TechCodes[IRENA code],0),2),TechCodes[[#This Row],[L4N]])</f>
        <v>TOTAL</v>
      </c>
      <c r="T72" s="41" t="str">
        <f>IFERROR(INDEX(TechCodes[[IRENA code]:[Technology]],MATCH(INDEX(TechCodes[[Technology]:[Parent]],MATCH(TechCodes[[#This Row],[L5N]],TechCodes[Technology],0),4),TechCodes[IRENA code],0),2),TechCodes[[#This Row],[L5N]])</f>
        <v>TOTAL</v>
      </c>
      <c r="U7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Biodiesel</v>
      </c>
      <c r="Z7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Conventional biodiesel</v>
      </c>
      <c r="AA72" s="43" t="str">
        <f>IFERROR(VLOOKUP(TechCodes[[#This Row],[IRENA code]],SIEC[[IRENA]:[SIEC]],2,0),"")</f>
        <v/>
      </c>
      <c r="AD72" s="9"/>
      <c r="AE72" s="9"/>
      <c r="AF72" s="9"/>
      <c r="AG72" s="9"/>
      <c r="AI72" s="9" t="s">
        <v>609</v>
      </c>
      <c r="AJ72" s="45" t="s">
        <v>511</v>
      </c>
      <c r="AK72" s="9" t="s">
        <v>583</v>
      </c>
      <c r="AO72" t="s">
        <v>446</v>
      </c>
      <c r="AP72" t="s">
        <v>602</v>
      </c>
      <c r="AQ72" t="s">
        <v>610</v>
      </c>
      <c r="AR72" t="s">
        <v>610</v>
      </c>
      <c r="AS72" s="9" t="s">
        <v>611</v>
      </c>
      <c r="AT72" s="9" t="s">
        <v>605</v>
      </c>
      <c r="AU72" t="s">
        <v>83</v>
      </c>
    </row>
    <row r="73" spans="3:72" x14ac:dyDescent="0.45">
      <c r="C73" s="25">
        <v>25222</v>
      </c>
      <c r="D73" s="25" t="s">
        <v>612</v>
      </c>
      <c r="E73" s="25" t="s">
        <v>613</v>
      </c>
      <c r="F73" s="25" t="s">
        <v>614</v>
      </c>
      <c r="G73" s="29">
        <v>25220</v>
      </c>
      <c r="H73" t="s">
        <v>83</v>
      </c>
      <c r="I73" t="s">
        <v>66</v>
      </c>
      <c r="J73" t="s">
        <v>242</v>
      </c>
      <c r="K73" t="s">
        <v>107</v>
      </c>
      <c r="N73" t="s">
        <v>447</v>
      </c>
      <c r="O73" s="41" t="str">
        <f>IFERROR(INDEX(TechCodes[[IRENA code]:[Technology]],MATCH(TechCodes[[#This Row],[Parent]],TechCodes[IRENA code],0),2),TechCodes[[#This Row],[Technology]])</f>
        <v>Biodiesel</v>
      </c>
      <c r="P73" s="41" t="str">
        <f>IFERROR(INDEX(TechCodes[[IRENA code]:[Technology]],MATCH(INDEX(TechCodes[[Technology]:[Parent]],MATCH(TechCodes[[#This Row],[L1N]],TechCodes[Technology],0),4),TechCodes[IRENA code],0),2),TechCodes[[#This Row],[L1N]])</f>
        <v>Liquid biofuels</v>
      </c>
      <c r="Q73" s="41" t="str">
        <f>IFERROR(INDEX(TechCodes[[IRENA code]:[Technology]],MATCH(INDEX(TechCodes[[Technology]:[Parent]],MATCH(TechCodes[[#This Row],[L2N]],TechCodes[Technology],0),4),TechCodes[IRENA code],0),2),TechCodes[[#This Row],[L2N]])</f>
        <v>Bioenergy</v>
      </c>
      <c r="R73" s="41" t="str">
        <f>IFERROR(INDEX(TechCodes[[IRENA code]:[Technology]],MATCH(INDEX(TechCodes[[Technology]:[Parent]],MATCH(TechCodes[[#This Row],[L3N]],TechCodes[Technology],0),4),TechCodes[IRENA code],0),2),TechCodes[[#This Row],[L3N]])</f>
        <v>Total Renewable</v>
      </c>
      <c r="S73" s="41" t="str">
        <f>IFERROR(INDEX(TechCodes[[IRENA code]:[Technology]],MATCH(INDEX(TechCodes[[Technology]:[Parent]],MATCH(TechCodes[[#This Row],[L4N]],TechCodes[Technology],0),4),TechCodes[IRENA code],0),2),TechCodes[[#This Row],[L4N]])</f>
        <v>TOTAL</v>
      </c>
      <c r="T73" s="41" t="str">
        <f>IFERROR(INDEX(TechCodes[[IRENA code]:[Technology]],MATCH(INDEX(TechCodes[[Technology]:[Parent]],MATCH(TechCodes[[#This Row],[L5N]],TechCodes[Technology],0),4),TechCodes[IRENA code],0),2),TechCodes[[#This Row],[L5N]])</f>
        <v>TOTAL</v>
      </c>
      <c r="U7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Biodiesel</v>
      </c>
      <c r="Z7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Advanced biodiesel</v>
      </c>
      <c r="AA73" s="43" t="str">
        <f>IFERROR(VLOOKUP(TechCodes[[#This Row],[IRENA code]],SIEC[[IRENA]:[SIEC]],2,0),"")</f>
        <v/>
      </c>
      <c r="AD73" s="9"/>
      <c r="AE73" s="9"/>
      <c r="AF73" s="9"/>
      <c r="AG73" s="9"/>
      <c r="AI73" s="9" t="s">
        <v>615</v>
      </c>
      <c r="AJ73" s="45" t="s">
        <v>542</v>
      </c>
      <c r="AK73" s="9" t="s">
        <v>583</v>
      </c>
      <c r="AO73" t="s">
        <v>446</v>
      </c>
      <c r="AP73" t="s">
        <v>602</v>
      </c>
      <c r="AQ73" t="s">
        <v>602</v>
      </c>
      <c r="AR73" t="s">
        <v>602</v>
      </c>
      <c r="AS73" s="9" t="s">
        <v>605</v>
      </c>
      <c r="AT73" s="9" t="s">
        <v>461</v>
      </c>
    </row>
    <row r="74" spans="3:72" x14ac:dyDescent="0.45">
      <c r="C74" s="24">
        <v>25230</v>
      </c>
      <c r="D74" s="24" t="s">
        <v>616</v>
      </c>
      <c r="E74" s="24" t="s">
        <v>617</v>
      </c>
      <c r="F74" s="24" t="s">
        <v>618</v>
      </c>
      <c r="G74" s="28">
        <v>25200</v>
      </c>
      <c r="H74" t="s">
        <v>83</v>
      </c>
      <c r="I74" t="s">
        <v>66</v>
      </c>
      <c r="J74" t="s">
        <v>242</v>
      </c>
      <c r="K74" t="s">
        <v>107</v>
      </c>
      <c r="N74" t="s">
        <v>447</v>
      </c>
      <c r="O74" s="41" t="str">
        <f>IFERROR(INDEX(TechCodes[[IRENA code]:[Technology]],MATCH(TechCodes[[#This Row],[Parent]],TechCodes[IRENA code],0),2),TechCodes[[#This Row],[Technology]])</f>
        <v>Liquid biofuels</v>
      </c>
      <c r="P74" s="41" t="str">
        <f>IFERROR(INDEX(TechCodes[[IRENA code]:[Technology]],MATCH(INDEX(TechCodes[[Technology]:[Parent]],MATCH(TechCodes[[#This Row],[L1N]],TechCodes[Technology],0),4),TechCodes[IRENA code],0),2),TechCodes[[#This Row],[L1N]])</f>
        <v>Bioenergy</v>
      </c>
      <c r="Q74" s="41" t="str">
        <f>IFERROR(INDEX(TechCodes[[IRENA code]:[Technology]],MATCH(INDEX(TechCodes[[Technology]:[Parent]],MATCH(TechCodes[[#This Row],[L2N]],TechCodes[Technology],0),4),TechCodes[IRENA code],0),2),TechCodes[[#This Row],[L2N]])</f>
        <v>Total Renewable</v>
      </c>
      <c r="R74" s="41" t="str">
        <f>IFERROR(INDEX(TechCodes[[IRENA code]:[Technology]],MATCH(INDEX(TechCodes[[Technology]:[Parent]],MATCH(TechCodes[[#This Row],[L3N]],TechCodes[Technology],0),4),TechCodes[IRENA code],0),2),TechCodes[[#This Row],[L3N]])</f>
        <v>TOTAL</v>
      </c>
      <c r="S74" s="41" t="str">
        <f>IFERROR(INDEX(TechCodes[[IRENA code]:[Technology]],MATCH(INDEX(TechCodes[[Technology]:[Parent]],MATCH(TechCodes[[#This Row],[L4N]],TechCodes[Technology],0),4),TechCodes[IRENA code],0),2),TechCodes[[#This Row],[L4N]])</f>
        <v>TOTAL</v>
      </c>
      <c r="T74" s="41" t="str">
        <f>IFERROR(INDEX(TechCodes[[IRENA code]:[Technology]],MATCH(INDEX(TechCodes[[Technology]:[Parent]],MATCH(TechCodes[[#This Row],[L5N]],TechCodes[Technology],0),4),TechCodes[IRENA code],0),2),TechCodes[[#This Row],[L5N]])</f>
        <v>TOTAL</v>
      </c>
      <c r="U7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 jet kerosene</v>
      </c>
      <c r="Z7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 jet kerosene</v>
      </c>
      <c r="AA74" s="43" t="str">
        <f>IFERROR(VLOOKUP(TechCodes[[#This Row],[IRENA code]],SIEC[[IRENA]:[SIEC]],2,0),"")</f>
        <v/>
      </c>
      <c r="AD74" s="9"/>
      <c r="AE74" s="9"/>
      <c r="AF74" s="9"/>
      <c r="AG74" s="9"/>
      <c r="AI74" s="9" t="s">
        <v>619</v>
      </c>
      <c r="AJ74" s="45" t="s">
        <v>496</v>
      </c>
      <c r="AK74" s="9" t="s">
        <v>583</v>
      </c>
      <c r="AO74" t="s">
        <v>620</v>
      </c>
      <c r="AP74" t="s">
        <v>621</v>
      </c>
      <c r="AQ74" t="s">
        <v>621</v>
      </c>
      <c r="AR74" t="s">
        <v>621</v>
      </c>
      <c r="AS74" s="9" t="s">
        <v>290</v>
      </c>
      <c r="AT74" s="9" t="s">
        <v>622</v>
      </c>
    </row>
    <row r="75" spans="3:72" x14ac:dyDescent="0.45">
      <c r="C75" s="24">
        <v>25290</v>
      </c>
      <c r="D75" s="24" t="s">
        <v>623</v>
      </c>
      <c r="E75" s="24" t="s">
        <v>624</v>
      </c>
      <c r="F75" s="24" t="s">
        <v>625</v>
      </c>
      <c r="G75" s="28">
        <v>25200</v>
      </c>
      <c r="H75" t="s">
        <v>83</v>
      </c>
      <c r="I75" t="s">
        <v>66</v>
      </c>
      <c r="J75" t="s">
        <v>242</v>
      </c>
      <c r="K75" t="s">
        <v>107</v>
      </c>
      <c r="N75" t="s">
        <v>447</v>
      </c>
      <c r="O75" s="41" t="str">
        <f>IFERROR(INDEX(TechCodes[[IRENA code]:[Technology]],MATCH(TechCodes[[#This Row],[Parent]],TechCodes[IRENA code],0),2),TechCodes[[#This Row],[Technology]])</f>
        <v>Liquid biofuels</v>
      </c>
      <c r="P75" s="41" t="str">
        <f>IFERROR(INDEX(TechCodes[[IRENA code]:[Technology]],MATCH(INDEX(TechCodes[[Technology]:[Parent]],MATCH(TechCodes[[#This Row],[L1N]],TechCodes[Technology],0),4),TechCodes[IRENA code],0),2),TechCodes[[#This Row],[L1N]])</f>
        <v>Bioenergy</v>
      </c>
      <c r="Q75" s="41" t="str">
        <f>IFERROR(INDEX(TechCodes[[IRENA code]:[Technology]],MATCH(INDEX(TechCodes[[Technology]:[Parent]],MATCH(TechCodes[[#This Row],[L2N]],TechCodes[Technology],0),4),TechCodes[IRENA code],0),2),TechCodes[[#This Row],[L2N]])</f>
        <v>Total Renewable</v>
      </c>
      <c r="R75" s="41" t="str">
        <f>IFERROR(INDEX(TechCodes[[IRENA code]:[Technology]],MATCH(INDEX(TechCodes[[Technology]:[Parent]],MATCH(TechCodes[[#This Row],[L3N]],TechCodes[Technology],0),4),TechCodes[IRENA code],0),2),TechCodes[[#This Row],[L3N]])</f>
        <v>TOTAL</v>
      </c>
      <c r="S75" s="41" t="str">
        <f>IFERROR(INDEX(TechCodes[[IRENA code]:[Technology]],MATCH(INDEX(TechCodes[[Technology]:[Parent]],MATCH(TechCodes[[#This Row],[L4N]],TechCodes[Technology],0),4),TechCodes[IRENA code],0),2),TechCodes[[#This Row],[L4N]])</f>
        <v>TOTAL</v>
      </c>
      <c r="T75" s="41" t="str">
        <f>IFERROR(INDEX(TechCodes[[IRENA code]:[Technology]],MATCH(INDEX(TechCodes[[Technology]:[Parent]],MATCH(TechCodes[[#This Row],[L5N]],TechCodes[Technology],0),4),TechCodes[IRENA code],0),2),TechCodes[[#This Row],[L5N]])</f>
        <v>TOTAL</v>
      </c>
      <c r="U7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liquid biofuels</v>
      </c>
      <c r="Z7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liquid biofuels</v>
      </c>
      <c r="AA75" s="43" t="str">
        <f>IFERROR(VLOOKUP(TechCodes[[#This Row],[IRENA code]],SIEC[[IRENA]:[SIEC]],2,0),"")</f>
        <v/>
      </c>
      <c r="AD75" s="9"/>
      <c r="AE75" s="9"/>
      <c r="AF75" s="9"/>
      <c r="AG75" s="9"/>
      <c r="AI75" s="9" t="s">
        <v>626</v>
      </c>
      <c r="AJ75" s="45" t="s">
        <v>627</v>
      </c>
      <c r="AK75" s="9" t="s">
        <v>583</v>
      </c>
      <c r="AO75" t="s">
        <v>620</v>
      </c>
      <c r="AP75" t="s">
        <v>620</v>
      </c>
      <c r="AQ75" t="s">
        <v>620</v>
      </c>
      <c r="AR75" t="s">
        <v>620</v>
      </c>
      <c r="AS75" s="9" t="s">
        <v>622</v>
      </c>
      <c r="AT75" s="9"/>
    </row>
    <row r="76" spans="3:72" x14ac:dyDescent="0.45">
      <c r="C76" s="25">
        <v>25291</v>
      </c>
      <c r="D76" s="25" t="s">
        <v>628</v>
      </c>
      <c r="E76" s="25" t="s">
        <v>629</v>
      </c>
      <c r="F76" s="25" t="s">
        <v>630</v>
      </c>
      <c r="G76" s="29">
        <v>25290</v>
      </c>
      <c r="H76" t="s">
        <v>106</v>
      </c>
      <c r="I76" t="s">
        <v>66</v>
      </c>
      <c r="J76" t="s">
        <v>66</v>
      </c>
      <c r="K76" t="s">
        <v>107</v>
      </c>
      <c r="N76" t="s">
        <v>447</v>
      </c>
      <c r="O76" s="41" t="str">
        <f>IFERROR(INDEX(TechCodes[[IRENA code]:[Technology]],MATCH(TechCodes[[#This Row],[Parent]],TechCodes[IRENA code],0),2),TechCodes[[#This Row],[Technology]])</f>
        <v>Other liquid biofuels</v>
      </c>
      <c r="P76" s="41" t="str">
        <f>IFERROR(INDEX(TechCodes[[IRENA code]:[Technology]],MATCH(INDEX(TechCodes[[Technology]:[Parent]],MATCH(TechCodes[[#This Row],[L1N]],TechCodes[Technology],0),4),TechCodes[IRENA code],0),2),TechCodes[[#This Row],[L1N]])</f>
        <v>Liquid biofuels</v>
      </c>
      <c r="Q76" s="41" t="str">
        <f>IFERROR(INDEX(TechCodes[[IRENA code]:[Technology]],MATCH(INDEX(TechCodes[[Technology]:[Parent]],MATCH(TechCodes[[#This Row],[L2N]],TechCodes[Technology],0),4),TechCodes[IRENA code],0),2),TechCodes[[#This Row],[L2N]])</f>
        <v>Bioenergy</v>
      </c>
      <c r="R76" s="41" t="str">
        <f>IFERROR(INDEX(TechCodes[[IRENA code]:[Technology]],MATCH(INDEX(TechCodes[[Technology]:[Parent]],MATCH(TechCodes[[#This Row],[L3N]],TechCodes[Technology],0),4),TechCodes[IRENA code],0),2),TechCodes[[#This Row],[L3N]])</f>
        <v>Total Renewable</v>
      </c>
      <c r="S76" s="41" t="str">
        <f>IFERROR(INDEX(TechCodes[[IRENA code]:[Technology]],MATCH(INDEX(TechCodes[[Technology]:[Parent]],MATCH(TechCodes[[#This Row],[L4N]],TechCodes[Technology],0),4),TechCodes[IRENA code],0),2),TechCodes[[#This Row],[L4N]])</f>
        <v>TOTAL</v>
      </c>
      <c r="T76" s="41" t="str">
        <f>IFERROR(INDEX(TechCodes[[IRENA code]:[Technology]],MATCH(INDEX(TechCodes[[Technology]:[Parent]],MATCH(TechCodes[[#This Row],[L5N]],TechCodes[Technology],0),4),TechCodes[IRENA code],0),2),TechCodes[[#This Row],[L5N]])</f>
        <v>TOTAL</v>
      </c>
      <c r="U7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liquid biofuels</v>
      </c>
      <c r="Z7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Ethanol cooking fuel</v>
      </c>
      <c r="AA76" s="43" t="str">
        <f>IFERROR(VLOOKUP(TechCodes[[#This Row],[IRENA code]],SIEC[[IRENA]:[SIEC]],2,0),"")</f>
        <v/>
      </c>
      <c r="AD76" s="9"/>
      <c r="AE76" s="9"/>
      <c r="AF76" s="9"/>
      <c r="AG76" s="9"/>
      <c r="AI76" s="9" t="s">
        <v>631</v>
      </c>
      <c r="AJ76" s="45" t="s">
        <v>566</v>
      </c>
      <c r="AK76" s="9" t="s">
        <v>583</v>
      </c>
      <c r="AO76" t="s">
        <v>620</v>
      </c>
      <c r="AP76" t="s">
        <v>621</v>
      </c>
      <c r="AQ76" t="s">
        <v>632</v>
      </c>
      <c r="AR76" t="s">
        <v>632</v>
      </c>
      <c r="AS76" s="9" t="s">
        <v>633</v>
      </c>
      <c r="AT76" s="9" t="s">
        <v>290</v>
      </c>
      <c r="AU76" t="s">
        <v>83</v>
      </c>
    </row>
    <row r="77" spans="3:72" x14ac:dyDescent="0.45">
      <c r="C77" s="25">
        <v>25299</v>
      </c>
      <c r="D77" s="25" t="s">
        <v>634</v>
      </c>
      <c r="E77" s="25" t="s">
        <v>635</v>
      </c>
      <c r="F77" s="25" t="s">
        <v>636</v>
      </c>
      <c r="G77" s="29">
        <v>25290</v>
      </c>
      <c r="H77" t="s">
        <v>106</v>
      </c>
      <c r="I77" t="s">
        <v>66</v>
      </c>
      <c r="J77" t="s">
        <v>66</v>
      </c>
      <c r="K77" t="s">
        <v>107</v>
      </c>
      <c r="N77" t="s">
        <v>447</v>
      </c>
      <c r="O77" s="41" t="str">
        <f>IFERROR(INDEX(TechCodes[[IRENA code]:[Technology]],MATCH(TechCodes[[#This Row],[Parent]],TechCodes[IRENA code],0),2),TechCodes[[#This Row],[Technology]])</f>
        <v>Other liquid biofuels</v>
      </c>
      <c r="P77" s="41" t="str">
        <f>IFERROR(INDEX(TechCodes[[IRENA code]:[Technology]],MATCH(INDEX(TechCodes[[Technology]:[Parent]],MATCH(TechCodes[[#This Row],[L1N]],TechCodes[Technology],0),4),TechCodes[IRENA code],0),2),TechCodes[[#This Row],[L1N]])</f>
        <v>Liquid biofuels</v>
      </c>
      <c r="Q77" s="41" t="str">
        <f>IFERROR(INDEX(TechCodes[[IRENA code]:[Technology]],MATCH(INDEX(TechCodes[[Technology]:[Parent]],MATCH(TechCodes[[#This Row],[L2N]],TechCodes[Technology],0),4),TechCodes[IRENA code],0),2),TechCodes[[#This Row],[L2N]])</f>
        <v>Bioenergy</v>
      </c>
      <c r="R77" s="41" t="str">
        <f>IFERROR(INDEX(TechCodes[[IRENA code]:[Technology]],MATCH(INDEX(TechCodes[[Technology]:[Parent]],MATCH(TechCodes[[#This Row],[L3N]],TechCodes[Technology],0),4),TechCodes[IRENA code],0),2),TechCodes[[#This Row],[L3N]])</f>
        <v>Total Renewable</v>
      </c>
      <c r="S77" s="41" t="str">
        <f>IFERROR(INDEX(TechCodes[[IRENA code]:[Technology]],MATCH(INDEX(TechCodes[[Technology]:[Parent]],MATCH(TechCodes[[#This Row],[L4N]],TechCodes[Technology],0),4),TechCodes[IRENA code],0),2),TechCodes[[#This Row],[L4N]])</f>
        <v>TOTAL</v>
      </c>
      <c r="T77" s="41" t="str">
        <f>IFERROR(INDEX(TechCodes[[IRENA code]:[Technology]],MATCH(INDEX(TechCodes[[Technology]:[Parent]],MATCH(TechCodes[[#This Row],[L5N]],TechCodes[Technology],0),4),TechCodes[IRENA code],0),2),TechCodes[[#This Row],[L5N]])</f>
        <v>TOTAL</v>
      </c>
      <c r="U7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Liquid biofuels</v>
      </c>
      <c r="Y7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liquid biofuels</v>
      </c>
      <c r="Z7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liquid biofuels n.e.s.</v>
      </c>
      <c r="AA77" s="43" t="str">
        <f>IFERROR(VLOOKUP(TechCodes[[#This Row],[IRENA code]],SIEC[[IRENA]:[SIEC]],2,0),"")</f>
        <v/>
      </c>
      <c r="AD77" s="9"/>
      <c r="AE77" s="9"/>
      <c r="AF77" s="9"/>
      <c r="AG77" s="9"/>
      <c r="AI77" s="9" t="s">
        <v>637</v>
      </c>
      <c r="AJ77" s="44" t="s">
        <v>574</v>
      </c>
      <c r="AK77" s="9" t="s">
        <v>577</v>
      </c>
      <c r="AO77" t="s">
        <v>620</v>
      </c>
      <c r="AP77" t="s">
        <v>621</v>
      </c>
      <c r="AQ77" t="s">
        <v>638</v>
      </c>
      <c r="AR77" t="s">
        <v>638</v>
      </c>
      <c r="AS77" s="9" t="s">
        <v>639</v>
      </c>
      <c r="AT77" s="9" t="s">
        <v>290</v>
      </c>
      <c r="AU77" t="s">
        <v>83</v>
      </c>
    </row>
    <row r="78" spans="3:72" x14ac:dyDescent="0.45">
      <c r="C78" s="32">
        <v>25300</v>
      </c>
      <c r="D78" s="32" t="s">
        <v>640</v>
      </c>
      <c r="E78" s="32" t="s">
        <v>641</v>
      </c>
      <c r="F78" s="32" t="s">
        <v>642</v>
      </c>
      <c r="G78" s="37">
        <v>25000</v>
      </c>
      <c r="H78" t="s">
        <v>83</v>
      </c>
      <c r="I78" t="s">
        <v>242</v>
      </c>
      <c r="J78" t="s">
        <v>66</v>
      </c>
      <c r="K78" t="s">
        <v>21</v>
      </c>
      <c r="M78">
        <v>33</v>
      </c>
      <c r="N78" t="s">
        <v>447</v>
      </c>
      <c r="O78" s="41" t="str">
        <f>IFERROR(INDEX(TechCodes[[IRENA code]:[Technology]],MATCH(TechCodes[[#This Row],[Parent]],TechCodes[IRENA code],0),2),TechCodes[[#This Row],[Technology]])</f>
        <v>Bioenergy</v>
      </c>
      <c r="P78" s="41" t="str">
        <f>IFERROR(INDEX(TechCodes[[IRENA code]:[Technology]],MATCH(INDEX(TechCodes[[Technology]:[Parent]],MATCH(TechCodes[[#This Row],[L1N]],TechCodes[Technology],0),4),TechCodes[IRENA code],0),2),TechCodes[[#This Row],[L1N]])</f>
        <v>Total Renewable</v>
      </c>
      <c r="Q78" s="41" t="str">
        <f>IFERROR(INDEX(TechCodes[[IRENA code]:[Technology]],MATCH(INDEX(TechCodes[[Technology]:[Parent]],MATCH(TechCodes[[#This Row],[L2N]],TechCodes[Technology],0),4),TechCodes[IRENA code],0),2),TechCodes[[#This Row],[L2N]])</f>
        <v>TOTAL</v>
      </c>
      <c r="R78" s="41" t="str">
        <f>IFERROR(INDEX(TechCodes[[IRENA code]:[Technology]],MATCH(INDEX(TechCodes[[Technology]:[Parent]],MATCH(TechCodes[[#This Row],[L3N]],TechCodes[Technology],0),4),TechCodes[IRENA code],0),2),TechCodes[[#This Row],[L3N]])</f>
        <v>TOTAL</v>
      </c>
      <c r="S78" s="41" t="str">
        <f>IFERROR(INDEX(TechCodes[[IRENA code]:[Technology]],MATCH(INDEX(TechCodes[[Technology]:[Parent]],MATCH(TechCodes[[#This Row],[L4N]],TechCodes[Technology],0),4),TechCodes[IRENA code],0),2),TechCodes[[#This Row],[L4N]])</f>
        <v>TOTAL</v>
      </c>
      <c r="T78" s="41" t="str">
        <f>IFERROR(INDEX(TechCodes[[IRENA code]:[Technology]],MATCH(INDEX(TechCodes[[Technology]:[Parent]],MATCH(TechCodes[[#This Row],[L5N]],TechCodes[Technology],0),4),TechCodes[IRENA code],0),2),TechCodes[[#This Row],[L5N]])</f>
        <v>TOTAL</v>
      </c>
      <c r="U7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7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v>
      </c>
      <c r="Z7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Biogas</v>
      </c>
      <c r="AA78" s="43" t="str">
        <f>IFERROR(VLOOKUP(TechCodes[[#This Row],[IRENA code]],SIEC[[IRENA]:[SIEC]],2,0),"")</f>
        <v/>
      </c>
      <c r="AD78" s="9"/>
      <c r="AE78" s="9"/>
      <c r="AF78" s="9"/>
      <c r="AG78" s="9"/>
      <c r="AI78" s="9" t="s">
        <v>643</v>
      </c>
      <c r="AJ78" s="45" t="s">
        <v>581</v>
      </c>
      <c r="AK78" s="9" t="s">
        <v>637</v>
      </c>
      <c r="AO78" t="s">
        <v>620</v>
      </c>
      <c r="AP78" t="s">
        <v>621</v>
      </c>
      <c r="AQ78" t="s">
        <v>644</v>
      </c>
      <c r="AR78" t="s">
        <v>644</v>
      </c>
      <c r="AS78" s="9" t="s">
        <v>645</v>
      </c>
      <c r="AT78" s="9" t="s">
        <v>290</v>
      </c>
      <c r="AU78" t="s">
        <v>83</v>
      </c>
    </row>
    <row r="79" spans="3:72" x14ac:dyDescent="0.45">
      <c r="C79" s="24">
        <v>25311</v>
      </c>
      <c r="D79" s="24" t="s">
        <v>646</v>
      </c>
      <c r="E79" s="24" t="s">
        <v>647</v>
      </c>
      <c r="F79" s="24" t="s">
        <v>648</v>
      </c>
      <c r="G79" s="28">
        <v>25300</v>
      </c>
      <c r="H79" t="s">
        <v>83</v>
      </c>
      <c r="I79" t="s">
        <v>66</v>
      </c>
      <c r="J79" t="s">
        <v>242</v>
      </c>
      <c r="K79" t="s">
        <v>107</v>
      </c>
      <c r="N79" t="s">
        <v>447</v>
      </c>
      <c r="O79" s="41" t="str">
        <f>IFERROR(INDEX(TechCodes[[IRENA code]:[Technology]],MATCH(TechCodes[[#This Row],[Parent]],TechCodes[IRENA code],0),2),TechCodes[[#This Row],[Technology]])</f>
        <v>Biogas</v>
      </c>
      <c r="P79" s="41" t="str">
        <f>IFERROR(INDEX(TechCodes[[IRENA code]:[Technology]],MATCH(INDEX(TechCodes[[Technology]:[Parent]],MATCH(TechCodes[[#This Row],[L1N]],TechCodes[Technology],0),4),TechCodes[IRENA code],0),2),TechCodes[[#This Row],[L1N]])</f>
        <v>Bioenergy</v>
      </c>
      <c r="Q79" s="41" t="str">
        <f>IFERROR(INDEX(TechCodes[[IRENA code]:[Technology]],MATCH(INDEX(TechCodes[[Technology]:[Parent]],MATCH(TechCodes[[#This Row],[L2N]],TechCodes[Technology],0),4),TechCodes[IRENA code],0),2),TechCodes[[#This Row],[L2N]])</f>
        <v>Total Renewable</v>
      </c>
      <c r="R79" s="41" t="str">
        <f>IFERROR(INDEX(TechCodes[[IRENA code]:[Technology]],MATCH(INDEX(TechCodes[[Technology]:[Parent]],MATCH(TechCodes[[#This Row],[L3N]],TechCodes[Technology],0),4),TechCodes[IRENA code],0),2),TechCodes[[#This Row],[L3N]])</f>
        <v>TOTAL</v>
      </c>
      <c r="S79" s="41" t="str">
        <f>IFERROR(INDEX(TechCodes[[IRENA code]:[Technology]],MATCH(INDEX(TechCodes[[Technology]:[Parent]],MATCH(TechCodes[[#This Row],[L4N]],TechCodes[Technology],0),4),TechCodes[IRENA code],0),2),TechCodes[[#This Row],[L4N]])</f>
        <v>TOTAL</v>
      </c>
      <c r="T79" s="41" t="str">
        <f>IFERROR(INDEX(TechCodes[[IRENA code]:[Technology]],MATCH(INDEX(TechCodes[[Technology]:[Parent]],MATCH(TechCodes[[#This Row],[L5N]],TechCodes[Technology],0),4),TechCodes[IRENA code],0),2),TechCodes[[#This Row],[L5N]])</f>
        <v>TOTAL</v>
      </c>
      <c r="U7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7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7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7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7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Landfill gas</v>
      </c>
      <c r="Z7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Landfill gas</v>
      </c>
      <c r="AA79" s="43" t="str">
        <f>IFERROR(VLOOKUP(TechCodes[[#This Row],[IRENA code]],SIEC[[IRENA]:[SIEC]],2,0),"")</f>
        <v/>
      </c>
      <c r="AD79" s="9"/>
      <c r="AE79" s="9"/>
      <c r="AF79" s="9"/>
      <c r="AG79" s="9"/>
      <c r="AI79" s="9" t="s">
        <v>649</v>
      </c>
      <c r="AJ79" s="45" t="s">
        <v>650</v>
      </c>
      <c r="AK79" s="9" t="s">
        <v>637</v>
      </c>
      <c r="AO79" t="s">
        <v>620</v>
      </c>
      <c r="AP79" t="s">
        <v>621</v>
      </c>
      <c r="AQ79" t="s">
        <v>651</v>
      </c>
      <c r="AR79" t="s">
        <v>651</v>
      </c>
      <c r="AS79" s="9" t="s">
        <v>652</v>
      </c>
      <c r="AT79" s="9" t="s">
        <v>290</v>
      </c>
      <c r="AU79" t="s">
        <v>83</v>
      </c>
    </row>
    <row r="80" spans="3:72" x14ac:dyDescent="0.45">
      <c r="C80" s="24">
        <v>25312</v>
      </c>
      <c r="D80" s="24" t="s">
        <v>653</v>
      </c>
      <c r="E80" s="24" t="s">
        <v>654</v>
      </c>
      <c r="F80" s="24" t="s">
        <v>655</v>
      </c>
      <c r="G80" s="28">
        <v>25300</v>
      </c>
      <c r="H80" t="s">
        <v>83</v>
      </c>
      <c r="I80" t="s">
        <v>66</v>
      </c>
      <c r="J80" t="s">
        <v>242</v>
      </c>
      <c r="K80" t="s">
        <v>107</v>
      </c>
      <c r="N80" t="s">
        <v>447</v>
      </c>
      <c r="O80" s="41" t="str">
        <f>IFERROR(INDEX(TechCodes[[IRENA code]:[Technology]],MATCH(TechCodes[[#This Row],[Parent]],TechCodes[IRENA code],0),2),TechCodes[[#This Row],[Technology]])</f>
        <v>Biogas</v>
      </c>
      <c r="P80" s="41" t="str">
        <f>IFERROR(INDEX(TechCodes[[IRENA code]:[Technology]],MATCH(INDEX(TechCodes[[Technology]:[Parent]],MATCH(TechCodes[[#This Row],[L1N]],TechCodes[Technology],0),4),TechCodes[IRENA code],0),2),TechCodes[[#This Row],[L1N]])</f>
        <v>Bioenergy</v>
      </c>
      <c r="Q80" s="41" t="str">
        <f>IFERROR(INDEX(TechCodes[[IRENA code]:[Technology]],MATCH(INDEX(TechCodes[[Technology]:[Parent]],MATCH(TechCodes[[#This Row],[L2N]],TechCodes[Technology],0),4),TechCodes[IRENA code],0),2),TechCodes[[#This Row],[L2N]])</f>
        <v>Total Renewable</v>
      </c>
      <c r="R80" s="41" t="str">
        <f>IFERROR(INDEX(TechCodes[[IRENA code]:[Technology]],MATCH(INDEX(TechCodes[[Technology]:[Parent]],MATCH(TechCodes[[#This Row],[L3N]],TechCodes[Technology],0),4),TechCodes[IRENA code],0),2),TechCodes[[#This Row],[L3N]])</f>
        <v>TOTAL</v>
      </c>
      <c r="S80" s="41" t="str">
        <f>IFERROR(INDEX(TechCodes[[IRENA code]:[Technology]],MATCH(INDEX(TechCodes[[Technology]:[Parent]],MATCH(TechCodes[[#This Row],[L4N]],TechCodes[Technology],0),4),TechCodes[IRENA code],0),2),TechCodes[[#This Row],[L4N]])</f>
        <v>TOTAL</v>
      </c>
      <c r="T80" s="41" t="str">
        <f>IFERROR(INDEX(TechCodes[[IRENA code]:[Technology]],MATCH(INDEX(TechCodes[[Technology]:[Parent]],MATCH(TechCodes[[#This Row],[L5N]],TechCodes[Technology],0),4),TechCodes[IRENA code],0),2),TechCodes[[#This Row],[L5N]])</f>
        <v>TOTAL</v>
      </c>
      <c r="U8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8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8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Sewage sludge gas</v>
      </c>
      <c r="Z8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Sewage sludge gas</v>
      </c>
      <c r="AA80" s="43" t="str">
        <f>IFERROR(VLOOKUP(TechCodes[[#This Row],[IRENA code]],SIEC[[IRENA]:[SIEC]],2,0),"")</f>
        <v/>
      </c>
      <c r="AD80" s="9"/>
      <c r="AE80" s="9"/>
      <c r="AF80" s="9"/>
      <c r="AG80" s="9"/>
      <c r="AI80" s="9" t="s">
        <v>656</v>
      </c>
      <c r="AJ80" s="45" t="s">
        <v>616</v>
      </c>
      <c r="AK80" s="9" t="s">
        <v>637</v>
      </c>
      <c r="AO80" t="s">
        <v>620</v>
      </c>
      <c r="AP80" t="s">
        <v>621</v>
      </c>
      <c r="AQ80" t="s">
        <v>657</v>
      </c>
      <c r="AR80" t="s">
        <v>657</v>
      </c>
      <c r="AS80" s="9" t="s">
        <v>658</v>
      </c>
      <c r="AT80" s="9" t="s">
        <v>290</v>
      </c>
      <c r="AU80" t="s">
        <v>83</v>
      </c>
    </row>
    <row r="81" spans="3:48" x14ac:dyDescent="0.45">
      <c r="C81" s="24">
        <v>25319</v>
      </c>
      <c r="D81" s="24" t="s">
        <v>659</v>
      </c>
      <c r="E81" s="24" t="s">
        <v>660</v>
      </c>
      <c r="F81" s="24" t="s">
        <v>661</v>
      </c>
      <c r="G81" s="28">
        <v>25300</v>
      </c>
      <c r="H81" t="s">
        <v>83</v>
      </c>
      <c r="I81" t="s">
        <v>66</v>
      </c>
      <c r="J81" t="s">
        <v>242</v>
      </c>
      <c r="K81" t="s">
        <v>107</v>
      </c>
      <c r="N81" t="s">
        <v>447</v>
      </c>
      <c r="O81" s="41" t="str">
        <f>IFERROR(INDEX(TechCodes[[IRENA code]:[Technology]],MATCH(TechCodes[[#This Row],[Parent]],TechCodes[IRENA code],0),2),TechCodes[[#This Row],[Technology]])</f>
        <v>Biogas</v>
      </c>
      <c r="P81" s="41" t="str">
        <f>IFERROR(INDEX(TechCodes[[IRENA code]:[Technology]],MATCH(INDEX(TechCodes[[Technology]:[Parent]],MATCH(TechCodes[[#This Row],[L1N]],TechCodes[Technology],0),4),TechCodes[IRENA code],0),2),TechCodes[[#This Row],[L1N]])</f>
        <v>Bioenergy</v>
      </c>
      <c r="Q81" s="41" t="str">
        <f>IFERROR(INDEX(TechCodes[[IRENA code]:[Technology]],MATCH(INDEX(TechCodes[[Technology]:[Parent]],MATCH(TechCodes[[#This Row],[L2N]],TechCodes[Technology],0),4),TechCodes[IRENA code],0),2),TechCodes[[#This Row],[L2N]])</f>
        <v>Total Renewable</v>
      </c>
      <c r="R81" s="41" t="str">
        <f>IFERROR(INDEX(TechCodes[[IRENA code]:[Technology]],MATCH(INDEX(TechCodes[[Technology]:[Parent]],MATCH(TechCodes[[#This Row],[L3N]],TechCodes[Technology],0),4),TechCodes[IRENA code],0),2),TechCodes[[#This Row],[L3N]])</f>
        <v>TOTAL</v>
      </c>
      <c r="S81" s="41" t="str">
        <f>IFERROR(INDEX(TechCodes[[IRENA code]:[Technology]],MATCH(INDEX(TechCodes[[Technology]:[Parent]],MATCH(TechCodes[[#This Row],[L4N]],TechCodes[Technology],0),4),TechCodes[IRENA code],0),2),TechCodes[[#This Row],[L4N]])</f>
        <v>TOTAL</v>
      </c>
      <c r="T81" s="41" t="str">
        <f>IFERROR(INDEX(TechCodes[[IRENA code]:[Technology]],MATCH(INDEX(TechCodes[[Technology]:[Parent]],MATCH(TechCodes[[#This Row],[L5N]],TechCodes[Technology],0),4),TechCodes[IRENA code],0),2),TechCodes[[#This Row],[L5N]])</f>
        <v>TOTAL</v>
      </c>
      <c r="U8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8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8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biogases from anaerobic fermentation</v>
      </c>
      <c r="Z8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biogases from anaerobic fermentation</v>
      </c>
      <c r="AA81" s="43" t="str">
        <f>IFERROR(VLOOKUP(TechCodes[[#This Row],[IRENA code]],SIEC[[IRENA]:[SIEC]],2,0),"")</f>
        <v/>
      </c>
      <c r="AD81" s="9"/>
      <c r="AE81" s="9"/>
      <c r="AF81" s="9"/>
      <c r="AG81" s="9"/>
      <c r="AI81" s="9" t="s">
        <v>662</v>
      </c>
      <c r="AJ81" s="45" t="s">
        <v>623</v>
      </c>
      <c r="AK81" s="9" t="s">
        <v>637</v>
      </c>
      <c r="AO81" t="s">
        <v>620</v>
      </c>
      <c r="AP81" t="s">
        <v>621</v>
      </c>
      <c r="AQ81" t="s">
        <v>663</v>
      </c>
      <c r="AR81" t="s">
        <v>663</v>
      </c>
      <c r="AS81" s="9">
        <v>1060</v>
      </c>
      <c r="AT81" s="9" t="s">
        <v>290</v>
      </c>
    </row>
    <row r="82" spans="3:48" x14ac:dyDescent="0.45">
      <c r="C82" s="24">
        <v>25320</v>
      </c>
      <c r="D82" s="24" t="s">
        <v>664</v>
      </c>
      <c r="E82" s="24" t="s">
        <v>665</v>
      </c>
      <c r="F82" s="24" t="s">
        <v>666</v>
      </c>
      <c r="G82" s="28">
        <v>25300</v>
      </c>
      <c r="H82" t="s">
        <v>83</v>
      </c>
      <c r="I82" t="s">
        <v>66</v>
      </c>
      <c r="J82" t="s">
        <v>242</v>
      </c>
      <c r="K82" t="s">
        <v>107</v>
      </c>
      <c r="N82" t="s">
        <v>447</v>
      </c>
      <c r="O82" s="41" t="str">
        <f>IFERROR(INDEX(TechCodes[[IRENA code]:[Technology]],MATCH(TechCodes[[#This Row],[Parent]],TechCodes[IRENA code],0),2),TechCodes[[#This Row],[Technology]])</f>
        <v>Biogas</v>
      </c>
      <c r="P82" s="41" t="str">
        <f>IFERROR(INDEX(TechCodes[[IRENA code]:[Technology]],MATCH(INDEX(TechCodes[[Technology]:[Parent]],MATCH(TechCodes[[#This Row],[L1N]],TechCodes[Technology],0),4),TechCodes[IRENA code],0),2),TechCodes[[#This Row],[L1N]])</f>
        <v>Bioenergy</v>
      </c>
      <c r="Q82" s="41" t="str">
        <f>IFERROR(INDEX(TechCodes[[IRENA code]:[Technology]],MATCH(INDEX(TechCodes[[Technology]:[Parent]],MATCH(TechCodes[[#This Row],[L2N]],TechCodes[Technology],0),4),TechCodes[IRENA code],0),2),TechCodes[[#This Row],[L2N]])</f>
        <v>Total Renewable</v>
      </c>
      <c r="R82" s="41" t="str">
        <f>IFERROR(INDEX(TechCodes[[IRENA code]:[Technology]],MATCH(INDEX(TechCodes[[Technology]:[Parent]],MATCH(TechCodes[[#This Row],[L3N]],TechCodes[Technology],0),4),TechCodes[IRENA code],0),2),TechCodes[[#This Row],[L3N]])</f>
        <v>TOTAL</v>
      </c>
      <c r="S82" s="41" t="str">
        <f>IFERROR(INDEX(TechCodes[[IRENA code]:[Technology]],MATCH(INDEX(TechCodes[[Technology]:[Parent]],MATCH(TechCodes[[#This Row],[L4N]],TechCodes[Technology],0),4),TechCodes[IRENA code],0),2),TechCodes[[#This Row],[L4N]])</f>
        <v>TOTAL</v>
      </c>
      <c r="T82" s="41" t="str">
        <f>IFERROR(INDEX(TechCodes[[IRENA code]:[Technology]],MATCH(INDEX(TechCodes[[Technology]:[Parent]],MATCH(TechCodes[[#This Row],[L5N]],TechCodes[Technology],0),4),TechCodes[IRENA code],0),2),TechCodes[[#This Row],[L5N]])</f>
        <v>TOTAL</v>
      </c>
      <c r="U8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8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8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Biogases from thermal processes</v>
      </c>
      <c r="Z8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Biogases from thermal processes</v>
      </c>
      <c r="AA82" s="43" t="str">
        <f>IFERROR(VLOOKUP(TechCodes[[#This Row],[IRENA code]],SIEC[[IRENA]:[SIEC]],2,0),"")</f>
        <v/>
      </c>
      <c r="AD82" s="9"/>
      <c r="AE82" s="9"/>
      <c r="AF82" s="9"/>
      <c r="AG82" s="9"/>
      <c r="AI82" s="9" t="s">
        <v>667</v>
      </c>
      <c r="AJ82" s="44" t="s">
        <v>668</v>
      </c>
      <c r="AK82" s="9" t="s">
        <v>577</v>
      </c>
      <c r="AO82" t="s">
        <v>620</v>
      </c>
      <c r="AP82" t="s">
        <v>621</v>
      </c>
      <c r="AQ82" t="s">
        <v>663</v>
      </c>
      <c r="AR82" t="str">
        <f>RIGHT(Table8[[#This Row],[Column1]],LEN(Table8[[#This Row],[Column1]])-5)</f>
        <v>Manufacture of grain mill products</v>
      </c>
      <c r="AS82" s="9" t="str">
        <f>LEFT(Table8[[#This Row],[Column1]],4)</f>
        <v>1061</v>
      </c>
      <c r="AT82" s="9">
        <v>1060</v>
      </c>
      <c r="AU82" t="s">
        <v>83</v>
      </c>
      <c r="AV82" t="s">
        <v>669</v>
      </c>
    </row>
    <row r="83" spans="3:48" x14ac:dyDescent="0.45">
      <c r="C83" s="24">
        <v>25390</v>
      </c>
      <c r="D83" s="24" t="s">
        <v>670</v>
      </c>
      <c r="E83" s="24" t="s">
        <v>671</v>
      </c>
      <c r="F83" s="24" t="s">
        <v>672</v>
      </c>
      <c r="G83" s="28">
        <v>25300</v>
      </c>
      <c r="H83" t="s">
        <v>83</v>
      </c>
      <c r="I83" t="s">
        <v>66</v>
      </c>
      <c r="J83" t="s">
        <v>242</v>
      </c>
      <c r="K83" t="s">
        <v>107</v>
      </c>
      <c r="N83" t="s">
        <v>447</v>
      </c>
      <c r="O83" s="41" t="str">
        <f>IFERROR(INDEX(TechCodes[[IRENA code]:[Technology]],MATCH(TechCodes[[#This Row],[Parent]],TechCodes[IRENA code],0),2),TechCodes[[#This Row],[Technology]])</f>
        <v>Biogas</v>
      </c>
      <c r="P83" s="41" t="str">
        <f>IFERROR(INDEX(TechCodes[[IRENA code]:[Technology]],MATCH(INDEX(TechCodes[[Technology]:[Parent]],MATCH(TechCodes[[#This Row],[L1N]],TechCodes[Technology],0),4),TechCodes[IRENA code],0),2),TechCodes[[#This Row],[L1N]])</f>
        <v>Bioenergy</v>
      </c>
      <c r="Q83" s="41" t="str">
        <f>IFERROR(INDEX(TechCodes[[IRENA code]:[Technology]],MATCH(INDEX(TechCodes[[Technology]:[Parent]],MATCH(TechCodes[[#This Row],[L2N]],TechCodes[Technology],0),4),TechCodes[IRENA code],0),2),TechCodes[[#This Row],[L2N]])</f>
        <v>Total Renewable</v>
      </c>
      <c r="R83" s="41" t="str">
        <f>IFERROR(INDEX(TechCodes[[IRENA code]:[Technology]],MATCH(INDEX(TechCodes[[Technology]:[Parent]],MATCH(TechCodes[[#This Row],[L3N]],TechCodes[Technology],0),4),TechCodes[IRENA code],0),2),TechCodes[[#This Row],[L3N]])</f>
        <v>TOTAL</v>
      </c>
      <c r="S83" s="41" t="str">
        <f>IFERROR(INDEX(TechCodes[[IRENA code]:[Technology]],MATCH(INDEX(TechCodes[[Technology]:[Parent]],MATCH(TechCodes[[#This Row],[L4N]],TechCodes[Technology],0),4),TechCodes[IRENA code],0),2),TechCodes[[#This Row],[L4N]])</f>
        <v>TOTAL</v>
      </c>
      <c r="T83" s="41" t="str">
        <f>IFERROR(INDEX(TechCodes[[IRENA code]:[Technology]],MATCH(INDEX(TechCodes[[Technology]:[Parent]],MATCH(TechCodes[[#This Row],[L5N]],TechCodes[Technology],0),4),TechCodes[IRENA code],0),2),TechCodes[[#This Row],[L5N]])</f>
        <v>TOTAL</v>
      </c>
      <c r="U8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8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Biogas</v>
      </c>
      <c r="Y8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Biogas n.e.s.</v>
      </c>
      <c r="Z8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Biogas n.e.s.</v>
      </c>
      <c r="AA83" s="43" t="str">
        <f>IFERROR(VLOOKUP(TechCodes[[#This Row],[IRENA code]],SIEC[[IRENA]:[SIEC]],2,0),"")</f>
        <v/>
      </c>
      <c r="AD83" s="9"/>
      <c r="AE83" s="9"/>
      <c r="AF83" s="9"/>
      <c r="AG83" s="9"/>
      <c r="AI83" s="9" t="s">
        <v>673</v>
      </c>
      <c r="AJ83" s="45" t="s">
        <v>674</v>
      </c>
      <c r="AK83" s="9" t="s">
        <v>667</v>
      </c>
      <c r="AO83" t="s">
        <v>620</v>
      </c>
      <c r="AP83" t="s">
        <v>621</v>
      </c>
      <c r="AQ83" t="s">
        <v>663</v>
      </c>
      <c r="AR83" t="str">
        <f>RIGHT(Table8[[#This Row],[Column1]],LEN(Table8[[#This Row],[Column1]])-5)</f>
        <v>Manufacture of starches and starch products</v>
      </c>
      <c r="AS83" s="9" t="str">
        <f>LEFT(Table8[[#This Row],[Column1]],4)</f>
        <v>1062</v>
      </c>
      <c r="AT83" s="9" t="s">
        <v>675</v>
      </c>
      <c r="AU83" t="s">
        <v>83</v>
      </c>
      <c r="AV83" t="s">
        <v>676</v>
      </c>
    </row>
    <row r="84" spans="3:48" x14ac:dyDescent="0.45">
      <c r="C84" s="32">
        <v>25900</v>
      </c>
      <c r="D84" s="32" t="s">
        <v>677</v>
      </c>
      <c r="E84" s="32" t="s">
        <v>678</v>
      </c>
      <c r="F84" s="32" t="s">
        <v>679</v>
      </c>
      <c r="G84" s="37">
        <v>25000</v>
      </c>
      <c r="H84" t="s">
        <v>83</v>
      </c>
      <c r="I84" t="s">
        <v>66</v>
      </c>
      <c r="J84" t="s">
        <v>66</v>
      </c>
      <c r="K84" t="s">
        <v>107</v>
      </c>
      <c r="N84" t="s">
        <v>447</v>
      </c>
      <c r="O84" s="41" t="str">
        <f>IFERROR(INDEX(TechCodes[[IRENA code]:[Technology]],MATCH(TechCodes[[#This Row],[Parent]],TechCodes[IRENA code],0),2),TechCodes[[#This Row],[Technology]])</f>
        <v>Bioenergy</v>
      </c>
      <c r="P84" s="41" t="str">
        <f>IFERROR(INDEX(TechCodes[[IRENA code]:[Technology]],MATCH(INDEX(TechCodes[[Technology]:[Parent]],MATCH(TechCodes[[#This Row],[L1N]],TechCodes[Technology],0),4),TechCodes[IRENA code],0),2),TechCodes[[#This Row],[L1N]])</f>
        <v>Total Renewable</v>
      </c>
      <c r="Q84" s="41" t="str">
        <f>IFERROR(INDEX(TechCodes[[IRENA code]:[Technology]],MATCH(INDEX(TechCodes[[Technology]:[Parent]],MATCH(TechCodes[[#This Row],[L2N]],TechCodes[Technology],0),4),TechCodes[IRENA code],0),2),TechCodes[[#This Row],[L2N]])</f>
        <v>TOTAL</v>
      </c>
      <c r="R84" s="41" t="str">
        <f>IFERROR(INDEX(TechCodes[[IRENA code]:[Technology]],MATCH(INDEX(TechCodes[[Technology]:[Parent]],MATCH(TechCodes[[#This Row],[L3N]],TechCodes[Technology],0),4),TechCodes[IRENA code],0),2),TechCodes[[#This Row],[L3N]])</f>
        <v>TOTAL</v>
      </c>
      <c r="S84" s="41" t="str">
        <f>IFERROR(INDEX(TechCodes[[IRENA code]:[Technology]],MATCH(INDEX(TechCodes[[Technology]:[Parent]],MATCH(TechCodes[[#This Row],[L4N]],TechCodes[Technology],0),4),TechCodes[IRENA code],0),2),TechCodes[[#This Row],[L4N]])</f>
        <v>TOTAL</v>
      </c>
      <c r="T84" s="41" t="str">
        <f>IFERROR(INDEX(TechCodes[[IRENA code]:[Technology]],MATCH(INDEX(TechCodes[[Technology]:[Parent]],MATCH(TechCodes[[#This Row],[L5N]],TechCodes[Technology],0),4),TechCodes[IRENA code],0),2),TechCodes[[#This Row],[L5N]])</f>
        <v>TOTAL</v>
      </c>
      <c r="U8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8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Bioenergy n.e.s.</v>
      </c>
      <c r="Y8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Bioenergy n.e.s.</v>
      </c>
      <c r="Z8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Bioenergy n.e.s.</v>
      </c>
      <c r="AA84" s="43" t="str">
        <f>IFERROR(VLOOKUP(TechCodes[[#This Row],[IRENA code]],SIEC[[IRENA]:[SIEC]],2,0),"")</f>
        <v/>
      </c>
      <c r="AD84" s="9"/>
      <c r="AE84" s="9"/>
      <c r="AF84" s="9"/>
      <c r="AG84" s="9"/>
      <c r="AI84" s="9" t="s">
        <v>680</v>
      </c>
      <c r="AJ84" s="46" t="s">
        <v>646</v>
      </c>
      <c r="AK84" s="9" t="s">
        <v>673</v>
      </c>
      <c r="AO84" t="s">
        <v>620</v>
      </c>
      <c r="AP84" t="s">
        <v>621</v>
      </c>
      <c r="AQ84" t="s">
        <v>681</v>
      </c>
      <c r="AR84" t="s">
        <v>681</v>
      </c>
      <c r="AS84" s="9" t="s">
        <v>682</v>
      </c>
      <c r="AT84" s="9" t="s">
        <v>290</v>
      </c>
    </row>
    <row r="85" spans="3:48" ht="15.75" x14ac:dyDescent="0.5">
      <c r="C85" s="34">
        <v>26000</v>
      </c>
      <c r="D85" s="34" t="s">
        <v>683</v>
      </c>
      <c r="E85" s="34" t="s">
        <v>684</v>
      </c>
      <c r="F85" s="34" t="s">
        <v>685</v>
      </c>
      <c r="G85" s="38">
        <v>20000</v>
      </c>
      <c r="H85" t="s">
        <v>83</v>
      </c>
      <c r="I85" t="s">
        <v>242</v>
      </c>
      <c r="J85" t="s">
        <v>242</v>
      </c>
      <c r="K85" t="s">
        <v>21</v>
      </c>
      <c r="N85" t="s">
        <v>872</v>
      </c>
      <c r="O85" s="41" t="str">
        <f>IFERROR(INDEX(TechCodes[[IRENA code]:[Technology]],MATCH(TechCodes[[#This Row],[Parent]],TechCodes[IRENA code],0),2),TechCodes[[#This Row],[Technology]])</f>
        <v>Total Renewable</v>
      </c>
      <c r="P85" s="41" t="str">
        <f>IFERROR(INDEX(TechCodes[[IRENA code]:[Technology]],MATCH(INDEX(TechCodes[[Technology]:[Parent]],MATCH(TechCodes[[#This Row],[L1N]],TechCodes[Technology],0),4),TechCodes[IRENA code],0),2),TechCodes[[#This Row],[L1N]])</f>
        <v>TOTAL</v>
      </c>
      <c r="Q85" s="41" t="str">
        <f>IFERROR(INDEX(TechCodes[[IRENA code]:[Technology]],MATCH(INDEX(TechCodes[[Technology]:[Parent]],MATCH(TechCodes[[#This Row],[L2N]],TechCodes[Technology],0),4),TechCodes[IRENA code],0),2),TechCodes[[#This Row],[L2N]])</f>
        <v>TOTAL</v>
      </c>
      <c r="R85" s="41" t="str">
        <f>IFERROR(INDEX(TechCodes[[IRENA code]:[Technology]],MATCH(INDEX(TechCodes[[Technology]:[Parent]],MATCH(TechCodes[[#This Row],[L3N]],TechCodes[Technology],0),4),TechCodes[IRENA code],0),2),TechCodes[[#This Row],[L3N]])</f>
        <v>TOTAL</v>
      </c>
      <c r="S85" s="41" t="str">
        <f>IFERROR(INDEX(TechCodes[[IRENA code]:[Technology]],MATCH(INDEX(TechCodes[[Technology]:[Parent]],MATCH(TechCodes[[#This Row],[L4N]],TechCodes[Technology],0),4),TechCodes[IRENA code],0),2),TechCodes[[#This Row],[L4N]])</f>
        <v>TOTAL</v>
      </c>
      <c r="T85" s="41" t="str">
        <f>IFERROR(INDEX(TechCodes[[IRENA code]:[Technology]],MATCH(INDEX(TechCodes[[Technology]:[Parent]],MATCH(TechCodes[[#This Row],[L5N]],TechCodes[Technology],0),4),TechCodes[IRENA code],0),2),TechCodes[[#This Row],[L5N]])</f>
        <v>TOTAL</v>
      </c>
      <c r="U8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Geothermal energy</v>
      </c>
      <c r="X8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Geothermal energy</v>
      </c>
      <c r="Y8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Geothermal energy</v>
      </c>
      <c r="Z8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Geothermal energy</v>
      </c>
      <c r="AA85" s="43" t="str">
        <f>IFERROR(VLOOKUP(TechCodes[[#This Row],[IRENA code]],SIEC[[IRENA]:[SIEC]],2,0),"")</f>
        <v/>
      </c>
      <c r="AD85" s="9"/>
      <c r="AE85" s="9"/>
      <c r="AF85" s="9"/>
      <c r="AG85" s="9"/>
      <c r="AI85" s="9" t="s">
        <v>686</v>
      </c>
      <c r="AJ85" s="46" t="s">
        <v>653</v>
      </c>
      <c r="AK85" s="9" t="s">
        <v>673</v>
      </c>
      <c r="AO85" t="s">
        <v>620</v>
      </c>
      <c r="AP85" t="s">
        <v>621</v>
      </c>
      <c r="AQ85" t="s">
        <v>681</v>
      </c>
      <c r="AR85" t="str">
        <f>RIGHT(Table8[[#This Row],[Column1]],LEN(Table8[[#This Row],[Column1]])-5)</f>
        <v>Manufacture of bakery products</v>
      </c>
      <c r="AS85" s="9" t="str">
        <f>LEFT(Table8[[#This Row],[Column1]],4)</f>
        <v>1071</v>
      </c>
      <c r="AT85" s="9" t="s">
        <v>682</v>
      </c>
      <c r="AU85" t="s">
        <v>83</v>
      </c>
      <c r="AV85" t="s">
        <v>687</v>
      </c>
    </row>
    <row r="86" spans="3:48" x14ac:dyDescent="0.45">
      <c r="C86" s="32">
        <v>26100</v>
      </c>
      <c r="D86" s="32" t="s">
        <v>688</v>
      </c>
      <c r="E86" s="32"/>
      <c r="F86" s="32"/>
      <c r="G86" s="40">
        <v>26000</v>
      </c>
      <c r="H86" t="s">
        <v>106</v>
      </c>
      <c r="I86" t="s">
        <v>66</v>
      </c>
      <c r="J86" t="s">
        <v>66</v>
      </c>
      <c r="K86" t="s">
        <v>107</v>
      </c>
      <c r="N86" t="s">
        <v>872</v>
      </c>
      <c r="O86" s="41" t="str">
        <f>IFERROR(INDEX(TechCodes[[IRENA code]:[Technology]],MATCH(TechCodes[[#This Row],[Parent]],TechCodes[IRENA code],0),2),TechCodes[[#This Row],[Technology]])</f>
        <v>Geothermal energy</v>
      </c>
      <c r="P86" s="41" t="str">
        <f>IFERROR(INDEX(TechCodes[[IRENA code]:[Technology]],MATCH(INDEX(TechCodes[[Technology]:[Parent]],MATCH(TechCodes[[#This Row],[L1N]],TechCodes[Technology],0),4),TechCodes[IRENA code],0),2),TechCodes[[#This Row],[L1N]])</f>
        <v>Total Renewable</v>
      </c>
      <c r="Q86" s="41" t="str">
        <f>IFERROR(INDEX(TechCodes[[IRENA code]:[Technology]],MATCH(INDEX(TechCodes[[Technology]:[Parent]],MATCH(TechCodes[[#This Row],[L2N]],TechCodes[Technology],0),4),TechCodes[IRENA code],0),2),TechCodes[[#This Row],[L2N]])</f>
        <v>TOTAL</v>
      </c>
      <c r="R86" s="41" t="str">
        <f>IFERROR(INDEX(TechCodes[[IRENA code]:[Technology]],MATCH(INDEX(TechCodes[[Technology]:[Parent]],MATCH(TechCodes[[#This Row],[L3N]],TechCodes[Technology],0),4),TechCodes[IRENA code],0),2),TechCodes[[#This Row],[L3N]])</f>
        <v>TOTAL</v>
      </c>
      <c r="S86" s="41" t="str">
        <f>IFERROR(INDEX(TechCodes[[IRENA code]:[Technology]],MATCH(INDEX(TechCodes[[Technology]:[Parent]],MATCH(TechCodes[[#This Row],[L4N]],TechCodes[Technology],0),4),TechCodes[IRENA code],0),2),TechCodes[[#This Row],[L4N]])</f>
        <v>TOTAL</v>
      </c>
      <c r="T86" s="41" t="str">
        <f>IFERROR(INDEX(TechCodes[[IRENA code]:[Technology]],MATCH(INDEX(TechCodes[[Technology]:[Parent]],MATCH(TechCodes[[#This Row],[L5N]],TechCodes[Technology],0),4),TechCodes[IRENA code],0),2),TechCodes[[#This Row],[L5N]])</f>
        <v>TOTAL</v>
      </c>
      <c r="U8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Geothermal energy</v>
      </c>
      <c r="X8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Flash steam</v>
      </c>
      <c r="Y8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Flash steam</v>
      </c>
      <c r="Z8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Flash steam</v>
      </c>
      <c r="AA86" s="43" t="str">
        <f>IFERROR(VLOOKUP(TechCodes[[#This Row],[IRENA code]],SIEC[[IRENA]:[SIEC]],2,0),"")</f>
        <v/>
      </c>
      <c r="AD86" s="9"/>
      <c r="AE86" s="9"/>
      <c r="AF86" s="9"/>
      <c r="AG86" s="9"/>
      <c r="AI86" s="9" t="s">
        <v>689</v>
      </c>
      <c r="AJ86" s="46" t="s">
        <v>659</v>
      </c>
      <c r="AK86" s="9" t="s">
        <v>673</v>
      </c>
      <c r="AO86" t="s">
        <v>620</v>
      </c>
      <c r="AP86" t="s">
        <v>621</v>
      </c>
      <c r="AQ86" t="s">
        <v>681</v>
      </c>
      <c r="AR86" t="str">
        <f>RIGHT(Table8[[#This Row],[Column1]],LEN(Table8[[#This Row],[Column1]])-5)</f>
        <v>Manufacture of sugar</v>
      </c>
      <c r="AS86" s="9" t="str">
        <f>LEFT(Table8[[#This Row],[Column1]],4)</f>
        <v>1072</v>
      </c>
      <c r="AT86" s="9" t="s">
        <v>682</v>
      </c>
      <c r="AU86" t="s">
        <v>83</v>
      </c>
      <c r="AV86" t="s">
        <v>690</v>
      </c>
    </row>
    <row r="87" spans="3:48" x14ac:dyDescent="0.45">
      <c r="C87" s="32">
        <v>26200</v>
      </c>
      <c r="D87" s="32" t="s">
        <v>691</v>
      </c>
      <c r="E87" s="32"/>
      <c r="F87" s="32"/>
      <c r="G87" s="40">
        <v>26000</v>
      </c>
      <c r="H87" t="s">
        <v>106</v>
      </c>
      <c r="I87" t="s">
        <v>66</v>
      </c>
      <c r="J87" t="s">
        <v>66</v>
      </c>
      <c r="K87" t="s">
        <v>107</v>
      </c>
      <c r="N87" t="s">
        <v>872</v>
      </c>
      <c r="O87" s="41" t="str">
        <f>IFERROR(INDEX(TechCodes[[IRENA code]:[Technology]],MATCH(TechCodes[[#This Row],[Parent]],TechCodes[IRENA code],0),2),TechCodes[[#This Row],[Technology]])</f>
        <v>Geothermal energy</v>
      </c>
      <c r="P87" s="41" t="str">
        <f>IFERROR(INDEX(TechCodes[[IRENA code]:[Technology]],MATCH(INDEX(TechCodes[[Technology]:[Parent]],MATCH(TechCodes[[#This Row],[L1N]],TechCodes[Technology],0),4),TechCodes[IRENA code],0),2),TechCodes[[#This Row],[L1N]])</f>
        <v>Total Renewable</v>
      </c>
      <c r="Q87" s="41" t="str">
        <f>IFERROR(INDEX(TechCodes[[IRENA code]:[Technology]],MATCH(INDEX(TechCodes[[Technology]:[Parent]],MATCH(TechCodes[[#This Row],[L2N]],TechCodes[Technology],0),4),TechCodes[IRENA code],0),2),TechCodes[[#This Row],[L2N]])</f>
        <v>TOTAL</v>
      </c>
      <c r="R87" s="41" t="str">
        <f>IFERROR(INDEX(TechCodes[[IRENA code]:[Technology]],MATCH(INDEX(TechCodes[[Technology]:[Parent]],MATCH(TechCodes[[#This Row],[L3N]],TechCodes[Technology],0),4),TechCodes[IRENA code],0),2),TechCodes[[#This Row],[L3N]])</f>
        <v>TOTAL</v>
      </c>
      <c r="S87" s="41" t="str">
        <f>IFERROR(INDEX(TechCodes[[IRENA code]:[Technology]],MATCH(INDEX(TechCodes[[Technology]:[Parent]],MATCH(TechCodes[[#This Row],[L4N]],TechCodes[Technology],0),4),TechCodes[IRENA code],0),2),TechCodes[[#This Row],[L4N]])</f>
        <v>TOTAL</v>
      </c>
      <c r="T87" s="41" t="str">
        <f>IFERROR(INDEX(TechCodes[[IRENA code]:[Technology]],MATCH(INDEX(TechCodes[[Technology]:[Parent]],MATCH(TechCodes[[#This Row],[L5N]],TechCodes[Technology],0),4),TechCodes[IRENA code],0),2),TechCodes[[#This Row],[L5N]])</f>
        <v>TOTAL</v>
      </c>
      <c r="U87"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Geothermal energy</v>
      </c>
      <c r="X8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Dry steam</v>
      </c>
      <c r="Y8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Dry steam</v>
      </c>
      <c r="Z8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Dry steam</v>
      </c>
      <c r="AA87" s="43" t="str">
        <f>IFERROR(VLOOKUP(TechCodes[[#This Row],[IRENA code]],SIEC[[IRENA]:[SIEC]],2,0),"")</f>
        <v/>
      </c>
      <c r="AD87" s="9"/>
      <c r="AE87" s="9"/>
      <c r="AF87" s="9"/>
      <c r="AG87" s="9"/>
      <c r="AI87" s="9" t="s">
        <v>692</v>
      </c>
      <c r="AJ87" s="45" t="s">
        <v>664</v>
      </c>
      <c r="AK87" s="9" t="s">
        <v>667</v>
      </c>
      <c r="AO87" t="s">
        <v>620</v>
      </c>
      <c r="AP87" t="s">
        <v>621</v>
      </c>
      <c r="AQ87" t="s">
        <v>681</v>
      </c>
      <c r="AR87" t="str">
        <f>RIGHT(Table8[[#This Row],[Column1]],LEN(Table8[[#This Row],[Column1]])-5)</f>
        <v>Manufacture of cocoa, chocolate and sugar confectionery</v>
      </c>
      <c r="AS87" s="9" t="str">
        <f>LEFT(Table8[[#This Row],[Column1]],4)</f>
        <v>1073</v>
      </c>
      <c r="AT87" s="9" t="s">
        <v>682</v>
      </c>
      <c r="AU87" t="s">
        <v>83</v>
      </c>
      <c r="AV87" t="s">
        <v>693</v>
      </c>
    </row>
    <row r="88" spans="3:48" x14ac:dyDescent="0.45">
      <c r="C88" s="32">
        <v>26300</v>
      </c>
      <c r="D88" s="32" t="s">
        <v>694</v>
      </c>
      <c r="E88" s="32"/>
      <c r="F88" s="32"/>
      <c r="G88" s="40">
        <v>26000</v>
      </c>
      <c r="H88" t="s">
        <v>106</v>
      </c>
      <c r="I88" t="s">
        <v>66</v>
      </c>
      <c r="J88" t="s">
        <v>66</v>
      </c>
      <c r="K88" t="s">
        <v>107</v>
      </c>
      <c r="N88" t="s">
        <v>872</v>
      </c>
      <c r="O88" s="41" t="str">
        <f>IFERROR(INDEX(TechCodes[[IRENA code]:[Technology]],MATCH(TechCodes[[#This Row],[Parent]],TechCodes[IRENA code],0),2),TechCodes[[#This Row],[Technology]])</f>
        <v>Geothermal energy</v>
      </c>
      <c r="P88" s="41" t="str">
        <f>IFERROR(INDEX(TechCodes[[IRENA code]:[Technology]],MATCH(INDEX(TechCodes[[Technology]:[Parent]],MATCH(TechCodes[[#This Row],[L1N]],TechCodes[Technology],0),4),TechCodes[IRENA code],0),2),TechCodes[[#This Row],[L1N]])</f>
        <v>Total Renewable</v>
      </c>
      <c r="Q88" s="41" t="str">
        <f>IFERROR(INDEX(TechCodes[[IRENA code]:[Technology]],MATCH(INDEX(TechCodes[[Technology]:[Parent]],MATCH(TechCodes[[#This Row],[L2N]],TechCodes[Technology],0),4),TechCodes[IRENA code],0),2),TechCodes[[#This Row],[L2N]])</f>
        <v>TOTAL</v>
      </c>
      <c r="R88" s="41" t="str">
        <f>IFERROR(INDEX(TechCodes[[IRENA code]:[Technology]],MATCH(INDEX(TechCodes[[Technology]:[Parent]],MATCH(TechCodes[[#This Row],[L3N]],TechCodes[Technology],0),4),TechCodes[IRENA code],0),2),TechCodes[[#This Row],[L3N]])</f>
        <v>TOTAL</v>
      </c>
      <c r="S88" s="41" t="str">
        <f>IFERROR(INDEX(TechCodes[[IRENA code]:[Technology]],MATCH(INDEX(TechCodes[[Technology]:[Parent]],MATCH(TechCodes[[#This Row],[L4N]],TechCodes[Technology],0),4),TechCodes[IRENA code],0),2),TechCodes[[#This Row],[L4N]])</f>
        <v>TOTAL</v>
      </c>
      <c r="T88" s="41" t="str">
        <f>IFERROR(INDEX(TechCodes[[IRENA code]:[Technology]],MATCH(INDEX(TechCodes[[Technology]:[Parent]],MATCH(TechCodes[[#This Row],[L5N]],TechCodes[Technology],0),4),TechCodes[IRENA code],0),2),TechCodes[[#This Row],[L5N]])</f>
        <v>TOTAL</v>
      </c>
      <c r="U88"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Geothermal energy</v>
      </c>
      <c r="X8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Binary cycle</v>
      </c>
      <c r="Y8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Binary cycle</v>
      </c>
      <c r="Z8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Binary cycle</v>
      </c>
      <c r="AA88" s="43" t="str">
        <f>IFERROR(VLOOKUP(TechCodes[[#This Row],[IRENA code]],SIEC[[IRENA]:[SIEC]],2,0),"")</f>
        <v/>
      </c>
      <c r="AD88" s="9"/>
      <c r="AE88" s="9"/>
      <c r="AF88" s="9"/>
      <c r="AG88" s="9"/>
      <c r="AI88" s="9" t="s">
        <v>695</v>
      </c>
      <c r="AJ88" t="s">
        <v>696</v>
      </c>
      <c r="AK88" s="9"/>
      <c r="AO88" t="s">
        <v>620</v>
      </c>
      <c r="AP88" t="s">
        <v>621</v>
      </c>
      <c r="AQ88" t="s">
        <v>681</v>
      </c>
      <c r="AR88" t="str">
        <f>RIGHT(Table8[[#This Row],[Column1]],LEN(Table8[[#This Row],[Column1]])-5)</f>
        <v>Manufacture of macaroni, noodles, couscous and similar farinaceous products</v>
      </c>
      <c r="AS88" s="9" t="str">
        <f>LEFT(Table8[[#This Row],[Column1]],4)</f>
        <v>1074</v>
      </c>
      <c r="AT88" s="9" t="s">
        <v>682</v>
      </c>
      <c r="AU88" t="s">
        <v>83</v>
      </c>
      <c r="AV88" t="s">
        <v>697</v>
      </c>
    </row>
    <row r="89" spans="3:48" x14ac:dyDescent="0.45">
      <c r="C89" s="32">
        <v>26900</v>
      </c>
      <c r="D89" s="32" t="s">
        <v>698</v>
      </c>
      <c r="E89" s="32"/>
      <c r="F89" s="32"/>
      <c r="G89" s="40">
        <v>26000</v>
      </c>
      <c r="H89" t="s">
        <v>106</v>
      </c>
      <c r="I89" t="s">
        <v>66</v>
      </c>
      <c r="J89" t="s">
        <v>66</v>
      </c>
      <c r="K89" t="s">
        <v>107</v>
      </c>
      <c r="N89" t="s">
        <v>872</v>
      </c>
      <c r="O89" s="41" t="str">
        <f>IFERROR(INDEX(TechCodes[[IRENA code]:[Technology]],MATCH(TechCodes[[#This Row],[Parent]],TechCodes[IRENA code],0),2),TechCodes[[#This Row],[Technology]])</f>
        <v>Geothermal energy</v>
      </c>
      <c r="P89" s="41" t="str">
        <f>IFERROR(INDEX(TechCodes[[IRENA code]:[Technology]],MATCH(INDEX(TechCodes[[Technology]:[Parent]],MATCH(TechCodes[[#This Row],[L1N]],TechCodes[Technology],0),4),TechCodes[IRENA code],0),2),TechCodes[[#This Row],[L1N]])</f>
        <v>Total Renewable</v>
      </c>
      <c r="Q89" s="41" t="str">
        <f>IFERROR(INDEX(TechCodes[[IRENA code]:[Technology]],MATCH(INDEX(TechCodes[[Technology]:[Parent]],MATCH(TechCodes[[#This Row],[L2N]],TechCodes[Technology],0),4),TechCodes[IRENA code],0),2),TechCodes[[#This Row],[L2N]])</f>
        <v>TOTAL</v>
      </c>
      <c r="R89" s="41" t="str">
        <f>IFERROR(INDEX(TechCodes[[IRENA code]:[Technology]],MATCH(INDEX(TechCodes[[Technology]:[Parent]],MATCH(TechCodes[[#This Row],[L3N]],TechCodes[Technology],0),4),TechCodes[IRENA code],0),2),TechCodes[[#This Row],[L3N]])</f>
        <v>TOTAL</v>
      </c>
      <c r="S89" s="41" t="str">
        <f>IFERROR(INDEX(TechCodes[[IRENA code]:[Technology]],MATCH(INDEX(TechCodes[[Technology]:[Parent]],MATCH(TechCodes[[#This Row],[L4N]],TechCodes[Technology],0),4),TechCodes[IRENA code],0),2),TechCodes[[#This Row],[L4N]])</f>
        <v>TOTAL</v>
      </c>
      <c r="T89" s="41" t="str">
        <f>IFERROR(INDEX(TechCodes[[IRENA code]:[Technology]],MATCH(INDEX(TechCodes[[Technology]:[Parent]],MATCH(TechCodes[[#This Row],[L5N]],TechCodes[Technology],0),4),TechCodes[IRENA code],0),2),TechCodes[[#This Row],[L5N]])</f>
        <v>TOTAL</v>
      </c>
      <c r="U89"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8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8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Geothermal energy</v>
      </c>
      <c r="X8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Geothermal energy n.e.s.</v>
      </c>
      <c r="Y8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Geothermal energy n.e.s.</v>
      </c>
      <c r="Z8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Geothermal energy n.e.s.</v>
      </c>
      <c r="AA89" s="43" t="str">
        <f>IFERROR(VLOOKUP(TechCodes[[#This Row],[IRENA code]],SIEC[[IRENA]:[SIEC]],2,0),"")</f>
        <v/>
      </c>
      <c r="AD89" s="9"/>
      <c r="AE89" s="9"/>
      <c r="AF89" s="9"/>
      <c r="AG89" s="9"/>
      <c r="AH89">
        <v>13100</v>
      </c>
      <c r="AI89" s="9" t="s">
        <v>699</v>
      </c>
      <c r="AJ89" s="44" t="s">
        <v>700</v>
      </c>
      <c r="AK89" s="9" t="s">
        <v>695</v>
      </c>
      <c r="AO89" t="s">
        <v>620</v>
      </c>
      <c r="AP89" t="s">
        <v>621</v>
      </c>
      <c r="AQ89" t="s">
        <v>681</v>
      </c>
      <c r="AR89" t="str">
        <f>RIGHT(Table8[[#This Row],[Column1]],LEN(Table8[[#This Row],[Column1]])-5)</f>
        <v>Manufacture of prepared meals and dishes</v>
      </c>
      <c r="AS89" s="9" t="str">
        <f>LEFT(Table8[[#This Row],[Column1]],4)</f>
        <v>1075</v>
      </c>
      <c r="AT89" s="9" t="s">
        <v>682</v>
      </c>
      <c r="AU89" t="s">
        <v>83</v>
      </c>
      <c r="AV89" t="s">
        <v>701</v>
      </c>
    </row>
    <row r="90" spans="3:48" ht="15.75" x14ac:dyDescent="0.5">
      <c r="C90" s="34">
        <v>27000</v>
      </c>
      <c r="D90" s="34" t="s">
        <v>702</v>
      </c>
      <c r="E90" s="34" t="s">
        <v>703</v>
      </c>
      <c r="F90" s="34"/>
      <c r="G90" s="38">
        <v>20000</v>
      </c>
      <c r="H90" t="s">
        <v>83</v>
      </c>
      <c r="I90" t="s">
        <v>242</v>
      </c>
      <c r="J90" t="s">
        <v>242</v>
      </c>
      <c r="K90" t="s">
        <v>21</v>
      </c>
      <c r="N90" t="s">
        <v>1193</v>
      </c>
      <c r="O90" s="41" t="str">
        <f>IFERROR(INDEX(TechCodes[[IRENA code]:[Technology]],MATCH(TechCodes[[#This Row],[Parent]],TechCodes[IRENA code],0),2),TechCodes[[#This Row],[Technology]])</f>
        <v>Total Renewable</v>
      </c>
      <c r="P90" s="41" t="str">
        <f>IFERROR(INDEX(TechCodes[[IRENA code]:[Technology]],MATCH(INDEX(TechCodes[[Technology]:[Parent]],MATCH(TechCodes[[#This Row],[L1N]],TechCodes[Technology],0),4),TechCodes[IRENA code],0),2),TechCodes[[#This Row],[L1N]])</f>
        <v>TOTAL</v>
      </c>
      <c r="Q90" s="41" t="str">
        <f>IFERROR(INDEX(TechCodes[[IRENA code]:[Technology]],MATCH(INDEX(TechCodes[[Technology]:[Parent]],MATCH(TechCodes[[#This Row],[L2N]],TechCodes[Technology],0),4),TechCodes[IRENA code],0),2),TechCodes[[#This Row],[L2N]])</f>
        <v>TOTAL</v>
      </c>
      <c r="R90" s="41" t="str">
        <f>IFERROR(INDEX(TechCodes[[IRENA code]:[Technology]],MATCH(INDEX(TechCodes[[Technology]:[Parent]],MATCH(TechCodes[[#This Row],[L3N]],TechCodes[Technology],0),4),TechCodes[IRENA code],0),2),TechCodes[[#This Row],[L3N]])</f>
        <v>TOTAL</v>
      </c>
      <c r="S90" s="41" t="str">
        <f>IFERROR(INDEX(TechCodes[[IRENA code]:[Technology]],MATCH(INDEX(TechCodes[[Technology]:[Parent]],MATCH(TechCodes[[#This Row],[L4N]],TechCodes[Technology],0),4),TechCodes[IRENA code],0),2),TechCodes[[#This Row],[L4N]])</f>
        <v>TOTAL</v>
      </c>
      <c r="T90" s="41" t="str">
        <f>IFERROR(INDEX(TechCodes[[IRENA code]:[Technology]],MATCH(INDEX(TechCodes[[Technology]:[Parent]],MATCH(TechCodes[[#This Row],[L5N]],TechCodes[Technology],0),4),TechCodes[IRENA code],0),2),TechCodes[[#This Row],[L5N]])</f>
        <v>TOTAL</v>
      </c>
      <c r="U90"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Multiple renewables*</v>
      </c>
      <c r="X9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Multiple renewables*</v>
      </c>
      <c r="Y9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Multiple renewables*</v>
      </c>
      <c r="Z9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Multiple renewables*</v>
      </c>
      <c r="AA90" s="43" t="str">
        <f>IFERROR(VLOOKUP(TechCodes[[#This Row],[IRENA code]],SIEC[[IRENA]:[SIEC]],2,0),"")</f>
        <v/>
      </c>
      <c r="AD90" s="9"/>
      <c r="AE90" s="9"/>
      <c r="AF90" s="9"/>
      <c r="AG90" s="9"/>
      <c r="AI90" s="9" t="s">
        <v>704</v>
      </c>
      <c r="AJ90" s="44" t="s">
        <v>705</v>
      </c>
      <c r="AK90" s="9" t="s">
        <v>695</v>
      </c>
      <c r="AO90" t="s">
        <v>620</v>
      </c>
      <c r="AP90" t="s">
        <v>621</v>
      </c>
      <c r="AQ90" t="s">
        <v>681</v>
      </c>
      <c r="AR90" t="str">
        <f>RIGHT(Table8[[#This Row],[Column1]],LEN(Table8[[#This Row],[Column1]])-5)</f>
        <v>Manufacture of other food products n.e.c.</v>
      </c>
      <c r="AS90" s="9" t="str">
        <f>LEFT(Table8[[#This Row],[Column1]],4)</f>
        <v>1079</v>
      </c>
      <c r="AT90" s="9" t="s">
        <v>682</v>
      </c>
      <c r="AU90" t="s">
        <v>83</v>
      </c>
      <c r="AV90" t="s">
        <v>706</v>
      </c>
    </row>
    <row r="91" spans="3:48" ht="15.75" x14ac:dyDescent="0.5">
      <c r="C91" s="34">
        <v>29000</v>
      </c>
      <c r="D91" s="34" t="s">
        <v>707</v>
      </c>
      <c r="E91" s="34"/>
      <c r="F91" s="34"/>
      <c r="G91" s="38">
        <v>20000</v>
      </c>
      <c r="H91" t="s">
        <v>83</v>
      </c>
      <c r="I91" t="s">
        <v>242</v>
      </c>
      <c r="J91" t="s">
        <v>242</v>
      </c>
      <c r="K91" t="s">
        <v>21</v>
      </c>
      <c r="N91" t="s">
        <v>114</v>
      </c>
      <c r="O91" s="41" t="str">
        <f>IFERROR(INDEX(TechCodes[[IRENA code]:[Technology]],MATCH(TechCodes[[#This Row],[Parent]],TechCodes[IRENA code],0),2),TechCodes[[#This Row],[Technology]])</f>
        <v>Total Renewable</v>
      </c>
      <c r="P91" s="41" t="str">
        <f>IFERROR(INDEX(TechCodes[[IRENA code]:[Technology]],MATCH(INDEX(TechCodes[[Technology]:[Parent]],MATCH(TechCodes[[#This Row],[L1N]],TechCodes[Technology],0),4),TechCodes[IRENA code],0),2),TechCodes[[#This Row],[L1N]])</f>
        <v>TOTAL</v>
      </c>
      <c r="Q91" s="41" t="str">
        <f>IFERROR(INDEX(TechCodes[[IRENA code]:[Technology]],MATCH(INDEX(TechCodes[[Technology]:[Parent]],MATCH(TechCodes[[#This Row],[L2N]],TechCodes[Technology],0),4),TechCodes[IRENA code],0),2),TechCodes[[#This Row],[L2N]])</f>
        <v>TOTAL</v>
      </c>
      <c r="R91" s="41" t="str">
        <f>IFERROR(INDEX(TechCodes[[IRENA code]:[Technology]],MATCH(INDEX(TechCodes[[Technology]:[Parent]],MATCH(TechCodes[[#This Row],[L3N]],TechCodes[Technology],0),4),TechCodes[IRENA code],0),2),TechCodes[[#This Row],[L3N]])</f>
        <v>TOTAL</v>
      </c>
      <c r="S91" s="41" t="str">
        <f>IFERROR(INDEX(TechCodes[[IRENA code]:[Technology]],MATCH(INDEX(TechCodes[[Technology]:[Parent]],MATCH(TechCodes[[#This Row],[L4N]],TechCodes[Technology],0),4),TechCodes[IRENA code],0),2),TechCodes[[#This Row],[L4N]])</f>
        <v>TOTAL</v>
      </c>
      <c r="T91" s="41" t="str">
        <f>IFERROR(INDEX(TechCodes[[IRENA code]:[Technology]],MATCH(INDEX(TechCodes[[Technology]:[Parent]],MATCH(TechCodes[[#This Row],[L5N]],TechCodes[Technology],0),4),TechCodes[IRENA code],0),2),TechCodes[[#This Row],[L5N]])</f>
        <v>TOTAL</v>
      </c>
      <c r="U91"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renewable energy</v>
      </c>
      <c r="X9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Other renewable energy</v>
      </c>
      <c r="Y9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renewable energy</v>
      </c>
      <c r="Z9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renewable energy</v>
      </c>
      <c r="AA91" s="43" t="str">
        <f>IFERROR(VLOOKUP(TechCodes[[#This Row],[IRENA code]],SIEC[[IRENA]:[SIEC]],2,0),"")</f>
        <v/>
      </c>
      <c r="AD91" s="9"/>
      <c r="AE91" s="9"/>
      <c r="AF91" s="9"/>
      <c r="AG91" s="9"/>
      <c r="AH91">
        <v>70000</v>
      </c>
      <c r="AI91" s="9" t="s">
        <v>708</v>
      </c>
      <c r="AJ91" t="s">
        <v>709</v>
      </c>
      <c r="AK91" s="9"/>
      <c r="AO91" t="s">
        <v>620</v>
      </c>
      <c r="AP91" t="s">
        <v>621</v>
      </c>
      <c r="AQ91" t="s">
        <v>710</v>
      </c>
      <c r="AR91" t="s">
        <v>710</v>
      </c>
      <c r="AS91" s="9" t="s">
        <v>711</v>
      </c>
      <c r="AT91" s="9" t="s">
        <v>290</v>
      </c>
      <c r="AU91" t="s">
        <v>83</v>
      </c>
    </row>
    <row r="92" spans="3:48" x14ac:dyDescent="0.45">
      <c r="C92" s="32">
        <v>29100</v>
      </c>
      <c r="D92" s="32" t="s">
        <v>712</v>
      </c>
      <c r="E92" s="32"/>
      <c r="F92" s="32"/>
      <c r="G92" s="37">
        <v>29000</v>
      </c>
      <c r="H92" t="s">
        <v>106</v>
      </c>
      <c r="I92" t="s">
        <v>66</v>
      </c>
      <c r="J92" t="s">
        <v>66</v>
      </c>
      <c r="K92" t="s">
        <v>107</v>
      </c>
      <c r="N92" t="s">
        <v>114</v>
      </c>
      <c r="O92" s="41" t="str">
        <f>IFERROR(INDEX(TechCodes[[IRENA code]:[Technology]],MATCH(TechCodes[[#This Row],[Parent]],TechCodes[IRENA code],0),2),TechCodes[[#This Row],[Technology]])</f>
        <v>Other renewable energy</v>
      </c>
      <c r="P92" s="41" t="str">
        <f>IFERROR(INDEX(TechCodes[[IRENA code]:[Technology]],MATCH(INDEX(TechCodes[[Technology]:[Parent]],MATCH(TechCodes[[#This Row],[L1N]],TechCodes[Technology],0),4),TechCodes[IRENA code],0),2),TechCodes[[#This Row],[L1N]])</f>
        <v>Total Renewable</v>
      </c>
      <c r="Q92" s="41" t="str">
        <f>IFERROR(INDEX(TechCodes[[IRENA code]:[Technology]],MATCH(INDEX(TechCodes[[Technology]:[Parent]],MATCH(TechCodes[[#This Row],[L2N]],TechCodes[Technology],0),4),TechCodes[IRENA code],0),2),TechCodes[[#This Row],[L2N]])</f>
        <v>TOTAL</v>
      </c>
      <c r="R92" s="41" t="str">
        <f>IFERROR(INDEX(TechCodes[[IRENA code]:[Technology]],MATCH(INDEX(TechCodes[[Technology]:[Parent]],MATCH(TechCodes[[#This Row],[L3N]],TechCodes[Technology],0),4),TechCodes[IRENA code],0),2),TechCodes[[#This Row],[L3N]])</f>
        <v>TOTAL</v>
      </c>
      <c r="S92" s="41" t="str">
        <f>IFERROR(INDEX(TechCodes[[IRENA code]:[Technology]],MATCH(INDEX(TechCodes[[Technology]:[Parent]],MATCH(TechCodes[[#This Row],[L4N]],TechCodes[Technology],0),4),TechCodes[IRENA code],0),2),TechCodes[[#This Row],[L4N]])</f>
        <v>TOTAL</v>
      </c>
      <c r="T92" s="41" t="str">
        <f>IFERROR(INDEX(TechCodes[[IRENA code]:[Technology]],MATCH(INDEX(TechCodes[[Technology]:[Parent]],MATCH(TechCodes[[#This Row],[L5N]],TechCodes[Technology],0),4),TechCodes[IRENA code],0),2),TechCodes[[#This Row],[L5N]])</f>
        <v>TOTAL</v>
      </c>
      <c r="U92"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renewable energy</v>
      </c>
      <c r="X9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Ground source heat pumps</v>
      </c>
      <c r="Y9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Ground source heat pumps</v>
      </c>
      <c r="Z9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Ground source heat pumps</v>
      </c>
      <c r="AA92" s="43" t="str">
        <f>IFERROR(VLOOKUP(TechCodes[[#This Row],[IRENA code]],SIEC[[IRENA]:[SIEC]],2,0),"")</f>
        <v/>
      </c>
      <c r="AD92" s="9"/>
      <c r="AE92" s="9"/>
      <c r="AF92" s="9"/>
      <c r="AG92" s="9"/>
      <c r="AH92">
        <v>80000</v>
      </c>
      <c r="AI92" s="9" t="s">
        <v>713</v>
      </c>
      <c r="AJ92" t="s">
        <v>714</v>
      </c>
      <c r="AK92" s="9"/>
      <c r="AO92" t="s">
        <v>620</v>
      </c>
      <c r="AP92" t="s">
        <v>715</v>
      </c>
      <c r="AQ92" t="s">
        <v>715</v>
      </c>
      <c r="AR92" t="s">
        <v>715</v>
      </c>
      <c r="AS92" s="9" t="s">
        <v>297</v>
      </c>
      <c r="AT92" s="9" t="s">
        <v>622</v>
      </c>
    </row>
    <row r="93" spans="3:48" x14ac:dyDescent="0.45">
      <c r="C93" s="32">
        <v>29200</v>
      </c>
      <c r="D93" s="32" t="s">
        <v>716</v>
      </c>
      <c r="E93" s="32"/>
      <c r="F93" s="32"/>
      <c r="G93" s="37">
        <v>29000</v>
      </c>
      <c r="H93" t="s">
        <v>106</v>
      </c>
      <c r="I93" t="s">
        <v>66</v>
      </c>
      <c r="J93" t="s">
        <v>66</v>
      </c>
      <c r="K93" t="s">
        <v>107</v>
      </c>
      <c r="N93" t="s">
        <v>114</v>
      </c>
      <c r="O93" s="41" t="str">
        <f>IFERROR(INDEX(TechCodes[[IRENA code]:[Technology]],MATCH(TechCodes[[#This Row],[Parent]],TechCodes[IRENA code],0),2),TechCodes[[#This Row],[Technology]])</f>
        <v>Other renewable energy</v>
      </c>
      <c r="P93" s="41" t="str">
        <f>IFERROR(INDEX(TechCodes[[IRENA code]:[Technology]],MATCH(INDEX(TechCodes[[Technology]:[Parent]],MATCH(TechCodes[[#This Row],[L1N]],TechCodes[Technology],0),4),TechCodes[IRENA code],0),2),TechCodes[[#This Row],[L1N]])</f>
        <v>Total Renewable</v>
      </c>
      <c r="Q93" s="41" t="str">
        <f>IFERROR(INDEX(TechCodes[[IRENA code]:[Technology]],MATCH(INDEX(TechCodes[[Technology]:[Parent]],MATCH(TechCodes[[#This Row],[L2N]],TechCodes[Technology],0),4),TechCodes[IRENA code],0),2),TechCodes[[#This Row],[L2N]])</f>
        <v>TOTAL</v>
      </c>
      <c r="R93" s="41" t="str">
        <f>IFERROR(INDEX(TechCodes[[IRENA code]:[Technology]],MATCH(INDEX(TechCodes[[Technology]:[Parent]],MATCH(TechCodes[[#This Row],[L3N]],TechCodes[Technology],0),4),TechCodes[IRENA code],0),2),TechCodes[[#This Row],[L3N]])</f>
        <v>TOTAL</v>
      </c>
      <c r="S93" s="41" t="str">
        <f>IFERROR(INDEX(TechCodes[[IRENA code]:[Technology]],MATCH(INDEX(TechCodes[[Technology]:[Parent]],MATCH(TechCodes[[#This Row],[L4N]],TechCodes[Technology],0),4),TechCodes[IRENA code],0),2),TechCodes[[#This Row],[L4N]])</f>
        <v>TOTAL</v>
      </c>
      <c r="T93" s="41" t="str">
        <f>IFERROR(INDEX(TechCodes[[IRENA code]:[Technology]],MATCH(INDEX(TechCodes[[Technology]:[Parent]],MATCH(TechCodes[[#This Row],[L5N]],TechCodes[Technology],0),4),TechCodes[IRENA code],0),2),TechCodes[[#This Row],[L5N]])</f>
        <v>TOTAL</v>
      </c>
      <c r="U9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renewable energy</v>
      </c>
      <c r="X9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Air source heat pumps</v>
      </c>
      <c r="Y9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Air source heat pumps</v>
      </c>
      <c r="Z9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Air source heat pumps</v>
      </c>
      <c r="AA93" s="43" t="str">
        <f>IFERROR(VLOOKUP(TechCodes[[#This Row],[IRENA code]],SIEC[[IRENA]:[SIEC]],2,0),"")</f>
        <v/>
      </c>
      <c r="AD93" s="9"/>
      <c r="AE93" s="9"/>
      <c r="AF93" s="9"/>
      <c r="AG93" s="9"/>
      <c r="AH93">
        <v>12000</v>
      </c>
      <c r="AI93" s="9" t="s">
        <v>717</v>
      </c>
      <c r="AJ93" t="s">
        <v>718</v>
      </c>
      <c r="AK93" s="9"/>
      <c r="AO93" t="s">
        <v>620</v>
      </c>
      <c r="AP93" t="s">
        <v>715</v>
      </c>
      <c r="AQ93" t="s">
        <v>715</v>
      </c>
      <c r="AR93" t="s">
        <v>719</v>
      </c>
      <c r="AS93" s="9" t="s">
        <v>720</v>
      </c>
      <c r="AT93" s="9" t="s">
        <v>297</v>
      </c>
      <c r="AU93" t="s">
        <v>83</v>
      </c>
    </row>
    <row r="94" spans="3:48" x14ac:dyDescent="0.45">
      <c r="C94" s="32">
        <v>29300</v>
      </c>
      <c r="D94" s="32" t="s">
        <v>721</v>
      </c>
      <c r="E94" s="32"/>
      <c r="F94" s="32"/>
      <c r="G94" s="37">
        <v>29000</v>
      </c>
      <c r="H94" t="s">
        <v>106</v>
      </c>
      <c r="I94" t="s">
        <v>66</v>
      </c>
      <c r="J94" t="s">
        <v>66</v>
      </c>
      <c r="K94" t="s">
        <v>107</v>
      </c>
      <c r="N94" t="s">
        <v>114</v>
      </c>
      <c r="O94" s="41" t="str">
        <f>IFERROR(INDEX(TechCodes[[IRENA code]:[Technology]],MATCH(TechCodes[[#This Row],[Parent]],TechCodes[IRENA code],0),2),TechCodes[[#This Row],[Technology]])</f>
        <v>Other renewable energy</v>
      </c>
      <c r="P94" s="41" t="str">
        <f>IFERROR(INDEX(TechCodes[[IRENA code]:[Technology]],MATCH(INDEX(TechCodes[[Technology]:[Parent]],MATCH(TechCodes[[#This Row],[L1N]],TechCodes[Technology],0),4),TechCodes[IRENA code],0),2),TechCodes[[#This Row],[L1N]])</f>
        <v>Total Renewable</v>
      </c>
      <c r="Q94" s="41" t="str">
        <f>IFERROR(INDEX(TechCodes[[IRENA code]:[Technology]],MATCH(INDEX(TechCodes[[Technology]:[Parent]],MATCH(TechCodes[[#This Row],[L2N]],TechCodes[Technology],0),4),TechCodes[IRENA code],0),2),TechCodes[[#This Row],[L2N]])</f>
        <v>TOTAL</v>
      </c>
      <c r="R94" s="41" t="str">
        <f>IFERROR(INDEX(TechCodes[[IRENA code]:[Technology]],MATCH(INDEX(TechCodes[[Technology]:[Parent]],MATCH(TechCodes[[#This Row],[L3N]],TechCodes[Technology],0),4),TechCodes[IRENA code],0),2),TechCodes[[#This Row],[L3N]])</f>
        <v>TOTAL</v>
      </c>
      <c r="S94" s="41" t="str">
        <f>IFERROR(INDEX(TechCodes[[IRENA code]:[Technology]],MATCH(INDEX(TechCodes[[Technology]:[Parent]],MATCH(TechCodes[[#This Row],[L4N]],TechCodes[Technology],0),4),TechCodes[IRENA code],0),2),TechCodes[[#This Row],[L4N]])</f>
        <v>TOTAL</v>
      </c>
      <c r="T94" s="41" t="str">
        <f>IFERROR(INDEX(TechCodes[[IRENA code]:[Technology]],MATCH(INDEX(TechCodes[[Technology]:[Parent]],MATCH(TechCodes[[#This Row],[L5N]],TechCodes[Technology],0),4),TechCodes[IRENA code],0),2),TechCodes[[#This Row],[L5N]])</f>
        <v>TOTAL</v>
      </c>
      <c r="U9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renewable energy</v>
      </c>
      <c r="X9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Water source heat pumps</v>
      </c>
      <c r="Y9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Water source heat pumps</v>
      </c>
      <c r="Z9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Water source heat pumps</v>
      </c>
      <c r="AA94" s="43" t="str">
        <f>IFERROR(VLOOKUP(TechCodes[[#This Row],[IRENA code]],SIEC[[IRENA]:[SIEC]],2,0),"")</f>
        <v/>
      </c>
      <c r="AD94" s="9"/>
      <c r="AE94" s="9"/>
      <c r="AF94" s="9"/>
      <c r="AG94" s="9"/>
      <c r="AI94" s="9" t="s">
        <v>722</v>
      </c>
      <c r="AJ94" s="44" t="s">
        <v>723</v>
      </c>
      <c r="AK94" s="9" t="s">
        <v>717</v>
      </c>
      <c r="AO94" t="s">
        <v>620</v>
      </c>
      <c r="AP94" t="s">
        <v>715</v>
      </c>
      <c r="AQ94" t="s">
        <v>715</v>
      </c>
      <c r="AR94" t="s">
        <v>724</v>
      </c>
      <c r="AS94" s="9" t="s">
        <v>725</v>
      </c>
      <c r="AT94" s="9" t="s">
        <v>297</v>
      </c>
      <c r="AU94" t="s">
        <v>83</v>
      </c>
    </row>
    <row r="95" spans="3:48" x14ac:dyDescent="0.45">
      <c r="C95" s="32">
        <v>29900</v>
      </c>
      <c r="D95" s="32" t="s">
        <v>726</v>
      </c>
      <c r="E95" s="32"/>
      <c r="F95" s="32"/>
      <c r="G95" s="37">
        <v>29000</v>
      </c>
      <c r="H95" t="s">
        <v>83</v>
      </c>
      <c r="I95" t="s">
        <v>242</v>
      </c>
      <c r="J95" t="s">
        <v>242</v>
      </c>
      <c r="K95" t="s">
        <v>21</v>
      </c>
      <c r="N95" t="s">
        <v>114</v>
      </c>
      <c r="O95" s="41" t="str">
        <f>IFERROR(INDEX(TechCodes[[IRENA code]:[Technology]],MATCH(TechCodes[[#This Row],[Parent]],TechCodes[IRENA code],0),2),TechCodes[[#This Row],[Technology]])</f>
        <v>Other renewable energy</v>
      </c>
      <c r="P95" s="41" t="str">
        <f>IFERROR(INDEX(TechCodes[[IRENA code]:[Technology]],MATCH(INDEX(TechCodes[[Technology]:[Parent]],MATCH(TechCodes[[#This Row],[L1N]],TechCodes[Technology],0),4),TechCodes[IRENA code],0),2),TechCodes[[#This Row],[L1N]])</f>
        <v>Total Renewable</v>
      </c>
      <c r="Q95" s="41" t="str">
        <f>IFERROR(INDEX(TechCodes[[IRENA code]:[Technology]],MATCH(INDEX(TechCodes[[Technology]:[Parent]],MATCH(TechCodes[[#This Row],[L2N]],TechCodes[Technology],0),4),TechCodes[IRENA code],0),2),TechCodes[[#This Row],[L2N]])</f>
        <v>TOTAL</v>
      </c>
      <c r="R95" s="41" t="str">
        <f>IFERROR(INDEX(TechCodes[[IRENA code]:[Technology]],MATCH(INDEX(TechCodes[[Technology]:[Parent]],MATCH(TechCodes[[#This Row],[L3N]],TechCodes[Technology],0),4),TechCodes[IRENA code],0),2),TechCodes[[#This Row],[L3N]])</f>
        <v>TOTAL</v>
      </c>
      <c r="S95" s="41" t="str">
        <f>IFERROR(INDEX(TechCodes[[IRENA code]:[Technology]],MATCH(INDEX(TechCodes[[Technology]:[Parent]],MATCH(TechCodes[[#This Row],[L4N]],TechCodes[Technology],0),4),TechCodes[IRENA code],0),2),TechCodes[[#This Row],[L4N]])</f>
        <v>TOTAL</v>
      </c>
      <c r="T95" s="41" t="str">
        <f>IFERROR(INDEX(TechCodes[[IRENA code]:[Technology]],MATCH(INDEX(TechCodes[[Technology]:[Parent]],MATCH(TechCodes[[#This Row],[L5N]],TechCodes[Technology],0),4),TechCodes[IRENA code],0),2),TechCodes[[#This Row],[L5N]])</f>
        <v>TOTAL</v>
      </c>
      <c r="U95"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95"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95"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Other renewable energy</v>
      </c>
      <c r="X95"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Other renewable energy n.e.s.</v>
      </c>
      <c r="Y95"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Other renewable energy n.e.s.</v>
      </c>
      <c r="Z95"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Other renewable energy n.e.s.</v>
      </c>
      <c r="AA95" s="43" t="str">
        <f>IFERROR(VLOOKUP(TechCodes[[#This Row],[IRENA code]],SIEC[[IRENA]:[SIEC]],2,0),"")</f>
        <v/>
      </c>
      <c r="AD95" s="9"/>
      <c r="AE95" s="9"/>
      <c r="AF95" s="9"/>
      <c r="AG95" s="9"/>
      <c r="AI95" s="9" t="s">
        <v>727</v>
      </c>
      <c r="AJ95" s="45" t="s">
        <v>728</v>
      </c>
      <c r="AK95" s="9" t="s">
        <v>722</v>
      </c>
      <c r="AO95" t="s">
        <v>620</v>
      </c>
      <c r="AP95" t="s">
        <v>715</v>
      </c>
      <c r="AQ95" t="s">
        <v>715</v>
      </c>
      <c r="AR95" t="s">
        <v>729</v>
      </c>
      <c r="AS95" s="9" t="s">
        <v>730</v>
      </c>
      <c r="AT95" s="9" t="s">
        <v>297</v>
      </c>
      <c r="AU95" t="s">
        <v>83</v>
      </c>
    </row>
    <row r="96" spans="3:48" ht="15.75" x14ac:dyDescent="0.5">
      <c r="C96" s="11">
        <v>70000</v>
      </c>
      <c r="D96" s="11" t="s">
        <v>731</v>
      </c>
      <c r="E96" s="11"/>
      <c r="F96" s="11"/>
      <c r="G96" s="30"/>
      <c r="H96" t="s">
        <v>65</v>
      </c>
      <c r="I96" t="s">
        <v>66</v>
      </c>
      <c r="J96" t="s">
        <v>66</v>
      </c>
      <c r="K96" t="s">
        <v>107</v>
      </c>
      <c r="N96" t="s">
        <v>66</v>
      </c>
      <c r="O96" s="41" t="str">
        <f>IFERROR(INDEX(TechCodes[[IRENA code]:[Technology]],MATCH(TechCodes[[#This Row],[Parent]],TechCodes[IRENA code],0),2),TechCodes[[#This Row],[Technology]])</f>
        <v>ELECTRICITY</v>
      </c>
      <c r="P96" s="41" t="str">
        <f>IFERROR(INDEX(TechCodes[[IRENA code]:[Technology]],MATCH(INDEX(TechCodes[[Technology]:[Parent]],MATCH(TechCodes[[#This Row],[L1N]],TechCodes[Technology],0),4),TechCodes[IRENA code],0),2),TechCodes[[#This Row],[L1N]])</f>
        <v>ELECTRICITY</v>
      </c>
      <c r="Q96" s="41" t="str">
        <f>IFERROR(INDEX(TechCodes[[IRENA code]:[Technology]],MATCH(INDEX(TechCodes[[Technology]:[Parent]],MATCH(TechCodes[[#This Row],[L2N]],TechCodes[Technology],0),4),TechCodes[IRENA code],0),2),TechCodes[[#This Row],[L2N]])</f>
        <v>ELECTRICITY</v>
      </c>
      <c r="R96" s="41" t="str">
        <f>IFERROR(INDEX(TechCodes[[IRENA code]:[Technology]],MATCH(INDEX(TechCodes[[Technology]:[Parent]],MATCH(TechCodes[[#This Row],[L3N]],TechCodes[Technology],0),4),TechCodes[IRENA code],0),2),TechCodes[[#This Row],[L3N]])</f>
        <v>ELECTRICITY</v>
      </c>
      <c r="S96" s="41" t="str">
        <f>IFERROR(INDEX(TechCodes[[IRENA code]:[Technology]],MATCH(INDEX(TechCodes[[Technology]:[Parent]],MATCH(TechCodes[[#This Row],[L4N]],TechCodes[Technology],0),4),TechCodes[IRENA code],0),2),TechCodes[[#This Row],[L4N]])</f>
        <v>ELECTRICITY</v>
      </c>
      <c r="T96" s="41" t="str">
        <f>IFERROR(INDEX(TechCodes[[IRENA code]:[Technology]],MATCH(INDEX(TechCodes[[Technology]:[Parent]],MATCH(TechCodes[[#This Row],[L5N]],TechCodes[Technology],0),4),TechCodes[IRENA code],0),2),TechCodes[[#This Row],[L5N]])</f>
        <v>ELECTRICITY</v>
      </c>
      <c r="U96"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ELECTRICITY</v>
      </c>
      <c r="V96"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ELECTRICITY</v>
      </c>
      <c r="W96"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ELECTRICITY</v>
      </c>
      <c r="X96"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ELECTRICITY</v>
      </c>
      <c r="Y96"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ELECTRICITY</v>
      </c>
      <c r="Z96"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ELECTRICITY</v>
      </c>
      <c r="AA96" s="43" t="str">
        <f>IFERROR(VLOOKUP(TechCodes[[#This Row],[IRENA code]],SIEC[[IRENA]:[SIEC]],2,0),"")</f>
        <v>7000</v>
      </c>
      <c r="AD96" s="9"/>
      <c r="AE96" s="9"/>
      <c r="AF96" s="9"/>
      <c r="AG96" s="9"/>
      <c r="AI96" s="9" t="s">
        <v>732</v>
      </c>
      <c r="AJ96" s="45" t="s">
        <v>733</v>
      </c>
      <c r="AK96" s="9" t="s">
        <v>722</v>
      </c>
      <c r="AO96" t="s">
        <v>620</v>
      </c>
      <c r="AP96" t="s">
        <v>715</v>
      </c>
      <c r="AQ96" t="s">
        <v>715</v>
      </c>
      <c r="AR96" t="s">
        <v>734</v>
      </c>
      <c r="AS96" s="9" t="s">
        <v>735</v>
      </c>
      <c r="AT96" s="9" t="s">
        <v>297</v>
      </c>
      <c r="AU96" t="s">
        <v>83</v>
      </c>
    </row>
    <row r="97" spans="3:48" x14ac:dyDescent="0.45">
      <c r="C97" s="2">
        <v>71000</v>
      </c>
      <c r="D97" s="2" t="s">
        <v>736</v>
      </c>
      <c r="E97" s="2"/>
      <c r="F97" s="2"/>
      <c r="G97" s="27">
        <v>70000</v>
      </c>
      <c r="H97" t="s">
        <v>83</v>
      </c>
      <c r="I97" t="s">
        <v>66</v>
      </c>
      <c r="J97" t="s">
        <v>66</v>
      </c>
      <c r="K97" t="s">
        <v>107</v>
      </c>
      <c r="N97" t="s">
        <v>66</v>
      </c>
      <c r="O97" s="41" t="str">
        <f>IFERROR(INDEX(TechCodes[[IRENA code]:[Technology]],MATCH(TechCodes[[#This Row],[Parent]],TechCodes[IRENA code],0),2),TechCodes[[#This Row],[Technology]])</f>
        <v>ELECTRICITY</v>
      </c>
      <c r="P97" s="41" t="str">
        <f>IFERROR(INDEX(TechCodes[[IRENA code]:[Technology]],MATCH(INDEX(TechCodes[[Technology]:[Parent]],MATCH(TechCodes[[#This Row],[L1N]],TechCodes[Technology],0),4),TechCodes[IRENA code],0),2),TechCodes[[#This Row],[L1N]])</f>
        <v>ELECTRICITY</v>
      </c>
      <c r="Q97" s="41" t="str">
        <f>IFERROR(INDEX(TechCodes[[IRENA code]:[Technology]],MATCH(INDEX(TechCodes[[Technology]:[Parent]],MATCH(TechCodes[[#This Row],[L2N]],TechCodes[Technology],0),4),TechCodes[IRENA code],0),2),TechCodes[[#This Row],[L2N]])</f>
        <v>ELECTRICITY</v>
      </c>
      <c r="R97" s="41" t="str">
        <f>IFERROR(INDEX(TechCodes[[IRENA code]:[Technology]],MATCH(INDEX(TechCodes[[Technology]:[Parent]],MATCH(TechCodes[[#This Row],[L3N]],TechCodes[Technology],0),4),TechCodes[IRENA code],0),2),TechCodes[[#This Row],[L3N]])</f>
        <v>ELECTRICITY</v>
      </c>
      <c r="S97" s="41" t="str">
        <f>IFERROR(INDEX(TechCodes[[IRENA code]:[Technology]],MATCH(INDEX(TechCodes[[Technology]:[Parent]],MATCH(TechCodes[[#This Row],[L4N]],TechCodes[Technology],0),4),TechCodes[IRENA code],0),2),TechCodes[[#This Row],[L4N]])</f>
        <v>ELECTRICITY</v>
      </c>
      <c r="T97" s="41" t="str">
        <f>IFERROR(INDEX(TechCodes[[IRENA code]:[Technology]],MATCH(INDEX(TechCodes[[Technology]:[Parent]],MATCH(TechCodes[[#This Row],[L5N]],TechCodes[Technology],0),4),TechCodes[IRENA code],0),2),TechCodes[[#This Row],[L5N]])</f>
        <v>ELECTRICITY</v>
      </c>
      <c r="U97"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ELECTRICITY</v>
      </c>
      <c r="V97"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Electricity: non-renewable</v>
      </c>
      <c r="W97"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Electricity: non-renewable</v>
      </c>
      <c r="X97"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Electricity: non-renewable</v>
      </c>
      <c r="Y97"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Electricity: non-renewable</v>
      </c>
      <c r="Z97"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Electricity: non-renewable</v>
      </c>
      <c r="AA97" s="43" t="str">
        <f>IFERROR(VLOOKUP(TechCodes[[#This Row],[IRENA code]],SIEC[[IRENA]:[SIEC]],2,0),"")</f>
        <v/>
      </c>
      <c r="AD97" s="9"/>
      <c r="AE97" s="9"/>
      <c r="AF97" s="9"/>
      <c r="AG97" s="9"/>
      <c r="AI97" s="9" t="s">
        <v>737</v>
      </c>
      <c r="AJ97" s="44" t="s">
        <v>738</v>
      </c>
      <c r="AK97" s="9" t="s">
        <v>717</v>
      </c>
      <c r="AO97" t="s">
        <v>620</v>
      </c>
      <c r="AP97" t="s">
        <v>739</v>
      </c>
      <c r="AQ97" t="s">
        <v>739</v>
      </c>
      <c r="AR97" t="s">
        <v>739</v>
      </c>
      <c r="AS97" s="9" t="s">
        <v>319</v>
      </c>
      <c r="AT97" s="9" t="s">
        <v>622</v>
      </c>
      <c r="AU97" t="s">
        <v>83</v>
      </c>
    </row>
    <row r="98" spans="3:48" x14ac:dyDescent="0.45">
      <c r="C98" s="2">
        <v>72000</v>
      </c>
      <c r="D98" s="2" t="s">
        <v>740</v>
      </c>
      <c r="E98" s="2"/>
      <c r="F98" s="2"/>
      <c r="G98" s="27">
        <v>70000</v>
      </c>
      <c r="H98" t="s">
        <v>83</v>
      </c>
      <c r="I98" t="s">
        <v>66</v>
      </c>
      <c r="J98" t="s">
        <v>66</v>
      </c>
      <c r="K98" t="s">
        <v>107</v>
      </c>
      <c r="N98" t="s">
        <v>66</v>
      </c>
      <c r="O98" s="41" t="str">
        <f>IFERROR(INDEX(TechCodes[[IRENA code]:[Technology]],MATCH(TechCodes[[#This Row],[Parent]],TechCodes[IRENA code],0),2),TechCodes[[#This Row],[Technology]])</f>
        <v>ELECTRICITY</v>
      </c>
      <c r="P98" s="41" t="str">
        <f>IFERROR(INDEX(TechCodes[[IRENA code]:[Technology]],MATCH(INDEX(TechCodes[[Technology]:[Parent]],MATCH(TechCodes[[#This Row],[L1N]],TechCodes[Technology],0),4),TechCodes[IRENA code],0),2),TechCodes[[#This Row],[L1N]])</f>
        <v>ELECTRICITY</v>
      </c>
      <c r="Q98" s="41" t="str">
        <f>IFERROR(INDEX(TechCodes[[IRENA code]:[Technology]],MATCH(INDEX(TechCodes[[Technology]:[Parent]],MATCH(TechCodes[[#This Row],[L2N]],TechCodes[Technology],0),4),TechCodes[IRENA code],0),2),TechCodes[[#This Row],[L2N]])</f>
        <v>ELECTRICITY</v>
      </c>
      <c r="R98" s="41" t="str">
        <f>IFERROR(INDEX(TechCodes[[IRENA code]:[Technology]],MATCH(INDEX(TechCodes[[Technology]:[Parent]],MATCH(TechCodes[[#This Row],[L3N]],TechCodes[Technology],0),4),TechCodes[IRENA code],0),2),TechCodes[[#This Row],[L3N]])</f>
        <v>ELECTRICITY</v>
      </c>
      <c r="S98" s="41" t="str">
        <f>IFERROR(INDEX(TechCodes[[IRENA code]:[Technology]],MATCH(INDEX(TechCodes[[Technology]:[Parent]],MATCH(TechCodes[[#This Row],[L4N]],TechCodes[Technology],0),4),TechCodes[IRENA code],0),2),TechCodes[[#This Row],[L4N]])</f>
        <v>ELECTRICITY</v>
      </c>
      <c r="T98" s="41" t="str">
        <f>IFERROR(INDEX(TechCodes[[IRENA code]:[Technology]],MATCH(INDEX(TechCodes[[Technology]:[Parent]],MATCH(TechCodes[[#This Row],[L5N]],TechCodes[Technology],0),4),TechCodes[IRENA code],0),2),TechCodes[[#This Row],[L5N]])</f>
        <v>ELECTRICITY</v>
      </c>
      <c r="U98"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ELECTRICITY</v>
      </c>
      <c r="V98"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Electricity: renewable</v>
      </c>
      <c r="W98"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Electricity: renewable</v>
      </c>
      <c r="X98"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Electricity: renewable</v>
      </c>
      <c r="Y98"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Electricity: renewable</v>
      </c>
      <c r="Z98"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Electricity: renewable</v>
      </c>
      <c r="AA98" s="43" t="str">
        <f>IFERROR(VLOOKUP(TechCodes[[#This Row],[IRENA code]],SIEC[[IRENA]:[SIEC]],2,0),"")</f>
        <v/>
      </c>
      <c r="AD98" s="9"/>
      <c r="AE98" s="9"/>
      <c r="AF98" s="9"/>
      <c r="AG98" s="9"/>
      <c r="AH98">
        <v>13000</v>
      </c>
      <c r="AI98" s="9" t="s">
        <v>741</v>
      </c>
      <c r="AJ98" s="44" t="s">
        <v>742</v>
      </c>
      <c r="AK98" s="9" t="s">
        <v>717</v>
      </c>
      <c r="AO98" t="s">
        <v>620</v>
      </c>
      <c r="AP98" t="s">
        <v>743</v>
      </c>
      <c r="AQ98" t="s">
        <v>743</v>
      </c>
      <c r="AR98" t="s">
        <v>743</v>
      </c>
      <c r="AS98" s="9" t="s">
        <v>744</v>
      </c>
      <c r="AT98" s="9" t="s">
        <v>622</v>
      </c>
    </row>
    <row r="99" spans="3:48" ht="15.75" x14ac:dyDescent="0.5">
      <c r="C99" s="11">
        <v>80000</v>
      </c>
      <c r="D99" s="11" t="s">
        <v>745</v>
      </c>
      <c r="E99" s="11"/>
      <c r="F99" s="11"/>
      <c r="G99" s="30"/>
      <c r="H99" t="s">
        <v>65</v>
      </c>
      <c r="I99" t="s">
        <v>66</v>
      </c>
      <c r="J99" t="s">
        <v>66</v>
      </c>
      <c r="K99" t="s">
        <v>107</v>
      </c>
      <c r="M99">
        <v>33</v>
      </c>
      <c r="N99" t="s">
        <v>66</v>
      </c>
      <c r="O99" s="41" t="str">
        <f>IFERROR(INDEX(TechCodes[[IRENA code]:[Technology]],MATCH(TechCodes[[#This Row],[Parent]],TechCodes[IRENA code],0),2),TechCodes[[#This Row],[Technology]])</f>
        <v>HEAT</v>
      </c>
      <c r="P99" s="41" t="str">
        <f>IFERROR(INDEX(TechCodes[[IRENA code]:[Technology]],MATCH(INDEX(TechCodes[[Technology]:[Parent]],MATCH(TechCodes[[#This Row],[L1N]],TechCodes[Technology],0),4),TechCodes[IRENA code],0),2),TechCodes[[#This Row],[L1N]])</f>
        <v>HEAT</v>
      </c>
      <c r="Q99" s="41" t="str">
        <f>IFERROR(INDEX(TechCodes[[IRENA code]:[Technology]],MATCH(INDEX(TechCodes[[Technology]:[Parent]],MATCH(TechCodes[[#This Row],[L2N]],TechCodes[Technology],0),4),TechCodes[IRENA code],0),2),TechCodes[[#This Row],[L2N]])</f>
        <v>HEAT</v>
      </c>
      <c r="R99" s="41" t="str">
        <f>IFERROR(INDEX(TechCodes[[IRENA code]:[Technology]],MATCH(INDEX(TechCodes[[Technology]:[Parent]],MATCH(TechCodes[[#This Row],[L3N]],TechCodes[Technology],0),4),TechCodes[IRENA code],0),2),TechCodes[[#This Row],[L3N]])</f>
        <v>HEAT</v>
      </c>
      <c r="S99" s="41" t="str">
        <f>IFERROR(INDEX(TechCodes[[IRENA code]:[Technology]],MATCH(INDEX(TechCodes[[Technology]:[Parent]],MATCH(TechCodes[[#This Row],[L4N]],TechCodes[Technology],0),4),TechCodes[IRENA code],0),2),TechCodes[[#This Row],[L4N]])</f>
        <v>HEAT</v>
      </c>
      <c r="T99" s="41" t="str">
        <f>IFERROR(INDEX(TechCodes[[IRENA code]:[Technology]],MATCH(INDEX(TechCodes[[Technology]:[Parent]],MATCH(TechCodes[[#This Row],[L5N]],TechCodes[Technology],0),4),TechCodes[IRENA code],0),2),TechCodes[[#This Row],[L5N]])</f>
        <v>HEAT</v>
      </c>
      <c r="U99"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HEAT</v>
      </c>
      <c r="V99"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HEAT</v>
      </c>
      <c r="W99"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HEAT</v>
      </c>
      <c r="X99"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HEAT</v>
      </c>
      <c r="Y99"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HEAT</v>
      </c>
      <c r="Z99"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HEAT</v>
      </c>
      <c r="AA99" s="43" t="str">
        <f>IFERROR(VLOOKUP(TechCodes[[#This Row],[IRENA code]],SIEC[[IRENA]:[SIEC]],2,0),"")</f>
        <v>8000</v>
      </c>
      <c r="AO99" t="s">
        <v>620</v>
      </c>
      <c r="AP99" t="s">
        <v>743</v>
      </c>
      <c r="AQ99" t="s">
        <v>746</v>
      </c>
      <c r="AR99" t="s">
        <v>746</v>
      </c>
      <c r="AS99" s="9" t="s">
        <v>747</v>
      </c>
      <c r="AT99" s="9" t="s">
        <v>744</v>
      </c>
    </row>
    <row r="100" spans="3:48" x14ac:dyDescent="0.45">
      <c r="C100" s="2">
        <v>81000</v>
      </c>
      <c r="D100" s="2" t="s">
        <v>748</v>
      </c>
      <c r="E100" s="2"/>
      <c r="F100" s="2"/>
      <c r="G100" s="27">
        <v>80000</v>
      </c>
      <c r="H100" t="s">
        <v>83</v>
      </c>
      <c r="I100" t="s">
        <v>66</v>
      </c>
      <c r="J100" t="s">
        <v>66</v>
      </c>
      <c r="K100" t="s">
        <v>107</v>
      </c>
      <c r="N100" t="s">
        <v>66</v>
      </c>
      <c r="O100" s="41" t="str">
        <f>IFERROR(INDEX(TechCodes[[IRENA code]:[Technology]],MATCH(TechCodes[[#This Row],[Parent]],TechCodes[IRENA code],0),2),TechCodes[[#This Row],[Technology]])</f>
        <v>HEAT</v>
      </c>
      <c r="P100" s="41" t="str">
        <f>IFERROR(INDEX(TechCodes[[IRENA code]:[Technology]],MATCH(INDEX(TechCodes[[Technology]:[Parent]],MATCH(TechCodes[[#This Row],[L1N]],TechCodes[Technology],0),4),TechCodes[IRENA code],0),2),TechCodes[[#This Row],[L1N]])</f>
        <v>HEAT</v>
      </c>
      <c r="Q100" s="41" t="str">
        <f>IFERROR(INDEX(TechCodes[[IRENA code]:[Technology]],MATCH(INDEX(TechCodes[[Technology]:[Parent]],MATCH(TechCodes[[#This Row],[L2N]],TechCodes[Technology],0),4),TechCodes[IRENA code],0),2),TechCodes[[#This Row],[L2N]])</f>
        <v>HEAT</v>
      </c>
      <c r="R100" s="41" t="str">
        <f>IFERROR(INDEX(TechCodes[[IRENA code]:[Technology]],MATCH(INDEX(TechCodes[[Technology]:[Parent]],MATCH(TechCodes[[#This Row],[L3N]],TechCodes[Technology],0),4),TechCodes[IRENA code],0),2),TechCodes[[#This Row],[L3N]])</f>
        <v>HEAT</v>
      </c>
      <c r="S100" s="41" t="str">
        <f>IFERROR(INDEX(TechCodes[[IRENA code]:[Technology]],MATCH(INDEX(TechCodes[[Technology]:[Parent]],MATCH(TechCodes[[#This Row],[L4N]],TechCodes[Technology],0),4),TechCodes[IRENA code],0),2),TechCodes[[#This Row],[L4N]])</f>
        <v>HEAT</v>
      </c>
      <c r="T100" s="41" t="str">
        <f>IFERROR(INDEX(TechCodes[[IRENA code]:[Technology]],MATCH(INDEX(TechCodes[[Technology]:[Parent]],MATCH(TechCodes[[#This Row],[L5N]],TechCodes[Technology],0),4),TechCodes[IRENA code],0),2),TechCodes[[#This Row],[L5N]])</f>
        <v>HEAT</v>
      </c>
      <c r="U100"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HEAT</v>
      </c>
      <c r="V100"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Heat: non-renewable</v>
      </c>
      <c r="W100"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Heat: non-renewable</v>
      </c>
      <c r="X100"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Heat: non-renewable</v>
      </c>
      <c r="Y100"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Heat: non-renewable</v>
      </c>
      <c r="Z100"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Heat: non-renewable</v>
      </c>
      <c r="AA100" s="43" t="str">
        <f>IFERROR(VLOOKUP(TechCodes[[#This Row],[IRENA code]],SIEC[[IRENA]:[SIEC]],2,0),"")</f>
        <v/>
      </c>
      <c r="AO100" t="s">
        <v>620</v>
      </c>
      <c r="AP100" t="s">
        <v>743</v>
      </c>
      <c r="AQ100" t="s">
        <v>746</v>
      </c>
      <c r="AR100" t="str">
        <f>RIGHT(Table8[[#This Row],[Column1]],LEN(Table8[[#This Row],[Column1]])-5)</f>
        <v>Preparation and spinning of textile fibres</v>
      </c>
      <c r="AS100" s="9" t="str">
        <f>LEFT(Table8[[#This Row],[Column1]],4)</f>
        <v>1311</v>
      </c>
      <c r="AT100" s="9" t="s">
        <v>747</v>
      </c>
      <c r="AU100" t="s">
        <v>83</v>
      </c>
      <c r="AV100" t="s">
        <v>749</v>
      </c>
    </row>
    <row r="101" spans="3:48" x14ac:dyDescent="0.45">
      <c r="C101" s="2">
        <v>82000</v>
      </c>
      <c r="D101" s="2" t="s">
        <v>750</v>
      </c>
      <c r="E101" s="2"/>
      <c r="F101" s="2"/>
      <c r="G101" s="27">
        <v>80000</v>
      </c>
      <c r="H101" t="s">
        <v>83</v>
      </c>
      <c r="I101" t="s">
        <v>66</v>
      </c>
      <c r="J101" t="s">
        <v>66</v>
      </c>
      <c r="K101" t="s">
        <v>107</v>
      </c>
      <c r="N101" t="s">
        <v>66</v>
      </c>
      <c r="O101" s="41" t="str">
        <f>IFERROR(INDEX(TechCodes[[IRENA code]:[Technology]],MATCH(TechCodes[[#This Row],[Parent]],TechCodes[IRENA code],0),2),TechCodes[[#This Row],[Technology]])</f>
        <v>HEAT</v>
      </c>
      <c r="P101" s="41" t="str">
        <f>IFERROR(INDEX(TechCodes[[IRENA code]:[Technology]],MATCH(INDEX(TechCodes[[Technology]:[Parent]],MATCH(TechCodes[[#This Row],[L1N]],TechCodes[Technology],0),4),TechCodes[IRENA code],0),2),TechCodes[[#This Row],[L1N]])</f>
        <v>HEAT</v>
      </c>
      <c r="Q101" s="41" t="str">
        <f>IFERROR(INDEX(TechCodes[[IRENA code]:[Technology]],MATCH(INDEX(TechCodes[[Technology]:[Parent]],MATCH(TechCodes[[#This Row],[L2N]],TechCodes[Technology],0),4),TechCodes[IRENA code],0),2),TechCodes[[#This Row],[L2N]])</f>
        <v>HEAT</v>
      </c>
      <c r="R101" s="41" t="str">
        <f>IFERROR(INDEX(TechCodes[[IRENA code]:[Technology]],MATCH(INDEX(TechCodes[[Technology]:[Parent]],MATCH(TechCodes[[#This Row],[L3N]],TechCodes[Technology],0),4),TechCodes[IRENA code],0),2),TechCodes[[#This Row],[L3N]])</f>
        <v>HEAT</v>
      </c>
      <c r="S101" s="41" t="str">
        <f>IFERROR(INDEX(TechCodes[[IRENA code]:[Technology]],MATCH(INDEX(TechCodes[[Technology]:[Parent]],MATCH(TechCodes[[#This Row],[L4N]],TechCodes[Technology],0),4),TechCodes[IRENA code],0),2),TechCodes[[#This Row],[L4N]])</f>
        <v>HEAT</v>
      </c>
      <c r="T101" s="41" t="str">
        <f>IFERROR(INDEX(TechCodes[[IRENA code]:[Technology]],MATCH(INDEX(TechCodes[[Technology]:[Parent]],MATCH(TechCodes[[#This Row],[L5N]],TechCodes[Technology],0),4),TechCodes[IRENA code],0),2),TechCodes[[#This Row],[L5N]])</f>
        <v>HEAT</v>
      </c>
      <c r="U101"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HEAT</v>
      </c>
      <c r="V101"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Heat: renewable</v>
      </c>
      <c r="W101"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Heat: renewable</v>
      </c>
      <c r="X101"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Heat: renewable</v>
      </c>
      <c r="Y101"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Heat: renewable</v>
      </c>
      <c r="Z101"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Heat: renewable</v>
      </c>
      <c r="AA101" s="43" t="str">
        <f>IFERROR(VLOOKUP(TechCodes[[#This Row],[IRENA code]],SIEC[[IRENA]:[SIEC]],2,0),"")</f>
        <v/>
      </c>
      <c r="AO101" t="s">
        <v>620</v>
      </c>
      <c r="AP101" t="s">
        <v>743</v>
      </c>
      <c r="AQ101" t="s">
        <v>746</v>
      </c>
      <c r="AR101" t="str">
        <f>RIGHT(Table8[[#This Row],[Column1]],LEN(Table8[[#This Row],[Column1]])-5)</f>
        <v>Weaving of textiles</v>
      </c>
      <c r="AS101" s="9" t="str">
        <f>LEFT(Table8[[#This Row],[Column1]],4)</f>
        <v>1312</v>
      </c>
      <c r="AT101" s="9" t="s">
        <v>747</v>
      </c>
      <c r="AU101" t="s">
        <v>83</v>
      </c>
      <c r="AV101" t="s">
        <v>751</v>
      </c>
    </row>
    <row r="102" spans="3:48" ht="15.75" x14ac:dyDescent="0.5">
      <c r="C102" s="11">
        <v>90000</v>
      </c>
      <c r="D102" s="11" t="s">
        <v>752</v>
      </c>
      <c r="E102" s="11"/>
      <c r="F102" s="11"/>
      <c r="G102" s="30"/>
      <c r="H102" t="s">
        <v>65</v>
      </c>
      <c r="I102" t="s">
        <v>66</v>
      </c>
      <c r="J102" t="s">
        <v>66</v>
      </c>
      <c r="K102" t="s">
        <v>107</v>
      </c>
      <c r="M102">
        <v>33</v>
      </c>
      <c r="N102" t="s">
        <v>66</v>
      </c>
      <c r="O102" s="41" t="str">
        <f>IFERROR(INDEX(TechCodes[[IRENA code]:[Technology]],MATCH(TechCodes[[#This Row],[Parent]],TechCodes[IRENA code],0),2),TechCodes[[#This Row],[Technology]])</f>
        <v>TOTAL</v>
      </c>
      <c r="P102" s="41" t="str">
        <f>IFERROR(INDEX(TechCodes[[IRENA code]:[Technology]],MATCH(INDEX(TechCodes[[Technology]:[Parent]],MATCH(TechCodes[[#This Row],[L1N]],TechCodes[Technology],0),4),TechCodes[IRENA code],0),2),TechCodes[[#This Row],[L1N]])</f>
        <v>TOTAL</v>
      </c>
      <c r="Q102" s="41" t="str">
        <f>IFERROR(INDEX(TechCodes[[IRENA code]:[Technology]],MATCH(INDEX(TechCodes[[Technology]:[Parent]],MATCH(TechCodes[[#This Row],[L2N]],TechCodes[Technology],0),4),TechCodes[IRENA code],0),2),TechCodes[[#This Row],[L2N]])</f>
        <v>TOTAL</v>
      </c>
      <c r="R102" s="41" t="str">
        <f>IFERROR(INDEX(TechCodes[[IRENA code]:[Technology]],MATCH(INDEX(TechCodes[[Technology]:[Parent]],MATCH(TechCodes[[#This Row],[L3N]],TechCodes[Technology],0),4),TechCodes[IRENA code],0),2),TechCodes[[#This Row],[L3N]])</f>
        <v>TOTAL</v>
      </c>
      <c r="S102" s="41" t="str">
        <f>IFERROR(INDEX(TechCodes[[IRENA code]:[Technology]],MATCH(INDEX(TechCodes[[Technology]:[Parent]],MATCH(TechCodes[[#This Row],[L4N]],TechCodes[Technology],0),4),TechCodes[IRENA code],0),2),TechCodes[[#This Row],[L4N]])</f>
        <v>TOTAL</v>
      </c>
      <c r="T102" s="41" t="str">
        <f>IFERROR(INDEX(TechCodes[[IRENA code]:[Technology]],MATCH(INDEX(TechCodes[[Technology]:[Parent]],MATCH(TechCodes[[#This Row],[L5N]],TechCodes[Technology],0),4),TechCodes[IRENA code],0),2),TechCodes[[#This Row],[L5N]])</f>
        <v>TOTAL</v>
      </c>
      <c r="U102" s="41"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02"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v>
      </c>
      <c r="W102"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TOTAL</v>
      </c>
      <c r="X102"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TOTAL</v>
      </c>
      <c r="Y102"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TOTAL</v>
      </c>
      <c r="Z102"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TOTAL</v>
      </c>
      <c r="AA102" s="43" t="str">
        <f>IFERROR(VLOOKUP(TechCodes[[#This Row],[IRENA code]],SIEC[[IRENA]:[SIEC]],2,0),"")</f>
        <v/>
      </c>
      <c r="AO102" t="s">
        <v>620</v>
      </c>
      <c r="AP102" t="s">
        <v>743</v>
      </c>
      <c r="AQ102" t="s">
        <v>746</v>
      </c>
      <c r="AR102" t="str">
        <f>RIGHT(Table8[[#This Row],[Column1]],LEN(Table8[[#This Row],[Column1]])-5)</f>
        <v>Finishing of textiles</v>
      </c>
      <c r="AS102" s="9" t="str">
        <f>LEFT(Table8[[#This Row],[Column1]],4)</f>
        <v>1313</v>
      </c>
      <c r="AT102" s="9" t="s">
        <v>747</v>
      </c>
      <c r="AU102" t="s">
        <v>83</v>
      </c>
      <c r="AV102" t="s">
        <v>753</v>
      </c>
    </row>
    <row r="103" spans="3:48" x14ac:dyDescent="0.45">
      <c r="C103" s="26">
        <v>21000</v>
      </c>
      <c r="D103" s="26" t="s">
        <v>183</v>
      </c>
      <c r="E103" s="26"/>
      <c r="F103" s="26"/>
      <c r="G103" s="31">
        <v>10000</v>
      </c>
      <c r="H103" t="s">
        <v>65</v>
      </c>
      <c r="I103" t="s">
        <v>66</v>
      </c>
      <c r="J103" t="s">
        <v>66</v>
      </c>
      <c r="K103" t="s">
        <v>107</v>
      </c>
      <c r="M103">
        <v>33</v>
      </c>
      <c r="N103" t="s">
        <v>66</v>
      </c>
      <c r="O103" s="41" t="str">
        <f>IFERROR(INDEX(TechCodes[[IRENA code]:[Technology]],MATCH(TechCodes[[#This Row],[Parent]],TechCodes[IRENA code],0),2),TechCodes[[#This Row],[Technology]])</f>
        <v>Total Non-Renewable</v>
      </c>
      <c r="P103" s="41" t="str">
        <f>IFERROR(INDEX(TechCodes[[IRENA code]:[Technology]],MATCH(INDEX(TechCodes[[Technology]:[Parent]],MATCH(TechCodes[[#This Row],[L1N]],TechCodes[Technology],0),4),TechCodes[IRENA code],0),2),TechCodes[[#This Row],[L1N]])</f>
        <v>TOTAL</v>
      </c>
      <c r="Q103" s="41" t="str">
        <f>IFERROR(INDEX(TechCodes[[IRENA code]:[Technology]],MATCH(INDEX(TechCodes[[Technology]:[Parent]],MATCH(TechCodes[[#This Row],[L2N]],TechCodes[Technology],0),4),TechCodes[IRENA code],0),2),TechCodes[[#This Row],[L2N]])</f>
        <v>TOTAL</v>
      </c>
      <c r="R103" s="41" t="str">
        <f>IFERROR(INDEX(TechCodes[[IRENA code]:[Technology]],MATCH(INDEX(TechCodes[[Technology]:[Parent]],MATCH(TechCodes[[#This Row],[L3N]],TechCodes[Technology],0),4),TechCodes[IRENA code],0),2),TechCodes[[#This Row],[L3N]])</f>
        <v>TOTAL</v>
      </c>
      <c r="S103" s="41" t="str">
        <f>IFERROR(INDEX(TechCodes[[IRENA code]:[Technology]],MATCH(INDEX(TechCodes[[Technology]:[Parent]],MATCH(TechCodes[[#This Row],[L4N]],TechCodes[Technology],0),4),TechCodes[IRENA code],0),2),TechCodes[[#This Row],[L4N]])</f>
        <v>TOTAL</v>
      </c>
      <c r="T103" s="41" t="str">
        <f>IFERROR(INDEX(TechCodes[[IRENA code]:[Technology]],MATCH(INDEX(TechCodes[[Technology]:[Parent]],MATCH(TechCodes[[#This Row],[L5N]],TechCodes[Technology],0),4),TechCodes[IRENA code],0),2),TechCodes[[#This Row],[L5N]])</f>
        <v>TOTAL</v>
      </c>
      <c r="U103"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03"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Non-Renewable</v>
      </c>
      <c r="W103"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Hydropower</v>
      </c>
      <c r="X103"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Hydropower</v>
      </c>
      <c r="Y103"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Hydropower</v>
      </c>
      <c r="Z103"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Hydropower</v>
      </c>
      <c r="AA103" s="43" t="str">
        <f>IFERROR(VLOOKUP(TechCodes[[#This Row],[IRENA code]],SIEC[[IRENA]:[SIEC]],2,0),"")</f>
        <v/>
      </c>
      <c r="AO103" t="s">
        <v>620</v>
      </c>
      <c r="AP103" t="s">
        <v>743</v>
      </c>
      <c r="AQ103" t="s">
        <v>754</v>
      </c>
      <c r="AR103" t="s">
        <v>754</v>
      </c>
      <c r="AS103" s="9" t="s">
        <v>755</v>
      </c>
      <c r="AT103" s="9" t="s">
        <v>744</v>
      </c>
    </row>
    <row r="104" spans="3:48" x14ac:dyDescent="0.45">
      <c r="C104" s="26">
        <v>25100</v>
      </c>
      <c r="D104" s="26" t="s">
        <v>458</v>
      </c>
      <c r="E104" s="26"/>
      <c r="F104" s="26"/>
      <c r="G104" s="37">
        <v>25000</v>
      </c>
      <c r="H104" t="s">
        <v>65</v>
      </c>
      <c r="I104" t="s">
        <v>66</v>
      </c>
      <c r="J104" t="s">
        <v>66</v>
      </c>
      <c r="K104" t="s">
        <v>107</v>
      </c>
      <c r="M104">
        <v>33</v>
      </c>
      <c r="N104" t="s">
        <v>66</v>
      </c>
      <c r="O104" s="41" t="str">
        <f>IFERROR(INDEX(TechCodes[[IRENA code]:[Technology]],MATCH(TechCodes[[#This Row],[Parent]],TechCodes[IRENA code],0),2),TechCodes[[#This Row],[Technology]])</f>
        <v>Bioenergy</v>
      </c>
      <c r="P104" s="41" t="str">
        <f>IFERROR(INDEX(TechCodes[[IRENA code]:[Technology]],MATCH(INDEX(TechCodes[[Technology]:[Parent]],MATCH(TechCodes[[#This Row],[L1N]],TechCodes[Technology],0),4),TechCodes[IRENA code],0),2),TechCodes[[#This Row],[L1N]])</f>
        <v>Total Renewable</v>
      </c>
      <c r="Q104" s="41" t="str">
        <f>IFERROR(INDEX(TechCodes[[IRENA code]:[Technology]],MATCH(INDEX(TechCodes[[Technology]:[Parent]],MATCH(TechCodes[[#This Row],[L2N]],TechCodes[Technology],0),4),TechCodes[IRENA code],0),2),TechCodes[[#This Row],[L2N]])</f>
        <v>TOTAL</v>
      </c>
      <c r="R104" s="41" t="str">
        <f>IFERROR(INDEX(TechCodes[[IRENA code]:[Technology]],MATCH(INDEX(TechCodes[[Technology]:[Parent]],MATCH(TechCodes[[#This Row],[L3N]],TechCodes[Technology],0),4),TechCodes[IRENA code],0),2),TechCodes[[#This Row],[L3N]])</f>
        <v>TOTAL</v>
      </c>
      <c r="S104" s="41" t="str">
        <f>IFERROR(INDEX(TechCodes[[IRENA code]:[Technology]],MATCH(INDEX(TechCodes[[Technology]:[Parent]],MATCH(TechCodes[[#This Row],[L4N]],TechCodes[Technology],0),4),TechCodes[IRENA code],0),2),TechCodes[[#This Row],[L4N]])</f>
        <v>TOTAL</v>
      </c>
      <c r="T104" s="41" t="str">
        <f>IFERROR(INDEX(TechCodes[[IRENA code]:[Technology]],MATCH(INDEX(TechCodes[[Technology]:[Parent]],MATCH(TechCodes[[#This Row],[L5N]],TechCodes[Technology],0),4),TechCodes[IRENA code],0),2),TechCodes[[#This Row],[L5N]])</f>
        <v>TOTAL</v>
      </c>
      <c r="U104" s="42" t="str">
        <f>IF(TechCodes[[#This Row],[L6N]]=TechCodes[[#This Row],[L5N]],TechCodes[[#This Row],[L6N]],IF(TechCodes[[#This Row],[L5N]]=TechCodes[[#This Row],[L4N]],TechCodes[[#This Row],[L5N]],IF(TechCodes[[#This Row],[L4N]]=TechCodes[[#This Row],[L3N]],TechCodes[[#This Row],[L4N]],IF(TechCodes[[#This Row],[L3N]]=TechCodes[[#This Row],[L2N]],TechCodes[[#This Row],[L3N]],IF(TechCodes[[#This Row],[L2N]]=TechCodes[[#This Row],[L1N]],TechCodes[[#This Row],[L2N]],IF(TechCodes[[#This Row],[L1N]]=TechCodes[[#This Row],[Technology]],TechCodes[[#This Row],[L1N]],TechCodes[[#This Row],[Technology]]))))))</f>
        <v>TOTAL</v>
      </c>
      <c r="V104" s="41" t="str">
        <f>IF(TechCodes[[#This Row],[Level 0]]=TechCodes[[#This Row],[Technology]],TechCodes[[#This Row],[Technology]],IF(TechCodes[[#This Row],[Level 0]]=TechCodes[[#This Row],[L1N]],TechCodes[[#This Row],[Technology]],IF(TechCodes[[#This Row],[Level 0]]=TechCodes[[#This Row],[L2N]],TechCodes[[#This Row],[L1N]],IF(TechCodes[[#This Row],[Level 0]]=TechCodes[[#This Row],[L3N]],TechCodes[[#This Row],[L2N]],IF(TechCodes[[#This Row],[Level 0]]=TechCodes[[#This Row],[L4N]],TechCodes[[#This Row],[L3N]],IF(TechCodes[[#This Row],[Level 0]]=TechCodes[[#This Row],[L5N]],TechCodes[[#This Row],[L4N]],TechCodes[[#This Row],[L5N]]))))))</f>
        <v>Total Renewable</v>
      </c>
      <c r="W104" s="41" t="str">
        <f>IF(TechCodes[[#This Row],[Level 1]]=TechCodes[[#This Row],[Technology]],TechCodes[[#This Row],[Technology]],IF(TechCodes[[#This Row],[Level 1]]=TechCodes[[#This Row],[L1N]],TechCodes[[#This Row],[Technology]],IF(TechCodes[[#This Row],[Level 1]]=TechCodes[[#This Row],[L2N]],TechCodes[[#This Row],[L1N]],IF(TechCodes[[#This Row],[Level 1]]=TechCodes[[#This Row],[L3N]],TechCodes[[#This Row],[L2N]],IF(TechCodes[[#This Row],[Level 1]]=TechCodes[[#This Row],[L4N]],TechCodes[[#This Row],[L3N]],IF(TechCodes[[#This Row],[Level 1]]=TechCodes[[#This Row],[L5N]],TechCodes[[#This Row],[L4N]],TechCodes[[#This Row],[L5N]]))))))</f>
        <v>Bioenergy</v>
      </c>
      <c r="X104" s="41" t="str">
        <f>IF(TechCodes[[#This Row],[Level 2]]=TechCodes[[#This Row],[Technology]],TechCodes[[#This Row],[Technology]],IF(TechCodes[[#This Row],[Level 2]]=TechCodes[[#This Row],[L1N]],TechCodes[[#This Row],[Technology]],IF(TechCodes[[#This Row],[Level 2]]=TechCodes[[#This Row],[L2N]],TechCodes[[#This Row],[L1N]],IF(TechCodes[[#This Row],[Level 2]]=TechCodes[[#This Row],[L3N]],TechCodes[[#This Row],[L2N]],IF(TechCodes[[#This Row],[Level 2]]=TechCodes[[#This Row],[L4N]],TechCodes[[#This Row],[L3N]],IF(TechCodes[[#This Row],[Level 2]]=TechCodes[[#This Row],[L5N]],TechCodes[[#This Row],[L4N]],TechCodes[[#This Row],[L5N]]))))))</f>
        <v>Solid biofuels and renewable waste</v>
      </c>
      <c r="Y104" s="41" t="str">
        <f>IF(TechCodes[[#This Row],[Level 3]]=TechCodes[[#This Row],[Technology]],TechCodes[[#This Row],[Technology]],IF(TechCodes[[#This Row],[Level 3]]=TechCodes[[#This Row],[L1N]],TechCodes[[#This Row],[Technology]],IF(TechCodes[[#This Row],[Level 3]]=TechCodes[[#This Row],[L2N]],TechCodes[[#This Row],[L1N]],IF(TechCodes[[#This Row],[Level 3]]=TechCodes[[#This Row],[L3N]],TechCodes[[#This Row],[L2N]],IF(TechCodes[[#This Row],[Level 3]]=TechCodes[[#This Row],[L4N]],TechCodes[[#This Row],[L3N]],IF(TechCodes[[#This Row],[Level 3]]=TechCodes[[#This Row],[L5N]],TechCodes[[#This Row],[L4N]],TechCodes[[#This Row],[L5N]]))))))</f>
        <v>Solid biofuels and renewable waste</v>
      </c>
      <c r="Z104" s="41" t="str">
        <f>IF(TechCodes[[#This Row],[Level 4]]=TechCodes[[#This Row],[Technology]],TechCodes[[#This Row],[Technology]],IF(TechCodes[[#This Row],[Level 4]]=TechCodes[[#This Row],[L1N]],TechCodes[[#This Row],[Technology]],IF(TechCodes[[#This Row],[Level 4]]=TechCodes[[#This Row],[L2N]],TechCodes[[#This Row],[L1N]],IF(TechCodes[[#This Row],[Level 4]]=TechCodes[[#This Row],[L3N]],TechCodes[[#This Row],[L2N]],IF(TechCodes[[#This Row],[Level 4]]=TechCodes[[#This Row],[L4N]],TechCodes[[#This Row],[L3N]],IF(TechCodes[[#This Row],[Level 4]]=TechCodes[[#This Row],[L5N]],TechCodes[[#This Row],[L4N]],TechCodes[[#This Row],[L5N]]))))))</f>
        <v>Solid biofuels and renewable waste</v>
      </c>
      <c r="AA104" s="43" t="str">
        <f>IFERROR(VLOOKUP(TechCodes[[#This Row],[IRENA code]],SIEC[[IRENA]:[SIEC]],2,0),"")</f>
        <v/>
      </c>
      <c r="AO104" t="s">
        <v>620</v>
      </c>
      <c r="AP104" t="s">
        <v>743</v>
      </c>
      <c r="AQ104" t="s">
        <v>754</v>
      </c>
      <c r="AR104" t="str">
        <f>RIGHT(Table8[[#This Row],[Column1]],LEN(Table8[[#This Row],[Column1]])-5)</f>
        <v>Manufacture of knitted and crocheted fabrics</v>
      </c>
      <c r="AS104" s="9" t="str">
        <f>LEFT(Table8[[#This Row],[Column1]],4)</f>
        <v>1391</v>
      </c>
      <c r="AT104" s="9">
        <v>1390</v>
      </c>
      <c r="AU104" t="s">
        <v>83</v>
      </c>
      <c r="AV104" t="s">
        <v>756</v>
      </c>
    </row>
    <row r="105" spans="3:48" x14ac:dyDescent="0.45">
      <c r="AO105" t="s">
        <v>620</v>
      </c>
      <c r="AP105" t="s">
        <v>743</v>
      </c>
      <c r="AQ105" t="s">
        <v>754</v>
      </c>
      <c r="AR105" t="str">
        <f>RIGHT(Table8[[#This Row],[Column1]],LEN(Table8[[#This Row],[Column1]])-5)</f>
        <v>Manufacture of made-up textile articles, except apparel</v>
      </c>
      <c r="AS105" s="9" t="str">
        <f>LEFT(Table8[[#This Row],[Column1]],4)</f>
        <v>1392</v>
      </c>
      <c r="AT105" s="9">
        <v>1390</v>
      </c>
      <c r="AU105" t="s">
        <v>83</v>
      </c>
      <c r="AV105" t="s">
        <v>757</v>
      </c>
    </row>
    <row r="106" spans="3:48" x14ac:dyDescent="0.45">
      <c r="AO106" t="s">
        <v>620</v>
      </c>
      <c r="AP106" t="s">
        <v>743</v>
      </c>
      <c r="AQ106" t="s">
        <v>754</v>
      </c>
      <c r="AR106" t="str">
        <f>RIGHT(Table8[[#This Row],[Column1]],LEN(Table8[[#This Row],[Column1]])-5)</f>
        <v>Manufacture of carpets and rugs</v>
      </c>
      <c r="AS106" s="9" t="str">
        <f>LEFT(Table8[[#This Row],[Column1]],4)</f>
        <v>1393</v>
      </c>
      <c r="AT106" s="9">
        <v>1390</v>
      </c>
      <c r="AU106" t="s">
        <v>83</v>
      </c>
      <c r="AV106" t="s">
        <v>758</v>
      </c>
    </row>
    <row r="107" spans="3:48" x14ac:dyDescent="0.45">
      <c r="AO107" t="s">
        <v>620</v>
      </c>
      <c r="AP107" t="s">
        <v>743</v>
      </c>
      <c r="AQ107" t="s">
        <v>754</v>
      </c>
      <c r="AR107" t="str">
        <f>RIGHT(Table8[[#This Row],[Column1]],LEN(Table8[[#This Row],[Column1]])-5)</f>
        <v>Manufacture of cordage, rope, twine and netting</v>
      </c>
      <c r="AS107" s="9" t="str">
        <f>LEFT(Table8[[#This Row],[Column1]],4)</f>
        <v>1394</v>
      </c>
      <c r="AT107" s="9">
        <v>1390</v>
      </c>
      <c r="AU107" t="s">
        <v>83</v>
      </c>
      <c r="AV107" t="s">
        <v>759</v>
      </c>
    </row>
    <row r="108" spans="3:48" x14ac:dyDescent="0.45">
      <c r="AO108" t="s">
        <v>620</v>
      </c>
      <c r="AP108" t="s">
        <v>743</v>
      </c>
      <c r="AQ108" t="s">
        <v>754</v>
      </c>
      <c r="AR108" t="str">
        <f>RIGHT(Table8[[#This Row],[Column1]],LEN(Table8[[#This Row],[Column1]])-5)</f>
        <v>Manufacture of other textiles n.e.c.</v>
      </c>
      <c r="AS108" s="9" t="str">
        <f>LEFT(Table8[[#This Row],[Column1]],4)</f>
        <v>1399</v>
      </c>
      <c r="AT108" s="9">
        <v>1390</v>
      </c>
      <c r="AU108" t="s">
        <v>83</v>
      </c>
      <c r="AV108" t="s">
        <v>760</v>
      </c>
    </row>
    <row r="109" spans="3:48" x14ac:dyDescent="0.45">
      <c r="AO109" t="s">
        <v>620</v>
      </c>
      <c r="AP109" t="s">
        <v>761</v>
      </c>
      <c r="AQ109" t="s">
        <v>761</v>
      </c>
      <c r="AR109" t="s">
        <v>761</v>
      </c>
      <c r="AS109" s="9">
        <v>1400</v>
      </c>
      <c r="AT109" s="9" t="s">
        <v>622</v>
      </c>
    </row>
    <row r="110" spans="3:48" x14ac:dyDescent="0.45">
      <c r="AO110" t="s">
        <v>620</v>
      </c>
      <c r="AP110" t="s">
        <v>761</v>
      </c>
      <c r="AQ110" t="s">
        <v>761</v>
      </c>
      <c r="AR110" t="s">
        <v>762</v>
      </c>
      <c r="AS110" s="9" t="s">
        <v>763</v>
      </c>
      <c r="AT110" s="9">
        <v>1400</v>
      </c>
      <c r="AU110" t="s">
        <v>83</v>
      </c>
    </row>
    <row r="111" spans="3:48" x14ac:dyDescent="0.45">
      <c r="AO111" t="s">
        <v>620</v>
      </c>
      <c r="AP111" t="s">
        <v>761</v>
      </c>
      <c r="AQ111" t="s">
        <v>761</v>
      </c>
      <c r="AR111" t="s">
        <v>764</v>
      </c>
      <c r="AS111" s="9" t="s">
        <v>765</v>
      </c>
      <c r="AT111" s="9">
        <v>1400</v>
      </c>
      <c r="AU111" t="s">
        <v>83</v>
      </c>
    </row>
    <row r="112" spans="3:48" x14ac:dyDescent="0.45">
      <c r="AO112" t="s">
        <v>620</v>
      </c>
      <c r="AP112" t="s">
        <v>761</v>
      </c>
      <c r="AQ112" t="s">
        <v>761</v>
      </c>
      <c r="AR112" t="s">
        <v>766</v>
      </c>
      <c r="AS112" s="9" t="s">
        <v>767</v>
      </c>
      <c r="AT112" s="9">
        <v>1400</v>
      </c>
      <c r="AU112" t="s">
        <v>83</v>
      </c>
    </row>
    <row r="113" spans="41:48" x14ac:dyDescent="0.45">
      <c r="AO113" t="s">
        <v>620</v>
      </c>
      <c r="AP113" t="s">
        <v>768</v>
      </c>
      <c r="AQ113" t="s">
        <v>768</v>
      </c>
      <c r="AR113" t="s">
        <v>768</v>
      </c>
      <c r="AS113" s="9" t="s">
        <v>769</v>
      </c>
      <c r="AT113" s="9" t="s">
        <v>622</v>
      </c>
    </row>
    <row r="114" spans="41:48" x14ac:dyDescent="0.45">
      <c r="AO114" t="s">
        <v>620</v>
      </c>
      <c r="AP114" t="s">
        <v>768</v>
      </c>
      <c r="AQ114" t="s">
        <v>770</v>
      </c>
      <c r="AR114" t="s">
        <v>770</v>
      </c>
      <c r="AS114" s="9" t="s">
        <v>771</v>
      </c>
      <c r="AT114" s="9">
        <v>1500</v>
      </c>
    </row>
    <row r="115" spans="41:48" x14ac:dyDescent="0.45">
      <c r="AO115" t="s">
        <v>620</v>
      </c>
      <c r="AP115" t="s">
        <v>768</v>
      </c>
      <c r="AQ115" s="8" t="s">
        <v>770</v>
      </c>
      <c r="AR115" t="str">
        <f>RIGHT(Table8[[#This Row],[Column1]],LEN(Table8[[#This Row],[Column1]])-5)</f>
        <v>Tanning and dressing of leather; dressing and dyeing of fur</v>
      </c>
      <c r="AS115" s="9" t="str">
        <f>LEFT(Table8[[#This Row],[Column1]],4)</f>
        <v>1511</v>
      </c>
      <c r="AT115" s="9" t="s">
        <v>771</v>
      </c>
      <c r="AU115" t="s">
        <v>83</v>
      </c>
      <c r="AV115" t="s">
        <v>772</v>
      </c>
    </row>
    <row r="116" spans="41:48" x14ac:dyDescent="0.45">
      <c r="AO116" t="s">
        <v>620</v>
      </c>
      <c r="AP116" t="s">
        <v>768</v>
      </c>
      <c r="AQ116" s="8" t="s">
        <v>770</v>
      </c>
      <c r="AR116" t="str">
        <f>RIGHT(Table8[[#This Row],[Column1]],LEN(Table8[[#This Row],[Column1]])-5)</f>
        <v>Manufacture of luggage, handbags and the like, saddlery and harness</v>
      </c>
      <c r="AS116" s="9" t="str">
        <f>LEFT(Table8[[#This Row],[Column1]],4)</f>
        <v>1512</v>
      </c>
      <c r="AT116" s="9" t="s">
        <v>771</v>
      </c>
      <c r="AU116" t="s">
        <v>83</v>
      </c>
      <c r="AV116" t="s">
        <v>773</v>
      </c>
    </row>
    <row r="117" spans="41:48" x14ac:dyDescent="0.45">
      <c r="AO117" t="s">
        <v>620</v>
      </c>
      <c r="AP117" t="s">
        <v>768</v>
      </c>
      <c r="AQ117" t="s">
        <v>774</v>
      </c>
      <c r="AR117" t="s">
        <v>774</v>
      </c>
      <c r="AS117" s="9" t="s">
        <v>775</v>
      </c>
      <c r="AT117" s="9" t="s">
        <v>769</v>
      </c>
      <c r="AU117" t="s">
        <v>83</v>
      </c>
    </row>
    <row r="118" spans="41:48" x14ac:dyDescent="0.45">
      <c r="AO118" t="s">
        <v>620</v>
      </c>
      <c r="AP118" t="s">
        <v>776</v>
      </c>
      <c r="AQ118" t="s">
        <v>776</v>
      </c>
      <c r="AR118" t="s">
        <v>776</v>
      </c>
      <c r="AS118" s="9" t="s">
        <v>777</v>
      </c>
      <c r="AT118" s="9" t="s">
        <v>622</v>
      </c>
    </row>
    <row r="119" spans="41:48" x14ac:dyDescent="0.45">
      <c r="AO119" t="s">
        <v>620</v>
      </c>
      <c r="AP119" t="s">
        <v>776</v>
      </c>
      <c r="AQ119" t="s">
        <v>778</v>
      </c>
      <c r="AR119" t="s">
        <v>778</v>
      </c>
      <c r="AS119" s="9" t="s">
        <v>779</v>
      </c>
      <c r="AT119" s="9">
        <v>1600</v>
      </c>
      <c r="AU119" t="s">
        <v>83</v>
      </c>
    </row>
    <row r="120" spans="41:48" x14ac:dyDescent="0.45">
      <c r="AO120" t="s">
        <v>620</v>
      </c>
      <c r="AP120" t="s">
        <v>776</v>
      </c>
      <c r="AQ120" t="s">
        <v>780</v>
      </c>
      <c r="AR120" t="s">
        <v>780</v>
      </c>
      <c r="AS120" s="9" t="s">
        <v>781</v>
      </c>
      <c r="AT120" s="9" t="s">
        <v>777</v>
      </c>
    </row>
    <row r="121" spans="41:48" x14ac:dyDescent="0.45">
      <c r="AO121" t="s">
        <v>620</v>
      </c>
      <c r="AP121" t="s">
        <v>776</v>
      </c>
      <c r="AQ121" t="s">
        <v>780</v>
      </c>
      <c r="AR121" t="str">
        <f>RIGHT(Table8[[#This Row],[Column1]],LEN(Table8[[#This Row],[Column1]])-5)</f>
        <v>Manufacture of veneer sheets and wood-based panels</v>
      </c>
      <c r="AS121" s="9" t="str">
        <f>LEFT(Table8[[#This Row],[Column1]],4)</f>
        <v>1621</v>
      </c>
      <c r="AT121" s="9" t="s">
        <v>781</v>
      </c>
      <c r="AU121" t="s">
        <v>83</v>
      </c>
      <c r="AV121" t="s">
        <v>782</v>
      </c>
    </row>
    <row r="122" spans="41:48" x14ac:dyDescent="0.45">
      <c r="AO122" t="s">
        <v>620</v>
      </c>
      <c r="AP122" t="s">
        <v>776</v>
      </c>
      <c r="AQ122" t="s">
        <v>780</v>
      </c>
      <c r="AR122" t="str">
        <f>RIGHT(Table8[[#This Row],[Column1]],LEN(Table8[[#This Row],[Column1]])-5)</f>
        <v>Manufacture of builders’ carpentry and joinery</v>
      </c>
      <c r="AS122" s="9" t="str">
        <f>LEFT(Table8[[#This Row],[Column1]],4)</f>
        <v>1622</v>
      </c>
      <c r="AT122" s="9" t="s">
        <v>781</v>
      </c>
      <c r="AU122" t="s">
        <v>83</v>
      </c>
      <c r="AV122" t="s">
        <v>783</v>
      </c>
    </row>
    <row r="123" spans="41:48" x14ac:dyDescent="0.45">
      <c r="AO123" t="s">
        <v>620</v>
      </c>
      <c r="AP123" t="s">
        <v>776</v>
      </c>
      <c r="AQ123" t="s">
        <v>780</v>
      </c>
      <c r="AR123" t="str">
        <f>RIGHT(Table8[[#This Row],[Column1]],LEN(Table8[[#This Row],[Column1]])-5)</f>
        <v>Manufacture of wooden containers</v>
      </c>
      <c r="AS123" s="9" t="str">
        <f>LEFT(Table8[[#This Row],[Column1]],4)</f>
        <v>1623</v>
      </c>
      <c r="AT123" s="9" t="s">
        <v>781</v>
      </c>
      <c r="AU123" t="s">
        <v>83</v>
      </c>
      <c r="AV123" t="s">
        <v>784</v>
      </c>
    </row>
    <row r="124" spans="41:48" x14ac:dyDescent="0.45">
      <c r="AO124" t="s">
        <v>620</v>
      </c>
      <c r="AP124" t="s">
        <v>776</v>
      </c>
      <c r="AQ124" t="s">
        <v>780</v>
      </c>
      <c r="AR124" t="str">
        <f>RIGHT(Table8[[#This Row],[Column1]],LEN(Table8[[#This Row],[Column1]])-5)</f>
        <v>Manufacture of other products of wood; manufacture of articles of cork, straw and plaiting materials</v>
      </c>
      <c r="AS124" s="9" t="str">
        <f>LEFT(Table8[[#This Row],[Column1]],4)</f>
        <v>1629</v>
      </c>
      <c r="AT124" s="9" t="s">
        <v>781</v>
      </c>
      <c r="AU124" t="s">
        <v>83</v>
      </c>
      <c r="AV124" t="s">
        <v>785</v>
      </c>
    </row>
    <row r="125" spans="41:48" x14ac:dyDescent="0.45">
      <c r="AO125" t="s">
        <v>620</v>
      </c>
      <c r="AP125" t="s">
        <v>786</v>
      </c>
      <c r="AQ125" t="s">
        <v>786</v>
      </c>
      <c r="AR125" t="s">
        <v>786</v>
      </c>
      <c r="AS125" s="9" t="s">
        <v>787</v>
      </c>
      <c r="AT125" s="9" t="s">
        <v>622</v>
      </c>
    </row>
    <row r="126" spans="41:48" x14ac:dyDescent="0.45">
      <c r="AO126" t="s">
        <v>620</v>
      </c>
      <c r="AP126" t="s">
        <v>786</v>
      </c>
      <c r="AQ126" t="s">
        <v>786</v>
      </c>
      <c r="AR126" t="s">
        <v>788</v>
      </c>
      <c r="AS126" s="9">
        <v>1701</v>
      </c>
      <c r="AT126" s="9" t="s">
        <v>787</v>
      </c>
      <c r="AU126" t="s">
        <v>83</v>
      </c>
    </row>
    <row r="127" spans="41:48" x14ac:dyDescent="0.45">
      <c r="AO127" t="s">
        <v>620</v>
      </c>
      <c r="AP127" t="s">
        <v>786</v>
      </c>
      <c r="AQ127" t="s">
        <v>786</v>
      </c>
      <c r="AR127" t="s">
        <v>789</v>
      </c>
      <c r="AS127" s="9">
        <v>1702</v>
      </c>
      <c r="AT127" s="9" t="s">
        <v>787</v>
      </c>
      <c r="AU127" t="s">
        <v>83</v>
      </c>
    </row>
    <row r="128" spans="41:48" x14ac:dyDescent="0.45">
      <c r="AO128" t="s">
        <v>620</v>
      </c>
      <c r="AP128" t="s">
        <v>786</v>
      </c>
      <c r="AQ128" t="s">
        <v>786</v>
      </c>
      <c r="AR128" t="s">
        <v>790</v>
      </c>
      <c r="AS128" s="9">
        <v>1709</v>
      </c>
      <c r="AT128" s="9" t="s">
        <v>787</v>
      </c>
      <c r="AU128" t="s">
        <v>83</v>
      </c>
    </row>
    <row r="129" spans="41:48" x14ac:dyDescent="0.45">
      <c r="AO129" t="s">
        <v>791</v>
      </c>
      <c r="AP129" t="s">
        <v>791</v>
      </c>
      <c r="AQ129" t="s">
        <v>791</v>
      </c>
      <c r="AR129" t="s">
        <v>791</v>
      </c>
      <c r="AS129" s="9" t="s">
        <v>792</v>
      </c>
      <c r="AT129" s="9"/>
    </row>
    <row r="130" spans="41:48" x14ac:dyDescent="0.45">
      <c r="AO130" t="s">
        <v>791</v>
      </c>
      <c r="AP130" t="s">
        <v>791</v>
      </c>
      <c r="AQ130" t="s">
        <v>791</v>
      </c>
      <c r="AR130" t="s">
        <v>791</v>
      </c>
      <c r="AS130" s="9" t="s">
        <v>793</v>
      </c>
      <c r="AT130" s="9" t="s">
        <v>792</v>
      </c>
    </row>
    <row r="131" spans="41:48" x14ac:dyDescent="0.45">
      <c r="AO131" t="s">
        <v>791</v>
      </c>
      <c r="AP131" t="s">
        <v>791</v>
      </c>
      <c r="AQ131" t="s">
        <v>791</v>
      </c>
      <c r="AR131" s="9" t="s">
        <v>794</v>
      </c>
      <c r="AS131" s="9" t="s">
        <v>795</v>
      </c>
      <c r="AT131" s="9" t="s">
        <v>793</v>
      </c>
      <c r="AU131" t="s">
        <v>83</v>
      </c>
      <c r="AV131" s="9"/>
    </row>
    <row r="132" spans="41:48" x14ac:dyDescent="0.45">
      <c r="AO132" t="s">
        <v>791</v>
      </c>
      <c r="AP132" t="s">
        <v>791</v>
      </c>
      <c r="AQ132" t="s">
        <v>791</v>
      </c>
      <c r="AR132" s="9" t="s">
        <v>796</v>
      </c>
      <c r="AS132" s="9" t="s">
        <v>797</v>
      </c>
      <c r="AT132" s="9" t="s">
        <v>793</v>
      </c>
      <c r="AU132" t="s">
        <v>83</v>
      </c>
      <c r="AV132" s="9"/>
    </row>
    <row r="133" spans="41:48" x14ac:dyDescent="0.45">
      <c r="AO133" t="s">
        <v>791</v>
      </c>
      <c r="AP133" t="s">
        <v>791</v>
      </c>
      <c r="AQ133" t="s">
        <v>791</v>
      </c>
      <c r="AR133" t="s">
        <v>798</v>
      </c>
      <c r="AS133" s="9" t="s">
        <v>799</v>
      </c>
      <c r="AT133" s="9" t="s">
        <v>793</v>
      </c>
      <c r="AU133" t="s">
        <v>83</v>
      </c>
      <c r="AV133" s="9"/>
    </row>
    <row r="134" spans="41:48" x14ac:dyDescent="0.45">
      <c r="AO134" t="s">
        <v>800</v>
      </c>
      <c r="AP134" t="s">
        <v>800</v>
      </c>
      <c r="AQ134" t="s">
        <v>800</v>
      </c>
      <c r="AR134" t="s">
        <v>800</v>
      </c>
      <c r="AS134" s="9" t="s">
        <v>801</v>
      </c>
      <c r="AT134" s="9"/>
    </row>
    <row r="135" spans="41:48" x14ac:dyDescent="0.45">
      <c r="AO135" t="s">
        <v>487</v>
      </c>
      <c r="AP135" t="s">
        <v>487</v>
      </c>
      <c r="AQ135" t="s">
        <v>487</v>
      </c>
      <c r="AR135" t="s">
        <v>487</v>
      </c>
      <c r="AS135" s="9" t="s">
        <v>802</v>
      </c>
      <c r="AT135" s="9"/>
    </row>
    <row r="136" spans="41:48" x14ac:dyDescent="0.45">
      <c r="AO136" t="s">
        <v>803</v>
      </c>
      <c r="AP136" t="s">
        <v>803</v>
      </c>
      <c r="AQ136" t="s">
        <v>803</v>
      </c>
      <c r="AR136" t="s">
        <v>803</v>
      </c>
      <c r="AS136" s="9" t="s">
        <v>804</v>
      </c>
      <c r="AT136" s="9"/>
    </row>
    <row r="137" spans="41:48" x14ac:dyDescent="0.45">
      <c r="AO137" t="s">
        <v>805</v>
      </c>
      <c r="AP137" t="s">
        <v>805</v>
      </c>
      <c r="AQ137" t="s">
        <v>805</v>
      </c>
      <c r="AR137" t="s">
        <v>805</v>
      </c>
      <c r="AS137" s="9" t="s">
        <v>806</v>
      </c>
      <c r="AT137" s="9"/>
    </row>
    <row r="138" spans="41:48" x14ac:dyDescent="0.45">
      <c r="AO138" t="s">
        <v>807</v>
      </c>
      <c r="AP138" t="s">
        <v>807</v>
      </c>
      <c r="AQ138" t="s">
        <v>807</v>
      </c>
      <c r="AR138" t="s">
        <v>807</v>
      </c>
      <c r="AS138" s="9" t="s">
        <v>808</v>
      </c>
      <c r="AT138" s="9"/>
    </row>
    <row r="139" spans="41:48" x14ac:dyDescent="0.45">
      <c r="AO139" t="s">
        <v>809</v>
      </c>
      <c r="AP139" t="s">
        <v>809</v>
      </c>
      <c r="AQ139" t="s">
        <v>809</v>
      </c>
      <c r="AR139" t="s">
        <v>809</v>
      </c>
      <c r="AS139" s="9" t="s">
        <v>810</v>
      </c>
      <c r="AT139" s="9"/>
    </row>
    <row r="140" spans="41:48" x14ac:dyDescent="0.45">
      <c r="AO140" t="s">
        <v>811</v>
      </c>
      <c r="AP140" t="s">
        <v>811</v>
      </c>
      <c r="AQ140" t="s">
        <v>811</v>
      </c>
      <c r="AR140" t="s">
        <v>811</v>
      </c>
      <c r="AS140" s="9" t="s">
        <v>812</v>
      </c>
      <c r="AT140" s="9"/>
    </row>
    <row r="141" spans="41:48" x14ac:dyDescent="0.45">
      <c r="AO141" t="s">
        <v>813</v>
      </c>
      <c r="AP141" t="s">
        <v>813</v>
      </c>
      <c r="AQ141" t="s">
        <v>813</v>
      </c>
      <c r="AR141" t="s">
        <v>813</v>
      </c>
      <c r="AS141" s="9" t="s">
        <v>814</v>
      </c>
      <c r="AT141" s="9"/>
    </row>
    <row r="142" spans="41:48" x14ac:dyDescent="0.45">
      <c r="AO142" t="s">
        <v>815</v>
      </c>
      <c r="AP142" t="s">
        <v>815</v>
      </c>
      <c r="AQ142" t="s">
        <v>815</v>
      </c>
      <c r="AR142" t="s">
        <v>815</v>
      </c>
      <c r="AS142" s="9" t="s">
        <v>816</v>
      </c>
      <c r="AT142" s="9"/>
    </row>
    <row r="143" spans="41:48" x14ac:dyDescent="0.45">
      <c r="AO143" t="s">
        <v>817</v>
      </c>
      <c r="AP143" t="s">
        <v>817</v>
      </c>
      <c r="AQ143" t="s">
        <v>817</v>
      </c>
      <c r="AR143" t="s">
        <v>817</v>
      </c>
      <c r="AS143" s="9" t="s">
        <v>818</v>
      </c>
      <c r="AT143" s="9"/>
    </row>
    <row r="144" spans="41:48" x14ac:dyDescent="0.45">
      <c r="AO144" t="s">
        <v>819</v>
      </c>
      <c r="AP144" t="s">
        <v>819</v>
      </c>
      <c r="AQ144" t="s">
        <v>819</v>
      </c>
      <c r="AR144" t="s">
        <v>819</v>
      </c>
      <c r="AS144" s="9" t="s">
        <v>820</v>
      </c>
      <c r="AT144" s="9"/>
    </row>
    <row r="145" spans="41:46" x14ac:dyDescent="0.45">
      <c r="AO145" t="s">
        <v>821</v>
      </c>
      <c r="AP145" t="s">
        <v>821</v>
      </c>
      <c r="AQ145" t="s">
        <v>821</v>
      </c>
      <c r="AR145" t="s">
        <v>821</v>
      </c>
      <c r="AS145" s="9" t="s">
        <v>822</v>
      </c>
      <c r="AT145" s="9"/>
    </row>
    <row r="146" spans="41:46" x14ac:dyDescent="0.45">
      <c r="AO146" t="s">
        <v>823</v>
      </c>
      <c r="AP146" t="s">
        <v>823</v>
      </c>
      <c r="AQ146" t="s">
        <v>823</v>
      </c>
      <c r="AR146" t="s">
        <v>823</v>
      </c>
      <c r="AS146" s="9" t="s">
        <v>824</v>
      </c>
      <c r="AT146" s="9"/>
    </row>
    <row r="147" spans="41:46" x14ac:dyDescent="0.45">
      <c r="AO147" t="s">
        <v>825</v>
      </c>
      <c r="AP147" t="s">
        <v>825</v>
      </c>
      <c r="AQ147" t="s">
        <v>825</v>
      </c>
      <c r="AR147" t="s">
        <v>825</v>
      </c>
      <c r="AS147" s="9" t="s">
        <v>826</v>
      </c>
      <c r="AT147" s="9"/>
    </row>
    <row r="148" spans="41:46" x14ac:dyDescent="0.45">
      <c r="AO148" t="s">
        <v>827</v>
      </c>
      <c r="AP148" t="s">
        <v>827</v>
      </c>
      <c r="AQ148" t="s">
        <v>827</v>
      </c>
      <c r="AR148" t="s">
        <v>827</v>
      </c>
      <c r="AS148" s="9" t="s">
        <v>828</v>
      </c>
      <c r="AT148" s="9"/>
    </row>
    <row r="149" spans="41:46" x14ac:dyDescent="0.45">
      <c r="AO149" t="s">
        <v>829</v>
      </c>
      <c r="AP149" t="s">
        <v>829</v>
      </c>
      <c r="AQ149" t="s">
        <v>829</v>
      </c>
      <c r="AR149" t="s">
        <v>829</v>
      </c>
      <c r="AS149" s="9" t="s">
        <v>830</v>
      </c>
      <c r="AT149" s="9"/>
    </row>
    <row r="150" spans="41:46" x14ac:dyDescent="0.45">
      <c r="AO150" t="s">
        <v>831</v>
      </c>
      <c r="AP150" t="s">
        <v>831</v>
      </c>
      <c r="AQ150" t="s">
        <v>831</v>
      </c>
      <c r="AR150" t="s">
        <v>831</v>
      </c>
      <c r="AS150" s="9" t="s">
        <v>832</v>
      </c>
      <c r="AT150" s="9"/>
    </row>
  </sheetData>
  <phoneticPr fontId="27" type="noConversion"/>
  <conditionalFormatting sqref="H4:H104">
    <cfRule type="cellIs" dxfId="38" priority="7" operator="equal">
      <formula>"Yes"</formula>
    </cfRule>
  </conditionalFormatting>
  <conditionalFormatting sqref="I4:I6 L7:N8 I9:N9 K12:N14 K51:L51 K52:K53 K54:N67 K68:L68 K69:N70 K71:L71 K72:N77 K78:L78 I79:N80 I81:J83">
    <cfRule type="cellIs" dxfId="37" priority="199" operator="equal">
      <formula>"RE"</formula>
    </cfRule>
  </conditionalFormatting>
  <conditionalFormatting sqref="I15">
    <cfRule type="cellIs" dxfId="36" priority="203" operator="equal">
      <formula>"RE"</formula>
    </cfRule>
  </conditionalFormatting>
  <conditionalFormatting sqref="I20:I78">
    <cfRule type="cellIs" dxfId="35" priority="90" operator="equal">
      <formula>"RE"</formula>
    </cfRule>
  </conditionalFormatting>
  <conditionalFormatting sqref="I84:I104">
    <cfRule type="cellIs" dxfId="34" priority="113" operator="equal">
      <formula>"RE"</formula>
    </cfRule>
  </conditionalFormatting>
  <conditionalFormatting sqref="I7:J8">
    <cfRule type="cellIs" dxfId="33" priority="9" operator="equal">
      <formula>"RE"</formula>
    </cfRule>
  </conditionalFormatting>
  <conditionalFormatting sqref="I10:J19">
    <cfRule type="cellIs" dxfId="32" priority="3" operator="equal">
      <formula>"RE"</formula>
    </cfRule>
  </conditionalFormatting>
  <conditionalFormatting sqref="J4:J6">
    <cfRule type="cellIs" dxfId="31" priority="12" operator="equal">
      <formula>"RE"</formula>
    </cfRule>
  </conditionalFormatting>
  <conditionalFormatting sqref="J15">
    <cfRule type="cellIs" dxfId="30" priority="89" operator="equal">
      <formula>"RE"</formula>
    </cfRule>
  </conditionalFormatting>
  <conditionalFormatting sqref="J20:J78">
    <cfRule type="cellIs" dxfId="29" priority="62" operator="equal">
      <formula>"RE"</formula>
    </cfRule>
  </conditionalFormatting>
  <conditionalFormatting sqref="J84:J104">
    <cfRule type="cellIs" dxfId="28" priority="75" operator="equal">
      <formula>"RE"</formula>
    </cfRule>
  </conditionalFormatting>
  <conditionalFormatting sqref="K7:K8">
    <cfRule type="cellIs" dxfId="27" priority="8" operator="equal">
      <formula>"RE"</formula>
    </cfRule>
  </conditionalFormatting>
  <conditionalFormatting sqref="K10:K11">
    <cfRule type="cellIs" dxfId="26" priority="2" operator="equal">
      <formula>"RE"</formula>
    </cfRule>
  </conditionalFormatting>
  <conditionalFormatting sqref="K15 K16:N21 K22:K24 K25:N45 K103:L104">
    <cfRule type="cellIs" dxfId="25" priority="100" operator="equal">
      <formula>"RE"</formula>
    </cfRule>
  </conditionalFormatting>
  <conditionalFormatting sqref="K46">
    <cfRule type="cellIs" dxfId="24" priority="59" operator="equal">
      <formula>"RE"</formula>
    </cfRule>
  </conditionalFormatting>
  <conditionalFormatting sqref="K96:L96">
    <cfRule type="cellIs" dxfId="23" priority="99" operator="equal">
      <formula>"RE"</formula>
    </cfRule>
  </conditionalFormatting>
  <conditionalFormatting sqref="K4:N6">
    <cfRule type="cellIs" dxfId="22" priority="96" operator="equal">
      <formula>"RE"</formula>
    </cfRule>
  </conditionalFormatting>
  <conditionalFormatting sqref="K81:N95">
    <cfRule type="cellIs" dxfId="21" priority="93" operator="equal">
      <formula>"RE"</formula>
    </cfRule>
  </conditionalFormatting>
  <conditionalFormatting sqref="K97:N97">
    <cfRule type="cellIs" dxfId="20" priority="97" operator="equal">
      <formula>"RE"</formula>
    </cfRule>
  </conditionalFormatting>
  <conditionalFormatting sqref="L10:N11">
    <cfRule type="cellIs" dxfId="19" priority="6" operator="equal">
      <formula>"RE"</formula>
    </cfRule>
  </conditionalFormatting>
  <conditionalFormatting sqref="L46:N46 K47:N50">
    <cfRule type="cellIs" dxfId="18" priority="95" operator="equal">
      <formula>"RE"</formula>
    </cfRule>
  </conditionalFormatting>
  <conditionalFormatting sqref="M5:N5">
    <cfRule type="cellIs" dxfId="17" priority="57" operator="equal">
      <formula>"RE"</formula>
    </cfRule>
  </conditionalFormatting>
  <conditionalFormatting sqref="M21:N22">
    <cfRule type="cellIs" dxfId="16" priority="52" operator="equal">
      <formula>"RE"</formula>
    </cfRule>
  </conditionalFormatting>
  <conditionalFormatting sqref="M26:N26">
    <cfRule type="cellIs" dxfId="15" priority="50" operator="equal">
      <formula>"RE"</formula>
    </cfRule>
  </conditionalFormatting>
  <conditionalFormatting sqref="M30:N31">
    <cfRule type="cellIs" dxfId="14" priority="46" operator="equal">
      <formula>"RE"</formula>
    </cfRule>
  </conditionalFormatting>
  <conditionalFormatting sqref="M44:N44">
    <cfRule type="cellIs" dxfId="13" priority="44" operator="equal">
      <formula>"RE"</formula>
    </cfRule>
  </conditionalFormatting>
  <conditionalFormatting sqref="M51:N51">
    <cfRule type="cellIs" dxfId="12" priority="41" operator="equal">
      <formula>"RE"</formula>
    </cfRule>
  </conditionalFormatting>
  <conditionalFormatting sqref="M68:N68">
    <cfRule type="cellIs" dxfId="11" priority="38" operator="equal">
      <formula>"RE"</formula>
    </cfRule>
  </conditionalFormatting>
  <conditionalFormatting sqref="M71:N71">
    <cfRule type="cellIs" dxfId="10" priority="35" operator="equal">
      <formula>"RE"</formula>
    </cfRule>
  </conditionalFormatting>
  <conditionalFormatting sqref="M78:N78">
    <cfRule type="cellIs" dxfId="9" priority="32" operator="equal">
      <formula>"RE"</formula>
    </cfRule>
  </conditionalFormatting>
  <conditionalFormatting sqref="M96:N96">
    <cfRule type="cellIs" dxfId="8" priority="29" operator="equal">
      <formula>"RE"</formula>
    </cfRule>
  </conditionalFormatting>
  <conditionalFormatting sqref="M99:N99">
    <cfRule type="cellIs" dxfId="7" priority="26" operator="equal">
      <formula>"RE"</formula>
    </cfRule>
  </conditionalFormatting>
  <conditionalFormatting sqref="M102:N104">
    <cfRule type="cellIs" dxfId="6" priority="15" operator="equal">
      <formula>"RE"</formula>
    </cfRule>
  </conditionalFormatting>
  <conditionalFormatting sqref="N4:N104">
    <cfRule type="cellIs" dxfId="5" priority="1" operator="equal">
      <formula>"RE"</formula>
    </cfRule>
  </conditionalFormatting>
  <conditionalFormatting sqref="AU4:AU129">
    <cfRule type="cellIs" dxfId="4" priority="219" operator="equal">
      <formula>"Yes"</formula>
    </cfRule>
  </conditionalFormatting>
  <conditionalFormatting sqref="AU131:AU133">
    <cfRule type="cellIs" dxfId="3" priority="216" operator="equal">
      <formula>"Yes"</formula>
    </cfRule>
  </conditionalFormatting>
  <conditionalFormatting sqref="BJ4:BJ70">
    <cfRule type="duplicateValues" dxfId="2" priority="243"/>
    <cfRule type="duplicateValues" dxfId="1" priority="244"/>
  </conditionalFormatting>
  <dataValidations count="1">
    <dataValidation type="list" allowBlank="1" showInputMessage="1" showErrorMessage="1" sqref="K4:K104" xr:uid="{D6131060-D26C-4AA4-BD09-53E67C9B22AD}">
      <formula1>"Include,DNI"</formula1>
    </dataValidation>
  </dataValidations>
  <hyperlinks>
    <hyperlink ref="AP2" r:id="rId1" xr:uid="{71221424-98CA-4680-9F1B-704289F4F819}"/>
  </hyperlinks>
  <pageMargins left="0.7" right="0.7" top="0.75" bottom="0.75" header="0.3" footer="0.3"/>
  <pageSetup paperSize="9" orientation="portrait" r:id="rId2"/>
  <legacyDrawing r:id="rId3"/>
  <tableParts count="6">
    <tablePart r:id="rId4"/>
    <tablePart r:id="rId5"/>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BC0C0-9696-401A-B29F-0C30D684162C}">
  <sheetPr codeName="Sheet2"/>
  <dimension ref="B2:O5519"/>
  <sheetViews>
    <sheetView showGridLines="0" topLeftCell="G1" workbookViewId="0">
      <selection activeCell="I10" sqref="I10"/>
    </sheetView>
  </sheetViews>
  <sheetFormatPr defaultColWidth="8.73046875" defaultRowHeight="14.25" x14ac:dyDescent="0.45"/>
  <cols>
    <col min="6" max="6" width="38" bestFit="1" customWidth="1"/>
    <col min="7" max="7" width="13.3984375" bestFit="1" customWidth="1"/>
    <col min="9" max="9" width="37.1328125" customWidth="1"/>
    <col min="10" max="10" width="16.86328125" customWidth="1"/>
    <col min="11" max="11" width="39.3984375" customWidth="1"/>
  </cols>
  <sheetData>
    <row r="2" spans="2:15" x14ac:dyDescent="0.45">
      <c r="B2" t="s">
        <v>50</v>
      </c>
      <c r="C2" t="s">
        <v>49</v>
      </c>
      <c r="F2" t="s">
        <v>833</v>
      </c>
      <c r="G2" t="s">
        <v>13</v>
      </c>
      <c r="I2" t="s">
        <v>1238</v>
      </c>
      <c r="J2" t="s">
        <v>1239</v>
      </c>
      <c r="K2" t="s">
        <v>1217</v>
      </c>
    </row>
    <row r="3" spans="2:15" ht="15.75" x14ac:dyDescent="0.5">
      <c r="B3" t="s">
        <v>72</v>
      </c>
      <c r="C3">
        <v>200</v>
      </c>
      <c r="F3" t="s">
        <v>834</v>
      </c>
      <c r="G3">
        <v>100</v>
      </c>
      <c r="I3" s="5" t="s">
        <v>86</v>
      </c>
      <c r="J3" s="95">
        <v>111100</v>
      </c>
      <c r="K3" t="str">
        <f>_xlfn.XLOOKUP(TechCleanup[[#This Row],[ProdCode]],Products[ProdCode],Products[Product],,0,)</f>
        <v>Hard coal</v>
      </c>
    </row>
    <row r="4" spans="2:15" ht="15.75" x14ac:dyDescent="0.5">
      <c r="B4" t="s">
        <v>90</v>
      </c>
      <c r="C4">
        <v>210</v>
      </c>
      <c r="F4" t="s">
        <v>77</v>
      </c>
      <c r="G4">
        <v>111</v>
      </c>
      <c r="I4" s="5" t="s">
        <v>98</v>
      </c>
      <c r="J4" s="95">
        <v>111110</v>
      </c>
      <c r="K4" t="str">
        <f>_xlfn.XLOOKUP(TechCleanup[[#This Row],[ProdCode]],Products[ProdCode],Products[Product],,0,)</f>
        <v>Anthracite</v>
      </c>
      <c r="O4" cm="1">
        <f t="array" ref="O4:O58">_xlfn.UNIQUE(N:N)</f>
        <v>0</v>
      </c>
    </row>
    <row r="5" spans="2:15" ht="15.75" x14ac:dyDescent="0.5">
      <c r="B5" t="s">
        <v>835</v>
      </c>
      <c r="C5">
        <v>211</v>
      </c>
      <c r="F5" t="s">
        <v>116</v>
      </c>
      <c r="G5">
        <v>112</v>
      </c>
      <c r="I5" s="5" t="s">
        <v>120</v>
      </c>
      <c r="J5" s="95">
        <v>111121</v>
      </c>
      <c r="K5" t="str">
        <f>_xlfn.XLOOKUP(TechCleanup[[#This Row],[ProdCode]],Products[ProdCode],Products[Product],,0,)</f>
        <v>Coking coal</v>
      </c>
      <c r="O5" t="str">
        <v>Coking Coal</v>
      </c>
    </row>
    <row r="6" spans="2:15" ht="15.75" x14ac:dyDescent="0.5">
      <c r="B6" t="s">
        <v>836</v>
      </c>
      <c r="C6">
        <v>212</v>
      </c>
      <c r="F6" t="s">
        <v>125</v>
      </c>
      <c r="G6">
        <v>113</v>
      </c>
      <c r="I6" s="5" t="s">
        <v>129</v>
      </c>
      <c r="J6" s="95">
        <v>111129</v>
      </c>
      <c r="K6" t="str">
        <f>_xlfn.XLOOKUP(TechCleanup[[#This Row],[ProdCode]],Products[ProdCode],Products[Product],,0,)</f>
        <v>Other bituminous coal</v>
      </c>
      <c r="O6" t="str">
        <v>Crude Oil</v>
      </c>
    </row>
    <row r="7" spans="2:15" ht="15.75" x14ac:dyDescent="0.5">
      <c r="B7" t="s">
        <v>124</v>
      </c>
      <c r="C7">
        <v>220</v>
      </c>
      <c r="F7" t="s">
        <v>163</v>
      </c>
      <c r="G7">
        <v>114</v>
      </c>
      <c r="I7" s="5" t="s">
        <v>139</v>
      </c>
      <c r="J7" s="95">
        <v>111200</v>
      </c>
      <c r="K7" t="str">
        <f>_xlfn.XLOOKUP(TechCleanup[[#This Row],[ProdCode]],Products[ProdCode],Products[Product],,0,)</f>
        <v>Brown coal</v>
      </c>
      <c r="O7" t="str">
        <v>Orimulsion</v>
      </c>
    </row>
    <row r="8" spans="2:15" ht="15.75" x14ac:dyDescent="0.5">
      <c r="B8" t="s">
        <v>837</v>
      </c>
      <c r="C8">
        <v>221</v>
      </c>
      <c r="F8" t="s">
        <v>838</v>
      </c>
      <c r="G8">
        <v>115</v>
      </c>
      <c r="I8" s="5" t="s">
        <v>148</v>
      </c>
      <c r="J8" s="95">
        <v>111210</v>
      </c>
      <c r="K8" t="str">
        <f>_xlfn.XLOOKUP(TechCleanup[[#This Row],[ProdCode]],Products[ProdCode],Products[Product],,0,)</f>
        <v>Sub-bituminous coal</v>
      </c>
      <c r="O8" t="str">
        <v>Natural Gas Liquids
(NGLs)</v>
      </c>
    </row>
    <row r="9" spans="2:15" ht="15.75" x14ac:dyDescent="0.5">
      <c r="B9" t="s">
        <v>839</v>
      </c>
      <c r="C9">
        <v>222</v>
      </c>
      <c r="F9" t="s">
        <v>840</v>
      </c>
      <c r="G9">
        <v>119</v>
      </c>
      <c r="I9" s="5" t="s">
        <v>157</v>
      </c>
      <c r="J9" s="95">
        <v>111220</v>
      </c>
      <c r="K9" t="str">
        <f>_xlfn.XLOOKUP(TechCleanup[[#This Row],[ProdCode]],Products[ProdCode],Products[Product],,0,)</f>
        <v>Lignite</v>
      </c>
      <c r="O9" t="str">
        <v>Motor Gasoline</v>
      </c>
    </row>
    <row r="10" spans="2:15" ht="15.75" x14ac:dyDescent="0.5">
      <c r="B10" t="s">
        <v>152</v>
      </c>
      <c r="C10">
        <v>230</v>
      </c>
      <c r="F10" t="s">
        <v>187</v>
      </c>
      <c r="G10">
        <v>121</v>
      </c>
      <c r="I10" s="5" t="s">
        <v>184</v>
      </c>
      <c r="J10" s="95">
        <v>111310</v>
      </c>
      <c r="K10" t="str">
        <f>_xlfn.XLOOKUP(TechCleanup[[#This Row],[ProdCode]],Products[ProdCode],Products[Product],,0,)</f>
        <v>Coal coke</v>
      </c>
      <c r="O10" t="str">
        <v>Aviation Gasoline</v>
      </c>
    </row>
    <row r="11" spans="2:15" ht="15.75" x14ac:dyDescent="0.5">
      <c r="B11" t="s">
        <v>841</v>
      </c>
      <c r="C11">
        <v>231</v>
      </c>
      <c r="F11" t="s">
        <v>842</v>
      </c>
      <c r="G11">
        <v>122</v>
      </c>
      <c r="I11" s="5" t="s">
        <v>191</v>
      </c>
      <c r="J11" s="95">
        <v>111310</v>
      </c>
      <c r="K11" t="str">
        <f>_xlfn.XLOOKUP(TechCleanup[[#This Row],[ProdCode]],Products[ProdCode],Products[Product],,0,)</f>
        <v>Coal coke</v>
      </c>
      <c r="O11" t="str">
        <v>Jet Gasoline</v>
      </c>
    </row>
    <row r="12" spans="2:15" ht="15.75" x14ac:dyDescent="0.5">
      <c r="B12" t="s">
        <v>844</v>
      </c>
      <c r="C12">
        <v>232</v>
      </c>
      <c r="F12" t="s">
        <v>845</v>
      </c>
      <c r="G12">
        <v>210</v>
      </c>
      <c r="I12" s="5" t="s">
        <v>214</v>
      </c>
      <c r="J12" s="95">
        <v>111320</v>
      </c>
      <c r="K12" t="str">
        <f>_xlfn.XLOOKUP(TechCleanup[[#This Row],[ProdCode]],Products[ProdCode],Products[Product],,0,)</f>
        <v>Patent fuel</v>
      </c>
      <c r="O12" t="str">
        <v>Jet Kerosene</v>
      </c>
    </row>
    <row r="13" spans="2:15" ht="15.75" x14ac:dyDescent="0.5">
      <c r="F13" t="s">
        <v>846</v>
      </c>
      <c r="G13">
        <v>220</v>
      </c>
      <c r="I13" s="5" t="s">
        <v>221</v>
      </c>
      <c r="J13" s="95">
        <v>111330</v>
      </c>
      <c r="K13" t="str">
        <f>_xlfn.XLOOKUP(TechCleanup[[#This Row],[ProdCode]],Products[ProdCode],Products[Product],,0,)</f>
        <v>Brown coal briquettes (BKB)</v>
      </c>
      <c r="O13" t="str">
        <v>Other Kerosene</v>
      </c>
    </row>
    <row r="14" spans="2:15" ht="15.75" x14ac:dyDescent="0.5">
      <c r="F14" t="s">
        <v>247</v>
      </c>
      <c r="G14">
        <v>230</v>
      </c>
      <c r="I14" s="5" t="s">
        <v>228</v>
      </c>
      <c r="J14" s="95">
        <v>111340</v>
      </c>
      <c r="K14" t="str">
        <f>_xlfn.XLOOKUP(TechCleanup[[#This Row],[ProdCode]],Products[ProdCode],Products[Product],,0,)</f>
        <v>Coal tar</v>
      </c>
      <c r="O14" t="str">
        <v>Shale Oil</v>
      </c>
    </row>
    <row r="15" spans="2:15" ht="15.75" x14ac:dyDescent="0.5">
      <c r="F15" t="s">
        <v>847</v>
      </c>
      <c r="G15">
        <v>241</v>
      </c>
      <c r="I15" s="5" t="s">
        <v>235</v>
      </c>
      <c r="J15" s="125">
        <v>111350</v>
      </c>
      <c r="K15" t="str">
        <f>_xlfn.XLOOKUP(TechCleanup[[#This Row],[ProdCode]],Products[ProdCode],Products[Product],,0,)</f>
        <v>Coke oven gas</v>
      </c>
      <c r="O15" t="str">
        <v>Gas Oil</v>
      </c>
    </row>
    <row r="16" spans="2:15" ht="15.75" x14ac:dyDescent="0.5">
      <c r="F16" t="s">
        <v>848</v>
      </c>
      <c r="G16">
        <v>242</v>
      </c>
      <c r="I16" s="5" t="s">
        <v>243</v>
      </c>
      <c r="J16" s="125">
        <v>111360</v>
      </c>
      <c r="K16" t="str">
        <f>_xlfn.XLOOKUP(TechCleanup[[#This Row],[ProdCode]],Products[ProdCode],Products[Product],,0,)</f>
        <v>Gas works gas</v>
      </c>
      <c r="O16" t="str">
        <v>Diesel Oil</v>
      </c>
    </row>
    <row r="17" spans="6:15" ht="15.75" x14ac:dyDescent="0.5">
      <c r="F17" t="s">
        <v>850</v>
      </c>
      <c r="G17">
        <v>299</v>
      </c>
      <c r="I17" s="5" t="s">
        <v>259</v>
      </c>
      <c r="J17" s="125">
        <v>111371</v>
      </c>
      <c r="K17" t="str">
        <f>_xlfn.XLOOKUP(TechCleanup[[#This Row],[ProdCode]],Products[ProdCode],Products[Product],,0,)</f>
        <v>Blast furnace gas</v>
      </c>
      <c r="O17" t="str">
        <v>Residual Fuel Oil</v>
      </c>
    </row>
    <row r="18" spans="6:15" ht="15.75" x14ac:dyDescent="0.5">
      <c r="F18" t="s">
        <v>851</v>
      </c>
      <c r="G18">
        <v>310</v>
      </c>
      <c r="I18" s="5" t="s">
        <v>276</v>
      </c>
      <c r="J18" s="95">
        <v>111373</v>
      </c>
      <c r="K18" t="str">
        <f>_xlfn.XLOOKUP(TechCleanup[[#This Row],[ProdCode]],Products[ProdCode],Products[Product],,0,)</f>
        <v>Other recovered gases</v>
      </c>
      <c r="O18" t="str">
        <v>Liquefied Petroleum Gases</v>
      </c>
    </row>
    <row r="19" spans="6:15" ht="15.75" x14ac:dyDescent="0.5">
      <c r="F19" t="s">
        <v>852</v>
      </c>
      <c r="G19">
        <v>320</v>
      </c>
      <c r="I19" s="5" t="s">
        <v>283</v>
      </c>
      <c r="J19" s="95">
        <v>111399</v>
      </c>
      <c r="K19" t="str">
        <f>_xlfn.XLOOKUP(TechCleanup[[#This Row],[ProdCode]],Products[ProdCode],Products[Product],,0,)</f>
        <v>Other coal products n.e.s.</v>
      </c>
      <c r="O19" t="str">
        <v>Ethane</v>
      </c>
    </row>
    <row r="20" spans="6:15" ht="15.75" x14ac:dyDescent="0.5">
      <c r="F20" t="s">
        <v>74</v>
      </c>
      <c r="G20">
        <v>400</v>
      </c>
      <c r="I20" s="5" t="s">
        <v>297</v>
      </c>
      <c r="J20" s="125">
        <v>112100</v>
      </c>
      <c r="K20" t="str">
        <f>_xlfn.XLOOKUP(TechCleanup[[#This Row],[ProdCode]],Products[ProdCode],Products[Product],,0,)</f>
        <v>Peat</v>
      </c>
      <c r="O20" t="str">
        <v>Naphtha</v>
      </c>
    </row>
    <row r="21" spans="6:15" ht="15.75" x14ac:dyDescent="0.5">
      <c r="F21" t="s">
        <v>387</v>
      </c>
      <c r="G21">
        <v>410</v>
      </c>
      <c r="I21" s="5" t="s">
        <v>319</v>
      </c>
      <c r="J21" s="95">
        <v>112210</v>
      </c>
      <c r="K21" t="str">
        <f>_xlfn.XLOOKUP(TechCleanup[[#This Row],[ProdCode]],Products[ProdCode],Products[Product],,0,)</f>
        <v>Peat briquettes</v>
      </c>
      <c r="O21" t="str">
        <v>Bitumen</v>
      </c>
    </row>
    <row r="22" spans="6:15" ht="15.75" x14ac:dyDescent="0.5">
      <c r="F22" t="s">
        <v>853</v>
      </c>
      <c r="G22">
        <v>420</v>
      </c>
      <c r="I22" s="5" t="s">
        <v>1867</v>
      </c>
      <c r="J22" s="95">
        <v>700000</v>
      </c>
      <c r="K22" t="str">
        <f>_xlfn.XLOOKUP(TechCleanup[[#This Row],[ProdCode]],Products[ProdCode],Products[Product],,0,)</f>
        <v>Electricity</v>
      </c>
      <c r="O22" t="str">
        <v>Lubricants</v>
      </c>
    </row>
    <row r="23" spans="6:15" ht="15.75" x14ac:dyDescent="0.5">
      <c r="F23" t="s">
        <v>855</v>
      </c>
      <c r="G23">
        <v>440</v>
      </c>
      <c r="I23" s="5" t="s">
        <v>1882</v>
      </c>
      <c r="J23" s="95"/>
      <c r="K23" t="e">
        <f>_xlfn.XLOOKUP(TechCleanup[[#This Row],[ProdCode]],Products[ProdCode],Products[Product],,0,)</f>
        <v>#N/A</v>
      </c>
      <c r="O23" t="str">
        <v>Petroleum Coke</v>
      </c>
    </row>
    <row r="24" spans="6:15" ht="15.75" x14ac:dyDescent="0.5">
      <c r="F24" t="s">
        <v>856</v>
      </c>
      <c r="G24">
        <v>441</v>
      </c>
      <c r="I24" s="5" t="s">
        <v>1883</v>
      </c>
      <c r="J24" s="125"/>
      <c r="K24" t="e">
        <f>_xlfn.XLOOKUP(TechCleanup[[#This Row],[ProdCode]],Products[ProdCode],Products[Product],,0,)</f>
        <v>#N/A</v>
      </c>
      <c r="O24" t="str">
        <v>Refinery Feedstocks</v>
      </c>
    </row>
    <row r="25" spans="6:15" ht="15.75" x14ac:dyDescent="0.5">
      <c r="F25" t="s">
        <v>857</v>
      </c>
      <c r="G25">
        <v>450</v>
      </c>
      <c r="I25" s="5" t="s">
        <v>1868</v>
      </c>
      <c r="J25" s="95">
        <v>210000</v>
      </c>
      <c r="K25" t="str">
        <f>_xlfn.XLOOKUP(TechCleanup[[#This Row],[ProdCode]],Products[ProdCode],Products[Product],,0,)</f>
        <v>Renewable hydropower</v>
      </c>
      <c r="O25" t="str">
        <v>Refinery Gas</v>
      </c>
    </row>
    <row r="26" spans="6:15" ht="15.75" x14ac:dyDescent="0.5">
      <c r="F26" t="s">
        <v>858</v>
      </c>
      <c r="G26">
        <v>460</v>
      </c>
      <c r="I26" s="5" t="s">
        <v>1869</v>
      </c>
      <c r="J26" s="95">
        <v>211100</v>
      </c>
      <c r="K26" t="str">
        <f>_xlfn.XLOOKUP(TechCleanup[[#This Row],[ProdCode]],Products[ProdCode],Products[Product],,0,)</f>
        <v>Reservoir hydropower</v>
      </c>
      <c r="O26" t="str">
        <v>Waxes</v>
      </c>
    </row>
    <row r="27" spans="6:15" ht="15.75" x14ac:dyDescent="0.5">
      <c r="F27" t="s">
        <v>859</v>
      </c>
      <c r="G27">
        <v>461</v>
      </c>
      <c r="I27" s="5" t="s">
        <v>1870</v>
      </c>
      <c r="J27" s="95">
        <v>212000</v>
      </c>
      <c r="K27" t="str">
        <f>_xlfn.XLOOKUP(TechCleanup[[#This Row],[ProdCode]],Products[ProdCode],Products[Product],,0,)</f>
        <v>Mixed hydropower</v>
      </c>
      <c r="O27" t="str">
        <v>White Spirit &amp; SBP</v>
      </c>
    </row>
    <row r="28" spans="6:15" ht="15.75" x14ac:dyDescent="0.5">
      <c r="F28" t="s">
        <v>861</v>
      </c>
      <c r="G28">
        <v>462</v>
      </c>
      <c r="I28" s="5" t="s">
        <v>1889</v>
      </c>
      <c r="J28" s="95"/>
      <c r="K28" t="e">
        <f>_xlfn.XLOOKUP(TechCleanup[[#This Row],[ProdCode]],Products[ProdCode],Products[Product],,0,)</f>
        <v>#N/A</v>
      </c>
      <c r="O28" t="str">
        <v>Other Petroleum Products</v>
      </c>
    </row>
    <row r="29" spans="6:15" ht="15.75" x14ac:dyDescent="0.5">
      <c r="F29" t="s">
        <v>114</v>
      </c>
      <c r="G29">
        <v>490</v>
      </c>
      <c r="I29" s="124" t="s">
        <v>1890</v>
      </c>
      <c r="J29" s="125"/>
      <c r="K29" t="e">
        <f>_xlfn.XLOOKUP(TechCleanup[[#This Row],[ProdCode]],Products[ProdCode],Products[Product],,0,)</f>
        <v>#N/A</v>
      </c>
      <c r="O29" t="str">
        <v>Anthracite</v>
      </c>
    </row>
    <row r="30" spans="6:15" ht="15.75" x14ac:dyDescent="0.5">
      <c r="F30" t="s">
        <v>246</v>
      </c>
      <c r="G30">
        <v>495</v>
      </c>
      <c r="I30" s="124" t="s">
        <v>1891</v>
      </c>
      <c r="J30" s="125"/>
      <c r="K30" t="e">
        <f>_xlfn.XLOOKUP(TechCleanup[[#This Row],[ProdCode]],Products[ProdCode],Products[Product],,0,)</f>
        <v>#N/A</v>
      </c>
      <c r="O30" t="str">
        <v>Other Bituminous Coal</v>
      </c>
    </row>
    <row r="31" spans="6:15" ht="15.75" x14ac:dyDescent="0.5">
      <c r="F31" t="s">
        <v>862</v>
      </c>
      <c r="G31">
        <v>499</v>
      </c>
      <c r="I31" s="5" t="s">
        <v>1871</v>
      </c>
      <c r="J31" s="125"/>
      <c r="K31" t="e">
        <f>_xlfn.XLOOKUP(TechCleanup[[#This Row],[ProdCode]],Products[ProdCode],Products[Product],,0,)</f>
        <v>#N/A</v>
      </c>
      <c r="O31" t="str">
        <v>Sub-Bituminous Coal</v>
      </c>
    </row>
    <row r="32" spans="6:15" ht="15.75" x14ac:dyDescent="0.5">
      <c r="F32" t="s">
        <v>863</v>
      </c>
      <c r="G32">
        <v>531</v>
      </c>
      <c r="I32" s="124" t="s">
        <v>1872</v>
      </c>
      <c r="J32" s="125"/>
      <c r="K32" t="e">
        <f>_xlfn.XLOOKUP(TechCleanup[[#This Row],[ProdCode]],Products[ProdCode],Products[Product],,0,)</f>
        <v>#N/A</v>
      </c>
      <c r="O32" t="str">
        <v>Lignite</v>
      </c>
    </row>
    <row r="33" spans="6:15" ht="15.75" x14ac:dyDescent="0.5">
      <c r="F33" t="s">
        <v>864</v>
      </c>
      <c r="G33">
        <v>532</v>
      </c>
      <c r="I33" s="124" t="s">
        <v>1873</v>
      </c>
      <c r="J33" s="96"/>
      <c r="K33" t="e">
        <f>_xlfn.XLOOKUP(TechCleanup[[#This Row],[ProdCode]],Products[ProdCode],Products[Product],,0,)</f>
        <v>#N/A</v>
      </c>
      <c r="O33" t="str">
        <v>Oil Shale and Tar Sands</v>
      </c>
    </row>
    <row r="34" spans="6:15" ht="15.75" x14ac:dyDescent="0.5">
      <c r="F34" t="s">
        <v>865</v>
      </c>
      <c r="G34">
        <v>533</v>
      </c>
      <c r="I34" s="5" t="s">
        <v>1879</v>
      </c>
      <c r="J34" s="125"/>
      <c r="K34" t="e">
        <f>_xlfn.XLOOKUP(TechCleanup[[#This Row],[ProdCode]],Products[ProdCode],Products[Product],,0,)</f>
        <v>#N/A</v>
      </c>
      <c r="O34" t="str">
        <v>Brown Coal Briquettes</v>
      </c>
    </row>
    <row r="35" spans="6:15" ht="15.75" x14ac:dyDescent="0.5">
      <c r="F35" t="s">
        <v>866</v>
      </c>
      <c r="G35">
        <v>534</v>
      </c>
      <c r="I35" s="5" t="s">
        <v>1880</v>
      </c>
      <c r="J35" s="95"/>
      <c r="K35" t="e">
        <f>_xlfn.XLOOKUP(TechCleanup[[#This Row],[ProdCode]],Products[ProdCode],Products[Product],,0,)</f>
        <v>#N/A</v>
      </c>
      <c r="O35" t="str">
        <v>Patent Fuel</v>
      </c>
    </row>
    <row r="36" spans="6:15" ht="15.75" x14ac:dyDescent="0.5">
      <c r="F36" t="s">
        <v>867</v>
      </c>
      <c r="G36">
        <v>535</v>
      </c>
      <c r="I36" s="5" t="s">
        <v>1881</v>
      </c>
      <c r="J36" s="95"/>
      <c r="K36" t="e">
        <f>_xlfn.XLOOKUP(TechCleanup[[#This Row],[ProdCode]],Products[ProdCode],Products[Product],,0,)</f>
        <v>#N/A</v>
      </c>
      <c r="O36" t="str">
        <v>Coke Oven Coke and Lignite Coke</v>
      </c>
    </row>
    <row r="37" spans="6:15" ht="15.75" x14ac:dyDescent="0.5">
      <c r="F37" t="s">
        <v>869</v>
      </c>
      <c r="G37">
        <v>536</v>
      </c>
      <c r="I37" s="5" t="s">
        <v>1887</v>
      </c>
      <c r="J37" s="125"/>
      <c r="K37" t="e">
        <f>_xlfn.XLOOKUP(TechCleanup[[#This Row],[ProdCode]],Products[ProdCode],Products[Product],,0,)</f>
        <v>#N/A</v>
      </c>
      <c r="O37" t="str">
        <v>Gas Coke</v>
      </c>
    </row>
    <row r="38" spans="6:15" ht="15.75" x14ac:dyDescent="0.5">
      <c r="F38" t="s">
        <v>871</v>
      </c>
      <c r="G38">
        <v>537</v>
      </c>
      <c r="I38" s="5" t="s">
        <v>1874</v>
      </c>
      <c r="J38" s="95"/>
      <c r="K38" t="e">
        <f>_xlfn.XLOOKUP(TechCleanup[[#This Row],[ProdCode]],Products[ProdCode],Products[Product],,0,)</f>
        <v>#N/A</v>
      </c>
      <c r="O38" t="str">
        <v>Coal Tar</v>
      </c>
    </row>
    <row r="39" spans="6:15" ht="15.75" x14ac:dyDescent="0.5">
      <c r="F39" t="s">
        <v>873</v>
      </c>
      <c r="G39">
        <v>538</v>
      </c>
      <c r="I39" s="5" t="s">
        <v>1875</v>
      </c>
      <c r="J39" s="125"/>
      <c r="K39" t="e">
        <f>_xlfn.XLOOKUP(TechCleanup[[#This Row],[ProdCode]],Products[ProdCode],Products[Product],,0,)</f>
        <v>#N/A</v>
      </c>
      <c r="O39" t="str">
        <v>Gas Works Gas</v>
      </c>
    </row>
    <row r="40" spans="6:15" ht="15.75" x14ac:dyDescent="0.5">
      <c r="F40" t="s">
        <v>874</v>
      </c>
      <c r="G40">
        <v>539</v>
      </c>
      <c r="I40" s="5" t="s">
        <v>1876</v>
      </c>
      <c r="J40" s="95"/>
      <c r="K40" t="e">
        <f>_xlfn.XLOOKUP(TechCleanup[[#This Row],[ProdCode]],Products[ProdCode],Products[Product],,0,)</f>
        <v>#N/A</v>
      </c>
      <c r="O40" t="str">
        <v>Coke Oven Gas</v>
      </c>
    </row>
    <row r="41" spans="6:15" ht="15.75" x14ac:dyDescent="0.5">
      <c r="F41" t="s">
        <v>875</v>
      </c>
      <c r="G41">
        <v>541</v>
      </c>
      <c r="I41" s="124" t="s">
        <v>1892</v>
      </c>
      <c r="J41" s="125"/>
      <c r="K41" t="e">
        <f>_xlfn.XLOOKUP(TechCleanup[[#This Row],[ProdCode]],Products[ProdCode],Products[Product],,0,)</f>
        <v>#N/A</v>
      </c>
      <c r="O41" t="str">
        <v>Blast Furnace Gas</v>
      </c>
    </row>
    <row r="42" spans="6:15" ht="15.75" x14ac:dyDescent="0.5">
      <c r="F42" t="s">
        <v>876</v>
      </c>
      <c r="G42">
        <v>542</v>
      </c>
      <c r="I42" s="124" t="s">
        <v>1893</v>
      </c>
      <c r="J42" s="96"/>
      <c r="K42" t="e">
        <f>_xlfn.XLOOKUP(TechCleanup[[#This Row],[ProdCode]],Products[ProdCode],Products[Product],,0,)</f>
        <v>#N/A</v>
      </c>
      <c r="O42" t="str">
        <v>Oxygen Steel Furnace Gas</v>
      </c>
    </row>
    <row r="43" spans="6:15" ht="15.75" x14ac:dyDescent="0.5">
      <c r="F43" t="s">
        <v>877</v>
      </c>
      <c r="G43">
        <v>543</v>
      </c>
      <c r="I43" s="124" t="s">
        <v>1894</v>
      </c>
      <c r="J43" s="96"/>
      <c r="K43" t="e">
        <f>_xlfn.XLOOKUP(TechCleanup[[#This Row],[ProdCode]],Products[ProdCode],Products[Product],,0,)</f>
        <v>#N/A</v>
      </c>
      <c r="O43" t="str">
        <v>Natural Gas</v>
      </c>
    </row>
    <row r="44" spans="6:15" ht="15.75" x14ac:dyDescent="0.5">
      <c r="F44" t="s">
        <v>878</v>
      </c>
      <c r="G44">
        <v>544</v>
      </c>
      <c r="I44" s="124" t="s">
        <v>1884</v>
      </c>
      <c r="J44" s="125"/>
      <c r="K44" t="e">
        <f>_xlfn.XLOOKUP(TechCleanup[[#This Row],[ProdCode]],Products[ProdCode],Products[Product],,0,)</f>
        <v>#N/A</v>
      </c>
      <c r="O44" t="str">
        <v>Municipal Wastes (non-biomass fraction)</v>
      </c>
    </row>
    <row r="45" spans="6:15" ht="15.75" x14ac:dyDescent="0.5">
      <c r="F45" t="s">
        <v>879</v>
      </c>
      <c r="G45">
        <v>545</v>
      </c>
      <c r="I45" s="124" t="s">
        <v>1888</v>
      </c>
      <c r="J45" s="96"/>
      <c r="K45" t="e">
        <f>_xlfn.XLOOKUP(TechCleanup[[#This Row],[ProdCode]],Products[ProdCode],Products[Product],,0,)</f>
        <v>#N/A</v>
      </c>
      <c r="O45" t="str">
        <v>Waste Oils</v>
      </c>
    </row>
    <row r="46" spans="6:15" ht="15.75" x14ac:dyDescent="0.5">
      <c r="F46" t="s">
        <v>881</v>
      </c>
      <c r="G46">
        <v>546</v>
      </c>
      <c r="I46" s="5" t="s">
        <v>1885</v>
      </c>
      <c r="J46" s="95"/>
      <c r="K46" t="e">
        <f>_xlfn.XLOOKUP(TechCleanup[[#This Row],[ProdCode]],Products[ProdCode],Products[Product],,0,)</f>
        <v>#N/A</v>
      </c>
      <c r="O46" t="str">
        <v>Peat</v>
      </c>
    </row>
    <row r="47" spans="6:15" ht="15.75" x14ac:dyDescent="0.5">
      <c r="F47" t="s">
        <v>883</v>
      </c>
      <c r="G47">
        <v>547</v>
      </c>
      <c r="I47" s="124" t="s">
        <v>1886</v>
      </c>
      <c r="J47" s="96"/>
      <c r="K47" t="e">
        <f>_xlfn.XLOOKUP(TechCleanup[[#This Row],[ProdCode]],Products[ProdCode],Products[Product],,0,)</f>
        <v>#N/A</v>
      </c>
      <c r="O47" t="str">
        <v>Wood/Wood Waste</v>
      </c>
    </row>
    <row r="48" spans="6:15" ht="15.75" x14ac:dyDescent="0.5">
      <c r="F48" t="s">
        <v>884</v>
      </c>
      <c r="G48">
        <v>549</v>
      </c>
      <c r="I48" s="124" t="s">
        <v>342</v>
      </c>
      <c r="J48" s="96">
        <v>115000</v>
      </c>
      <c r="K48" t="str">
        <f>_xlfn.XLOOKUP(TechCleanup[[#This Row],[ProdCode]],Products[ProdCode],Products[Product],,0,)</f>
        <v>Oil shale/sands</v>
      </c>
      <c r="O48" t="str">
        <v>Sulphite Lyes (Black Liquor)</v>
      </c>
    </row>
    <row r="49" spans="9:15" ht="15.75" x14ac:dyDescent="0.5">
      <c r="I49" s="124" t="s">
        <v>349</v>
      </c>
      <c r="J49" s="96">
        <v>113220</v>
      </c>
      <c r="K49" t="str">
        <f>_xlfn.XLOOKUP(TechCleanup[[#This Row],[ProdCode]],Products[ProdCode],Products[Product],,0,)</f>
        <v>Compressed natural gas</v>
      </c>
      <c r="O49" t="str">
        <v>Other Primary Solid Biomass</v>
      </c>
    </row>
    <row r="50" spans="9:15" ht="15.75" x14ac:dyDescent="0.5">
      <c r="I50" s="124" t="s">
        <v>361</v>
      </c>
      <c r="J50" s="96">
        <v>114100</v>
      </c>
      <c r="K50" t="str">
        <f>_xlfn.XLOOKUP(TechCleanup[[#This Row],[ProdCode]],Products[ProdCode],Products[Product],,0,)</f>
        <v>Conventional crude oil</v>
      </c>
      <c r="O50" t="str">
        <v>Charcoal</v>
      </c>
    </row>
    <row r="51" spans="9:15" ht="15.75" x14ac:dyDescent="0.5">
      <c r="I51" s="124" t="s">
        <v>369</v>
      </c>
      <c r="J51" s="125">
        <v>114200</v>
      </c>
      <c r="K51" t="str">
        <f>_xlfn.XLOOKUP(TechCleanup[[#This Row],[ProdCode]],Products[ProdCode],Products[Product],,0,)</f>
        <v>Natural gas liquids (NGL)</v>
      </c>
      <c r="O51" t="str">
        <v>Biogasoline</v>
      </c>
    </row>
    <row r="52" spans="9:15" ht="15.75" x14ac:dyDescent="0.5">
      <c r="I52" s="124" t="s">
        <v>376</v>
      </c>
      <c r="J52" s="125">
        <v>114300</v>
      </c>
      <c r="K52" t="str">
        <f>_xlfn.XLOOKUP(TechCleanup[[#This Row],[ProdCode]],Products[ProdCode],Products[Product],,0,)</f>
        <v>Refinery feedstocks</v>
      </c>
      <c r="O52" t="str">
        <v>Biodiesels</v>
      </c>
    </row>
    <row r="53" spans="9:15" ht="15.75" x14ac:dyDescent="0.5">
      <c r="I53" s="124" t="s">
        <v>384</v>
      </c>
      <c r="J53" s="125">
        <v>114400</v>
      </c>
      <c r="K53" t="str">
        <f>_xlfn.XLOOKUP(TechCleanup[[#This Row],[ProdCode]],Products[ProdCode],Products[Product],,0,)</f>
        <v>Additives and oxygenates</v>
      </c>
      <c r="O53" t="str">
        <v>Other Liquid Biofuels</v>
      </c>
    </row>
    <row r="54" spans="9:15" ht="15.75" x14ac:dyDescent="0.5">
      <c r="I54" s="124" t="s">
        <v>391</v>
      </c>
      <c r="J54" s="125">
        <v>114600</v>
      </c>
      <c r="K54" t="str">
        <f>_xlfn.XLOOKUP(TechCleanup[[#This Row],[ProdCode]],Products[ProdCode],Products[Product],,0,)</f>
        <v>Other hydrocarbons</v>
      </c>
      <c r="O54" t="str">
        <v>Landfill Gas</v>
      </c>
    </row>
    <row r="55" spans="9:15" ht="15.75" x14ac:dyDescent="0.5">
      <c r="I55" s="124" t="s">
        <v>407</v>
      </c>
      <c r="J55" s="96">
        <v>114510</v>
      </c>
      <c r="K55" t="str">
        <f>_xlfn.XLOOKUP(TechCleanup[[#This Row],[ProdCode]],Products[ProdCode],Products[Product],,0,)</f>
        <v>Refinery gas</v>
      </c>
      <c r="O55" t="str">
        <v>Sludge Gas</v>
      </c>
    </row>
    <row r="56" spans="9:15" ht="15.75" x14ac:dyDescent="0.5">
      <c r="I56" s="124" t="s">
        <v>414</v>
      </c>
      <c r="J56" s="96">
        <v>114520</v>
      </c>
      <c r="K56" t="str">
        <f>_xlfn.XLOOKUP(TechCleanup[[#This Row],[ProdCode]],Products[ProdCode],Products[Product],,0,)</f>
        <v>Ethane</v>
      </c>
      <c r="O56" t="str">
        <v>Other Biogas</v>
      </c>
    </row>
    <row r="57" spans="9:15" ht="15.75" x14ac:dyDescent="0.5">
      <c r="I57" s="124" t="s">
        <v>419</v>
      </c>
      <c r="J57" s="96">
        <v>114530</v>
      </c>
      <c r="K57" t="str">
        <f>_xlfn.XLOOKUP(TechCleanup[[#This Row],[ProdCode]],Products[ProdCode],Products[Product],,0,)</f>
        <v>Liquefied Petroleum Gases (LPG)</v>
      </c>
      <c r="O57" t="str">
        <v>Municipal Wastes (biomass fraction)</v>
      </c>
    </row>
    <row r="58" spans="9:15" ht="15.75" x14ac:dyDescent="0.5">
      <c r="I58" s="124" t="s">
        <v>426</v>
      </c>
      <c r="J58" s="125">
        <v>114540</v>
      </c>
      <c r="K58" t="str">
        <f>_xlfn.XLOOKUP(TechCleanup[[#This Row],[ProdCode]],Products[ProdCode],Products[Product],,0,)</f>
        <v>Naphtha</v>
      </c>
      <c r="O58" t="str">
        <v>Industrial Wastes</v>
      </c>
    </row>
    <row r="59" spans="9:15" ht="15.75" x14ac:dyDescent="0.5">
      <c r="I59" s="124" t="s">
        <v>442</v>
      </c>
      <c r="J59" s="125">
        <v>114551</v>
      </c>
      <c r="K59" t="str">
        <f>_xlfn.XLOOKUP(TechCleanup[[#This Row],[ProdCode]],Products[ProdCode],Products[Product],,0,)</f>
        <v>Aviation gasoline</v>
      </c>
    </row>
    <row r="60" spans="9:15" ht="15.75" x14ac:dyDescent="0.5">
      <c r="I60" s="124" t="s">
        <v>450</v>
      </c>
      <c r="J60" s="96">
        <v>114552</v>
      </c>
      <c r="K60" t="str">
        <f>_xlfn.XLOOKUP(TechCleanup[[#This Row],[ProdCode]],Products[ProdCode],Products[Product],,0,)</f>
        <v>Motor gasoline</v>
      </c>
    </row>
    <row r="61" spans="9:15" ht="15.75" x14ac:dyDescent="0.5">
      <c r="I61" s="5" t="s">
        <v>459</v>
      </c>
      <c r="J61" s="95">
        <v>114553</v>
      </c>
      <c r="K61" t="str">
        <f>_xlfn.XLOOKUP(TechCleanup[[#This Row],[ProdCode]],Products[ProdCode],Products[Product],,0,)</f>
        <v>Gasoline-type jet fuel</v>
      </c>
    </row>
    <row r="62" spans="9:15" ht="15.75" x14ac:dyDescent="0.5">
      <c r="I62" s="5" t="s">
        <v>475</v>
      </c>
      <c r="J62" s="95">
        <v>114561</v>
      </c>
      <c r="K62" t="str">
        <f>_xlfn.XLOOKUP(TechCleanup[[#This Row],[ProdCode]],Products[ProdCode],Products[Product],,0,)</f>
        <v>Kerosene-type jet fuel</v>
      </c>
    </row>
    <row r="63" spans="9:15" ht="15.75" x14ac:dyDescent="0.5">
      <c r="I63" s="5" t="s">
        <v>483</v>
      </c>
      <c r="J63" s="95">
        <v>114569</v>
      </c>
      <c r="K63" t="str">
        <f>_xlfn.XLOOKUP(TechCleanup[[#This Row],[ProdCode]],Products[ProdCode],Products[Product],,0,)</f>
        <v>Other kerosene</v>
      </c>
    </row>
    <row r="64" spans="9:15" ht="15.75" x14ac:dyDescent="0.5">
      <c r="I64" s="5" t="s">
        <v>491</v>
      </c>
      <c r="J64" s="125">
        <v>114571</v>
      </c>
      <c r="K64" t="str">
        <f>_xlfn.XLOOKUP(TechCleanup[[#This Row],[ProdCode]],Products[ProdCode],Products[Product],,0,)</f>
        <v>Gas oil/diesel oil</v>
      </c>
    </row>
    <row r="65" spans="9:11" ht="15.75" x14ac:dyDescent="0.5">
      <c r="I65" s="5" t="s">
        <v>513</v>
      </c>
      <c r="J65" s="125">
        <v>114580</v>
      </c>
      <c r="K65" t="str">
        <f>_xlfn.XLOOKUP(TechCleanup[[#This Row],[ProdCode]],Products[ProdCode],Products[Product],,0,)</f>
        <v>Fuel oil</v>
      </c>
    </row>
    <row r="66" spans="9:11" ht="15.75" x14ac:dyDescent="0.5">
      <c r="I66" s="124" t="s">
        <v>529</v>
      </c>
      <c r="J66" s="96">
        <v>114591</v>
      </c>
      <c r="K66" t="str">
        <f>_xlfn.XLOOKUP(TechCleanup[[#This Row],[ProdCode]],Products[ProdCode],Products[Product],,0,)</f>
        <v>White spirit</v>
      </c>
    </row>
    <row r="67" spans="9:11" ht="15.75" x14ac:dyDescent="0.5">
      <c r="I67" s="124" t="s">
        <v>537</v>
      </c>
      <c r="J67" s="96">
        <v>114592</v>
      </c>
      <c r="K67" t="str">
        <f>_xlfn.XLOOKUP(TechCleanup[[#This Row],[ProdCode]],Products[ProdCode],Products[Product],,0,)</f>
        <v>Lubricants</v>
      </c>
    </row>
    <row r="68" spans="9:11" ht="15.75" x14ac:dyDescent="0.5">
      <c r="I68" s="124" t="s">
        <v>545</v>
      </c>
      <c r="J68" s="125">
        <v>114593</v>
      </c>
      <c r="K68" t="str">
        <f>_xlfn.XLOOKUP(TechCleanup[[#This Row],[ProdCode]],Products[ProdCode],Products[Product],,0,)</f>
        <v>Paraffin waxes</v>
      </c>
    </row>
    <row r="69" spans="9:11" ht="15.75" x14ac:dyDescent="0.5">
      <c r="I69" s="124" t="s">
        <v>553</v>
      </c>
      <c r="J69" s="125">
        <v>114594</v>
      </c>
      <c r="K69" t="str">
        <f>_xlfn.XLOOKUP(TechCleanup[[#This Row],[ProdCode]],Products[ProdCode],Products[Product],,0,)</f>
        <v>Petroleum coke</v>
      </c>
    </row>
    <row r="70" spans="9:11" ht="15.75" x14ac:dyDescent="0.5">
      <c r="I70" s="11" t="s">
        <v>561</v>
      </c>
      <c r="J70" s="96">
        <v>114595</v>
      </c>
      <c r="K70" t="str">
        <f>_xlfn.XLOOKUP(TechCleanup[[#This Row],[ProdCode]],Products[ProdCode],Products[Product],,0,)</f>
        <v>Bitumen</v>
      </c>
    </row>
    <row r="71" spans="9:11" ht="15.75" x14ac:dyDescent="0.5">
      <c r="I71" s="124" t="s">
        <v>569</v>
      </c>
      <c r="J71" s="96">
        <v>114599</v>
      </c>
      <c r="K71" t="str">
        <f>_xlfn.XLOOKUP(TechCleanup[[#This Row],[ProdCode]],Products[ProdCode],Products[Product],,0,)</f>
        <v>Other oil products n.e.s.</v>
      </c>
    </row>
    <row r="72" spans="9:11" ht="15.75" x14ac:dyDescent="0.5">
      <c r="I72" s="124" t="s">
        <v>588</v>
      </c>
      <c r="J72" s="96">
        <v>261110</v>
      </c>
      <c r="K72" t="str">
        <f>_xlfn.XLOOKUP(TechCleanup[[#This Row],[ProdCode]],Products[ProdCode],Products[Product],,0,)</f>
        <v>Wood fuel</v>
      </c>
    </row>
    <row r="73" spans="9:11" ht="15.75" x14ac:dyDescent="0.5">
      <c r="I73" s="124" t="s">
        <v>609</v>
      </c>
      <c r="J73" s="96">
        <v>261310</v>
      </c>
      <c r="K73" t="str">
        <f>_xlfn.XLOOKUP(TechCleanup[[#This Row],[ProdCode]],Products[ProdCode],Products[Product],,0,)</f>
        <v>Bagasse</v>
      </c>
    </row>
    <row r="74" spans="9:11" ht="15.75" x14ac:dyDescent="0.5">
      <c r="I74" s="124" t="s">
        <v>615</v>
      </c>
      <c r="J74" s="96">
        <v>261420</v>
      </c>
      <c r="K74" t="str">
        <f>_xlfn.XLOOKUP(TechCleanup[[#This Row],[ProdCode]],Products[ProdCode],Products[Product],,0,)</f>
        <v>Animal processing residues</v>
      </c>
    </row>
    <row r="75" spans="9:11" ht="15.75" x14ac:dyDescent="0.5">
      <c r="I75" s="11" t="s">
        <v>619</v>
      </c>
      <c r="J75" s="96">
        <v>261320</v>
      </c>
      <c r="K75" t="str">
        <f>_xlfn.XLOOKUP(TechCleanup[[#This Row],[ProdCode]],Products[ProdCode],Products[Product],,0,)</f>
        <v>Black liquor</v>
      </c>
    </row>
    <row r="76" spans="9:11" ht="15.75" x14ac:dyDescent="0.5">
      <c r="I76" s="124" t="s">
        <v>626</v>
      </c>
      <c r="J76" s="96">
        <v>261390</v>
      </c>
      <c r="K76" t="str">
        <f>_xlfn.XLOOKUP(TechCleanup[[#This Row],[ProdCode]],Products[ProdCode],Products[Product],,0,)</f>
        <v>Other biomass processing residues</v>
      </c>
    </row>
    <row r="77" spans="9:11" ht="15.75" x14ac:dyDescent="0.5">
      <c r="I77" s="11" t="s">
        <v>631</v>
      </c>
      <c r="J77" s="125">
        <v>261600</v>
      </c>
      <c r="K77" t="str">
        <f>_xlfn.XLOOKUP(TechCleanup[[#This Row],[ProdCode]],Products[ProdCode],Products[Product],,0,)</f>
        <v>Charcoal</v>
      </c>
    </row>
    <row r="78" spans="9:11" ht="15.75" x14ac:dyDescent="0.5">
      <c r="I78" s="11" t="s">
        <v>643</v>
      </c>
      <c r="J78" s="96">
        <v>262100</v>
      </c>
      <c r="K78" t="str">
        <f>_xlfn.XLOOKUP(TechCleanup[[#This Row],[ProdCode]],Products[ProdCode],Products[Product],,0,)</f>
        <v>Biogasolines</v>
      </c>
    </row>
    <row r="79" spans="9:11" ht="15.75" x14ac:dyDescent="0.5">
      <c r="I79" s="124" t="s">
        <v>1442</v>
      </c>
      <c r="J79" s="125">
        <v>262120</v>
      </c>
      <c r="K79" t="str">
        <f>_xlfn.XLOOKUP(TechCleanup[[#This Row],[ProdCode]],Products[ProdCode],Products[Product],,0,)</f>
        <v>Bioethanol</v>
      </c>
    </row>
    <row r="80" spans="9:11" ht="15.75" x14ac:dyDescent="0.5">
      <c r="I80" s="11" t="s">
        <v>649</v>
      </c>
      <c r="J80" s="96">
        <v>262200</v>
      </c>
      <c r="K80" t="str">
        <f>_xlfn.XLOOKUP(TechCleanup[[#This Row],[ProdCode]],Products[ProdCode],Products[Product],,0,)</f>
        <v>Biodiesels</v>
      </c>
    </row>
    <row r="81" spans="9:11" ht="15.75" x14ac:dyDescent="0.5">
      <c r="I81" s="124" t="s">
        <v>1443</v>
      </c>
      <c r="J81" s="96">
        <v>262210</v>
      </c>
      <c r="K81" t="str">
        <f>_xlfn.XLOOKUP(TechCleanup[[#This Row],[ProdCode]],Products[ProdCode],Products[Product],,0,)</f>
        <v>Transesterified biodiesel</v>
      </c>
    </row>
    <row r="82" spans="9:11" ht="15.75" x14ac:dyDescent="0.5">
      <c r="I82" s="11" t="s">
        <v>656</v>
      </c>
      <c r="J82" s="95">
        <v>262300</v>
      </c>
      <c r="K82" t="str">
        <f>_xlfn.XLOOKUP(TechCleanup[[#This Row],[ProdCode]],Products[ProdCode],Products[Product],,0,)</f>
        <v>Bio-jet kerosenes</v>
      </c>
    </row>
    <row r="83" spans="9:11" ht="15.75" x14ac:dyDescent="0.5">
      <c r="I83" s="11" t="s">
        <v>1444</v>
      </c>
      <c r="J83" s="96">
        <v>262310</v>
      </c>
      <c r="K83" t="str">
        <f>_xlfn.XLOOKUP(TechCleanup[[#This Row],[ProdCode]],Products[ProdCode],Products[Product],,0,)</f>
        <v>Conventional bio-jet kerosenes</v>
      </c>
    </row>
    <row r="84" spans="9:11" ht="15.75" x14ac:dyDescent="0.5">
      <c r="I84" s="124" t="s">
        <v>662</v>
      </c>
      <c r="J84" s="96">
        <v>262990</v>
      </c>
      <c r="K84" t="str">
        <f>_xlfn.XLOOKUP(TechCleanup[[#This Row],[ProdCode]],Products[ProdCode],Products[Product],,0,)</f>
        <v>Other liquid biofuels n.e.s.</v>
      </c>
    </row>
    <row r="85" spans="9:11" ht="15.75" x14ac:dyDescent="0.5">
      <c r="I85" s="11" t="s">
        <v>667</v>
      </c>
      <c r="J85">
        <v>263100</v>
      </c>
      <c r="K85" t="str">
        <f>_xlfn.XLOOKUP(TechCleanup[[#This Row],[ProdCode]],Products[ProdCode],Products[Product],,0,)</f>
        <v>Biogas from anaerobic digestion</v>
      </c>
    </row>
    <row r="86" spans="9:11" ht="15.75" x14ac:dyDescent="0.5">
      <c r="I86" s="124" t="s">
        <v>699</v>
      </c>
      <c r="J86" s="125">
        <v>410000</v>
      </c>
      <c r="K86" t="str">
        <f>_xlfn.XLOOKUP(TechCleanup[[#This Row],[ProdCode]],Products[ProdCode],Products[Product],,0,)</f>
        <v>Industrial solid waste</v>
      </c>
    </row>
    <row r="87" spans="9:11" ht="15.75" x14ac:dyDescent="0.5">
      <c r="I87" s="124" t="s">
        <v>704</v>
      </c>
      <c r="J87" s="96">
        <v>420000</v>
      </c>
      <c r="K87" t="str">
        <f>_xlfn.XLOOKUP(TechCleanup[[#This Row],[ProdCode]],Products[ProdCode],Products[Product],,0,)</f>
        <v>Municipal solid waste</v>
      </c>
    </row>
    <row r="88" spans="9:11" ht="15.75" x14ac:dyDescent="0.5">
      <c r="I88" s="124" t="s">
        <v>708</v>
      </c>
      <c r="J88" s="96">
        <v>700000</v>
      </c>
      <c r="K88" t="str">
        <f>_xlfn.XLOOKUP(TechCleanup[[#This Row],[ProdCode]],Products[ProdCode],Products[Product],,0,)</f>
        <v>Electricity</v>
      </c>
    </row>
    <row r="89" spans="9:11" ht="15.75" x14ac:dyDescent="0.5">
      <c r="I89" s="124" t="s">
        <v>1445</v>
      </c>
      <c r="J89" s="96">
        <v>251000</v>
      </c>
      <c r="K89" t="str">
        <f>_xlfn.XLOOKUP(TechCleanup[[#This Row],[ProdCode]],Products[ProdCode],Products[Product],,0,)</f>
        <v>Geothermal heat and power</v>
      </c>
    </row>
    <row r="90" spans="9:11" ht="15.75" x14ac:dyDescent="0.5">
      <c r="I90" s="124" t="s">
        <v>1446</v>
      </c>
      <c r="J90" s="96">
        <v>210000</v>
      </c>
      <c r="K90" t="str">
        <f>_xlfn.XLOOKUP(TechCleanup[[#This Row],[ProdCode]],Products[ProdCode],Products[Product],,0,)</f>
        <v>Renewable hydropower</v>
      </c>
    </row>
    <row r="91" spans="9:11" ht="15.75" x14ac:dyDescent="0.5">
      <c r="I91" s="124" t="s">
        <v>1447</v>
      </c>
      <c r="J91" s="96">
        <v>121100</v>
      </c>
      <c r="K91" t="str">
        <f>_xlfn.XLOOKUP(TechCleanup[[#This Row],[ProdCode]],Products[ProdCode],Products[Product],,0,)</f>
        <v>Uranium</v>
      </c>
    </row>
    <row r="92" spans="9:11" ht="15.75" x14ac:dyDescent="0.5">
      <c r="I92" s="124" t="s">
        <v>1448</v>
      </c>
      <c r="J92" s="96">
        <v>220000</v>
      </c>
      <c r="K92" t="str">
        <f>_xlfn.XLOOKUP(TechCleanup[[#This Row],[ProdCode]],Products[ProdCode],Products[Product],,0,)</f>
        <v>Marine energy</v>
      </c>
    </row>
    <row r="93" spans="9:11" ht="15.75" x14ac:dyDescent="0.5">
      <c r="I93" s="124" t="s">
        <v>1449</v>
      </c>
      <c r="J93" s="96">
        <v>240000</v>
      </c>
      <c r="K93" t="str">
        <f>_xlfn.XLOOKUP(TechCleanup[[#This Row],[ProdCode]],Products[ProdCode],Products[Product],,0,)</f>
        <v>Solar energy</v>
      </c>
    </row>
    <row r="94" spans="9:11" ht="15.75" x14ac:dyDescent="0.5">
      <c r="I94" s="124" t="s">
        <v>1450</v>
      </c>
      <c r="J94" s="96">
        <v>700000</v>
      </c>
      <c r="K94" t="str">
        <f>_xlfn.XLOOKUP(TechCleanup[[#This Row],[ProdCode]],Products[ProdCode],Products[Product],,0,)</f>
        <v>Electricity</v>
      </c>
    </row>
    <row r="95" spans="9:11" ht="15.75" x14ac:dyDescent="0.5">
      <c r="I95" s="124" t="s">
        <v>1451</v>
      </c>
      <c r="J95" s="96">
        <v>230000</v>
      </c>
      <c r="K95" t="str">
        <f>_xlfn.XLOOKUP(TechCleanup[[#This Row],[ProdCode]],Products[ProdCode],Products[Product],,0,)</f>
        <v>Wind energy</v>
      </c>
    </row>
    <row r="96" spans="9:11" ht="15.75" x14ac:dyDescent="0.5">
      <c r="I96" s="124" t="s">
        <v>713</v>
      </c>
      <c r="J96" s="96">
        <v>800000</v>
      </c>
      <c r="K96" t="str">
        <f>_xlfn.XLOOKUP(TechCleanup[[#This Row],[ProdCode]],Products[ProdCode],Products[Product],,0,)</f>
        <v>Heat</v>
      </c>
    </row>
    <row r="97" spans="9:11" ht="15.75" x14ac:dyDescent="0.5">
      <c r="I97" s="124" t="s">
        <v>1452</v>
      </c>
      <c r="J97" s="96">
        <v>800000</v>
      </c>
      <c r="K97" t="str">
        <f>_xlfn.XLOOKUP(TechCleanup[[#This Row],[ProdCode]],Products[ProdCode],Products[Product],,0,)</f>
        <v>Heat</v>
      </c>
    </row>
    <row r="98" spans="9:11" ht="15.75" x14ac:dyDescent="0.5">
      <c r="I98" s="124" t="s">
        <v>727</v>
      </c>
      <c r="J98" s="96">
        <v>121100</v>
      </c>
      <c r="K98" t="str">
        <f>_xlfn.XLOOKUP(TechCleanup[[#This Row],[ProdCode]],Products[ProdCode],Products[Product],,0,)</f>
        <v>Uranium</v>
      </c>
    </row>
    <row r="99" spans="9:11" ht="15.75" x14ac:dyDescent="0.5">
      <c r="I99" s="124" t="s">
        <v>1121</v>
      </c>
      <c r="J99" s="96">
        <v>114400</v>
      </c>
      <c r="K99" t="str">
        <f>_xlfn.XLOOKUP(TechCleanup[[#This Row],[ProdCode]],Products[ProdCode],Products[Product],,0,)</f>
        <v>Additives and oxygenates</v>
      </c>
    </row>
    <row r="100" spans="9:11" ht="15.75" x14ac:dyDescent="0.5">
      <c r="I100" s="124" t="s">
        <v>385</v>
      </c>
      <c r="J100" s="96">
        <v>114400</v>
      </c>
      <c r="K100" t="str">
        <f>_xlfn.XLOOKUP(TechCleanup[[#This Row],[ProdCode]],Products[ProdCode],Products[Product],,0,)</f>
        <v>Additives and oxygenates</v>
      </c>
    </row>
    <row r="101" spans="9:11" ht="15.75" x14ac:dyDescent="0.5">
      <c r="I101" s="124" t="s">
        <v>1458</v>
      </c>
      <c r="J101" s="96">
        <v>114400</v>
      </c>
      <c r="K101" t="str">
        <f>_xlfn.XLOOKUP(TechCleanup[[#This Row],[ProdCode]],Products[ProdCode],Products[Product],,0,)</f>
        <v>Additives and oxygenates</v>
      </c>
    </row>
    <row r="102" spans="9:11" ht="15.75" x14ac:dyDescent="0.5">
      <c r="I102" s="5" t="s">
        <v>1205</v>
      </c>
      <c r="J102" s="95">
        <v>361320</v>
      </c>
      <c r="K102" t="str">
        <f>_xlfn.XLOOKUP(TechCleanup[[#This Row],[ProdCode]],Products[ProdCode],Products[Product],,0,)</f>
        <v>Adsorbent hydrogen storage</v>
      </c>
    </row>
    <row r="103" spans="9:11" x14ac:dyDescent="0.45">
      <c r="I103" s="127" t="s">
        <v>612</v>
      </c>
      <c r="J103" s="125">
        <v>262220</v>
      </c>
      <c r="K103" t="str">
        <f>_xlfn.XLOOKUP(TechCleanup[[#This Row],[ProdCode]],Products[ProdCode],Products[Product],,0,)</f>
        <v>Thermal process biodiesel</v>
      </c>
    </row>
    <row r="104" spans="9:11" x14ac:dyDescent="0.45">
      <c r="I104" s="127" t="s">
        <v>592</v>
      </c>
      <c r="J104" s="96">
        <v>262190</v>
      </c>
      <c r="K104" t="str">
        <f>_xlfn.XLOOKUP(TechCleanup[[#This Row],[ProdCode]],Products[ProdCode],Products[Product],,0,)</f>
        <v>Other biogasolines</v>
      </c>
    </row>
    <row r="105" spans="9:11" ht="15.75" x14ac:dyDescent="0.5">
      <c r="I105" s="124" t="s">
        <v>998</v>
      </c>
      <c r="J105" s="96">
        <v>291000</v>
      </c>
      <c r="K105" t="str">
        <f>_xlfn.XLOOKUP(TechCleanup[[#This Row],[ProdCode]],Products[ProdCode],Products[Product],,0,)</f>
        <v>Air source heat pump</v>
      </c>
    </row>
    <row r="106" spans="9:11" x14ac:dyDescent="0.45">
      <c r="I106" s="126" t="s">
        <v>716</v>
      </c>
      <c r="J106" s="125">
        <v>291000</v>
      </c>
      <c r="K106" t="str">
        <f>_xlfn.XLOOKUP(TechCleanup[[#This Row],[ProdCode]],Products[ProdCode],Products[Product],,0,)</f>
        <v>Air source heat pump</v>
      </c>
    </row>
    <row r="107" spans="9:11" ht="15.75" x14ac:dyDescent="0.5">
      <c r="I107" s="124" t="s">
        <v>1478</v>
      </c>
      <c r="J107" s="96">
        <v>262110</v>
      </c>
      <c r="K107" t="str">
        <f>_xlfn.XLOOKUP(TechCleanup[[#This Row],[ProdCode]],Products[ProdCode],Products[Product],,0,)</f>
        <v>Biomethanol</v>
      </c>
    </row>
    <row r="108" spans="9:11" ht="15.75" x14ac:dyDescent="0.5">
      <c r="I108" s="11" t="s">
        <v>1479</v>
      </c>
      <c r="J108" s="96">
        <v>262110</v>
      </c>
      <c r="K108" t="str">
        <f>_xlfn.XLOOKUP(TechCleanup[[#This Row],[ProdCode]],Products[ProdCode],Products[Product],,0,)</f>
        <v>Biomethanol</v>
      </c>
    </row>
    <row r="109" spans="9:11" ht="15.75" x14ac:dyDescent="0.5">
      <c r="I109" s="11" t="s">
        <v>1480</v>
      </c>
      <c r="J109" s="96">
        <v>262110</v>
      </c>
      <c r="K109" t="str">
        <f>_xlfn.XLOOKUP(TechCleanup[[#This Row],[ProdCode]],Products[ProdCode],Products[Product],,0,)</f>
        <v>Biomethanol</v>
      </c>
    </row>
    <row r="110" spans="9:11" ht="15.75" x14ac:dyDescent="0.5">
      <c r="I110" s="11" t="s">
        <v>1482</v>
      </c>
      <c r="J110" s="96">
        <v>262110</v>
      </c>
      <c r="K110" t="str">
        <f>_xlfn.XLOOKUP(TechCleanup[[#This Row],[ProdCode]],Products[ProdCode],Products[Product],,0,)</f>
        <v>Biomethanol</v>
      </c>
    </row>
    <row r="111" spans="9:11" ht="15.75" x14ac:dyDescent="0.5">
      <c r="I111" s="124" t="s">
        <v>1019</v>
      </c>
      <c r="J111" s="96">
        <v>200000</v>
      </c>
      <c r="K111" t="str">
        <f>_xlfn.XLOOKUP(TechCleanup[[#This Row],[ProdCode]],Products[ProdCode],Products[Product],,0,)</f>
        <v>Renewable Energy</v>
      </c>
    </row>
    <row r="112" spans="9:11" ht="15.75" x14ac:dyDescent="0.5">
      <c r="I112" s="124" t="s">
        <v>1086</v>
      </c>
      <c r="J112" s="96">
        <v>362000</v>
      </c>
      <c r="K112" t="str">
        <f>_xlfn.XLOOKUP(TechCleanup[[#This Row],[ProdCode]],Products[ProdCode],Products[Product],,0,)</f>
        <v>Ammonia storage</v>
      </c>
    </row>
    <row r="113" spans="9:11" ht="15.75" x14ac:dyDescent="0.5">
      <c r="I113" s="124" t="s">
        <v>975</v>
      </c>
      <c r="J113" s="96">
        <v>261420</v>
      </c>
      <c r="K113" t="str">
        <f>_xlfn.XLOOKUP(TechCleanup[[#This Row],[ProdCode]],Products[ProdCode],Products[Product],,0,)</f>
        <v>Animal processing residues</v>
      </c>
    </row>
    <row r="114" spans="9:11" ht="15.75" x14ac:dyDescent="0.5">
      <c r="I114" s="124" t="s">
        <v>1201</v>
      </c>
      <c r="J114" s="96">
        <v>263130</v>
      </c>
      <c r="K114" t="str">
        <f>_xlfn.XLOOKUP(TechCleanup[[#This Row],[ProdCode]],Products[ProdCode],Products[Product],,0,)</f>
        <v>Animal residue biogas</v>
      </c>
    </row>
    <row r="115" spans="9:11" ht="15.75" x14ac:dyDescent="0.5">
      <c r="I115" s="124" t="s">
        <v>973</v>
      </c>
      <c r="J115" s="96">
        <v>261400</v>
      </c>
      <c r="K115" t="str">
        <f>_xlfn.XLOOKUP(TechCleanup[[#This Row],[ProdCode]],Products[ProdCode],Products[Product],,0,)</f>
        <v>Animal residues</v>
      </c>
    </row>
    <row r="116" spans="9:11" ht="15.75" x14ac:dyDescent="0.5">
      <c r="I116" s="124" t="s">
        <v>542</v>
      </c>
      <c r="J116" s="125">
        <v>261490</v>
      </c>
      <c r="K116" t="str">
        <f>_xlfn.XLOOKUP(TechCleanup[[#This Row],[ProdCode]],Products[ProdCode],Products[Product],,0,)</f>
        <v>Other animal residues</v>
      </c>
    </row>
    <row r="117" spans="9:11" ht="15.75" x14ac:dyDescent="0.5">
      <c r="I117" s="124" t="s">
        <v>1033</v>
      </c>
      <c r="J117" s="125">
        <v>111110</v>
      </c>
      <c r="K117" t="str">
        <f>_xlfn.XLOOKUP(TechCleanup[[#This Row],[ProdCode]],Products[ProdCode],Products[Product],,0,)</f>
        <v>Anthracite</v>
      </c>
    </row>
    <row r="118" spans="9:11" ht="15.75" x14ac:dyDescent="0.5">
      <c r="I118" s="124" t="s">
        <v>99</v>
      </c>
      <c r="J118" s="125">
        <v>111110</v>
      </c>
      <c r="K118" t="str">
        <f>_xlfn.XLOOKUP(TechCleanup[[#This Row],[ProdCode]],Products[ProdCode],Products[Product],,0,)</f>
        <v>Anthracite</v>
      </c>
    </row>
    <row r="119" spans="9:11" ht="15.75" x14ac:dyDescent="0.5">
      <c r="I119" s="124" t="s">
        <v>1278</v>
      </c>
      <c r="J119" s="96">
        <v>111320</v>
      </c>
      <c r="K119" t="str">
        <f>_xlfn.XLOOKUP(TechCleanup[[#This Row],[ProdCode]],Products[ProdCode],Products[Product],,0,)</f>
        <v>Patent fuel</v>
      </c>
    </row>
    <row r="120" spans="9:11" ht="15.75" x14ac:dyDescent="0.5">
      <c r="I120" s="124" t="s">
        <v>1119</v>
      </c>
      <c r="J120" s="96">
        <v>114551</v>
      </c>
      <c r="K120" t="str">
        <f>_xlfn.XLOOKUP(TechCleanup[[#This Row],[ProdCode]],Products[ProdCode],Products[Product],,0,)</f>
        <v>Aviation gasoline</v>
      </c>
    </row>
    <row r="121" spans="9:11" ht="15.75" x14ac:dyDescent="0.5">
      <c r="I121" s="124" t="s">
        <v>1483</v>
      </c>
      <c r="J121" s="96">
        <v>114551</v>
      </c>
      <c r="K121" t="str">
        <f>_xlfn.XLOOKUP(TechCleanup[[#This Row],[ProdCode]],Products[ProdCode],Products[Product],,0,)</f>
        <v>Aviation gasoline</v>
      </c>
    </row>
    <row r="122" spans="9:11" ht="15.75" x14ac:dyDescent="0.5">
      <c r="I122" s="124" t="s">
        <v>443</v>
      </c>
      <c r="J122" s="96">
        <v>114551</v>
      </c>
      <c r="K122" t="str">
        <f>_xlfn.XLOOKUP(TechCleanup[[#This Row],[ProdCode]],Products[ProdCode],Products[Product],,0,)</f>
        <v>Aviation gasoline</v>
      </c>
    </row>
    <row r="123" spans="9:11" ht="15.75" x14ac:dyDescent="0.5">
      <c r="I123" s="124" t="s">
        <v>1846</v>
      </c>
      <c r="J123" s="96">
        <v>114551</v>
      </c>
      <c r="K123" t="str">
        <f>_xlfn.XLOOKUP(TechCleanup[[#This Row],[ProdCode]],Products[ProdCode],Products[Product],,0,)</f>
        <v>Aviation gasoline</v>
      </c>
    </row>
    <row r="124" spans="9:11" ht="15.75" x14ac:dyDescent="0.5">
      <c r="I124" s="124" t="s">
        <v>511</v>
      </c>
      <c r="J124" s="96">
        <v>261310</v>
      </c>
      <c r="K124" t="str">
        <f>_xlfn.XLOOKUP(TechCleanup[[#This Row],[ProdCode]],Products[ProdCode],Products[Product],,0,)</f>
        <v>Bagasse</v>
      </c>
    </row>
    <row r="125" spans="9:11" ht="15.75" x14ac:dyDescent="0.5">
      <c r="I125" s="11" t="s">
        <v>270</v>
      </c>
      <c r="J125" s="125">
        <v>111372</v>
      </c>
      <c r="K125" t="str">
        <f>_xlfn.XLOOKUP(TechCleanup[[#This Row],[ProdCode]],Products[ProdCode],Products[Product],,0,)</f>
        <v>Basic oxygen steel furnace gas</v>
      </c>
    </row>
    <row r="126" spans="9:11" ht="15.75" x14ac:dyDescent="0.5">
      <c r="I126" s="124" t="s">
        <v>1323</v>
      </c>
      <c r="J126" s="125">
        <v>261310</v>
      </c>
      <c r="K126" t="str">
        <f>_xlfn.XLOOKUP(TechCleanup[[#This Row],[ProdCode]],Products[ProdCode],Products[Product],,0,)</f>
        <v>Bagasse</v>
      </c>
    </row>
    <row r="127" spans="9:11" ht="15.75" x14ac:dyDescent="0.5">
      <c r="I127" s="124" t="s">
        <v>1831</v>
      </c>
      <c r="J127" s="125"/>
      <c r="K127" t="e">
        <f>_xlfn.XLOOKUP(TechCleanup[[#This Row],[ProdCode]],Products[ProdCode],Products[Product],,0,)</f>
        <v>#N/A</v>
      </c>
    </row>
    <row r="128" spans="9:11" ht="15.75" x14ac:dyDescent="0.5">
      <c r="I128" s="124" t="s">
        <v>694</v>
      </c>
      <c r="J128" s="96">
        <v>251000</v>
      </c>
      <c r="K128" t="str">
        <f>_xlfn.XLOOKUP(TechCleanup[[#This Row],[ProdCode]],Products[ProdCode],Products[Product],,0,)</f>
        <v>Geothermal heat and power</v>
      </c>
    </row>
    <row r="129" spans="9:14" ht="15.75" x14ac:dyDescent="0.5">
      <c r="I129" s="11" t="s">
        <v>616</v>
      </c>
      <c r="J129" s="96">
        <v>262300</v>
      </c>
      <c r="K129" t="str">
        <f>_xlfn.XLOOKUP(TechCleanup[[#This Row],[ProdCode]],Products[ProdCode],Products[Product],,0,)</f>
        <v>Bio-jet kerosenes</v>
      </c>
    </row>
    <row r="130" spans="9:14" ht="15.75" x14ac:dyDescent="0.5">
      <c r="I130" s="11" t="s">
        <v>1497</v>
      </c>
      <c r="J130" s="96">
        <v>262110</v>
      </c>
      <c r="K130" t="str">
        <f>_xlfn.XLOOKUP(TechCleanup[[#This Row],[ProdCode]],Products[ProdCode],Products[Product],,0,)</f>
        <v>Biomethanol</v>
      </c>
    </row>
    <row r="131" spans="9:14" ht="15.75" x14ac:dyDescent="0.5">
      <c r="I131" s="124" t="s">
        <v>981</v>
      </c>
      <c r="J131" s="96">
        <v>262130</v>
      </c>
      <c r="K131" t="str">
        <f>_xlfn.XLOOKUP(TechCleanup[[#This Row],[ProdCode]],Products[ProdCode],Products[Product],,0,)</f>
        <v>Biobutanol</v>
      </c>
    </row>
    <row r="132" spans="9:14" ht="15.75" x14ac:dyDescent="0.5">
      <c r="I132" s="124" t="s">
        <v>1034</v>
      </c>
      <c r="J132" s="96">
        <v>262210</v>
      </c>
      <c r="K132" t="str">
        <f>_xlfn.XLOOKUP(TechCleanup[[#This Row],[ProdCode]],Products[ProdCode],Products[Product],,0,)</f>
        <v>Transesterified biodiesel</v>
      </c>
    </row>
    <row r="133" spans="9:14" ht="15.75" x14ac:dyDescent="0.5">
      <c r="I133" s="124" t="s">
        <v>598</v>
      </c>
      <c r="J133" s="96">
        <v>262210</v>
      </c>
      <c r="K133" t="str">
        <f>_xlfn.XLOOKUP(TechCleanup[[#This Row],[ProdCode]],Products[ProdCode],Products[Product],,0,)</f>
        <v>Transesterified biodiesel</v>
      </c>
    </row>
    <row r="134" spans="9:14" ht="15.75" x14ac:dyDescent="0.5">
      <c r="I134" s="124" t="s">
        <v>1484</v>
      </c>
      <c r="J134" s="125">
        <v>262210</v>
      </c>
      <c r="K134" t="str">
        <f>_xlfn.XLOOKUP(TechCleanup[[#This Row],[ProdCode]],Products[ProdCode],Products[Product],,0,)</f>
        <v>Transesterified biodiesel</v>
      </c>
      <c r="N134" t="s">
        <v>1363</v>
      </c>
    </row>
    <row r="135" spans="9:14" ht="15.75" x14ac:dyDescent="0.5">
      <c r="I135" s="124" t="s">
        <v>1485</v>
      </c>
      <c r="J135" s="96">
        <v>262210</v>
      </c>
      <c r="K135" t="str">
        <f>_xlfn.XLOOKUP(TechCleanup[[#This Row],[ProdCode]],Products[ProdCode],Products[Product],,0,)</f>
        <v>Transesterified biodiesel</v>
      </c>
      <c r="N135" t="s">
        <v>1363</v>
      </c>
    </row>
    <row r="136" spans="9:14" ht="15.75" x14ac:dyDescent="0.5">
      <c r="I136" s="124" t="s">
        <v>1489</v>
      </c>
      <c r="J136" s="96">
        <v>262210</v>
      </c>
      <c r="K136" t="str">
        <f>_xlfn.XLOOKUP(TechCleanup[[#This Row],[ProdCode]],Products[ProdCode],Products[Product],,0,)</f>
        <v>Transesterified biodiesel</v>
      </c>
    </row>
    <row r="137" spans="9:14" ht="15.75" x14ac:dyDescent="0.5">
      <c r="I137" s="124" t="s">
        <v>650</v>
      </c>
      <c r="J137" s="96">
        <v>262210</v>
      </c>
      <c r="K137" t="str">
        <f>_xlfn.XLOOKUP(TechCleanup[[#This Row],[ProdCode]],Products[ProdCode],Products[Product],,0,)</f>
        <v>Transesterified biodiesel</v>
      </c>
    </row>
    <row r="138" spans="9:14" ht="15.75" x14ac:dyDescent="0.5">
      <c r="I138" s="11" t="s">
        <v>1170</v>
      </c>
      <c r="J138" s="96">
        <v>263330</v>
      </c>
      <c r="K138" t="str">
        <f>_xlfn.XLOOKUP(TechCleanup[[#This Row],[ProdCode]],Products[ProdCode],Products[Product],,0,)</f>
        <v>Bio-DME</v>
      </c>
    </row>
    <row r="139" spans="9:14" ht="15.75" x14ac:dyDescent="0.5">
      <c r="I139" s="124" t="s">
        <v>1012</v>
      </c>
      <c r="J139" s="96">
        <v>261900</v>
      </c>
      <c r="K139" t="str">
        <f>_xlfn.XLOOKUP(TechCleanup[[#This Row],[ProdCode]],Products[ProdCode],Products[Product],,0,)</f>
        <v>Other solid biofuels</v>
      </c>
    </row>
    <row r="140" spans="9:14" ht="15.75" x14ac:dyDescent="0.5">
      <c r="I140" s="124" t="s">
        <v>447</v>
      </c>
      <c r="J140" s="96">
        <v>261900</v>
      </c>
      <c r="K140" t="str">
        <f>_xlfn.XLOOKUP(TechCleanup[[#This Row],[ProdCode]],Products[ProdCode],Products[Product],,0,)</f>
        <v>Other solid biofuels</v>
      </c>
    </row>
    <row r="141" spans="9:14" ht="15.75" x14ac:dyDescent="0.5">
      <c r="I141" s="124" t="s">
        <v>677</v>
      </c>
      <c r="J141" s="125">
        <v>261900</v>
      </c>
      <c r="K141" t="str">
        <f>_xlfn.XLOOKUP(TechCleanup[[#This Row],[ProdCode]],Products[ProdCode],Products[Product],,0,)</f>
        <v>Other solid biofuels</v>
      </c>
    </row>
    <row r="142" spans="9:14" ht="15.75" x14ac:dyDescent="0.5">
      <c r="I142" s="124" t="s">
        <v>983</v>
      </c>
      <c r="J142" s="96">
        <v>262150</v>
      </c>
      <c r="K142" t="str">
        <f>_xlfn.XLOOKUP(TechCleanup[[#This Row],[ProdCode]],Products[ProdCode],Products[Product],,0,)</f>
        <v>Bio-ETBE</v>
      </c>
    </row>
    <row r="143" spans="9:14" ht="15.75" x14ac:dyDescent="0.5">
      <c r="I143" s="124" t="s">
        <v>980</v>
      </c>
      <c r="J143" s="125">
        <v>262120</v>
      </c>
      <c r="K143" t="str">
        <f>_xlfn.XLOOKUP(TechCleanup[[#This Row],[ProdCode]],Products[ProdCode],Products[Product],,0,)</f>
        <v>Bioethanol</v>
      </c>
    </row>
    <row r="144" spans="9:14" ht="15.75" x14ac:dyDescent="0.5">
      <c r="I144" s="124" t="s">
        <v>578</v>
      </c>
      <c r="J144" s="96">
        <v>261900</v>
      </c>
      <c r="K144" t="str">
        <f>_xlfn.XLOOKUP(TechCleanup[[#This Row],[ProdCode]],Products[ProdCode],Products[Product],,0,)</f>
        <v>Other solid biofuels</v>
      </c>
    </row>
    <row r="145" spans="9:11" ht="15.75" x14ac:dyDescent="0.5">
      <c r="I145" s="124" t="s">
        <v>843</v>
      </c>
      <c r="J145" s="96">
        <v>261900</v>
      </c>
      <c r="K145" t="str">
        <f>_xlfn.XLOOKUP(TechCleanup[[#This Row],[ProdCode]],Products[ProdCode],Products[Product],,0,)</f>
        <v>Other solid biofuels</v>
      </c>
    </row>
    <row r="146" spans="9:11" ht="15.75" x14ac:dyDescent="0.5">
      <c r="I146" s="124" t="s">
        <v>1242</v>
      </c>
      <c r="J146" s="96">
        <v>261900</v>
      </c>
      <c r="K146" t="str">
        <f>_xlfn.XLOOKUP(TechCleanup[[#This Row],[ProdCode]],Products[ProdCode],Products[Product],,0,)</f>
        <v>Other solid biofuels</v>
      </c>
    </row>
    <row r="147" spans="9:11" x14ac:dyDescent="0.45">
      <c r="I147" s="126" t="s">
        <v>640</v>
      </c>
      <c r="J147" s="96">
        <v>263190</v>
      </c>
      <c r="K147" t="str">
        <f>_xlfn.XLOOKUP(TechCleanup[[#This Row],[ProdCode]],Products[ProdCode],Products[Product],,0,)</f>
        <v>Other biogas from anaerobic digestion</v>
      </c>
    </row>
    <row r="148" spans="9:11" ht="15.75" x14ac:dyDescent="0.5">
      <c r="I148" s="124" t="s">
        <v>918</v>
      </c>
      <c r="J148" s="96">
        <v>263190</v>
      </c>
      <c r="K148" t="str">
        <f>_xlfn.XLOOKUP(TechCleanup[[#This Row],[ProdCode]],Products[ProdCode],Products[Product],,0,)</f>
        <v>Other biogas from anaerobic digestion</v>
      </c>
    </row>
    <row r="149" spans="9:11" ht="15.75" x14ac:dyDescent="0.5">
      <c r="I149" s="124" t="s">
        <v>919</v>
      </c>
      <c r="J149" s="96">
        <v>263190</v>
      </c>
      <c r="K149" t="str">
        <f>_xlfn.XLOOKUP(TechCleanup[[#This Row],[ProdCode]],Products[ProdCode],Products[Product],,0,)</f>
        <v>Other biogas from anaerobic digestion</v>
      </c>
    </row>
    <row r="150" spans="9:11" ht="15.75" x14ac:dyDescent="0.5">
      <c r="I150" s="11" t="s">
        <v>989</v>
      </c>
      <c r="J150" s="96">
        <v>263100</v>
      </c>
      <c r="K150" t="str">
        <f>_xlfn.XLOOKUP(TechCleanup[[#This Row],[ProdCode]],Products[ProdCode],Products[Product],,0,)</f>
        <v>Biogas from anaerobic digestion</v>
      </c>
    </row>
    <row r="151" spans="9:11" ht="15.75" x14ac:dyDescent="0.5">
      <c r="I151" s="11" t="s">
        <v>992</v>
      </c>
      <c r="J151" s="125">
        <v>263200</v>
      </c>
      <c r="K151" t="str">
        <f>_xlfn.XLOOKUP(TechCleanup[[#This Row],[ProdCode]],Products[ProdCode],Products[Product],,0,)</f>
        <v>Biogas from thermal processes</v>
      </c>
    </row>
    <row r="152" spans="9:11" ht="15.75" x14ac:dyDescent="0.5">
      <c r="I152" s="124" t="s">
        <v>670</v>
      </c>
      <c r="J152" s="96">
        <v>263190</v>
      </c>
      <c r="K152" t="str">
        <f>_xlfn.XLOOKUP(TechCleanup[[#This Row],[ProdCode]],Products[ProdCode],Products[Product],,0,)</f>
        <v>Other biogas from anaerobic digestion</v>
      </c>
    </row>
    <row r="153" spans="9:11" ht="15.75" x14ac:dyDescent="0.5">
      <c r="I153" s="124" t="s">
        <v>1035</v>
      </c>
      <c r="J153" s="96">
        <v>263190</v>
      </c>
      <c r="K153" t="str">
        <f>_xlfn.XLOOKUP(TechCleanup[[#This Row],[ProdCode]],Products[ProdCode],Products[Product],,0,)</f>
        <v>Other biogas from anaerobic digestion</v>
      </c>
    </row>
    <row r="154" spans="9:11" ht="15.75" x14ac:dyDescent="0.5">
      <c r="I154" s="124" t="s">
        <v>668</v>
      </c>
      <c r="J154" s="96">
        <v>263190</v>
      </c>
      <c r="K154" t="str">
        <f>_xlfn.XLOOKUP(TechCleanup[[#This Row],[ProdCode]],Products[ProdCode],Products[Product],,0,)</f>
        <v>Other biogas from anaerobic digestion</v>
      </c>
    </row>
    <row r="155" spans="9:11" ht="15.75" x14ac:dyDescent="0.5">
      <c r="I155" s="11" t="s">
        <v>664</v>
      </c>
      <c r="J155" s="96">
        <v>263200</v>
      </c>
      <c r="K155" t="str">
        <f>_xlfn.XLOOKUP(TechCleanup[[#This Row],[ProdCode]],Products[ProdCode],Products[Product],,0,)</f>
        <v>Biogas from thermal processes</v>
      </c>
    </row>
    <row r="156" spans="9:11" ht="15.75" x14ac:dyDescent="0.5">
      <c r="I156" s="124" t="s">
        <v>1114</v>
      </c>
      <c r="J156" s="96">
        <v>262190</v>
      </c>
      <c r="K156" t="str">
        <f>_xlfn.XLOOKUP(TechCleanup[[#This Row],[ProdCode]],Products[ProdCode],Products[Product],,0,)</f>
        <v>Other biogasolines</v>
      </c>
    </row>
    <row r="157" spans="9:11" ht="15.75" x14ac:dyDescent="0.5">
      <c r="I157" s="124" t="s">
        <v>581</v>
      </c>
      <c r="J157" s="96">
        <v>262190</v>
      </c>
      <c r="K157" t="str">
        <f>_xlfn.XLOOKUP(TechCleanup[[#This Row],[ProdCode]],Products[ProdCode],Products[Product],,0,)</f>
        <v>Other biogasolines</v>
      </c>
    </row>
    <row r="158" spans="9:11" ht="15.75" x14ac:dyDescent="0.5">
      <c r="I158" s="11" t="s">
        <v>1166</v>
      </c>
      <c r="J158" s="125">
        <v>262100</v>
      </c>
      <c r="K158" t="str">
        <f>_xlfn.XLOOKUP(TechCleanup[[#This Row],[ProdCode]],Products[ProdCode],Products[Product],,0,)</f>
        <v>Biogasolines</v>
      </c>
    </row>
    <row r="159" spans="9:11" ht="15.75" x14ac:dyDescent="0.5">
      <c r="I159" s="11" t="s">
        <v>994</v>
      </c>
      <c r="J159" s="125">
        <v>263320</v>
      </c>
      <c r="K159" t="str">
        <f>_xlfn.XLOOKUP(TechCleanup[[#This Row],[ProdCode]],Products[ProdCode],Products[Product],,0,)</f>
        <v>Biohydrogen</v>
      </c>
    </row>
    <row r="160" spans="9:11" ht="15.75" x14ac:dyDescent="0.5">
      <c r="I160" s="11" t="s">
        <v>1169</v>
      </c>
      <c r="J160">
        <v>262300</v>
      </c>
      <c r="K160" t="str">
        <f>_xlfn.XLOOKUP(TechCleanup[[#This Row],[ProdCode]],Products[ProdCode],Products[Product],,0,)</f>
        <v>Bio-jet kerosenes</v>
      </c>
    </row>
    <row r="161" spans="9:11" ht="15.75" x14ac:dyDescent="0.5">
      <c r="I161" s="11" t="s">
        <v>1124</v>
      </c>
      <c r="J161" s="125">
        <v>262300</v>
      </c>
      <c r="K161" t="str">
        <f>_xlfn.XLOOKUP(TechCleanup[[#This Row],[ProdCode]],Products[ProdCode],Products[Product],,0,)</f>
        <v>Bio-jet kerosenes</v>
      </c>
    </row>
    <row r="162" spans="9:11" ht="15.75" x14ac:dyDescent="0.5">
      <c r="I162" s="124" t="s">
        <v>1102</v>
      </c>
      <c r="J162" s="125">
        <v>263321</v>
      </c>
      <c r="K162" t="str">
        <f>_xlfn.XLOOKUP(TechCleanup[[#This Row],[ProdCode]],Products[ProdCode],Products[Product],,0,)</f>
        <v>Biological hydrogen</v>
      </c>
    </row>
    <row r="163" spans="9:11" ht="15.75" x14ac:dyDescent="0.5">
      <c r="I163" s="124" t="s">
        <v>988</v>
      </c>
      <c r="J163" s="125">
        <v>262910</v>
      </c>
      <c r="K163" t="str">
        <f>_xlfn.XLOOKUP(TechCleanup[[#This Row],[ProdCode]],Products[ProdCode],Products[Product],,0,)</f>
        <v>Bio-LPG</v>
      </c>
    </row>
    <row r="164" spans="9:11" ht="15.75" x14ac:dyDescent="0.5">
      <c r="I164" s="124" t="s">
        <v>1496</v>
      </c>
      <c r="J164" s="125">
        <v>261900</v>
      </c>
      <c r="K164" t="str">
        <f>_xlfn.XLOOKUP(TechCleanup[[#This Row],[ProdCode]],Products[ProdCode],Products[Product],,0,)</f>
        <v>Other solid biofuels</v>
      </c>
    </row>
    <row r="165" spans="9:11" ht="15.75" x14ac:dyDescent="0.5">
      <c r="I165" s="124" t="s">
        <v>923</v>
      </c>
      <c r="J165" s="125">
        <v>261900</v>
      </c>
      <c r="K165" t="str">
        <f>_xlfn.XLOOKUP(TechCleanup[[#This Row],[ProdCode]],Products[ProdCode],Products[Product],,0,)</f>
        <v>Other solid biofuels</v>
      </c>
    </row>
    <row r="166" spans="9:11" ht="15.75" x14ac:dyDescent="0.5">
      <c r="I166" s="124" t="s">
        <v>849</v>
      </c>
      <c r="J166" s="125">
        <v>261900</v>
      </c>
      <c r="K166" t="str">
        <f>_xlfn.XLOOKUP(TechCleanup[[#This Row],[ProdCode]],Products[ProdCode],Products[Product],,0,)</f>
        <v>Other solid biofuels</v>
      </c>
    </row>
    <row r="167" spans="9:11" ht="15.75" x14ac:dyDescent="0.5">
      <c r="I167" s="124" t="s">
        <v>1540</v>
      </c>
      <c r="J167" s="125">
        <v>261900</v>
      </c>
      <c r="K167" t="str">
        <f>_xlfn.XLOOKUP(TechCleanup[[#This Row],[ProdCode]],Products[ProdCode],Products[Product],,0,)</f>
        <v>Other solid biofuels</v>
      </c>
    </row>
    <row r="168" spans="9:11" ht="15.75" x14ac:dyDescent="0.5">
      <c r="I168" s="124" t="s">
        <v>557</v>
      </c>
      <c r="J168" s="125">
        <v>261590</v>
      </c>
      <c r="K168" t="str">
        <f>_xlfn.XLOOKUP(TechCleanup[[#This Row],[ProdCode]],Products[ProdCode],Products[Product],,0,)</f>
        <v>Other biomass pellets and briquettes</v>
      </c>
    </row>
    <row r="169" spans="9:11" ht="15.75" x14ac:dyDescent="0.5">
      <c r="I169" s="124" t="s">
        <v>969</v>
      </c>
      <c r="J169" s="96">
        <v>261300</v>
      </c>
      <c r="K169" t="str">
        <f>_xlfn.XLOOKUP(TechCleanup[[#This Row],[ProdCode]],Products[ProdCode],Products[Product],,0,)</f>
        <v>Biomass processing residues</v>
      </c>
    </row>
    <row r="170" spans="9:11" ht="15.75" x14ac:dyDescent="0.5">
      <c r="I170" s="124" t="s">
        <v>993</v>
      </c>
      <c r="J170" s="96">
        <v>263310</v>
      </c>
      <c r="K170" t="str">
        <f>_xlfn.XLOOKUP(TechCleanup[[#This Row],[ProdCode]],Products[ProdCode],Products[Product],,0,)</f>
        <v>Biomethane</v>
      </c>
    </row>
    <row r="171" spans="9:11" ht="15.75" x14ac:dyDescent="0.5">
      <c r="I171" s="11" t="s">
        <v>979</v>
      </c>
      <c r="J171" s="125">
        <v>262110</v>
      </c>
      <c r="K171" t="str">
        <f>_xlfn.XLOOKUP(TechCleanup[[#This Row],[ProdCode]],Products[ProdCode],Products[Product],,0,)</f>
        <v>Biomethanol</v>
      </c>
    </row>
    <row r="172" spans="9:11" ht="15.75" x14ac:dyDescent="0.5">
      <c r="I172" s="11" t="s">
        <v>1498</v>
      </c>
      <c r="J172" s="96">
        <v>262110</v>
      </c>
      <c r="K172" t="str">
        <f>_xlfn.XLOOKUP(TechCleanup[[#This Row],[ProdCode]],Products[ProdCode],Products[Product],,0,)</f>
        <v>Biomethanol</v>
      </c>
    </row>
    <row r="173" spans="9:11" ht="15.75" x14ac:dyDescent="0.5">
      <c r="I173" s="11" t="s">
        <v>982</v>
      </c>
      <c r="J173" s="96">
        <v>262140</v>
      </c>
      <c r="K173" t="str">
        <f>_xlfn.XLOOKUP(TechCleanup[[#This Row],[ProdCode]],Products[ProdCode],Products[Product],,0,)</f>
        <v>Bio-MTBE</v>
      </c>
    </row>
    <row r="174" spans="9:11" ht="15.75" x14ac:dyDescent="0.5">
      <c r="I174" s="5" t="s">
        <v>1501</v>
      </c>
      <c r="J174" s="125">
        <v>263200</v>
      </c>
      <c r="K174" t="str">
        <f>_xlfn.XLOOKUP(TechCleanup[[#This Row],[ProdCode]],Products[ProdCode],Products[Product],,0,)</f>
        <v>Biogas from thermal processes</v>
      </c>
    </row>
    <row r="175" spans="9:11" ht="15.75" x14ac:dyDescent="0.5">
      <c r="I175" s="5" t="s">
        <v>1494</v>
      </c>
      <c r="J175" s="125">
        <v>263200</v>
      </c>
      <c r="K175" t="str">
        <f>_xlfn.XLOOKUP(TechCleanup[[#This Row],[ProdCode]],Products[ProdCode],Products[Product],,0,)</f>
        <v>Biogas from thermal processes</v>
      </c>
    </row>
    <row r="176" spans="9:11" ht="15.75" x14ac:dyDescent="0.5">
      <c r="I176" s="5" t="s">
        <v>995</v>
      </c>
      <c r="J176" s="95">
        <v>263322</v>
      </c>
      <c r="K176" t="str">
        <f>_xlfn.XLOOKUP(TechCleanup[[#This Row],[ProdCode]],Products[ProdCode],Products[Product],,0,)</f>
        <v>Biothermal hydrogen</v>
      </c>
    </row>
    <row r="177" spans="9:11" ht="15.75" x14ac:dyDescent="0.5">
      <c r="I177" s="5" t="s">
        <v>1036</v>
      </c>
      <c r="J177" s="95">
        <v>111129</v>
      </c>
      <c r="K177" t="str">
        <f>_xlfn.XLOOKUP(TechCleanup[[#This Row],[ProdCode]],Products[ProdCode],Products[Product],,0,)</f>
        <v>Other bituminous coal</v>
      </c>
    </row>
    <row r="178" spans="9:11" ht="15.75" x14ac:dyDescent="0.5">
      <c r="I178" s="5" t="s">
        <v>1037</v>
      </c>
      <c r="J178" s="125">
        <v>114595</v>
      </c>
      <c r="K178" t="str">
        <f>_xlfn.XLOOKUP(TechCleanup[[#This Row],[ProdCode]],Products[ProdCode],Products[Product],,0,)</f>
        <v>Bitumen</v>
      </c>
    </row>
    <row r="179" spans="9:11" ht="15.75" x14ac:dyDescent="0.5">
      <c r="I179" s="5" t="s">
        <v>562</v>
      </c>
      <c r="J179" s="95">
        <v>114595</v>
      </c>
      <c r="K179" t="str">
        <f>_xlfn.XLOOKUP(TechCleanup[[#This Row],[ProdCode]],Products[ProdCode],Products[Product],,0,)</f>
        <v>Bitumen</v>
      </c>
    </row>
    <row r="180" spans="9:11" ht="15.75" x14ac:dyDescent="0.5">
      <c r="I180" s="5" t="s">
        <v>1304</v>
      </c>
      <c r="J180" s="95">
        <v>114595</v>
      </c>
      <c r="K180" t="str">
        <f>_xlfn.XLOOKUP(TechCleanup[[#This Row],[ProdCode]],Products[ProdCode],Products[Product],,0,)</f>
        <v>Bitumen</v>
      </c>
    </row>
    <row r="181" spans="9:11" ht="15.75" x14ac:dyDescent="0.5">
      <c r="I181" s="5" t="s">
        <v>111</v>
      </c>
      <c r="J181" s="125">
        <v>111120</v>
      </c>
      <c r="K181" t="str">
        <f>_xlfn.XLOOKUP(TechCleanup[[#This Row],[ProdCode]],Products[ProdCode],Products[Product],,0,)</f>
        <v>Bituminous coal</v>
      </c>
    </row>
    <row r="182" spans="9:11" ht="15.75" x14ac:dyDescent="0.5">
      <c r="I182" s="5" t="s">
        <v>1305</v>
      </c>
      <c r="J182" s="95">
        <v>114595</v>
      </c>
      <c r="K182" t="str">
        <f>_xlfn.XLOOKUP(TechCleanup[[#This Row],[ProdCode]],Products[ProdCode],Products[Product],,0,)</f>
        <v>Bitumen</v>
      </c>
    </row>
    <row r="183" spans="9:11" ht="15.75" x14ac:dyDescent="0.5">
      <c r="I183" s="5" t="s">
        <v>1303</v>
      </c>
      <c r="J183" s="95">
        <v>115000</v>
      </c>
      <c r="K183" t="str">
        <f>_xlfn.XLOOKUP(TechCleanup[[#This Row],[ProdCode]],Products[ProdCode],Products[Product],,0,)</f>
        <v>Oil shale/sands</v>
      </c>
    </row>
    <row r="184" spans="9:11" ht="15.75" x14ac:dyDescent="0.5">
      <c r="I184" s="5" t="s">
        <v>1038</v>
      </c>
      <c r="J184" s="95">
        <v>111330</v>
      </c>
      <c r="K184" t="str">
        <f>_xlfn.XLOOKUP(TechCleanup[[#This Row],[ProdCode]],Products[ProdCode],Products[Product],,0,)</f>
        <v>Brown coal briquettes (BKB)</v>
      </c>
    </row>
    <row r="185" spans="9:11" ht="15.75" x14ac:dyDescent="0.5">
      <c r="I185" s="5" t="s">
        <v>496</v>
      </c>
      <c r="J185" s="95">
        <v>261320</v>
      </c>
      <c r="K185" t="str">
        <f>_xlfn.XLOOKUP(TechCleanup[[#This Row],[ProdCode]],Products[ProdCode],Products[Product],,0,)</f>
        <v>Black liquor</v>
      </c>
    </row>
    <row r="186" spans="9:11" ht="15.75" x14ac:dyDescent="0.5">
      <c r="I186" s="5" t="s">
        <v>260</v>
      </c>
      <c r="J186" s="95">
        <v>111371</v>
      </c>
      <c r="K186" t="str">
        <f>_xlfn.XLOOKUP(TechCleanup[[#This Row],[ProdCode]],Products[ProdCode],Products[Product],,0,)</f>
        <v>Blast furnace gas</v>
      </c>
    </row>
    <row r="187" spans="9:11" ht="15.75" x14ac:dyDescent="0.5">
      <c r="I187" s="5" t="s">
        <v>1358</v>
      </c>
      <c r="J187" s="95">
        <v>111371</v>
      </c>
      <c r="K187" t="str">
        <f>_xlfn.XLOOKUP(TechCleanup[[#This Row],[ProdCode]],Products[ProdCode],Products[Product],,0,)</f>
        <v>Blast furnace gas</v>
      </c>
    </row>
    <row r="188" spans="9:11" ht="15.75" x14ac:dyDescent="0.5">
      <c r="I188" s="5" t="s">
        <v>1039</v>
      </c>
      <c r="J188" s="95">
        <v>111371</v>
      </c>
      <c r="K188" t="str">
        <f>_xlfn.XLOOKUP(TechCleanup[[#This Row],[ProdCode]],Products[ProdCode],Products[Product],,0,)</f>
        <v>Blast furnace gas</v>
      </c>
    </row>
    <row r="189" spans="9:11" ht="15.75" x14ac:dyDescent="0.5">
      <c r="I189" s="5" t="s">
        <v>1040</v>
      </c>
      <c r="J189" s="95">
        <v>111399</v>
      </c>
      <c r="K189" t="str">
        <f>_xlfn.XLOOKUP(TechCleanup[[#This Row],[ProdCode]],Products[ProdCode],Products[Product],,0,)</f>
        <v>Other coal products n.e.s.</v>
      </c>
    </row>
    <row r="190" spans="9:11" ht="15.75" x14ac:dyDescent="0.5">
      <c r="I190" s="5" t="s">
        <v>1267</v>
      </c>
      <c r="J190" s="95">
        <v>111320</v>
      </c>
      <c r="K190" t="str">
        <f>_xlfn.XLOOKUP(TechCleanup[[#This Row],[ProdCode]],Products[ProdCode],Products[Product],,0,)</f>
        <v>Patent fuel</v>
      </c>
    </row>
    <row r="191" spans="9:11" ht="15.75" x14ac:dyDescent="0.5">
      <c r="I191" s="5" t="s">
        <v>1857</v>
      </c>
      <c r="J191" s="95">
        <v>111200</v>
      </c>
      <c r="K191" t="str">
        <f>_xlfn.XLOOKUP(TechCleanup[[#This Row],[ProdCode]],Products[ProdCode],Products[Product],,0,)</f>
        <v>Brown coal</v>
      </c>
    </row>
    <row r="192" spans="9:11" ht="15.75" x14ac:dyDescent="0.5">
      <c r="I192" s="5" t="s">
        <v>140</v>
      </c>
      <c r="J192" s="95">
        <v>111200</v>
      </c>
      <c r="K192" t="str">
        <f>_xlfn.XLOOKUP(TechCleanup[[#This Row],[ProdCode]],Products[ProdCode],Products[Product],,0,)</f>
        <v>Brown coal</v>
      </c>
    </row>
    <row r="193" spans="9:11" ht="15.75" x14ac:dyDescent="0.5">
      <c r="I193" s="5" t="s">
        <v>1461</v>
      </c>
      <c r="J193" s="95">
        <v>111200</v>
      </c>
      <c r="K193" t="str">
        <f>_xlfn.XLOOKUP(TechCleanup[[#This Row],[ProdCode]],Products[ProdCode],Products[Product],,0,)</f>
        <v>Brown coal</v>
      </c>
    </row>
    <row r="194" spans="9:11" ht="15.75" x14ac:dyDescent="0.5">
      <c r="I194" s="5" t="s">
        <v>1488</v>
      </c>
      <c r="J194" s="95">
        <v>111200</v>
      </c>
      <c r="K194" t="str">
        <f>_xlfn.XLOOKUP(TechCleanup[[#This Row],[ProdCode]],Products[ProdCode],Products[Product],,0,)</f>
        <v>Brown coal</v>
      </c>
    </row>
    <row r="195" spans="9:11" ht="15.75" x14ac:dyDescent="0.5">
      <c r="I195" s="5" t="s">
        <v>1359</v>
      </c>
      <c r="J195" s="95">
        <v>111330</v>
      </c>
      <c r="K195" t="str">
        <f>_xlfn.XLOOKUP(TechCleanup[[#This Row],[ProdCode]],Products[ProdCode],Products[Product],,0,)</f>
        <v>Brown coal briquettes (BKB)</v>
      </c>
    </row>
    <row r="196" spans="9:11" ht="15.75" x14ac:dyDescent="0.5">
      <c r="I196" s="5" t="s">
        <v>222</v>
      </c>
      <c r="J196" s="125">
        <v>111330</v>
      </c>
      <c r="K196" t="str">
        <f>_xlfn.XLOOKUP(TechCleanup[[#This Row],[ProdCode]],Products[ProdCode],Products[Product],,0,)</f>
        <v>Brown coal briquettes (BKB)</v>
      </c>
    </row>
    <row r="197" spans="9:11" ht="15.75" x14ac:dyDescent="0.5">
      <c r="I197" s="5" t="s">
        <v>1439</v>
      </c>
      <c r="J197" s="95">
        <v>361120</v>
      </c>
      <c r="K197" t="str">
        <f>_xlfn.XLOOKUP(TechCleanup[[#This Row],[ProdCode]],Products[ProdCode],Products[Product],,0,)</f>
        <v>Centralised hydrogen gas tank storage</v>
      </c>
    </row>
    <row r="198" spans="9:11" ht="15.75" x14ac:dyDescent="0.5">
      <c r="I198" s="5" t="s">
        <v>1437</v>
      </c>
      <c r="J198" s="95">
        <v>361110</v>
      </c>
      <c r="K198" t="str">
        <f>_xlfn.XLOOKUP(TechCleanup[[#This Row],[ProdCode]],Products[ProdCode],Products[Product],,0,)</f>
        <v>Centralised underground hydrogen storage</v>
      </c>
    </row>
    <row r="199" spans="9:11" ht="15.75" x14ac:dyDescent="0.5">
      <c r="I199" s="5" t="s">
        <v>1115</v>
      </c>
      <c r="J199" s="125">
        <v>261600</v>
      </c>
      <c r="K199" t="str">
        <f>_xlfn.XLOOKUP(TechCleanup[[#This Row],[ProdCode]],Products[ProdCode],Products[Product],,0,)</f>
        <v>Charcoal</v>
      </c>
    </row>
    <row r="200" spans="9:11" ht="15.75" x14ac:dyDescent="0.5">
      <c r="I200" s="5" t="s">
        <v>566</v>
      </c>
      <c r="J200" s="125">
        <v>261600</v>
      </c>
      <c r="K200" t="str">
        <f>_xlfn.XLOOKUP(TechCleanup[[#This Row],[ProdCode]],Products[ProdCode],Products[Product],,0,)</f>
        <v>Charcoal</v>
      </c>
    </row>
    <row r="201" spans="9:11" ht="15.75" x14ac:dyDescent="0.5">
      <c r="I201" s="5" t="s">
        <v>1041</v>
      </c>
      <c r="J201" s="95">
        <v>141000</v>
      </c>
      <c r="K201" t="str">
        <f>_xlfn.XLOOKUP(TechCleanup[[#This Row],[ProdCode]],Products[ProdCode],Products[Product],,0,)</f>
        <v>Chemical heat</v>
      </c>
    </row>
    <row r="202" spans="9:11" ht="15.75" x14ac:dyDescent="0.5">
      <c r="I202" s="5" t="s">
        <v>1182</v>
      </c>
      <c r="J202" s="95">
        <v>360000</v>
      </c>
      <c r="K202" t="str">
        <f>_xlfn.XLOOKUP(TechCleanup[[#This Row],[ProdCode]],Products[ProdCode],Products[Product],,0,)</f>
        <v>Chemical fuels storage</v>
      </c>
    </row>
    <row r="203" spans="9:11" ht="15.75" x14ac:dyDescent="0.5">
      <c r="I203" s="5" t="s">
        <v>211</v>
      </c>
      <c r="J203" s="95">
        <v>141000</v>
      </c>
      <c r="K203" t="str">
        <f>_xlfn.XLOOKUP(TechCleanup[[#This Row],[ProdCode]],Products[ProdCode],Products[Product],,0,)</f>
        <v>Chemical heat</v>
      </c>
    </row>
    <row r="204" spans="9:11" ht="15.75" x14ac:dyDescent="0.5">
      <c r="I204" s="5" t="s">
        <v>1020</v>
      </c>
      <c r="J204" s="95">
        <v>111000</v>
      </c>
      <c r="K204" t="str">
        <f>_xlfn.XLOOKUP(TechCleanup[[#This Row],[ProdCode]],Products[ProdCode],Products[Product],,0,)</f>
        <v>Coal</v>
      </c>
    </row>
    <row r="205" spans="9:11" ht="15.75" x14ac:dyDescent="0.5">
      <c r="I205" s="5" t="s">
        <v>68</v>
      </c>
      <c r="J205" s="125">
        <v>111000</v>
      </c>
      <c r="K205" t="str">
        <f>_xlfn.XLOOKUP(TechCleanup[[#This Row],[ProdCode]],Products[ProdCode],Products[Product],,0,)</f>
        <v>Coal</v>
      </c>
    </row>
    <row r="206" spans="9:11" ht="15.75" x14ac:dyDescent="0.5">
      <c r="I206" s="5" t="s">
        <v>1541</v>
      </c>
      <c r="J206" s="125">
        <v>111000</v>
      </c>
      <c r="K206" t="str">
        <f>_xlfn.XLOOKUP(TechCleanup[[#This Row],[ProdCode]],Products[ProdCode],Products[Product],,0,)</f>
        <v>Coal</v>
      </c>
    </row>
    <row r="207" spans="9:11" ht="15.75" x14ac:dyDescent="0.5">
      <c r="I207" s="5" t="s">
        <v>93</v>
      </c>
      <c r="J207" s="95">
        <v>111000</v>
      </c>
      <c r="K207" t="str">
        <f>_xlfn.XLOOKUP(TechCleanup[[#This Row],[ProdCode]],Products[ProdCode],Products[Product],,0,)</f>
        <v>Coal</v>
      </c>
    </row>
    <row r="208" spans="9:11" ht="15.75" x14ac:dyDescent="0.5">
      <c r="I208" s="5" t="s">
        <v>854</v>
      </c>
      <c r="J208" s="95">
        <v>111300</v>
      </c>
      <c r="K208" t="str">
        <f>_xlfn.XLOOKUP(TechCleanup[[#This Row],[ProdCode]],Products[ProdCode],Products[Product],,0,)</f>
        <v>Coal products</v>
      </c>
    </row>
    <row r="209" spans="9:11" ht="15.75" x14ac:dyDescent="0.5">
      <c r="I209" s="5" t="s">
        <v>1241</v>
      </c>
      <c r="J209" s="125">
        <v>111300</v>
      </c>
      <c r="K209" t="str">
        <f>_xlfn.XLOOKUP(TechCleanup[[#This Row],[ProdCode]],Products[ProdCode],Products[Product],,0,)</f>
        <v>Coal products</v>
      </c>
    </row>
    <row r="210" spans="9:11" ht="15.75" x14ac:dyDescent="0.5">
      <c r="I210" s="5" t="s">
        <v>176</v>
      </c>
      <c r="J210" s="125">
        <v>111310</v>
      </c>
      <c r="K210" t="str">
        <f>_xlfn.XLOOKUP(TechCleanup[[#This Row],[ProdCode]],Products[ProdCode],Products[Product],,0,)</f>
        <v>Coal coke</v>
      </c>
    </row>
    <row r="211" spans="9:11" ht="15.75" x14ac:dyDescent="0.5">
      <c r="I211" s="5" t="s">
        <v>117</v>
      </c>
      <c r="J211" s="125">
        <v>111300</v>
      </c>
      <c r="K211" t="str">
        <f>_xlfn.XLOOKUP(TechCleanup[[#This Row],[ProdCode]],Products[ProdCode],Products[Product],,0,)</f>
        <v>Coal products</v>
      </c>
    </row>
    <row r="212" spans="9:11" ht="15.75" x14ac:dyDescent="0.5">
      <c r="I212" s="5" t="s">
        <v>229</v>
      </c>
      <c r="J212" s="125">
        <v>111340</v>
      </c>
      <c r="K212" t="str">
        <f>_xlfn.XLOOKUP(TechCleanup[[#This Row],[ProdCode]],Products[ProdCode],Products[Product],,0,)</f>
        <v>Coal tar</v>
      </c>
    </row>
    <row r="213" spans="9:11" ht="15.75" x14ac:dyDescent="0.5">
      <c r="I213" s="5" t="s">
        <v>1360</v>
      </c>
      <c r="J213" s="125">
        <v>111340</v>
      </c>
      <c r="K213" t="str">
        <f>_xlfn.XLOOKUP(TechCleanup[[#This Row],[ProdCode]],Products[ProdCode],Products[Product],,0,)</f>
        <v>Coal tar</v>
      </c>
    </row>
    <row r="214" spans="9:11" ht="15.75" x14ac:dyDescent="0.5">
      <c r="I214" s="5" t="s">
        <v>1543</v>
      </c>
      <c r="J214" s="125">
        <v>111000</v>
      </c>
      <c r="K214" t="str">
        <f>_xlfn.XLOOKUP(TechCleanup[[#This Row],[ProdCode]],Products[ProdCode],Products[Product],,0,)</f>
        <v>Coal</v>
      </c>
    </row>
    <row r="215" spans="9:11" ht="15.75" x14ac:dyDescent="0.5">
      <c r="I215" s="5" t="s">
        <v>1266</v>
      </c>
      <c r="J215" s="125">
        <v>111121</v>
      </c>
      <c r="K215" t="str">
        <f>_xlfn.XLOOKUP(TechCleanup[[#This Row],[ProdCode]],Products[ProdCode],Products[Product],,0,)</f>
        <v>Coking coal</v>
      </c>
    </row>
    <row r="216" spans="9:11" ht="15.75" x14ac:dyDescent="0.5">
      <c r="I216" s="5" t="s">
        <v>1264</v>
      </c>
      <c r="J216" s="125">
        <v>111110</v>
      </c>
      <c r="K216" t="str">
        <f>_xlfn.XLOOKUP(TechCleanup[[#This Row],[ProdCode]],Products[ProdCode],Products[Product],,0,)</f>
        <v>Anthracite</v>
      </c>
    </row>
    <row r="217" spans="9:11" ht="15.75" x14ac:dyDescent="0.5">
      <c r="I217" s="5" t="s">
        <v>1265</v>
      </c>
      <c r="J217" s="125">
        <v>111129</v>
      </c>
      <c r="K217" t="str">
        <f>_xlfn.XLOOKUP(TechCleanup[[#This Row],[ProdCode]],Products[ProdCode],Products[Product],,0,)</f>
        <v>Other bituminous coal</v>
      </c>
    </row>
    <row r="218" spans="9:11" ht="15.75" x14ac:dyDescent="0.5">
      <c r="I218" s="5" t="s">
        <v>927</v>
      </c>
      <c r="J218" s="125">
        <v>111392</v>
      </c>
      <c r="K218" t="str">
        <f>_xlfn.XLOOKUP(TechCleanup[[#This Row],[ProdCode]],Products[ProdCode],Products[Product],,0,)</f>
        <v>Coal-based ammonia</v>
      </c>
    </row>
    <row r="219" spans="9:11" ht="15.75" x14ac:dyDescent="0.5">
      <c r="I219" s="5" t="s">
        <v>926</v>
      </c>
      <c r="J219" s="125">
        <v>111391</v>
      </c>
      <c r="K219" t="str">
        <f>_xlfn.XLOOKUP(TechCleanup[[#This Row],[ProdCode]],Products[ProdCode],Products[Product],,0,)</f>
        <v>Coal-based hydrogen</v>
      </c>
    </row>
    <row r="220" spans="9:11" ht="15.75" x14ac:dyDescent="0.5">
      <c r="I220" s="5" t="s">
        <v>1042</v>
      </c>
      <c r="J220" s="125">
        <v>111340</v>
      </c>
      <c r="K220" t="str">
        <f>_xlfn.XLOOKUP(TechCleanup[[#This Row],[ProdCode]],Products[ProdCode],Products[Product],,0,)</f>
        <v>Coal tar</v>
      </c>
    </row>
    <row r="221" spans="9:11" ht="15.75" x14ac:dyDescent="0.5">
      <c r="I221" s="5" t="s">
        <v>1043</v>
      </c>
      <c r="J221" s="125">
        <v>111121</v>
      </c>
      <c r="K221" t="str">
        <f>_xlfn.XLOOKUP(TechCleanup[[#This Row],[ProdCode]],Products[ProdCode],Products[Product],,0,)</f>
        <v>Coking coal</v>
      </c>
    </row>
    <row r="222" spans="9:11" ht="15.75" x14ac:dyDescent="0.5">
      <c r="I222" s="5" t="s">
        <v>1513</v>
      </c>
      <c r="J222">
        <v>111311</v>
      </c>
      <c r="K222" t="str">
        <f>_xlfn.XLOOKUP(TechCleanup[[#This Row],[ProdCode]],Products[ProdCode],Products[Product],,0,)</f>
        <v>Coke oven coke</v>
      </c>
    </row>
    <row r="223" spans="9:11" ht="15.75" x14ac:dyDescent="0.5">
      <c r="I223" s="5" t="s">
        <v>1271</v>
      </c>
      <c r="J223" s="125">
        <v>111311</v>
      </c>
      <c r="K223" t="str">
        <f>_xlfn.XLOOKUP(TechCleanup[[#This Row],[ProdCode]],Products[ProdCode],Products[Product],,0,)</f>
        <v>Coke oven coke</v>
      </c>
    </row>
    <row r="224" spans="9:11" ht="15.75" x14ac:dyDescent="0.5">
      <c r="I224" s="5" t="s">
        <v>200</v>
      </c>
      <c r="J224" s="125">
        <v>111313</v>
      </c>
      <c r="K224" t="str">
        <f>_xlfn.XLOOKUP(TechCleanup[[#This Row],[ProdCode]],Products[ProdCode],Products[Product],,0,)</f>
        <v>Coke breeze</v>
      </c>
    </row>
    <row r="225" spans="9:11" ht="15.75" x14ac:dyDescent="0.5">
      <c r="I225" s="5" t="s">
        <v>185</v>
      </c>
      <c r="J225" s="95">
        <v>111311</v>
      </c>
      <c r="K225" t="str">
        <f>_xlfn.XLOOKUP(TechCleanup[[#This Row],[ProdCode]],Products[ProdCode],Products[Product],,0,)</f>
        <v>Coke oven coke</v>
      </c>
    </row>
    <row r="226" spans="9:11" ht="15.75" x14ac:dyDescent="0.5">
      <c r="I226" s="5" t="s">
        <v>1463</v>
      </c>
      <c r="J226" s="125">
        <v>111311</v>
      </c>
      <c r="K226" t="str">
        <f>_xlfn.XLOOKUP(TechCleanup[[#This Row],[ProdCode]],Products[ProdCode],Products[Product],,0,)</f>
        <v>Coke oven coke</v>
      </c>
    </row>
    <row r="227" spans="9:11" ht="15.75" x14ac:dyDescent="0.5">
      <c r="I227" s="5" t="s">
        <v>1361</v>
      </c>
      <c r="J227" s="125">
        <v>111311</v>
      </c>
      <c r="K227" t="str">
        <f>_xlfn.XLOOKUP(TechCleanup[[#This Row],[ProdCode]],Products[ProdCode],Products[Product],,0,)</f>
        <v>Coke oven coke</v>
      </c>
    </row>
    <row r="228" spans="9:11" ht="15.75" x14ac:dyDescent="0.5">
      <c r="I228" s="5" t="s">
        <v>236</v>
      </c>
      <c r="J228" s="125">
        <v>111350</v>
      </c>
      <c r="K228" t="str">
        <f>_xlfn.XLOOKUP(TechCleanup[[#This Row],[ProdCode]],Products[ProdCode],Products[Product],,0,)</f>
        <v>Coke oven gas</v>
      </c>
    </row>
    <row r="229" spans="9:11" ht="15.75" x14ac:dyDescent="0.5">
      <c r="I229" s="5" t="s">
        <v>1362</v>
      </c>
      <c r="J229" s="95">
        <v>111350</v>
      </c>
      <c r="K229" t="str">
        <f>_xlfn.XLOOKUP(TechCleanup[[#This Row],[ProdCode]],Products[ProdCode],Products[Product],,0,)</f>
        <v>Coke oven gas</v>
      </c>
    </row>
    <row r="230" spans="9:11" ht="15.75" x14ac:dyDescent="0.5">
      <c r="I230" s="5" t="s">
        <v>1044</v>
      </c>
      <c r="J230" s="95">
        <v>111350</v>
      </c>
      <c r="K230" t="str">
        <f>_xlfn.XLOOKUP(TechCleanup[[#This Row],[ProdCode]],Products[ProdCode],Products[Product],,0,)</f>
        <v>Coke oven gas</v>
      </c>
    </row>
    <row r="231" spans="9:11" ht="15.75" x14ac:dyDescent="0.5">
      <c r="I231" s="5" t="s">
        <v>121</v>
      </c>
      <c r="J231" s="95">
        <v>111121</v>
      </c>
      <c r="K231" t="str">
        <f>_xlfn.XLOOKUP(TechCleanup[[#This Row],[ProdCode]],Products[ProdCode],Products[Product],,0,)</f>
        <v>Coking coal</v>
      </c>
    </row>
    <row r="232" spans="9:11" ht="15.75" x14ac:dyDescent="0.5">
      <c r="I232" s="5" t="s">
        <v>1363</v>
      </c>
      <c r="J232" s="95">
        <v>111121</v>
      </c>
      <c r="K232" t="str">
        <f>_xlfn.XLOOKUP(TechCleanup[[#This Row],[ProdCode]],Products[ProdCode],Products[Product],,0,)</f>
        <v>Coking coal</v>
      </c>
    </row>
    <row r="233" spans="9:11" ht="15.75" x14ac:dyDescent="0.5">
      <c r="I233" s="5" t="s">
        <v>1021</v>
      </c>
      <c r="J233" s="95">
        <v>119900</v>
      </c>
      <c r="K233" t="str">
        <f>_xlfn.XLOOKUP(TechCleanup[[#This Row],[ProdCode]],Products[ProdCode],Products[Product],,0,)</f>
        <v>Other fossil fuels n.e.s.</v>
      </c>
    </row>
    <row r="234" spans="9:11" ht="15.75" x14ac:dyDescent="0.5">
      <c r="I234" s="5" t="s">
        <v>1022</v>
      </c>
      <c r="J234" s="95">
        <v>149000</v>
      </c>
      <c r="K234" t="str">
        <f>_xlfn.XLOOKUP(TechCleanup[[#This Row],[ProdCode]],Products[ProdCode],Products[Product],,0,)</f>
        <v>Other non-renewable energy n.e.s.</v>
      </c>
    </row>
    <row r="235" spans="9:11" ht="15.75" x14ac:dyDescent="0.5">
      <c r="I235" s="5" t="s">
        <v>1023</v>
      </c>
      <c r="J235" s="95">
        <v>261900</v>
      </c>
      <c r="K235" t="str">
        <f>_xlfn.XLOOKUP(TechCleanup[[#This Row],[ProdCode]],Products[ProdCode],Products[Product],,0,)</f>
        <v>Other solid biofuels</v>
      </c>
    </row>
    <row r="236" spans="9:11" ht="15.75" x14ac:dyDescent="0.5">
      <c r="I236" s="5" t="s">
        <v>1009</v>
      </c>
      <c r="J236" s="95">
        <v>342000</v>
      </c>
      <c r="K236" t="str">
        <f>_xlfn.XLOOKUP(TechCleanup[[#This Row],[ProdCode]],Products[ProdCode],Products[Product],,0,)</f>
        <v>Compressed fluids</v>
      </c>
    </row>
    <row r="237" spans="9:11" ht="15.75" x14ac:dyDescent="0.5">
      <c r="I237" s="5" t="s">
        <v>1511</v>
      </c>
      <c r="J237" s="95">
        <v>113220</v>
      </c>
      <c r="K237" t="str">
        <f>_xlfn.XLOOKUP(TechCleanup[[#This Row],[ProdCode]],Products[ProdCode],Products[Product],,0,)</f>
        <v>Compressed natural gas</v>
      </c>
    </row>
    <row r="238" spans="9:11" ht="15.75" x14ac:dyDescent="0.5">
      <c r="I238" s="5" t="s">
        <v>1512</v>
      </c>
      <c r="J238" s="95">
        <v>113220</v>
      </c>
      <c r="K238" t="str">
        <f>_xlfn.XLOOKUP(TechCleanup[[#This Row],[ProdCode]],Products[ProdCode],Products[Product],,0,)</f>
        <v>Compressed natural gas</v>
      </c>
    </row>
    <row r="239" spans="9:11" ht="15.75" x14ac:dyDescent="0.5">
      <c r="I239" s="5" t="s">
        <v>1476</v>
      </c>
      <c r="J239" s="95">
        <v>113220</v>
      </c>
      <c r="K239" t="str">
        <f>_xlfn.XLOOKUP(TechCleanup[[#This Row],[ProdCode]],Products[ProdCode],Products[Product],,0,)</f>
        <v>Compressed natural gas</v>
      </c>
    </row>
    <row r="240" spans="9:11" ht="15.75" x14ac:dyDescent="0.5">
      <c r="I240" s="5" t="s">
        <v>1829</v>
      </c>
      <c r="J240" s="95">
        <v>113220</v>
      </c>
      <c r="K240" t="str">
        <f>_xlfn.XLOOKUP(TechCleanup[[#This Row],[ProdCode]],Products[ProdCode],Products[Product],,0,)</f>
        <v>Compressed natural gas</v>
      </c>
    </row>
    <row r="241" spans="9:11" ht="15.75" x14ac:dyDescent="0.5">
      <c r="I241" s="5" t="s">
        <v>404</v>
      </c>
      <c r="J241" s="95">
        <v>242190</v>
      </c>
      <c r="K241" t="str">
        <f>_xlfn.XLOOKUP(TechCleanup[[#This Row],[ProdCode]],Products[ProdCode],Products[Product],,0,)</f>
        <v>Other concentrated solar power</v>
      </c>
    </row>
    <row r="242" spans="9:11" ht="15.75" x14ac:dyDescent="0.5">
      <c r="I242" s="5" t="s">
        <v>418</v>
      </c>
      <c r="J242" s="125">
        <v>242900</v>
      </c>
      <c r="K242" t="str">
        <f>_xlfn.XLOOKUP(TechCleanup[[#This Row],[ProdCode]],Products[ProdCode],Products[Product],,0,)</f>
        <v>Other solar thermal energy</v>
      </c>
    </row>
    <row r="243" spans="9:11" ht="15.75" x14ac:dyDescent="0.5">
      <c r="I243" s="5" t="s">
        <v>1164</v>
      </c>
      <c r="J243" s="125">
        <v>242240</v>
      </c>
      <c r="K243" t="str">
        <f>_xlfn.XLOOKUP(TechCleanup[[#This Row],[ProdCode]],Products[ProdCode],Products[Product],,0,)</f>
        <v>Concentrated solar water heaters</v>
      </c>
    </row>
    <row r="244" spans="9:11" ht="15.75" x14ac:dyDescent="0.5">
      <c r="I244" s="5" t="s">
        <v>1247</v>
      </c>
      <c r="J244" s="95">
        <v>262300</v>
      </c>
      <c r="K244" t="str">
        <f>_xlfn.XLOOKUP(TechCleanup[[#This Row],[ProdCode]],Products[ProdCode],Products[Product],,0,)</f>
        <v>Bio-jet kerosenes</v>
      </c>
    </row>
    <row r="245" spans="9:11" ht="15.75" x14ac:dyDescent="0.5">
      <c r="I245" s="5" t="s">
        <v>606</v>
      </c>
      <c r="J245" s="95">
        <v>262210</v>
      </c>
      <c r="K245" t="str">
        <f>_xlfn.XLOOKUP(TechCleanup[[#This Row],[ProdCode]],Products[ProdCode],Products[Product],,0,)</f>
        <v>Transesterified biodiesel</v>
      </c>
    </row>
    <row r="246" spans="9:11" ht="15.75" x14ac:dyDescent="0.5">
      <c r="I246" s="5" t="s">
        <v>585</v>
      </c>
      <c r="J246" s="95">
        <v>262120</v>
      </c>
      <c r="K246" t="str">
        <f>_xlfn.XLOOKUP(TechCleanup[[#This Row],[ProdCode]],Products[ProdCode],Products[Product],,0,)</f>
        <v>Bioethanol</v>
      </c>
    </row>
    <row r="247" spans="9:11" ht="15.75" x14ac:dyDescent="0.5">
      <c r="I247" s="5" t="s">
        <v>1246</v>
      </c>
      <c r="J247" s="95">
        <v>262210</v>
      </c>
      <c r="K247" s="95" t="str">
        <f>_xlfn.XLOOKUP(TechCleanup[[#This Row],[ProdCode]],Products[ProdCode],Products[Product],,0,)</f>
        <v>Transesterified biodiesel</v>
      </c>
    </row>
    <row r="248" spans="9:11" ht="15.75" x14ac:dyDescent="0.5">
      <c r="I248" s="5" t="s">
        <v>362</v>
      </c>
      <c r="J248" s="95">
        <v>114100</v>
      </c>
      <c r="K248" t="str">
        <f>_xlfn.XLOOKUP(TechCleanup[[#This Row],[ProdCode]],Products[ProdCode],Products[Product],,0,)</f>
        <v>Conventional crude oil</v>
      </c>
    </row>
    <row r="249" spans="9:11" ht="15.75" x14ac:dyDescent="0.5">
      <c r="I249" s="5" t="s">
        <v>1486</v>
      </c>
      <c r="J249" s="95">
        <v>261120</v>
      </c>
      <c r="K249" t="str">
        <f>_xlfn.XLOOKUP(TechCleanup[[#This Row],[ProdCode]],Products[ProdCode],Products[Product],,0,)</f>
        <v>Energy crops</v>
      </c>
    </row>
    <row r="250" spans="9:11" ht="15.75" x14ac:dyDescent="0.5">
      <c r="I250" s="5" t="s">
        <v>1487</v>
      </c>
      <c r="J250" s="95">
        <v>261120</v>
      </c>
      <c r="K250" t="str">
        <f>_xlfn.XLOOKUP(TechCleanup[[#This Row],[ProdCode]],Products[ProdCode],Products[Product],,0,)</f>
        <v>Energy crops</v>
      </c>
    </row>
    <row r="251" spans="9:11" ht="15.75" x14ac:dyDescent="0.5">
      <c r="I251" s="5" t="s">
        <v>860</v>
      </c>
      <c r="J251" s="125">
        <v>261290</v>
      </c>
      <c r="K251" t="str">
        <f>_xlfn.XLOOKUP(TechCleanup[[#This Row],[ProdCode]],Products[ProdCode],Products[Product],,0,)</f>
        <v>Other harvest residues</v>
      </c>
    </row>
    <row r="252" spans="9:11" ht="15.75" x14ac:dyDescent="0.5">
      <c r="I252" s="5" t="s">
        <v>1877</v>
      </c>
      <c r="J252" s="95"/>
      <c r="K252" t="e">
        <f>_xlfn.XLOOKUP(TechCleanup[[#This Row],[ProdCode]],Products[ProdCode],Products[Product],,0,)</f>
        <v>#N/A</v>
      </c>
    </row>
    <row r="253" spans="9:11" ht="15.75" x14ac:dyDescent="0.5">
      <c r="I253" s="5" t="s">
        <v>135</v>
      </c>
      <c r="J253" s="95">
        <v>114100</v>
      </c>
      <c r="K253" t="str">
        <f>_xlfn.XLOOKUP(TechCleanup[[#This Row],[ProdCode]],Products[ProdCode],Products[Product],,0,)</f>
        <v>Conventional crude oil</v>
      </c>
    </row>
    <row r="254" spans="9:11" ht="15.75" x14ac:dyDescent="0.5">
      <c r="I254" s="5" t="s">
        <v>1843</v>
      </c>
      <c r="J254" s="95">
        <v>114100</v>
      </c>
      <c r="K254" t="str">
        <f>_xlfn.XLOOKUP(TechCleanup[[#This Row],[ProdCode]],Products[ProdCode],Products[Product],,0,)</f>
        <v>Conventional crude oil</v>
      </c>
    </row>
    <row r="255" spans="9:11" ht="15.75" x14ac:dyDescent="0.5">
      <c r="I255" s="5" t="s">
        <v>1045</v>
      </c>
      <c r="J255" s="95">
        <v>114100</v>
      </c>
      <c r="K255" t="str">
        <f>_xlfn.XLOOKUP(TechCleanup[[#This Row],[ProdCode]],Products[ProdCode],Products[Product],,0,)</f>
        <v>Conventional crude oil</v>
      </c>
    </row>
    <row r="256" spans="9:11" ht="15.75" x14ac:dyDescent="0.5">
      <c r="I256" s="5" t="s">
        <v>1878</v>
      </c>
      <c r="J256" s="95"/>
      <c r="K256" t="e">
        <f>_xlfn.XLOOKUP(TechCleanup[[#This Row],[ProdCode]],Products[ProdCode],Products[Product],,0,)</f>
        <v>#N/A</v>
      </c>
    </row>
    <row r="257" spans="9:11" ht="15.75" x14ac:dyDescent="0.5">
      <c r="I257" s="5" t="s">
        <v>1453</v>
      </c>
      <c r="J257" s="95">
        <v>252000</v>
      </c>
      <c r="K257" t="str">
        <f>_xlfn.XLOOKUP(TechCleanup[[#This Row],[ProdCode]],Products[ProdCode],Products[Product],,0,)</f>
        <v>Direct use of geothermal heat</v>
      </c>
    </row>
    <row r="258" spans="9:11" ht="15.75" x14ac:dyDescent="0.5">
      <c r="I258" s="5" t="s">
        <v>1519</v>
      </c>
      <c r="J258" s="95">
        <v>114571</v>
      </c>
      <c r="K258" t="str">
        <f>_xlfn.XLOOKUP(TechCleanup[[#This Row],[ProdCode]],Products[ProdCode],Products[Product],,0,)</f>
        <v>Gas oil/diesel oil</v>
      </c>
    </row>
    <row r="259" spans="9:11" ht="15.75" x14ac:dyDescent="0.5">
      <c r="I259" s="5" t="s">
        <v>1826</v>
      </c>
      <c r="J259" s="95">
        <v>114571</v>
      </c>
      <c r="K259" t="str">
        <f>_xlfn.XLOOKUP(TechCleanup[[#This Row],[ProdCode]],Products[ProdCode],Products[Product],,0,)</f>
        <v>Gas oil/diesel oil</v>
      </c>
    </row>
    <row r="260" spans="9:11" ht="15.75" x14ac:dyDescent="0.5">
      <c r="I260" s="5" t="s">
        <v>1518</v>
      </c>
      <c r="J260" s="95">
        <v>114571</v>
      </c>
      <c r="K260" t="str">
        <f>_xlfn.XLOOKUP(TechCleanup[[#This Row],[ProdCode]],Products[ProdCode],Products[Product],,0,)</f>
        <v>Gas oil/diesel oil</v>
      </c>
    </row>
    <row r="261" spans="9:11" ht="15.75" x14ac:dyDescent="0.5">
      <c r="I261" s="5" t="s">
        <v>1517</v>
      </c>
      <c r="J261" s="95">
        <v>114571</v>
      </c>
      <c r="K261" t="str">
        <f>_xlfn.XLOOKUP(TechCleanup[[#This Row],[ProdCode]],Products[ProdCode],Products[Product],,0,)</f>
        <v>Gas oil/diesel oil</v>
      </c>
    </row>
    <row r="262" spans="9:11" ht="15.75" x14ac:dyDescent="0.5">
      <c r="I262" s="5" t="s">
        <v>1852</v>
      </c>
      <c r="J262" s="95">
        <v>114571</v>
      </c>
      <c r="K262" t="str">
        <f>_xlfn.XLOOKUP(TechCleanup[[#This Row],[ProdCode]],Products[ProdCode],Products[Product],,0,)</f>
        <v>Gas oil/diesel oil</v>
      </c>
    </row>
    <row r="263" spans="9:11" ht="15.75" x14ac:dyDescent="0.5">
      <c r="I263" s="5" t="s">
        <v>1521</v>
      </c>
      <c r="J263" s="95">
        <v>114571</v>
      </c>
      <c r="K263" s="125" t="str">
        <f>_xlfn.XLOOKUP(TechCleanup[[#This Row],[ProdCode]],Products[ProdCode],Products[Product],,0,)</f>
        <v>Gas oil/diesel oil</v>
      </c>
    </row>
    <row r="264" spans="9:11" ht="15.75" x14ac:dyDescent="0.5">
      <c r="I264" s="5" t="s">
        <v>1514</v>
      </c>
      <c r="J264" s="95">
        <v>114571</v>
      </c>
      <c r="K264" t="str">
        <f>_xlfn.XLOOKUP(TechCleanup[[#This Row],[ProdCode]],Products[ProdCode],Products[Product],,0,)</f>
        <v>Gas oil/diesel oil</v>
      </c>
    </row>
    <row r="265" spans="9:11" ht="15.75" x14ac:dyDescent="0.5">
      <c r="I265" s="5" t="s">
        <v>1516</v>
      </c>
      <c r="J265" s="95">
        <v>114571</v>
      </c>
      <c r="K265" t="str">
        <f>_xlfn.XLOOKUP(TechCleanup[[#This Row],[ProdCode]],Products[ProdCode],Products[Product],,0,)</f>
        <v>Gas oil/diesel oil</v>
      </c>
    </row>
    <row r="266" spans="9:11" ht="15.75" x14ac:dyDescent="0.5">
      <c r="I266" s="5" t="s">
        <v>1515</v>
      </c>
      <c r="J266" s="95">
        <v>114571</v>
      </c>
      <c r="K266" t="str">
        <f>_xlfn.XLOOKUP(TechCleanup[[#This Row],[ProdCode]],Products[ProdCode],Products[Product],,0,)</f>
        <v>Gas oil/diesel oil</v>
      </c>
    </row>
    <row r="267" spans="9:11" ht="15.75" x14ac:dyDescent="0.5">
      <c r="I267" s="5" t="s">
        <v>963</v>
      </c>
      <c r="J267" s="95">
        <v>252000</v>
      </c>
      <c r="K267" t="str">
        <f>_xlfn.XLOOKUP(TechCleanup[[#This Row],[ProdCode]],Products[ProdCode],Products[Product],,0,)</f>
        <v>Direct use of geothermal heat</v>
      </c>
    </row>
    <row r="268" spans="9:11" ht="15.75" x14ac:dyDescent="0.5">
      <c r="I268" s="5" t="s">
        <v>1257</v>
      </c>
      <c r="J268" s="125">
        <v>242900</v>
      </c>
      <c r="K268" t="str">
        <f>_xlfn.XLOOKUP(TechCleanup[[#This Row],[ProdCode]],Products[ProdCode],Products[Product],,0,)</f>
        <v>Other solar thermal energy</v>
      </c>
    </row>
    <row r="269" spans="9:11" ht="15.75" x14ac:dyDescent="0.5">
      <c r="I269" s="5" t="s">
        <v>1438</v>
      </c>
      <c r="J269" s="125">
        <v>361130</v>
      </c>
      <c r="K269" t="str">
        <f>_xlfn.XLOOKUP(TechCleanup[[#This Row],[ProdCode]],Products[ProdCode],Products[Product],,0,)</f>
        <v>Distributed hydrogen gas tank storage</v>
      </c>
    </row>
    <row r="270" spans="9:11" ht="15.75" x14ac:dyDescent="0.5">
      <c r="I270" s="5" t="s">
        <v>1490</v>
      </c>
      <c r="J270" s="95">
        <v>264100</v>
      </c>
      <c r="K270" t="str">
        <f>_xlfn.XLOOKUP(TechCleanup[[#This Row],[ProdCode]],Products[ProdCode],Products[Product],,0,)</f>
        <v>Renewable municipal waste</v>
      </c>
    </row>
    <row r="271" spans="9:11" ht="15.75" x14ac:dyDescent="0.5">
      <c r="I271" s="5" t="s">
        <v>1491</v>
      </c>
      <c r="J271" s="95">
        <v>264100</v>
      </c>
      <c r="K271" t="str">
        <f>_xlfn.XLOOKUP(TechCleanup[[#This Row],[ProdCode]],Products[ProdCode],Products[Product],,0,)</f>
        <v>Renewable municipal waste</v>
      </c>
    </row>
    <row r="272" spans="9:11" ht="15.75" x14ac:dyDescent="0.5">
      <c r="I272" s="5" t="s">
        <v>1131</v>
      </c>
      <c r="J272" s="95">
        <v>113220</v>
      </c>
      <c r="K272" t="str">
        <f>_xlfn.XLOOKUP(TechCleanup[[#This Row],[ProdCode]],Products[ProdCode],Products[Product],,0,)</f>
        <v>Compressed natural gas</v>
      </c>
    </row>
    <row r="273" spans="9:11" ht="15.75" x14ac:dyDescent="0.5">
      <c r="I273" s="5" t="s">
        <v>691</v>
      </c>
      <c r="J273" s="95">
        <v>251000</v>
      </c>
      <c r="K273" t="str">
        <f>_xlfn.XLOOKUP(TechCleanup[[#This Row],[ProdCode]],Products[ProdCode],Products[Product],,0,)</f>
        <v>Geothermal heat and power</v>
      </c>
    </row>
    <row r="274" spans="9:11" ht="15.75" x14ac:dyDescent="0.5">
      <c r="I274" s="5" t="s">
        <v>1454</v>
      </c>
      <c r="J274" s="125">
        <v>242900</v>
      </c>
      <c r="K274" t="str">
        <f>_xlfn.XLOOKUP(TechCleanup[[#This Row],[ProdCode]],Products[ProdCode],Products[Product],,0,)</f>
        <v>Other solar thermal energy</v>
      </c>
    </row>
    <row r="275" spans="9:11" ht="15.75" x14ac:dyDescent="0.5">
      <c r="I275" s="5" t="s">
        <v>1455</v>
      </c>
      <c r="J275" s="125"/>
      <c r="K275" s="125" t="s">
        <v>1258</v>
      </c>
    </row>
    <row r="276" spans="9:11" ht="15.75" x14ac:dyDescent="0.5">
      <c r="I276" s="5" t="s">
        <v>1106</v>
      </c>
      <c r="J276" s="95">
        <v>700000</v>
      </c>
      <c r="K276" t="str">
        <f>_xlfn.XLOOKUP(TechCleanup[[#This Row],[ProdCode]],Products[ProdCode],Products[Product],,0,)</f>
        <v>Electricity</v>
      </c>
    </row>
    <row r="277" spans="9:11" ht="15.75" x14ac:dyDescent="0.5">
      <c r="I277" s="5" t="s">
        <v>1002</v>
      </c>
      <c r="J277" s="95">
        <v>310000</v>
      </c>
      <c r="K277" t="str">
        <f>_xlfn.XLOOKUP(TechCleanup[[#This Row],[ProdCode]],Products[ProdCode],Products[Product],,0,)</f>
        <v>Electric storage</v>
      </c>
    </row>
    <row r="278" spans="9:11" ht="15.75" x14ac:dyDescent="0.5">
      <c r="I278" s="5" t="s">
        <v>1306</v>
      </c>
      <c r="J278" s="95">
        <v>700000</v>
      </c>
      <c r="K278" t="str">
        <f>_xlfn.XLOOKUP(TechCleanup[[#This Row],[ProdCode]],Products[ProdCode],Products[Product],,0,)</f>
        <v>Electricity</v>
      </c>
    </row>
    <row r="279" spans="9:11" ht="15.75" x14ac:dyDescent="0.5">
      <c r="I279" s="5" t="s">
        <v>709</v>
      </c>
      <c r="J279" s="125">
        <v>700000</v>
      </c>
      <c r="K279" t="str">
        <f>_xlfn.XLOOKUP(TechCleanup[[#This Row],[ProdCode]],Products[ProdCode],Products[Product],,0,)</f>
        <v>Electricity</v>
      </c>
    </row>
    <row r="280" spans="9:11" ht="15.75" x14ac:dyDescent="0.5">
      <c r="I280" s="5" t="s">
        <v>731</v>
      </c>
      <c r="J280" s="95">
        <v>700000</v>
      </c>
      <c r="K280" t="str">
        <f>_xlfn.XLOOKUP(TechCleanup[[#This Row],[ProdCode]],Products[ProdCode],Products[Product],,0,)</f>
        <v>Electricity</v>
      </c>
    </row>
    <row r="281" spans="9:11" ht="15.75" x14ac:dyDescent="0.5">
      <c r="I281" s="5" t="s">
        <v>1258</v>
      </c>
      <c r="J281" s="125">
        <v>700000</v>
      </c>
      <c r="K281" t="str">
        <f>_xlfn.XLOOKUP(TechCleanup[[#This Row],[ProdCode]],Products[ProdCode],Products[Product],,0,)</f>
        <v>Electricity</v>
      </c>
    </row>
    <row r="282" spans="9:11" ht="15.75" x14ac:dyDescent="0.5">
      <c r="I282" s="5" t="s">
        <v>736</v>
      </c>
      <c r="J282" s="95">
        <v>700000</v>
      </c>
      <c r="K282" t="str">
        <f>_xlfn.XLOOKUP(TechCleanup[[#This Row],[ProdCode]],Products[ProdCode],Products[Product],,0,)</f>
        <v>Electricity</v>
      </c>
    </row>
    <row r="283" spans="9:11" ht="15.75" x14ac:dyDescent="0.5">
      <c r="I283" s="5" t="s">
        <v>740</v>
      </c>
      <c r="J283" s="95">
        <v>700000</v>
      </c>
      <c r="K283" t="str">
        <f>_xlfn.XLOOKUP(TechCleanup[[#This Row],[ProdCode]],Products[ProdCode],Products[Product],,0,)</f>
        <v>Electricity</v>
      </c>
    </row>
    <row r="284" spans="9:11" ht="15.75" x14ac:dyDescent="0.5">
      <c r="I284" s="5" t="s">
        <v>1004</v>
      </c>
      <c r="J284" s="95">
        <v>320000</v>
      </c>
      <c r="K284" t="str">
        <f>_xlfn.XLOOKUP(TechCleanup[[#This Row],[ProdCode]],Products[ProdCode],Products[Product],,0,)</f>
        <v>Electrochemical storage</v>
      </c>
    </row>
    <row r="285" spans="9:11" ht="15.75" x14ac:dyDescent="0.5">
      <c r="I285" s="5" t="s">
        <v>1006</v>
      </c>
      <c r="J285" s="95">
        <v>330000</v>
      </c>
      <c r="K285" t="str">
        <f>_xlfn.XLOOKUP(TechCleanup[[#This Row],[ProdCode]],Products[ProdCode],Products[Product],,0,)</f>
        <v>Electromagnetic storage</v>
      </c>
    </row>
    <row r="286" spans="9:11" ht="15.75" x14ac:dyDescent="0.5">
      <c r="I286" s="5" t="s">
        <v>925</v>
      </c>
      <c r="J286" s="95">
        <v>900000</v>
      </c>
      <c r="K286" t="str">
        <f>_xlfn.XLOOKUP(TechCleanup[[#This Row],[ProdCode]],Products[ProdCode],Products[Product],,0,)</f>
        <v>Energy</v>
      </c>
    </row>
    <row r="287" spans="9:11" ht="15.75" x14ac:dyDescent="0.5">
      <c r="I287" s="5" t="s">
        <v>480</v>
      </c>
      <c r="J287" s="95">
        <v>261120</v>
      </c>
      <c r="K287" t="str">
        <f>_xlfn.XLOOKUP(TechCleanup[[#This Row],[ProdCode]],Products[ProdCode],Products[Product],,0,)</f>
        <v>Energy crops</v>
      </c>
    </row>
    <row r="288" spans="9:11" ht="15.75" x14ac:dyDescent="0.5">
      <c r="I288" s="5" t="s">
        <v>1001</v>
      </c>
      <c r="J288" s="95">
        <v>300000</v>
      </c>
      <c r="K288" t="str">
        <f>_xlfn.XLOOKUP(TechCleanup[[#This Row],[ProdCode]],Products[ProdCode],Products[Product],,0,)</f>
        <v>Energy storage</v>
      </c>
    </row>
    <row r="289" spans="9:11" ht="15.75" x14ac:dyDescent="0.5">
      <c r="I289" s="5" t="s">
        <v>1024</v>
      </c>
      <c r="J289" s="95">
        <v>341000</v>
      </c>
      <c r="K289" t="str">
        <f>_xlfn.XLOOKUP(TechCleanup[[#This Row],[ProdCode]],Products[ProdCode],Products[Product],,0,)</f>
        <v>Pumped hydro</v>
      </c>
    </row>
    <row r="290" spans="9:11" ht="15.75" x14ac:dyDescent="0.5">
      <c r="I290" s="5" t="s">
        <v>1112</v>
      </c>
      <c r="J290" s="95">
        <v>114520</v>
      </c>
      <c r="K290" t="str">
        <f>_xlfn.XLOOKUP(TechCleanup[[#This Row],[ProdCode]],Products[ProdCode],Products[Product],,0,)</f>
        <v>Ethane</v>
      </c>
    </row>
    <row r="291" spans="9:11" ht="15.75" x14ac:dyDescent="0.5">
      <c r="I291" s="5" t="s">
        <v>415</v>
      </c>
      <c r="J291" s="95">
        <v>114520</v>
      </c>
      <c r="K291" t="str">
        <f>_xlfn.XLOOKUP(TechCleanup[[#This Row],[ProdCode]],Products[ProdCode],Products[Product],,0,)</f>
        <v>Ethane</v>
      </c>
    </row>
    <row r="292" spans="9:11" ht="15.75" x14ac:dyDescent="0.5">
      <c r="I292" s="5" t="s">
        <v>1492</v>
      </c>
      <c r="J292" s="95">
        <v>262120</v>
      </c>
      <c r="K292" t="str">
        <f>_xlfn.XLOOKUP(TechCleanup[[#This Row],[ProdCode]],Products[ProdCode],Products[Product],,0,)</f>
        <v>Bioethanol</v>
      </c>
    </row>
    <row r="293" spans="9:11" ht="15.75" x14ac:dyDescent="0.5">
      <c r="I293" s="5" t="s">
        <v>628</v>
      </c>
      <c r="J293" s="95">
        <v>262990</v>
      </c>
      <c r="K293" t="str">
        <f>_xlfn.XLOOKUP(TechCleanup[[#This Row],[ProdCode]],Products[ProdCode],Products[Product],,0,)</f>
        <v>Other liquid biofuels n.e.s.</v>
      </c>
    </row>
    <row r="294" spans="9:11" ht="15.75" x14ac:dyDescent="0.5">
      <c r="I294" s="5" t="s">
        <v>1493</v>
      </c>
      <c r="J294" s="125">
        <v>262120</v>
      </c>
      <c r="K294" t="str">
        <f>_xlfn.XLOOKUP(TechCleanup[[#This Row],[ProdCode]],Products[ProdCode],Products[Product],,0,)</f>
        <v>Bioethanol</v>
      </c>
    </row>
    <row r="295" spans="9:11" ht="15.75" x14ac:dyDescent="0.5">
      <c r="I295" s="5" t="s">
        <v>1522</v>
      </c>
      <c r="J295" s="95">
        <v>262120</v>
      </c>
      <c r="K295" t="str">
        <f>_xlfn.XLOOKUP(TechCleanup[[#This Row],[ProdCode]],Products[ProdCode],Products[Product],,0,)</f>
        <v>Bioethanol</v>
      </c>
    </row>
    <row r="296" spans="9:11" ht="15.75" x14ac:dyDescent="0.5">
      <c r="I296" s="5" t="s">
        <v>1372</v>
      </c>
      <c r="J296" s="95">
        <v>211100</v>
      </c>
      <c r="K296" t="str">
        <f>_xlfn.XLOOKUP(TechCleanup[[#This Row],[ProdCode]],Products[ProdCode],Products[Product],,0,)</f>
        <v>Reservoir hydropower</v>
      </c>
    </row>
    <row r="297" spans="9:11" ht="15.75" x14ac:dyDescent="0.5">
      <c r="I297" s="5" t="s">
        <v>1324</v>
      </c>
      <c r="J297" s="95">
        <v>261490</v>
      </c>
      <c r="K297" t="str">
        <f>_xlfn.XLOOKUP(TechCleanup[[#This Row],[ProdCode]],Products[ProdCode],Products[Product],,0,)</f>
        <v>Other animal residues</v>
      </c>
    </row>
    <row r="298" spans="9:11" ht="15.75" x14ac:dyDescent="0.5">
      <c r="I298" s="5" t="s">
        <v>688</v>
      </c>
      <c r="J298" s="95">
        <v>251000</v>
      </c>
      <c r="K298" t="str">
        <f>_xlfn.XLOOKUP(TechCleanup[[#This Row],[ProdCode]],Products[ProdCode],Products[Product],,0,)</f>
        <v>Geothermal heat and power</v>
      </c>
    </row>
    <row r="299" spans="9:11" ht="15.75" x14ac:dyDescent="0.5">
      <c r="I299" s="5" t="s">
        <v>1010</v>
      </c>
      <c r="J299" s="125">
        <v>343000</v>
      </c>
      <c r="K299" t="str">
        <f>_xlfn.XLOOKUP(TechCleanup[[#This Row],[ProdCode]],Products[ProdCode],Products[Product],,0,)</f>
        <v>Flywheels</v>
      </c>
    </row>
    <row r="300" spans="9:11" ht="15.75" x14ac:dyDescent="0.5">
      <c r="I300" s="5" t="s">
        <v>80</v>
      </c>
      <c r="J300" s="125">
        <v>119900</v>
      </c>
      <c r="K300" t="str">
        <f>_xlfn.XLOOKUP(TechCleanup[[#This Row],[ProdCode]],Products[ProdCode],Products[Product],,0,)</f>
        <v>Other fossil fuels n.e.s.</v>
      </c>
    </row>
    <row r="301" spans="9:11" ht="15.75" x14ac:dyDescent="0.5">
      <c r="I301" s="5" t="s">
        <v>164</v>
      </c>
      <c r="J301" s="125">
        <v>119900</v>
      </c>
      <c r="K301" t="str">
        <f>_xlfn.XLOOKUP(TechCleanup[[#This Row],[ProdCode]],Products[ProdCode],Products[Product],,0,)</f>
        <v>Other fossil fuels n.e.s.</v>
      </c>
    </row>
    <row r="302" spans="9:11" ht="15.75" x14ac:dyDescent="0.5">
      <c r="I302" s="5" t="s">
        <v>1527</v>
      </c>
      <c r="J302" s="95">
        <v>113310</v>
      </c>
      <c r="K302" t="str">
        <f>_xlfn.XLOOKUP(TechCleanup[[#This Row],[ProdCode]],Products[ProdCode],Products[Product],,0,)</f>
        <v>Natural gas-based hydrogen</v>
      </c>
    </row>
    <row r="303" spans="9:11" ht="15.75" x14ac:dyDescent="0.5">
      <c r="I303" s="5" t="s">
        <v>1529</v>
      </c>
      <c r="J303" s="95">
        <v>113310</v>
      </c>
      <c r="K303" t="str">
        <f>_xlfn.XLOOKUP(TechCleanup[[#This Row],[ProdCode]],Products[ProdCode],Products[Product],,0,)</f>
        <v>Natural gas-based hydrogen</v>
      </c>
    </row>
    <row r="304" spans="9:11" ht="15.75" x14ac:dyDescent="0.5">
      <c r="I304" s="5" t="s">
        <v>1528</v>
      </c>
      <c r="J304" s="95">
        <v>113310</v>
      </c>
      <c r="K304" t="str">
        <f>_xlfn.XLOOKUP(TechCleanup[[#This Row],[ProdCode]],Products[ProdCode],Products[Product],,0,)</f>
        <v>Natural gas-based hydrogen</v>
      </c>
    </row>
    <row r="305" spans="9:11" ht="15.75" x14ac:dyDescent="0.5">
      <c r="I305" s="5" t="s">
        <v>1328</v>
      </c>
      <c r="J305" s="95">
        <v>129000</v>
      </c>
      <c r="K305" t="str">
        <f>_xlfn.XLOOKUP(TechCleanup[[#This Row],[ProdCode]],Products[ProdCode],Products[Product],,0,)</f>
        <v>Other nuclear fuels</v>
      </c>
    </row>
    <row r="306" spans="9:11" ht="15.75" x14ac:dyDescent="0.5">
      <c r="I306" s="5" t="s">
        <v>514</v>
      </c>
      <c r="J306" s="95">
        <v>114580</v>
      </c>
      <c r="K306" t="str">
        <f>_xlfn.XLOOKUP(TechCleanup[[#This Row],[ProdCode]],Products[ProdCode],Products[Product],,0,)</f>
        <v>Fuel oil</v>
      </c>
    </row>
    <row r="307" spans="9:11" ht="15.75" x14ac:dyDescent="0.5">
      <c r="I307" s="5" t="s">
        <v>868</v>
      </c>
      <c r="J307" s="95">
        <v>261110</v>
      </c>
      <c r="K307" t="str">
        <f>_xlfn.XLOOKUP(TechCleanup[[#This Row],[ProdCode]],Products[ProdCode],Products[Product],,0,)</f>
        <v>Wood fuel</v>
      </c>
    </row>
    <row r="308" spans="9:11" ht="15.75" x14ac:dyDescent="0.5">
      <c r="I308" s="5" t="s">
        <v>589</v>
      </c>
      <c r="J308" s="125">
        <v>261110</v>
      </c>
      <c r="K308" t="str">
        <f>_xlfn.XLOOKUP(TechCleanup[[#This Row],[ProdCode]],Products[ProdCode],Products[Product],,0,)</f>
        <v>Wood fuel</v>
      </c>
    </row>
    <row r="309" spans="9:11" ht="15.75" x14ac:dyDescent="0.5">
      <c r="I309" s="5" t="s">
        <v>1128</v>
      </c>
      <c r="J309" s="125">
        <v>263000</v>
      </c>
      <c r="K309" t="str">
        <f>_xlfn.XLOOKUP(TechCleanup[[#This Row],[ProdCode]],Products[ProdCode],Products[Product],,0,)</f>
        <v>Gas biofuels</v>
      </c>
    </row>
    <row r="310" spans="9:11" ht="15.75" x14ac:dyDescent="0.5">
      <c r="I310" s="5" t="s">
        <v>1134</v>
      </c>
      <c r="J310" s="95">
        <v>263300</v>
      </c>
      <c r="K310" t="str">
        <f>_xlfn.XLOOKUP(TechCleanup[[#This Row],[ProdCode]],Products[ProdCode],Products[Product],,0,)</f>
        <v>Gas biofuels products</v>
      </c>
    </row>
    <row r="311" spans="9:11" ht="15.75" x14ac:dyDescent="0.5">
      <c r="I311" s="5" t="s">
        <v>192</v>
      </c>
      <c r="J311" s="95">
        <v>111312</v>
      </c>
      <c r="K311" t="str">
        <f>_xlfn.XLOOKUP(TechCleanup[[#This Row],[ProdCode]],Products[ProdCode],Products[Product],,0,)</f>
        <v>Gas coke</v>
      </c>
    </row>
    <row r="312" spans="9:11" ht="15.75" x14ac:dyDescent="0.5">
      <c r="I312" s="5" t="s">
        <v>1364</v>
      </c>
      <c r="J312" s="95">
        <v>111312</v>
      </c>
      <c r="K312" t="str">
        <f>_xlfn.XLOOKUP(TechCleanup[[#This Row],[ProdCode]],Products[ProdCode],Products[Product],,0,)</f>
        <v>Gas coke</v>
      </c>
    </row>
    <row r="313" spans="9:11" ht="15.75" x14ac:dyDescent="0.5">
      <c r="I313" s="5" t="s">
        <v>1595</v>
      </c>
      <c r="J313" s="125">
        <v>113220</v>
      </c>
      <c r="K313" t="str">
        <f>_xlfn.XLOOKUP(TechCleanup[[#This Row],[ProdCode]],Products[ProdCode],Products[Product],,0,)</f>
        <v>Compressed natural gas</v>
      </c>
    </row>
    <row r="314" spans="9:11" ht="15.75" x14ac:dyDescent="0.5">
      <c r="I314" s="5" t="s">
        <v>1096</v>
      </c>
      <c r="J314" s="125">
        <v>361100</v>
      </c>
      <c r="K314" t="str">
        <f>_xlfn.XLOOKUP(TechCleanup[[#This Row],[ProdCode]],Products[ProdCode],Products[Product],,0,)</f>
        <v>Gas hydrogen storage</v>
      </c>
    </row>
    <row r="315" spans="9:11" ht="15.75" x14ac:dyDescent="0.5">
      <c r="I315" s="5" t="s">
        <v>1596</v>
      </c>
      <c r="J315" s="95">
        <v>113220</v>
      </c>
      <c r="K315" t="str">
        <f>_xlfn.XLOOKUP(TechCleanup[[#This Row],[ProdCode]],Products[ProdCode],Products[Product],,0,)</f>
        <v>Compressed natural gas</v>
      </c>
    </row>
    <row r="316" spans="9:11" ht="15.75" x14ac:dyDescent="0.5">
      <c r="I316" s="5" t="s">
        <v>1851</v>
      </c>
      <c r="J316" s="95">
        <v>114571</v>
      </c>
      <c r="K316" t="str">
        <f>_xlfn.XLOOKUP(TechCleanup[[#This Row],[ProdCode]],Products[ProdCode],Products[Product],,0,)</f>
        <v>Gas oil/diesel oil</v>
      </c>
    </row>
    <row r="317" spans="9:11" ht="15.75" x14ac:dyDescent="0.5">
      <c r="I317" s="5" t="s">
        <v>936</v>
      </c>
      <c r="J317" s="125">
        <v>114571</v>
      </c>
      <c r="K317" t="str">
        <f>_xlfn.XLOOKUP(TechCleanup[[#This Row],[ProdCode]],Products[ProdCode],Products[Product],,0,)</f>
        <v>Gas oil/diesel oil</v>
      </c>
    </row>
    <row r="318" spans="9:11" ht="15.75" x14ac:dyDescent="0.5">
      <c r="I318" s="5" t="s">
        <v>935</v>
      </c>
      <c r="J318" s="125">
        <v>114570</v>
      </c>
      <c r="K318" t="str">
        <f>_xlfn.XLOOKUP(TechCleanup[[#This Row],[ProdCode]],Products[ProdCode],Products[Product],,0,)</f>
        <v>Gas oil/diesel oil and heavy gas oil</v>
      </c>
    </row>
    <row r="319" spans="9:11" ht="15.75" x14ac:dyDescent="0.5">
      <c r="I319" s="5" t="s">
        <v>1532</v>
      </c>
      <c r="J319" s="95">
        <v>113220</v>
      </c>
      <c r="K319" t="str">
        <f>_xlfn.XLOOKUP(TechCleanup[[#This Row],[ProdCode]],Products[ProdCode],Products[Product],,0,)</f>
        <v>Compressed natural gas</v>
      </c>
    </row>
    <row r="320" spans="9:11" ht="15.75" x14ac:dyDescent="0.5">
      <c r="I320" s="5" t="s">
        <v>1531</v>
      </c>
      <c r="J320" s="95">
        <v>113220</v>
      </c>
      <c r="K320" t="str">
        <f>_xlfn.XLOOKUP(TechCleanup[[#This Row],[ProdCode]],Products[ProdCode],Products[Product],,0,)</f>
        <v>Compressed natural gas</v>
      </c>
    </row>
    <row r="321" spans="9:11" ht="15.75" x14ac:dyDescent="0.5">
      <c r="I321" s="5" t="s">
        <v>244</v>
      </c>
      <c r="J321" s="95">
        <v>111360</v>
      </c>
      <c r="K321" t="str">
        <f>_xlfn.XLOOKUP(TechCleanup[[#This Row],[ProdCode]],Products[ProdCode],Products[Product],,0,)</f>
        <v>Gas works gas</v>
      </c>
    </row>
    <row r="322" spans="9:11" ht="15.75" x14ac:dyDescent="0.5">
      <c r="I322" s="5" t="s">
        <v>1365</v>
      </c>
      <c r="J322" s="95">
        <v>111360</v>
      </c>
      <c r="K322" t="str">
        <f>_xlfn.XLOOKUP(TechCleanup[[#This Row],[ProdCode]],Products[ProdCode],Products[Product],,0,)</f>
        <v>Gas works gas</v>
      </c>
    </row>
    <row r="323" spans="9:11" ht="15.75" x14ac:dyDescent="0.5">
      <c r="I323" s="5" t="s">
        <v>1341</v>
      </c>
      <c r="J323" s="95">
        <v>114570</v>
      </c>
      <c r="K323" t="str">
        <f>_xlfn.XLOOKUP(TechCleanup[[#This Row],[ProdCode]],Products[ProdCode],Products[Product],,0,)</f>
        <v>Gas oil/diesel oil and heavy gas oil</v>
      </c>
    </row>
    <row r="324" spans="9:11" ht="15.75" x14ac:dyDescent="0.5">
      <c r="I324" s="5" t="s">
        <v>1120</v>
      </c>
      <c r="J324" s="95">
        <v>111312</v>
      </c>
      <c r="K324" t="str">
        <f>_xlfn.XLOOKUP(TechCleanup[[#This Row],[ProdCode]],Products[ProdCode],Products[Product],,0,)</f>
        <v>Gas coke</v>
      </c>
    </row>
    <row r="325" spans="9:11" ht="15.75" x14ac:dyDescent="0.5">
      <c r="I325" s="5" t="s">
        <v>1046</v>
      </c>
      <c r="J325" s="95">
        <v>114571</v>
      </c>
      <c r="K325" t="str">
        <f>_xlfn.XLOOKUP(TechCleanup[[#This Row],[ProdCode]],Products[ProdCode],Products[Product],,0,)</f>
        <v>Gas oil/diesel oil</v>
      </c>
    </row>
    <row r="326" spans="9:11" ht="15.75" x14ac:dyDescent="0.5">
      <c r="I326" s="5" t="s">
        <v>1272</v>
      </c>
      <c r="J326" s="95">
        <v>111350</v>
      </c>
      <c r="K326" t="str">
        <f>_xlfn.XLOOKUP(TechCleanup[[#This Row],[ProdCode]],Products[ProdCode],Products[Product],,0,)</f>
        <v>Coke oven gas</v>
      </c>
    </row>
    <row r="327" spans="9:11" ht="15.75" x14ac:dyDescent="0.5">
      <c r="I327" s="5" t="s">
        <v>870</v>
      </c>
      <c r="J327" s="95">
        <v>263200</v>
      </c>
      <c r="K327" t="str">
        <f>_xlfn.XLOOKUP(TechCleanup[[#This Row],[ProdCode]],Products[ProdCode],Products[Product],,0,)</f>
        <v>Biogas from thermal processes</v>
      </c>
    </row>
    <row r="328" spans="9:11" ht="15.75" x14ac:dyDescent="0.5">
      <c r="I328" s="5" t="s">
        <v>1537</v>
      </c>
      <c r="J328" s="95">
        <v>114552</v>
      </c>
      <c r="K328" t="str">
        <f>_xlfn.XLOOKUP(TechCleanup[[#This Row],[ProdCode]],Products[ProdCode],Products[Product],,0,)</f>
        <v>Motor gasoline</v>
      </c>
    </row>
    <row r="329" spans="9:11" ht="15.75" x14ac:dyDescent="0.5">
      <c r="I329" s="5" t="s">
        <v>1539</v>
      </c>
      <c r="J329" s="95">
        <v>114552</v>
      </c>
      <c r="K329" t="str">
        <f>_xlfn.XLOOKUP(TechCleanup[[#This Row],[ProdCode]],Products[ProdCode],Products[Product],,0,)</f>
        <v>Motor gasoline</v>
      </c>
    </row>
    <row r="330" spans="9:11" ht="15.75" x14ac:dyDescent="0.5">
      <c r="I330" s="5" t="s">
        <v>1534</v>
      </c>
      <c r="J330" s="95">
        <v>114552</v>
      </c>
      <c r="K330" t="str">
        <f>_xlfn.XLOOKUP(TechCleanup[[#This Row],[ProdCode]],Products[ProdCode],Products[Product],,0,)</f>
        <v>Motor gasoline</v>
      </c>
    </row>
    <row r="331" spans="9:11" ht="15.75" x14ac:dyDescent="0.5">
      <c r="I331" s="5" t="s">
        <v>1536</v>
      </c>
      <c r="J331" s="95">
        <v>114552</v>
      </c>
      <c r="K331" t="str">
        <f>_xlfn.XLOOKUP(TechCleanup[[#This Row],[ProdCode]],Products[ProdCode],Products[Product],,0,)</f>
        <v>Motor gasoline</v>
      </c>
    </row>
    <row r="332" spans="9:11" ht="15.75" x14ac:dyDescent="0.5">
      <c r="I332" s="5" t="s">
        <v>1535</v>
      </c>
      <c r="J332" s="95">
        <v>114552</v>
      </c>
      <c r="K332" t="str">
        <f>_xlfn.XLOOKUP(TechCleanup[[#This Row],[ProdCode]],Products[ProdCode],Products[Product],,0,)</f>
        <v>Motor gasoline</v>
      </c>
    </row>
    <row r="333" spans="9:11" ht="15.75" x14ac:dyDescent="0.5">
      <c r="I333" s="5" t="s">
        <v>436</v>
      </c>
      <c r="J333" s="95">
        <v>114550</v>
      </c>
      <c r="K333" t="str">
        <f>_xlfn.XLOOKUP(TechCleanup[[#This Row],[ProdCode]],Products[ProdCode],Products[Product],,0,)</f>
        <v>Gasolines</v>
      </c>
    </row>
    <row r="334" spans="9:11" ht="15.75" x14ac:dyDescent="0.5">
      <c r="I334" s="5" t="s">
        <v>460</v>
      </c>
      <c r="J334" s="125">
        <v>114553</v>
      </c>
      <c r="K334" t="str">
        <f>_xlfn.XLOOKUP(TechCleanup[[#This Row],[ProdCode]],Products[ProdCode],Products[Product],,0,)</f>
        <v>Gasoline-type jet fuel</v>
      </c>
    </row>
    <row r="335" spans="9:11" ht="15.75" x14ac:dyDescent="0.5">
      <c r="I335" s="5" t="s">
        <v>1047</v>
      </c>
      <c r="J335" s="95">
        <v>111360</v>
      </c>
      <c r="K335" t="str">
        <f>_xlfn.XLOOKUP(TechCleanup[[#This Row],[ProdCode]],Products[ProdCode],Products[Product],,0,)</f>
        <v>Gas works gas</v>
      </c>
    </row>
    <row r="336" spans="9:11" ht="15.75" x14ac:dyDescent="0.5">
      <c r="I336" s="5" t="s">
        <v>1025</v>
      </c>
      <c r="J336" s="125">
        <v>251000</v>
      </c>
      <c r="K336" t="str">
        <f>_xlfn.XLOOKUP(TechCleanup[[#This Row],[ProdCode]],Products[ProdCode],Products[Product],,0,)</f>
        <v>Geothermal heat and power</v>
      </c>
    </row>
    <row r="337" spans="9:11" ht="15.75" x14ac:dyDescent="0.5">
      <c r="I337" s="5" t="s">
        <v>872</v>
      </c>
      <c r="J337" s="95">
        <v>251000</v>
      </c>
      <c r="K337" t="str">
        <f>_xlfn.XLOOKUP(TechCleanup[[#This Row],[ProdCode]],Products[ProdCode],Products[Product],,0,)</f>
        <v>Geothermal heat and power</v>
      </c>
    </row>
    <row r="338" spans="9:11" ht="15.75" x14ac:dyDescent="0.5">
      <c r="I338" s="5" t="s">
        <v>1015</v>
      </c>
      <c r="J338" s="95">
        <v>251000</v>
      </c>
      <c r="K338" t="str">
        <f>_xlfn.XLOOKUP(TechCleanup[[#This Row],[ProdCode]],Products[ProdCode],Products[Product],,0,)</f>
        <v>Geothermal heat and power</v>
      </c>
    </row>
    <row r="339" spans="9:11" ht="15.75" x14ac:dyDescent="0.5">
      <c r="I339" s="5" t="s">
        <v>1249</v>
      </c>
      <c r="J339" s="95">
        <v>251000</v>
      </c>
      <c r="K339" t="str">
        <f>_xlfn.XLOOKUP(TechCleanup[[#This Row],[ProdCode]],Products[ProdCode],Products[Product],,0,)</f>
        <v>Geothermal heat and power</v>
      </c>
    </row>
    <row r="340" spans="9:11" ht="15.75" x14ac:dyDescent="0.5">
      <c r="I340" s="5" t="s">
        <v>683</v>
      </c>
      <c r="J340" s="95">
        <v>251000</v>
      </c>
      <c r="K340" t="str">
        <f>_xlfn.XLOOKUP(TechCleanup[[#This Row],[ProdCode]],Products[ProdCode],Products[Product],,0,)</f>
        <v>Geothermal heat and power</v>
      </c>
    </row>
    <row r="341" spans="9:11" ht="15.75" x14ac:dyDescent="0.5">
      <c r="I341" s="5" t="s">
        <v>1533</v>
      </c>
      <c r="J341" s="95">
        <v>251000</v>
      </c>
      <c r="K341" t="str">
        <f>_xlfn.XLOOKUP(TechCleanup[[#This Row],[ProdCode]],Products[ProdCode],Products[Product],,0,)</f>
        <v>Geothermal heat and power</v>
      </c>
    </row>
    <row r="342" spans="9:11" ht="15.75" x14ac:dyDescent="0.5">
      <c r="I342" s="5" t="s">
        <v>698</v>
      </c>
      <c r="J342" s="125">
        <v>251000</v>
      </c>
      <c r="K342" t="str">
        <f>_xlfn.XLOOKUP(TechCleanup[[#This Row],[ProdCode]],Products[ProdCode],Products[Product],,0,)</f>
        <v>Geothermal heat and power</v>
      </c>
    </row>
    <row r="343" spans="9:11" ht="15.75" x14ac:dyDescent="0.5">
      <c r="I343" s="5" t="s">
        <v>962</v>
      </c>
      <c r="J343" s="95">
        <v>251000</v>
      </c>
      <c r="K343" t="str">
        <f>_xlfn.XLOOKUP(TechCleanup[[#This Row],[ProdCode]],Products[ProdCode],Products[Product],,0,)</f>
        <v>Geothermal heat and power</v>
      </c>
    </row>
    <row r="344" spans="9:11" ht="15.75" x14ac:dyDescent="0.5">
      <c r="I344" s="5" t="s">
        <v>1163</v>
      </c>
      <c r="J344" s="95">
        <v>242230</v>
      </c>
      <c r="K344" t="str">
        <f>_xlfn.XLOOKUP(TechCleanup[[#This Row],[ProdCode]],Products[ProdCode],Products[Product],,0,)</f>
        <v>Glazed combined solar water heaters</v>
      </c>
    </row>
    <row r="345" spans="9:11" ht="15.75" x14ac:dyDescent="0.5">
      <c r="I345" s="5" t="s">
        <v>1161</v>
      </c>
      <c r="J345" s="95">
        <v>242220</v>
      </c>
      <c r="K345" t="str">
        <f>_xlfn.XLOOKUP(TechCleanup[[#This Row],[ProdCode]],Products[ProdCode],Products[Product],,0,)</f>
        <v>Glazed single solar water heaters</v>
      </c>
    </row>
    <row r="346" spans="9:11" ht="15.75" x14ac:dyDescent="0.5">
      <c r="I346" s="5" t="s">
        <v>1456</v>
      </c>
      <c r="J346" s="95">
        <v>114500</v>
      </c>
      <c r="K346" t="str">
        <f>_xlfn.XLOOKUP(TechCleanup[[#This Row],[ProdCode]],Products[ProdCode],Products[Product],,0,)</f>
        <v>Oil products</v>
      </c>
    </row>
    <row r="347" spans="9:11" ht="15.75" x14ac:dyDescent="0.5">
      <c r="I347" s="5" t="s">
        <v>1145</v>
      </c>
      <c r="J347" s="95">
        <v>344000</v>
      </c>
      <c r="K347" t="str">
        <f>_xlfn.XLOOKUP(TechCleanup[[#This Row],[ProdCode]],Products[ProdCode],Products[Product],,0,)</f>
        <v>Gravitational storage</v>
      </c>
    </row>
    <row r="348" spans="9:11" ht="15.75" x14ac:dyDescent="0.5">
      <c r="I348" s="5" t="s">
        <v>1530</v>
      </c>
      <c r="J348" s="95">
        <v>263200</v>
      </c>
      <c r="K348" t="str">
        <f>_xlfn.XLOOKUP(TechCleanup[[#This Row],[ProdCode]],Products[ProdCode],Products[Product],,0,)</f>
        <v>Biogas from thermal processes</v>
      </c>
    </row>
    <row r="349" spans="9:11" ht="15.75" x14ac:dyDescent="0.5">
      <c r="I349" s="5" t="s">
        <v>1526</v>
      </c>
      <c r="J349" s="125">
        <v>263200</v>
      </c>
      <c r="K349" t="str">
        <f>_xlfn.XLOOKUP(TechCleanup[[#This Row],[ProdCode]],Products[ProdCode],Products[Product],,0,)</f>
        <v>Biogas from thermal processes</v>
      </c>
    </row>
    <row r="350" spans="9:11" ht="15.75" x14ac:dyDescent="0.5">
      <c r="I350" s="5" t="s">
        <v>1525</v>
      </c>
      <c r="J350" s="95">
        <v>263200</v>
      </c>
      <c r="K350" t="str">
        <f>_xlfn.XLOOKUP(TechCleanup[[#This Row],[ProdCode]],Products[ProdCode],Products[Product],,0,)</f>
        <v>Biogas from thermal processes</v>
      </c>
    </row>
    <row r="351" spans="9:11" ht="15.75" x14ac:dyDescent="0.5">
      <c r="I351" s="5" t="s">
        <v>1544</v>
      </c>
      <c r="J351" s="125">
        <v>273100</v>
      </c>
      <c r="K351" t="str">
        <f>_xlfn.XLOOKUP(TechCleanup[[#This Row],[ProdCode]],Products[ProdCode],Products[Product],,0,)</f>
        <v>Renewable electrolytic hydrogen</v>
      </c>
    </row>
    <row r="352" spans="9:11" ht="15.75" x14ac:dyDescent="0.5">
      <c r="I352" s="5" t="s">
        <v>1548</v>
      </c>
      <c r="J352" s="125">
        <v>273100</v>
      </c>
      <c r="K352" t="str">
        <f>_xlfn.XLOOKUP(TechCleanup[[#This Row],[ProdCode]],Products[ProdCode],Products[Product],,0,)</f>
        <v>Renewable electrolytic hydrogen</v>
      </c>
    </row>
    <row r="353" spans="9:11" ht="15.75" x14ac:dyDescent="0.5">
      <c r="I353" s="5" t="s">
        <v>1000</v>
      </c>
      <c r="J353" s="125">
        <v>293000</v>
      </c>
      <c r="K353" t="str">
        <f>_xlfn.XLOOKUP(TechCleanup[[#This Row],[ProdCode]],Products[ProdCode],Products[Product],,0,)</f>
        <v>Ground source heat pump</v>
      </c>
    </row>
    <row r="354" spans="9:11" ht="15.75" x14ac:dyDescent="0.5">
      <c r="I354" s="5" t="s">
        <v>712</v>
      </c>
      <c r="J354" s="95">
        <v>293000</v>
      </c>
      <c r="K354" t="str">
        <f>_xlfn.XLOOKUP(TechCleanup[[#This Row],[ProdCode]],Products[ProdCode],Products[Product],,0,)</f>
        <v>Ground source heat pump</v>
      </c>
    </row>
    <row r="355" spans="9:11" ht="15.75" x14ac:dyDescent="0.5">
      <c r="I355" s="5" t="s">
        <v>1562</v>
      </c>
      <c r="J355" s="95">
        <v>273100</v>
      </c>
      <c r="K355" t="str">
        <f>_xlfn.XLOOKUP(TechCleanup[[#This Row],[ProdCode]],Products[ProdCode],Products[Product],,0,)</f>
        <v>Renewable electrolytic hydrogen</v>
      </c>
    </row>
    <row r="356" spans="9:11" ht="15.75" x14ac:dyDescent="0.5">
      <c r="I356" s="5" t="s">
        <v>1566</v>
      </c>
      <c r="J356" s="95">
        <v>263322</v>
      </c>
      <c r="K356" t="str">
        <f>_xlfn.XLOOKUP(TechCleanup[[#This Row],[ProdCode]],Products[ProdCode],Products[Product],,0,)</f>
        <v>Biothermal hydrogen</v>
      </c>
    </row>
    <row r="357" spans="9:11" ht="15.75" x14ac:dyDescent="0.5">
      <c r="I357" s="5" t="s">
        <v>1549</v>
      </c>
      <c r="J357" s="95">
        <v>111391</v>
      </c>
      <c r="K357" t="str">
        <f>_xlfn.XLOOKUP(TechCleanup[[#This Row],[ProdCode]],Products[ProdCode],Products[Product],,0,)</f>
        <v>Coal-based hydrogen</v>
      </c>
    </row>
    <row r="358" spans="9:11" ht="15.75" x14ac:dyDescent="0.5">
      <c r="I358" s="5" t="s">
        <v>1550</v>
      </c>
      <c r="J358" s="95">
        <v>111391</v>
      </c>
      <c r="K358" t="str">
        <f>_xlfn.XLOOKUP(TechCleanup[[#This Row],[ProdCode]],Products[ProdCode],Products[Product],,0,)</f>
        <v>Coal-based hydrogen</v>
      </c>
    </row>
    <row r="359" spans="9:11" ht="15.75" x14ac:dyDescent="0.5">
      <c r="I359" s="5" t="s">
        <v>1551</v>
      </c>
      <c r="J359" s="95">
        <v>111391</v>
      </c>
      <c r="K359" t="str">
        <f>_xlfn.XLOOKUP(TechCleanup[[#This Row],[ProdCode]],Products[ProdCode],Products[Product],,0,)</f>
        <v>Coal-based hydrogen</v>
      </c>
    </row>
    <row r="360" spans="9:11" ht="15.75" x14ac:dyDescent="0.5">
      <c r="I360" s="5" t="s">
        <v>1552</v>
      </c>
      <c r="J360" s="95">
        <v>111391</v>
      </c>
      <c r="K360" t="str">
        <f>_xlfn.XLOOKUP(TechCleanup[[#This Row],[ProdCode]],Products[ProdCode],Products[Product],,0,)</f>
        <v>Coal-based hydrogen</v>
      </c>
    </row>
    <row r="361" spans="9:11" ht="15.75" x14ac:dyDescent="0.5">
      <c r="I361" s="5" t="s">
        <v>1568</v>
      </c>
      <c r="J361" s="95">
        <v>142000</v>
      </c>
      <c r="K361" t="str">
        <f>_xlfn.XLOOKUP(TechCleanup[[#This Row],[ProdCode]],Products[ProdCode],Products[Product],,0,)</f>
        <v>Non-renewable electrolytic hydrogen</v>
      </c>
    </row>
    <row r="362" spans="9:11" ht="15.75" x14ac:dyDescent="0.5">
      <c r="I362" s="5" t="s">
        <v>1554</v>
      </c>
      <c r="J362" s="95">
        <v>113310</v>
      </c>
      <c r="K362" t="str">
        <f>_xlfn.XLOOKUP(TechCleanup[[#This Row],[ProdCode]],Products[ProdCode],Products[Product],,0,)</f>
        <v>Natural gas-based hydrogen</v>
      </c>
    </row>
    <row r="363" spans="9:11" ht="15.75" x14ac:dyDescent="0.5">
      <c r="I363" s="5" t="s">
        <v>1565</v>
      </c>
      <c r="J363" s="95">
        <v>114596</v>
      </c>
      <c r="K363" t="str">
        <f>_xlfn.XLOOKUP(TechCleanup[[#This Row],[ProdCode]],Products[ProdCode],Products[Product],,0,)</f>
        <v>Oil-based hydrogen</v>
      </c>
    </row>
    <row r="364" spans="9:11" ht="15.75" x14ac:dyDescent="0.5">
      <c r="I364" s="5" t="s">
        <v>1569</v>
      </c>
      <c r="J364" s="125">
        <v>142000</v>
      </c>
      <c r="K364" t="str">
        <f>_xlfn.XLOOKUP(TechCleanup[[#This Row],[ProdCode]],Products[ProdCode],Products[Product],,0,)</f>
        <v>Non-renewable electrolytic hydrogen</v>
      </c>
    </row>
    <row r="365" spans="9:11" ht="15.75" x14ac:dyDescent="0.5">
      <c r="I365" s="5" t="s">
        <v>1567</v>
      </c>
      <c r="J365" s="95">
        <v>263322</v>
      </c>
      <c r="K365" t="str">
        <f>_xlfn.XLOOKUP(TechCleanup[[#This Row],[ProdCode]],Products[ProdCode],Products[Product],,0,)</f>
        <v>Biothermal hydrogen</v>
      </c>
    </row>
    <row r="366" spans="9:11" ht="15.75" x14ac:dyDescent="0.5">
      <c r="I366" s="5" t="s">
        <v>1563</v>
      </c>
      <c r="J366" s="95">
        <v>273100</v>
      </c>
      <c r="K366" t="str">
        <f>_xlfn.XLOOKUP(TechCleanup[[#This Row],[ProdCode]],Products[ProdCode],Products[Product],,0,)</f>
        <v>Renewable electrolytic hydrogen</v>
      </c>
    </row>
    <row r="367" spans="9:11" ht="15.75" x14ac:dyDescent="0.5">
      <c r="I367" s="5" t="s">
        <v>1553</v>
      </c>
      <c r="J367" s="95">
        <v>113310</v>
      </c>
      <c r="K367" t="str">
        <f>_xlfn.XLOOKUP(TechCleanup[[#This Row],[ProdCode]],Products[ProdCode],Products[Product],,0,)</f>
        <v>Natural gas-based hydrogen</v>
      </c>
    </row>
    <row r="368" spans="9:11" ht="15.75" x14ac:dyDescent="0.5">
      <c r="I368" s="5" t="s">
        <v>1555</v>
      </c>
      <c r="J368" s="95">
        <v>142000</v>
      </c>
      <c r="K368" t="str">
        <f>_xlfn.XLOOKUP(TechCleanup[[#This Row],[ProdCode]],Products[ProdCode],Products[Product],,0,)</f>
        <v>Non-renewable electrolytic hydrogen</v>
      </c>
    </row>
    <row r="369" spans="9:11" ht="15.75" x14ac:dyDescent="0.5">
      <c r="I369" s="5" t="s">
        <v>1556</v>
      </c>
      <c r="J369" s="95">
        <v>142000</v>
      </c>
      <c r="K369" t="str">
        <f>_xlfn.XLOOKUP(TechCleanup[[#This Row],[ProdCode]],Products[ProdCode],Products[Product],,0,)</f>
        <v>Non-renewable electrolytic hydrogen</v>
      </c>
    </row>
    <row r="370" spans="9:11" ht="15.75" x14ac:dyDescent="0.5">
      <c r="I370" s="5" t="s">
        <v>1557</v>
      </c>
      <c r="J370" s="95">
        <v>142000</v>
      </c>
      <c r="K370" t="str">
        <f>_xlfn.XLOOKUP(TechCleanup[[#This Row],[ProdCode]],Products[ProdCode],Products[Product],,0,)</f>
        <v>Non-renewable electrolytic hydrogen</v>
      </c>
    </row>
    <row r="371" spans="9:11" ht="15.75" x14ac:dyDescent="0.5">
      <c r="I371" s="5" t="s">
        <v>1558</v>
      </c>
      <c r="J371" s="95">
        <v>142000</v>
      </c>
      <c r="K371" t="str">
        <f>_xlfn.XLOOKUP(TechCleanup[[#This Row],[ProdCode]],Products[ProdCode],Products[Product],,0,)</f>
        <v>Non-renewable electrolytic hydrogen</v>
      </c>
    </row>
    <row r="372" spans="9:11" ht="15.75" x14ac:dyDescent="0.5">
      <c r="I372" s="5" t="s">
        <v>1559</v>
      </c>
      <c r="J372" s="95">
        <v>142000</v>
      </c>
      <c r="K372" t="str">
        <f>_xlfn.XLOOKUP(TechCleanup[[#This Row],[ProdCode]],Products[ProdCode],Products[Product],,0,)</f>
        <v>Non-renewable electrolytic hydrogen</v>
      </c>
    </row>
    <row r="373" spans="9:11" ht="15.75" x14ac:dyDescent="0.5">
      <c r="I373" s="5" t="s">
        <v>1564</v>
      </c>
      <c r="J373" s="95">
        <v>114596</v>
      </c>
      <c r="K373" t="str">
        <f>_xlfn.XLOOKUP(TechCleanup[[#This Row],[ProdCode]],Products[ProdCode],Products[Product],,0,)</f>
        <v>Oil-based hydrogen</v>
      </c>
    </row>
    <row r="374" spans="9:11" ht="15.75" x14ac:dyDescent="0.5">
      <c r="I374" s="5" t="s">
        <v>1574</v>
      </c>
      <c r="J374" s="95">
        <v>142000</v>
      </c>
      <c r="K374" t="str">
        <f>_xlfn.XLOOKUP(TechCleanup[[#This Row],[ProdCode]],Products[ProdCode],Products[Product],,0,)</f>
        <v>Non-renewable electrolytic hydrogen</v>
      </c>
    </row>
    <row r="375" spans="9:11" ht="15.75" x14ac:dyDescent="0.5">
      <c r="I375" s="5" t="s">
        <v>1575</v>
      </c>
      <c r="J375" s="95">
        <v>142000</v>
      </c>
      <c r="K375" t="str">
        <f>_xlfn.XLOOKUP(TechCleanup[[#This Row],[ProdCode]],Products[ProdCode],Products[Product],,0,)</f>
        <v>Non-renewable electrolytic hydrogen</v>
      </c>
    </row>
    <row r="376" spans="9:11" ht="15.75" x14ac:dyDescent="0.5">
      <c r="I376" s="5" t="s">
        <v>1576</v>
      </c>
      <c r="J376" s="125">
        <v>142000</v>
      </c>
      <c r="K376" t="str">
        <f>_xlfn.XLOOKUP(TechCleanup[[#This Row],[ProdCode]],Products[ProdCode],Products[Product],,0,)</f>
        <v>Non-renewable electrolytic hydrogen</v>
      </c>
    </row>
    <row r="377" spans="9:11" ht="15.75" x14ac:dyDescent="0.5">
      <c r="I377" s="5" t="s">
        <v>1561</v>
      </c>
      <c r="J377" s="95">
        <v>273300</v>
      </c>
      <c r="K377" t="str">
        <f>_xlfn.XLOOKUP(TechCleanup[[#This Row],[ProdCode]],Products[ProdCode],Products[Product],,0,)</f>
        <v>Renewable thermolytic hydrogen</v>
      </c>
    </row>
    <row r="378" spans="9:11" ht="15.75" x14ac:dyDescent="0.5">
      <c r="I378" s="5" t="s">
        <v>1560</v>
      </c>
      <c r="J378" s="95">
        <v>273200</v>
      </c>
      <c r="K378" t="str">
        <f>_xlfn.XLOOKUP(TechCleanup[[#This Row],[ProdCode]],Products[ProdCode],Products[Product],,0,)</f>
        <v>Renewable photolytic hydrogen</v>
      </c>
    </row>
    <row r="379" spans="9:11" ht="15.75" x14ac:dyDescent="0.5">
      <c r="I379" s="5" t="s">
        <v>1570</v>
      </c>
      <c r="J379">
        <v>142000</v>
      </c>
      <c r="K379" t="str">
        <f>_xlfn.XLOOKUP(TechCleanup[[#This Row],[ProdCode]],Products[ProdCode],Products[Product],,0,)</f>
        <v>Non-renewable electrolytic hydrogen</v>
      </c>
    </row>
    <row r="380" spans="9:11" ht="15.75" x14ac:dyDescent="0.5">
      <c r="I380" s="5" t="s">
        <v>1571</v>
      </c>
      <c r="J380">
        <v>142000</v>
      </c>
      <c r="K380" t="str">
        <f>_xlfn.XLOOKUP(TechCleanup[[#This Row],[ProdCode]],Products[ProdCode],Products[Product],,0,)</f>
        <v>Non-renewable electrolytic hydrogen</v>
      </c>
    </row>
    <row r="381" spans="9:11" ht="15.75" x14ac:dyDescent="0.5">
      <c r="I381" s="5" t="s">
        <v>1572</v>
      </c>
      <c r="J381" s="95">
        <v>142000</v>
      </c>
      <c r="K381" t="str">
        <f>_xlfn.XLOOKUP(TechCleanup[[#This Row],[ProdCode]],Products[ProdCode],Products[Product],,0,)</f>
        <v>Non-renewable electrolytic hydrogen</v>
      </c>
    </row>
    <row r="382" spans="9:11" ht="15.75" x14ac:dyDescent="0.5">
      <c r="I382" s="5" t="s">
        <v>1573</v>
      </c>
      <c r="J382" s="95">
        <v>142000</v>
      </c>
      <c r="K382" t="str">
        <f>_xlfn.XLOOKUP(TechCleanup[[#This Row],[ProdCode]],Products[ProdCode],Products[Product],,0,)</f>
        <v>Non-renewable electrolytic hydrogen</v>
      </c>
    </row>
    <row r="383" spans="9:11" ht="15.75" x14ac:dyDescent="0.5">
      <c r="I383" s="5" t="s">
        <v>1578</v>
      </c>
      <c r="J383" s="95">
        <v>142000</v>
      </c>
      <c r="K383" t="str">
        <f>_xlfn.XLOOKUP(TechCleanup[[#This Row],[ProdCode]],Products[ProdCode],Products[Product],,0,)</f>
        <v>Non-renewable electrolytic hydrogen</v>
      </c>
    </row>
    <row r="384" spans="9:11" ht="15.75" x14ac:dyDescent="0.5">
      <c r="I384" s="5" t="s">
        <v>1577</v>
      </c>
      <c r="J384" s="95">
        <v>142000</v>
      </c>
      <c r="K384" t="str">
        <f>_xlfn.XLOOKUP(TechCleanup[[#This Row],[ProdCode]],Products[ProdCode],Products[Product],,0,)</f>
        <v>Non-renewable electrolytic hydrogen</v>
      </c>
    </row>
    <row r="385" spans="9:11" ht="15.75" x14ac:dyDescent="0.5">
      <c r="I385" s="5" t="s">
        <v>1580</v>
      </c>
      <c r="J385" s="95">
        <v>142000</v>
      </c>
      <c r="K385" t="str">
        <f>_xlfn.XLOOKUP(TechCleanup[[#This Row],[ProdCode]],Products[ProdCode],Products[Product],,0,)</f>
        <v>Non-renewable electrolytic hydrogen</v>
      </c>
    </row>
    <row r="386" spans="9:11" ht="15.75" x14ac:dyDescent="0.5">
      <c r="I386" s="5" t="s">
        <v>1581</v>
      </c>
      <c r="J386" s="95">
        <v>142000</v>
      </c>
      <c r="K386" t="str">
        <f>_xlfn.XLOOKUP(TechCleanup[[#This Row],[ProdCode]],Products[ProdCode],Products[Product],,0,)</f>
        <v>Non-renewable electrolytic hydrogen</v>
      </c>
    </row>
    <row r="387" spans="9:11" ht="15.75" x14ac:dyDescent="0.5">
      <c r="I387" s="5" t="s">
        <v>1579</v>
      </c>
      <c r="J387" s="95">
        <v>142000</v>
      </c>
      <c r="K387" t="str">
        <f>_xlfn.XLOOKUP(TechCleanup[[#This Row],[ProdCode]],Products[ProdCode],Products[Product],,0,)</f>
        <v>Non-renewable electrolytic hydrogen</v>
      </c>
    </row>
    <row r="388" spans="9:11" ht="15.75" x14ac:dyDescent="0.5">
      <c r="I388" s="5" t="s">
        <v>87</v>
      </c>
      <c r="J388" s="95">
        <v>111100</v>
      </c>
      <c r="K388" t="str">
        <f>_xlfn.XLOOKUP(TechCleanup[[#This Row],[ProdCode]],Products[ProdCode],Products[Product],,0,)</f>
        <v>Hard coal</v>
      </c>
    </row>
    <row r="389" spans="9:11" ht="15.75" x14ac:dyDescent="0.5">
      <c r="I389" s="5" t="s">
        <v>1459</v>
      </c>
      <c r="J389" s="95">
        <v>111100</v>
      </c>
      <c r="K389" t="str">
        <f>_xlfn.XLOOKUP(TechCleanup[[#This Row],[ProdCode]],Products[ProdCode],Products[Product],,0,)</f>
        <v>Hard coal</v>
      </c>
    </row>
    <row r="390" spans="9:11" ht="15.75" x14ac:dyDescent="0.5">
      <c r="I390" s="5" t="s">
        <v>1715</v>
      </c>
      <c r="J390" s="95">
        <v>111100</v>
      </c>
      <c r="K390" t="str">
        <f>_xlfn.XLOOKUP(TechCleanup[[#This Row],[ProdCode]],Products[ProdCode],Products[Product],,0,)</f>
        <v>Hard coal</v>
      </c>
    </row>
    <row r="391" spans="9:11" ht="15.75" x14ac:dyDescent="0.5">
      <c r="I391" s="5" t="s">
        <v>966</v>
      </c>
      <c r="J391" s="95">
        <v>261200</v>
      </c>
      <c r="K391" t="str">
        <f>_xlfn.XLOOKUP(TechCleanup[[#This Row],[ProdCode]],Products[ProdCode],Products[Product],,0,)</f>
        <v>Harvest residues</v>
      </c>
    </row>
    <row r="392" spans="9:11" ht="15.75" x14ac:dyDescent="0.5">
      <c r="I392" s="5" t="s">
        <v>964</v>
      </c>
      <c r="J392" s="125">
        <v>261100</v>
      </c>
      <c r="K392" t="str">
        <f>_xlfn.XLOOKUP(TechCleanup[[#This Row],[ProdCode]],Products[ProdCode],Products[Product],,0,)</f>
        <v>Harvested biomass</v>
      </c>
    </row>
    <row r="393" spans="9:11" ht="15.75" x14ac:dyDescent="0.5">
      <c r="I393" s="5" t="s">
        <v>714</v>
      </c>
      <c r="J393" s="125">
        <v>800000</v>
      </c>
      <c r="K393" t="str">
        <f>_xlfn.XLOOKUP(TechCleanup[[#This Row],[ProdCode]],Products[ProdCode],Products[Product],,0,)</f>
        <v>Heat</v>
      </c>
    </row>
    <row r="394" spans="9:11" ht="15.75" x14ac:dyDescent="0.5">
      <c r="I394" s="5" t="s">
        <v>745</v>
      </c>
      <c r="J394" s="95">
        <v>800000</v>
      </c>
      <c r="K394" t="str">
        <f>_xlfn.XLOOKUP(TechCleanup[[#This Row],[ProdCode]],Products[ProdCode],Products[Product],,0,)</f>
        <v>Heat</v>
      </c>
    </row>
    <row r="395" spans="9:11" ht="15.75" x14ac:dyDescent="0.5">
      <c r="I395" s="5" t="s">
        <v>1256</v>
      </c>
      <c r="J395" s="95">
        <v>800000</v>
      </c>
      <c r="K395" t="str">
        <f>_xlfn.XLOOKUP(TechCleanup[[#This Row],[ProdCode]],Products[ProdCode],Products[Product],,0,)</f>
        <v>Heat</v>
      </c>
    </row>
    <row r="396" spans="9:11" ht="15.75" x14ac:dyDescent="0.5">
      <c r="I396" s="5" t="s">
        <v>748</v>
      </c>
      <c r="J396" s="95">
        <v>800000</v>
      </c>
      <c r="K396" t="str">
        <f>_xlfn.XLOOKUP(TechCleanup[[#This Row],[ProdCode]],Products[ProdCode],Products[Product],,0,)</f>
        <v>Heat</v>
      </c>
    </row>
    <row r="397" spans="9:11" ht="15.75" x14ac:dyDescent="0.5">
      <c r="I397" s="5" t="s">
        <v>750</v>
      </c>
      <c r="J397" s="95">
        <v>800000</v>
      </c>
      <c r="K397" t="str">
        <f>_xlfn.XLOOKUP(TechCleanup[[#This Row],[ProdCode]],Products[ProdCode],Products[Product],,0,)</f>
        <v>Heat</v>
      </c>
    </row>
    <row r="398" spans="9:11" ht="15.75" x14ac:dyDescent="0.5">
      <c r="I398" s="5" t="s">
        <v>1048</v>
      </c>
      <c r="J398" s="95">
        <v>293000</v>
      </c>
      <c r="K398" t="str">
        <f>_xlfn.XLOOKUP(TechCleanup[[#This Row],[ProdCode]],Products[ProdCode],Products[Product],,0,)</f>
        <v>Ground source heat pump</v>
      </c>
    </row>
    <row r="399" spans="9:11" ht="15.75" x14ac:dyDescent="0.5">
      <c r="I399" s="5" t="s">
        <v>507</v>
      </c>
      <c r="J399" s="95">
        <v>114572</v>
      </c>
      <c r="K399" t="str">
        <f>_xlfn.XLOOKUP(TechCleanup[[#This Row],[ProdCode]],Products[ProdCode],Products[Product],,0,)</f>
        <v>Heavy gas oil</v>
      </c>
    </row>
    <row r="400" spans="9:11" ht="15.75" x14ac:dyDescent="0.5">
      <c r="I400" s="5" t="s">
        <v>953</v>
      </c>
      <c r="J400" s="95">
        <v>242110</v>
      </c>
      <c r="K400" t="str">
        <f>_xlfn.XLOOKUP(TechCleanup[[#This Row],[ProdCode]],Products[ProdCode],Products[Product],,0,)</f>
        <v>Heliostat field collector</v>
      </c>
    </row>
    <row r="401" spans="9:11" ht="15.75" x14ac:dyDescent="0.5">
      <c r="I401" s="5" t="s">
        <v>987</v>
      </c>
      <c r="J401" s="95">
        <v>262250</v>
      </c>
      <c r="K401" t="str">
        <f>_xlfn.XLOOKUP(TechCleanup[[#This Row],[ProdCode]],Products[ProdCode],Products[Product],,0,)</f>
        <v>HVO diesel</v>
      </c>
    </row>
    <row r="402" spans="9:11" ht="15.75" x14ac:dyDescent="0.5">
      <c r="I402" s="115" t="s">
        <v>880</v>
      </c>
      <c r="J402" s="95">
        <v>280000</v>
      </c>
      <c r="K402" t="str">
        <f>_xlfn.XLOOKUP(TechCleanup[[#This Row],[ProdCode]],Products[ProdCode],Products[Product],,0,)</f>
        <v>Multiple renewables</v>
      </c>
    </row>
    <row r="403" spans="9:11" ht="15.75" x14ac:dyDescent="0.5">
      <c r="I403" s="5" t="s">
        <v>1827</v>
      </c>
      <c r="J403" s="95"/>
      <c r="K403" t="e">
        <f>_xlfn.XLOOKUP(TechCleanup[[#This Row],[ProdCode]],Products[ProdCode],Products[Product],,0,)</f>
        <v>#N/A</v>
      </c>
    </row>
    <row r="404" spans="9:11" ht="15.75" x14ac:dyDescent="0.5">
      <c r="I404" s="5" t="s">
        <v>1824</v>
      </c>
      <c r="J404" s="95"/>
      <c r="K404" t="e">
        <f>_xlfn.XLOOKUP(TechCleanup[[#This Row],[ProdCode]],Products[ProdCode],Products[Product],,0,)</f>
        <v>#N/A</v>
      </c>
    </row>
    <row r="405" spans="9:11" ht="15.75" x14ac:dyDescent="0.5">
      <c r="I405" s="5" t="s">
        <v>1026</v>
      </c>
      <c r="J405" s="95">
        <v>211100</v>
      </c>
      <c r="K405" t="str">
        <f>_xlfn.XLOOKUP(TechCleanup[[#This Row],[ProdCode]],Products[ProdCode],Products[Product],,0,)</f>
        <v>Reservoir hydropower</v>
      </c>
    </row>
    <row r="406" spans="9:11" ht="15.75" x14ac:dyDescent="0.5">
      <c r="I406" s="5" t="s">
        <v>882</v>
      </c>
      <c r="J406" s="125">
        <v>211100</v>
      </c>
      <c r="K406" t="str">
        <f>_xlfn.XLOOKUP(TechCleanup[[#This Row],[ProdCode]],Products[ProdCode],Products[Product],,0,)</f>
        <v>Reservoir hydropower</v>
      </c>
    </row>
    <row r="407" spans="9:11" ht="15.75" x14ac:dyDescent="0.5">
      <c r="I407" s="5" t="s">
        <v>1310</v>
      </c>
      <c r="J407" s="95">
        <v>113310</v>
      </c>
      <c r="K407" t="str">
        <f>_xlfn.XLOOKUP(TechCleanup[[#This Row],[ProdCode]],Products[ProdCode],Products[Product],,0,)</f>
        <v>Natural gas-based hydrogen</v>
      </c>
    </row>
    <row r="408" spans="9:11" ht="15.75" x14ac:dyDescent="0.5">
      <c r="I408" s="5" t="s">
        <v>1832</v>
      </c>
      <c r="J408" s="95">
        <v>273100</v>
      </c>
      <c r="K408" t="str">
        <f>_xlfn.XLOOKUP(TechCleanup[[#This Row],[ProdCode]],Products[ProdCode],Products[Product],,0,)</f>
        <v>Renewable electrolytic hydrogen</v>
      </c>
    </row>
    <row r="409" spans="9:11" ht="15.75" x14ac:dyDescent="0.5">
      <c r="I409" s="5" t="s">
        <v>1546</v>
      </c>
      <c r="J409" s="95">
        <v>273100</v>
      </c>
      <c r="K409" t="str">
        <f>_xlfn.XLOOKUP(TechCleanup[[#This Row],[ProdCode]],Products[ProdCode],Products[Product],,0,)</f>
        <v>Renewable electrolytic hydrogen</v>
      </c>
    </row>
    <row r="410" spans="9:11" ht="15.75" x14ac:dyDescent="0.5">
      <c r="I410" s="5" t="s">
        <v>1523</v>
      </c>
      <c r="J410" s="95">
        <v>273100</v>
      </c>
      <c r="K410" t="str">
        <f>_xlfn.XLOOKUP(TechCleanup[[#This Row],[ProdCode]],Products[ProdCode],Products[Product],,0,)</f>
        <v>Renewable electrolytic hydrogen</v>
      </c>
    </row>
    <row r="411" spans="9:11" ht="15.75" x14ac:dyDescent="0.5">
      <c r="I411" s="5" t="s">
        <v>1524</v>
      </c>
      <c r="J411" s="95">
        <v>273100</v>
      </c>
      <c r="K411" t="str">
        <f>_xlfn.XLOOKUP(TechCleanup[[#This Row],[ProdCode]],Products[ProdCode],Products[Product],,0,)</f>
        <v>Renewable electrolytic hydrogen</v>
      </c>
    </row>
    <row r="412" spans="9:11" ht="15.75" x14ac:dyDescent="0.5">
      <c r="I412" s="5" t="s">
        <v>1085</v>
      </c>
      <c r="J412" s="95">
        <v>361000</v>
      </c>
      <c r="K412" t="str">
        <f>_xlfn.XLOOKUP(TechCleanup[[#This Row],[ProdCode]],Products[ProdCode],Products[Product],,0,)</f>
        <v>Hydrogen storage</v>
      </c>
    </row>
    <row r="413" spans="9:11" ht="15.75" x14ac:dyDescent="0.5">
      <c r="I413" s="5" t="s">
        <v>1547</v>
      </c>
      <c r="J413" s="95">
        <v>273100</v>
      </c>
      <c r="K413" t="str">
        <f>_xlfn.XLOOKUP(TechCleanup[[#This Row],[ProdCode]],Products[ProdCode],Products[Product],,0,)</f>
        <v>Renewable electrolytic hydrogen</v>
      </c>
    </row>
    <row r="414" spans="9:11" ht="15.75" x14ac:dyDescent="0.5">
      <c r="I414" s="5" t="s">
        <v>1014</v>
      </c>
      <c r="J414" s="95">
        <v>211100</v>
      </c>
      <c r="K414" t="str">
        <f>_xlfn.XLOOKUP(TechCleanup[[#This Row],[ProdCode]],Products[ProdCode],Products[Product],,0,)</f>
        <v>Reservoir hydropower</v>
      </c>
    </row>
    <row r="415" spans="9:11" ht="15.75" x14ac:dyDescent="0.5">
      <c r="I415" s="5" t="s">
        <v>183</v>
      </c>
      <c r="J415" s="95">
        <v>211100</v>
      </c>
      <c r="K415" t="str">
        <f>_xlfn.XLOOKUP(TechCleanup[[#This Row],[ProdCode]],Products[ProdCode],Products[Product],,0,)</f>
        <v>Reservoir hydropower</v>
      </c>
    </row>
    <row r="416" spans="9:11" ht="15.75" x14ac:dyDescent="0.5">
      <c r="I416" s="5" t="s">
        <v>232</v>
      </c>
      <c r="J416" s="95">
        <v>210000</v>
      </c>
      <c r="K416" t="str">
        <f>_xlfn.XLOOKUP(TechCleanup[[#This Row],[ProdCode]],Products[ProdCode],Products[Product],,0,)</f>
        <v>Renewable hydropower</v>
      </c>
    </row>
    <row r="417" spans="9:11" ht="15.75" x14ac:dyDescent="0.5">
      <c r="I417" s="5" t="s">
        <v>1250</v>
      </c>
      <c r="J417" s="95">
        <v>210000</v>
      </c>
      <c r="K417" t="str">
        <f>_xlfn.XLOOKUP(TechCleanup[[#This Row],[ProdCode]],Products[ProdCode],Products[Product],,0,)</f>
        <v>Renewable hydropower</v>
      </c>
    </row>
    <row r="418" spans="9:11" ht="15.75" x14ac:dyDescent="0.5">
      <c r="I418" s="5" t="s">
        <v>1049</v>
      </c>
      <c r="J418" s="95">
        <v>341000</v>
      </c>
      <c r="K418" t="str">
        <f>_xlfn.XLOOKUP(TechCleanup[[#This Row],[ProdCode]],Products[ProdCode],Products[Product],,0,)</f>
        <v>Pumped hydro</v>
      </c>
    </row>
    <row r="419" spans="9:11" ht="15.75" x14ac:dyDescent="0.5">
      <c r="I419" s="5" t="s">
        <v>1582</v>
      </c>
      <c r="J419" s="95">
        <v>141000</v>
      </c>
      <c r="K419" t="str">
        <f>_xlfn.XLOOKUP(TechCleanup[[#This Row],[ProdCode]],Products[ProdCode],Products[Product],,0,)</f>
        <v>Chemical heat</v>
      </c>
    </row>
    <row r="420" spans="9:11" x14ac:dyDescent="0.45">
      <c r="I420" s="6" t="s">
        <v>700</v>
      </c>
      <c r="J420" s="95">
        <v>131000</v>
      </c>
      <c r="K420" t="str">
        <f>_xlfn.XLOOKUP(TechCleanup[[#This Row],[ProdCode]],Products[ProdCode],Products[Product],,0,)</f>
        <v>Non-renewable industrial waste</v>
      </c>
    </row>
    <row r="421" spans="9:11" ht="15.75" x14ac:dyDescent="0.5">
      <c r="I421" s="5" t="s">
        <v>1355</v>
      </c>
      <c r="J421" s="95">
        <v>131000</v>
      </c>
      <c r="K421" t="str">
        <f>_xlfn.XLOOKUP(TechCleanup[[#This Row],[ProdCode]],Products[ProdCode],Products[Product],,0,)</f>
        <v>Non-renewable industrial waste</v>
      </c>
    </row>
    <row r="422" spans="9:11" ht="15.75" x14ac:dyDescent="0.5">
      <c r="I422" s="5" t="s">
        <v>1050</v>
      </c>
      <c r="J422" s="95">
        <v>131000</v>
      </c>
      <c r="K422" t="str">
        <f>_xlfn.XLOOKUP(TechCleanup[[#This Row],[ProdCode]],Products[ProdCode],Products[Product],,0,)</f>
        <v>Non-renewable industrial waste</v>
      </c>
    </row>
    <row r="423" spans="9:11" ht="15.75" x14ac:dyDescent="0.5">
      <c r="I423" s="5" t="s">
        <v>1342</v>
      </c>
      <c r="J423" s="95">
        <v>114553</v>
      </c>
      <c r="K423" t="str">
        <f>_xlfn.XLOOKUP(TechCleanup[[#This Row],[ProdCode]],Products[ProdCode],Products[Product],,0,)</f>
        <v>Gasoline-type jet fuel</v>
      </c>
    </row>
    <row r="424" spans="9:11" ht="15.75" x14ac:dyDescent="0.5">
      <c r="I424" s="5" t="s">
        <v>1847</v>
      </c>
      <c r="J424" s="95">
        <v>114553</v>
      </c>
      <c r="K424" t="str">
        <f>_xlfn.XLOOKUP(TechCleanup[[#This Row],[ProdCode]],Products[ProdCode],Products[Product],,0,)</f>
        <v>Gasoline-type jet fuel</v>
      </c>
    </row>
    <row r="425" spans="9:11" ht="15.75" x14ac:dyDescent="0.5">
      <c r="I425" s="5" t="s">
        <v>1343</v>
      </c>
      <c r="J425" s="95">
        <v>114561</v>
      </c>
      <c r="K425" t="str">
        <f>_xlfn.XLOOKUP(TechCleanup[[#This Row],[ProdCode]],Products[ProdCode],Products[Product],,0,)</f>
        <v>Kerosene-type jet fuel</v>
      </c>
    </row>
    <row r="426" spans="9:11" ht="15.75" x14ac:dyDescent="0.5">
      <c r="I426" s="5" t="s">
        <v>1848</v>
      </c>
      <c r="J426" s="95">
        <v>114561</v>
      </c>
      <c r="K426" t="str">
        <f>_xlfn.XLOOKUP(TechCleanup[[#This Row],[ProdCode]],Products[ProdCode],Products[Product],,0,)</f>
        <v>Kerosene-type jet fuel</v>
      </c>
    </row>
    <row r="427" spans="9:11" ht="15.75" x14ac:dyDescent="0.5">
      <c r="I427" s="5" t="s">
        <v>1122</v>
      </c>
      <c r="J427" s="95">
        <v>114553</v>
      </c>
      <c r="K427" t="str">
        <f>_xlfn.XLOOKUP(TechCleanup[[#This Row],[ProdCode]],Products[ProdCode],Products[Product],,0,)</f>
        <v>Gasoline-type jet fuel</v>
      </c>
    </row>
    <row r="428" spans="9:11" ht="15.75" x14ac:dyDescent="0.5">
      <c r="I428" s="5" t="s">
        <v>1051</v>
      </c>
      <c r="J428" s="95">
        <v>114561</v>
      </c>
      <c r="K428" t="str">
        <f>_xlfn.XLOOKUP(TechCleanup[[#This Row],[ProdCode]],Products[ProdCode],Products[Product],,0,)</f>
        <v>Kerosene-type jet fuel</v>
      </c>
    </row>
    <row r="429" spans="9:11" ht="15.75" x14ac:dyDescent="0.5">
      <c r="I429" s="5" t="s">
        <v>467</v>
      </c>
      <c r="J429" s="95">
        <v>114560</v>
      </c>
      <c r="K429" t="str">
        <f>_xlfn.XLOOKUP(TechCleanup[[#This Row],[ProdCode]],Products[ProdCode],Products[Product],,0,)</f>
        <v>Kerosenes</v>
      </c>
    </row>
    <row r="430" spans="9:11" ht="15.75" x14ac:dyDescent="0.5">
      <c r="I430" s="5" t="s">
        <v>476</v>
      </c>
      <c r="J430" s="125">
        <v>114561</v>
      </c>
      <c r="K430" t="str">
        <f>_xlfn.XLOOKUP(TechCleanup[[#This Row],[ProdCode]],Products[ProdCode],Products[Product],,0,)</f>
        <v>Kerosene-type jet fuel</v>
      </c>
    </row>
    <row r="431" spans="9:11" ht="15.75" x14ac:dyDescent="0.5">
      <c r="I431" s="5" t="s">
        <v>476</v>
      </c>
      <c r="J431" s="125">
        <v>114561</v>
      </c>
      <c r="K431" t="str">
        <f>_xlfn.XLOOKUP(TechCleanup[[#This Row],[ProdCode]],Products[ProdCode],Products[Product],,0,)</f>
        <v>Kerosene-type jet fuel</v>
      </c>
    </row>
    <row r="432" spans="9:11" ht="15.75" x14ac:dyDescent="0.5">
      <c r="I432" s="5" t="s">
        <v>1052</v>
      </c>
      <c r="J432" s="125">
        <v>263110</v>
      </c>
      <c r="K432" t="str">
        <f>_xlfn.XLOOKUP(TechCleanup[[#This Row],[ProdCode]],Products[ProdCode],Products[Product],,0,)</f>
        <v>Landfill biogas</v>
      </c>
    </row>
    <row r="433" spans="9:11" ht="15.75" x14ac:dyDescent="0.5">
      <c r="I433" s="5" t="s">
        <v>990</v>
      </c>
      <c r="J433" s="125">
        <v>263110</v>
      </c>
      <c r="K433" t="str">
        <f>_xlfn.XLOOKUP(TechCleanup[[#This Row],[ProdCode]],Products[ProdCode],Products[Product],,0,)</f>
        <v>Landfill biogas</v>
      </c>
    </row>
    <row r="434" spans="9:11" ht="15.75" x14ac:dyDescent="0.5">
      <c r="I434" s="5" t="s">
        <v>646</v>
      </c>
      <c r="J434" s="125">
        <v>263110</v>
      </c>
      <c r="K434" t="str">
        <f>_xlfn.XLOOKUP(TechCleanup[[#This Row],[ProdCode]],Products[ProdCode],Products[Product],,0,)</f>
        <v>Landfill biogas</v>
      </c>
    </row>
    <row r="435" spans="9:11" ht="15.75" x14ac:dyDescent="0.5">
      <c r="I435" s="5" t="s">
        <v>1333</v>
      </c>
      <c r="J435" s="95">
        <v>263110</v>
      </c>
      <c r="K435" t="str">
        <f>_xlfn.XLOOKUP(TechCleanup[[#This Row],[ProdCode]],Products[ProdCode],Products[Product],,0,)</f>
        <v>Landfill biogas</v>
      </c>
    </row>
    <row r="436" spans="9:11" ht="15.75" x14ac:dyDescent="0.5">
      <c r="I436" s="115" t="s">
        <v>885</v>
      </c>
      <c r="J436" s="95">
        <v>211100</v>
      </c>
      <c r="K436" t="str">
        <f>_xlfn.XLOOKUP(TechCleanup[[#This Row],[ProdCode]],Products[ProdCode],Products[Product],,0,)</f>
        <v>Reservoir hydropower</v>
      </c>
    </row>
    <row r="437" spans="9:11" ht="15.75" x14ac:dyDescent="0.5">
      <c r="I437" s="5" t="s">
        <v>1100</v>
      </c>
      <c r="J437" s="95">
        <v>241230</v>
      </c>
      <c r="K437" t="str">
        <f>_xlfn.XLOOKUP(TechCleanup[[#This Row],[ProdCode]],Products[ProdCode],Products[Product],,0,)</f>
        <v>Large solar home systems</v>
      </c>
    </row>
    <row r="438" spans="9:11" ht="15.75" x14ac:dyDescent="0.5">
      <c r="I438" s="5" t="s">
        <v>1083</v>
      </c>
      <c r="J438" s="125">
        <v>351000</v>
      </c>
      <c r="K438" t="str">
        <f>_xlfn.XLOOKUP(TechCleanup[[#This Row],[ProdCode]],Products[ProdCode],Products[Product],,0,)</f>
        <v>Latent heat storage</v>
      </c>
    </row>
    <row r="439" spans="9:11" ht="15.75" x14ac:dyDescent="0.5">
      <c r="I439" s="5" t="s">
        <v>1053</v>
      </c>
      <c r="J439" s="125">
        <v>111220</v>
      </c>
      <c r="K439" t="str">
        <f>_xlfn.XLOOKUP(TechCleanup[[#This Row],[ProdCode]],Products[ProdCode],Products[Product],,0,)</f>
        <v>Lignite</v>
      </c>
    </row>
    <row r="440" spans="9:11" ht="15.75" x14ac:dyDescent="0.5">
      <c r="I440" s="5" t="s">
        <v>158</v>
      </c>
      <c r="J440" s="95">
        <v>111220</v>
      </c>
      <c r="K440" t="str">
        <f>_xlfn.XLOOKUP(TechCleanup[[#This Row],[ProdCode]],Products[ProdCode],Products[Product],,0,)</f>
        <v>Lignite</v>
      </c>
    </row>
    <row r="441" spans="9:11" ht="15.75" x14ac:dyDescent="0.5">
      <c r="I441" s="5" t="s">
        <v>1269</v>
      </c>
      <c r="J441" s="95">
        <v>111330</v>
      </c>
      <c r="K441" t="str">
        <f>_xlfn.XLOOKUP(TechCleanup[[#This Row],[ProdCode]],Products[ProdCode],Products[Product],,0,)</f>
        <v>Brown coal briquettes (BKB)</v>
      </c>
    </row>
    <row r="442" spans="9:11" ht="15.75" x14ac:dyDescent="0.5">
      <c r="I442" s="5" t="s">
        <v>1268</v>
      </c>
      <c r="J442" s="125">
        <v>111220</v>
      </c>
      <c r="K442" t="str">
        <f>_xlfn.XLOOKUP(TechCleanup[[#This Row],[ProdCode]],Products[ProdCode],Products[Product],,0,)</f>
        <v>Lignite</v>
      </c>
    </row>
    <row r="443" spans="9:11" ht="15.75" x14ac:dyDescent="0.5">
      <c r="I443" s="5" t="s">
        <v>954</v>
      </c>
      <c r="J443" s="95">
        <v>242120</v>
      </c>
      <c r="K443" t="str">
        <f>_xlfn.XLOOKUP(TechCleanup[[#This Row],[ProdCode]],Products[ProdCode],Products[Product],,0,)</f>
        <v>Linear fresnel reflector</v>
      </c>
    </row>
    <row r="444" spans="9:11" ht="15.75" x14ac:dyDescent="0.5">
      <c r="I444" s="5" t="s">
        <v>930</v>
      </c>
      <c r="J444" s="95">
        <v>113210</v>
      </c>
      <c r="K444" t="str">
        <f>_xlfn.XLOOKUP(TechCleanup[[#This Row],[ProdCode]],Products[ProdCode],Products[Product],,0,)</f>
        <v>Liquefied natural gas</v>
      </c>
    </row>
    <row r="445" spans="9:11" ht="15.75" x14ac:dyDescent="0.5">
      <c r="I445" s="5" t="s">
        <v>1583</v>
      </c>
      <c r="J445" s="95">
        <v>113210</v>
      </c>
      <c r="K445" t="str">
        <f>_xlfn.XLOOKUP(TechCleanup[[#This Row],[ProdCode]],Products[ProdCode],Products[Product],,0,)</f>
        <v>Liquefied natural gas</v>
      </c>
    </row>
    <row r="446" spans="9:11" ht="15.75" x14ac:dyDescent="0.5">
      <c r="I446" s="5" t="s">
        <v>1830</v>
      </c>
      <c r="J446" s="95">
        <v>113210</v>
      </c>
      <c r="K446" t="str">
        <f>_xlfn.XLOOKUP(TechCleanup[[#This Row],[ProdCode]],Products[ProdCode],Products[Product],,0,)</f>
        <v>Liquefied natural gas</v>
      </c>
    </row>
    <row r="447" spans="9:11" ht="15.75" x14ac:dyDescent="0.5">
      <c r="I447" s="5" t="s">
        <v>1344</v>
      </c>
      <c r="J447" s="95">
        <v>114530</v>
      </c>
      <c r="K447" t="str">
        <f>_xlfn.XLOOKUP(TechCleanup[[#This Row],[ProdCode]],Products[ProdCode],Products[Product],,0,)</f>
        <v>Liquefied Petroleum Gases (LPG)</v>
      </c>
    </row>
    <row r="448" spans="9:11" ht="15.75" x14ac:dyDescent="0.5">
      <c r="I448" s="5" t="s">
        <v>420</v>
      </c>
      <c r="J448" s="95">
        <v>114530</v>
      </c>
      <c r="K448" t="str">
        <f>_xlfn.XLOOKUP(TechCleanup[[#This Row],[ProdCode]],Products[ProdCode],Products[Product],,0,)</f>
        <v>Liquefied Petroleum Gases (LPG)</v>
      </c>
    </row>
    <row r="449" spans="9:11" ht="15.75" x14ac:dyDescent="0.5">
      <c r="I449" s="5" t="s">
        <v>934</v>
      </c>
      <c r="J449" s="95">
        <v>114530</v>
      </c>
      <c r="K449" t="str">
        <f>_xlfn.XLOOKUP(TechCleanup[[#This Row],[ProdCode]],Products[ProdCode],Products[Product],,0,)</f>
        <v>Liquefied Petroleum Gases (LPG)</v>
      </c>
    </row>
    <row r="450" spans="9:11" ht="15.75" x14ac:dyDescent="0.5">
      <c r="I450" s="5" t="s">
        <v>574</v>
      </c>
      <c r="J450" s="125">
        <v>262990</v>
      </c>
      <c r="K450" t="str">
        <f>_xlfn.XLOOKUP(TechCleanup[[#This Row],[ProdCode]],Products[ProdCode],Products[Product],,0,)</f>
        <v>Other liquid biofuels n.e.s.</v>
      </c>
    </row>
    <row r="451" spans="9:11" ht="15.75" x14ac:dyDescent="0.5">
      <c r="I451" s="5" t="s">
        <v>1094</v>
      </c>
      <c r="J451" s="125">
        <v>361200</v>
      </c>
      <c r="K451" t="str">
        <f>_xlfn.XLOOKUP(TechCleanup[[#This Row],[ProdCode]],Products[ProdCode],Products[Product],,0,)</f>
        <v>Liquid hydrogen storage</v>
      </c>
    </row>
    <row r="452" spans="9:11" ht="15.75" x14ac:dyDescent="0.5">
      <c r="I452" s="5" t="s">
        <v>967</v>
      </c>
      <c r="J452" s="95">
        <v>261210</v>
      </c>
      <c r="K452" t="str">
        <f>_xlfn.XLOOKUP(TechCleanup[[#This Row],[ProdCode]],Products[ProdCode],Products[Product],,0,)</f>
        <v>Logging residues</v>
      </c>
    </row>
    <row r="453" spans="9:11" ht="15.75" x14ac:dyDescent="0.5">
      <c r="I453" s="5" t="s">
        <v>1586</v>
      </c>
      <c r="J453" s="95">
        <v>800000</v>
      </c>
      <c r="K453" t="str">
        <f>_xlfn.XLOOKUP(TechCleanup[[#This Row],[ProdCode]],Products[ProdCode],Products[Product],,0,)</f>
        <v>Heat</v>
      </c>
    </row>
    <row r="454" spans="9:11" ht="15.75" x14ac:dyDescent="0.5">
      <c r="I454" s="5" t="s">
        <v>1584</v>
      </c>
      <c r="J454" s="95">
        <v>800000</v>
      </c>
      <c r="K454" t="str">
        <f>_xlfn.XLOOKUP(TechCleanup[[#This Row],[ProdCode]],Products[ProdCode],Products[Product],,0,)</f>
        <v>Heat</v>
      </c>
    </row>
    <row r="455" spans="9:11" ht="15.75" x14ac:dyDescent="0.5">
      <c r="I455" s="5" t="s">
        <v>1585</v>
      </c>
      <c r="J455" s="95">
        <v>800000</v>
      </c>
      <c r="K455" t="str">
        <f>_xlfn.XLOOKUP(TechCleanup[[#This Row],[ProdCode]],Products[ProdCode],Products[Product],,0,)</f>
        <v>Heat</v>
      </c>
    </row>
    <row r="456" spans="9:11" ht="15.75" x14ac:dyDescent="0.5">
      <c r="I456" s="5" t="s">
        <v>1054</v>
      </c>
      <c r="J456" s="95">
        <v>114530</v>
      </c>
      <c r="K456" t="str">
        <f>_xlfn.XLOOKUP(TechCleanup[[#This Row],[ProdCode]],Products[ProdCode],Products[Product],,0,)</f>
        <v>Liquefied Petroleum Gases (LPG)</v>
      </c>
    </row>
    <row r="457" spans="9:11" ht="15.75" x14ac:dyDescent="0.5">
      <c r="I457" s="5" t="s">
        <v>1113</v>
      </c>
      <c r="J457" s="95">
        <v>114592</v>
      </c>
      <c r="K457" t="str">
        <f>_xlfn.XLOOKUP(TechCleanup[[#This Row],[ProdCode]],Products[ProdCode],Products[Product],,0,)</f>
        <v>Lubricants</v>
      </c>
    </row>
    <row r="458" spans="9:11" ht="15.75" x14ac:dyDescent="0.5">
      <c r="I458" s="5" t="s">
        <v>538</v>
      </c>
      <c r="J458" s="125">
        <v>114592</v>
      </c>
      <c r="K458" t="str">
        <f>_xlfn.XLOOKUP(TechCleanup[[#This Row],[ProdCode]],Products[ProdCode],Products[Product],,0,)</f>
        <v>Lubricants</v>
      </c>
    </row>
    <row r="459" spans="9:11" ht="15.75" x14ac:dyDescent="0.5">
      <c r="I459" s="5" t="s">
        <v>1325</v>
      </c>
      <c r="J459" s="125">
        <v>261320</v>
      </c>
      <c r="K459" t="str">
        <f>_xlfn.XLOOKUP(TechCleanup[[#This Row],[ProdCode]],Products[ProdCode],Products[Product],,0,)</f>
        <v>Black liquor</v>
      </c>
    </row>
    <row r="460" spans="9:11" ht="15.75" x14ac:dyDescent="0.5">
      <c r="I460" s="5" t="s">
        <v>1123</v>
      </c>
      <c r="J460" s="95">
        <v>111370</v>
      </c>
      <c r="K460" t="str">
        <f>_xlfn.XLOOKUP(TechCleanup[[#This Row],[ProdCode]],Products[ProdCode],Products[Product],,0,)</f>
        <v>Recovered gases</v>
      </c>
    </row>
    <row r="461" spans="9:11" ht="15.75" x14ac:dyDescent="0.5">
      <c r="I461" s="5" t="s">
        <v>974</v>
      </c>
      <c r="J461" s="95">
        <v>261410</v>
      </c>
      <c r="K461" t="str">
        <f>_xlfn.XLOOKUP(TechCleanup[[#This Row],[ProdCode]],Products[ProdCode],Products[Product],,0,)</f>
        <v>Manure/dung</v>
      </c>
    </row>
    <row r="462" spans="9:11" ht="15.75" x14ac:dyDescent="0.5">
      <c r="I462" s="5" t="s">
        <v>1018</v>
      </c>
      <c r="J462">
        <v>220000</v>
      </c>
      <c r="K462" t="str">
        <f>_xlfn.XLOOKUP(TechCleanup[[#This Row],[ProdCode]],Products[ProdCode],Products[Product],,0,)</f>
        <v>Marine energy</v>
      </c>
    </row>
    <row r="463" spans="9:11" ht="15.75" x14ac:dyDescent="0.5">
      <c r="I463" s="5" t="s">
        <v>886</v>
      </c>
      <c r="J463" s="95">
        <v>220000</v>
      </c>
      <c r="K463" t="str">
        <f>_xlfn.XLOOKUP(TechCleanup[[#This Row],[ProdCode]],Products[ProdCode],Products[Product],,0,)</f>
        <v>Marine energy</v>
      </c>
    </row>
    <row r="464" spans="9:11" ht="15.75" x14ac:dyDescent="0.5">
      <c r="I464" s="5" t="s">
        <v>256</v>
      </c>
      <c r="J464" s="95">
        <v>220000</v>
      </c>
      <c r="K464" t="str">
        <f>_xlfn.XLOOKUP(TechCleanup[[#This Row],[ProdCode]],Products[ProdCode],Products[Product],,0,)</f>
        <v>Marine energy</v>
      </c>
    </row>
    <row r="465" spans="9:11" ht="15.75" x14ac:dyDescent="0.5">
      <c r="I465" s="5" t="s">
        <v>1007</v>
      </c>
      <c r="J465" s="95">
        <v>340000</v>
      </c>
      <c r="K465" t="str">
        <f>_xlfn.XLOOKUP(TechCleanup[[#This Row],[ProdCode]],Products[ProdCode],Products[Product],,0,)</f>
        <v>Mechanical storage</v>
      </c>
    </row>
    <row r="466" spans="9:11" ht="15.75" x14ac:dyDescent="0.5">
      <c r="I466" s="5" t="s">
        <v>887</v>
      </c>
      <c r="J466" s="125">
        <v>280000</v>
      </c>
      <c r="K466" t="str">
        <f>_xlfn.XLOOKUP(TechCleanup[[#This Row],[ProdCode]],Products[ProdCode],Products[Product],,0,)</f>
        <v>Multiple renewables</v>
      </c>
    </row>
    <row r="467" spans="9:11" ht="15.75" x14ac:dyDescent="0.5">
      <c r="I467" s="5" t="s">
        <v>1243</v>
      </c>
      <c r="J467" s="95">
        <v>200000</v>
      </c>
      <c r="K467" t="str">
        <f>_xlfn.XLOOKUP(TechCleanup[[#This Row],[ProdCode]],Products[ProdCode],Products[Product],,0,)</f>
        <v>Renewable Energy</v>
      </c>
    </row>
    <row r="468" spans="9:11" ht="15.75" x14ac:dyDescent="0.5">
      <c r="I468" s="5" t="s">
        <v>1204</v>
      </c>
      <c r="J468" s="95">
        <v>361310</v>
      </c>
      <c r="K468" t="str">
        <f>_xlfn.XLOOKUP(TechCleanup[[#This Row],[ProdCode]],Products[ProdCode],Products[Product],,0,)</f>
        <v>Metal hydride hydrogen storage</v>
      </c>
    </row>
    <row r="469" spans="9:11" ht="15.75" x14ac:dyDescent="0.5">
      <c r="I469" s="5" t="s">
        <v>1222</v>
      </c>
      <c r="J469" s="95">
        <v>262110</v>
      </c>
      <c r="K469" t="str">
        <f>_xlfn.XLOOKUP(TechCleanup[[#This Row],[ProdCode]],Products[ProdCode],Products[Product],,0,)</f>
        <v>Biomethanol</v>
      </c>
    </row>
    <row r="470" spans="9:11" ht="15.75" x14ac:dyDescent="0.5">
      <c r="I470" s="5" t="s">
        <v>1499</v>
      </c>
      <c r="J470" s="125">
        <v>262110</v>
      </c>
      <c r="K470" t="str">
        <f>_xlfn.XLOOKUP(TechCleanup[[#This Row],[ProdCode]],Products[ProdCode],Products[Product],,0,)</f>
        <v>Biomethanol</v>
      </c>
    </row>
    <row r="471" spans="9:11" ht="15.75" x14ac:dyDescent="0.5">
      <c r="I471" s="5" t="s">
        <v>1104</v>
      </c>
      <c r="J471" s="95">
        <v>262230</v>
      </c>
      <c r="K471" t="str">
        <f>_xlfn.XLOOKUP(TechCleanup[[#This Row],[ProdCode]],Products[ProdCode],Products[Product],,0,)</f>
        <v>Microalgal biodiesel</v>
      </c>
    </row>
    <row r="472" spans="9:11" ht="15.75" x14ac:dyDescent="0.5">
      <c r="I472" s="5" t="s">
        <v>312</v>
      </c>
      <c r="J472" s="95">
        <v>112120</v>
      </c>
      <c r="K472" t="str">
        <f>_xlfn.XLOOKUP(TechCleanup[[#This Row],[ProdCode]],Products[ProdCode],Products[Product],,0,)</f>
        <v>Milled peat</v>
      </c>
    </row>
    <row r="473" spans="9:11" ht="15.75" x14ac:dyDescent="0.5">
      <c r="I473" s="5" t="s">
        <v>248</v>
      </c>
      <c r="J473" s="95">
        <v>212000</v>
      </c>
      <c r="K473" t="str">
        <f>_xlfn.XLOOKUP(TechCleanup[[#This Row],[ProdCode]],Products[ProdCode],Products[Product],,0,)</f>
        <v>Mixed hydropower</v>
      </c>
    </row>
    <row r="474" spans="9:11" ht="15.75" x14ac:dyDescent="0.5">
      <c r="I474" s="5" t="s">
        <v>1081</v>
      </c>
      <c r="J474" s="95">
        <v>212000</v>
      </c>
      <c r="K474" t="str">
        <f>_xlfn.XLOOKUP(TechCleanup[[#This Row],[ProdCode]],Products[ProdCode],Products[Product],,0,)</f>
        <v>Mixed hydropower</v>
      </c>
    </row>
    <row r="475" spans="9:11" x14ac:dyDescent="0.45">
      <c r="I475" s="6" t="s">
        <v>888</v>
      </c>
      <c r="J475" s="95">
        <v>212000</v>
      </c>
      <c r="K475" t="str">
        <f>_xlfn.XLOOKUP(TechCleanup[[#This Row],[ProdCode]],Products[ProdCode],Products[Product],,0,)</f>
        <v>Mixed hydropower</v>
      </c>
    </row>
    <row r="476" spans="9:11" ht="15.75" x14ac:dyDescent="0.5">
      <c r="I476" s="5" t="s">
        <v>1082</v>
      </c>
      <c r="J476" s="95">
        <v>322000</v>
      </c>
      <c r="K476" t="str">
        <f>_xlfn.XLOOKUP(TechCleanup[[#This Row],[ProdCode]],Products[ProdCode],Products[Product],,0,)</f>
        <v>Mobile electric batteries</v>
      </c>
    </row>
    <row r="477" spans="9:11" ht="15.75" x14ac:dyDescent="0.5">
      <c r="I477" s="5" t="s">
        <v>451</v>
      </c>
      <c r="J477" s="95">
        <v>114552</v>
      </c>
      <c r="K477" t="str">
        <f>_xlfn.XLOOKUP(TechCleanup[[#This Row],[ProdCode]],Products[ProdCode],Products[Product],,0,)</f>
        <v>Motor gasoline</v>
      </c>
    </row>
    <row r="478" spans="9:11" ht="15.75" x14ac:dyDescent="0.5">
      <c r="I478" s="5" t="s">
        <v>1845</v>
      </c>
      <c r="J478" s="125">
        <v>114552</v>
      </c>
      <c r="K478" t="str">
        <f>_xlfn.XLOOKUP(TechCleanup[[#This Row],[ProdCode]],Products[ProdCode],Products[Product],,0,)</f>
        <v>Motor gasoline</v>
      </c>
    </row>
    <row r="479" spans="9:11" ht="15.75" x14ac:dyDescent="0.5">
      <c r="I479" s="5" t="s">
        <v>1109</v>
      </c>
      <c r="J479" s="125">
        <v>200000</v>
      </c>
      <c r="K479" t="str">
        <f>_xlfn.XLOOKUP(TechCleanup[[#This Row],[ProdCode]],Products[ProdCode],Products[Product],,0,)</f>
        <v>Renewable Energy</v>
      </c>
    </row>
    <row r="480" spans="9:11" ht="15.75" x14ac:dyDescent="0.5">
      <c r="I480" s="5" t="s">
        <v>1013</v>
      </c>
      <c r="J480" s="125">
        <v>280000</v>
      </c>
      <c r="K480" t="str">
        <f>_xlfn.XLOOKUP(TechCleanup[[#This Row],[ProdCode]],Products[ProdCode],Products[Product],,0,)</f>
        <v>Multiple renewables</v>
      </c>
    </row>
    <row r="481" spans="9:11" ht="15.75" x14ac:dyDescent="0.5">
      <c r="I481" s="5" t="s">
        <v>916</v>
      </c>
      <c r="J481" s="125">
        <v>280000</v>
      </c>
      <c r="K481" t="str">
        <f>_xlfn.XLOOKUP(TechCleanup[[#This Row],[ProdCode]],Products[ProdCode],Products[Product],,0,)</f>
        <v>Multiple renewables</v>
      </c>
    </row>
    <row r="482" spans="9:11" ht="15.75" x14ac:dyDescent="0.5">
      <c r="I482" s="5" t="s">
        <v>702</v>
      </c>
      <c r="J482" s="95">
        <v>280000</v>
      </c>
      <c r="K482" t="str">
        <f>_xlfn.XLOOKUP(TechCleanup[[#This Row],[ProdCode]],Products[ProdCode],Products[Product],,0,)</f>
        <v>Multiple renewables</v>
      </c>
    </row>
    <row r="483" spans="9:11" ht="15.75" x14ac:dyDescent="0.5">
      <c r="I483" s="5" t="s">
        <v>705</v>
      </c>
      <c r="J483" s="95">
        <v>264100</v>
      </c>
      <c r="K483" t="str">
        <f>_xlfn.XLOOKUP(TechCleanup[[#This Row],[ProdCode]],Products[ProdCode],Products[Product],,0,)</f>
        <v>Renewable municipal waste</v>
      </c>
    </row>
    <row r="484" spans="9:11" ht="15.75" x14ac:dyDescent="0.5">
      <c r="I484" s="5" t="s">
        <v>1334</v>
      </c>
      <c r="J484" s="125">
        <v>264100</v>
      </c>
      <c r="K484" t="str">
        <f>_xlfn.XLOOKUP(TechCleanup[[#This Row],[ProdCode]],Products[ProdCode],Products[Product],,0,)</f>
        <v>Renewable municipal waste</v>
      </c>
    </row>
    <row r="485" spans="9:11" ht="15.75" x14ac:dyDescent="0.5">
      <c r="I485" s="5" t="s">
        <v>1356</v>
      </c>
      <c r="J485" s="95">
        <v>132000</v>
      </c>
      <c r="K485" t="str">
        <f>_xlfn.XLOOKUP(TechCleanup[[#This Row],[ProdCode]],Products[ProdCode],Products[Product],,0,)</f>
        <v>Non-renewable municipal waste</v>
      </c>
    </row>
    <row r="486" spans="9:11" ht="15.75" x14ac:dyDescent="0.5">
      <c r="I486" s="5" t="s">
        <v>1055</v>
      </c>
      <c r="J486" s="95">
        <v>132000</v>
      </c>
      <c r="K486" t="str">
        <f>_xlfn.XLOOKUP(TechCleanup[[#This Row],[ProdCode]],Products[ProdCode],Products[Product],,0,)</f>
        <v>Non-renewable municipal waste</v>
      </c>
    </row>
    <row r="487" spans="9:11" ht="15.75" x14ac:dyDescent="0.5">
      <c r="I487" s="5" t="s">
        <v>1056</v>
      </c>
      <c r="J487" s="95">
        <v>264100</v>
      </c>
      <c r="K487" t="str">
        <f>_xlfn.XLOOKUP(TechCleanup[[#This Row],[ProdCode]],Products[ProdCode],Products[Product],,0,)</f>
        <v>Renewable municipal waste</v>
      </c>
    </row>
    <row r="488" spans="9:11" ht="15.75" x14ac:dyDescent="0.5">
      <c r="I488" s="5" t="s">
        <v>1057</v>
      </c>
      <c r="J488" s="95">
        <v>114540</v>
      </c>
      <c r="K488" t="str">
        <f>_xlfn.XLOOKUP(TechCleanup[[#This Row],[ProdCode]],Products[ProdCode],Products[Product],,0,)</f>
        <v>Naphtha</v>
      </c>
    </row>
    <row r="489" spans="9:11" ht="15.75" x14ac:dyDescent="0.5">
      <c r="I489" s="5" t="s">
        <v>1078</v>
      </c>
      <c r="J489" s="95">
        <v>114540</v>
      </c>
      <c r="K489" t="str">
        <f>_xlfn.XLOOKUP(TechCleanup[[#This Row],[ProdCode]],Products[ProdCode],Products[Product],,0,)</f>
        <v>Naphtha</v>
      </c>
    </row>
    <row r="490" spans="9:11" ht="15.75" x14ac:dyDescent="0.5">
      <c r="I490" s="5" t="s">
        <v>1027</v>
      </c>
      <c r="J490" s="95">
        <v>113220</v>
      </c>
      <c r="K490" t="str">
        <f>_xlfn.XLOOKUP(TechCleanup[[#This Row],[ProdCode]],Products[ProdCode],Products[Product],,0,)</f>
        <v>Compressed natural gas</v>
      </c>
    </row>
    <row r="491" spans="9:11" ht="15.75" x14ac:dyDescent="0.5">
      <c r="I491" s="5" t="s">
        <v>889</v>
      </c>
      <c r="J491" s="95">
        <v>113220</v>
      </c>
      <c r="K491" t="str">
        <f>_xlfn.XLOOKUP(TechCleanup[[#This Row],[ProdCode]],Products[ProdCode],Products[Product],,0,)</f>
        <v>Compressed natural gas</v>
      </c>
    </row>
    <row r="492" spans="9:11" ht="15.75" x14ac:dyDescent="0.5">
      <c r="I492" s="5" t="s">
        <v>154</v>
      </c>
      <c r="J492" s="95">
        <v>113220</v>
      </c>
      <c r="K492" t="str">
        <f>_xlfn.XLOOKUP(TechCleanup[[#This Row],[ProdCode]],Products[ProdCode],Products[Product],,0,)</f>
        <v>Compressed natural gas</v>
      </c>
    </row>
    <row r="493" spans="9:11" ht="15.75" x14ac:dyDescent="0.5">
      <c r="I493" s="5" t="s">
        <v>929</v>
      </c>
      <c r="J493" s="95">
        <v>113220</v>
      </c>
      <c r="K493" t="str">
        <f>_xlfn.XLOOKUP(TechCleanup[[#This Row],[ProdCode]],Products[ProdCode],Products[Product],,0,)</f>
        <v>Compressed natural gas</v>
      </c>
    </row>
    <row r="494" spans="9:11" ht="15.75" x14ac:dyDescent="0.5">
      <c r="I494" s="5" t="s">
        <v>1594</v>
      </c>
      <c r="J494" s="95">
        <v>113220</v>
      </c>
      <c r="K494" t="str">
        <f>_xlfn.XLOOKUP(TechCleanup[[#This Row],[ProdCode]],Products[ProdCode],Products[Product],,0,)</f>
        <v>Compressed natural gas</v>
      </c>
    </row>
    <row r="495" spans="9:11" ht="15.75" x14ac:dyDescent="0.5">
      <c r="I495" s="5" t="s">
        <v>1598</v>
      </c>
      <c r="J495" s="95">
        <v>113220</v>
      </c>
      <c r="K495" t="str">
        <f>_xlfn.XLOOKUP(TechCleanup[[#This Row],[ProdCode]],Products[ProdCode],Products[Product],,0,)</f>
        <v>Compressed natural gas</v>
      </c>
    </row>
    <row r="496" spans="9:11" ht="15.75" x14ac:dyDescent="0.5">
      <c r="I496" s="5" t="s">
        <v>1588</v>
      </c>
      <c r="J496" s="95">
        <v>113220</v>
      </c>
      <c r="K496" t="str">
        <f>_xlfn.XLOOKUP(TechCleanup[[#This Row],[ProdCode]],Products[ProdCode],Products[Product],,0,)</f>
        <v>Compressed natural gas</v>
      </c>
    </row>
    <row r="497" spans="9:11" ht="15.75" x14ac:dyDescent="0.5">
      <c r="I497" s="5" t="s">
        <v>1589</v>
      </c>
      <c r="J497" s="95">
        <v>113220</v>
      </c>
      <c r="K497" t="str">
        <f>_xlfn.XLOOKUP(TechCleanup[[#This Row],[ProdCode]],Products[ProdCode],Products[Product],,0,)</f>
        <v>Compressed natural gas</v>
      </c>
    </row>
    <row r="498" spans="9:11" ht="15.75" x14ac:dyDescent="0.5">
      <c r="I498" s="5" t="s">
        <v>1590</v>
      </c>
      <c r="J498" s="95">
        <v>113220</v>
      </c>
      <c r="K498" t="str">
        <f>_xlfn.XLOOKUP(TechCleanup[[#This Row],[ProdCode]],Products[ProdCode],Products[Product],,0,)</f>
        <v>Compressed natural gas</v>
      </c>
    </row>
    <row r="499" spans="9:11" ht="15.75" x14ac:dyDescent="0.5">
      <c r="I499" s="5" t="s">
        <v>1591</v>
      </c>
      <c r="J499" s="95">
        <v>113220</v>
      </c>
      <c r="K499" t="str">
        <f>_xlfn.XLOOKUP(TechCleanup[[#This Row],[ProdCode]],Products[ProdCode],Products[Product],,0,)</f>
        <v>Compressed natural gas</v>
      </c>
    </row>
    <row r="500" spans="9:11" ht="15.75" x14ac:dyDescent="0.5">
      <c r="I500" s="5" t="s">
        <v>1345</v>
      </c>
      <c r="J500" s="95">
        <v>114200</v>
      </c>
      <c r="K500" t="str">
        <f>_xlfn.XLOOKUP(TechCleanup[[#This Row],[ProdCode]],Products[ProdCode],Products[Product],,0,)</f>
        <v>Natural gas liquids (NGL)</v>
      </c>
    </row>
    <row r="501" spans="9:11" ht="15.75" x14ac:dyDescent="0.5">
      <c r="I501" s="5" t="s">
        <v>1460</v>
      </c>
      <c r="J501" s="95">
        <v>114200</v>
      </c>
      <c r="K501" t="str">
        <f>_xlfn.XLOOKUP(TechCleanup[[#This Row],[ProdCode]],Products[ProdCode],Products[Product],,0,)</f>
        <v>Natural gas liquids (NGL)</v>
      </c>
    </row>
    <row r="502" spans="9:11" ht="15.75" x14ac:dyDescent="0.5">
      <c r="I502" s="5" t="s">
        <v>370</v>
      </c>
      <c r="J502" s="95">
        <v>114200</v>
      </c>
      <c r="K502" t="str">
        <f>_xlfn.XLOOKUP(TechCleanup[[#This Row],[ProdCode]],Products[ProdCode],Products[Product],,0,)</f>
        <v>Natural gas liquids (NGL)</v>
      </c>
    </row>
    <row r="503" spans="9:11" ht="15.75" x14ac:dyDescent="0.5">
      <c r="I503" s="5" t="s">
        <v>1844</v>
      </c>
      <c r="J503" s="95">
        <v>114200</v>
      </c>
      <c r="K503" t="str">
        <f>_xlfn.XLOOKUP(TechCleanup[[#This Row],[ProdCode]],Products[ProdCode],Products[Product],,0,)</f>
        <v>Natural gas liquids (NGL)</v>
      </c>
    </row>
    <row r="504" spans="9:11" ht="15.75" x14ac:dyDescent="0.5">
      <c r="I504" s="5" t="s">
        <v>931</v>
      </c>
      <c r="J504" s="95">
        <v>113300</v>
      </c>
      <c r="K504" t="str">
        <f>_xlfn.XLOOKUP(TechCleanup[[#This Row],[ProdCode]],Products[ProdCode],Products[Product],,0,)</f>
        <v>Natural gas products</v>
      </c>
    </row>
    <row r="505" spans="9:11" ht="15.75" x14ac:dyDescent="0.5">
      <c r="I505" s="5" t="s">
        <v>1592</v>
      </c>
      <c r="J505" s="95">
        <v>113220</v>
      </c>
      <c r="K505" t="str">
        <f>_xlfn.XLOOKUP(TechCleanup[[#This Row],[ProdCode]],Products[ProdCode],Products[Product],,0,)</f>
        <v>Compressed natural gas</v>
      </c>
    </row>
    <row r="506" spans="9:11" ht="15.75" x14ac:dyDescent="0.5">
      <c r="I506" s="5" t="s">
        <v>1593</v>
      </c>
      <c r="J506" s="95">
        <v>113220</v>
      </c>
      <c r="K506" t="str">
        <f>_xlfn.XLOOKUP(TechCleanup[[#This Row],[ProdCode]],Products[ProdCode],Products[Product],,0,)</f>
        <v>Compressed natural gas</v>
      </c>
    </row>
    <row r="507" spans="9:11" ht="15.75" x14ac:dyDescent="0.5">
      <c r="I507" s="5" t="s">
        <v>933</v>
      </c>
      <c r="J507" s="95">
        <v>113320</v>
      </c>
      <c r="K507" t="str">
        <f>_xlfn.XLOOKUP(TechCleanup[[#This Row],[ProdCode]],Products[ProdCode],Products[Product],,0,)</f>
        <v>Natural gas-based ammonia</v>
      </c>
    </row>
    <row r="508" spans="9:11" ht="15.75" x14ac:dyDescent="0.5">
      <c r="I508" s="5" t="s">
        <v>932</v>
      </c>
      <c r="J508" s="95">
        <v>113310</v>
      </c>
      <c r="K508" t="str">
        <f>_xlfn.XLOOKUP(TechCleanup[[#This Row],[ProdCode]],Products[ProdCode],Products[Product],,0,)</f>
        <v>Natural gas-based hydrogen</v>
      </c>
    </row>
    <row r="509" spans="9:11" ht="15.75" x14ac:dyDescent="0.5">
      <c r="I509" s="5" t="s">
        <v>1610</v>
      </c>
      <c r="J509" s="95">
        <v>121100</v>
      </c>
      <c r="K509" t="str">
        <f>_xlfn.XLOOKUP(TechCleanup[[#This Row],[ProdCode]],Products[ProdCode],Products[Product],,0,)</f>
        <v>Uranium</v>
      </c>
    </row>
    <row r="510" spans="9:11" ht="15.75" x14ac:dyDescent="0.5">
      <c r="I510" s="5" t="s">
        <v>1058</v>
      </c>
      <c r="J510" s="95">
        <v>114200</v>
      </c>
      <c r="K510" t="str">
        <f>_xlfn.XLOOKUP(TechCleanup[[#This Row],[ProdCode]],Products[ProdCode],Products[Product],,0,)</f>
        <v>Natural gas liquids (NGL)</v>
      </c>
    </row>
    <row r="511" spans="9:11" ht="15.75" x14ac:dyDescent="0.5">
      <c r="I511" s="5" t="s">
        <v>1141</v>
      </c>
      <c r="J511" s="95">
        <v>273400</v>
      </c>
      <c r="K511" t="str">
        <f>_xlfn.XLOOKUP(TechCleanup[[#This Row],[ProdCode]],Products[ProdCode],Products[Product],,0,)</f>
        <v>Non-bio renewable ammonia</v>
      </c>
    </row>
    <row r="512" spans="9:11" ht="15.75" x14ac:dyDescent="0.5">
      <c r="I512" s="5" t="s">
        <v>1138</v>
      </c>
      <c r="J512" s="95">
        <v>271100</v>
      </c>
      <c r="K512" t="str">
        <f>_xlfn.XLOOKUP(TechCleanup[[#This Row],[ProdCode]],Products[ProdCode],Products[Product],,0,)</f>
        <v>Non-bio renewable carbon</v>
      </c>
    </row>
    <row r="513" spans="9:11" ht="15.75" x14ac:dyDescent="0.5">
      <c r="I513" s="5" t="s">
        <v>1185</v>
      </c>
      <c r="J513" s="95">
        <v>272200</v>
      </c>
      <c r="K513" t="str">
        <f>_xlfn.XLOOKUP(TechCleanup[[#This Row],[ProdCode]],Products[ProdCode],Products[Product],,0,)</f>
        <v>Non-bio renewable diesels</v>
      </c>
    </row>
    <row r="514" spans="9:11" ht="15.75" x14ac:dyDescent="0.5">
      <c r="I514" s="5" t="s">
        <v>1174</v>
      </c>
      <c r="J514" s="95">
        <v>273500</v>
      </c>
      <c r="K514" t="str">
        <f>_xlfn.XLOOKUP(TechCleanup[[#This Row],[ProdCode]],Products[ProdCode],Products[Product],,0,)</f>
        <v>Non-bio renewable DME</v>
      </c>
    </row>
    <row r="515" spans="9:11" ht="15.75" x14ac:dyDescent="0.5">
      <c r="I515" s="5" t="s">
        <v>1136</v>
      </c>
      <c r="J515" s="95">
        <v>270000</v>
      </c>
      <c r="K515" t="str">
        <f>_xlfn.XLOOKUP(TechCleanup[[#This Row],[ProdCode]],Products[ProdCode],Products[Product],,0,)</f>
        <v>Non-bio renewable fuels</v>
      </c>
    </row>
    <row r="516" spans="9:11" ht="15.75" x14ac:dyDescent="0.5">
      <c r="I516" s="5" t="s">
        <v>1140</v>
      </c>
      <c r="J516" s="95">
        <v>273000</v>
      </c>
      <c r="K516" t="str">
        <f>_xlfn.XLOOKUP(TechCleanup[[#This Row],[ProdCode]],Products[ProdCode],Products[Product],,0,)</f>
        <v>Non-bio renewable gas fuels</v>
      </c>
    </row>
    <row r="517" spans="9:11" ht="15.75" x14ac:dyDescent="0.5">
      <c r="I517" s="5" t="s">
        <v>1184</v>
      </c>
      <c r="J517" s="95">
        <v>272100</v>
      </c>
      <c r="K517" t="str">
        <f>_xlfn.XLOOKUP(TechCleanup[[#This Row],[ProdCode]],Products[ProdCode],Products[Product],,0,)</f>
        <v>Non-bio renewable gasolines</v>
      </c>
    </row>
    <row r="518" spans="9:11" ht="15.75" x14ac:dyDescent="0.5">
      <c r="I518" s="5" t="s">
        <v>1186</v>
      </c>
      <c r="J518" s="95">
        <v>272300</v>
      </c>
      <c r="K518" t="str">
        <f>_xlfn.XLOOKUP(TechCleanup[[#This Row],[ProdCode]],Products[ProdCode],Products[Product],,0,)</f>
        <v>Non-bio renewable kerosenes</v>
      </c>
    </row>
    <row r="519" spans="9:11" ht="15.75" x14ac:dyDescent="0.5">
      <c r="I519" s="5" t="s">
        <v>1139</v>
      </c>
      <c r="J519" s="95">
        <v>272000</v>
      </c>
      <c r="K519" t="str">
        <f>_xlfn.XLOOKUP(TechCleanup[[#This Row],[ProdCode]],Products[ProdCode],Products[Product],,0,)</f>
        <v>Non-bio renewable liquid fuels</v>
      </c>
    </row>
    <row r="520" spans="9:11" ht="15.75" x14ac:dyDescent="0.5">
      <c r="I520" s="5" t="s">
        <v>1142</v>
      </c>
      <c r="J520" s="95">
        <v>273600</v>
      </c>
      <c r="K520" t="str">
        <f>_xlfn.XLOOKUP(TechCleanup[[#This Row],[ProdCode]],Products[ProdCode],Products[Product],,0,)</f>
        <v>Non-bio renewable methane</v>
      </c>
    </row>
    <row r="521" spans="9:11" ht="15.75" x14ac:dyDescent="0.5">
      <c r="I521" s="5" t="s">
        <v>1137</v>
      </c>
      <c r="J521" s="95">
        <v>271000</v>
      </c>
      <c r="K521" t="str">
        <f>_xlfn.XLOOKUP(TechCleanup[[#This Row],[ProdCode]],Products[ProdCode],Products[Product],,0,)</f>
        <v>Non-bio renewable solid fuels</v>
      </c>
    </row>
    <row r="522" spans="9:11" ht="15.75" x14ac:dyDescent="0.5">
      <c r="I522" s="5" t="s">
        <v>1107</v>
      </c>
      <c r="J522" s="95">
        <v>114570</v>
      </c>
      <c r="K522" t="str">
        <f>_xlfn.XLOOKUP(TechCleanup[[#This Row],[ProdCode]],Products[ProdCode],Products[Product],,0,)</f>
        <v>Gas oil/diesel oil and heavy gas oil</v>
      </c>
    </row>
    <row r="523" spans="9:11" ht="15.75" x14ac:dyDescent="0.5">
      <c r="I523" s="5" t="s">
        <v>1108</v>
      </c>
      <c r="J523" s="95">
        <v>114552</v>
      </c>
      <c r="K523" t="str">
        <f>_xlfn.XLOOKUP(TechCleanup[[#This Row],[ProdCode]],Products[ProdCode],Products[Product],,0,)</f>
        <v>Motor gasoline</v>
      </c>
    </row>
    <row r="524" spans="9:11" ht="15.75" x14ac:dyDescent="0.5">
      <c r="I524" s="5" t="s">
        <v>1111</v>
      </c>
      <c r="J524" s="95">
        <v>114561</v>
      </c>
      <c r="K524" t="str">
        <f>_xlfn.XLOOKUP(TechCleanup[[#This Row],[ProdCode]],Products[ProdCode],Products[Product],,0,)</f>
        <v>Kerosene-type jet fuel</v>
      </c>
    </row>
    <row r="525" spans="9:11" ht="15.75" x14ac:dyDescent="0.5">
      <c r="I525" s="5" t="s">
        <v>1607</v>
      </c>
      <c r="J525" s="95">
        <v>261900</v>
      </c>
      <c r="K525" t="str">
        <f>_xlfn.XLOOKUP(TechCleanup[[#This Row],[ProdCode]],Products[ProdCode],Products[Product],,0,)</f>
        <v>Other solid biofuels</v>
      </c>
    </row>
    <row r="526" spans="9:11" ht="15.75" x14ac:dyDescent="0.5">
      <c r="I526" s="5" t="s">
        <v>1118</v>
      </c>
      <c r="J526" s="95">
        <v>115000</v>
      </c>
      <c r="K526" t="str">
        <f>_xlfn.XLOOKUP(TechCleanup[[#This Row],[ProdCode]],Products[ProdCode],Products[Product],,0,)</f>
        <v>Oil shale/sands</v>
      </c>
    </row>
    <row r="527" spans="9:11" ht="15.75" x14ac:dyDescent="0.5">
      <c r="I527" s="5" t="s">
        <v>1465</v>
      </c>
      <c r="J527" s="95">
        <v>710000</v>
      </c>
      <c r="K527" t="str">
        <f>_xlfn.XLOOKUP(TechCleanup[[#This Row],[ProdCode]],Products[ProdCode],Products[Product],,0,)</f>
        <v>Non-renewable Electricity</v>
      </c>
    </row>
    <row r="528" spans="9:11" ht="15.75" x14ac:dyDescent="0.5">
      <c r="I528" s="5" t="s">
        <v>1468</v>
      </c>
      <c r="J528" s="95">
        <v>142000</v>
      </c>
      <c r="K528" t="str">
        <f>_xlfn.XLOOKUP(TechCleanup[[#This Row],[ProdCode]],Products[ProdCode],Products[Product],,0,)</f>
        <v>Non-renewable electrolytic hydrogen</v>
      </c>
    </row>
    <row r="529" spans="9:11" ht="15.75" x14ac:dyDescent="0.5">
      <c r="I529" s="5" t="s">
        <v>1147</v>
      </c>
      <c r="J529" s="95">
        <v>100000</v>
      </c>
      <c r="K529" t="str">
        <f>_xlfn.XLOOKUP(TechCleanup[[#This Row],[ProdCode]],Products[ProdCode],Products[Product],,0,)</f>
        <v>Non-renewable energy</v>
      </c>
    </row>
    <row r="530" spans="9:11" ht="15.75" x14ac:dyDescent="0.5">
      <c r="I530" s="5" t="s">
        <v>196</v>
      </c>
      <c r="J530" s="95">
        <v>131000</v>
      </c>
      <c r="K530" t="str">
        <f>_xlfn.XLOOKUP(TechCleanup[[#This Row],[ProdCode]],Products[ProdCode],Products[Product],,0,)</f>
        <v>Non-renewable industrial waste</v>
      </c>
    </row>
    <row r="531" spans="9:11" ht="15.75" x14ac:dyDescent="0.5">
      <c r="I531" s="5" t="s">
        <v>204</v>
      </c>
      <c r="J531" s="95">
        <v>132000</v>
      </c>
      <c r="K531" t="str">
        <f>_xlfn.XLOOKUP(TechCleanup[[#This Row],[ProdCode]],Products[ProdCode],Products[Product],,0,)</f>
        <v>Non-renewable municipal waste</v>
      </c>
    </row>
    <row r="532" spans="9:11" ht="15.75" x14ac:dyDescent="0.5">
      <c r="I532" s="5" t="s">
        <v>1469</v>
      </c>
      <c r="J532" s="95">
        <v>143000</v>
      </c>
      <c r="K532" t="str">
        <f>_xlfn.XLOOKUP(TechCleanup[[#This Row],[ProdCode]],Products[ProdCode],Products[Product],,0,)</f>
        <v>Non-renewable thermolytic hydrogen</v>
      </c>
    </row>
    <row r="533" spans="9:11" ht="15.75" x14ac:dyDescent="0.5">
      <c r="I533" s="5" t="s">
        <v>944</v>
      </c>
      <c r="J533" s="95">
        <v>130000</v>
      </c>
      <c r="K533" t="str">
        <f>_xlfn.XLOOKUP(TechCleanup[[#This Row],[ProdCode]],Products[ProdCode],Products[Product],,0,)</f>
        <v>Non-renewable waste</v>
      </c>
    </row>
    <row r="534" spans="9:11" ht="15.75" x14ac:dyDescent="0.5">
      <c r="I534" s="5" t="s">
        <v>1028</v>
      </c>
      <c r="J534" s="95">
        <v>114599</v>
      </c>
      <c r="K534" t="str">
        <f>_xlfn.XLOOKUP(TechCleanup[[#This Row],[ProdCode]],Products[ProdCode],Products[Product],,0,)</f>
        <v>Other oil products n.e.s.</v>
      </c>
    </row>
    <row r="535" spans="9:11" ht="15.75" x14ac:dyDescent="0.5">
      <c r="I535" s="5" t="s">
        <v>1029</v>
      </c>
      <c r="J535" s="95">
        <v>120000</v>
      </c>
      <c r="K535" t="str">
        <f>_xlfn.XLOOKUP(TechCleanup[[#This Row],[ProdCode]],Products[ProdCode],Products[Product],,0,)</f>
        <v>Nuclear energy</v>
      </c>
    </row>
    <row r="536" spans="9:11" ht="15.75" x14ac:dyDescent="0.5">
      <c r="I536" s="5" t="s">
        <v>173</v>
      </c>
      <c r="J536" s="95">
        <v>120000</v>
      </c>
      <c r="K536" t="str">
        <f>_xlfn.XLOOKUP(TechCleanup[[#This Row],[ProdCode]],Products[ProdCode],Products[Product],,0,)</f>
        <v>Nuclear energy</v>
      </c>
    </row>
    <row r="537" spans="9:11" ht="15.75" x14ac:dyDescent="0.5">
      <c r="I537" s="5" t="s">
        <v>1251</v>
      </c>
      <c r="J537" s="95">
        <v>120000</v>
      </c>
      <c r="K537" t="str">
        <f>_xlfn.XLOOKUP(TechCleanup[[#This Row],[ProdCode]],Products[ProdCode],Products[Product],,0,)</f>
        <v>Nuclear energy</v>
      </c>
    </row>
    <row r="538" spans="9:11" ht="15.75" x14ac:dyDescent="0.5">
      <c r="I538" s="5" t="s">
        <v>1129</v>
      </c>
      <c r="J538" s="95">
        <v>121000</v>
      </c>
      <c r="K538" t="str">
        <f>_xlfn.XLOOKUP(TechCleanup[[#This Row],[ProdCode]],Products[ProdCode],Products[Product],,0,)</f>
        <v>Nuclear fission fuels</v>
      </c>
    </row>
    <row r="539" spans="9:11" ht="15.75" x14ac:dyDescent="0.5">
      <c r="I539" s="5" t="s">
        <v>1207</v>
      </c>
      <c r="J539" s="95">
        <v>122000</v>
      </c>
      <c r="K539" t="str">
        <f>_xlfn.XLOOKUP(TechCleanup[[#This Row],[ProdCode]],Products[ProdCode],Products[Product],,0,)</f>
        <v>Nuclear fusion fuels</v>
      </c>
    </row>
    <row r="540" spans="9:11" ht="15.75" x14ac:dyDescent="0.5">
      <c r="I540" s="5" t="s">
        <v>1059</v>
      </c>
      <c r="J540" s="95">
        <v>263190</v>
      </c>
      <c r="K540" t="str">
        <f>_xlfn.XLOOKUP(TechCleanup[[#This Row],[ProdCode]],Products[ProdCode],Products[Product],,0,)</f>
        <v>Other biogas from anaerobic digestion</v>
      </c>
    </row>
    <row r="541" spans="9:11" ht="15.75" x14ac:dyDescent="0.5">
      <c r="I541" s="5" t="s">
        <v>1060</v>
      </c>
      <c r="J541" s="95">
        <v>262990</v>
      </c>
      <c r="K541" t="str">
        <f>_xlfn.XLOOKUP(TechCleanup[[#This Row],[ProdCode]],Products[ProdCode],Products[Product],,0,)</f>
        <v>Other liquid biofuels n.e.s.</v>
      </c>
    </row>
    <row r="542" spans="9:11" ht="15.75" x14ac:dyDescent="0.5">
      <c r="I542" s="5" t="s">
        <v>949</v>
      </c>
      <c r="J542" s="95">
        <v>223000</v>
      </c>
      <c r="K542" t="str">
        <f>_xlfn.XLOOKUP(TechCleanup[[#This Row],[ProdCode]],Products[ProdCode],Products[Product],,0,)</f>
        <v>Ocean current</v>
      </c>
    </row>
    <row r="543" spans="9:11" ht="15.75" x14ac:dyDescent="0.5">
      <c r="I543" s="115" t="s">
        <v>890</v>
      </c>
      <c r="J543" s="95">
        <v>241290</v>
      </c>
      <c r="K543" t="str">
        <f>_xlfn.XLOOKUP(TechCleanup[[#This Row],[ProdCode]],Products[ProdCode],Products[Product],,0,)</f>
        <v>Other off-grid solar photovoltaic</v>
      </c>
    </row>
    <row r="544" spans="9:11" ht="15.75" x14ac:dyDescent="0.5">
      <c r="I544" s="5" t="s">
        <v>339</v>
      </c>
      <c r="J544" s="95">
        <v>241290</v>
      </c>
      <c r="K544" t="str">
        <f>_xlfn.XLOOKUP(TechCleanup[[#This Row],[ProdCode]],Products[ProdCode],Products[Product],,0,)</f>
        <v>Other off-grid solar photovoltaic</v>
      </c>
    </row>
    <row r="545" spans="9:11" ht="15.75" x14ac:dyDescent="0.5">
      <c r="I545" s="5" t="s">
        <v>891</v>
      </c>
      <c r="J545" s="95">
        <v>232000</v>
      </c>
      <c r="K545" t="str">
        <f>_xlfn.XLOOKUP(TechCleanup[[#This Row],[ProdCode]],Products[ProdCode],Products[Product],,0,)</f>
        <v>Offshore wind energy</v>
      </c>
    </row>
    <row r="546" spans="9:11" ht="15.75" x14ac:dyDescent="0.5">
      <c r="I546" s="5" t="s">
        <v>280</v>
      </c>
      <c r="J546" s="95">
        <v>232000</v>
      </c>
      <c r="K546" t="str">
        <f>_xlfn.XLOOKUP(TechCleanup[[#This Row],[ProdCode]],Products[ProdCode],Products[Product],,0,)</f>
        <v>Offshore wind energy</v>
      </c>
    </row>
    <row r="547" spans="9:11" ht="15.75" x14ac:dyDescent="0.5">
      <c r="I547" s="5" t="s">
        <v>1061</v>
      </c>
      <c r="J547" s="95">
        <v>111373</v>
      </c>
      <c r="K547" t="str">
        <f>_xlfn.XLOOKUP(TechCleanup[[#This Row],[ProdCode]],Products[ProdCode],Products[Product],,0,)</f>
        <v>Other recovered gases</v>
      </c>
    </row>
    <row r="548" spans="9:11" ht="15.75" x14ac:dyDescent="0.5">
      <c r="I548" s="5" t="s">
        <v>1030</v>
      </c>
      <c r="J548" s="95">
        <v>114100</v>
      </c>
      <c r="K548" t="str">
        <f>_xlfn.XLOOKUP(TechCleanup[[#This Row],[ProdCode]],Products[ProdCode],Products[Product],,0,)</f>
        <v>Conventional crude oil</v>
      </c>
    </row>
    <row r="549" spans="9:11" ht="15.75" x14ac:dyDescent="0.5">
      <c r="I549" s="5" t="s">
        <v>126</v>
      </c>
      <c r="J549" s="95">
        <v>114100</v>
      </c>
      <c r="K549" t="str">
        <f>_xlfn.XLOOKUP(TechCleanup[[#This Row],[ProdCode]],Products[ProdCode],Products[Product],,0,)</f>
        <v>Conventional crude oil</v>
      </c>
    </row>
    <row r="550" spans="9:11" ht="15.75" x14ac:dyDescent="0.5">
      <c r="I550" s="5" t="s">
        <v>1144</v>
      </c>
      <c r="J550" s="95">
        <v>261520</v>
      </c>
      <c r="K550" t="str">
        <f>_xlfn.XLOOKUP(TechCleanup[[#This Row],[ProdCode]],Products[ProdCode],Products[Product],,0,)</f>
        <v>Oil cakes</v>
      </c>
    </row>
    <row r="551" spans="9:11" ht="15.75" x14ac:dyDescent="0.5">
      <c r="I551" s="5" t="s">
        <v>1503</v>
      </c>
      <c r="J551" s="95">
        <v>261360</v>
      </c>
      <c r="K551" t="str">
        <f>_xlfn.XLOOKUP(TechCleanup[[#This Row],[ProdCode]],Products[ProdCode],Products[Product],,0,)</f>
        <v>Oil plant residues</v>
      </c>
    </row>
    <row r="552" spans="9:11" ht="15.75" x14ac:dyDescent="0.5">
      <c r="I552" s="5" t="s">
        <v>1502</v>
      </c>
      <c r="J552" s="95">
        <v>261360</v>
      </c>
      <c r="K552" t="str">
        <f>_xlfn.XLOOKUP(TechCleanup[[#This Row],[ProdCode]],Products[ProdCode],Products[Product],,0,)</f>
        <v>Oil plant residues</v>
      </c>
    </row>
    <row r="553" spans="9:11" ht="15.75" x14ac:dyDescent="0.5">
      <c r="I553" s="5" t="s">
        <v>1504</v>
      </c>
      <c r="J553" s="95">
        <v>261360</v>
      </c>
      <c r="K553" t="str">
        <f>_xlfn.XLOOKUP(TechCleanup[[#This Row],[ProdCode]],Products[ProdCode],Products[Product],,0,)</f>
        <v>Oil plant residues</v>
      </c>
    </row>
    <row r="554" spans="9:11" ht="15.75" x14ac:dyDescent="0.5">
      <c r="I554" s="5" t="s">
        <v>1599</v>
      </c>
      <c r="J554" s="95">
        <v>114100</v>
      </c>
      <c r="K554" t="str">
        <f>_xlfn.XLOOKUP(TechCleanup[[#This Row],[ProdCode]],Products[ProdCode],Products[Product],,0,)</f>
        <v>Conventional crude oil</v>
      </c>
    </row>
    <row r="555" spans="9:11" ht="15.75" x14ac:dyDescent="0.5">
      <c r="I555" s="5" t="s">
        <v>1600</v>
      </c>
      <c r="J555" s="95">
        <v>114100</v>
      </c>
      <c r="K555" t="str">
        <f>_xlfn.XLOOKUP(TechCleanup[[#This Row],[ProdCode]],Products[ProdCode],Products[Product],,0,)</f>
        <v>Conventional crude oil</v>
      </c>
    </row>
    <row r="556" spans="9:11" ht="15.75" x14ac:dyDescent="0.5">
      <c r="I556" s="5" t="s">
        <v>1601</v>
      </c>
      <c r="J556" s="95">
        <v>114100</v>
      </c>
      <c r="K556" t="str">
        <f>_xlfn.XLOOKUP(TechCleanup[[#This Row],[ProdCode]],Products[ProdCode],Products[Product],,0,)</f>
        <v>Conventional crude oil</v>
      </c>
    </row>
    <row r="557" spans="9:11" ht="15.75" x14ac:dyDescent="0.5">
      <c r="I557" s="5" t="s">
        <v>1602</v>
      </c>
      <c r="J557" s="95">
        <v>114100</v>
      </c>
      <c r="K557" t="str">
        <f>_xlfn.XLOOKUP(TechCleanup[[#This Row],[ProdCode]],Products[ProdCode],Products[Product],,0,)</f>
        <v>Conventional crude oil</v>
      </c>
    </row>
    <row r="558" spans="9:11" ht="15.75" x14ac:dyDescent="0.5">
      <c r="I558" s="5" t="s">
        <v>972</v>
      </c>
      <c r="J558" s="95">
        <v>261360</v>
      </c>
      <c r="K558" t="str">
        <f>_xlfn.XLOOKUP(TechCleanup[[#This Row],[ProdCode]],Products[ProdCode],Products[Product],,0,)</f>
        <v>Oil plant residues</v>
      </c>
    </row>
    <row r="559" spans="9:11" ht="15.75" x14ac:dyDescent="0.5">
      <c r="I559" s="5" t="s">
        <v>892</v>
      </c>
      <c r="J559" s="95">
        <v>114599</v>
      </c>
      <c r="K559" t="str">
        <f>_xlfn.XLOOKUP(TechCleanup[[#This Row],[ProdCode]],Products[ProdCode],Products[Product],,0,)</f>
        <v>Other oil products n.e.s.</v>
      </c>
    </row>
    <row r="560" spans="9:11" ht="15.75" x14ac:dyDescent="0.5">
      <c r="I560" s="5" t="s">
        <v>145</v>
      </c>
      <c r="J560" s="95">
        <v>114599</v>
      </c>
      <c r="K560" t="str">
        <f>_xlfn.XLOOKUP(TechCleanup[[#This Row],[ProdCode]],Products[ProdCode],Products[Product],,0,)</f>
        <v>Other oil products n.e.s.</v>
      </c>
    </row>
    <row r="561" spans="9:11" ht="15.75" x14ac:dyDescent="0.5">
      <c r="I561" s="5" t="s">
        <v>1605</v>
      </c>
      <c r="J561" s="95">
        <v>114599</v>
      </c>
      <c r="K561" t="str">
        <f>_xlfn.XLOOKUP(TechCleanup[[#This Row],[ProdCode]],Products[ProdCode],Products[Product],,0,)</f>
        <v>Other oil products n.e.s.</v>
      </c>
    </row>
    <row r="562" spans="9:11" ht="15.75" x14ac:dyDescent="0.5">
      <c r="I562" s="5" t="s">
        <v>1462</v>
      </c>
      <c r="J562" s="95">
        <v>115000</v>
      </c>
      <c r="K562" t="str">
        <f>_xlfn.XLOOKUP(TechCleanup[[#This Row],[ProdCode]],Products[ProdCode],Products[Product],,0,)</f>
        <v>Oil shale/sands</v>
      </c>
    </row>
    <row r="563" spans="9:11" ht="15.75" x14ac:dyDescent="0.5">
      <c r="I563" s="5" t="s">
        <v>1366</v>
      </c>
      <c r="J563" s="95">
        <v>115000</v>
      </c>
      <c r="K563" t="str">
        <f>_xlfn.XLOOKUP(TechCleanup[[#This Row],[ProdCode]],Products[ProdCode],Products[Product],,0,)</f>
        <v>Oil shale/sands</v>
      </c>
    </row>
    <row r="564" spans="9:11" ht="15.75" x14ac:dyDescent="0.5">
      <c r="I564" s="5" t="s">
        <v>1244</v>
      </c>
      <c r="J564" s="95">
        <v>115000</v>
      </c>
      <c r="K564" t="str">
        <f>_xlfn.XLOOKUP(TechCleanup[[#This Row],[ProdCode]],Products[ProdCode],Products[Product],,0,)</f>
        <v>Oil shale/sands</v>
      </c>
    </row>
    <row r="565" spans="9:11" ht="15.75" x14ac:dyDescent="0.5">
      <c r="I565" s="5" t="s">
        <v>942</v>
      </c>
      <c r="J565" s="95">
        <v>115000</v>
      </c>
      <c r="K565" t="str">
        <f>_xlfn.XLOOKUP(TechCleanup[[#This Row],[ProdCode]],Products[ProdCode],Products[Product],,0,)</f>
        <v>Oil shale/sands</v>
      </c>
    </row>
    <row r="566" spans="9:11" ht="15.75" x14ac:dyDescent="0.5">
      <c r="I566" s="5" t="s">
        <v>1604</v>
      </c>
      <c r="J566" s="95">
        <v>114100</v>
      </c>
      <c r="K566" t="str">
        <f>_xlfn.XLOOKUP(TechCleanup[[#This Row],[ProdCode]],Products[ProdCode],Products[Product],,0,)</f>
        <v>Conventional crude oil</v>
      </c>
    </row>
    <row r="567" spans="9:11" ht="15.75" x14ac:dyDescent="0.5">
      <c r="I567" s="5" t="s">
        <v>1603</v>
      </c>
      <c r="J567" s="95">
        <v>114100</v>
      </c>
      <c r="K567" t="str">
        <f>_xlfn.XLOOKUP(TechCleanup[[#This Row],[ProdCode]],Products[ProdCode],Products[Product],,0,)</f>
        <v>Conventional crude oil</v>
      </c>
    </row>
    <row r="568" spans="9:11" ht="15.75" x14ac:dyDescent="0.5">
      <c r="I568" s="5" t="s">
        <v>940</v>
      </c>
      <c r="J568" s="95">
        <v>114597</v>
      </c>
      <c r="K568" t="str">
        <f>_xlfn.XLOOKUP(TechCleanup[[#This Row],[ProdCode]],Products[ProdCode],Products[Product],,0,)</f>
        <v>Oil-based ammonia</v>
      </c>
    </row>
    <row r="569" spans="9:11" ht="15.75" x14ac:dyDescent="0.5">
      <c r="I569" s="5" t="s">
        <v>939</v>
      </c>
      <c r="J569" s="95">
        <v>114596</v>
      </c>
      <c r="K569" t="str">
        <f>_xlfn.XLOOKUP(TechCleanup[[#This Row],[ProdCode]],Products[ProdCode],Products[Product],,0,)</f>
        <v>Oil-based hydrogen</v>
      </c>
    </row>
    <row r="570" spans="9:11" ht="15.75" x14ac:dyDescent="0.5">
      <c r="I570" s="5" t="s">
        <v>1279</v>
      </c>
      <c r="J570" s="95">
        <v>111320</v>
      </c>
      <c r="K570" t="str">
        <f>_xlfn.XLOOKUP(TechCleanup[[#This Row],[ProdCode]],Products[ProdCode],Products[Product],,0,)</f>
        <v>Patent fuel</v>
      </c>
    </row>
    <row r="571" spans="9:11" ht="15.75" x14ac:dyDescent="0.5">
      <c r="I571" s="5" t="s">
        <v>1280</v>
      </c>
      <c r="J571" s="95">
        <v>111320</v>
      </c>
      <c r="K571" t="str">
        <f>_xlfn.XLOOKUP(TechCleanup[[#This Row],[ProdCode]],Products[ProdCode],Products[Product],,0,)</f>
        <v>Patent fuel</v>
      </c>
    </row>
    <row r="572" spans="9:11" ht="15.75" x14ac:dyDescent="0.5">
      <c r="I572" s="5" t="s">
        <v>1274</v>
      </c>
      <c r="J572" s="95">
        <v>111399</v>
      </c>
      <c r="K572" t="str">
        <f>_xlfn.XLOOKUP(TechCleanup[[#This Row],[ProdCode]],Products[ProdCode],Products[Product],,0,)</f>
        <v>Other coal products n.e.s.</v>
      </c>
    </row>
    <row r="573" spans="9:11" ht="15.75" x14ac:dyDescent="0.5">
      <c r="I573" s="5" t="s">
        <v>1277</v>
      </c>
      <c r="J573" s="95">
        <v>111399</v>
      </c>
      <c r="K573" t="str">
        <f>_xlfn.XLOOKUP(TechCleanup[[#This Row],[ProdCode]],Products[ProdCode],Products[Product],,0,)</f>
        <v>Other coal products n.e.s.</v>
      </c>
    </row>
    <row r="574" spans="9:11" ht="15.75" x14ac:dyDescent="0.5">
      <c r="I574" s="5" t="s">
        <v>1275</v>
      </c>
      <c r="J574" s="95">
        <v>111399</v>
      </c>
      <c r="K574" t="str">
        <f>_xlfn.XLOOKUP(TechCleanup[[#This Row],[ProdCode]],Products[ProdCode],Products[Product],,0,)</f>
        <v>Other coal products n.e.s.</v>
      </c>
    </row>
    <row r="575" spans="9:11" ht="15.75" x14ac:dyDescent="0.5">
      <c r="I575" s="5" t="s">
        <v>1276</v>
      </c>
      <c r="J575" s="95">
        <v>111399</v>
      </c>
      <c r="K575" t="str">
        <f>_xlfn.XLOOKUP(TechCleanup[[#This Row],[ProdCode]],Products[ProdCode],Products[Product],,0,)</f>
        <v>Other coal products n.e.s.</v>
      </c>
    </row>
    <row r="576" spans="9:11" ht="15.75" x14ac:dyDescent="0.5">
      <c r="I576" s="5" t="s">
        <v>1283</v>
      </c>
      <c r="J576" s="95">
        <v>114100</v>
      </c>
      <c r="K576" t="str">
        <f>_xlfn.XLOOKUP(TechCleanup[[#This Row],[ProdCode]],Products[ProdCode],Products[Product],,0,)</f>
        <v>Conventional crude oil</v>
      </c>
    </row>
    <row r="577" spans="9:11" ht="15.75" x14ac:dyDescent="0.5">
      <c r="I577" s="5" t="s">
        <v>1062</v>
      </c>
      <c r="J577" s="95">
        <v>115000</v>
      </c>
      <c r="K577" t="str">
        <f>_xlfn.XLOOKUP(TechCleanup[[#This Row],[ProdCode]],Products[ProdCode],Products[Product],,0,)</f>
        <v>Oil shale/sands</v>
      </c>
    </row>
    <row r="578" spans="9:11" ht="15.75" x14ac:dyDescent="0.5">
      <c r="I578" s="5" t="s">
        <v>1158</v>
      </c>
      <c r="J578" s="95">
        <v>241130</v>
      </c>
      <c r="K578" t="str">
        <f>_xlfn.XLOOKUP(TechCleanup[[#This Row],[ProdCode]],Products[ProdCode],Products[Product],,0,)</f>
        <v>On-grid distributed photovoltaic (&lt;30 kW)</v>
      </c>
    </row>
    <row r="579" spans="9:11" ht="15.75" x14ac:dyDescent="0.5">
      <c r="I579" s="5" t="s">
        <v>1156</v>
      </c>
      <c r="J579" s="95">
        <v>241120</v>
      </c>
      <c r="K579" t="str">
        <f>_xlfn.XLOOKUP(TechCleanup[[#This Row],[ProdCode]],Products[ProdCode],Products[Product],,0,)</f>
        <v>On-grid distributed photovoltaic (30-1 000 kW)</v>
      </c>
    </row>
    <row r="580" spans="9:11" x14ac:dyDescent="0.45">
      <c r="I580" s="7" t="s">
        <v>893</v>
      </c>
      <c r="J580" s="95">
        <v>241130</v>
      </c>
      <c r="K580" t="str">
        <f>_xlfn.XLOOKUP(TechCleanup[[#This Row],[ProdCode]],Products[ProdCode],Products[Product],,0,)</f>
        <v>On-grid distributed photovoltaic (&lt;30 kW)</v>
      </c>
    </row>
    <row r="581" spans="9:11" x14ac:dyDescent="0.45">
      <c r="I581" s="7" t="s">
        <v>894</v>
      </c>
      <c r="J581" s="95">
        <v>241110</v>
      </c>
      <c r="K581" t="str">
        <f>_xlfn.XLOOKUP(TechCleanup[[#This Row],[ProdCode]],Products[ProdCode],Products[Product],,0,)</f>
        <v>On-grid utility-scale photovoltaic (&gt;1 000 kW)</v>
      </c>
    </row>
    <row r="582" spans="9:11" x14ac:dyDescent="0.45">
      <c r="I582" s="7" t="s">
        <v>895</v>
      </c>
      <c r="J582" s="95">
        <v>241120</v>
      </c>
      <c r="K582" t="str">
        <f>_xlfn.XLOOKUP(TechCleanup[[#This Row],[ProdCode]],Products[ProdCode],Products[Product],,0,)</f>
        <v>On-grid distributed photovoltaic (30-1 000 kW)</v>
      </c>
    </row>
    <row r="583" spans="9:11" ht="15.75" x14ac:dyDescent="0.5">
      <c r="I583" s="5" t="s">
        <v>308</v>
      </c>
      <c r="J583" s="95">
        <v>241100</v>
      </c>
      <c r="K583" t="str">
        <f>_xlfn.XLOOKUP(TechCleanup[[#This Row],[ProdCode]],Products[ProdCode],Products[Product],,0,)</f>
        <v>On-grid solar photovoltaic</v>
      </c>
    </row>
    <row r="584" spans="9:11" ht="15.75" x14ac:dyDescent="0.5">
      <c r="I584" s="5" t="s">
        <v>1153</v>
      </c>
      <c r="J584" s="95">
        <v>241100</v>
      </c>
      <c r="K584" t="str">
        <f>_xlfn.XLOOKUP(TechCleanup[[#This Row],[ProdCode]],Products[ProdCode],Products[Product],,0,)</f>
        <v>On-grid solar photovoltaic</v>
      </c>
    </row>
    <row r="585" spans="9:11" ht="15.75" x14ac:dyDescent="0.5">
      <c r="I585" s="5" t="s">
        <v>1157</v>
      </c>
      <c r="J585" s="95">
        <v>241110</v>
      </c>
      <c r="K585" t="str">
        <f>_xlfn.XLOOKUP(TechCleanup[[#This Row],[ProdCode]],Products[ProdCode],Products[Product],,0,)</f>
        <v>On-grid utility-scale photovoltaic (&gt;1 000 kW)</v>
      </c>
    </row>
    <row r="586" spans="9:11" ht="15.75" x14ac:dyDescent="0.5">
      <c r="I586" s="5" t="s">
        <v>1105</v>
      </c>
      <c r="J586" s="95">
        <v>114599</v>
      </c>
      <c r="K586" t="str">
        <f>_xlfn.XLOOKUP(TechCleanup[[#This Row],[ProdCode]],Products[ProdCode],Products[Product],,0,)</f>
        <v>Other oil products n.e.s.</v>
      </c>
    </row>
    <row r="587" spans="9:11" ht="15.75" x14ac:dyDescent="0.5">
      <c r="I587" s="5" t="s">
        <v>896</v>
      </c>
      <c r="J587" s="95">
        <v>231000</v>
      </c>
      <c r="K587" t="str">
        <f>_xlfn.XLOOKUP(TechCleanup[[#This Row],[ProdCode]],Products[ProdCode],Products[Product],,0,)</f>
        <v>Onshore wind energy</v>
      </c>
    </row>
    <row r="588" spans="9:11" ht="15.75" x14ac:dyDescent="0.5">
      <c r="I588" s="5" t="s">
        <v>273</v>
      </c>
      <c r="J588" s="95">
        <v>231000</v>
      </c>
      <c r="K588" t="str">
        <f>_xlfn.XLOOKUP(TechCleanup[[#This Row],[ProdCode]],Products[ProdCode],Products[Product],,0,)</f>
        <v>Onshore wind energy</v>
      </c>
    </row>
    <row r="589" spans="9:11" ht="15.75" x14ac:dyDescent="0.5">
      <c r="I589" s="5" t="s">
        <v>1063</v>
      </c>
      <c r="J589" s="95">
        <v>114599</v>
      </c>
      <c r="K589" t="str">
        <f>_xlfn.XLOOKUP(TechCleanup[[#This Row],[ProdCode]],Products[ProdCode],Products[Product],,0,)</f>
        <v>Other oil products n.e.s.</v>
      </c>
    </row>
    <row r="590" spans="9:11" ht="15.75" x14ac:dyDescent="0.5">
      <c r="I590" s="5" t="s">
        <v>1346</v>
      </c>
      <c r="J590" s="95">
        <v>111320</v>
      </c>
      <c r="K590" t="str">
        <f>_xlfn.XLOOKUP(TechCleanup[[#This Row],[ProdCode]],Products[ProdCode],Products[Product],,0,)</f>
        <v>Patent fuel</v>
      </c>
    </row>
    <row r="591" spans="9:11" ht="15.75" x14ac:dyDescent="0.5">
      <c r="I591" s="5" t="s">
        <v>1031</v>
      </c>
      <c r="J591" s="95">
        <v>299000</v>
      </c>
      <c r="K591" t="str">
        <f>_xlfn.XLOOKUP(TechCleanup[[#This Row],[ProdCode]],Products[ProdCode],Products[Product],,0,)</f>
        <v>Other renewable energy n.e.s.</v>
      </c>
    </row>
    <row r="592" spans="9:11" ht="15.75" x14ac:dyDescent="0.5">
      <c r="I592" s="5" t="s">
        <v>976</v>
      </c>
      <c r="J592" s="95">
        <v>261490</v>
      </c>
      <c r="K592" t="str">
        <f>_xlfn.XLOOKUP(TechCleanup[[#This Row],[ProdCode]],Products[ProdCode],Products[Product],,0,)</f>
        <v>Other animal residues</v>
      </c>
    </row>
    <row r="593" spans="9:11" ht="15.75" x14ac:dyDescent="0.5">
      <c r="I593" s="5" t="s">
        <v>1168</v>
      </c>
      <c r="J593" s="95">
        <v>262290</v>
      </c>
      <c r="K593" t="str">
        <f>_xlfn.XLOOKUP(TechCleanup[[#This Row],[ProdCode]],Products[ProdCode],Products[Product],,0,)</f>
        <v>Other biodiesels</v>
      </c>
    </row>
    <row r="594" spans="9:11" ht="15.75" x14ac:dyDescent="0.5">
      <c r="I594" s="5" t="s">
        <v>1335</v>
      </c>
      <c r="J594" s="95">
        <v>263190</v>
      </c>
      <c r="K594" t="str">
        <f>_xlfn.XLOOKUP(TechCleanup[[#This Row],[ProdCode]],Products[ProdCode],Products[Product],,0,)</f>
        <v>Other biogas from anaerobic digestion</v>
      </c>
    </row>
    <row r="595" spans="9:11" ht="15.75" x14ac:dyDescent="0.5">
      <c r="I595" s="5" t="s">
        <v>1203</v>
      </c>
      <c r="J595" s="95">
        <v>263190</v>
      </c>
      <c r="K595" t="str">
        <f>_xlfn.XLOOKUP(TechCleanup[[#This Row],[ProdCode]],Products[ProdCode],Products[Product],,0,)</f>
        <v>Other biogas from anaerobic digestion</v>
      </c>
    </row>
    <row r="596" spans="9:11" ht="15.75" x14ac:dyDescent="0.5">
      <c r="I596" s="5" t="s">
        <v>659</v>
      </c>
      <c r="J596" s="95">
        <v>263190</v>
      </c>
      <c r="K596" t="str">
        <f>_xlfn.XLOOKUP(TechCleanup[[#This Row],[ProdCode]],Products[ProdCode],Products[Product],,0,)</f>
        <v>Other biogas from anaerobic digestion</v>
      </c>
    </row>
    <row r="597" spans="9:11" ht="15.75" x14ac:dyDescent="0.5">
      <c r="I597" s="5" t="s">
        <v>1167</v>
      </c>
      <c r="J597" s="95">
        <v>262190</v>
      </c>
      <c r="K597" t="str">
        <f>_xlfn.XLOOKUP(TechCleanup[[#This Row],[ProdCode]],Products[ProdCode],Products[Product],,0,)</f>
        <v>Other biogasolines</v>
      </c>
    </row>
    <row r="598" spans="9:11" ht="15.75" x14ac:dyDescent="0.5">
      <c r="I598" s="5" t="s">
        <v>978</v>
      </c>
      <c r="J598" s="95">
        <v>261590</v>
      </c>
      <c r="K598" t="str">
        <f>_xlfn.XLOOKUP(TechCleanup[[#This Row],[ProdCode]],Products[ProdCode],Products[Product],,0,)</f>
        <v>Other biomass pellets and briquettes</v>
      </c>
    </row>
    <row r="599" spans="9:11" ht="15.75" x14ac:dyDescent="0.5">
      <c r="I599" s="5" t="s">
        <v>1146</v>
      </c>
      <c r="J599" s="95">
        <v>261390</v>
      </c>
      <c r="K599" t="str">
        <f>_xlfn.XLOOKUP(TechCleanup[[#This Row],[ProdCode]],Products[ProdCode],Products[Product],,0,)</f>
        <v>Other biomass processing residues</v>
      </c>
    </row>
    <row r="600" spans="9:11" ht="15.75" x14ac:dyDescent="0.5">
      <c r="I600" s="5" t="s">
        <v>130</v>
      </c>
      <c r="J600" s="95">
        <v>111129</v>
      </c>
      <c r="K600" t="str">
        <f>_xlfn.XLOOKUP(TechCleanup[[#This Row],[ProdCode]],Products[ProdCode],Products[Product],,0,)</f>
        <v>Other bituminous coal</v>
      </c>
    </row>
    <row r="601" spans="9:11" ht="15.75" x14ac:dyDescent="0.5">
      <c r="I601" s="5" t="s">
        <v>1367</v>
      </c>
      <c r="J601" s="95">
        <v>111129</v>
      </c>
      <c r="K601" t="str">
        <f>_xlfn.XLOOKUP(TechCleanup[[#This Row],[ProdCode]],Products[ProdCode],Products[Product],,0,)</f>
        <v>Other bituminous coal</v>
      </c>
    </row>
    <row r="602" spans="9:11" ht="15.75" x14ac:dyDescent="0.5">
      <c r="I602" s="5" t="s">
        <v>1181</v>
      </c>
      <c r="J602" s="95">
        <v>369000</v>
      </c>
      <c r="K602" t="str">
        <f>_xlfn.XLOOKUP(TechCleanup[[#This Row],[ProdCode]],Products[ProdCode],Products[Product],,0,)</f>
        <v>Other chemical fuels storage</v>
      </c>
    </row>
    <row r="603" spans="9:11" ht="15.75" x14ac:dyDescent="0.5">
      <c r="I603" s="5" t="s">
        <v>284</v>
      </c>
      <c r="J603" s="95">
        <v>111390</v>
      </c>
      <c r="K603" t="str">
        <f>_xlfn.XLOOKUP(TechCleanup[[#This Row],[ProdCode]],Products[ProdCode],Products[Product],,0,)</f>
        <v>Other coal products</v>
      </c>
    </row>
    <row r="604" spans="9:11" ht="15.75" x14ac:dyDescent="0.5">
      <c r="I604" s="5" t="s">
        <v>928</v>
      </c>
      <c r="J604" s="95">
        <v>111399</v>
      </c>
      <c r="K604" t="str">
        <f>_xlfn.XLOOKUP(TechCleanup[[#This Row],[ProdCode]],Products[ProdCode],Products[Product],,0,)</f>
        <v>Other coal products n.e.s.</v>
      </c>
    </row>
    <row r="605" spans="9:11" ht="15.75" x14ac:dyDescent="0.5">
      <c r="I605" s="5" t="s">
        <v>1160</v>
      </c>
      <c r="J605" s="95">
        <v>242190</v>
      </c>
      <c r="K605" t="str">
        <f>_xlfn.XLOOKUP(TechCleanup[[#This Row],[ProdCode]],Products[ProdCode],Products[Product],,0,)</f>
        <v>Other concentrated solar power</v>
      </c>
    </row>
    <row r="606" spans="9:11" ht="15.75" x14ac:dyDescent="0.5">
      <c r="I606" s="5" t="s">
        <v>1176</v>
      </c>
      <c r="J606" s="95">
        <v>319000</v>
      </c>
      <c r="K606" t="str">
        <f>_xlfn.XLOOKUP(TechCleanup[[#This Row],[ProdCode]],Products[ProdCode],Products[Product],,0,)</f>
        <v>Other electric storage</v>
      </c>
    </row>
    <row r="607" spans="9:11" ht="15.75" x14ac:dyDescent="0.5">
      <c r="I607" s="5" t="s">
        <v>1177</v>
      </c>
      <c r="J607" s="95">
        <v>329000</v>
      </c>
      <c r="K607" t="str">
        <f>_xlfn.XLOOKUP(TechCleanup[[#This Row],[ProdCode]],Products[ProdCode],Products[Product],,0,)</f>
        <v>Other electrochemical storage</v>
      </c>
    </row>
    <row r="608" spans="9:11" ht="15.75" x14ac:dyDescent="0.5">
      <c r="I608" s="5" t="s">
        <v>1178</v>
      </c>
      <c r="J608" s="95">
        <v>339000</v>
      </c>
      <c r="K608" t="str">
        <f>_xlfn.XLOOKUP(TechCleanup[[#This Row],[ProdCode]],Products[ProdCode],Products[Product],,0,)</f>
        <v>Other electromagnetic storage</v>
      </c>
    </row>
    <row r="609" spans="9:11" ht="15.75" x14ac:dyDescent="0.5">
      <c r="I609" s="5" t="s">
        <v>1152</v>
      </c>
      <c r="J609" s="95">
        <v>119200</v>
      </c>
      <c r="K609" t="str">
        <f>_xlfn.XLOOKUP(TechCleanup[[#This Row],[ProdCode]],Products[ProdCode],Products[Product],,0,)</f>
        <v>Other fossil fuel products</v>
      </c>
    </row>
    <row r="610" spans="9:11" ht="15.75" x14ac:dyDescent="0.5">
      <c r="I610" s="5" t="s">
        <v>1150</v>
      </c>
      <c r="J610" s="95">
        <v>119000</v>
      </c>
      <c r="K610" t="str">
        <f>_xlfn.XLOOKUP(TechCleanup[[#This Row],[ProdCode]],Products[ProdCode],Products[Product],,0,)</f>
        <v>Other fossil fuels</v>
      </c>
    </row>
    <row r="611" spans="9:11" ht="15.75" x14ac:dyDescent="0.5">
      <c r="I611" s="5" t="s">
        <v>943</v>
      </c>
      <c r="J611" s="95">
        <v>119900</v>
      </c>
      <c r="K611" t="str">
        <f>_xlfn.XLOOKUP(TechCleanup[[#This Row],[ProdCode]],Products[ProdCode],Products[Product],,0,)</f>
        <v>Other fossil fuels n.e.s.</v>
      </c>
    </row>
    <row r="612" spans="9:11" ht="15.75" x14ac:dyDescent="0.5">
      <c r="I612" s="5" t="s">
        <v>1171</v>
      </c>
      <c r="J612" s="95">
        <v>263390</v>
      </c>
      <c r="K612" t="str">
        <f>_xlfn.XLOOKUP(TechCleanup[[#This Row],[ProdCode]],Products[ProdCode],Products[Product],,0,)</f>
        <v>Other gas biofuels products</v>
      </c>
    </row>
    <row r="613" spans="9:11" ht="15.75" x14ac:dyDescent="0.5">
      <c r="I613" s="5" t="s">
        <v>1436</v>
      </c>
      <c r="J613" s="95">
        <v>361190</v>
      </c>
      <c r="K613" t="str">
        <f>_xlfn.XLOOKUP(TechCleanup[[#This Row],[ProdCode]],Products[ProdCode],Products[Product],,0,)</f>
        <v>Other gas hydrogen storage</v>
      </c>
    </row>
    <row r="614" spans="9:11" ht="15.75" x14ac:dyDescent="0.5">
      <c r="I614" s="5" t="s">
        <v>968</v>
      </c>
      <c r="J614" s="95">
        <v>261290</v>
      </c>
      <c r="K614" t="str">
        <f>_xlfn.XLOOKUP(TechCleanup[[#This Row],[ProdCode]],Products[ProdCode],Products[Product],,0,)</f>
        <v>Other harvest residues</v>
      </c>
    </row>
    <row r="615" spans="9:11" ht="15.75" x14ac:dyDescent="0.5">
      <c r="I615" s="5" t="s">
        <v>965</v>
      </c>
      <c r="J615" s="95">
        <v>261190</v>
      </c>
      <c r="K615" t="str">
        <f>_xlfn.XLOOKUP(TechCleanup[[#This Row],[ProdCode]],Products[ProdCode],Products[Product],,0,)</f>
        <v>Other harvested biomass</v>
      </c>
    </row>
    <row r="616" spans="9:11" ht="15.75" x14ac:dyDescent="0.5">
      <c r="I616" s="5" t="s">
        <v>392</v>
      </c>
      <c r="J616" s="95">
        <v>114598</v>
      </c>
      <c r="K616" t="str">
        <f>_xlfn.XLOOKUP(TechCleanup[[#This Row],[ProdCode]],Products[ProdCode],Products[Product],,0,)</f>
        <v>Other hydrocarbons</v>
      </c>
    </row>
    <row r="617" spans="9:11" ht="15.75" x14ac:dyDescent="0.5">
      <c r="I617" s="5" t="s">
        <v>392</v>
      </c>
      <c r="J617" s="95">
        <v>114598</v>
      </c>
      <c r="K617" t="str">
        <f>_xlfn.XLOOKUP(TechCleanup[[#This Row],[ProdCode]],Products[ProdCode],Products[Product],,0,)</f>
        <v>Other hydrocarbons</v>
      </c>
    </row>
    <row r="618" spans="9:11" ht="15.75" x14ac:dyDescent="0.5">
      <c r="I618" s="5" t="s">
        <v>484</v>
      </c>
      <c r="J618" s="95">
        <v>114569</v>
      </c>
      <c r="K618" t="str">
        <f>_xlfn.XLOOKUP(TechCleanup[[#This Row],[ProdCode]],Products[ProdCode],Products[Product],,0,)</f>
        <v>Other kerosene</v>
      </c>
    </row>
    <row r="619" spans="9:11" ht="15.75" x14ac:dyDescent="0.5">
      <c r="I619" s="5" t="s">
        <v>1849</v>
      </c>
      <c r="J619" s="95">
        <v>114569</v>
      </c>
      <c r="K619" t="str">
        <f>_xlfn.XLOOKUP(TechCleanup[[#This Row],[ProdCode]],Products[ProdCode],Products[Product],,0,)</f>
        <v>Other kerosene</v>
      </c>
    </row>
    <row r="620" spans="9:11" ht="15.75" x14ac:dyDescent="0.5">
      <c r="I620" s="5" t="s">
        <v>623</v>
      </c>
      <c r="J620" s="95">
        <v>262990</v>
      </c>
      <c r="K620" t="str">
        <f>_xlfn.XLOOKUP(TechCleanup[[#This Row],[ProdCode]],Products[ProdCode],Products[Product],,0,)</f>
        <v>Other liquid biofuels n.e.s.</v>
      </c>
    </row>
    <row r="621" spans="9:11" ht="15.75" x14ac:dyDescent="0.5">
      <c r="I621" s="5" t="s">
        <v>1336</v>
      </c>
      <c r="J621" s="95">
        <v>262990</v>
      </c>
      <c r="K621" t="str">
        <f>_xlfn.XLOOKUP(TechCleanup[[#This Row],[ProdCode]],Products[ProdCode],Products[Product],,0,)</f>
        <v>Other liquid biofuels n.e.s.</v>
      </c>
    </row>
    <row r="622" spans="9:11" ht="15.75" x14ac:dyDescent="0.5">
      <c r="I622" s="5" t="s">
        <v>634</v>
      </c>
      <c r="J622" s="95">
        <v>262990</v>
      </c>
      <c r="K622" t="str">
        <f>_xlfn.XLOOKUP(TechCleanup[[#This Row],[ProdCode]],Products[ProdCode],Products[Product],,0,)</f>
        <v>Other liquid biofuels n.e.s.</v>
      </c>
    </row>
    <row r="623" spans="9:11" ht="15.75" x14ac:dyDescent="0.5">
      <c r="I623" s="5" t="s">
        <v>1179</v>
      </c>
      <c r="J623" s="95">
        <v>349000</v>
      </c>
      <c r="K623" t="str">
        <f>_xlfn.XLOOKUP(TechCleanup[[#This Row],[ProdCode]],Products[ProdCode],Products[Product],,0,)</f>
        <v>Other mechanical storage</v>
      </c>
    </row>
    <row r="624" spans="9:11" ht="15.75" x14ac:dyDescent="0.5">
      <c r="I624" s="5" t="s">
        <v>1206</v>
      </c>
      <c r="J624" s="95">
        <v>113390</v>
      </c>
      <c r="K624" t="str">
        <f>_xlfn.XLOOKUP(TechCleanup[[#This Row],[ProdCode]],Products[ProdCode],Products[Product],,0,)</f>
        <v>Other natural gas products</v>
      </c>
    </row>
    <row r="625" spans="9:11" ht="15.75" x14ac:dyDescent="0.5">
      <c r="I625" s="5" t="s">
        <v>1175</v>
      </c>
      <c r="J625" s="95">
        <v>273900</v>
      </c>
      <c r="K625" t="str">
        <f>_xlfn.XLOOKUP(TechCleanup[[#This Row],[ProdCode]],Products[ProdCode],Products[Product],,0,)</f>
        <v>Other non-bio renewable gas fuels</v>
      </c>
    </row>
    <row r="626" spans="9:11" ht="15.75" x14ac:dyDescent="0.5">
      <c r="I626" s="5" t="s">
        <v>1173</v>
      </c>
      <c r="J626" s="95">
        <v>272900</v>
      </c>
      <c r="K626" t="str">
        <f>_xlfn.XLOOKUP(TechCleanup[[#This Row],[ProdCode]],Products[ProdCode],Products[Product],,0,)</f>
        <v>Other non-bio renewable liquid fuels</v>
      </c>
    </row>
    <row r="627" spans="9:11" ht="15.75" x14ac:dyDescent="0.5">
      <c r="I627" s="5" t="s">
        <v>1172</v>
      </c>
      <c r="J627" s="95">
        <v>271900</v>
      </c>
      <c r="K627" t="str">
        <f>_xlfn.XLOOKUP(TechCleanup[[#This Row],[ProdCode]],Products[ProdCode],Products[Product],,0,)</f>
        <v>Other non-bio renewable solid fuels</v>
      </c>
    </row>
    <row r="628" spans="9:11" ht="15.75" x14ac:dyDescent="0.5">
      <c r="I628" s="5" t="s">
        <v>945</v>
      </c>
      <c r="J628" s="95">
        <v>144000</v>
      </c>
      <c r="K628" t="str">
        <f>_xlfn.XLOOKUP(TechCleanup[[#This Row],[ProdCode]],Products[ProdCode],Products[Product],,0,)</f>
        <v>Other non-renewable ammonia</v>
      </c>
    </row>
    <row r="629" spans="9:11" ht="15.75" x14ac:dyDescent="0.5">
      <c r="I629" s="5" t="s">
        <v>188</v>
      </c>
      <c r="J629" s="95">
        <v>149000</v>
      </c>
      <c r="K629" t="str">
        <f>_xlfn.XLOOKUP(TechCleanup[[#This Row],[ProdCode]],Products[ProdCode],Products[Product],,0,)</f>
        <v>Other non-renewable energy n.e.s.</v>
      </c>
    </row>
    <row r="630" spans="9:11" ht="15.75" x14ac:dyDescent="0.5">
      <c r="I630" s="5" t="s">
        <v>218</v>
      </c>
      <c r="J630" s="95">
        <v>149000</v>
      </c>
      <c r="K630" t="str">
        <f>_xlfn.XLOOKUP(TechCleanup[[#This Row],[ProdCode]],Products[ProdCode],Products[Product],,0,)</f>
        <v>Other non-renewable energy n.e.s.</v>
      </c>
    </row>
    <row r="631" spans="9:11" ht="15.75" x14ac:dyDescent="0.5">
      <c r="I631" s="5" t="s">
        <v>1159</v>
      </c>
      <c r="J631" s="95">
        <v>149000</v>
      </c>
      <c r="K631" t="str">
        <f>_xlfn.XLOOKUP(TechCleanup[[#This Row],[ProdCode]],Products[ProdCode],Products[Product],,0,)</f>
        <v>Other non-renewable energy n.e.s.</v>
      </c>
    </row>
    <row r="632" spans="9:11" ht="15.75" x14ac:dyDescent="0.5">
      <c r="I632" s="5" t="s">
        <v>917</v>
      </c>
      <c r="J632" s="95">
        <v>149000</v>
      </c>
      <c r="K632" t="str">
        <f>_xlfn.XLOOKUP(TechCleanup[[#This Row],[ProdCode]],Products[ProdCode],Products[Product],,0,)</f>
        <v>Other non-renewable energy n.e.s.</v>
      </c>
    </row>
    <row r="633" spans="9:11" ht="15.75" x14ac:dyDescent="0.5">
      <c r="I633" s="5" t="s">
        <v>738</v>
      </c>
      <c r="J633" s="95">
        <v>129000</v>
      </c>
      <c r="K633" t="str">
        <f>_xlfn.XLOOKUP(TechCleanup[[#This Row],[ProdCode]],Products[ProdCode],Products[Product],,0,)</f>
        <v>Other nuclear fuels</v>
      </c>
    </row>
    <row r="634" spans="9:11" ht="15.75" x14ac:dyDescent="0.5">
      <c r="I634" s="5" t="s">
        <v>388</v>
      </c>
      <c r="J634" s="95">
        <v>241290</v>
      </c>
      <c r="K634" t="str">
        <f>_xlfn.XLOOKUP(TechCleanup[[#This Row],[ProdCode]],Products[ProdCode],Products[Product],,0,)</f>
        <v>Other off-grid solar photovoltaic</v>
      </c>
    </row>
    <row r="635" spans="9:11" ht="15.75" x14ac:dyDescent="0.5">
      <c r="I635" s="5" t="s">
        <v>1155</v>
      </c>
      <c r="J635" s="95">
        <v>241290</v>
      </c>
      <c r="K635" t="str">
        <f>_xlfn.XLOOKUP(TechCleanup[[#This Row],[ProdCode]],Products[ProdCode],Products[Product],,0,)</f>
        <v>Other off-grid solar photovoltaic</v>
      </c>
    </row>
    <row r="636" spans="9:11" ht="15.75" x14ac:dyDescent="0.5">
      <c r="I636" s="5" t="s">
        <v>522</v>
      </c>
      <c r="J636" s="95">
        <v>114590</v>
      </c>
      <c r="K636" t="str">
        <f>_xlfn.XLOOKUP(TechCleanup[[#This Row],[ProdCode]],Products[ProdCode],Products[Product],,0,)</f>
        <v>Other oil products</v>
      </c>
    </row>
    <row r="637" spans="9:11" ht="15.75" x14ac:dyDescent="0.5">
      <c r="I637" s="5" t="s">
        <v>1245</v>
      </c>
      <c r="J637" s="95">
        <v>114599</v>
      </c>
      <c r="K637" t="str">
        <f>_xlfn.XLOOKUP(TechCleanup[[#This Row],[ProdCode]],Products[ProdCode],Products[Product],,0,)</f>
        <v>Other oil products n.e.s.</v>
      </c>
    </row>
    <row r="638" spans="9:11" ht="15.75" x14ac:dyDescent="0.5">
      <c r="I638" s="5" t="s">
        <v>941</v>
      </c>
      <c r="J638" s="95">
        <v>114599</v>
      </c>
      <c r="K638" t="str">
        <f>_xlfn.XLOOKUP(TechCleanup[[#This Row],[ProdCode]],Products[ProdCode],Products[Product],,0,)</f>
        <v>Other oil products n.e.s.</v>
      </c>
    </row>
    <row r="639" spans="9:11" ht="15.75" x14ac:dyDescent="0.5">
      <c r="I639" s="5" t="s">
        <v>336</v>
      </c>
      <c r="J639" s="95">
        <v>112290</v>
      </c>
      <c r="K639" t="str">
        <f>_xlfn.XLOOKUP(TechCleanup[[#This Row],[ProdCode]],Products[ProdCode],Products[Product],,0,)</f>
        <v>Other peat products</v>
      </c>
    </row>
    <row r="640" spans="9:11" ht="15.75" x14ac:dyDescent="0.5">
      <c r="I640" s="5" t="s">
        <v>1347</v>
      </c>
      <c r="J640" s="95">
        <v>114599</v>
      </c>
      <c r="K640" t="str">
        <f>_xlfn.XLOOKUP(TechCleanup[[#This Row],[ProdCode]],Products[ProdCode],Products[Product],,0,)</f>
        <v>Other oil products n.e.s.</v>
      </c>
    </row>
    <row r="641" spans="9:11" ht="15.75" x14ac:dyDescent="0.5">
      <c r="I641" s="5" t="s">
        <v>1151</v>
      </c>
      <c r="J641" s="95">
        <v>119100</v>
      </c>
      <c r="K641" t="str">
        <f>_xlfn.XLOOKUP(TechCleanup[[#This Row],[ProdCode]],Products[ProdCode],Products[Product],,0,)</f>
        <v>Other primary fossil fuels</v>
      </c>
    </row>
    <row r="642" spans="9:11" ht="15.75" x14ac:dyDescent="0.5">
      <c r="I642" s="5" t="s">
        <v>550</v>
      </c>
      <c r="J642" s="95">
        <v>261900</v>
      </c>
      <c r="K642" t="str">
        <f>_xlfn.XLOOKUP(TechCleanup[[#This Row],[ProdCode]],Products[ProdCode],Products[Product],,0,)</f>
        <v>Other solid biofuels</v>
      </c>
    </row>
    <row r="643" spans="9:11" ht="15.75" x14ac:dyDescent="0.5">
      <c r="I643" s="5" t="s">
        <v>897</v>
      </c>
      <c r="J643" s="95">
        <v>261900</v>
      </c>
      <c r="K643" t="str">
        <f>_xlfn.XLOOKUP(TechCleanup[[#This Row],[ProdCode]],Products[ProdCode],Products[Product],,0,)</f>
        <v>Other solid biofuels</v>
      </c>
    </row>
    <row r="644" spans="9:11" ht="15.75" x14ac:dyDescent="0.5">
      <c r="I644" s="5" t="s">
        <v>1337</v>
      </c>
      <c r="J644" s="95">
        <v>261900</v>
      </c>
      <c r="K644" t="str">
        <f>_xlfn.XLOOKUP(TechCleanup[[#This Row],[ProdCode]],Products[ProdCode],Products[Product],,0,)</f>
        <v>Other solid biofuels</v>
      </c>
    </row>
    <row r="645" spans="9:11" ht="15.75" x14ac:dyDescent="0.5">
      <c r="I645" s="5" t="s">
        <v>277</v>
      </c>
      <c r="J645" s="95">
        <v>111373</v>
      </c>
      <c r="K645" t="str">
        <f>_xlfn.XLOOKUP(TechCleanup[[#This Row],[ProdCode]],Products[ProdCode],Products[Product],,0,)</f>
        <v>Other recovered gases</v>
      </c>
    </row>
    <row r="646" spans="9:11" ht="15.75" x14ac:dyDescent="0.5">
      <c r="I646" s="5" t="s">
        <v>707</v>
      </c>
      <c r="J646" s="95">
        <v>290000</v>
      </c>
      <c r="K646" t="str">
        <f>_xlfn.XLOOKUP(TechCleanup[[#This Row],[ProdCode]],Products[ProdCode],Products[Product],,0,)</f>
        <v>Other renewable energy</v>
      </c>
    </row>
    <row r="647" spans="9:11" ht="15.75" x14ac:dyDescent="0.5">
      <c r="I647" s="5" t="s">
        <v>726</v>
      </c>
      <c r="J647" s="95">
        <v>299000</v>
      </c>
      <c r="K647" t="str">
        <f>_xlfn.XLOOKUP(TechCleanup[[#This Row],[ProdCode]],Products[ProdCode],Products[Product],,0,)</f>
        <v>Other renewable energy n.e.s.</v>
      </c>
    </row>
    <row r="648" spans="9:11" ht="15.75" x14ac:dyDescent="0.5">
      <c r="I648" s="5" t="s">
        <v>432</v>
      </c>
      <c r="J648" s="95">
        <v>242900</v>
      </c>
      <c r="K648" t="str">
        <f>_xlfn.XLOOKUP(TechCleanup[[#This Row],[ProdCode]],Products[ProdCode],Products[Product],,0,)</f>
        <v>Other solar thermal energy</v>
      </c>
    </row>
    <row r="649" spans="9:11" ht="15.75" x14ac:dyDescent="0.5">
      <c r="I649" s="5" t="s">
        <v>411</v>
      </c>
      <c r="J649" s="95">
        <v>242900</v>
      </c>
      <c r="K649" t="str">
        <f>_xlfn.XLOOKUP(TechCleanup[[#This Row],[ProdCode]],Products[ProdCode],Products[Product],,0,)</f>
        <v>Other solar thermal energy</v>
      </c>
    </row>
    <row r="650" spans="9:11" ht="15.75" x14ac:dyDescent="0.5">
      <c r="I650" s="5" t="s">
        <v>1165</v>
      </c>
      <c r="J650" s="95">
        <v>261900</v>
      </c>
      <c r="K650" t="str">
        <f>_xlfn.XLOOKUP(TechCleanup[[#This Row],[ProdCode]],Products[ProdCode],Products[Product],,0,)</f>
        <v>Other solid biofuels</v>
      </c>
    </row>
    <row r="651" spans="9:11" ht="15.75" x14ac:dyDescent="0.5">
      <c r="I651" s="5" t="s">
        <v>1183</v>
      </c>
      <c r="J651" s="95">
        <v>361390</v>
      </c>
      <c r="K651" t="str">
        <f>_xlfn.XLOOKUP(TechCleanup[[#This Row],[ProdCode]],Products[ProdCode],Products[Product],,0,)</f>
        <v>Other solid hydrogen storage</v>
      </c>
    </row>
    <row r="652" spans="9:11" ht="15.75" x14ac:dyDescent="0.5">
      <c r="I652" s="5" t="s">
        <v>1180</v>
      </c>
      <c r="J652" s="95">
        <v>359000</v>
      </c>
      <c r="K652" t="str">
        <f>_xlfn.XLOOKUP(TechCleanup[[#This Row],[ProdCode]],Products[ProdCode],Products[Product],,0,)</f>
        <v>Other thermal storage</v>
      </c>
    </row>
    <row r="653" spans="9:11" ht="15.75" x14ac:dyDescent="0.5">
      <c r="I653" s="5" t="s">
        <v>526</v>
      </c>
      <c r="J653" s="95">
        <v>261390</v>
      </c>
      <c r="K653" t="str">
        <f>_xlfn.XLOOKUP(TechCleanup[[#This Row],[ProdCode]],Products[ProdCode],Products[Product],,0,)</f>
        <v>Other biomass processing residues</v>
      </c>
    </row>
    <row r="654" spans="9:11" ht="15.75" x14ac:dyDescent="0.5">
      <c r="I654" s="5" t="s">
        <v>627</v>
      </c>
      <c r="J654" s="95">
        <v>261390</v>
      </c>
      <c r="K654" t="str">
        <f>_xlfn.XLOOKUP(TechCleanup[[#This Row],[ProdCode]],Products[ProdCode],Products[Product],,0,)</f>
        <v>Other biomass processing residues</v>
      </c>
    </row>
    <row r="655" spans="9:11" ht="15.75" x14ac:dyDescent="0.5">
      <c r="I655" s="5" t="s">
        <v>1032</v>
      </c>
      <c r="J655" s="95">
        <v>299000</v>
      </c>
      <c r="K655" t="str">
        <f>_xlfn.XLOOKUP(TechCleanup[[#This Row],[ProdCode]],Products[ProdCode],Products[Product],,0,)</f>
        <v>Other renewable energy n.e.s.</v>
      </c>
    </row>
    <row r="656" spans="9:11" ht="15.75" x14ac:dyDescent="0.5">
      <c r="I656" s="5" t="s">
        <v>1064</v>
      </c>
      <c r="J656" s="95">
        <v>114569</v>
      </c>
      <c r="K656" t="str">
        <f>_xlfn.XLOOKUP(TechCleanup[[#This Row],[ProdCode]],Products[ProdCode],Products[Product],,0,)</f>
        <v>Other kerosene</v>
      </c>
    </row>
    <row r="657" spans="9:11" ht="15.75" x14ac:dyDescent="0.5">
      <c r="I657" s="5" t="s">
        <v>1065</v>
      </c>
      <c r="J657" s="95">
        <v>111311</v>
      </c>
      <c r="K657" t="str">
        <f>_xlfn.XLOOKUP(TechCleanup[[#This Row],[ProdCode]],Products[ProdCode],Products[Product],,0,)</f>
        <v>Coke oven coke</v>
      </c>
    </row>
    <row r="658" spans="9:11" ht="15.75" x14ac:dyDescent="0.5">
      <c r="I658" s="5" t="s">
        <v>1368</v>
      </c>
      <c r="J658" s="95">
        <v>111372</v>
      </c>
      <c r="K658" t="str">
        <f>_xlfn.XLOOKUP(TechCleanup[[#This Row],[ProdCode]],Products[ProdCode],Products[Product],,0,)</f>
        <v>Basic oxygen steel furnace gas</v>
      </c>
    </row>
    <row r="659" spans="9:11" ht="15.75" x14ac:dyDescent="0.5">
      <c r="I659" s="5" t="s">
        <v>955</v>
      </c>
      <c r="J659" s="95">
        <v>242130</v>
      </c>
      <c r="K659" t="str">
        <f>_xlfn.XLOOKUP(TechCleanup[[#This Row],[ProdCode]],Products[ProdCode],Products[Product],,0,)</f>
        <v>Parabolic dish</v>
      </c>
    </row>
    <row r="660" spans="9:11" ht="15.75" x14ac:dyDescent="0.5">
      <c r="I660" s="5" t="s">
        <v>956</v>
      </c>
      <c r="J660" s="95">
        <v>242140</v>
      </c>
      <c r="K660" t="str">
        <f>_xlfn.XLOOKUP(TechCleanup[[#This Row],[ProdCode]],Products[ProdCode],Products[Product],,0,)</f>
        <v>Parabolic trough</v>
      </c>
    </row>
    <row r="661" spans="9:11" ht="15.75" x14ac:dyDescent="0.5">
      <c r="I661" s="5" t="s">
        <v>1298</v>
      </c>
      <c r="J661" s="95">
        <v>114593</v>
      </c>
      <c r="K661" t="str">
        <f>_xlfn.XLOOKUP(TechCleanup[[#This Row],[ProdCode]],Products[ProdCode],Products[Product],,0,)</f>
        <v>Paraffin waxes</v>
      </c>
    </row>
    <row r="662" spans="9:11" ht="15.75" x14ac:dyDescent="0.5">
      <c r="I662" s="5" t="s">
        <v>1297</v>
      </c>
      <c r="J662" s="95">
        <v>114593</v>
      </c>
      <c r="K662" t="str">
        <f>_xlfn.XLOOKUP(TechCleanup[[#This Row],[ProdCode]],Products[ProdCode],Products[Product],,0,)</f>
        <v>Paraffin waxes</v>
      </c>
    </row>
    <row r="663" spans="9:11" ht="15.75" x14ac:dyDescent="0.5">
      <c r="I663" s="5" t="s">
        <v>546</v>
      </c>
      <c r="J663" s="95">
        <v>114593</v>
      </c>
      <c r="K663" t="str">
        <f>_xlfn.XLOOKUP(TechCleanup[[#This Row],[ProdCode]],Products[ProdCode],Products[Product],,0,)</f>
        <v>Paraffin waxes</v>
      </c>
    </row>
    <row r="664" spans="9:11" ht="15.75" x14ac:dyDescent="0.5">
      <c r="I664" s="5" t="s">
        <v>1348</v>
      </c>
      <c r="J664" s="95">
        <v>114593</v>
      </c>
      <c r="K664" t="str">
        <f>_xlfn.XLOOKUP(TechCleanup[[#This Row],[ProdCode]],Products[ProdCode],Products[Product],,0,)</f>
        <v>Paraffin waxes</v>
      </c>
    </row>
    <row r="665" spans="9:11" ht="15.75" x14ac:dyDescent="0.5">
      <c r="I665" s="5" t="s">
        <v>1117</v>
      </c>
      <c r="J665" s="95">
        <v>114593</v>
      </c>
      <c r="K665" t="str">
        <f>_xlfn.XLOOKUP(TechCleanup[[#This Row],[ProdCode]],Products[ProdCode],Products[Product],,0,)</f>
        <v>Paraffin waxes</v>
      </c>
    </row>
    <row r="666" spans="9:11" ht="15.75" x14ac:dyDescent="0.5">
      <c r="I666" s="5" t="s">
        <v>215</v>
      </c>
      <c r="J666" s="95">
        <v>111320</v>
      </c>
      <c r="K666" t="str">
        <f>_xlfn.XLOOKUP(TechCleanup[[#This Row],[ProdCode]],Products[ProdCode],Products[Product],,0,)</f>
        <v>Patent fuel</v>
      </c>
    </row>
    <row r="667" spans="9:11" ht="15.75" x14ac:dyDescent="0.5">
      <c r="I667" s="5" t="s">
        <v>1369</v>
      </c>
      <c r="J667" s="95">
        <v>111320</v>
      </c>
      <c r="K667" t="str">
        <f>_xlfn.XLOOKUP(TechCleanup[[#This Row],[ProdCode]],Products[ProdCode],Products[Product],,0,)</f>
        <v>Patent fuel</v>
      </c>
    </row>
    <row r="668" spans="9:11" ht="15.75" x14ac:dyDescent="0.5">
      <c r="I668" s="5" t="s">
        <v>1066</v>
      </c>
      <c r="J668" s="95">
        <v>111320</v>
      </c>
      <c r="K668" t="str">
        <f>_xlfn.XLOOKUP(TechCleanup[[#This Row],[ProdCode]],Products[ProdCode],Products[Product],,0,)</f>
        <v>Patent fuel</v>
      </c>
    </row>
    <row r="669" spans="9:11" ht="15.75" x14ac:dyDescent="0.5">
      <c r="I669" s="5" t="s">
        <v>1067</v>
      </c>
      <c r="J669" s="96">
        <v>112100</v>
      </c>
      <c r="K669" t="str">
        <f>_xlfn.XLOOKUP(TechCleanup[[#This Row],[ProdCode]],Products[ProdCode],Products[Product],,0,)</f>
        <v>Peat</v>
      </c>
    </row>
    <row r="670" spans="9:11" ht="15.75" x14ac:dyDescent="0.5">
      <c r="I670" s="5" t="s">
        <v>298</v>
      </c>
      <c r="J670" s="95">
        <v>112100</v>
      </c>
      <c r="K670" t="str">
        <f>_xlfn.XLOOKUP(TechCleanup[[#This Row],[ProdCode]],Products[ProdCode],Products[Product],,0,)</f>
        <v>Peat</v>
      </c>
    </row>
    <row r="671" spans="9:11" ht="15.75" x14ac:dyDescent="0.5">
      <c r="I671" s="5" t="s">
        <v>291</v>
      </c>
      <c r="J671" s="95">
        <v>112000</v>
      </c>
      <c r="K671" t="str">
        <f>_xlfn.XLOOKUP(TechCleanup[[#This Row],[ProdCode]],Products[ProdCode],Products[Product],,0,)</f>
        <v>Peat and peat products</v>
      </c>
    </row>
    <row r="672" spans="9:11" ht="15.75" x14ac:dyDescent="0.5">
      <c r="I672" s="5" t="s">
        <v>328</v>
      </c>
      <c r="J672" s="95">
        <v>112210</v>
      </c>
      <c r="K672" t="str">
        <f>_xlfn.XLOOKUP(TechCleanup[[#This Row],[ProdCode]],Products[ProdCode],Products[Product],,0,)</f>
        <v>Peat briquettes</v>
      </c>
    </row>
    <row r="673" spans="9:11" ht="15.75" x14ac:dyDescent="0.5">
      <c r="I673" s="5" t="s">
        <v>320</v>
      </c>
      <c r="J673" s="95">
        <v>112200</v>
      </c>
      <c r="K673" t="str">
        <f>_xlfn.XLOOKUP(TechCleanup[[#This Row],[ProdCode]],Products[ProdCode],Products[Product],,0,)</f>
        <v>Peat products</v>
      </c>
    </row>
    <row r="674" spans="9:11" ht="15.75" x14ac:dyDescent="0.5">
      <c r="I674" s="5" t="s">
        <v>1270</v>
      </c>
      <c r="J674" s="95">
        <v>112290</v>
      </c>
      <c r="K674" t="str">
        <f>_xlfn.XLOOKUP(TechCleanup[[#This Row],[ProdCode]],Products[ProdCode],Products[Product],,0,)</f>
        <v>Other peat products</v>
      </c>
    </row>
    <row r="675" spans="9:11" ht="15.75" x14ac:dyDescent="0.5">
      <c r="I675" s="5" t="s">
        <v>1127</v>
      </c>
      <c r="J675" s="95">
        <v>112230</v>
      </c>
      <c r="K675" t="str">
        <f>_xlfn.XLOOKUP(TechCleanup[[#This Row],[ProdCode]],Products[ProdCode],Products[Product],,0,)</f>
        <v>Peat-based ammonia</v>
      </c>
    </row>
    <row r="676" spans="9:11" ht="15.75" x14ac:dyDescent="0.5">
      <c r="I676" s="5" t="s">
        <v>1126</v>
      </c>
      <c r="J676" s="95">
        <v>112220</v>
      </c>
      <c r="K676" t="str">
        <f>_xlfn.XLOOKUP(TechCleanup[[#This Row],[ProdCode]],Products[ProdCode],Products[Product],,0,)</f>
        <v>Peat-based hydrogen</v>
      </c>
    </row>
    <row r="677" spans="9:11" ht="15.75" x14ac:dyDescent="0.5">
      <c r="I677" s="5" t="s">
        <v>1068</v>
      </c>
      <c r="J677" s="95">
        <v>112290</v>
      </c>
      <c r="K677" t="str">
        <f>_xlfn.XLOOKUP(TechCleanup[[#This Row],[ProdCode]],Products[ProdCode],Products[Product],,0,)</f>
        <v>Other peat products</v>
      </c>
    </row>
    <row r="678" spans="9:11" ht="15.75" x14ac:dyDescent="0.5">
      <c r="I678" s="5" t="s">
        <v>1069</v>
      </c>
      <c r="J678" s="95">
        <v>114594</v>
      </c>
      <c r="K678" t="str">
        <f>_xlfn.XLOOKUP(TechCleanup[[#This Row],[ProdCode]],Products[ProdCode],Products[Product],,0,)</f>
        <v>Petroleum coke</v>
      </c>
    </row>
    <row r="679" spans="9:11" ht="15.75" x14ac:dyDescent="0.5">
      <c r="I679" s="5" t="s">
        <v>1822</v>
      </c>
      <c r="J679" s="95">
        <v>114552</v>
      </c>
      <c r="K679" t="str">
        <f>_xlfn.XLOOKUP(TechCleanup[[#This Row],[ProdCode]],Products[ProdCode],Products[Product],,0,)</f>
        <v>Motor gasoline</v>
      </c>
    </row>
    <row r="680" spans="9:11" ht="15.75" x14ac:dyDescent="0.5">
      <c r="I680" s="5" t="s">
        <v>1823</v>
      </c>
      <c r="J680" s="95">
        <v>114552</v>
      </c>
      <c r="K680" t="str">
        <f>_xlfn.XLOOKUP(TechCleanup[[#This Row],[ProdCode]],Products[ProdCode],Products[Product],,0,)</f>
        <v>Motor gasoline</v>
      </c>
    </row>
    <row r="681" spans="9:11" ht="15.75" x14ac:dyDescent="0.5">
      <c r="I681" s="5" t="s">
        <v>938</v>
      </c>
      <c r="J681" s="95">
        <v>114594</v>
      </c>
      <c r="K681" t="str">
        <f>_xlfn.XLOOKUP(TechCleanup[[#This Row],[ProdCode]],Products[ProdCode],Products[Product],,0,)</f>
        <v>Petroleum coke</v>
      </c>
    </row>
    <row r="682" spans="9:11" ht="15.75" x14ac:dyDescent="0.5">
      <c r="I682" s="5" t="s">
        <v>1301</v>
      </c>
      <c r="J682" s="95">
        <v>114595</v>
      </c>
      <c r="K682" t="str">
        <f>_xlfn.XLOOKUP(TechCleanup[[#This Row],[ProdCode]],Products[ProdCode],Products[Product],,0,)</f>
        <v>Bitumen</v>
      </c>
    </row>
    <row r="683" spans="9:11" ht="15.75" x14ac:dyDescent="0.5">
      <c r="I683" s="5" t="s">
        <v>554</v>
      </c>
      <c r="J683" s="95">
        <v>114594</v>
      </c>
      <c r="K683" t="str">
        <f>_xlfn.XLOOKUP(TechCleanup[[#This Row],[ProdCode]],Products[ProdCode],Products[Product],,0,)</f>
        <v>Petroleum coke</v>
      </c>
    </row>
    <row r="684" spans="9:11" ht="15.75" x14ac:dyDescent="0.5">
      <c r="I684" s="5" t="s">
        <v>1349</v>
      </c>
      <c r="J684" s="95">
        <v>114594</v>
      </c>
      <c r="K684" t="str">
        <f>_xlfn.XLOOKUP(TechCleanup[[#This Row],[ProdCode]],Products[ProdCode],Products[Product],,0,)</f>
        <v>Petroleum coke</v>
      </c>
    </row>
    <row r="685" spans="9:11" ht="15.75" x14ac:dyDescent="0.5">
      <c r="I685" s="5" t="s">
        <v>1299</v>
      </c>
      <c r="J685" s="95">
        <v>114594</v>
      </c>
      <c r="K685" t="str">
        <f>_xlfn.XLOOKUP(TechCleanup[[#This Row],[ProdCode]],Products[ProdCode],Products[Product],,0,)</f>
        <v>Petroleum coke</v>
      </c>
    </row>
    <row r="686" spans="9:11" ht="15.75" x14ac:dyDescent="0.5">
      <c r="I686" s="5" t="s">
        <v>1300</v>
      </c>
      <c r="J686" s="95">
        <v>114594</v>
      </c>
      <c r="K686" t="str">
        <f>_xlfn.XLOOKUP(TechCleanup[[#This Row],[ProdCode]],Products[ProdCode],Products[Product],,0,)</f>
        <v>Petroleum coke</v>
      </c>
    </row>
    <row r="687" spans="9:11" ht="15.75" x14ac:dyDescent="0.5">
      <c r="I687" s="5" t="s">
        <v>1294</v>
      </c>
      <c r="J687" s="95">
        <v>113220</v>
      </c>
      <c r="K687" t="str">
        <f>_xlfn.XLOOKUP(TechCleanup[[#This Row],[ProdCode]],Products[ProdCode],Products[Product],,0,)</f>
        <v>Compressed natural gas</v>
      </c>
    </row>
    <row r="688" spans="9:11" ht="15.75" x14ac:dyDescent="0.5">
      <c r="I688" s="5" t="s">
        <v>1295</v>
      </c>
      <c r="J688" s="95">
        <v>114200</v>
      </c>
      <c r="K688" t="str">
        <f>_xlfn.XLOOKUP(TechCleanup[[#This Row],[ProdCode]],Products[ProdCode],Products[Product],,0,)</f>
        <v>Natural gas liquids (NGL)</v>
      </c>
    </row>
    <row r="689" spans="9:11" ht="15.75" x14ac:dyDescent="0.5">
      <c r="I689" s="5" t="s">
        <v>1291</v>
      </c>
      <c r="J689" s="95">
        <v>114530</v>
      </c>
      <c r="K689" t="str">
        <f>_xlfn.XLOOKUP(TechCleanup[[#This Row],[ProdCode]],Products[ProdCode],Products[Product],,0,)</f>
        <v>Liquefied Petroleum Gases (LPG)</v>
      </c>
    </row>
    <row r="690" spans="9:11" ht="15.75" x14ac:dyDescent="0.5">
      <c r="I690" s="5" t="s">
        <v>1292</v>
      </c>
      <c r="J690" s="95">
        <v>114200</v>
      </c>
      <c r="K690" t="str">
        <f>_xlfn.XLOOKUP(TechCleanup[[#This Row],[ProdCode]],Products[ProdCode],Products[Product],,0,)</f>
        <v>Natural gas liquids (NGL)</v>
      </c>
    </row>
    <row r="691" spans="9:11" ht="15.75" x14ac:dyDescent="0.5">
      <c r="I691" s="5" t="s">
        <v>1293</v>
      </c>
      <c r="J691" s="95">
        <v>114200</v>
      </c>
      <c r="K691" t="str">
        <f>_xlfn.XLOOKUP(TechCleanup[[#This Row],[ProdCode]],Products[ProdCode],Products[Product],,0,)</f>
        <v>Natural gas liquids (NGL)</v>
      </c>
    </row>
    <row r="692" spans="9:11" ht="15.75" x14ac:dyDescent="0.5">
      <c r="I692" s="5" t="s">
        <v>1289</v>
      </c>
      <c r="J692" s="95">
        <v>113210</v>
      </c>
      <c r="K692" t="str">
        <f>_xlfn.XLOOKUP(TechCleanup[[#This Row],[ProdCode]],Products[ProdCode],Products[Product],,0,)</f>
        <v>Liquefied natural gas</v>
      </c>
    </row>
    <row r="693" spans="9:11" ht="15.75" x14ac:dyDescent="0.5">
      <c r="I693" s="5" t="s">
        <v>1290</v>
      </c>
      <c r="J693" s="95">
        <v>114530</v>
      </c>
      <c r="K693" t="str">
        <f>_xlfn.XLOOKUP(TechCleanup[[#This Row],[ProdCode]],Products[ProdCode],Products[Product],,0,)</f>
        <v>Liquefied Petroleum Gases (LPG)</v>
      </c>
    </row>
    <row r="694" spans="9:11" ht="15.75" x14ac:dyDescent="0.5">
      <c r="I694" s="5" t="s">
        <v>1296</v>
      </c>
      <c r="J694" s="95">
        <v>114592</v>
      </c>
      <c r="K694" t="str">
        <f>_xlfn.XLOOKUP(TechCleanup[[#This Row],[ProdCode]],Products[ProdCode],Products[Product],,0,)</f>
        <v>Lubricants</v>
      </c>
    </row>
    <row r="695" spans="9:11" ht="15.75" x14ac:dyDescent="0.5">
      <c r="I695" s="5" t="s">
        <v>1286</v>
      </c>
      <c r="J695" s="95">
        <v>114599</v>
      </c>
      <c r="K695" t="str">
        <f>_xlfn.XLOOKUP(TechCleanup[[#This Row],[ProdCode]],Products[ProdCode],Products[Product],,0,)</f>
        <v>Other oil products n.e.s.</v>
      </c>
    </row>
    <row r="696" spans="9:11" ht="15.75" x14ac:dyDescent="0.5">
      <c r="I696" s="5" t="s">
        <v>1284</v>
      </c>
      <c r="J696" s="95">
        <v>114300</v>
      </c>
      <c r="K696" t="str">
        <f>_xlfn.XLOOKUP(TechCleanup[[#This Row],[ProdCode]],Products[ProdCode],Products[Product],,0,)</f>
        <v>Refinery feedstocks</v>
      </c>
    </row>
    <row r="697" spans="9:11" ht="15.75" x14ac:dyDescent="0.5">
      <c r="I697" s="5" t="s">
        <v>1285</v>
      </c>
      <c r="J697" s="95">
        <v>114569</v>
      </c>
      <c r="K697" t="str">
        <f>_xlfn.XLOOKUP(TechCleanup[[#This Row],[ProdCode]],Products[ProdCode],Products[Product],,0,)</f>
        <v>Other kerosene</v>
      </c>
    </row>
    <row r="698" spans="9:11" ht="15.75" x14ac:dyDescent="0.5">
      <c r="I698" s="5" t="s">
        <v>316</v>
      </c>
      <c r="J698" s="95">
        <v>241130</v>
      </c>
      <c r="K698" t="str">
        <f>_xlfn.XLOOKUP(TechCleanup[[#This Row],[ProdCode]],Products[ProdCode],Products[Product],,0,)</f>
        <v>On-grid distributed photovoltaic (&lt;30 kW)</v>
      </c>
    </row>
    <row r="699" spans="9:11" ht="15.75" x14ac:dyDescent="0.5">
      <c r="I699" s="5" t="s">
        <v>332</v>
      </c>
      <c r="J699" s="95">
        <v>241110</v>
      </c>
      <c r="K699" t="str">
        <f>_xlfn.XLOOKUP(TechCleanup[[#This Row],[ProdCode]],Products[ProdCode],Products[Product],,0,)</f>
        <v>On-grid utility-scale photovoltaic (&gt;1 000 kW)</v>
      </c>
    </row>
    <row r="700" spans="9:11" ht="15.75" x14ac:dyDescent="0.5">
      <c r="I700" s="5" t="s">
        <v>324</v>
      </c>
      <c r="J700" s="95">
        <v>241120</v>
      </c>
      <c r="K700" t="str">
        <f>_xlfn.XLOOKUP(TechCleanup[[#This Row],[ProdCode]],Products[ProdCode],Products[Product],,0,)</f>
        <v>On-grid distributed photovoltaic (30-1 000 kW)</v>
      </c>
    </row>
    <row r="701" spans="9:11" ht="15.75" x14ac:dyDescent="0.5">
      <c r="I701" s="5" t="s">
        <v>1282</v>
      </c>
      <c r="J701" s="95">
        <v>111399</v>
      </c>
      <c r="K701" t="str">
        <f>_xlfn.XLOOKUP(TechCleanup[[#This Row],[ProdCode]],Products[ProdCode],Products[Product],,0,)</f>
        <v>Other coal products n.e.s.</v>
      </c>
    </row>
    <row r="702" spans="9:11" ht="15.75" x14ac:dyDescent="0.5">
      <c r="I702" s="5" t="s">
        <v>1281</v>
      </c>
      <c r="J702" s="95">
        <v>111399</v>
      </c>
      <c r="K702" t="str">
        <f>_xlfn.XLOOKUP(TechCleanup[[#This Row],[ProdCode]],Products[ProdCode],Products[Product],,0,)</f>
        <v>Other coal products n.e.s.</v>
      </c>
    </row>
    <row r="703" spans="9:11" ht="15.75" x14ac:dyDescent="0.5">
      <c r="I703" s="5" t="s">
        <v>970</v>
      </c>
      <c r="J703" s="95">
        <v>261330</v>
      </c>
      <c r="K703" t="str">
        <f>_xlfn.XLOOKUP(TechCleanup[[#This Row],[ProdCode]],Products[ProdCode],Products[Product],,0,)</f>
        <v>Plant husks</v>
      </c>
    </row>
    <row r="704" spans="9:11" ht="15.75" x14ac:dyDescent="0.5">
      <c r="I704" s="5" t="s">
        <v>971</v>
      </c>
      <c r="J704" s="95">
        <v>261340</v>
      </c>
      <c r="K704" t="str">
        <f>_xlfn.XLOOKUP(TechCleanup[[#This Row],[ProdCode]],Products[ProdCode],Products[Product],,0,)</f>
        <v>Plant shells</v>
      </c>
    </row>
    <row r="705" spans="9:11" ht="15.75" x14ac:dyDescent="0.5">
      <c r="I705" s="5" t="s">
        <v>1828</v>
      </c>
      <c r="J705" s="95"/>
      <c r="K705" t="e">
        <f>_xlfn.XLOOKUP(TechCleanup[[#This Row],[ProdCode]],Products[ProdCode],Products[Product],,0,)</f>
        <v>#N/A</v>
      </c>
    </row>
    <row r="706" spans="9:11" ht="15.75" x14ac:dyDescent="0.5">
      <c r="I706" s="5" t="s">
        <v>1825</v>
      </c>
      <c r="J706" s="95"/>
      <c r="K706" t="e">
        <f>_xlfn.XLOOKUP(TechCleanup[[#This Row],[ProdCode]],Products[ProdCode],Products[Product],,0,)</f>
        <v>#N/A</v>
      </c>
    </row>
    <row r="707" spans="9:11" ht="15.75" x14ac:dyDescent="0.5">
      <c r="I707" s="5" t="s">
        <v>898</v>
      </c>
      <c r="J707" s="95">
        <v>111000</v>
      </c>
      <c r="K707" t="str">
        <f>_xlfn.XLOOKUP(TechCleanup[[#This Row],[ProdCode]],Products[ProdCode],Products[Product],,0,)</f>
        <v>Coal</v>
      </c>
    </row>
    <row r="708" spans="9:11" ht="15.75" x14ac:dyDescent="0.5">
      <c r="I708" s="5" t="s">
        <v>1240</v>
      </c>
      <c r="J708" s="95">
        <v>111000</v>
      </c>
      <c r="K708" t="str">
        <f>_xlfn.XLOOKUP(TechCleanup[[#This Row],[ProdCode]],Products[ProdCode],Products[Product],,0,)</f>
        <v>Coal</v>
      </c>
    </row>
    <row r="709" spans="9:11" ht="15.75" x14ac:dyDescent="0.5">
      <c r="I709" s="5" t="s">
        <v>899</v>
      </c>
      <c r="J709" s="95">
        <v>114100</v>
      </c>
      <c r="K709" t="str">
        <f>_xlfn.XLOOKUP(TechCleanup[[#This Row],[ProdCode]],Products[ProdCode],Products[Product],,0,)</f>
        <v>Conventional crude oil</v>
      </c>
    </row>
    <row r="710" spans="9:11" x14ac:dyDescent="0.45">
      <c r="I710" s="6" t="s">
        <v>474</v>
      </c>
      <c r="J710" s="95">
        <v>261900</v>
      </c>
      <c r="K710" t="str">
        <f>_xlfn.XLOOKUP(TechCleanup[[#This Row],[ProdCode]],Products[ProdCode],Products[Product],,0,)</f>
        <v>Other solid biofuels</v>
      </c>
    </row>
    <row r="711" spans="9:11" ht="15.75" x14ac:dyDescent="0.5">
      <c r="I711" s="5" t="s">
        <v>1110</v>
      </c>
      <c r="J711" s="95">
        <v>261900</v>
      </c>
      <c r="K711" t="str">
        <f>_xlfn.XLOOKUP(TechCleanup[[#This Row],[ProdCode]],Products[ProdCode],Products[Product],,0,)</f>
        <v>Other solid biofuels</v>
      </c>
    </row>
    <row r="712" spans="9:11" ht="15.75" x14ac:dyDescent="0.5">
      <c r="I712" s="5" t="s">
        <v>900</v>
      </c>
      <c r="J712" s="95">
        <v>261350</v>
      </c>
      <c r="K712" t="str">
        <f>_xlfn.XLOOKUP(TechCleanup[[#This Row],[ProdCode]],Products[ProdCode],Products[Product],,0,)</f>
        <v>Solid wood processing residues</v>
      </c>
    </row>
    <row r="713" spans="9:11" ht="15.75" x14ac:dyDescent="0.5">
      <c r="I713" s="5" t="s">
        <v>1008</v>
      </c>
      <c r="J713" s="95">
        <v>341000</v>
      </c>
      <c r="K713" t="str">
        <f>_xlfn.XLOOKUP(TechCleanup[[#This Row],[ProdCode]],Products[ProdCode],Products[Product],,0,)</f>
        <v>Pumped hydro</v>
      </c>
    </row>
    <row r="714" spans="9:11" ht="15.75" x14ac:dyDescent="0.5">
      <c r="I714" s="5" t="s">
        <v>180</v>
      </c>
      <c r="J714" s="95">
        <v>341000</v>
      </c>
      <c r="K714" t="str">
        <f>_xlfn.XLOOKUP(TechCleanup[[#This Row],[ProdCode]],Products[ProdCode],Products[Product],,0,)</f>
        <v>Pumped hydro</v>
      </c>
    </row>
    <row r="715" spans="9:11" ht="15.75" x14ac:dyDescent="0.5">
      <c r="I715" s="5" t="s">
        <v>1079</v>
      </c>
      <c r="J715" s="95">
        <v>211000</v>
      </c>
      <c r="K715" t="str">
        <f>_xlfn.XLOOKUP(TechCleanup[[#This Row],[ProdCode]],Products[ProdCode],Products[Product],,0,)</f>
        <v>Pure hydropower</v>
      </c>
    </row>
    <row r="716" spans="9:11" ht="15.75" x14ac:dyDescent="0.5">
      <c r="I716" s="5" t="s">
        <v>1331</v>
      </c>
      <c r="J716" s="95">
        <v>129000</v>
      </c>
      <c r="K716" t="str">
        <f>_xlfn.XLOOKUP(TechCleanup[[#This Row],[ProdCode]],Products[ProdCode],Products[Product],,0,)</f>
        <v>Other nuclear fuels</v>
      </c>
    </row>
    <row r="717" spans="9:11" ht="15.75" x14ac:dyDescent="0.5">
      <c r="I717" s="5" t="s">
        <v>1332</v>
      </c>
      <c r="J717" s="95">
        <v>129000</v>
      </c>
      <c r="K717" t="str">
        <f>_xlfn.XLOOKUP(TechCleanup[[#This Row],[ProdCode]],Products[ProdCode],Products[Product],,0,)</f>
        <v>Other nuclear fuels</v>
      </c>
    </row>
    <row r="718" spans="9:11" ht="15.75" x14ac:dyDescent="0.5">
      <c r="I718" s="5" t="s">
        <v>1330</v>
      </c>
      <c r="J718" s="95">
        <v>129000</v>
      </c>
      <c r="K718" t="str">
        <f>_xlfn.XLOOKUP(TechCleanup[[#This Row],[ProdCode]],Products[ProdCode],Products[Product],,0,)</f>
        <v>Other nuclear fuels</v>
      </c>
    </row>
    <row r="719" spans="9:11" ht="15.75" x14ac:dyDescent="0.5">
      <c r="I719" s="5" t="s">
        <v>1329</v>
      </c>
      <c r="J719" s="95">
        <v>122000</v>
      </c>
      <c r="K719" t="str">
        <f>_xlfn.XLOOKUP(TechCleanup[[#This Row],[ProdCode]],Products[ProdCode],Products[Product],,0,)</f>
        <v>Nuclear fusion fuels</v>
      </c>
    </row>
    <row r="720" spans="9:11" ht="15.75" x14ac:dyDescent="0.5">
      <c r="I720" s="5" t="s">
        <v>252</v>
      </c>
      <c r="J720" s="95">
        <v>111370</v>
      </c>
      <c r="K720" t="str">
        <f>_xlfn.XLOOKUP(TechCleanup[[#This Row],[ProdCode]],Products[ProdCode],Products[Product],,0,)</f>
        <v>Recovered gases</v>
      </c>
    </row>
    <row r="721" spans="9:11" ht="15.75" x14ac:dyDescent="0.5">
      <c r="I721" s="5" t="s">
        <v>1125</v>
      </c>
      <c r="J721" s="95">
        <v>114300</v>
      </c>
      <c r="K721" t="str">
        <f>_xlfn.XLOOKUP(TechCleanup[[#This Row],[ProdCode]],Products[ProdCode],Products[Product],,0,)</f>
        <v>Refinery feedstocks</v>
      </c>
    </row>
    <row r="722" spans="9:11" ht="15.75" x14ac:dyDescent="0.5">
      <c r="I722" s="5" t="s">
        <v>377</v>
      </c>
      <c r="J722" s="95">
        <v>114300</v>
      </c>
      <c r="K722" t="str">
        <f>_xlfn.XLOOKUP(TechCleanup[[#This Row],[ProdCode]],Products[ProdCode],Products[Product],,0,)</f>
        <v>Refinery feedstocks</v>
      </c>
    </row>
    <row r="723" spans="9:11" ht="15.75" x14ac:dyDescent="0.5">
      <c r="I723" s="5" t="s">
        <v>1350</v>
      </c>
      <c r="J723" s="95">
        <v>114300</v>
      </c>
      <c r="K723" t="str">
        <f>_xlfn.XLOOKUP(TechCleanup[[#This Row],[ProdCode]],Products[ProdCode],Products[Product],,0,)</f>
        <v>Refinery feedstocks</v>
      </c>
    </row>
    <row r="724" spans="9:11" ht="15.75" x14ac:dyDescent="0.5">
      <c r="I724" s="5" t="s">
        <v>408</v>
      </c>
      <c r="J724" s="95">
        <v>114510</v>
      </c>
      <c r="K724" t="str">
        <f>_xlfn.XLOOKUP(TechCleanup[[#This Row],[ProdCode]],Products[ProdCode],Products[Product],,0,)</f>
        <v>Refinery gas</v>
      </c>
    </row>
    <row r="725" spans="9:11" ht="15.75" x14ac:dyDescent="0.5">
      <c r="I725" s="5" t="s">
        <v>1351</v>
      </c>
      <c r="J725" s="95">
        <v>114510</v>
      </c>
      <c r="K725" t="str">
        <f>_xlfn.XLOOKUP(TechCleanup[[#This Row],[ProdCode]],Products[ProdCode],Products[Product],,0,)</f>
        <v>Refinery gas</v>
      </c>
    </row>
    <row r="726" spans="9:11" ht="15.75" x14ac:dyDescent="0.5">
      <c r="I726" s="5" t="s">
        <v>1070</v>
      </c>
      <c r="J726" s="95">
        <v>114510</v>
      </c>
      <c r="K726" t="str">
        <f>_xlfn.XLOOKUP(TechCleanup[[#This Row],[ProdCode]],Products[ProdCode],Products[Product],,0,)</f>
        <v>Refinery gas</v>
      </c>
    </row>
    <row r="727" spans="9:11" ht="15.75" x14ac:dyDescent="0.5">
      <c r="I727" s="5" t="s">
        <v>1466</v>
      </c>
      <c r="J727" s="95">
        <v>720000</v>
      </c>
      <c r="K727" t="str">
        <f>_xlfn.XLOOKUP(TechCleanup[[#This Row],[ProdCode]],Products[ProdCode],Products[Product],,0,)</f>
        <v>Renewable Electricity</v>
      </c>
    </row>
    <row r="728" spans="9:11" ht="15.75" x14ac:dyDescent="0.5">
      <c r="I728" s="5" t="s">
        <v>996</v>
      </c>
      <c r="J728" s="95">
        <v>273100</v>
      </c>
      <c r="K728" t="str">
        <f>_xlfn.XLOOKUP(TechCleanup[[#This Row],[ProdCode]],Products[ProdCode],Products[Product],,0,)</f>
        <v>Renewable electrolytic hydrogen</v>
      </c>
    </row>
    <row r="729" spans="9:11" ht="15.75" x14ac:dyDescent="0.5">
      <c r="I729" s="5" t="s">
        <v>946</v>
      </c>
      <c r="J729" s="95">
        <v>200000</v>
      </c>
      <c r="K729" t="str">
        <f>_xlfn.XLOOKUP(TechCleanup[[#This Row],[ProdCode]],Products[ProdCode],Products[Product],,0,)</f>
        <v>Renewable Energy</v>
      </c>
    </row>
    <row r="730" spans="9:11" ht="15.75" x14ac:dyDescent="0.5">
      <c r="I730" s="115" t="s">
        <v>901</v>
      </c>
      <c r="J730" s="95">
        <v>280000</v>
      </c>
      <c r="K730" t="str">
        <f>_xlfn.XLOOKUP(TechCleanup[[#This Row],[ProdCode]],Products[ProdCode],Products[Product],,0,)</f>
        <v>Multiple renewables</v>
      </c>
    </row>
    <row r="731" spans="9:11" ht="15.75" x14ac:dyDescent="0.5">
      <c r="I731" s="5" t="s">
        <v>239</v>
      </c>
      <c r="J731" s="95">
        <v>210000</v>
      </c>
      <c r="K731" t="str">
        <f>_xlfn.XLOOKUP(TechCleanup[[#This Row],[ProdCode]],Products[ProdCode],Products[Product],,0,)</f>
        <v>Renewable hydropower</v>
      </c>
    </row>
    <row r="732" spans="9:11" ht="15.75" x14ac:dyDescent="0.5">
      <c r="I732" s="5" t="s">
        <v>534</v>
      </c>
      <c r="J732" s="95">
        <v>264200</v>
      </c>
      <c r="K732" t="str">
        <f>_xlfn.XLOOKUP(TechCleanup[[#This Row],[ProdCode]],Products[ProdCode],Products[Product],,0,)</f>
        <v>Renewable industrial waste</v>
      </c>
    </row>
    <row r="733" spans="9:11" ht="15.75" x14ac:dyDescent="0.5">
      <c r="I733" s="5" t="s">
        <v>902</v>
      </c>
      <c r="J733" s="95">
        <v>264100</v>
      </c>
      <c r="K733" t="str">
        <f>_xlfn.XLOOKUP(TechCleanup[[#This Row],[ProdCode]],Products[ProdCode],Products[Product],,0,)</f>
        <v>Renewable municipal waste</v>
      </c>
    </row>
    <row r="734" spans="9:11" ht="15.75" x14ac:dyDescent="0.5">
      <c r="I734" s="5" t="s">
        <v>455</v>
      </c>
      <c r="J734" s="95">
        <v>264100</v>
      </c>
      <c r="K734" t="str">
        <f>_xlfn.XLOOKUP(TechCleanup[[#This Row],[ProdCode]],Products[ProdCode],Products[Product],,0,)</f>
        <v>Renewable municipal waste</v>
      </c>
    </row>
    <row r="735" spans="9:11" ht="15.75" x14ac:dyDescent="0.5">
      <c r="I735" s="5" t="s">
        <v>1097</v>
      </c>
      <c r="J735" s="95">
        <v>273200</v>
      </c>
      <c r="K735" t="str">
        <f>_xlfn.XLOOKUP(TechCleanup[[#This Row],[ProdCode]],Products[ProdCode],Products[Product],,0,)</f>
        <v>Renewable photolytic hydrogen</v>
      </c>
    </row>
    <row r="736" spans="9:11" ht="15.75" x14ac:dyDescent="0.5">
      <c r="I736" s="5" t="s">
        <v>997</v>
      </c>
      <c r="J736" s="95">
        <v>273300</v>
      </c>
      <c r="K736" t="str">
        <f>_xlfn.XLOOKUP(TechCleanup[[#This Row],[ProdCode]],Products[ProdCode],Products[Product],,0,)</f>
        <v>Renewable thermolytic hydrogen</v>
      </c>
    </row>
    <row r="737" spans="9:11" ht="15.75" x14ac:dyDescent="0.5">
      <c r="I737" s="5" t="s">
        <v>1101</v>
      </c>
      <c r="J737" s="95">
        <v>264000</v>
      </c>
      <c r="K737" t="str">
        <f>_xlfn.XLOOKUP(TechCleanup[[#This Row],[ProdCode]],Products[ProdCode],Products[Product],,0,)</f>
        <v>Renewable waste</v>
      </c>
    </row>
    <row r="738" spans="9:11" ht="15.75" x14ac:dyDescent="0.5">
      <c r="I738" s="115" t="s">
        <v>903</v>
      </c>
      <c r="J738" s="95">
        <v>280000</v>
      </c>
      <c r="K738" t="str">
        <f>_xlfn.XLOOKUP(TechCleanup[[#This Row],[ProdCode]],Products[ProdCode],Products[Product],,0,)</f>
        <v>Multiple renewables</v>
      </c>
    </row>
    <row r="739" spans="9:11" ht="15.75" x14ac:dyDescent="0.5">
      <c r="I739" s="115" t="s">
        <v>904</v>
      </c>
      <c r="J739" s="95">
        <v>280000</v>
      </c>
      <c r="K739" t="str">
        <f>_xlfn.XLOOKUP(TechCleanup[[#This Row],[ProdCode]],Products[ProdCode],Products[Product],,0,)</f>
        <v>Multiple renewables</v>
      </c>
    </row>
    <row r="740" spans="9:11" ht="15.75" x14ac:dyDescent="0.5">
      <c r="I740" s="115" t="s">
        <v>905</v>
      </c>
      <c r="J740" s="95">
        <v>280000</v>
      </c>
      <c r="K740" t="str">
        <f>_xlfn.XLOOKUP(TechCleanup[[#This Row],[ProdCode]],Products[ProdCode],Products[Product],,0,)</f>
        <v>Multiple renewables</v>
      </c>
    </row>
    <row r="741" spans="9:11" ht="15.75" x14ac:dyDescent="0.5">
      <c r="I741" s="5" t="s">
        <v>1135</v>
      </c>
      <c r="J741" s="95">
        <v>211100</v>
      </c>
      <c r="K741" t="str">
        <f>_xlfn.XLOOKUP(TechCleanup[[#This Row],[ProdCode]],Products[ProdCode],Products[Product],,0,)</f>
        <v>Reservoir hydropower</v>
      </c>
    </row>
    <row r="742" spans="9:11" ht="15.75" x14ac:dyDescent="0.5">
      <c r="I742" s="5" t="s">
        <v>1071</v>
      </c>
      <c r="J742" s="95">
        <v>114580</v>
      </c>
      <c r="K742" t="str">
        <f>_xlfn.XLOOKUP(TechCleanup[[#This Row],[ProdCode]],Products[ProdCode],Products[Product],,0,)</f>
        <v>Fuel oil</v>
      </c>
    </row>
    <row r="743" spans="9:11" ht="15.75" x14ac:dyDescent="0.5">
      <c r="I743" s="5" t="s">
        <v>1606</v>
      </c>
      <c r="J743" s="95">
        <v>800000</v>
      </c>
      <c r="K743" t="str">
        <f>_xlfn.XLOOKUP(TechCleanup[[#This Row],[ProdCode]],Products[ProdCode],Products[Product],,0,)</f>
        <v>Heat</v>
      </c>
    </row>
    <row r="744" spans="9:11" ht="15.75" x14ac:dyDescent="0.5">
      <c r="I744" s="5" t="s">
        <v>1352</v>
      </c>
      <c r="J744" s="95">
        <v>114580</v>
      </c>
      <c r="K744" t="str">
        <f>_xlfn.XLOOKUP(TechCleanup[[#This Row],[ProdCode]],Products[ProdCode],Products[Product],,0,)</f>
        <v>Fuel oil</v>
      </c>
    </row>
    <row r="745" spans="9:11" ht="15.75" x14ac:dyDescent="0.5">
      <c r="I745" s="5" t="s">
        <v>1302</v>
      </c>
      <c r="J745" s="95">
        <v>114599</v>
      </c>
      <c r="K745" t="str">
        <f>_xlfn.XLOOKUP(TechCleanup[[#This Row],[ProdCode]],Products[ProdCode],Products[Product],,0,)</f>
        <v>Other oil products n.e.s.</v>
      </c>
    </row>
    <row r="746" spans="9:11" ht="15.75" x14ac:dyDescent="0.5">
      <c r="I746" s="5" t="s">
        <v>1545</v>
      </c>
      <c r="J746" s="95">
        <v>273100</v>
      </c>
      <c r="K746" t="str">
        <f>_xlfn.XLOOKUP(TechCleanup[[#This Row],[ProdCode]],Products[ProdCode],Products[Product],,0,)</f>
        <v>Renewable electrolytic hydrogen</v>
      </c>
    </row>
    <row r="747" spans="9:11" ht="15.75" x14ac:dyDescent="0.5">
      <c r="I747" s="5" t="s">
        <v>1587</v>
      </c>
      <c r="J747" s="95">
        <v>262110</v>
      </c>
      <c r="K747" t="str">
        <f>_xlfn.XLOOKUP(TechCleanup[[#This Row],[ProdCode]],Products[ProdCode],Products[Product],,0,)</f>
        <v>Biomethanol</v>
      </c>
    </row>
    <row r="748" spans="9:11" ht="15.75" x14ac:dyDescent="0.5">
      <c r="I748" s="5" t="s">
        <v>518</v>
      </c>
      <c r="J748" s="95">
        <v>261330</v>
      </c>
      <c r="K748" t="str">
        <f>_xlfn.XLOOKUP(TechCleanup[[#This Row],[ProdCode]],Products[ProdCode],Products[Product],,0,)</f>
        <v>Plant husks</v>
      </c>
    </row>
    <row r="749" spans="9:11" ht="15.75" x14ac:dyDescent="0.5">
      <c r="I749" s="5" t="s">
        <v>1080</v>
      </c>
      <c r="J749" s="95">
        <v>211200</v>
      </c>
      <c r="K749" t="str">
        <f>_xlfn.XLOOKUP(TechCleanup[[#This Row],[ProdCode]],Products[ProdCode],Products[Product],,0,)</f>
        <v>Run-of-river hydropower</v>
      </c>
    </row>
    <row r="750" spans="9:11" ht="15.75" x14ac:dyDescent="0.5">
      <c r="I750" s="5" t="s">
        <v>950</v>
      </c>
      <c r="J750" s="95">
        <v>224000</v>
      </c>
      <c r="K750" t="str">
        <f>_xlfn.XLOOKUP(TechCleanup[[#This Row],[ProdCode]],Products[ProdCode],Products[Product],,0,)</f>
        <v>Salinity gradient</v>
      </c>
    </row>
    <row r="751" spans="9:11" ht="15.75" x14ac:dyDescent="0.5">
      <c r="I751" s="5" t="s">
        <v>1072</v>
      </c>
      <c r="J751" s="95">
        <v>261900</v>
      </c>
      <c r="K751" t="str">
        <f>_xlfn.XLOOKUP(TechCleanup[[#This Row],[ProdCode]],Products[ProdCode],Products[Product],,0,)</f>
        <v>Other solid biofuels</v>
      </c>
    </row>
    <row r="752" spans="9:11" ht="15.75" x14ac:dyDescent="0.5">
      <c r="I752" s="5" t="s">
        <v>1495</v>
      </c>
      <c r="J752" s="95">
        <v>261390</v>
      </c>
      <c r="K752" t="str">
        <f>_xlfn.XLOOKUP(TechCleanup[[#This Row],[ProdCode]],Products[ProdCode],Products[Product],,0,)</f>
        <v>Other biomass processing residues</v>
      </c>
    </row>
    <row r="753" spans="9:11" ht="15.75" x14ac:dyDescent="0.5">
      <c r="I753" s="5" t="s">
        <v>208</v>
      </c>
      <c r="J753" s="95">
        <v>111314</v>
      </c>
      <c r="K753" t="str">
        <f>_xlfn.XLOOKUP(TechCleanup[[#This Row],[ProdCode]],Products[ProdCode],Products[Product],,0,)</f>
        <v>Semi cokes</v>
      </c>
    </row>
    <row r="754" spans="9:11" ht="15.75" x14ac:dyDescent="0.5">
      <c r="I754" s="5" t="s">
        <v>1084</v>
      </c>
      <c r="J754" s="95">
        <v>352000</v>
      </c>
      <c r="K754" t="str">
        <f>_xlfn.XLOOKUP(TechCleanup[[#This Row],[ProdCode]],Products[ProdCode],Products[Product],,0,)</f>
        <v>Sensible heat storage</v>
      </c>
    </row>
    <row r="755" spans="9:11" ht="15.75" x14ac:dyDescent="0.5">
      <c r="I755" s="5" t="s">
        <v>906</v>
      </c>
      <c r="J755" s="95">
        <v>263120</v>
      </c>
      <c r="K755" t="str">
        <f>_xlfn.XLOOKUP(TechCleanup[[#This Row],[ProdCode]],Products[ProdCode],Products[Product],,0,)</f>
        <v>Wastewater sludge biogas</v>
      </c>
    </row>
    <row r="756" spans="9:11" ht="15.75" x14ac:dyDescent="0.5">
      <c r="I756" s="5" t="s">
        <v>653</v>
      </c>
      <c r="J756" s="95">
        <v>263120</v>
      </c>
      <c r="K756" t="str">
        <f>_xlfn.XLOOKUP(TechCleanup[[#This Row],[ProdCode]],Products[ProdCode],Products[Product],,0,)</f>
        <v>Wastewater sludge biogas</v>
      </c>
    </row>
    <row r="757" spans="9:11" ht="15.75" x14ac:dyDescent="0.5">
      <c r="I757" s="5" t="s">
        <v>1353</v>
      </c>
      <c r="J757" s="95">
        <v>115000</v>
      </c>
      <c r="K757" t="str">
        <f>_xlfn.XLOOKUP(TechCleanup[[#This Row],[ProdCode]],Products[ProdCode],Products[Product],,0,)</f>
        <v>Oil shale/sands</v>
      </c>
    </row>
    <row r="758" spans="9:11" ht="15.75" x14ac:dyDescent="0.5">
      <c r="I758" s="5" t="s">
        <v>1850</v>
      </c>
      <c r="J758" s="95">
        <v>115000</v>
      </c>
      <c r="K758" t="str">
        <f>_xlfn.XLOOKUP(TechCleanup[[#This Row],[ProdCode]],Products[ProdCode],Products[Product],,0,)</f>
        <v>Oil shale/sands</v>
      </c>
    </row>
    <row r="759" spans="9:11" ht="15.75" x14ac:dyDescent="0.5">
      <c r="I759" s="5" t="s">
        <v>358</v>
      </c>
      <c r="J759" s="95">
        <v>241230</v>
      </c>
      <c r="K759" t="str">
        <f>_xlfn.XLOOKUP(TechCleanup[[#This Row],[ProdCode]],Products[ProdCode],Products[Product],,0,)</f>
        <v>Large solar home systems</v>
      </c>
    </row>
    <row r="760" spans="9:11" ht="15.75" x14ac:dyDescent="0.5">
      <c r="I760" s="5" t="s">
        <v>352</v>
      </c>
      <c r="J760" s="95">
        <v>241220</v>
      </c>
      <c r="K760" t="str">
        <f>_xlfn.XLOOKUP(TechCleanup[[#This Row],[ProdCode]],Products[ProdCode],Products[Product],,0,)</f>
        <v>Small solar home systems</v>
      </c>
    </row>
    <row r="761" spans="9:11" ht="15.75" x14ac:dyDescent="0.5">
      <c r="I761" s="5" t="s">
        <v>1338</v>
      </c>
      <c r="J761" s="95">
        <v>263120</v>
      </c>
      <c r="K761" t="str">
        <f>_xlfn.XLOOKUP(TechCleanup[[#This Row],[ProdCode]],Products[ProdCode],Products[Product],,0,)</f>
        <v>Wastewater sludge biogas</v>
      </c>
    </row>
    <row r="762" spans="9:11" ht="15.75" x14ac:dyDescent="0.5">
      <c r="I762" s="5" t="s">
        <v>1073</v>
      </c>
      <c r="J762" s="95">
        <v>263120</v>
      </c>
      <c r="K762" t="str">
        <f>_xlfn.XLOOKUP(TechCleanup[[#This Row],[ProdCode]],Products[ProdCode],Products[Product],,0,)</f>
        <v>Wastewater sludge biogas</v>
      </c>
    </row>
    <row r="763" spans="9:11" ht="15.75" x14ac:dyDescent="0.5">
      <c r="I763" s="115" t="s">
        <v>907</v>
      </c>
      <c r="J763" s="95">
        <v>211200</v>
      </c>
      <c r="K763" t="str">
        <f>_xlfn.XLOOKUP(TechCleanup[[#This Row],[ProdCode]],Products[ProdCode],Products[Product],,0,)</f>
        <v>Run-of-river hydropower</v>
      </c>
    </row>
    <row r="764" spans="9:11" ht="15.75" x14ac:dyDescent="0.5">
      <c r="I764" s="5" t="s">
        <v>1099</v>
      </c>
      <c r="J764" s="95">
        <v>241220</v>
      </c>
      <c r="K764" t="str">
        <f>_xlfn.XLOOKUP(TechCleanup[[#This Row],[ProdCode]],Products[ProdCode],Products[Product],,0,)</f>
        <v>Small solar home systems</v>
      </c>
    </row>
    <row r="765" spans="9:11" ht="15.75" x14ac:dyDescent="0.5">
      <c r="I765" s="5" t="s">
        <v>1500</v>
      </c>
      <c r="J765" s="95">
        <v>263200</v>
      </c>
      <c r="K765" t="str">
        <f>_xlfn.XLOOKUP(TechCleanup[[#This Row],[ProdCode]],Products[ProdCode],Products[Product],,0,)</f>
        <v>Biogas from thermal processes</v>
      </c>
    </row>
    <row r="766" spans="9:11" ht="15.75" x14ac:dyDescent="0.5">
      <c r="I766" s="5" t="s">
        <v>305</v>
      </c>
      <c r="J766" s="95">
        <v>112110</v>
      </c>
      <c r="K766" t="str">
        <f>_xlfn.XLOOKUP(TechCleanup[[#This Row],[ProdCode]],Products[ProdCode],Products[Product],,0,)</f>
        <v>Sod peat</v>
      </c>
    </row>
    <row r="767" spans="9:11" ht="15.75" x14ac:dyDescent="0.5">
      <c r="I767" s="5" t="s">
        <v>1017</v>
      </c>
      <c r="J767" s="95">
        <v>240000</v>
      </c>
      <c r="K767" t="str">
        <f>_xlfn.XLOOKUP(TechCleanup[[#This Row],[ProdCode]],Products[ProdCode],Products[Product],,0,)</f>
        <v>Solar energy</v>
      </c>
    </row>
    <row r="768" spans="9:11" ht="15.75" x14ac:dyDescent="0.5">
      <c r="I768" s="5" t="s">
        <v>960</v>
      </c>
      <c r="J768" s="95">
        <v>242320</v>
      </c>
      <c r="K768" t="str">
        <f>_xlfn.XLOOKUP(TechCleanup[[#This Row],[ProdCode]],Products[ProdCode],Products[Product],,0,)</f>
        <v>Solar air forced convection heating</v>
      </c>
    </row>
    <row r="769" spans="9:11" ht="15.75" x14ac:dyDescent="0.5">
      <c r="I769" s="5" t="s">
        <v>958</v>
      </c>
      <c r="J769" s="95">
        <v>242300</v>
      </c>
      <c r="K769" t="str">
        <f>_xlfn.XLOOKUP(TechCleanup[[#This Row],[ProdCode]],Products[ProdCode],Products[Product],,0,)</f>
        <v>Solar air heating</v>
      </c>
    </row>
    <row r="770" spans="9:11" ht="15.75" x14ac:dyDescent="0.5">
      <c r="I770" s="5" t="s">
        <v>959</v>
      </c>
      <c r="J770" s="95">
        <v>242310</v>
      </c>
      <c r="K770" t="str">
        <f>_xlfn.XLOOKUP(TechCleanup[[#This Row],[ProdCode]],Products[ProdCode],Products[Product],,0,)</f>
        <v>Solar air natural convection heating</v>
      </c>
    </row>
    <row r="771" spans="9:11" ht="15.75" x14ac:dyDescent="0.5">
      <c r="I771" s="5" t="s">
        <v>961</v>
      </c>
      <c r="J771" s="95">
        <v>242330</v>
      </c>
      <c r="K771" t="str">
        <f>_xlfn.XLOOKUP(TechCleanup[[#This Row],[ProdCode]],Products[ProdCode],Products[Product],,0,)</f>
        <v>Solar air radiative heating</v>
      </c>
    </row>
    <row r="772" spans="9:11" ht="15.75" x14ac:dyDescent="0.5">
      <c r="I772" s="115" t="s">
        <v>908</v>
      </c>
      <c r="J772" s="95">
        <v>280000</v>
      </c>
      <c r="K772" t="str">
        <f>_xlfn.XLOOKUP(TechCleanup[[#This Row],[ProdCode]],Products[ProdCode],Products[Product],,0,)</f>
        <v>Multiple renewables</v>
      </c>
    </row>
    <row r="773" spans="9:11" ht="15.75" x14ac:dyDescent="0.5">
      <c r="I773" s="5" t="s">
        <v>1253</v>
      </c>
      <c r="J773" s="95">
        <v>241000</v>
      </c>
      <c r="K773" t="str">
        <f>_xlfn.XLOOKUP(TechCleanup[[#This Row],[ProdCode]],Products[ProdCode],Products[Product],,0,)</f>
        <v>Solar photovoltaic</v>
      </c>
    </row>
    <row r="774" spans="9:11" ht="15.75" x14ac:dyDescent="0.5">
      <c r="I774" s="5" t="s">
        <v>294</v>
      </c>
      <c r="J774" s="95">
        <v>240000</v>
      </c>
      <c r="K774" t="str">
        <f>_xlfn.XLOOKUP(TechCleanup[[#This Row],[ProdCode]],Products[ProdCode],Products[Product],,0,)</f>
        <v>Solar energy</v>
      </c>
    </row>
    <row r="775" spans="9:11" ht="15.75" x14ac:dyDescent="0.5">
      <c r="I775" s="5" t="s">
        <v>1608</v>
      </c>
      <c r="J775" s="95">
        <v>240000</v>
      </c>
      <c r="K775" t="str">
        <f>_xlfn.XLOOKUP(TechCleanup[[#This Row],[ProdCode]],Products[ProdCode],Products[Product],,0,)</f>
        <v>Solar energy</v>
      </c>
    </row>
    <row r="776" spans="9:11" ht="15.75" x14ac:dyDescent="0.5">
      <c r="I776" s="5" t="s">
        <v>1609</v>
      </c>
      <c r="J776" s="95">
        <v>242900</v>
      </c>
      <c r="K776" t="str">
        <f>_xlfn.XLOOKUP(TechCleanup[[#This Row],[ProdCode]],Products[ProdCode],Products[Product],,0,)</f>
        <v>Other solar thermal energy</v>
      </c>
    </row>
    <row r="777" spans="9:11" ht="15.75" x14ac:dyDescent="0.5">
      <c r="I777" s="5" t="s">
        <v>439</v>
      </c>
      <c r="J777" s="95">
        <v>242900</v>
      </c>
      <c r="K777" t="str">
        <f>_xlfn.XLOOKUP(TechCleanup[[#This Row],[ProdCode]],Products[ProdCode],Products[Product],,0,)</f>
        <v>Other solar thermal energy</v>
      </c>
    </row>
    <row r="778" spans="9:11" ht="15.75" x14ac:dyDescent="0.5">
      <c r="I778" s="5" t="s">
        <v>920</v>
      </c>
      <c r="J778" s="95">
        <v>241230</v>
      </c>
      <c r="K778" t="str">
        <f>_xlfn.XLOOKUP(TechCleanup[[#This Row],[ProdCode]],Products[ProdCode],Products[Product],,0,)</f>
        <v>Large solar home systems</v>
      </c>
    </row>
    <row r="779" spans="9:11" ht="15.75" x14ac:dyDescent="0.5">
      <c r="I779" s="5" t="s">
        <v>921</v>
      </c>
      <c r="J779" s="95">
        <v>241220</v>
      </c>
      <c r="K779" t="str">
        <f>_xlfn.XLOOKUP(TechCleanup[[#This Row],[ProdCode]],Products[ProdCode],Products[Product],,0,)</f>
        <v>Small solar home systems</v>
      </c>
    </row>
    <row r="780" spans="9:11" ht="15.75" x14ac:dyDescent="0.5">
      <c r="I780" s="5" t="s">
        <v>922</v>
      </c>
      <c r="J780" s="95">
        <v>241210</v>
      </c>
      <c r="K780" t="str">
        <f>_xlfn.XLOOKUP(TechCleanup[[#This Row],[ProdCode]],Products[ProdCode],Products[Product],,0,)</f>
        <v>Solar lights</v>
      </c>
    </row>
    <row r="781" spans="9:11" ht="15.75" x14ac:dyDescent="0.5">
      <c r="I781" s="5" t="s">
        <v>346</v>
      </c>
      <c r="J781" s="95">
        <v>241210</v>
      </c>
      <c r="K781" t="str">
        <f>_xlfn.XLOOKUP(TechCleanup[[#This Row],[ProdCode]],Products[ProdCode],Products[Product],,0,)</f>
        <v>Solar lights</v>
      </c>
    </row>
    <row r="782" spans="9:11" ht="15.75" x14ac:dyDescent="0.5">
      <c r="I782" s="5" t="s">
        <v>381</v>
      </c>
      <c r="J782" s="95">
        <v>241260</v>
      </c>
      <c r="K782" t="str">
        <f>_xlfn.XLOOKUP(TechCleanup[[#This Row],[ProdCode]],Products[ProdCode],Products[Product],,0,)</f>
        <v>Solar mini-grids</v>
      </c>
    </row>
    <row r="783" spans="9:11" ht="15.75" x14ac:dyDescent="0.5">
      <c r="I783" s="5" t="s">
        <v>909</v>
      </c>
      <c r="J783" s="95">
        <v>241000</v>
      </c>
      <c r="K783" t="str">
        <f>_xlfn.XLOOKUP(TechCleanup[[#This Row],[ProdCode]],Products[ProdCode],Products[Product],,0,)</f>
        <v>Solar photovoltaic</v>
      </c>
    </row>
    <row r="784" spans="9:11" ht="15.75" x14ac:dyDescent="0.5">
      <c r="I784" s="5" t="s">
        <v>301</v>
      </c>
      <c r="J784" s="95">
        <v>241000</v>
      </c>
      <c r="K784" t="str">
        <f>_xlfn.XLOOKUP(TechCleanup[[#This Row],[ProdCode]],Products[ProdCode],Products[Product],,0,)</f>
        <v>Solar photovoltaic</v>
      </c>
    </row>
    <row r="785" spans="9:11" ht="15.75" x14ac:dyDescent="0.5">
      <c r="I785" s="5" t="s">
        <v>373</v>
      </c>
      <c r="J785" s="95">
        <v>241250</v>
      </c>
      <c r="K785" t="str">
        <f>_xlfn.XLOOKUP(TechCleanup[[#This Row],[ProdCode]],Products[ProdCode],Products[Product],,0,)</f>
        <v>Solar water pumps</v>
      </c>
    </row>
    <row r="786" spans="9:11" x14ac:dyDescent="0.45">
      <c r="I786" s="117" t="s">
        <v>924</v>
      </c>
      <c r="J786" s="95">
        <v>241290</v>
      </c>
      <c r="K786" t="str">
        <f>_xlfn.XLOOKUP(TechCleanup[[#This Row],[ProdCode]],Products[ProdCode],Products[Product],,0,)</f>
        <v>Other off-grid solar photovoltaic</v>
      </c>
    </row>
    <row r="787" spans="9:11" ht="15.75" x14ac:dyDescent="0.5">
      <c r="I787" s="5" t="s">
        <v>1132</v>
      </c>
      <c r="J787" s="95">
        <v>241270</v>
      </c>
      <c r="K787" t="str">
        <f>_xlfn.XLOOKUP(TechCleanup[[#This Row],[ProdCode]],Products[ProdCode],Products[Product],,0,)</f>
        <v>Solar street lamps</v>
      </c>
    </row>
    <row r="788" spans="9:11" ht="15.75" x14ac:dyDescent="0.5">
      <c r="I788" s="5" t="s">
        <v>952</v>
      </c>
      <c r="J788" s="95">
        <v>241240</v>
      </c>
      <c r="K788" t="str">
        <f>_xlfn.XLOOKUP(TechCleanup[[#This Row],[ProdCode]],Products[ProdCode],Products[Product],,0,)</f>
        <v>Solar telecom towers</v>
      </c>
    </row>
    <row r="789" spans="9:11" ht="15.75" x14ac:dyDescent="0.5">
      <c r="I789" s="5" t="s">
        <v>910</v>
      </c>
      <c r="J789" s="95">
        <v>242900</v>
      </c>
      <c r="K789" t="str">
        <f>_xlfn.XLOOKUP(TechCleanup[[#This Row],[ProdCode]],Products[ProdCode],Products[Product],,0,)</f>
        <v>Other solar thermal energy</v>
      </c>
    </row>
    <row r="790" spans="9:11" ht="15.75" x14ac:dyDescent="0.5">
      <c r="I790" s="5" t="s">
        <v>396</v>
      </c>
      <c r="J790" s="95">
        <v>242900</v>
      </c>
      <c r="K790" t="str">
        <f>_xlfn.XLOOKUP(TechCleanup[[#This Row],[ProdCode]],Products[ProdCode],Products[Product],,0,)</f>
        <v>Other solar thermal energy</v>
      </c>
    </row>
    <row r="791" spans="9:11" ht="15.75" x14ac:dyDescent="0.5">
      <c r="I791" s="5" t="s">
        <v>366</v>
      </c>
      <c r="J791" s="95">
        <v>241240</v>
      </c>
      <c r="K791" t="str">
        <f>_xlfn.XLOOKUP(TechCleanup[[#This Row],[ProdCode]],Products[ProdCode],Products[Product],,0,)</f>
        <v>Solar telecom towers</v>
      </c>
    </row>
    <row r="792" spans="9:11" ht="15.75" x14ac:dyDescent="0.5">
      <c r="I792" s="5" t="s">
        <v>423</v>
      </c>
      <c r="J792" s="95">
        <v>242200</v>
      </c>
      <c r="K792" t="str">
        <f>_xlfn.XLOOKUP(TechCleanup[[#This Row],[ProdCode]],Products[ProdCode],Products[Product],,0,)</f>
        <v>Solar water heating</v>
      </c>
    </row>
    <row r="793" spans="9:11" ht="15.75" x14ac:dyDescent="0.5">
      <c r="I793" s="5" t="s">
        <v>957</v>
      </c>
      <c r="J793" s="95">
        <v>242200</v>
      </c>
      <c r="K793" t="str">
        <f>_xlfn.XLOOKUP(TechCleanup[[#This Row],[ProdCode]],Products[ProdCode],Products[Product],,0,)</f>
        <v>Solar water heating</v>
      </c>
    </row>
    <row r="794" spans="9:11" ht="15.75" x14ac:dyDescent="0.5">
      <c r="I794" s="5" t="s">
        <v>1133</v>
      </c>
      <c r="J794" s="95">
        <v>241250</v>
      </c>
      <c r="K794" t="str">
        <f>_xlfn.XLOOKUP(TechCleanup[[#This Row],[ProdCode]],Products[ProdCode],Products[Product],,0,)</f>
        <v>Solar water pumps</v>
      </c>
    </row>
    <row r="795" spans="9:11" ht="15.75" x14ac:dyDescent="0.5">
      <c r="I795" s="5" t="s">
        <v>1074</v>
      </c>
      <c r="J795" s="95">
        <v>241110</v>
      </c>
      <c r="K795" t="str">
        <f>_xlfn.XLOOKUP(TechCleanup[[#This Row],[ProdCode]],Products[ProdCode],Products[Product],,0,)</f>
        <v>On-grid utility-scale photovoltaic (&gt;1 000 kW)</v>
      </c>
    </row>
    <row r="796" spans="9:11" ht="15.75" x14ac:dyDescent="0.5">
      <c r="I796" s="5" t="s">
        <v>1075</v>
      </c>
      <c r="J796" s="95">
        <v>242900</v>
      </c>
      <c r="K796" t="str">
        <f>_xlfn.XLOOKUP(TechCleanup[[#This Row],[ProdCode]],Products[ProdCode],Products[Product],,0,)</f>
        <v>Other solar thermal energy</v>
      </c>
    </row>
    <row r="797" spans="9:11" ht="15.75" x14ac:dyDescent="0.5">
      <c r="I797" s="5" t="s">
        <v>463</v>
      </c>
      <c r="J797" s="95">
        <v>261900</v>
      </c>
      <c r="K797" t="str">
        <f>_xlfn.XLOOKUP(TechCleanup[[#This Row],[ProdCode]],Products[ProdCode],Products[Product],,0,)</f>
        <v>Other solid biofuels</v>
      </c>
    </row>
    <row r="798" spans="9:11" ht="15.75" x14ac:dyDescent="0.5">
      <c r="I798" s="5" t="s">
        <v>458</v>
      </c>
      <c r="J798" s="95">
        <v>261900</v>
      </c>
      <c r="K798" t="str">
        <f>_xlfn.XLOOKUP(TechCleanup[[#This Row],[ProdCode]],Products[ProdCode],Products[Product],,0,)</f>
        <v>Other solid biofuels</v>
      </c>
    </row>
    <row r="799" spans="9:11" ht="15.75" x14ac:dyDescent="0.5">
      <c r="I799" s="5" t="s">
        <v>1095</v>
      </c>
      <c r="J799" s="95">
        <v>361300</v>
      </c>
      <c r="K799" t="str">
        <f>_xlfn.XLOOKUP(TechCleanup[[#This Row],[ProdCode]],Products[ProdCode],Products[Product],,0,)</f>
        <v>Solid hydrogen storage</v>
      </c>
    </row>
    <row r="800" spans="9:11" ht="15.75" x14ac:dyDescent="0.5">
      <c r="I800" s="5" t="s">
        <v>1143</v>
      </c>
      <c r="J800" s="95">
        <v>261350</v>
      </c>
      <c r="K800" t="str">
        <f>_xlfn.XLOOKUP(TechCleanup[[#This Row],[ProdCode]],Products[ProdCode],Products[Product],,0,)</f>
        <v>Solid wood processing residues</v>
      </c>
    </row>
    <row r="801" spans="9:11" ht="15.75" x14ac:dyDescent="0.5">
      <c r="I801" s="5" t="s">
        <v>1327</v>
      </c>
      <c r="J801" s="95">
        <v>129000</v>
      </c>
      <c r="K801" t="str">
        <f>_xlfn.XLOOKUP(TechCleanup[[#This Row],[ProdCode]],Products[ProdCode],Products[Product],,0,)</f>
        <v>Other nuclear fuels</v>
      </c>
    </row>
    <row r="802" spans="9:11" ht="15.75" x14ac:dyDescent="0.5">
      <c r="I802" s="5" t="s">
        <v>1005</v>
      </c>
      <c r="J802" s="95">
        <v>321000</v>
      </c>
      <c r="K802" t="str">
        <f>_xlfn.XLOOKUP(TechCleanup[[#This Row],[ProdCode]],Products[ProdCode],Products[Product],,0,)</f>
        <v>Stationary electric batteries</v>
      </c>
    </row>
    <row r="803" spans="9:11" ht="15.75" x14ac:dyDescent="0.5">
      <c r="I803" s="5" t="s">
        <v>1505</v>
      </c>
      <c r="J803" s="95">
        <v>261220</v>
      </c>
      <c r="K803" t="str">
        <f>_xlfn.XLOOKUP(TechCleanup[[#This Row],[ProdCode]],Products[ProdCode],Products[Product],,0,)</f>
        <v>Straw</v>
      </c>
    </row>
    <row r="804" spans="9:11" ht="15.75" x14ac:dyDescent="0.5">
      <c r="I804" s="5" t="s">
        <v>1506</v>
      </c>
      <c r="J804" s="95">
        <v>261220</v>
      </c>
      <c r="K804" t="str">
        <f>_xlfn.XLOOKUP(TechCleanup[[#This Row],[ProdCode]],Products[ProdCode],Products[Product],,0,)</f>
        <v>Straw</v>
      </c>
    </row>
    <row r="805" spans="9:11" ht="15.75" x14ac:dyDescent="0.5">
      <c r="I805" s="5" t="s">
        <v>986</v>
      </c>
      <c r="J805" s="95">
        <v>262240</v>
      </c>
      <c r="K805" t="str">
        <f>_xlfn.XLOOKUP(TechCleanup[[#This Row],[ProdCode]],Products[ProdCode],Products[Product],,0,)</f>
        <v>Straight vegetable oil</v>
      </c>
    </row>
    <row r="806" spans="9:11" ht="15.75" x14ac:dyDescent="0.5">
      <c r="I806" s="5" t="s">
        <v>503</v>
      </c>
      <c r="J806" s="95">
        <v>261220</v>
      </c>
      <c r="K806" t="str">
        <f>_xlfn.XLOOKUP(TechCleanup[[#This Row],[ProdCode]],Products[ProdCode],Products[Product],,0,)</f>
        <v>Straw</v>
      </c>
    </row>
    <row r="807" spans="9:11" ht="15.75" x14ac:dyDescent="0.5">
      <c r="I807" s="5" t="s">
        <v>149</v>
      </c>
      <c r="J807" s="95">
        <v>111210</v>
      </c>
      <c r="K807" t="str">
        <f>_xlfn.XLOOKUP(TechCleanup[[#This Row],[ProdCode]],Products[ProdCode],Products[Product],,0,)</f>
        <v>Sub-bituminous coal</v>
      </c>
    </row>
    <row r="808" spans="9:11" ht="15.75" x14ac:dyDescent="0.5">
      <c r="I808" s="5" t="s">
        <v>1370</v>
      </c>
      <c r="J808" s="95">
        <v>111210</v>
      </c>
      <c r="K808" t="str">
        <f>_xlfn.XLOOKUP(TechCleanup[[#This Row],[ProdCode]],Products[ProdCode],Products[Product],,0,)</f>
        <v>Sub-bituminous coal</v>
      </c>
    </row>
    <row r="809" spans="9:11" ht="15.75" x14ac:dyDescent="0.5">
      <c r="I809" s="5" t="s">
        <v>1076</v>
      </c>
      <c r="J809" s="95">
        <v>111210</v>
      </c>
      <c r="K809" t="str">
        <f>_xlfn.XLOOKUP(TechCleanup[[#This Row],[ProdCode]],Products[ProdCode],Products[Product],,0,)</f>
        <v>Sub-bituminous coal</v>
      </c>
    </row>
    <row r="810" spans="9:11" ht="15.75" x14ac:dyDescent="0.5">
      <c r="I810" s="5" t="s">
        <v>1507</v>
      </c>
      <c r="J810" s="95">
        <v>261310</v>
      </c>
      <c r="K810" t="str">
        <f>_xlfn.XLOOKUP(TechCleanup[[#This Row],[ProdCode]],Products[ProdCode],Products[Product],,0,)</f>
        <v>Bagasse</v>
      </c>
    </row>
    <row r="811" spans="9:11" ht="15.75" x14ac:dyDescent="0.5">
      <c r="I811" s="5" t="s">
        <v>1508</v>
      </c>
      <c r="J811" s="95">
        <v>261310</v>
      </c>
      <c r="K811" t="str">
        <f>_xlfn.XLOOKUP(TechCleanup[[#This Row],[ProdCode]],Products[ProdCode],Products[Product],,0,)</f>
        <v>Bagasse</v>
      </c>
    </row>
    <row r="812" spans="9:11" ht="15.75" x14ac:dyDescent="0.5">
      <c r="I812" s="5" t="s">
        <v>1339</v>
      </c>
      <c r="J812" s="95">
        <v>261320</v>
      </c>
      <c r="K812" t="str">
        <f>_xlfn.XLOOKUP(TechCleanup[[#This Row],[ProdCode]],Products[ProdCode],Products[Product],,0,)</f>
        <v>Black liquor</v>
      </c>
    </row>
    <row r="813" spans="9:11" ht="15.75" x14ac:dyDescent="0.5">
      <c r="I813" s="5" t="s">
        <v>1856</v>
      </c>
      <c r="J813" s="95">
        <v>261320</v>
      </c>
      <c r="K813" t="str">
        <f>_xlfn.XLOOKUP(TechCleanup[[#This Row],[ProdCode]],Products[ProdCode],Products[Product],,0,)</f>
        <v>Black liquor</v>
      </c>
    </row>
    <row r="814" spans="9:11" ht="15.75" x14ac:dyDescent="0.5">
      <c r="I814" s="5" t="s">
        <v>1003</v>
      </c>
      <c r="J814" s="95">
        <v>311000</v>
      </c>
      <c r="K814" t="str">
        <f>_xlfn.XLOOKUP(TechCleanup[[#This Row],[ProdCode]],Products[ProdCode],Products[Product],,0,)</f>
        <v>Supercapacitors</v>
      </c>
    </row>
    <row r="815" spans="9:11" ht="15.75" x14ac:dyDescent="0.5">
      <c r="I815" s="5" t="s">
        <v>1098</v>
      </c>
      <c r="J815" s="95">
        <v>331000</v>
      </c>
      <c r="K815" t="str">
        <f>_xlfn.XLOOKUP(TechCleanup[[#This Row],[ProdCode]],Products[ProdCode],Products[Product],,0,)</f>
        <v>Superconducting magnetic storage</v>
      </c>
    </row>
    <row r="816" spans="9:11" ht="15.75" x14ac:dyDescent="0.5">
      <c r="I816" s="5" t="s">
        <v>1273</v>
      </c>
      <c r="J816" s="95">
        <v>111340</v>
      </c>
      <c r="K816" t="str">
        <f>_xlfn.XLOOKUP(TechCleanup[[#This Row],[ProdCode]],Products[ProdCode],Products[Product],,0,)</f>
        <v>Coal tar</v>
      </c>
    </row>
    <row r="817" spans="9:11" ht="15.75" x14ac:dyDescent="0.5">
      <c r="I817" s="5" t="s">
        <v>1254</v>
      </c>
      <c r="J817" s="95">
        <v>700000</v>
      </c>
      <c r="K817" t="str">
        <f>_xlfn.XLOOKUP(TechCleanup[[#This Row],[ProdCode]],Products[ProdCode],Products[Product],,0,)</f>
        <v>Electricity</v>
      </c>
    </row>
    <row r="818" spans="9:11" ht="15.75" x14ac:dyDescent="0.5">
      <c r="I818" s="5" t="s">
        <v>951</v>
      </c>
      <c r="J818" s="95">
        <v>225000</v>
      </c>
      <c r="K818" t="str">
        <f>_xlfn.XLOOKUP(TechCleanup[[#This Row],[ProdCode]],Products[ProdCode],Products[Product],,0,)</f>
        <v>Thermal gradient</v>
      </c>
    </row>
    <row r="819" spans="9:11" ht="15.75" x14ac:dyDescent="0.5">
      <c r="I819" s="5" t="s">
        <v>985</v>
      </c>
      <c r="J819" s="95">
        <v>262220</v>
      </c>
      <c r="K819" t="str">
        <f>_xlfn.XLOOKUP(TechCleanup[[#This Row],[ProdCode]],Products[ProdCode],Products[Product],,0,)</f>
        <v>Thermal process biodiesel</v>
      </c>
    </row>
    <row r="820" spans="9:11" ht="15.75" x14ac:dyDescent="0.5">
      <c r="I820" s="5" t="s">
        <v>1470</v>
      </c>
      <c r="J820" s="95">
        <v>262920</v>
      </c>
      <c r="K820" t="str">
        <f>_xlfn.XLOOKUP(TechCleanup[[#This Row],[ProdCode]],Products[ProdCode],Products[Product],,0,)</f>
        <v>Thermal process bioliquid</v>
      </c>
    </row>
    <row r="821" spans="9:11" ht="15.75" x14ac:dyDescent="0.5">
      <c r="I821" s="5" t="s">
        <v>1011</v>
      </c>
      <c r="J821" s="95">
        <v>350000</v>
      </c>
      <c r="K821" t="str">
        <f>_xlfn.XLOOKUP(TechCleanup[[#This Row],[ProdCode]],Products[ProdCode],Products[Product],,0,)</f>
        <v>Thermal storage</v>
      </c>
    </row>
    <row r="822" spans="9:11" ht="15.75" x14ac:dyDescent="0.5">
      <c r="I822" s="5" t="s">
        <v>948</v>
      </c>
      <c r="J822" s="95">
        <v>222000</v>
      </c>
      <c r="K822" t="str">
        <f>_xlfn.XLOOKUP(TechCleanup[[#This Row],[ProdCode]],Products[ProdCode],Products[Product],,0,)</f>
        <v>Tidal energy</v>
      </c>
    </row>
    <row r="823" spans="9:11" ht="15.75" x14ac:dyDescent="0.5">
      <c r="I823" s="5" t="s">
        <v>1077</v>
      </c>
      <c r="J823" s="95">
        <v>222000</v>
      </c>
      <c r="K823" t="str">
        <f>_xlfn.XLOOKUP(TechCleanup[[#This Row],[ProdCode]],Products[ProdCode],Products[Product],,0,)</f>
        <v>Tidal energy</v>
      </c>
    </row>
    <row r="824" spans="9:11" ht="15.75" x14ac:dyDescent="0.5">
      <c r="I824" s="5" t="s">
        <v>1252</v>
      </c>
      <c r="J824" s="95">
        <v>220000</v>
      </c>
      <c r="K824" t="str">
        <f>_xlfn.XLOOKUP(TechCleanup[[#This Row],[ProdCode]],Products[ProdCode],Products[Product],,0,)</f>
        <v>Marine energy</v>
      </c>
    </row>
    <row r="825" spans="9:11" ht="15.75" x14ac:dyDescent="0.5">
      <c r="I825" s="5" t="s">
        <v>752</v>
      </c>
      <c r="J825" s="95">
        <v>900000</v>
      </c>
      <c r="K825" t="str">
        <f>_xlfn.XLOOKUP(TechCleanup[[#This Row],[ProdCode]],Products[ProdCode],Products[Product],,0,)</f>
        <v>Energy</v>
      </c>
    </row>
    <row r="826" spans="9:11" ht="15.75" x14ac:dyDescent="0.5">
      <c r="I826" s="5" t="s">
        <v>1248</v>
      </c>
      <c r="J826" s="95">
        <v>700000</v>
      </c>
      <c r="K826" t="str">
        <f>_xlfn.XLOOKUP(TechCleanup[[#This Row],[ProdCode]],Products[ProdCode],Products[Product],,0,)</f>
        <v>Electricity</v>
      </c>
    </row>
    <row r="827" spans="9:11" ht="15.75" x14ac:dyDescent="0.5">
      <c r="I827" s="5" t="s">
        <v>911</v>
      </c>
      <c r="J827" s="95">
        <v>900000</v>
      </c>
      <c r="K827" t="str">
        <f>_xlfn.XLOOKUP(TechCleanup[[#This Row],[ProdCode]],Products[ProdCode],Products[Product],,0,)</f>
        <v>Energy</v>
      </c>
    </row>
    <row r="828" spans="9:11" ht="15.75" x14ac:dyDescent="0.5">
      <c r="I828" s="5" t="s">
        <v>1092</v>
      </c>
      <c r="J828" s="95">
        <v>900000</v>
      </c>
      <c r="K828" t="str">
        <f>_xlfn.XLOOKUP(TechCleanup[[#This Row],[ProdCode]],Products[ProdCode],Products[Product],,0,)</f>
        <v>Energy</v>
      </c>
    </row>
    <row r="829" spans="9:11" ht="15.75" x14ac:dyDescent="0.5">
      <c r="I829" s="5" t="s">
        <v>912</v>
      </c>
      <c r="J829" s="95">
        <v>100000</v>
      </c>
      <c r="K829" t="str">
        <f>_xlfn.XLOOKUP(TechCleanup[[#This Row],[ProdCode]],Products[ProdCode],Products[Product],,0,)</f>
        <v>Non-renewable energy</v>
      </c>
    </row>
    <row r="830" spans="9:11" ht="15.75" x14ac:dyDescent="0.5">
      <c r="I830" s="5" t="s">
        <v>62</v>
      </c>
      <c r="J830" s="95">
        <v>100000</v>
      </c>
      <c r="K830" t="str">
        <f>_xlfn.XLOOKUP(TechCleanup[[#This Row],[ProdCode]],Products[ProdCode],Products[Product],,0,)</f>
        <v>Non-renewable energy</v>
      </c>
    </row>
    <row r="831" spans="9:11" ht="15.75" x14ac:dyDescent="0.5">
      <c r="I831" s="5" t="s">
        <v>1371</v>
      </c>
      <c r="J831" s="95">
        <v>114500</v>
      </c>
      <c r="K831" t="str">
        <f>_xlfn.XLOOKUP(TechCleanup[[#This Row],[ProdCode]],Products[ProdCode],Products[Product],,0,)</f>
        <v>Oil products</v>
      </c>
    </row>
    <row r="832" spans="9:11" ht="15.75" x14ac:dyDescent="0.5">
      <c r="I832" s="5" t="s">
        <v>913</v>
      </c>
      <c r="J832" s="95">
        <v>200000</v>
      </c>
      <c r="K832" t="str">
        <f>_xlfn.XLOOKUP(TechCleanup[[#This Row],[ProdCode]],Products[ProdCode],Products[Product],,0,)</f>
        <v>Renewable Energy</v>
      </c>
    </row>
    <row r="833" spans="9:11" ht="15.75" x14ac:dyDescent="0.5">
      <c r="I833" s="5" t="s">
        <v>225</v>
      </c>
      <c r="J833" s="95">
        <v>200000</v>
      </c>
      <c r="K833" t="str">
        <f>_xlfn.XLOOKUP(TechCleanup[[#This Row],[ProdCode]],Products[ProdCode],Products[Product],,0,)</f>
        <v>Renewable Energy</v>
      </c>
    </row>
    <row r="834" spans="9:11" ht="15.75" x14ac:dyDescent="0.5">
      <c r="I834" s="5" t="s">
        <v>984</v>
      </c>
      <c r="J834" s="95">
        <v>262210</v>
      </c>
      <c r="K834" t="str">
        <f>_xlfn.XLOOKUP(TechCleanup[[#This Row],[ProdCode]],Products[ProdCode],Products[Product],,0,)</f>
        <v>Transesterified biodiesel</v>
      </c>
    </row>
    <row r="835" spans="9:11" ht="15.75" x14ac:dyDescent="0.5">
      <c r="I835" s="5" t="s">
        <v>1481</v>
      </c>
      <c r="J835" s="95">
        <v>262110</v>
      </c>
      <c r="K835" t="str">
        <f>_xlfn.XLOOKUP(TechCleanup[[#This Row],[ProdCode]],Products[ProdCode],Products[Product],,0,)</f>
        <v>Biomethanol</v>
      </c>
    </row>
    <row r="836" spans="9:11" ht="15.75" x14ac:dyDescent="0.5">
      <c r="I836" s="5" t="s">
        <v>1542</v>
      </c>
      <c r="J836" s="95">
        <v>111100</v>
      </c>
      <c r="K836" t="str">
        <f>_xlfn.XLOOKUP(TechCleanup[[#This Row],[ProdCode]],Products[ProdCode],Products[Product],,0,)</f>
        <v>Hard coal</v>
      </c>
    </row>
    <row r="837" spans="9:11" ht="15.75" x14ac:dyDescent="0.5">
      <c r="I837" s="5" t="s">
        <v>1520</v>
      </c>
      <c r="J837" s="95">
        <v>114571</v>
      </c>
      <c r="K837" t="str">
        <f>_xlfn.XLOOKUP(TechCleanup[[#This Row],[ProdCode]],Products[ProdCode],Products[Product],,0,)</f>
        <v>Gas oil/diesel oil</v>
      </c>
    </row>
    <row r="838" spans="9:11" ht="15.75" x14ac:dyDescent="0.5">
      <c r="I838" s="5" t="s">
        <v>1538</v>
      </c>
      <c r="J838" s="95">
        <v>114552</v>
      </c>
      <c r="K838" t="str">
        <f>_xlfn.XLOOKUP(TechCleanup[[#This Row],[ProdCode]],Products[ProdCode],Products[Product],,0,)</f>
        <v>Motor gasoline</v>
      </c>
    </row>
    <row r="839" spans="9:11" ht="15.75" x14ac:dyDescent="0.5">
      <c r="I839" s="5" t="s">
        <v>1597</v>
      </c>
      <c r="J839" s="95">
        <v>113220</v>
      </c>
      <c r="K839" t="str">
        <f>_xlfn.XLOOKUP(TechCleanup[[#This Row],[ProdCode]],Products[ProdCode],Products[Product],,0,)</f>
        <v>Compressed natural gas</v>
      </c>
    </row>
    <row r="840" spans="9:11" ht="15.75" x14ac:dyDescent="0.5">
      <c r="I840" s="5" t="s">
        <v>1162</v>
      </c>
      <c r="J840" s="95">
        <v>242210</v>
      </c>
      <c r="K840" t="str">
        <f>_xlfn.XLOOKUP(TechCleanup[[#This Row],[ProdCode]],Products[ProdCode],Products[Product],,0,)</f>
        <v>Unglazed solar water heaters</v>
      </c>
    </row>
    <row r="841" spans="9:11" ht="15.75" x14ac:dyDescent="0.5">
      <c r="I841" s="5" t="s">
        <v>1471</v>
      </c>
      <c r="J841" s="95">
        <v>121100</v>
      </c>
      <c r="K841" t="str">
        <f>_xlfn.XLOOKUP(TechCleanup[[#This Row],[ProdCode]],Products[ProdCode],Products[Product],,0,)</f>
        <v>Uranium</v>
      </c>
    </row>
    <row r="842" spans="9:11" ht="15.75" x14ac:dyDescent="0.5">
      <c r="I842" s="5" t="s">
        <v>723</v>
      </c>
      <c r="J842" s="95">
        <v>121000</v>
      </c>
      <c r="K842" t="str">
        <f>_xlfn.XLOOKUP(TechCleanup[[#This Row],[ProdCode]],Products[ProdCode],Products[Product],,0,)</f>
        <v>Nuclear fission fuels</v>
      </c>
    </row>
    <row r="843" spans="9:11" ht="15.75" x14ac:dyDescent="0.5">
      <c r="I843" s="5" t="s">
        <v>728</v>
      </c>
      <c r="J843" s="95">
        <v>121100</v>
      </c>
      <c r="K843" t="str">
        <f>_xlfn.XLOOKUP(TechCleanup[[#This Row],[ProdCode]],Products[ProdCode],Products[Product],,0,)</f>
        <v>Uranium</v>
      </c>
    </row>
    <row r="844" spans="9:11" ht="15.75" x14ac:dyDescent="0.5">
      <c r="I844" s="5" t="s">
        <v>1326</v>
      </c>
      <c r="J844" s="95">
        <v>121100</v>
      </c>
      <c r="K844" t="str">
        <f>_xlfn.XLOOKUP(TechCleanup[[#This Row],[ProdCode]],Products[ProdCode],Products[Product],,0,)</f>
        <v>Uranium</v>
      </c>
    </row>
    <row r="845" spans="9:11" ht="15.75" x14ac:dyDescent="0.5">
      <c r="I845" s="5" t="s">
        <v>1309</v>
      </c>
      <c r="J845" s="95">
        <v>121100</v>
      </c>
      <c r="K845" t="str">
        <f>_xlfn.XLOOKUP(TechCleanup[[#This Row],[ProdCode]],Products[ProdCode],Products[Product],,0,)</f>
        <v>Uranium</v>
      </c>
    </row>
    <row r="846" spans="9:11" ht="15.75" x14ac:dyDescent="0.5">
      <c r="I846" s="5" t="s">
        <v>1308</v>
      </c>
      <c r="J846" s="95">
        <v>121100</v>
      </c>
      <c r="K846" t="str">
        <f>_xlfn.XLOOKUP(TechCleanup[[#This Row],[ProdCode]],Products[ProdCode],Products[Product],,0,)</f>
        <v>Uranium</v>
      </c>
    </row>
    <row r="847" spans="9:11" ht="15.75" x14ac:dyDescent="0.5">
      <c r="I847" s="5" t="s">
        <v>1307</v>
      </c>
      <c r="J847" s="95">
        <v>121100</v>
      </c>
      <c r="K847" t="str">
        <f>_xlfn.XLOOKUP(TechCleanup[[#This Row],[ProdCode]],Products[ProdCode],Products[Product],,0,)</f>
        <v>Uranium</v>
      </c>
    </row>
    <row r="848" spans="9:11" ht="15.75" x14ac:dyDescent="0.5">
      <c r="I848" s="5" t="s">
        <v>1202</v>
      </c>
      <c r="J848" s="95">
        <v>263140</v>
      </c>
      <c r="K848" t="str">
        <f>_xlfn.XLOOKUP(TechCleanup[[#This Row],[ProdCode]],Products[ProdCode],Products[Product],,0,)</f>
        <v>Vegetal residue biogas</v>
      </c>
    </row>
    <row r="849" spans="9:11" ht="15.75" x14ac:dyDescent="0.5">
      <c r="I849" s="5" t="s">
        <v>696</v>
      </c>
      <c r="J849" s="95">
        <v>264100</v>
      </c>
      <c r="K849" t="str">
        <f>_xlfn.XLOOKUP(TechCleanup[[#This Row],[ProdCode]],Products[ProdCode],Products[Product],,0,)</f>
        <v>Renewable municipal waste</v>
      </c>
    </row>
    <row r="850" spans="9:11" ht="15.75" x14ac:dyDescent="0.5">
      <c r="I850" s="5" t="s">
        <v>1357</v>
      </c>
      <c r="J850" s="95">
        <v>114599</v>
      </c>
      <c r="K850" t="str">
        <f>_xlfn.XLOOKUP(TechCleanup[[#This Row],[ProdCode]],Products[ProdCode],Products[Product],,0,)</f>
        <v>Other oil products n.e.s.</v>
      </c>
    </row>
    <row r="851" spans="9:11" ht="15.75" x14ac:dyDescent="0.5">
      <c r="I851" s="5" t="s">
        <v>1855</v>
      </c>
      <c r="J851" s="95">
        <v>114599</v>
      </c>
      <c r="K851" t="str">
        <f>_xlfn.XLOOKUP(TechCleanup[[#This Row],[ProdCode]],Products[ProdCode],Products[Product],,0,)</f>
        <v>Other oil products n.e.s.</v>
      </c>
    </row>
    <row r="852" spans="9:11" ht="15.75" x14ac:dyDescent="0.5">
      <c r="I852" s="5" t="s">
        <v>1288</v>
      </c>
      <c r="J852" s="95">
        <v>114599</v>
      </c>
      <c r="K852" t="str">
        <f>_xlfn.XLOOKUP(TechCleanup[[#This Row],[ProdCode]],Products[ProdCode],Products[Product],,0,)</f>
        <v>Other oil products n.e.s.</v>
      </c>
    </row>
    <row r="853" spans="9:11" ht="15.75" x14ac:dyDescent="0.5">
      <c r="I853" s="5" t="s">
        <v>1287</v>
      </c>
      <c r="J853" s="95">
        <v>114599</v>
      </c>
      <c r="K853" t="str">
        <f>_xlfn.XLOOKUP(TechCleanup[[#This Row],[ProdCode]],Products[ProdCode],Products[Product],,0,)</f>
        <v>Other oil products n.e.s.</v>
      </c>
    </row>
    <row r="854" spans="9:11" ht="15.75" x14ac:dyDescent="0.5">
      <c r="I854" s="115" t="s">
        <v>914</v>
      </c>
      <c r="J854" s="95">
        <v>264100</v>
      </c>
      <c r="K854" t="str">
        <f>_xlfn.XLOOKUP(TechCleanup[[#This Row],[ProdCode]],Products[ProdCode],Products[Product],,0,)</f>
        <v>Renewable municipal waste</v>
      </c>
    </row>
    <row r="855" spans="9:11" ht="15.75" x14ac:dyDescent="0.5">
      <c r="I855" s="5" t="s">
        <v>991</v>
      </c>
      <c r="J855" s="95">
        <v>263120</v>
      </c>
      <c r="K855" t="str">
        <f>_xlfn.XLOOKUP(TechCleanup[[#This Row],[ProdCode]],Products[ProdCode],Products[Product],,0,)</f>
        <v>Wastewater sludge biogas</v>
      </c>
    </row>
    <row r="856" spans="9:11" ht="15.75" x14ac:dyDescent="0.5">
      <c r="I856" s="5" t="s">
        <v>999</v>
      </c>
      <c r="J856" s="95">
        <v>292000</v>
      </c>
      <c r="K856" t="str">
        <f>_xlfn.XLOOKUP(TechCleanup[[#This Row],[ProdCode]],Products[ProdCode],Products[Product],,0,)</f>
        <v>Water source heat pump</v>
      </c>
    </row>
    <row r="857" spans="9:11" ht="15.75" x14ac:dyDescent="0.5">
      <c r="I857" s="5" t="s">
        <v>721</v>
      </c>
      <c r="J857" s="95">
        <v>292000</v>
      </c>
      <c r="K857" t="str">
        <f>_xlfn.XLOOKUP(TechCleanup[[#This Row],[ProdCode]],Products[ProdCode],Products[Product],,0,)</f>
        <v>Water source heat pump</v>
      </c>
    </row>
    <row r="858" spans="9:11" ht="15.75" x14ac:dyDescent="0.5">
      <c r="I858" s="5" t="s">
        <v>947</v>
      </c>
      <c r="J858" s="95">
        <v>221000</v>
      </c>
      <c r="K858" t="str">
        <f>_xlfn.XLOOKUP(TechCleanup[[#This Row],[ProdCode]],Products[ProdCode],Products[Product],,0,)</f>
        <v>Wave energy</v>
      </c>
    </row>
    <row r="859" spans="9:11" ht="15.75" x14ac:dyDescent="0.5">
      <c r="I859" s="5" t="s">
        <v>1853</v>
      </c>
      <c r="J859" s="95">
        <v>114593</v>
      </c>
      <c r="K859" t="str">
        <f>_xlfn.XLOOKUP(TechCleanup[[#This Row],[ProdCode]],Products[ProdCode],Products[Product],,0,)</f>
        <v>Paraffin waxes</v>
      </c>
    </row>
    <row r="860" spans="9:11" ht="15.75" x14ac:dyDescent="0.5">
      <c r="I860" s="5" t="s">
        <v>1130</v>
      </c>
      <c r="J860" s="95">
        <v>113100</v>
      </c>
      <c r="K860" t="str">
        <f>_xlfn.XLOOKUP(TechCleanup[[#This Row],[ProdCode]],Products[ProdCode],Products[Product],,0,)</f>
        <v>Wet natural gas</v>
      </c>
    </row>
    <row r="861" spans="9:11" ht="15.75" x14ac:dyDescent="0.5">
      <c r="I861" s="5" t="s">
        <v>1457</v>
      </c>
      <c r="J861" s="95">
        <v>211100</v>
      </c>
      <c r="K861" t="str">
        <f>_xlfn.XLOOKUP(TechCleanup[[#This Row],[ProdCode]],Products[ProdCode],Products[Product],,0,)</f>
        <v>Reservoir hydropower</v>
      </c>
    </row>
    <row r="862" spans="9:11" ht="15.75" x14ac:dyDescent="0.5">
      <c r="I862" s="5" t="s">
        <v>937</v>
      </c>
      <c r="J862" s="95">
        <v>114591</v>
      </c>
      <c r="K862" t="str">
        <f>_xlfn.XLOOKUP(TechCleanup[[#This Row],[ProdCode]],Products[ProdCode],Products[Product],,0,)</f>
        <v>White spirit</v>
      </c>
    </row>
    <row r="863" spans="9:11" ht="15.75" x14ac:dyDescent="0.5">
      <c r="I863" s="5" t="s">
        <v>1854</v>
      </c>
      <c r="J863" s="95">
        <v>114591</v>
      </c>
      <c r="K863" t="str">
        <f>_xlfn.XLOOKUP(TechCleanup[[#This Row],[ProdCode]],Products[ProdCode],Products[Product],,0,)</f>
        <v>White spirit</v>
      </c>
    </row>
    <row r="864" spans="9:11" ht="15.75" x14ac:dyDescent="0.5">
      <c r="I864" s="5" t="s">
        <v>1354</v>
      </c>
      <c r="J864" s="95">
        <v>114591</v>
      </c>
      <c r="K864" t="str">
        <f>_xlfn.XLOOKUP(TechCleanup[[#This Row],[ProdCode]],Products[ProdCode],Products[Product],,0,)</f>
        <v>White spirit</v>
      </c>
    </row>
    <row r="865" spans="9:11" ht="15.75" x14ac:dyDescent="0.5">
      <c r="I865" s="5" t="s">
        <v>1116</v>
      </c>
      <c r="J865" s="95">
        <v>114591</v>
      </c>
      <c r="K865" t="str">
        <f>_xlfn.XLOOKUP(TechCleanup[[#This Row],[ProdCode]],Products[ProdCode],Products[Product],,0,)</f>
        <v>White spirit</v>
      </c>
    </row>
    <row r="866" spans="9:11" ht="15.75" x14ac:dyDescent="0.5">
      <c r="I866" s="5" t="s">
        <v>1016</v>
      </c>
      <c r="J866" s="95">
        <v>231000</v>
      </c>
      <c r="K866" t="str">
        <f>_xlfn.XLOOKUP(TechCleanup[[#This Row],[ProdCode]],Products[ProdCode],Products[Product],,0,)</f>
        <v>Onshore wind energy</v>
      </c>
    </row>
    <row r="867" spans="9:11" ht="15.75" x14ac:dyDescent="0.5">
      <c r="I867" s="5" t="s">
        <v>1255</v>
      </c>
      <c r="J867" s="95">
        <v>231000</v>
      </c>
      <c r="K867" t="str">
        <f>_xlfn.XLOOKUP(TechCleanup[[#This Row],[ProdCode]],Products[ProdCode],Products[Product],,0,)</f>
        <v>Onshore wind energy</v>
      </c>
    </row>
    <row r="868" spans="9:11" ht="15.75" x14ac:dyDescent="0.5">
      <c r="I868" s="5" t="s">
        <v>266</v>
      </c>
      <c r="J868" s="95">
        <v>230000</v>
      </c>
      <c r="K868" t="str">
        <f>_xlfn.XLOOKUP(TechCleanup[[#This Row],[ProdCode]],Products[ProdCode],Products[Product],,0,)</f>
        <v>Wind energy</v>
      </c>
    </row>
    <row r="869" spans="9:11" ht="15.75" x14ac:dyDescent="0.5">
      <c r="I869" s="5" t="s">
        <v>287</v>
      </c>
      <c r="J869" s="95">
        <v>231000</v>
      </c>
      <c r="K869" t="str">
        <f>_xlfn.XLOOKUP(TechCleanup[[#This Row],[ProdCode]],Products[ProdCode],Products[Product],,0,)</f>
        <v>Onshore wind energy</v>
      </c>
    </row>
    <row r="870" spans="9:11" ht="15.75" x14ac:dyDescent="0.5">
      <c r="I870" s="5" t="s">
        <v>1612</v>
      </c>
      <c r="J870" s="95">
        <v>232000</v>
      </c>
      <c r="K870" t="str">
        <f>_xlfn.XLOOKUP(TechCleanup[[#This Row],[ProdCode]],Products[ProdCode],Products[Product],,0,)</f>
        <v>Offshore wind energy</v>
      </c>
    </row>
    <row r="871" spans="9:11" ht="15.75" x14ac:dyDescent="0.5">
      <c r="I871" s="5" t="s">
        <v>1611</v>
      </c>
      <c r="J871" s="95">
        <v>231000</v>
      </c>
      <c r="K871" t="str">
        <f>_xlfn.XLOOKUP(TechCleanup[[#This Row],[ProdCode]],Products[ProdCode],Products[Product],,0,)</f>
        <v>Onshore wind energy</v>
      </c>
    </row>
    <row r="872" spans="9:11" ht="15.75" x14ac:dyDescent="0.5">
      <c r="I872" s="5" t="s">
        <v>915</v>
      </c>
      <c r="J872" s="95">
        <v>261510</v>
      </c>
      <c r="K872" t="str">
        <f>_xlfn.XLOOKUP(TechCleanup[[#This Row],[ProdCode]],Products[ProdCode],Products[Product],,0,)</f>
        <v>Wood pellets and briquettes</v>
      </c>
    </row>
    <row r="873" spans="9:11" ht="15.75" x14ac:dyDescent="0.5">
      <c r="I873" s="5" t="s">
        <v>471</v>
      </c>
      <c r="J873" s="95">
        <v>261110</v>
      </c>
      <c r="K873" t="str">
        <f>_xlfn.XLOOKUP(TechCleanup[[#This Row],[ProdCode]],Products[ProdCode],Products[Product],,0,)</f>
        <v>Wood fuel</v>
      </c>
    </row>
    <row r="874" spans="9:11" ht="15.75" x14ac:dyDescent="0.5">
      <c r="I874" s="5" t="s">
        <v>977</v>
      </c>
      <c r="J874" s="95">
        <v>261510</v>
      </c>
      <c r="K874" t="str">
        <f>_xlfn.XLOOKUP(TechCleanup[[#This Row],[ProdCode]],Products[ProdCode],Products[Product],,0,)</f>
        <v>Wood pellets and briquettes</v>
      </c>
    </row>
    <row r="875" spans="9:11" ht="15.75" x14ac:dyDescent="0.5">
      <c r="I875" s="5" t="s">
        <v>1509</v>
      </c>
      <c r="J875" s="95">
        <v>261210</v>
      </c>
      <c r="K875" t="str">
        <f>_xlfn.XLOOKUP(TechCleanup[[#This Row],[ProdCode]],Products[ProdCode],Products[Product],,0,)</f>
        <v>Logging residues</v>
      </c>
    </row>
    <row r="876" spans="9:11" ht="15.75" x14ac:dyDescent="0.5">
      <c r="I876" s="5" t="s">
        <v>1510</v>
      </c>
      <c r="J876" s="95">
        <v>261210</v>
      </c>
      <c r="K876" t="str">
        <f>_xlfn.XLOOKUP(TechCleanup[[#This Row],[ProdCode]],Products[ProdCode],Products[Product],,0,)</f>
        <v>Logging residues</v>
      </c>
    </row>
    <row r="877" spans="9:11" ht="15.75" x14ac:dyDescent="0.5">
      <c r="I877" s="5" t="s">
        <v>488</v>
      </c>
      <c r="J877" s="95">
        <v>261350</v>
      </c>
      <c r="K877" t="str">
        <f>_xlfn.XLOOKUP(TechCleanup[[#This Row],[ProdCode]],Products[ProdCode],Products[Product],,0,)</f>
        <v>Solid wood processing residues</v>
      </c>
    </row>
    <row r="878" spans="9:11" ht="15.75" x14ac:dyDescent="0.5">
      <c r="I878" s="5" t="s">
        <v>1340</v>
      </c>
      <c r="J878" s="95">
        <v>261350</v>
      </c>
      <c r="K878" t="str">
        <f>_xlfn.XLOOKUP(TechCleanup[[#This Row],[ProdCode]],Products[ProdCode],Products[Product],,0,)</f>
        <v>Solid wood processing residues</v>
      </c>
    </row>
    <row r="879" spans="9:11" ht="15.75" x14ac:dyDescent="0.5">
      <c r="I879" s="5" t="s">
        <v>1320</v>
      </c>
      <c r="J879" s="95">
        <v>261600</v>
      </c>
      <c r="K879" t="str">
        <f>_xlfn.XLOOKUP(TechCleanup[[#This Row],[ProdCode]],Products[ProdCode],Products[Product],,0,)</f>
        <v>Charcoal</v>
      </c>
    </row>
    <row r="880" spans="9:11" ht="15.75" x14ac:dyDescent="0.5">
      <c r="I880" s="5" t="s">
        <v>1321</v>
      </c>
      <c r="J880" s="95">
        <v>261600</v>
      </c>
      <c r="K880" t="str">
        <f>_xlfn.XLOOKUP(TechCleanup[[#This Row],[ProdCode]],Products[ProdCode],Products[Product],,0,)</f>
        <v>Charcoal</v>
      </c>
    </row>
    <row r="881" spans="9:11" ht="15.75" x14ac:dyDescent="0.5">
      <c r="I881" s="5" t="s">
        <v>1322</v>
      </c>
      <c r="J881" s="95">
        <v>261600</v>
      </c>
      <c r="K881" t="str">
        <f>_xlfn.XLOOKUP(TechCleanup[[#This Row],[ProdCode]],Products[ProdCode],Products[Product],,0,)</f>
        <v>Charcoal</v>
      </c>
    </row>
    <row r="882" spans="9:11" ht="15.75" x14ac:dyDescent="0.5">
      <c r="I882" s="5" t="s">
        <v>1313</v>
      </c>
      <c r="J882" s="95">
        <v>261350</v>
      </c>
      <c r="K882" t="str">
        <f>_xlfn.XLOOKUP(TechCleanup[[#This Row],[ProdCode]],Products[ProdCode],Products[Product],,0,)</f>
        <v>Solid wood processing residues</v>
      </c>
    </row>
    <row r="883" spans="9:11" ht="15.75" x14ac:dyDescent="0.5">
      <c r="I883" s="5" t="s">
        <v>1314</v>
      </c>
      <c r="J883" s="95">
        <v>261350</v>
      </c>
      <c r="K883" t="str">
        <f>_xlfn.XLOOKUP(TechCleanup[[#This Row],[ProdCode]],Products[ProdCode],Products[Product],,0,)</f>
        <v>Solid wood processing residues</v>
      </c>
    </row>
    <row r="884" spans="9:11" ht="15.75" x14ac:dyDescent="0.5">
      <c r="I884" s="5" t="s">
        <v>1311</v>
      </c>
      <c r="J884" s="95">
        <v>261110</v>
      </c>
      <c r="K884" t="str">
        <f>_xlfn.XLOOKUP(TechCleanup[[#This Row],[ProdCode]],Products[ProdCode],Products[Product],,0,)</f>
        <v>Wood fuel</v>
      </c>
    </row>
    <row r="885" spans="9:11" ht="15.75" x14ac:dyDescent="0.5">
      <c r="I885" s="5" t="s">
        <v>1312</v>
      </c>
      <c r="J885" s="95">
        <v>261110</v>
      </c>
      <c r="K885" t="str">
        <f>_xlfn.XLOOKUP(TechCleanup[[#This Row],[ProdCode]],Products[ProdCode],Products[Product],,0,)</f>
        <v>Wood fuel</v>
      </c>
    </row>
    <row r="886" spans="9:11" ht="15.75" x14ac:dyDescent="0.5">
      <c r="I886" s="5" t="s">
        <v>1317</v>
      </c>
      <c r="J886" s="95">
        <v>261510</v>
      </c>
      <c r="K886" t="str">
        <f>_xlfn.XLOOKUP(TechCleanup[[#This Row],[ProdCode]],Products[ProdCode],Products[Product],,0,)</f>
        <v>Wood pellets and briquettes</v>
      </c>
    </row>
    <row r="887" spans="9:11" ht="15.75" x14ac:dyDescent="0.5">
      <c r="I887" s="5" t="s">
        <v>1316</v>
      </c>
      <c r="J887" s="95">
        <v>261510</v>
      </c>
      <c r="K887" t="str">
        <f>_xlfn.XLOOKUP(TechCleanup[[#This Row],[ProdCode]],Products[ProdCode],Products[Product],,0,)</f>
        <v>Wood pellets and briquettes</v>
      </c>
    </row>
    <row r="888" spans="9:11" ht="15.75" x14ac:dyDescent="0.5">
      <c r="I888" s="5" t="s">
        <v>1315</v>
      </c>
      <c r="J888" s="95">
        <v>261510</v>
      </c>
      <c r="K888" t="str">
        <f>_xlfn.XLOOKUP(TechCleanup[[#This Row],[ProdCode]],Products[ProdCode],Products[Product],,0,)</f>
        <v>Wood pellets and briquettes</v>
      </c>
    </row>
    <row r="889" spans="9:11" ht="15.75" x14ac:dyDescent="0.5">
      <c r="I889" s="5" t="s">
        <v>1319</v>
      </c>
      <c r="J889" s="95">
        <v>261350</v>
      </c>
      <c r="K889" t="str">
        <f>_xlfn.XLOOKUP(TechCleanup[[#This Row],[ProdCode]],Products[ProdCode],Products[Product],,0,)</f>
        <v>Solid wood processing residues</v>
      </c>
    </row>
    <row r="890" spans="9:11" ht="15.75" x14ac:dyDescent="0.5">
      <c r="I890" s="5" t="s">
        <v>1318</v>
      </c>
      <c r="J890" s="95">
        <v>261350</v>
      </c>
      <c r="K890" t="str">
        <f>_xlfn.XLOOKUP(TechCleanup[[#This Row],[ProdCode]],Products[ProdCode],Products[Product],,0,)</f>
        <v>Solid wood processing residues</v>
      </c>
    </row>
    <row r="3170" spans="14:14" x14ac:dyDescent="0.45">
      <c r="N3170" t="s">
        <v>1843</v>
      </c>
    </row>
    <row r="3171" spans="14:14" x14ac:dyDescent="0.45">
      <c r="N3171" t="s">
        <v>1346</v>
      </c>
    </row>
    <row r="3172" spans="14:14" ht="57" x14ac:dyDescent="0.45">
      <c r="N3172" s="122" t="s">
        <v>1844</v>
      </c>
    </row>
    <row r="3173" spans="14:14" x14ac:dyDescent="0.45">
      <c r="N3173" t="s">
        <v>1845</v>
      </c>
    </row>
    <row r="3174" spans="14:14" x14ac:dyDescent="0.45">
      <c r="N3174" t="s">
        <v>1846</v>
      </c>
    </row>
    <row r="3175" spans="14:14" x14ac:dyDescent="0.45">
      <c r="N3175" t="s">
        <v>1847</v>
      </c>
    </row>
    <row r="3176" spans="14:14" x14ac:dyDescent="0.45">
      <c r="N3176" t="s">
        <v>1848</v>
      </c>
    </row>
    <row r="3177" spans="14:14" x14ac:dyDescent="0.45">
      <c r="N3177" t="s">
        <v>1849</v>
      </c>
    </row>
    <row r="3178" spans="14:14" x14ac:dyDescent="0.45">
      <c r="N3178" t="s">
        <v>1850</v>
      </c>
    </row>
    <row r="3179" spans="14:14" x14ac:dyDescent="0.45">
      <c r="N3179" t="s">
        <v>1851</v>
      </c>
    </row>
    <row r="3180" spans="14:14" x14ac:dyDescent="0.45">
      <c r="N3180" t="s">
        <v>1852</v>
      </c>
    </row>
    <row r="3181" spans="14:14" x14ac:dyDescent="0.45">
      <c r="N3181" t="s">
        <v>1352</v>
      </c>
    </row>
    <row r="3182" spans="14:14" x14ac:dyDescent="0.45">
      <c r="N3182" t="s">
        <v>1344</v>
      </c>
    </row>
    <row r="3183" spans="14:14" x14ac:dyDescent="0.45">
      <c r="N3183" t="s">
        <v>415</v>
      </c>
    </row>
    <row r="3184" spans="14:14" x14ac:dyDescent="0.45">
      <c r="N3184" t="s">
        <v>1078</v>
      </c>
    </row>
    <row r="3185" spans="14:14" x14ac:dyDescent="0.45">
      <c r="N3185" t="s">
        <v>562</v>
      </c>
    </row>
    <row r="3186" spans="14:14" x14ac:dyDescent="0.45">
      <c r="N3186" t="s">
        <v>538</v>
      </c>
    </row>
    <row r="3187" spans="14:14" x14ac:dyDescent="0.45">
      <c r="N3187" t="s">
        <v>1349</v>
      </c>
    </row>
    <row r="3188" spans="14:14" x14ac:dyDescent="0.45">
      <c r="N3188" t="s">
        <v>1350</v>
      </c>
    </row>
    <row r="3189" spans="14:14" x14ac:dyDescent="0.45">
      <c r="N3189" t="s">
        <v>1351</v>
      </c>
    </row>
    <row r="3190" spans="14:14" x14ac:dyDescent="0.45">
      <c r="N3190" t="s">
        <v>1853</v>
      </c>
    </row>
    <row r="3191" spans="14:14" x14ac:dyDescent="0.45">
      <c r="N3191" t="s">
        <v>1854</v>
      </c>
    </row>
    <row r="3192" spans="14:14" x14ac:dyDescent="0.45">
      <c r="N3192" t="s">
        <v>1347</v>
      </c>
    </row>
    <row r="3193" spans="14:14" x14ac:dyDescent="0.45">
      <c r="N3193" t="s">
        <v>99</v>
      </c>
    </row>
    <row r="3194" spans="14:14" x14ac:dyDescent="0.45">
      <c r="N3194" t="s">
        <v>1363</v>
      </c>
    </row>
    <row r="3195" spans="14:14" x14ac:dyDescent="0.45">
      <c r="N3195" t="s">
        <v>1367</v>
      </c>
    </row>
    <row r="3196" spans="14:14" x14ac:dyDescent="0.45">
      <c r="N3196" t="s">
        <v>1370</v>
      </c>
    </row>
    <row r="3197" spans="14:14" x14ac:dyDescent="0.45">
      <c r="N3197" t="s">
        <v>158</v>
      </c>
    </row>
    <row r="3198" spans="14:14" x14ac:dyDescent="0.45">
      <c r="N3198" t="s">
        <v>1366</v>
      </c>
    </row>
    <row r="3199" spans="14:14" x14ac:dyDescent="0.45">
      <c r="N3199" t="s">
        <v>1359</v>
      </c>
    </row>
    <row r="3200" spans="14:14" x14ac:dyDescent="0.45">
      <c r="N3200" t="s">
        <v>1369</v>
      </c>
    </row>
    <row r="3201" spans="14:14" x14ac:dyDescent="0.45">
      <c r="N3201" t="s">
        <v>1361</v>
      </c>
    </row>
    <row r="3202" spans="14:14" x14ac:dyDescent="0.45">
      <c r="N3202" t="s">
        <v>1364</v>
      </c>
    </row>
    <row r="3203" spans="14:14" x14ac:dyDescent="0.45">
      <c r="N3203" t="s">
        <v>1360</v>
      </c>
    </row>
    <row r="3204" spans="14:14" x14ac:dyDescent="0.45">
      <c r="N3204" t="s">
        <v>1365</v>
      </c>
    </row>
    <row r="3205" spans="14:14" x14ac:dyDescent="0.45">
      <c r="N3205" t="s">
        <v>1362</v>
      </c>
    </row>
    <row r="3206" spans="14:14" x14ac:dyDescent="0.45">
      <c r="N3206" t="s">
        <v>1358</v>
      </c>
    </row>
    <row r="3207" spans="14:14" x14ac:dyDescent="0.45">
      <c r="N3207" t="s">
        <v>1368</v>
      </c>
    </row>
    <row r="3208" spans="14:14" x14ac:dyDescent="0.45">
      <c r="N3208" t="s">
        <v>889</v>
      </c>
    </row>
    <row r="3209" spans="14:14" x14ac:dyDescent="0.45">
      <c r="N3209" t="s">
        <v>1356</v>
      </c>
    </row>
    <row r="3210" spans="14:14" x14ac:dyDescent="0.45">
      <c r="N3210" t="s">
        <v>1855</v>
      </c>
    </row>
    <row r="3211" spans="14:14" x14ac:dyDescent="0.45">
      <c r="N3211" t="s">
        <v>298</v>
      </c>
    </row>
    <row r="3212" spans="14:14" x14ac:dyDescent="0.45">
      <c r="N3212" t="s">
        <v>1340</v>
      </c>
    </row>
    <row r="3213" spans="14:14" x14ac:dyDescent="0.45">
      <c r="N3213" t="s">
        <v>1856</v>
      </c>
    </row>
    <row r="3214" spans="14:14" x14ac:dyDescent="0.45">
      <c r="N3214" t="s">
        <v>1337</v>
      </c>
    </row>
    <row r="3215" spans="14:14" x14ac:dyDescent="0.45">
      <c r="N3215" t="s">
        <v>566</v>
      </c>
    </row>
    <row r="3216" spans="14:14" x14ac:dyDescent="0.45">
      <c r="N3216" t="s">
        <v>581</v>
      </c>
    </row>
    <row r="3217" spans="14:14" x14ac:dyDescent="0.45">
      <c r="N3217" t="s">
        <v>650</v>
      </c>
    </row>
    <row r="3218" spans="14:14" x14ac:dyDescent="0.45">
      <c r="N3218" t="s">
        <v>1336</v>
      </c>
    </row>
    <row r="3219" spans="14:14" x14ac:dyDescent="0.45">
      <c r="N3219" t="s">
        <v>1333</v>
      </c>
    </row>
    <row r="3220" spans="14:14" x14ac:dyDescent="0.45">
      <c r="N3220" t="s">
        <v>1338</v>
      </c>
    </row>
    <row r="3221" spans="14:14" x14ac:dyDescent="0.45">
      <c r="N3221" t="s">
        <v>1335</v>
      </c>
    </row>
    <row r="3222" spans="14:14" x14ac:dyDescent="0.45">
      <c r="N3222" t="s">
        <v>1334</v>
      </c>
    </row>
    <row r="3223" spans="14:14" x14ac:dyDescent="0.45">
      <c r="N3223" t="s">
        <v>1843</v>
      </c>
    </row>
    <row r="3224" spans="14:14" x14ac:dyDescent="0.45">
      <c r="N3224" t="s">
        <v>1346</v>
      </c>
    </row>
    <row r="3225" spans="14:14" ht="57" x14ac:dyDescent="0.45">
      <c r="N3225" s="122" t="s">
        <v>1844</v>
      </c>
    </row>
    <row r="3226" spans="14:14" x14ac:dyDescent="0.45">
      <c r="N3226" t="s">
        <v>1845</v>
      </c>
    </row>
    <row r="3227" spans="14:14" x14ac:dyDescent="0.45">
      <c r="N3227" t="s">
        <v>1846</v>
      </c>
    </row>
    <row r="3228" spans="14:14" x14ac:dyDescent="0.45">
      <c r="N3228" t="s">
        <v>1847</v>
      </c>
    </row>
    <row r="3229" spans="14:14" x14ac:dyDescent="0.45">
      <c r="N3229" t="s">
        <v>1848</v>
      </c>
    </row>
    <row r="3230" spans="14:14" x14ac:dyDescent="0.45">
      <c r="N3230" t="s">
        <v>1849</v>
      </c>
    </row>
    <row r="3231" spans="14:14" x14ac:dyDescent="0.45">
      <c r="N3231" t="s">
        <v>1850</v>
      </c>
    </row>
    <row r="3232" spans="14:14" x14ac:dyDescent="0.45">
      <c r="N3232" t="s">
        <v>1851</v>
      </c>
    </row>
    <row r="3233" spans="14:14" x14ac:dyDescent="0.45">
      <c r="N3233" t="s">
        <v>1852</v>
      </c>
    </row>
    <row r="3234" spans="14:14" x14ac:dyDescent="0.45">
      <c r="N3234" t="s">
        <v>1352</v>
      </c>
    </row>
    <row r="3235" spans="14:14" x14ac:dyDescent="0.45">
      <c r="N3235" t="s">
        <v>1344</v>
      </c>
    </row>
    <row r="3236" spans="14:14" x14ac:dyDescent="0.45">
      <c r="N3236" t="s">
        <v>415</v>
      </c>
    </row>
    <row r="3237" spans="14:14" x14ac:dyDescent="0.45">
      <c r="N3237" t="s">
        <v>1078</v>
      </c>
    </row>
    <row r="3238" spans="14:14" x14ac:dyDescent="0.45">
      <c r="N3238" t="s">
        <v>562</v>
      </c>
    </row>
    <row r="3239" spans="14:14" x14ac:dyDescent="0.45">
      <c r="N3239" t="s">
        <v>538</v>
      </c>
    </row>
    <row r="3240" spans="14:14" x14ac:dyDescent="0.45">
      <c r="N3240" t="s">
        <v>1349</v>
      </c>
    </row>
    <row r="3241" spans="14:14" x14ac:dyDescent="0.45">
      <c r="N3241" t="s">
        <v>1350</v>
      </c>
    </row>
    <row r="3242" spans="14:14" x14ac:dyDescent="0.45">
      <c r="N3242" t="s">
        <v>1351</v>
      </c>
    </row>
    <row r="3243" spans="14:14" x14ac:dyDescent="0.45">
      <c r="N3243" t="s">
        <v>1853</v>
      </c>
    </row>
    <row r="3244" spans="14:14" x14ac:dyDescent="0.45">
      <c r="N3244" t="s">
        <v>1854</v>
      </c>
    </row>
    <row r="3245" spans="14:14" x14ac:dyDescent="0.45">
      <c r="N3245" t="s">
        <v>1347</v>
      </c>
    </row>
    <row r="3246" spans="14:14" x14ac:dyDescent="0.45">
      <c r="N3246" t="s">
        <v>99</v>
      </c>
    </row>
    <row r="3247" spans="14:14" x14ac:dyDescent="0.45">
      <c r="N3247" t="s">
        <v>1363</v>
      </c>
    </row>
    <row r="3248" spans="14:14" x14ac:dyDescent="0.45">
      <c r="N3248" t="s">
        <v>1367</v>
      </c>
    </row>
    <row r="3249" spans="14:14" x14ac:dyDescent="0.45">
      <c r="N3249" t="s">
        <v>1370</v>
      </c>
    </row>
    <row r="3250" spans="14:14" x14ac:dyDescent="0.45">
      <c r="N3250" t="s">
        <v>158</v>
      </c>
    </row>
    <row r="3251" spans="14:14" x14ac:dyDescent="0.45">
      <c r="N3251" t="s">
        <v>1366</v>
      </c>
    </row>
    <row r="3252" spans="14:14" x14ac:dyDescent="0.45">
      <c r="N3252" t="s">
        <v>1359</v>
      </c>
    </row>
    <row r="3253" spans="14:14" x14ac:dyDescent="0.45">
      <c r="N3253" t="s">
        <v>1369</v>
      </c>
    </row>
    <row r="3254" spans="14:14" x14ac:dyDescent="0.45">
      <c r="N3254" t="s">
        <v>1361</v>
      </c>
    </row>
    <row r="3255" spans="14:14" x14ac:dyDescent="0.45">
      <c r="N3255" t="s">
        <v>1364</v>
      </c>
    </row>
    <row r="3256" spans="14:14" x14ac:dyDescent="0.45">
      <c r="N3256" t="s">
        <v>1360</v>
      </c>
    </row>
    <row r="3257" spans="14:14" x14ac:dyDescent="0.45">
      <c r="N3257" t="s">
        <v>1365</v>
      </c>
    </row>
    <row r="3258" spans="14:14" x14ac:dyDescent="0.45">
      <c r="N3258" t="s">
        <v>1362</v>
      </c>
    </row>
    <row r="3259" spans="14:14" x14ac:dyDescent="0.45">
      <c r="N3259" t="s">
        <v>1358</v>
      </c>
    </row>
    <row r="3260" spans="14:14" x14ac:dyDescent="0.45">
      <c r="N3260" t="s">
        <v>1368</v>
      </c>
    </row>
    <row r="3261" spans="14:14" x14ac:dyDescent="0.45">
      <c r="N3261" t="s">
        <v>889</v>
      </c>
    </row>
    <row r="3262" spans="14:14" x14ac:dyDescent="0.45">
      <c r="N3262" t="s">
        <v>1356</v>
      </c>
    </row>
    <row r="3263" spans="14:14" x14ac:dyDescent="0.45">
      <c r="N3263" t="s">
        <v>1355</v>
      </c>
    </row>
    <row r="3264" spans="14:14" x14ac:dyDescent="0.45">
      <c r="N3264" t="s">
        <v>1855</v>
      </c>
    </row>
    <row r="3265" spans="14:14" x14ac:dyDescent="0.45">
      <c r="N3265" t="s">
        <v>298</v>
      </c>
    </row>
    <row r="3266" spans="14:14" x14ac:dyDescent="0.45">
      <c r="N3266" t="s">
        <v>1340</v>
      </c>
    </row>
    <row r="3267" spans="14:14" x14ac:dyDescent="0.45">
      <c r="N3267" t="s">
        <v>1856</v>
      </c>
    </row>
    <row r="3268" spans="14:14" x14ac:dyDescent="0.45">
      <c r="N3268" t="s">
        <v>1337</v>
      </c>
    </row>
    <row r="3269" spans="14:14" x14ac:dyDescent="0.45">
      <c r="N3269" t="s">
        <v>566</v>
      </c>
    </row>
    <row r="3270" spans="14:14" x14ac:dyDescent="0.45">
      <c r="N3270" t="s">
        <v>581</v>
      </c>
    </row>
    <row r="3271" spans="14:14" x14ac:dyDescent="0.45">
      <c r="N3271" t="s">
        <v>650</v>
      </c>
    </row>
    <row r="3272" spans="14:14" x14ac:dyDescent="0.45">
      <c r="N3272" t="s">
        <v>1336</v>
      </c>
    </row>
    <row r="3273" spans="14:14" x14ac:dyDescent="0.45">
      <c r="N3273" t="s">
        <v>1333</v>
      </c>
    </row>
    <row r="3274" spans="14:14" x14ac:dyDescent="0.45">
      <c r="N3274" t="s">
        <v>1338</v>
      </c>
    </row>
    <row r="3275" spans="14:14" x14ac:dyDescent="0.45">
      <c r="N3275" t="s">
        <v>1335</v>
      </c>
    </row>
    <row r="3276" spans="14:14" x14ac:dyDescent="0.45">
      <c r="N3276" t="s">
        <v>1334</v>
      </c>
    </row>
    <row r="3277" spans="14:14" x14ac:dyDescent="0.45">
      <c r="N3277" t="s">
        <v>1843</v>
      </c>
    </row>
    <row r="3278" spans="14:14" x14ac:dyDescent="0.45">
      <c r="N3278" t="s">
        <v>1346</v>
      </c>
    </row>
    <row r="3279" spans="14:14" ht="57" x14ac:dyDescent="0.45">
      <c r="N3279" s="122" t="s">
        <v>1844</v>
      </c>
    </row>
    <row r="3280" spans="14:14" x14ac:dyDescent="0.45">
      <c r="N3280" t="s">
        <v>1845</v>
      </c>
    </row>
    <row r="3281" spans="14:14" x14ac:dyDescent="0.45">
      <c r="N3281" t="s">
        <v>1846</v>
      </c>
    </row>
    <row r="3282" spans="14:14" x14ac:dyDescent="0.45">
      <c r="N3282" t="s">
        <v>1847</v>
      </c>
    </row>
    <row r="3283" spans="14:14" x14ac:dyDescent="0.45">
      <c r="N3283" t="s">
        <v>1848</v>
      </c>
    </row>
    <row r="3284" spans="14:14" x14ac:dyDescent="0.45">
      <c r="N3284" t="s">
        <v>1849</v>
      </c>
    </row>
    <row r="3285" spans="14:14" x14ac:dyDescent="0.45">
      <c r="N3285" t="s">
        <v>1850</v>
      </c>
    </row>
    <row r="3286" spans="14:14" x14ac:dyDescent="0.45">
      <c r="N3286" t="s">
        <v>1851</v>
      </c>
    </row>
    <row r="3287" spans="14:14" x14ac:dyDescent="0.45">
      <c r="N3287" t="s">
        <v>1852</v>
      </c>
    </row>
    <row r="3288" spans="14:14" x14ac:dyDescent="0.45">
      <c r="N3288" t="s">
        <v>1352</v>
      </c>
    </row>
    <row r="3289" spans="14:14" x14ac:dyDescent="0.45">
      <c r="N3289" t="s">
        <v>1344</v>
      </c>
    </row>
    <row r="3290" spans="14:14" x14ac:dyDescent="0.45">
      <c r="N3290" t="s">
        <v>415</v>
      </c>
    </row>
    <row r="3291" spans="14:14" x14ac:dyDescent="0.45">
      <c r="N3291" t="s">
        <v>1078</v>
      </c>
    </row>
    <row r="3292" spans="14:14" x14ac:dyDescent="0.45">
      <c r="N3292" t="s">
        <v>562</v>
      </c>
    </row>
    <row r="3293" spans="14:14" x14ac:dyDescent="0.45">
      <c r="N3293" t="s">
        <v>538</v>
      </c>
    </row>
    <row r="3294" spans="14:14" x14ac:dyDescent="0.45">
      <c r="N3294" t="s">
        <v>1349</v>
      </c>
    </row>
    <row r="3295" spans="14:14" x14ac:dyDescent="0.45">
      <c r="N3295" t="s">
        <v>1350</v>
      </c>
    </row>
    <row r="3296" spans="14:14" x14ac:dyDescent="0.45">
      <c r="N3296" t="s">
        <v>1351</v>
      </c>
    </row>
    <row r="3297" spans="14:14" x14ac:dyDescent="0.45">
      <c r="N3297" t="s">
        <v>1853</v>
      </c>
    </row>
    <row r="3298" spans="14:14" x14ac:dyDescent="0.45">
      <c r="N3298" t="s">
        <v>1854</v>
      </c>
    </row>
    <row r="3299" spans="14:14" x14ac:dyDescent="0.45">
      <c r="N3299" t="s">
        <v>1347</v>
      </c>
    </row>
    <row r="3300" spans="14:14" x14ac:dyDescent="0.45">
      <c r="N3300" t="s">
        <v>99</v>
      </c>
    </row>
    <row r="3301" spans="14:14" x14ac:dyDescent="0.45">
      <c r="N3301" t="s">
        <v>1363</v>
      </c>
    </row>
    <row r="3302" spans="14:14" x14ac:dyDescent="0.45">
      <c r="N3302" t="s">
        <v>1367</v>
      </c>
    </row>
    <row r="3303" spans="14:14" x14ac:dyDescent="0.45">
      <c r="N3303" t="s">
        <v>1370</v>
      </c>
    </row>
    <row r="3304" spans="14:14" x14ac:dyDescent="0.45">
      <c r="N3304" t="s">
        <v>158</v>
      </c>
    </row>
    <row r="3305" spans="14:14" x14ac:dyDescent="0.45">
      <c r="N3305" t="s">
        <v>1366</v>
      </c>
    </row>
    <row r="3306" spans="14:14" x14ac:dyDescent="0.45">
      <c r="N3306" t="s">
        <v>1359</v>
      </c>
    </row>
    <row r="3307" spans="14:14" x14ac:dyDescent="0.45">
      <c r="N3307" t="s">
        <v>1369</v>
      </c>
    </row>
    <row r="3308" spans="14:14" x14ac:dyDescent="0.45">
      <c r="N3308" t="s">
        <v>1361</v>
      </c>
    </row>
    <row r="3309" spans="14:14" x14ac:dyDescent="0.45">
      <c r="N3309" t="s">
        <v>1364</v>
      </c>
    </row>
    <row r="3310" spans="14:14" x14ac:dyDescent="0.45">
      <c r="N3310" t="s">
        <v>1360</v>
      </c>
    </row>
    <row r="3311" spans="14:14" x14ac:dyDescent="0.45">
      <c r="N3311" t="s">
        <v>1365</v>
      </c>
    </row>
    <row r="3312" spans="14:14" x14ac:dyDescent="0.45">
      <c r="N3312" t="s">
        <v>1362</v>
      </c>
    </row>
    <row r="3313" spans="14:14" x14ac:dyDescent="0.45">
      <c r="N3313" t="s">
        <v>1358</v>
      </c>
    </row>
    <row r="3314" spans="14:14" x14ac:dyDescent="0.45">
      <c r="N3314" t="s">
        <v>1368</v>
      </c>
    </row>
    <row r="3315" spans="14:14" x14ac:dyDescent="0.45">
      <c r="N3315" t="s">
        <v>889</v>
      </c>
    </row>
    <row r="3316" spans="14:14" x14ac:dyDescent="0.45">
      <c r="N3316" t="s">
        <v>1356</v>
      </c>
    </row>
    <row r="3317" spans="14:14" x14ac:dyDescent="0.45">
      <c r="N3317" t="s">
        <v>1355</v>
      </c>
    </row>
    <row r="3318" spans="14:14" x14ac:dyDescent="0.45">
      <c r="N3318" t="s">
        <v>1855</v>
      </c>
    </row>
    <row r="3319" spans="14:14" x14ac:dyDescent="0.45">
      <c r="N3319" t="s">
        <v>298</v>
      </c>
    </row>
    <row r="3320" spans="14:14" x14ac:dyDescent="0.45">
      <c r="N3320" t="s">
        <v>1340</v>
      </c>
    </row>
    <row r="3321" spans="14:14" x14ac:dyDescent="0.45">
      <c r="N3321" t="s">
        <v>1856</v>
      </c>
    </row>
    <row r="3322" spans="14:14" x14ac:dyDescent="0.45">
      <c r="N3322" t="s">
        <v>1337</v>
      </c>
    </row>
    <row r="3323" spans="14:14" x14ac:dyDescent="0.45">
      <c r="N3323" t="s">
        <v>566</v>
      </c>
    </row>
    <row r="3324" spans="14:14" x14ac:dyDescent="0.45">
      <c r="N3324" t="s">
        <v>581</v>
      </c>
    </row>
    <row r="3325" spans="14:14" x14ac:dyDescent="0.45">
      <c r="N3325" t="s">
        <v>650</v>
      </c>
    </row>
    <row r="3326" spans="14:14" x14ac:dyDescent="0.45">
      <c r="N3326" t="s">
        <v>1336</v>
      </c>
    </row>
    <row r="3327" spans="14:14" x14ac:dyDescent="0.45">
      <c r="N3327" t="s">
        <v>1333</v>
      </c>
    </row>
    <row r="3328" spans="14:14" x14ac:dyDescent="0.45">
      <c r="N3328" t="s">
        <v>1338</v>
      </c>
    </row>
    <row r="3329" spans="14:14" x14ac:dyDescent="0.45">
      <c r="N3329" t="s">
        <v>1335</v>
      </c>
    </row>
    <row r="3330" spans="14:14" x14ac:dyDescent="0.45">
      <c r="N3330" t="s">
        <v>1334</v>
      </c>
    </row>
    <row r="3331" spans="14:14" x14ac:dyDescent="0.45">
      <c r="N3331" t="s">
        <v>1843</v>
      </c>
    </row>
    <row r="3332" spans="14:14" x14ac:dyDescent="0.45">
      <c r="N3332" t="s">
        <v>1346</v>
      </c>
    </row>
    <row r="3333" spans="14:14" ht="57" x14ac:dyDescent="0.45">
      <c r="N3333" s="122" t="s">
        <v>1844</v>
      </c>
    </row>
    <row r="3334" spans="14:14" x14ac:dyDescent="0.45">
      <c r="N3334" t="s">
        <v>1845</v>
      </c>
    </row>
    <row r="3335" spans="14:14" x14ac:dyDescent="0.45">
      <c r="N3335" t="s">
        <v>1846</v>
      </c>
    </row>
    <row r="3336" spans="14:14" x14ac:dyDescent="0.45">
      <c r="N3336" t="s">
        <v>1847</v>
      </c>
    </row>
    <row r="3337" spans="14:14" x14ac:dyDescent="0.45">
      <c r="N3337" t="s">
        <v>1848</v>
      </c>
    </row>
    <row r="3338" spans="14:14" x14ac:dyDescent="0.45">
      <c r="N3338" t="s">
        <v>1849</v>
      </c>
    </row>
    <row r="3339" spans="14:14" x14ac:dyDescent="0.45">
      <c r="N3339" t="s">
        <v>1850</v>
      </c>
    </row>
    <row r="3340" spans="14:14" x14ac:dyDescent="0.45">
      <c r="N3340" t="s">
        <v>1851</v>
      </c>
    </row>
    <row r="3341" spans="14:14" x14ac:dyDescent="0.45">
      <c r="N3341" t="s">
        <v>1852</v>
      </c>
    </row>
    <row r="3342" spans="14:14" x14ac:dyDescent="0.45">
      <c r="N3342" t="s">
        <v>1352</v>
      </c>
    </row>
    <row r="3343" spans="14:14" x14ac:dyDescent="0.45">
      <c r="N3343" t="s">
        <v>1344</v>
      </c>
    </row>
    <row r="3344" spans="14:14" x14ac:dyDescent="0.45">
      <c r="N3344" t="s">
        <v>415</v>
      </c>
    </row>
    <row r="3345" spans="14:14" x14ac:dyDescent="0.45">
      <c r="N3345" t="s">
        <v>1078</v>
      </c>
    </row>
    <row r="3346" spans="14:14" x14ac:dyDescent="0.45">
      <c r="N3346" t="s">
        <v>562</v>
      </c>
    </row>
    <row r="3347" spans="14:14" x14ac:dyDescent="0.45">
      <c r="N3347" t="s">
        <v>538</v>
      </c>
    </row>
    <row r="3348" spans="14:14" x14ac:dyDescent="0.45">
      <c r="N3348" t="s">
        <v>1349</v>
      </c>
    </row>
    <row r="3349" spans="14:14" x14ac:dyDescent="0.45">
      <c r="N3349" t="s">
        <v>1350</v>
      </c>
    </row>
    <row r="3350" spans="14:14" x14ac:dyDescent="0.45">
      <c r="N3350" t="s">
        <v>1351</v>
      </c>
    </row>
    <row r="3351" spans="14:14" x14ac:dyDescent="0.45">
      <c r="N3351" t="s">
        <v>1853</v>
      </c>
    </row>
    <row r="3352" spans="14:14" x14ac:dyDescent="0.45">
      <c r="N3352" t="s">
        <v>1854</v>
      </c>
    </row>
    <row r="3353" spans="14:14" x14ac:dyDescent="0.45">
      <c r="N3353" t="s">
        <v>1347</v>
      </c>
    </row>
    <row r="3354" spans="14:14" x14ac:dyDescent="0.45">
      <c r="N3354" t="s">
        <v>99</v>
      </c>
    </row>
    <row r="3355" spans="14:14" x14ac:dyDescent="0.45">
      <c r="N3355" t="s">
        <v>1363</v>
      </c>
    </row>
    <row r="3356" spans="14:14" x14ac:dyDescent="0.45">
      <c r="N3356" t="s">
        <v>1367</v>
      </c>
    </row>
    <row r="3357" spans="14:14" x14ac:dyDescent="0.45">
      <c r="N3357" t="s">
        <v>1370</v>
      </c>
    </row>
    <row r="3358" spans="14:14" x14ac:dyDescent="0.45">
      <c r="N3358" t="s">
        <v>158</v>
      </c>
    </row>
    <row r="3359" spans="14:14" x14ac:dyDescent="0.45">
      <c r="N3359" t="s">
        <v>1366</v>
      </c>
    </row>
    <row r="3360" spans="14:14" x14ac:dyDescent="0.45">
      <c r="N3360" t="s">
        <v>1359</v>
      </c>
    </row>
    <row r="3361" spans="14:14" x14ac:dyDescent="0.45">
      <c r="N3361" t="s">
        <v>1369</v>
      </c>
    </row>
    <row r="3362" spans="14:14" x14ac:dyDescent="0.45">
      <c r="N3362" t="s">
        <v>1361</v>
      </c>
    </row>
    <row r="3363" spans="14:14" x14ac:dyDescent="0.45">
      <c r="N3363" t="s">
        <v>1364</v>
      </c>
    </row>
    <row r="3364" spans="14:14" x14ac:dyDescent="0.45">
      <c r="N3364" t="s">
        <v>1360</v>
      </c>
    </row>
    <row r="3365" spans="14:14" x14ac:dyDescent="0.45">
      <c r="N3365" t="s">
        <v>1365</v>
      </c>
    </row>
    <row r="3366" spans="14:14" x14ac:dyDescent="0.45">
      <c r="N3366" t="s">
        <v>1362</v>
      </c>
    </row>
    <row r="3367" spans="14:14" x14ac:dyDescent="0.45">
      <c r="N3367" t="s">
        <v>1358</v>
      </c>
    </row>
    <row r="3368" spans="14:14" x14ac:dyDescent="0.45">
      <c r="N3368" t="s">
        <v>1368</v>
      </c>
    </row>
    <row r="3369" spans="14:14" x14ac:dyDescent="0.45">
      <c r="N3369" t="s">
        <v>889</v>
      </c>
    </row>
    <row r="3370" spans="14:14" x14ac:dyDescent="0.45">
      <c r="N3370" t="s">
        <v>1356</v>
      </c>
    </row>
    <row r="3371" spans="14:14" x14ac:dyDescent="0.45">
      <c r="N3371" t="s">
        <v>1355</v>
      </c>
    </row>
    <row r="3372" spans="14:14" x14ac:dyDescent="0.45">
      <c r="N3372" t="s">
        <v>1855</v>
      </c>
    </row>
    <row r="3373" spans="14:14" x14ac:dyDescent="0.45">
      <c r="N3373" t="s">
        <v>298</v>
      </c>
    </row>
    <row r="3374" spans="14:14" x14ac:dyDescent="0.45">
      <c r="N3374" t="s">
        <v>1340</v>
      </c>
    </row>
    <row r="3375" spans="14:14" x14ac:dyDescent="0.45">
      <c r="N3375" t="s">
        <v>1856</v>
      </c>
    </row>
    <row r="3376" spans="14:14" x14ac:dyDescent="0.45">
      <c r="N3376" t="s">
        <v>1337</v>
      </c>
    </row>
    <row r="3377" spans="14:14" x14ac:dyDescent="0.45">
      <c r="N3377" t="s">
        <v>566</v>
      </c>
    </row>
    <row r="3378" spans="14:14" x14ac:dyDescent="0.45">
      <c r="N3378" t="s">
        <v>581</v>
      </c>
    </row>
    <row r="3379" spans="14:14" x14ac:dyDescent="0.45">
      <c r="N3379" t="s">
        <v>650</v>
      </c>
    </row>
    <row r="3380" spans="14:14" x14ac:dyDescent="0.45">
      <c r="N3380" t="s">
        <v>1336</v>
      </c>
    </row>
    <row r="3381" spans="14:14" x14ac:dyDescent="0.45">
      <c r="N3381" t="s">
        <v>1333</v>
      </c>
    </row>
    <row r="3382" spans="14:14" x14ac:dyDescent="0.45">
      <c r="N3382" t="s">
        <v>1338</v>
      </c>
    </row>
    <row r="3383" spans="14:14" x14ac:dyDescent="0.45">
      <c r="N3383" t="s">
        <v>1335</v>
      </c>
    </row>
    <row r="3384" spans="14:14" x14ac:dyDescent="0.45">
      <c r="N3384" t="s">
        <v>1334</v>
      </c>
    </row>
    <row r="3385" spans="14:14" x14ac:dyDescent="0.45">
      <c r="N3385" t="s">
        <v>1843</v>
      </c>
    </row>
    <row r="3386" spans="14:14" x14ac:dyDescent="0.45">
      <c r="N3386" t="s">
        <v>1346</v>
      </c>
    </row>
    <row r="3387" spans="14:14" ht="57" x14ac:dyDescent="0.45">
      <c r="N3387" s="122" t="s">
        <v>1844</v>
      </c>
    </row>
    <row r="3388" spans="14:14" x14ac:dyDescent="0.45">
      <c r="N3388" t="s">
        <v>1845</v>
      </c>
    </row>
    <row r="3389" spans="14:14" x14ac:dyDescent="0.45">
      <c r="N3389" t="s">
        <v>1846</v>
      </c>
    </row>
    <row r="3390" spans="14:14" x14ac:dyDescent="0.45">
      <c r="N3390" t="s">
        <v>1847</v>
      </c>
    </row>
    <row r="3391" spans="14:14" x14ac:dyDescent="0.45">
      <c r="N3391" t="s">
        <v>1848</v>
      </c>
    </row>
    <row r="3392" spans="14:14" x14ac:dyDescent="0.45">
      <c r="N3392" t="s">
        <v>1849</v>
      </c>
    </row>
    <row r="3393" spans="14:14" x14ac:dyDescent="0.45">
      <c r="N3393" t="s">
        <v>1850</v>
      </c>
    </row>
    <row r="3394" spans="14:14" x14ac:dyDescent="0.45">
      <c r="N3394" t="s">
        <v>1851</v>
      </c>
    </row>
    <row r="3395" spans="14:14" x14ac:dyDescent="0.45">
      <c r="N3395" t="s">
        <v>1852</v>
      </c>
    </row>
    <row r="3396" spans="14:14" x14ac:dyDescent="0.45">
      <c r="N3396" t="s">
        <v>1352</v>
      </c>
    </row>
    <row r="3397" spans="14:14" x14ac:dyDescent="0.45">
      <c r="N3397" t="s">
        <v>1344</v>
      </c>
    </row>
    <row r="3398" spans="14:14" x14ac:dyDescent="0.45">
      <c r="N3398" t="s">
        <v>415</v>
      </c>
    </row>
    <row r="3399" spans="14:14" x14ac:dyDescent="0.45">
      <c r="N3399" t="s">
        <v>1078</v>
      </c>
    </row>
    <row r="3400" spans="14:14" x14ac:dyDescent="0.45">
      <c r="N3400" t="s">
        <v>562</v>
      </c>
    </row>
    <row r="3401" spans="14:14" x14ac:dyDescent="0.45">
      <c r="N3401" t="s">
        <v>538</v>
      </c>
    </row>
    <row r="3402" spans="14:14" x14ac:dyDescent="0.45">
      <c r="N3402" t="s">
        <v>1349</v>
      </c>
    </row>
    <row r="3403" spans="14:14" x14ac:dyDescent="0.45">
      <c r="N3403" t="s">
        <v>1350</v>
      </c>
    </row>
    <row r="3404" spans="14:14" x14ac:dyDescent="0.45">
      <c r="N3404" t="s">
        <v>1351</v>
      </c>
    </row>
    <row r="3405" spans="14:14" x14ac:dyDescent="0.45">
      <c r="N3405" t="s">
        <v>1853</v>
      </c>
    </row>
    <row r="3406" spans="14:14" x14ac:dyDescent="0.45">
      <c r="N3406" t="s">
        <v>1854</v>
      </c>
    </row>
    <row r="3407" spans="14:14" x14ac:dyDescent="0.45">
      <c r="N3407" t="s">
        <v>1347</v>
      </c>
    </row>
    <row r="3408" spans="14:14" x14ac:dyDescent="0.45">
      <c r="N3408" t="s">
        <v>99</v>
      </c>
    </row>
    <row r="3409" spans="14:14" x14ac:dyDescent="0.45">
      <c r="N3409" t="s">
        <v>1363</v>
      </c>
    </row>
    <row r="3410" spans="14:14" x14ac:dyDescent="0.45">
      <c r="N3410" t="s">
        <v>1367</v>
      </c>
    </row>
    <row r="3411" spans="14:14" x14ac:dyDescent="0.45">
      <c r="N3411" t="s">
        <v>1370</v>
      </c>
    </row>
    <row r="3412" spans="14:14" x14ac:dyDescent="0.45">
      <c r="N3412" t="s">
        <v>158</v>
      </c>
    </row>
    <row r="3413" spans="14:14" x14ac:dyDescent="0.45">
      <c r="N3413" t="s">
        <v>1366</v>
      </c>
    </row>
    <row r="3414" spans="14:14" x14ac:dyDescent="0.45">
      <c r="N3414" t="s">
        <v>1359</v>
      </c>
    </row>
    <row r="3415" spans="14:14" x14ac:dyDescent="0.45">
      <c r="N3415" t="s">
        <v>1369</v>
      </c>
    </row>
    <row r="3416" spans="14:14" x14ac:dyDescent="0.45">
      <c r="N3416" t="s">
        <v>1361</v>
      </c>
    </row>
    <row r="3417" spans="14:14" x14ac:dyDescent="0.45">
      <c r="N3417" t="s">
        <v>1364</v>
      </c>
    </row>
    <row r="3418" spans="14:14" x14ac:dyDescent="0.45">
      <c r="N3418" t="s">
        <v>1360</v>
      </c>
    </row>
    <row r="3419" spans="14:14" x14ac:dyDescent="0.45">
      <c r="N3419" t="s">
        <v>1365</v>
      </c>
    </row>
    <row r="3420" spans="14:14" x14ac:dyDescent="0.45">
      <c r="N3420" t="s">
        <v>1362</v>
      </c>
    </row>
    <row r="3421" spans="14:14" x14ac:dyDescent="0.45">
      <c r="N3421" t="s">
        <v>1358</v>
      </c>
    </row>
    <row r="3422" spans="14:14" x14ac:dyDescent="0.45">
      <c r="N3422" t="s">
        <v>1368</v>
      </c>
    </row>
    <row r="3423" spans="14:14" x14ac:dyDescent="0.45">
      <c r="N3423" t="s">
        <v>889</v>
      </c>
    </row>
    <row r="3424" spans="14:14" x14ac:dyDescent="0.45">
      <c r="N3424" t="s">
        <v>1356</v>
      </c>
    </row>
    <row r="3425" spans="14:14" x14ac:dyDescent="0.45">
      <c r="N3425" t="s">
        <v>1355</v>
      </c>
    </row>
    <row r="3426" spans="14:14" x14ac:dyDescent="0.45">
      <c r="N3426" t="s">
        <v>1855</v>
      </c>
    </row>
    <row r="3427" spans="14:14" x14ac:dyDescent="0.45">
      <c r="N3427" t="s">
        <v>298</v>
      </c>
    </row>
    <row r="3428" spans="14:14" x14ac:dyDescent="0.45">
      <c r="N3428" t="s">
        <v>1340</v>
      </c>
    </row>
    <row r="3429" spans="14:14" x14ac:dyDescent="0.45">
      <c r="N3429" t="s">
        <v>1856</v>
      </c>
    </row>
    <row r="3430" spans="14:14" x14ac:dyDescent="0.45">
      <c r="N3430" t="s">
        <v>1337</v>
      </c>
    </row>
    <row r="3431" spans="14:14" x14ac:dyDescent="0.45">
      <c r="N3431" t="s">
        <v>566</v>
      </c>
    </row>
    <row r="3432" spans="14:14" x14ac:dyDescent="0.45">
      <c r="N3432" t="s">
        <v>581</v>
      </c>
    </row>
    <row r="3433" spans="14:14" x14ac:dyDescent="0.45">
      <c r="N3433" t="s">
        <v>650</v>
      </c>
    </row>
    <row r="3434" spans="14:14" x14ac:dyDescent="0.45">
      <c r="N3434" t="s">
        <v>1336</v>
      </c>
    </row>
    <row r="3435" spans="14:14" x14ac:dyDescent="0.45">
      <c r="N3435" t="s">
        <v>1333</v>
      </c>
    </row>
    <row r="3436" spans="14:14" x14ac:dyDescent="0.45">
      <c r="N3436" t="s">
        <v>1338</v>
      </c>
    </row>
    <row r="3437" spans="14:14" x14ac:dyDescent="0.45">
      <c r="N3437" t="s">
        <v>1335</v>
      </c>
    </row>
    <row r="3438" spans="14:14" x14ac:dyDescent="0.45">
      <c r="N3438" t="s">
        <v>1334</v>
      </c>
    </row>
    <row r="3439" spans="14:14" x14ac:dyDescent="0.45">
      <c r="N3439" t="s">
        <v>1843</v>
      </c>
    </row>
    <row r="3440" spans="14:14" x14ac:dyDescent="0.45">
      <c r="N3440" t="s">
        <v>1346</v>
      </c>
    </row>
    <row r="3441" spans="14:14" ht="57" x14ac:dyDescent="0.45">
      <c r="N3441" s="122" t="s">
        <v>1844</v>
      </c>
    </row>
    <row r="3442" spans="14:14" x14ac:dyDescent="0.45">
      <c r="N3442" t="s">
        <v>1845</v>
      </c>
    </row>
    <row r="3443" spans="14:14" x14ac:dyDescent="0.45">
      <c r="N3443" t="s">
        <v>1846</v>
      </c>
    </row>
    <row r="3444" spans="14:14" x14ac:dyDescent="0.45">
      <c r="N3444" t="s">
        <v>1847</v>
      </c>
    </row>
    <row r="3445" spans="14:14" x14ac:dyDescent="0.45">
      <c r="N3445" t="s">
        <v>1848</v>
      </c>
    </row>
    <row r="3446" spans="14:14" x14ac:dyDescent="0.45">
      <c r="N3446" t="s">
        <v>1849</v>
      </c>
    </row>
    <row r="3447" spans="14:14" x14ac:dyDescent="0.45">
      <c r="N3447" t="s">
        <v>1850</v>
      </c>
    </row>
    <row r="3448" spans="14:14" x14ac:dyDescent="0.45">
      <c r="N3448" t="s">
        <v>1851</v>
      </c>
    </row>
    <row r="3449" spans="14:14" x14ac:dyDescent="0.45">
      <c r="N3449" t="s">
        <v>1852</v>
      </c>
    </row>
    <row r="3450" spans="14:14" x14ac:dyDescent="0.45">
      <c r="N3450" t="s">
        <v>1352</v>
      </c>
    </row>
    <row r="3451" spans="14:14" x14ac:dyDescent="0.45">
      <c r="N3451" t="s">
        <v>1344</v>
      </c>
    </row>
    <row r="3452" spans="14:14" x14ac:dyDescent="0.45">
      <c r="N3452" t="s">
        <v>415</v>
      </c>
    </row>
    <row r="3453" spans="14:14" x14ac:dyDescent="0.45">
      <c r="N3453" t="s">
        <v>1078</v>
      </c>
    </row>
    <row r="3454" spans="14:14" x14ac:dyDescent="0.45">
      <c r="N3454" t="s">
        <v>562</v>
      </c>
    </row>
    <row r="3455" spans="14:14" x14ac:dyDescent="0.45">
      <c r="N3455" t="s">
        <v>538</v>
      </c>
    </row>
    <row r="3456" spans="14:14" x14ac:dyDescent="0.45">
      <c r="N3456" t="s">
        <v>1349</v>
      </c>
    </row>
    <row r="3457" spans="14:14" x14ac:dyDescent="0.45">
      <c r="N3457" t="s">
        <v>1350</v>
      </c>
    </row>
    <row r="3458" spans="14:14" x14ac:dyDescent="0.45">
      <c r="N3458" t="s">
        <v>1351</v>
      </c>
    </row>
    <row r="3459" spans="14:14" x14ac:dyDescent="0.45">
      <c r="N3459" t="s">
        <v>1853</v>
      </c>
    </row>
    <row r="3460" spans="14:14" x14ac:dyDescent="0.45">
      <c r="N3460" t="s">
        <v>1854</v>
      </c>
    </row>
    <row r="3461" spans="14:14" x14ac:dyDescent="0.45">
      <c r="N3461" t="s">
        <v>1347</v>
      </c>
    </row>
    <row r="3462" spans="14:14" x14ac:dyDescent="0.45">
      <c r="N3462" t="s">
        <v>99</v>
      </c>
    </row>
    <row r="3463" spans="14:14" x14ac:dyDescent="0.45">
      <c r="N3463" t="s">
        <v>1363</v>
      </c>
    </row>
    <row r="3464" spans="14:14" x14ac:dyDescent="0.45">
      <c r="N3464" t="s">
        <v>1367</v>
      </c>
    </row>
    <row r="3465" spans="14:14" x14ac:dyDescent="0.45">
      <c r="N3465" t="s">
        <v>1370</v>
      </c>
    </row>
    <row r="3466" spans="14:14" x14ac:dyDescent="0.45">
      <c r="N3466" t="s">
        <v>158</v>
      </c>
    </row>
    <row r="3467" spans="14:14" x14ac:dyDescent="0.45">
      <c r="N3467" t="s">
        <v>1366</v>
      </c>
    </row>
    <row r="3468" spans="14:14" x14ac:dyDescent="0.45">
      <c r="N3468" t="s">
        <v>1359</v>
      </c>
    </row>
    <row r="3469" spans="14:14" x14ac:dyDescent="0.45">
      <c r="N3469" t="s">
        <v>1369</v>
      </c>
    </row>
    <row r="3470" spans="14:14" x14ac:dyDescent="0.45">
      <c r="N3470" t="s">
        <v>1361</v>
      </c>
    </row>
    <row r="3471" spans="14:14" x14ac:dyDescent="0.45">
      <c r="N3471" t="s">
        <v>1364</v>
      </c>
    </row>
    <row r="3472" spans="14:14" x14ac:dyDescent="0.45">
      <c r="N3472" t="s">
        <v>1360</v>
      </c>
    </row>
    <row r="3473" spans="14:14" x14ac:dyDescent="0.45">
      <c r="N3473" t="s">
        <v>1365</v>
      </c>
    </row>
    <row r="3474" spans="14:14" x14ac:dyDescent="0.45">
      <c r="N3474" t="s">
        <v>1362</v>
      </c>
    </row>
    <row r="3475" spans="14:14" x14ac:dyDescent="0.45">
      <c r="N3475" t="s">
        <v>1358</v>
      </c>
    </row>
    <row r="3476" spans="14:14" x14ac:dyDescent="0.45">
      <c r="N3476" t="s">
        <v>1368</v>
      </c>
    </row>
    <row r="3477" spans="14:14" x14ac:dyDescent="0.45">
      <c r="N3477" t="s">
        <v>889</v>
      </c>
    </row>
    <row r="3478" spans="14:14" x14ac:dyDescent="0.45">
      <c r="N3478" t="s">
        <v>1356</v>
      </c>
    </row>
    <row r="3479" spans="14:14" x14ac:dyDescent="0.45">
      <c r="N3479" t="s">
        <v>1355</v>
      </c>
    </row>
    <row r="3480" spans="14:14" x14ac:dyDescent="0.45">
      <c r="N3480" t="s">
        <v>1855</v>
      </c>
    </row>
    <row r="3481" spans="14:14" x14ac:dyDescent="0.45">
      <c r="N3481" t="s">
        <v>298</v>
      </c>
    </row>
    <row r="3482" spans="14:14" x14ac:dyDescent="0.45">
      <c r="N3482" t="s">
        <v>1340</v>
      </c>
    </row>
    <row r="3483" spans="14:14" x14ac:dyDescent="0.45">
      <c r="N3483" t="s">
        <v>1856</v>
      </c>
    </row>
    <row r="3484" spans="14:14" x14ac:dyDescent="0.45">
      <c r="N3484" t="s">
        <v>1337</v>
      </c>
    </row>
    <row r="3485" spans="14:14" x14ac:dyDescent="0.45">
      <c r="N3485" t="s">
        <v>566</v>
      </c>
    </row>
    <row r="3486" spans="14:14" x14ac:dyDescent="0.45">
      <c r="N3486" t="s">
        <v>581</v>
      </c>
    </row>
    <row r="3487" spans="14:14" x14ac:dyDescent="0.45">
      <c r="N3487" t="s">
        <v>650</v>
      </c>
    </row>
    <row r="3488" spans="14:14" x14ac:dyDescent="0.45">
      <c r="N3488" t="s">
        <v>1336</v>
      </c>
    </row>
    <row r="3489" spans="14:14" x14ac:dyDescent="0.45">
      <c r="N3489" t="s">
        <v>1333</v>
      </c>
    </row>
    <row r="3490" spans="14:14" x14ac:dyDescent="0.45">
      <c r="N3490" t="s">
        <v>1338</v>
      </c>
    </row>
    <row r="3491" spans="14:14" x14ac:dyDescent="0.45">
      <c r="N3491" t="s">
        <v>1335</v>
      </c>
    </row>
    <row r="3492" spans="14:14" x14ac:dyDescent="0.45">
      <c r="N3492" t="s">
        <v>1334</v>
      </c>
    </row>
    <row r="3493" spans="14:14" x14ac:dyDescent="0.45">
      <c r="N3493" t="s">
        <v>1843</v>
      </c>
    </row>
    <row r="3494" spans="14:14" x14ac:dyDescent="0.45">
      <c r="N3494" t="s">
        <v>1346</v>
      </c>
    </row>
    <row r="3495" spans="14:14" ht="57" x14ac:dyDescent="0.45">
      <c r="N3495" s="122" t="s">
        <v>1844</v>
      </c>
    </row>
    <row r="3496" spans="14:14" x14ac:dyDescent="0.45">
      <c r="N3496" t="s">
        <v>1845</v>
      </c>
    </row>
    <row r="3497" spans="14:14" x14ac:dyDescent="0.45">
      <c r="N3497" t="s">
        <v>1846</v>
      </c>
    </row>
    <row r="3498" spans="14:14" x14ac:dyDescent="0.45">
      <c r="N3498" t="s">
        <v>1847</v>
      </c>
    </row>
    <row r="3499" spans="14:14" x14ac:dyDescent="0.45">
      <c r="N3499" t="s">
        <v>1848</v>
      </c>
    </row>
    <row r="3500" spans="14:14" x14ac:dyDescent="0.45">
      <c r="N3500" t="s">
        <v>1849</v>
      </c>
    </row>
    <row r="3501" spans="14:14" x14ac:dyDescent="0.45">
      <c r="N3501" t="s">
        <v>1850</v>
      </c>
    </row>
    <row r="3502" spans="14:14" x14ac:dyDescent="0.45">
      <c r="N3502" t="s">
        <v>1851</v>
      </c>
    </row>
    <row r="3503" spans="14:14" x14ac:dyDescent="0.45">
      <c r="N3503" t="s">
        <v>1852</v>
      </c>
    </row>
    <row r="3504" spans="14:14" x14ac:dyDescent="0.45">
      <c r="N3504" t="s">
        <v>1352</v>
      </c>
    </row>
    <row r="3505" spans="14:14" x14ac:dyDescent="0.45">
      <c r="N3505" t="s">
        <v>1344</v>
      </c>
    </row>
    <row r="3506" spans="14:14" x14ac:dyDescent="0.45">
      <c r="N3506" t="s">
        <v>415</v>
      </c>
    </row>
    <row r="3507" spans="14:14" x14ac:dyDescent="0.45">
      <c r="N3507" t="s">
        <v>1078</v>
      </c>
    </row>
    <row r="3508" spans="14:14" x14ac:dyDescent="0.45">
      <c r="N3508" t="s">
        <v>562</v>
      </c>
    </row>
    <row r="3509" spans="14:14" x14ac:dyDescent="0.45">
      <c r="N3509" t="s">
        <v>538</v>
      </c>
    </row>
    <row r="3510" spans="14:14" x14ac:dyDescent="0.45">
      <c r="N3510" t="s">
        <v>1349</v>
      </c>
    </row>
    <row r="3511" spans="14:14" x14ac:dyDescent="0.45">
      <c r="N3511" t="s">
        <v>1350</v>
      </c>
    </row>
    <row r="3512" spans="14:14" x14ac:dyDescent="0.45">
      <c r="N3512" t="s">
        <v>1351</v>
      </c>
    </row>
    <row r="3513" spans="14:14" x14ac:dyDescent="0.45">
      <c r="N3513" t="s">
        <v>1853</v>
      </c>
    </row>
    <row r="3514" spans="14:14" x14ac:dyDescent="0.45">
      <c r="N3514" t="s">
        <v>1854</v>
      </c>
    </row>
    <row r="3515" spans="14:14" x14ac:dyDescent="0.45">
      <c r="N3515" t="s">
        <v>1347</v>
      </c>
    </row>
    <row r="3516" spans="14:14" x14ac:dyDescent="0.45">
      <c r="N3516" t="s">
        <v>99</v>
      </c>
    </row>
    <row r="3517" spans="14:14" x14ac:dyDescent="0.45">
      <c r="N3517" t="s">
        <v>1363</v>
      </c>
    </row>
    <row r="3518" spans="14:14" x14ac:dyDescent="0.45">
      <c r="N3518" t="s">
        <v>1367</v>
      </c>
    </row>
    <row r="3519" spans="14:14" x14ac:dyDescent="0.45">
      <c r="N3519" t="s">
        <v>1370</v>
      </c>
    </row>
    <row r="3520" spans="14:14" x14ac:dyDescent="0.45">
      <c r="N3520" t="s">
        <v>158</v>
      </c>
    </row>
    <row r="3521" spans="14:14" x14ac:dyDescent="0.45">
      <c r="N3521" t="s">
        <v>1366</v>
      </c>
    </row>
    <row r="3522" spans="14:14" x14ac:dyDescent="0.45">
      <c r="N3522" t="s">
        <v>1359</v>
      </c>
    </row>
    <row r="3523" spans="14:14" x14ac:dyDescent="0.45">
      <c r="N3523" t="s">
        <v>1369</v>
      </c>
    </row>
    <row r="3524" spans="14:14" x14ac:dyDescent="0.45">
      <c r="N3524" t="s">
        <v>1361</v>
      </c>
    </row>
    <row r="3525" spans="14:14" x14ac:dyDescent="0.45">
      <c r="N3525" t="s">
        <v>1364</v>
      </c>
    </row>
    <row r="3526" spans="14:14" x14ac:dyDescent="0.45">
      <c r="N3526" t="s">
        <v>1360</v>
      </c>
    </row>
    <row r="3527" spans="14:14" x14ac:dyDescent="0.45">
      <c r="N3527" t="s">
        <v>1365</v>
      </c>
    </row>
    <row r="3528" spans="14:14" x14ac:dyDescent="0.45">
      <c r="N3528" t="s">
        <v>1362</v>
      </c>
    </row>
    <row r="3529" spans="14:14" x14ac:dyDescent="0.45">
      <c r="N3529" t="s">
        <v>1358</v>
      </c>
    </row>
    <row r="3530" spans="14:14" x14ac:dyDescent="0.45">
      <c r="N3530" t="s">
        <v>1368</v>
      </c>
    </row>
    <row r="3531" spans="14:14" x14ac:dyDescent="0.45">
      <c r="N3531" t="s">
        <v>889</v>
      </c>
    </row>
    <row r="3532" spans="14:14" x14ac:dyDescent="0.45">
      <c r="N3532" t="s">
        <v>1356</v>
      </c>
    </row>
    <row r="3533" spans="14:14" x14ac:dyDescent="0.45">
      <c r="N3533" t="s">
        <v>1355</v>
      </c>
    </row>
    <row r="3534" spans="14:14" x14ac:dyDescent="0.45">
      <c r="N3534" t="s">
        <v>1855</v>
      </c>
    </row>
    <row r="3535" spans="14:14" x14ac:dyDescent="0.45">
      <c r="N3535" t="s">
        <v>298</v>
      </c>
    </row>
    <row r="3536" spans="14:14" x14ac:dyDescent="0.45">
      <c r="N3536" t="s">
        <v>1340</v>
      </c>
    </row>
    <row r="3537" spans="14:14" x14ac:dyDescent="0.45">
      <c r="N3537" t="s">
        <v>1856</v>
      </c>
    </row>
    <row r="3538" spans="14:14" x14ac:dyDescent="0.45">
      <c r="N3538" t="s">
        <v>1337</v>
      </c>
    </row>
    <row r="3539" spans="14:14" x14ac:dyDescent="0.45">
      <c r="N3539" t="s">
        <v>566</v>
      </c>
    </row>
    <row r="3540" spans="14:14" x14ac:dyDescent="0.45">
      <c r="N3540" t="s">
        <v>581</v>
      </c>
    </row>
    <row r="3541" spans="14:14" x14ac:dyDescent="0.45">
      <c r="N3541" t="s">
        <v>650</v>
      </c>
    </row>
    <row r="3542" spans="14:14" x14ac:dyDescent="0.45">
      <c r="N3542" t="s">
        <v>1336</v>
      </c>
    </row>
    <row r="3543" spans="14:14" x14ac:dyDescent="0.45">
      <c r="N3543" t="s">
        <v>1333</v>
      </c>
    </row>
    <row r="3544" spans="14:14" x14ac:dyDescent="0.45">
      <c r="N3544" t="s">
        <v>1338</v>
      </c>
    </row>
    <row r="3545" spans="14:14" x14ac:dyDescent="0.45">
      <c r="N3545" t="s">
        <v>1335</v>
      </c>
    </row>
    <row r="3546" spans="14:14" x14ac:dyDescent="0.45">
      <c r="N3546" t="s">
        <v>1334</v>
      </c>
    </row>
    <row r="3547" spans="14:14" x14ac:dyDescent="0.45">
      <c r="N3547" t="s">
        <v>1843</v>
      </c>
    </row>
    <row r="3548" spans="14:14" x14ac:dyDescent="0.45">
      <c r="N3548" t="s">
        <v>1346</v>
      </c>
    </row>
    <row r="3549" spans="14:14" ht="57" x14ac:dyDescent="0.45">
      <c r="N3549" s="122" t="s">
        <v>1844</v>
      </c>
    </row>
    <row r="3550" spans="14:14" x14ac:dyDescent="0.45">
      <c r="N3550" t="s">
        <v>1845</v>
      </c>
    </row>
    <row r="3551" spans="14:14" x14ac:dyDescent="0.45">
      <c r="N3551" t="s">
        <v>1846</v>
      </c>
    </row>
    <row r="3552" spans="14:14" x14ac:dyDescent="0.45">
      <c r="N3552" t="s">
        <v>1847</v>
      </c>
    </row>
    <row r="3553" spans="14:14" x14ac:dyDescent="0.45">
      <c r="N3553" t="s">
        <v>1848</v>
      </c>
    </row>
    <row r="3554" spans="14:14" x14ac:dyDescent="0.45">
      <c r="N3554" t="s">
        <v>1849</v>
      </c>
    </row>
    <row r="3555" spans="14:14" x14ac:dyDescent="0.45">
      <c r="N3555" t="s">
        <v>1850</v>
      </c>
    </row>
    <row r="3556" spans="14:14" x14ac:dyDescent="0.45">
      <c r="N3556" t="s">
        <v>1851</v>
      </c>
    </row>
    <row r="3557" spans="14:14" x14ac:dyDescent="0.45">
      <c r="N3557" t="s">
        <v>1852</v>
      </c>
    </row>
    <row r="3558" spans="14:14" x14ac:dyDescent="0.45">
      <c r="N3558" t="s">
        <v>1352</v>
      </c>
    </row>
    <row r="3559" spans="14:14" x14ac:dyDescent="0.45">
      <c r="N3559" t="s">
        <v>1344</v>
      </c>
    </row>
    <row r="3560" spans="14:14" x14ac:dyDescent="0.45">
      <c r="N3560" t="s">
        <v>415</v>
      </c>
    </row>
    <row r="3561" spans="14:14" x14ac:dyDescent="0.45">
      <c r="N3561" t="s">
        <v>1078</v>
      </c>
    </row>
    <row r="3562" spans="14:14" x14ac:dyDescent="0.45">
      <c r="N3562" t="s">
        <v>562</v>
      </c>
    </row>
    <row r="3563" spans="14:14" x14ac:dyDescent="0.45">
      <c r="N3563" t="s">
        <v>538</v>
      </c>
    </row>
    <row r="3564" spans="14:14" x14ac:dyDescent="0.45">
      <c r="N3564" t="s">
        <v>1349</v>
      </c>
    </row>
    <row r="3565" spans="14:14" x14ac:dyDescent="0.45">
      <c r="N3565" t="s">
        <v>1350</v>
      </c>
    </row>
    <row r="3566" spans="14:14" x14ac:dyDescent="0.45">
      <c r="N3566" t="s">
        <v>1351</v>
      </c>
    </row>
    <row r="3567" spans="14:14" x14ac:dyDescent="0.45">
      <c r="N3567" t="s">
        <v>1853</v>
      </c>
    </row>
    <row r="3568" spans="14:14" x14ac:dyDescent="0.45">
      <c r="N3568" t="s">
        <v>1854</v>
      </c>
    </row>
    <row r="3569" spans="14:14" x14ac:dyDescent="0.45">
      <c r="N3569" t="s">
        <v>1347</v>
      </c>
    </row>
    <row r="3570" spans="14:14" x14ac:dyDescent="0.45">
      <c r="N3570" t="s">
        <v>99</v>
      </c>
    </row>
    <row r="3571" spans="14:14" x14ac:dyDescent="0.45">
      <c r="N3571" t="s">
        <v>1363</v>
      </c>
    </row>
    <row r="3572" spans="14:14" x14ac:dyDescent="0.45">
      <c r="N3572" t="s">
        <v>1367</v>
      </c>
    </row>
    <row r="3573" spans="14:14" x14ac:dyDescent="0.45">
      <c r="N3573" t="s">
        <v>1370</v>
      </c>
    </row>
    <row r="3574" spans="14:14" x14ac:dyDescent="0.45">
      <c r="N3574" t="s">
        <v>158</v>
      </c>
    </row>
    <row r="3575" spans="14:14" x14ac:dyDescent="0.45">
      <c r="N3575" t="s">
        <v>1366</v>
      </c>
    </row>
    <row r="3576" spans="14:14" x14ac:dyDescent="0.45">
      <c r="N3576" t="s">
        <v>1359</v>
      </c>
    </row>
    <row r="3577" spans="14:14" x14ac:dyDescent="0.45">
      <c r="N3577" t="s">
        <v>1369</v>
      </c>
    </row>
    <row r="3578" spans="14:14" x14ac:dyDescent="0.45">
      <c r="N3578" t="s">
        <v>1361</v>
      </c>
    </row>
    <row r="3579" spans="14:14" x14ac:dyDescent="0.45">
      <c r="N3579" t="s">
        <v>1364</v>
      </c>
    </row>
    <row r="3580" spans="14:14" x14ac:dyDescent="0.45">
      <c r="N3580" t="s">
        <v>1360</v>
      </c>
    </row>
    <row r="3581" spans="14:14" x14ac:dyDescent="0.45">
      <c r="N3581" t="s">
        <v>1365</v>
      </c>
    </row>
    <row r="3582" spans="14:14" x14ac:dyDescent="0.45">
      <c r="N3582" t="s">
        <v>1362</v>
      </c>
    </row>
    <row r="3583" spans="14:14" x14ac:dyDescent="0.45">
      <c r="N3583" t="s">
        <v>1358</v>
      </c>
    </row>
    <row r="3584" spans="14:14" x14ac:dyDescent="0.45">
      <c r="N3584" t="s">
        <v>1368</v>
      </c>
    </row>
    <row r="3585" spans="14:14" x14ac:dyDescent="0.45">
      <c r="N3585" t="s">
        <v>889</v>
      </c>
    </row>
    <row r="3586" spans="14:14" x14ac:dyDescent="0.45">
      <c r="N3586" t="s">
        <v>1356</v>
      </c>
    </row>
    <row r="3587" spans="14:14" x14ac:dyDescent="0.45">
      <c r="N3587" t="s">
        <v>1355</v>
      </c>
    </row>
    <row r="3588" spans="14:14" x14ac:dyDescent="0.45">
      <c r="N3588" t="s">
        <v>1855</v>
      </c>
    </row>
    <row r="3589" spans="14:14" x14ac:dyDescent="0.45">
      <c r="N3589" t="s">
        <v>298</v>
      </c>
    </row>
    <row r="3590" spans="14:14" x14ac:dyDescent="0.45">
      <c r="N3590" t="s">
        <v>1340</v>
      </c>
    </row>
    <row r="3591" spans="14:14" x14ac:dyDescent="0.45">
      <c r="N3591" t="s">
        <v>1856</v>
      </c>
    </row>
    <row r="3592" spans="14:14" x14ac:dyDescent="0.45">
      <c r="N3592" t="s">
        <v>1337</v>
      </c>
    </row>
    <row r="3593" spans="14:14" x14ac:dyDescent="0.45">
      <c r="N3593" t="s">
        <v>566</v>
      </c>
    </row>
    <row r="3594" spans="14:14" x14ac:dyDescent="0.45">
      <c r="N3594" t="s">
        <v>581</v>
      </c>
    </row>
    <row r="3595" spans="14:14" x14ac:dyDescent="0.45">
      <c r="N3595" t="s">
        <v>650</v>
      </c>
    </row>
    <row r="3596" spans="14:14" x14ac:dyDescent="0.45">
      <c r="N3596" t="s">
        <v>1336</v>
      </c>
    </row>
    <row r="3597" spans="14:14" x14ac:dyDescent="0.45">
      <c r="N3597" t="s">
        <v>1333</v>
      </c>
    </row>
    <row r="3598" spans="14:14" x14ac:dyDescent="0.45">
      <c r="N3598" t="s">
        <v>1338</v>
      </c>
    </row>
    <row r="3599" spans="14:14" x14ac:dyDescent="0.45">
      <c r="N3599" t="s">
        <v>1335</v>
      </c>
    </row>
    <row r="3600" spans="14:14" x14ac:dyDescent="0.45">
      <c r="N3600" t="s">
        <v>1334</v>
      </c>
    </row>
    <row r="3601" spans="14:14" x14ac:dyDescent="0.45">
      <c r="N3601" t="s">
        <v>1843</v>
      </c>
    </row>
    <row r="3602" spans="14:14" x14ac:dyDescent="0.45">
      <c r="N3602" t="s">
        <v>1346</v>
      </c>
    </row>
    <row r="3603" spans="14:14" ht="57" x14ac:dyDescent="0.45">
      <c r="N3603" s="122" t="s">
        <v>1844</v>
      </c>
    </row>
    <row r="3604" spans="14:14" x14ac:dyDescent="0.45">
      <c r="N3604" t="s">
        <v>1845</v>
      </c>
    </row>
    <row r="3605" spans="14:14" x14ac:dyDescent="0.45">
      <c r="N3605" t="s">
        <v>1846</v>
      </c>
    </row>
    <row r="3606" spans="14:14" x14ac:dyDescent="0.45">
      <c r="N3606" t="s">
        <v>1847</v>
      </c>
    </row>
    <row r="3607" spans="14:14" x14ac:dyDescent="0.45">
      <c r="N3607" t="s">
        <v>1848</v>
      </c>
    </row>
    <row r="3608" spans="14:14" x14ac:dyDescent="0.45">
      <c r="N3608" t="s">
        <v>1849</v>
      </c>
    </row>
    <row r="3609" spans="14:14" x14ac:dyDescent="0.45">
      <c r="N3609" t="s">
        <v>1850</v>
      </c>
    </row>
    <row r="3610" spans="14:14" x14ac:dyDescent="0.45">
      <c r="N3610" t="s">
        <v>1851</v>
      </c>
    </row>
    <row r="3611" spans="14:14" x14ac:dyDescent="0.45">
      <c r="N3611" t="s">
        <v>1852</v>
      </c>
    </row>
    <row r="3612" spans="14:14" x14ac:dyDescent="0.45">
      <c r="N3612" t="s">
        <v>1352</v>
      </c>
    </row>
    <row r="3613" spans="14:14" x14ac:dyDescent="0.45">
      <c r="N3613" t="s">
        <v>1344</v>
      </c>
    </row>
    <row r="3614" spans="14:14" x14ac:dyDescent="0.45">
      <c r="N3614" t="s">
        <v>415</v>
      </c>
    </row>
    <row r="3615" spans="14:14" x14ac:dyDescent="0.45">
      <c r="N3615" t="s">
        <v>1078</v>
      </c>
    </row>
    <row r="3616" spans="14:14" x14ac:dyDescent="0.45">
      <c r="N3616" t="s">
        <v>562</v>
      </c>
    </row>
    <row r="3617" spans="14:14" x14ac:dyDescent="0.45">
      <c r="N3617" t="s">
        <v>538</v>
      </c>
    </row>
    <row r="3618" spans="14:14" x14ac:dyDescent="0.45">
      <c r="N3618" t="s">
        <v>1349</v>
      </c>
    </row>
    <row r="3619" spans="14:14" x14ac:dyDescent="0.45">
      <c r="N3619" t="s">
        <v>1350</v>
      </c>
    </row>
    <row r="3620" spans="14:14" x14ac:dyDescent="0.45">
      <c r="N3620" t="s">
        <v>1351</v>
      </c>
    </row>
    <row r="3621" spans="14:14" x14ac:dyDescent="0.45">
      <c r="N3621" t="s">
        <v>1853</v>
      </c>
    </row>
    <row r="3622" spans="14:14" x14ac:dyDescent="0.45">
      <c r="N3622" t="s">
        <v>1854</v>
      </c>
    </row>
    <row r="3623" spans="14:14" x14ac:dyDescent="0.45">
      <c r="N3623" t="s">
        <v>1347</v>
      </c>
    </row>
    <row r="3624" spans="14:14" x14ac:dyDescent="0.45">
      <c r="N3624" t="s">
        <v>99</v>
      </c>
    </row>
    <row r="3625" spans="14:14" x14ac:dyDescent="0.45">
      <c r="N3625" t="s">
        <v>1363</v>
      </c>
    </row>
    <row r="3626" spans="14:14" x14ac:dyDescent="0.45">
      <c r="N3626" t="s">
        <v>1367</v>
      </c>
    </row>
    <row r="3627" spans="14:14" x14ac:dyDescent="0.45">
      <c r="N3627" t="s">
        <v>1370</v>
      </c>
    </row>
    <row r="3628" spans="14:14" x14ac:dyDescent="0.45">
      <c r="N3628" t="s">
        <v>158</v>
      </c>
    </row>
    <row r="3629" spans="14:14" x14ac:dyDescent="0.45">
      <c r="N3629" t="s">
        <v>1366</v>
      </c>
    </row>
    <row r="3630" spans="14:14" x14ac:dyDescent="0.45">
      <c r="N3630" t="s">
        <v>1359</v>
      </c>
    </row>
    <row r="3631" spans="14:14" x14ac:dyDescent="0.45">
      <c r="N3631" t="s">
        <v>1369</v>
      </c>
    </row>
    <row r="3632" spans="14:14" x14ac:dyDescent="0.45">
      <c r="N3632" t="s">
        <v>1361</v>
      </c>
    </row>
    <row r="3633" spans="14:14" x14ac:dyDescent="0.45">
      <c r="N3633" t="s">
        <v>1364</v>
      </c>
    </row>
    <row r="3634" spans="14:14" x14ac:dyDescent="0.45">
      <c r="N3634" t="s">
        <v>1360</v>
      </c>
    </row>
    <row r="3635" spans="14:14" x14ac:dyDescent="0.45">
      <c r="N3635" t="s">
        <v>1365</v>
      </c>
    </row>
    <row r="3636" spans="14:14" x14ac:dyDescent="0.45">
      <c r="N3636" t="s">
        <v>1362</v>
      </c>
    </row>
    <row r="3637" spans="14:14" x14ac:dyDescent="0.45">
      <c r="N3637" t="s">
        <v>1358</v>
      </c>
    </row>
    <row r="3638" spans="14:14" x14ac:dyDescent="0.45">
      <c r="N3638" t="s">
        <v>1368</v>
      </c>
    </row>
    <row r="3639" spans="14:14" x14ac:dyDescent="0.45">
      <c r="N3639" t="s">
        <v>889</v>
      </c>
    </row>
    <row r="3640" spans="14:14" x14ac:dyDescent="0.45">
      <c r="N3640" t="s">
        <v>1356</v>
      </c>
    </row>
    <row r="3641" spans="14:14" x14ac:dyDescent="0.45">
      <c r="N3641" t="s">
        <v>1355</v>
      </c>
    </row>
    <row r="3642" spans="14:14" x14ac:dyDescent="0.45">
      <c r="N3642" t="s">
        <v>1855</v>
      </c>
    </row>
    <row r="3643" spans="14:14" x14ac:dyDescent="0.45">
      <c r="N3643" t="s">
        <v>298</v>
      </c>
    </row>
    <row r="3644" spans="14:14" x14ac:dyDescent="0.45">
      <c r="N3644" t="s">
        <v>1340</v>
      </c>
    </row>
    <row r="3645" spans="14:14" x14ac:dyDescent="0.45">
      <c r="N3645" t="s">
        <v>1856</v>
      </c>
    </row>
    <row r="3646" spans="14:14" x14ac:dyDescent="0.45">
      <c r="N3646" t="s">
        <v>1337</v>
      </c>
    </row>
    <row r="3647" spans="14:14" x14ac:dyDescent="0.45">
      <c r="N3647" t="s">
        <v>566</v>
      </c>
    </row>
    <row r="3648" spans="14:14" x14ac:dyDescent="0.45">
      <c r="N3648" t="s">
        <v>581</v>
      </c>
    </row>
    <row r="3649" spans="14:14" x14ac:dyDescent="0.45">
      <c r="N3649" t="s">
        <v>650</v>
      </c>
    </row>
    <row r="3650" spans="14:14" x14ac:dyDescent="0.45">
      <c r="N3650" t="s">
        <v>1336</v>
      </c>
    </row>
    <row r="3651" spans="14:14" x14ac:dyDescent="0.45">
      <c r="N3651" t="s">
        <v>1333</v>
      </c>
    </row>
    <row r="3652" spans="14:14" x14ac:dyDescent="0.45">
      <c r="N3652" t="s">
        <v>1338</v>
      </c>
    </row>
    <row r="3653" spans="14:14" x14ac:dyDescent="0.45">
      <c r="N3653" t="s">
        <v>1335</v>
      </c>
    </row>
    <row r="3654" spans="14:14" x14ac:dyDescent="0.45">
      <c r="N3654" t="s">
        <v>1334</v>
      </c>
    </row>
    <row r="3655" spans="14:14" x14ac:dyDescent="0.45">
      <c r="N3655" t="s">
        <v>1843</v>
      </c>
    </row>
    <row r="3656" spans="14:14" x14ac:dyDescent="0.45">
      <c r="N3656" t="s">
        <v>1346</v>
      </c>
    </row>
    <row r="3657" spans="14:14" ht="57" x14ac:dyDescent="0.45">
      <c r="N3657" s="122" t="s">
        <v>1844</v>
      </c>
    </row>
    <row r="3658" spans="14:14" x14ac:dyDescent="0.45">
      <c r="N3658" t="s">
        <v>1845</v>
      </c>
    </row>
    <row r="3659" spans="14:14" x14ac:dyDescent="0.45">
      <c r="N3659" t="s">
        <v>1846</v>
      </c>
    </row>
    <row r="3660" spans="14:14" x14ac:dyDescent="0.45">
      <c r="N3660" t="s">
        <v>1847</v>
      </c>
    </row>
    <row r="3661" spans="14:14" x14ac:dyDescent="0.45">
      <c r="N3661" t="s">
        <v>1848</v>
      </c>
    </row>
    <row r="3662" spans="14:14" x14ac:dyDescent="0.45">
      <c r="N3662" t="s">
        <v>1849</v>
      </c>
    </row>
    <row r="3663" spans="14:14" x14ac:dyDescent="0.45">
      <c r="N3663" t="s">
        <v>1850</v>
      </c>
    </row>
    <row r="3664" spans="14:14" x14ac:dyDescent="0.45">
      <c r="N3664" t="s">
        <v>1851</v>
      </c>
    </row>
    <row r="3665" spans="14:14" x14ac:dyDescent="0.45">
      <c r="N3665" t="s">
        <v>1852</v>
      </c>
    </row>
    <row r="3666" spans="14:14" x14ac:dyDescent="0.45">
      <c r="N3666" t="s">
        <v>1352</v>
      </c>
    </row>
    <row r="3667" spans="14:14" x14ac:dyDescent="0.45">
      <c r="N3667" t="s">
        <v>1344</v>
      </c>
    </row>
    <row r="3668" spans="14:14" x14ac:dyDescent="0.45">
      <c r="N3668" t="s">
        <v>415</v>
      </c>
    </row>
    <row r="3669" spans="14:14" x14ac:dyDescent="0.45">
      <c r="N3669" t="s">
        <v>1078</v>
      </c>
    </row>
    <row r="3670" spans="14:14" x14ac:dyDescent="0.45">
      <c r="N3670" t="s">
        <v>562</v>
      </c>
    </row>
    <row r="3671" spans="14:14" x14ac:dyDescent="0.45">
      <c r="N3671" t="s">
        <v>538</v>
      </c>
    </row>
    <row r="3672" spans="14:14" x14ac:dyDescent="0.45">
      <c r="N3672" t="s">
        <v>1349</v>
      </c>
    </row>
    <row r="3673" spans="14:14" x14ac:dyDescent="0.45">
      <c r="N3673" t="s">
        <v>1350</v>
      </c>
    </row>
    <row r="3674" spans="14:14" x14ac:dyDescent="0.45">
      <c r="N3674" t="s">
        <v>1351</v>
      </c>
    </row>
    <row r="3675" spans="14:14" x14ac:dyDescent="0.45">
      <c r="N3675" t="s">
        <v>1853</v>
      </c>
    </row>
    <row r="3676" spans="14:14" x14ac:dyDescent="0.45">
      <c r="N3676" t="s">
        <v>1854</v>
      </c>
    </row>
    <row r="3677" spans="14:14" x14ac:dyDescent="0.45">
      <c r="N3677" t="s">
        <v>1347</v>
      </c>
    </row>
    <row r="3678" spans="14:14" x14ac:dyDescent="0.45">
      <c r="N3678" t="s">
        <v>99</v>
      </c>
    </row>
    <row r="3679" spans="14:14" x14ac:dyDescent="0.45">
      <c r="N3679" t="s">
        <v>1363</v>
      </c>
    </row>
    <row r="3680" spans="14:14" x14ac:dyDescent="0.45">
      <c r="N3680" t="s">
        <v>1367</v>
      </c>
    </row>
    <row r="3681" spans="14:14" x14ac:dyDescent="0.45">
      <c r="N3681" t="s">
        <v>1370</v>
      </c>
    </row>
    <row r="3682" spans="14:14" x14ac:dyDescent="0.45">
      <c r="N3682" t="s">
        <v>158</v>
      </c>
    </row>
    <row r="3683" spans="14:14" x14ac:dyDescent="0.45">
      <c r="N3683" t="s">
        <v>1366</v>
      </c>
    </row>
    <row r="3684" spans="14:14" x14ac:dyDescent="0.45">
      <c r="N3684" t="s">
        <v>1359</v>
      </c>
    </row>
    <row r="3685" spans="14:14" x14ac:dyDescent="0.45">
      <c r="N3685" t="s">
        <v>1369</v>
      </c>
    </row>
    <row r="3686" spans="14:14" x14ac:dyDescent="0.45">
      <c r="N3686" t="s">
        <v>1361</v>
      </c>
    </row>
    <row r="3687" spans="14:14" x14ac:dyDescent="0.45">
      <c r="N3687" t="s">
        <v>1364</v>
      </c>
    </row>
    <row r="3688" spans="14:14" x14ac:dyDescent="0.45">
      <c r="N3688" t="s">
        <v>1360</v>
      </c>
    </row>
    <row r="3689" spans="14:14" x14ac:dyDescent="0.45">
      <c r="N3689" t="s">
        <v>1365</v>
      </c>
    </row>
    <row r="3690" spans="14:14" x14ac:dyDescent="0.45">
      <c r="N3690" t="s">
        <v>1362</v>
      </c>
    </row>
    <row r="3691" spans="14:14" x14ac:dyDescent="0.45">
      <c r="N3691" t="s">
        <v>1358</v>
      </c>
    </row>
    <row r="3692" spans="14:14" x14ac:dyDescent="0.45">
      <c r="N3692" t="s">
        <v>1368</v>
      </c>
    </row>
    <row r="3693" spans="14:14" x14ac:dyDescent="0.45">
      <c r="N3693" t="s">
        <v>889</v>
      </c>
    </row>
    <row r="3694" spans="14:14" x14ac:dyDescent="0.45">
      <c r="N3694" t="s">
        <v>1356</v>
      </c>
    </row>
    <row r="3695" spans="14:14" x14ac:dyDescent="0.45">
      <c r="N3695" t="s">
        <v>1355</v>
      </c>
    </row>
    <row r="3696" spans="14:14" x14ac:dyDescent="0.45">
      <c r="N3696" t="s">
        <v>1855</v>
      </c>
    </row>
    <row r="3697" spans="14:14" x14ac:dyDescent="0.45">
      <c r="N3697" t="s">
        <v>298</v>
      </c>
    </row>
    <row r="3698" spans="14:14" x14ac:dyDescent="0.45">
      <c r="N3698" t="s">
        <v>1340</v>
      </c>
    </row>
    <row r="3699" spans="14:14" x14ac:dyDescent="0.45">
      <c r="N3699" t="s">
        <v>1856</v>
      </c>
    </row>
    <row r="3700" spans="14:14" x14ac:dyDescent="0.45">
      <c r="N3700" t="s">
        <v>1337</v>
      </c>
    </row>
    <row r="3701" spans="14:14" x14ac:dyDescent="0.45">
      <c r="N3701" t="s">
        <v>566</v>
      </c>
    </row>
    <row r="3702" spans="14:14" x14ac:dyDescent="0.45">
      <c r="N3702" t="s">
        <v>581</v>
      </c>
    </row>
    <row r="3703" spans="14:14" x14ac:dyDescent="0.45">
      <c r="N3703" t="s">
        <v>650</v>
      </c>
    </row>
    <row r="3704" spans="14:14" x14ac:dyDescent="0.45">
      <c r="N3704" t="s">
        <v>1336</v>
      </c>
    </row>
    <row r="3705" spans="14:14" x14ac:dyDescent="0.45">
      <c r="N3705" t="s">
        <v>1333</v>
      </c>
    </row>
    <row r="3706" spans="14:14" x14ac:dyDescent="0.45">
      <c r="N3706" t="s">
        <v>1338</v>
      </c>
    </row>
    <row r="3707" spans="14:14" x14ac:dyDescent="0.45">
      <c r="N3707" t="s">
        <v>1335</v>
      </c>
    </row>
    <row r="3708" spans="14:14" x14ac:dyDescent="0.45">
      <c r="N3708" t="s">
        <v>1334</v>
      </c>
    </row>
    <row r="3709" spans="14:14" x14ac:dyDescent="0.45">
      <c r="N3709" t="s">
        <v>1843</v>
      </c>
    </row>
    <row r="3710" spans="14:14" x14ac:dyDescent="0.45">
      <c r="N3710" t="s">
        <v>1346</v>
      </c>
    </row>
    <row r="3711" spans="14:14" ht="57" x14ac:dyDescent="0.45">
      <c r="N3711" s="122" t="s">
        <v>1844</v>
      </c>
    </row>
    <row r="3712" spans="14:14" x14ac:dyDescent="0.45">
      <c r="N3712" t="s">
        <v>1845</v>
      </c>
    </row>
    <row r="3713" spans="14:14" x14ac:dyDescent="0.45">
      <c r="N3713" t="s">
        <v>1846</v>
      </c>
    </row>
    <row r="3714" spans="14:14" x14ac:dyDescent="0.45">
      <c r="N3714" t="s">
        <v>1847</v>
      </c>
    </row>
    <row r="3715" spans="14:14" x14ac:dyDescent="0.45">
      <c r="N3715" t="s">
        <v>1848</v>
      </c>
    </row>
    <row r="3716" spans="14:14" x14ac:dyDescent="0.45">
      <c r="N3716" t="s">
        <v>1849</v>
      </c>
    </row>
    <row r="3717" spans="14:14" x14ac:dyDescent="0.45">
      <c r="N3717" t="s">
        <v>1850</v>
      </c>
    </row>
    <row r="3718" spans="14:14" x14ac:dyDescent="0.45">
      <c r="N3718" t="s">
        <v>1851</v>
      </c>
    </row>
    <row r="3719" spans="14:14" x14ac:dyDescent="0.45">
      <c r="N3719" t="s">
        <v>1852</v>
      </c>
    </row>
    <row r="3720" spans="14:14" x14ac:dyDescent="0.45">
      <c r="N3720" t="s">
        <v>1352</v>
      </c>
    </row>
    <row r="3721" spans="14:14" x14ac:dyDescent="0.45">
      <c r="N3721" t="s">
        <v>1344</v>
      </c>
    </row>
    <row r="3722" spans="14:14" x14ac:dyDescent="0.45">
      <c r="N3722" t="s">
        <v>415</v>
      </c>
    </row>
    <row r="3723" spans="14:14" x14ac:dyDescent="0.45">
      <c r="N3723" t="s">
        <v>1078</v>
      </c>
    </row>
    <row r="3724" spans="14:14" x14ac:dyDescent="0.45">
      <c r="N3724" t="s">
        <v>562</v>
      </c>
    </row>
    <row r="3725" spans="14:14" x14ac:dyDescent="0.45">
      <c r="N3725" t="s">
        <v>538</v>
      </c>
    </row>
    <row r="3726" spans="14:14" x14ac:dyDescent="0.45">
      <c r="N3726" t="s">
        <v>1349</v>
      </c>
    </row>
    <row r="3727" spans="14:14" x14ac:dyDescent="0.45">
      <c r="N3727" t="s">
        <v>1350</v>
      </c>
    </row>
    <row r="3728" spans="14:14" x14ac:dyDescent="0.45">
      <c r="N3728" t="s">
        <v>1351</v>
      </c>
    </row>
    <row r="3729" spans="14:14" x14ac:dyDescent="0.45">
      <c r="N3729" t="s">
        <v>1853</v>
      </c>
    </row>
    <row r="3730" spans="14:14" x14ac:dyDescent="0.45">
      <c r="N3730" t="s">
        <v>1854</v>
      </c>
    </row>
    <row r="3731" spans="14:14" x14ac:dyDescent="0.45">
      <c r="N3731" t="s">
        <v>1347</v>
      </c>
    </row>
    <row r="3732" spans="14:14" x14ac:dyDescent="0.45">
      <c r="N3732" t="s">
        <v>99</v>
      </c>
    </row>
    <row r="3733" spans="14:14" x14ac:dyDescent="0.45">
      <c r="N3733" t="s">
        <v>1363</v>
      </c>
    </row>
    <row r="3734" spans="14:14" x14ac:dyDescent="0.45">
      <c r="N3734" t="s">
        <v>1367</v>
      </c>
    </row>
    <row r="3735" spans="14:14" x14ac:dyDescent="0.45">
      <c r="N3735" t="s">
        <v>1370</v>
      </c>
    </row>
    <row r="3736" spans="14:14" x14ac:dyDescent="0.45">
      <c r="N3736" t="s">
        <v>158</v>
      </c>
    </row>
    <row r="3737" spans="14:14" x14ac:dyDescent="0.45">
      <c r="N3737" t="s">
        <v>1366</v>
      </c>
    </row>
    <row r="3738" spans="14:14" x14ac:dyDescent="0.45">
      <c r="N3738" t="s">
        <v>1359</v>
      </c>
    </row>
    <row r="3739" spans="14:14" x14ac:dyDescent="0.45">
      <c r="N3739" t="s">
        <v>1369</v>
      </c>
    </row>
    <row r="3740" spans="14:14" x14ac:dyDescent="0.45">
      <c r="N3740" t="s">
        <v>1361</v>
      </c>
    </row>
    <row r="3741" spans="14:14" x14ac:dyDescent="0.45">
      <c r="N3741" t="s">
        <v>1364</v>
      </c>
    </row>
    <row r="3742" spans="14:14" x14ac:dyDescent="0.45">
      <c r="N3742" t="s">
        <v>1360</v>
      </c>
    </row>
    <row r="3743" spans="14:14" x14ac:dyDescent="0.45">
      <c r="N3743" t="s">
        <v>1365</v>
      </c>
    </row>
    <row r="3744" spans="14:14" x14ac:dyDescent="0.45">
      <c r="N3744" t="s">
        <v>1362</v>
      </c>
    </row>
    <row r="3745" spans="14:14" x14ac:dyDescent="0.45">
      <c r="N3745" t="s">
        <v>1358</v>
      </c>
    </row>
    <row r="3746" spans="14:14" x14ac:dyDescent="0.45">
      <c r="N3746" t="s">
        <v>1368</v>
      </c>
    </row>
    <row r="3747" spans="14:14" x14ac:dyDescent="0.45">
      <c r="N3747" t="s">
        <v>889</v>
      </c>
    </row>
    <row r="3748" spans="14:14" x14ac:dyDescent="0.45">
      <c r="N3748" t="s">
        <v>1356</v>
      </c>
    </row>
    <row r="3749" spans="14:14" x14ac:dyDescent="0.45">
      <c r="N3749" t="s">
        <v>1355</v>
      </c>
    </row>
    <row r="3750" spans="14:14" x14ac:dyDescent="0.45">
      <c r="N3750" t="s">
        <v>1855</v>
      </c>
    </row>
    <row r="3751" spans="14:14" x14ac:dyDescent="0.45">
      <c r="N3751" t="s">
        <v>298</v>
      </c>
    </row>
    <row r="3752" spans="14:14" x14ac:dyDescent="0.45">
      <c r="N3752" t="s">
        <v>1340</v>
      </c>
    </row>
    <row r="3753" spans="14:14" x14ac:dyDescent="0.45">
      <c r="N3753" t="s">
        <v>1856</v>
      </c>
    </row>
    <row r="3754" spans="14:14" x14ac:dyDescent="0.45">
      <c r="N3754" t="s">
        <v>1337</v>
      </c>
    </row>
    <row r="3755" spans="14:14" x14ac:dyDescent="0.45">
      <c r="N3755" t="s">
        <v>566</v>
      </c>
    </row>
    <row r="3756" spans="14:14" x14ac:dyDescent="0.45">
      <c r="N3756" t="s">
        <v>581</v>
      </c>
    </row>
    <row r="3757" spans="14:14" x14ac:dyDescent="0.45">
      <c r="N3757" t="s">
        <v>650</v>
      </c>
    </row>
    <row r="3758" spans="14:14" x14ac:dyDescent="0.45">
      <c r="N3758" t="s">
        <v>1336</v>
      </c>
    </row>
    <row r="3759" spans="14:14" x14ac:dyDescent="0.45">
      <c r="N3759" t="s">
        <v>1333</v>
      </c>
    </row>
    <row r="3760" spans="14:14" x14ac:dyDescent="0.45">
      <c r="N3760" t="s">
        <v>1338</v>
      </c>
    </row>
    <row r="3761" spans="14:14" x14ac:dyDescent="0.45">
      <c r="N3761" t="s">
        <v>1335</v>
      </c>
    </row>
    <row r="3762" spans="14:14" x14ac:dyDescent="0.45">
      <c r="N3762" t="s">
        <v>1334</v>
      </c>
    </row>
    <row r="3763" spans="14:14" x14ac:dyDescent="0.45">
      <c r="N3763" t="s">
        <v>1843</v>
      </c>
    </row>
    <row r="3764" spans="14:14" x14ac:dyDescent="0.45">
      <c r="N3764" t="s">
        <v>1346</v>
      </c>
    </row>
    <row r="3765" spans="14:14" ht="57" x14ac:dyDescent="0.45">
      <c r="N3765" s="122" t="s">
        <v>1844</v>
      </c>
    </row>
    <row r="3766" spans="14:14" x14ac:dyDescent="0.45">
      <c r="N3766" t="s">
        <v>1845</v>
      </c>
    </row>
    <row r="3767" spans="14:14" x14ac:dyDescent="0.45">
      <c r="N3767" t="s">
        <v>1846</v>
      </c>
    </row>
    <row r="3768" spans="14:14" x14ac:dyDescent="0.45">
      <c r="N3768" t="s">
        <v>1847</v>
      </c>
    </row>
    <row r="3769" spans="14:14" x14ac:dyDescent="0.45">
      <c r="N3769" t="s">
        <v>1848</v>
      </c>
    </row>
    <row r="3770" spans="14:14" x14ac:dyDescent="0.45">
      <c r="N3770" t="s">
        <v>1849</v>
      </c>
    </row>
    <row r="3771" spans="14:14" x14ac:dyDescent="0.45">
      <c r="N3771" t="s">
        <v>1850</v>
      </c>
    </row>
    <row r="3772" spans="14:14" x14ac:dyDescent="0.45">
      <c r="N3772" t="s">
        <v>1851</v>
      </c>
    </row>
    <row r="3773" spans="14:14" x14ac:dyDescent="0.45">
      <c r="N3773" t="s">
        <v>1852</v>
      </c>
    </row>
    <row r="3774" spans="14:14" x14ac:dyDescent="0.45">
      <c r="N3774" t="s">
        <v>1352</v>
      </c>
    </row>
    <row r="3775" spans="14:14" x14ac:dyDescent="0.45">
      <c r="N3775" t="s">
        <v>1344</v>
      </c>
    </row>
    <row r="3776" spans="14:14" x14ac:dyDescent="0.45">
      <c r="N3776" t="s">
        <v>415</v>
      </c>
    </row>
    <row r="3777" spans="14:14" x14ac:dyDescent="0.45">
      <c r="N3777" t="s">
        <v>1078</v>
      </c>
    </row>
    <row r="3778" spans="14:14" x14ac:dyDescent="0.45">
      <c r="N3778" t="s">
        <v>562</v>
      </c>
    </row>
    <row r="3779" spans="14:14" x14ac:dyDescent="0.45">
      <c r="N3779" t="s">
        <v>538</v>
      </c>
    </row>
    <row r="3780" spans="14:14" x14ac:dyDescent="0.45">
      <c r="N3780" t="s">
        <v>1349</v>
      </c>
    </row>
    <row r="3781" spans="14:14" x14ac:dyDescent="0.45">
      <c r="N3781" t="s">
        <v>1350</v>
      </c>
    </row>
    <row r="3782" spans="14:14" x14ac:dyDescent="0.45">
      <c r="N3782" t="s">
        <v>1351</v>
      </c>
    </row>
    <row r="3783" spans="14:14" x14ac:dyDescent="0.45">
      <c r="N3783" t="s">
        <v>1853</v>
      </c>
    </row>
    <row r="3784" spans="14:14" x14ac:dyDescent="0.45">
      <c r="N3784" t="s">
        <v>1854</v>
      </c>
    </row>
    <row r="3785" spans="14:14" x14ac:dyDescent="0.45">
      <c r="N3785" t="s">
        <v>1347</v>
      </c>
    </row>
    <row r="3786" spans="14:14" x14ac:dyDescent="0.45">
      <c r="N3786" t="s">
        <v>99</v>
      </c>
    </row>
    <row r="3787" spans="14:14" x14ac:dyDescent="0.45">
      <c r="N3787" t="s">
        <v>1363</v>
      </c>
    </row>
    <row r="3788" spans="14:14" x14ac:dyDescent="0.45">
      <c r="N3788" t="s">
        <v>1367</v>
      </c>
    </row>
    <row r="3789" spans="14:14" x14ac:dyDescent="0.45">
      <c r="N3789" t="s">
        <v>1370</v>
      </c>
    </row>
    <row r="3790" spans="14:14" x14ac:dyDescent="0.45">
      <c r="N3790" t="s">
        <v>158</v>
      </c>
    </row>
    <row r="3791" spans="14:14" x14ac:dyDescent="0.45">
      <c r="N3791" t="s">
        <v>1366</v>
      </c>
    </row>
    <row r="3792" spans="14:14" x14ac:dyDescent="0.45">
      <c r="N3792" t="s">
        <v>1359</v>
      </c>
    </row>
    <row r="3793" spans="14:14" x14ac:dyDescent="0.45">
      <c r="N3793" t="s">
        <v>1369</v>
      </c>
    </row>
    <row r="3794" spans="14:14" x14ac:dyDescent="0.45">
      <c r="N3794" t="s">
        <v>1361</v>
      </c>
    </row>
    <row r="3795" spans="14:14" x14ac:dyDescent="0.45">
      <c r="N3795" t="s">
        <v>1364</v>
      </c>
    </row>
    <row r="3796" spans="14:14" x14ac:dyDescent="0.45">
      <c r="N3796" t="s">
        <v>1360</v>
      </c>
    </row>
    <row r="3797" spans="14:14" x14ac:dyDescent="0.45">
      <c r="N3797" t="s">
        <v>1365</v>
      </c>
    </row>
    <row r="3798" spans="14:14" x14ac:dyDescent="0.45">
      <c r="N3798" t="s">
        <v>1362</v>
      </c>
    </row>
    <row r="3799" spans="14:14" x14ac:dyDescent="0.45">
      <c r="N3799" t="s">
        <v>1358</v>
      </c>
    </row>
    <row r="3800" spans="14:14" x14ac:dyDescent="0.45">
      <c r="N3800" t="s">
        <v>1368</v>
      </c>
    </row>
    <row r="3801" spans="14:14" x14ac:dyDescent="0.45">
      <c r="N3801" t="s">
        <v>889</v>
      </c>
    </row>
    <row r="3802" spans="14:14" x14ac:dyDescent="0.45">
      <c r="N3802" t="s">
        <v>1356</v>
      </c>
    </row>
    <row r="3803" spans="14:14" x14ac:dyDescent="0.45">
      <c r="N3803" t="s">
        <v>1355</v>
      </c>
    </row>
    <row r="3804" spans="14:14" x14ac:dyDescent="0.45">
      <c r="N3804" t="s">
        <v>1855</v>
      </c>
    </row>
    <row r="3805" spans="14:14" x14ac:dyDescent="0.45">
      <c r="N3805" t="s">
        <v>298</v>
      </c>
    </row>
    <row r="3806" spans="14:14" x14ac:dyDescent="0.45">
      <c r="N3806" t="s">
        <v>1340</v>
      </c>
    </row>
    <row r="3807" spans="14:14" x14ac:dyDescent="0.45">
      <c r="N3807" t="s">
        <v>1856</v>
      </c>
    </row>
    <row r="3808" spans="14:14" x14ac:dyDescent="0.45">
      <c r="N3808" t="s">
        <v>1337</v>
      </c>
    </row>
    <row r="3809" spans="14:14" x14ac:dyDescent="0.45">
      <c r="N3809" t="s">
        <v>566</v>
      </c>
    </row>
    <row r="3810" spans="14:14" x14ac:dyDescent="0.45">
      <c r="N3810" t="s">
        <v>581</v>
      </c>
    </row>
    <row r="3811" spans="14:14" x14ac:dyDescent="0.45">
      <c r="N3811" t="s">
        <v>650</v>
      </c>
    </row>
    <row r="3812" spans="14:14" x14ac:dyDescent="0.45">
      <c r="N3812" t="s">
        <v>1336</v>
      </c>
    </row>
    <row r="3813" spans="14:14" x14ac:dyDescent="0.45">
      <c r="N3813" t="s">
        <v>1333</v>
      </c>
    </row>
    <row r="3814" spans="14:14" x14ac:dyDescent="0.45">
      <c r="N3814" t="s">
        <v>1338</v>
      </c>
    </row>
    <row r="3815" spans="14:14" x14ac:dyDescent="0.45">
      <c r="N3815" t="s">
        <v>1335</v>
      </c>
    </row>
    <row r="3816" spans="14:14" x14ac:dyDescent="0.45">
      <c r="N3816" t="s">
        <v>1334</v>
      </c>
    </row>
    <row r="3817" spans="14:14" x14ac:dyDescent="0.45">
      <c r="N3817" t="s">
        <v>1843</v>
      </c>
    </row>
    <row r="3818" spans="14:14" x14ac:dyDescent="0.45">
      <c r="N3818" t="s">
        <v>1346</v>
      </c>
    </row>
    <row r="3819" spans="14:14" ht="57" x14ac:dyDescent="0.45">
      <c r="N3819" s="122" t="s">
        <v>1844</v>
      </c>
    </row>
    <row r="3820" spans="14:14" x14ac:dyDescent="0.45">
      <c r="N3820" t="s">
        <v>1845</v>
      </c>
    </row>
    <row r="3821" spans="14:14" x14ac:dyDescent="0.45">
      <c r="N3821" t="s">
        <v>1846</v>
      </c>
    </row>
    <row r="3822" spans="14:14" x14ac:dyDescent="0.45">
      <c r="N3822" t="s">
        <v>1847</v>
      </c>
    </row>
    <row r="3823" spans="14:14" x14ac:dyDescent="0.45">
      <c r="N3823" t="s">
        <v>1848</v>
      </c>
    </row>
    <row r="3824" spans="14:14" x14ac:dyDescent="0.45">
      <c r="N3824" t="s">
        <v>1849</v>
      </c>
    </row>
    <row r="3825" spans="14:14" x14ac:dyDescent="0.45">
      <c r="N3825" t="s">
        <v>1850</v>
      </c>
    </row>
    <row r="3826" spans="14:14" x14ac:dyDescent="0.45">
      <c r="N3826" t="s">
        <v>1851</v>
      </c>
    </row>
    <row r="3827" spans="14:14" x14ac:dyDescent="0.45">
      <c r="N3827" t="s">
        <v>1852</v>
      </c>
    </row>
    <row r="3828" spans="14:14" x14ac:dyDescent="0.45">
      <c r="N3828" t="s">
        <v>1352</v>
      </c>
    </row>
    <row r="3829" spans="14:14" x14ac:dyDescent="0.45">
      <c r="N3829" t="s">
        <v>1344</v>
      </c>
    </row>
    <row r="3830" spans="14:14" x14ac:dyDescent="0.45">
      <c r="N3830" t="s">
        <v>415</v>
      </c>
    </row>
    <row r="3831" spans="14:14" x14ac:dyDescent="0.45">
      <c r="N3831" t="s">
        <v>1078</v>
      </c>
    </row>
    <row r="3832" spans="14:14" x14ac:dyDescent="0.45">
      <c r="N3832" t="s">
        <v>562</v>
      </c>
    </row>
    <row r="3833" spans="14:14" x14ac:dyDescent="0.45">
      <c r="N3833" t="s">
        <v>538</v>
      </c>
    </row>
    <row r="3834" spans="14:14" x14ac:dyDescent="0.45">
      <c r="N3834" t="s">
        <v>1349</v>
      </c>
    </row>
    <row r="3835" spans="14:14" x14ac:dyDescent="0.45">
      <c r="N3835" t="s">
        <v>1350</v>
      </c>
    </row>
    <row r="3836" spans="14:14" x14ac:dyDescent="0.45">
      <c r="N3836" t="s">
        <v>1351</v>
      </c>
    </row>
    <row r="3837" spans="14:14" x14ac:dyDescent="0.45">
      <c r="N3837" t="s">
        <v>1853</v>
      </c>
    </row>
    <row r="3838" spans="14:14" x14ac:dyDescent="0.45">
      <c r="N3838" t="s">
        <v>1854</v>
      </c>
    </row>
    <row r="3839" spans="14:14" x14ac:dyDescent="0.45">
      <c r="N3839" t="s">
        <v>1347</v>
      </c>
    </row>
    <row r="3840" spans="14:14" x14ac:dyDescent="0.45">
      <c r="N3840" t="s">
        <v>99</v>
      </c>
    </row>
    <row r="3841" spans="14:14" x14ac:dyDescent="0.45">
      <c r="N3841" t="s">
        <v>1363</v>
      </c>
    </row>
    <row r="3842" spans="14:14" x14ac:dyDescent="0.45">
      <c r="N3842" t="s">
        <v>1367</v>
      </c>
    </row>
    <row r="3843" spans="14:14" x14ac:dyDescent="0.45">
      <c r="N3843" t="s">
        <v>1370</v>
      </c>
    </row>
    <row r="3844" spans="14:14" x14ac:dyDescent="0.45">
      <c r="N3844" t="s">
        <v>158</v>
      </c>
    </row>
    <row r="3845" spans="14:14" x14ac:dyDescent="0.45">
      <c r="N3845" t="s">
        <v>1366</v>
      </c>
    </row>
    <row r="3846" spans="14:14" x14ac:dyDescent="0.45">
      <c r="N3846" t="s">
        <v>1359</v>
      </c>
    </row>
    <row r="3847" spans="14:14" x14ac:dyDescent="0.45">
      <c r="N3847" t="s">
        <v>1369</v>
      </c>
    </row>
    <row r="3848" spans="14:14" x14ac:dyDescent="0.45">
      <c r="N3848" t="s">
        <v>1361</v>
      </c>
    </row>
    <row r="3849" spans="14:14" x14ac:dyDescent="0.45">
      <c r="N3849" t="s">
        <v>1364</v>
      </c>
    </row>
    <row r="3850" spans="14:14" x14ac:dyDescent="0.45">
      <c r="N3850" t="s">
        <v>1360</v>
      </c>
    </row>
    <row r="3851" spans="14:14" x14ac:dyDescent="0.45">
      <c r="N3851" t="s">
        <v>1365</v>
      </c>
    </row>
    <row r="3852" spans="14:14" x14ac:dyDescent="0.45">
      <c r="N3852" t="s">
        <v>1362</v>
      </c>
    </row>
    <row r="3853" spans="14:14" x14ac:dyDescent="0.45">
      <c r="N3853" t="s">
        <v>1358</v>
      </c>
    </row>
    <row r="3854" spans="14:14" x14ac:dyDescent="0.45">
      <c r="N3854" t="s">
        <v>1368</v>
      </c>
    </row>
    <row r="3855" spans="14:14" x14ac:dyDescent="0.45">
      <c r="N3855" t="s">
        <v>889</v>
      </c>
    </row>
    <row r="3856" spans="14:14" x14ac:dyDescent="0.45">
      <c r="N3856" t="s">
        <v>1356</v>
      </c>
    </row>
    <row r="3857" spans="14:14" x14ac:dyDescent="0.45">
      <c r="N3857" t="s">
        <v>1355</v>
      </c>
    </row>
    <row r="3858" spans="14:14" x14ac:dyDescent="0.45">
      <c r="N3858" t="s">
        <v>1855</v>
      </c>
    </row>
    <row r="3859" spans="14:14" x14ac:dyDescent="0.45">
      <c r="N3859" t="s">
        <v>298</v>
      </c>
    </row>
    <row r="3860" spans="14:14" x14ac:dyDescent="0.45">
      <c r="N3860" t="s">
        <v>1340</v>
      </c>
    </row>
    <row r="3861" spans="14:14" x14ac:dyDescent="0.45">
      <c r="N3861" t="s">
        <v>1856</v>
      </c>
    </row>
    <row r="3862" spans="14:14" x14ac:dyDescent="0.45">
      <c r="N3862" t="s">
        <v>1337</v>
      </c>
    </row>
    <row r="3863" spans="14:14" x14ac:dyDescent="0.45">
      <c r="N3863" t="s">
        <v>566</v>
      </c>
    </row>
    <row r="3864" spans="14:14" x14ac:dyDescent="0.45">
      <c r="N3864" t="s">
        <v>581</v>
      </c>
    </row>
    <row r="3865" spans="14:14" x14ac:dyDescent="0.45">
      <c r="N3865" t="s">
        <v>650</v>
      </c>
    </row>
    <row r="3866" spans="14:14" x14ac:dyDescent="0.45">
      <c r="N3866" t="s">
        <v>1336</v>
      </c>
    </row>
    <row r="3867" spans="14:14" x14ac:dyDescent="0.45">
      <c r="N3867" t="s">
        <v>1333</v>
      </c>
    </row>
    <row r="3868" spans="14:14" x14ac:dyDescent="0.45">
      <c r="N3868" t="s">
        <v>1338</v>
      </c>
    </row>
    <row r="3869" spans="14:14" x14ac:dyDescent="0.45">
      <c r="N3869" t="s">
        <v>1335</v>
      </c>
    </row>
    <row r="3870" spans="14:14" x14ac:dyDescent="0.45">
      <c r="N3870" t="s">
        <v>1334</v>
      </c>
    </row>
    <row r="3871" spans="14:14" x14ac:dyDescent="0.45">
      <c r="N3871" t="s">
        <v>1843</v>
      </c>
    </row>
    <row r="3872" spans="14:14" x14ac:dyDescent="0.45">
      <c r="N3872" t="s">
        <v>1346</v>
      </c>
    </row>
    <row r="3873" spans="14:14" ht="57" x14ac:dyDescent="0.45">
      <c r="N3873" s="122" t="s">
        <v>1844</v>
      </c>
    </row>
    <row r="3874" spans="14:14" x14ac:dyDescent="0.45">
      <c r="N3874" t="s">
        <v>1845</v>
      </c>
    </row>
    <row r="3875" spans="14:14" x14ac:dyDescent="0.45">
      <c r="N3875" t="s">
        <v>1846</v>
      </c>
    </row>
    <row r="3876" spans="14:14" x14ac:dyDescent="0.45">
      <c r="N3876" t="s">
        <v>1847</v>
      </c>
    </row>
    <row r="3877" spans="14:14" x14ac:dyDescent="0.45">
      <c r="N3877" t="s">
        <v>1848</v>
      </c>
    </row>
    <row r="3878" spans="14:14" x14ac:dyDescent="0.45">
      <c r="N3878" t="s">
        <v>1849</v>
      </c>
    </row>
    <row r="3879" spans="14:14" x14ac:dyDescent="0.45">
      <c r="N3879" t="s">
        <v>1850</v>
      </c>
    </row>
    <row r="3880" spans="14:14" x14ac:dyDescent="0.45">
      <c r="N3880" t="s">
        <v>1851</v>
      </c>
    </row>
    <row r="3881" spans="14:14" x14ac:dyDescent="0.45">
      <c r="N3881" t="s">
        <v>1852</v>
      </c>
    </row>
    <row r="3882" spans="14:14" x14ac:dyDescent="0.45">
      <c r="N3882" t="s">
        <v>1352</v>
      </c>
    </row>
    <row r="3883" spans="14:14" x14ac:dyDescent="0.45">
      <c r="N3883" t="s">
        <v>1344</v>
      </c>
    </row>
    <row r="3884" spans="14:14" x14ac:dyDescent="0.45">
      <c r="N3884" t="s">
        <v>415</v>
      </c>
    </row>
    <row r="3885" spans="14:14" x14ac:dyDescent="0.45">
      <c r="N3885" t="s">
        <v>1078</v>
      </c>
    </row>
    <row r="3886" spans="14:14" x14ac:dyDescent="0.45">
      <c r="N3886" t="s">
        <v>562</v>
      </c>
    </row>
    <row r="3887" spans="14:14" x14ac:dyDescent="0.45">
      <c r="N3887" t="s">
        <v>538</v>
      </c>
    </row>
    <row r="3888" spans="14:14" x14ac:dyDescent="0.45">
      <c r="N3888" t="s">
        <v>1349</v>
      </c>
    </row>
    <row r="3889" spans="14:14" x14ac:dyDescent="0.45">
      <c r="N3889" t="s">
        <v>1350</v>
      </c>
    </row>
    <row r="3890" spans="14:14" x14ac:dyDescent="0.45">
      <c r="N3890" t="s">
        <v>1351</v>
      </c>
    </row>
    <row r="3891" spans="14:14" x14ac:dyDescent="0.45">
      <c r="N3891" t="s">
        <v>1853</v>
      </c>
    </row>
    <row r="3892" spans="14:14" x14ac:dyDescent="0.45">
      <c r="N3892" t="s">
        <v>1854</v>
      </c>
    </row>
    <row r="3893" spans="14:14" x14ac:dyDescent="0.45">
      <c r="N3893" t="s">
        <v>1347</v>
      </c>
    </row>
    <row r="3894" spans="14:14" x14ac:dyDescent="0.45">
      <c r="N3894" t="s">
        <v>99</v>
      </c>
    </row>
    <row r="3895" spans="14:14" x14ac:dyDescent="0.45">
      <c r="N3895" t="s">
        <v>1363</v>
      </c>
    </row>
    <row r="3896" spans="14:14" x14ac:dyDescent="0.45">
      <c r="N3896" t="s">
        <v>1367</v>
      </c>
    </row>
    <row r="3897" spans="14:14" x14ac:dyDescent="0.45">
      <c r="N3897" t="s">
        <v>1370</v>
      </c>
    </row>
    <row r="3898" spans="14:14" x14ac:dyDescent="0.45">
      <c r="N3898" t="s">
        <v>158</v>
      </c>
    </row>
    <row r="3899" spans="14:14" x14ac:dyDescent="0.45">
      <c r="N3899" t="s">
        <v>1366</v>
      </c>
    </row>
    <row r="3900" spans="14:14" x14ac:dyDescent="0.45">
      <c r="N3900" t="s">
        <v>1359</v>
      </c>
    </row>
    <row r="3901" spans="14:14" x14ac:dyDescent="0.45">
      <c r="N3901" t="s">
        <v>1369</v>
      </c>
    </row>
    <row r="3902" spans="14:14" x14ac:dyDescent="0.45">
      <c r="N3902" t="s">
        <v>1361</v>
      </c>
    </row>
    <row r="3903" spans="14:14" x14ac:dyDescent="0.45">
      <c r="N3903" t="s">
        <v>1364</v>
      </c>
    </row>
    <row r="3904" spans="14:14" x14ac:dyDescent="0.45">
      <c r="N3904" t="s">
        <v>1360</v>
      </c>
    </row>
    <row r="3905" spans="14:14" x14ac:dyDescent="0.45">
      <c r="N3905" t="s">
        <v>1365</v>
      </c>
    </row>
    <row r="3906" spans="14:14" x14ac:dyDescent="0.45">
      <c r="N3906" t="s">
        <v>1362</v>
      </c>
    </row>
    <row r="3907" spans="14:14" x14ac:dyDescent="0.45">
      <c r="N3907" t="s">
        <v>1358</v>
      </c>
    </row>
    <row r="3908" spans="14:14" x14ac:dyDescent="0.45">
      <c r="N3908" t="s">
        <v>1368</v>
      </c>
    </row>
    <row r="3909" spans="14:14" x14ac:dyDescent="0.45">
      <c r="N3909" t="s">
        <v>889</v>
      </c>
    </row>
    <row r="3910" spans="14:14" x14ac:dyDescent="0.45">
      <c r="N3910" t="s">
        <v>1356</v>
      </c>
    </row>
    <row r="3911" spans="14:14" x14ac:dyDescent="0.45">
      <c r="N3911" t="s">
        <v>1355</v>
      </c>
    </row>
    <row r="3912" spans="14:14" x14ac:dyDescent="0.45">
      <c r="N3912" t="s">
        <v>1855</v>
      </c>
    </row>
    <row r="3913" spans="14:14" x14ac:dyDescent="0.45">
      <c r="N3913" t="s">
        <v>298</v>
      </c>
    </row>
    <row r="3914" spans="14:14" x14ac:dyDescent="0.45">
      <c r="N3914" t="s">
        <v>1340</v>
      </c>
    </row>
    <row r="3915" spans="14:14" x14ac:dyDescent="0.45">
      <c r="N3915" t="s">
        <v>1856</v>
      </c>
    </row>
    <row r="3916" spans="14:14" x14ac:dyDescent="0.45">
      <c r="N3916" t="s">
        <v>1337</v>
      </c>
    </row>
    <row r="3917" spans="14:14" x14ac:dyDescent="0.45">
      <c r="N3917" t="s">
        <v>566</v>
      </c>
    </row>
    <row r="3918" spans="14:14" x14ac:dyDescent="0.45">
      <c r="N3918" t="s">
        <v>581</v>
      </c>
    </row>
    <row r="3919" spans="14:14" x14ac:dyDescent="0.45">
      <c r="N3919" t="s">
        <v>650</v>
      </c>
    </row>
    <row r="3920" spans="14:14" x14ac:dyDescent="0.45">
      <c r="N3920" t="s">
        <v>1336</v>
      </c>
    </row>
    <row r="3921" spans="14:14" x14ac:dyDescent="0.45">
      <c r="N3921" t="s">
        <v>1333</v>
      </c>
    </row>
    <row r="3922" spans="14:14" x14ac:dyDescent="0.45">
      <c r="N3922" t="s">
        <v>1338</v>
      </c>
    </row>
    <row r="3923" spans="14:14" x14ac:dyDescent="0.45">
      <c r="N3923" t="s">
        <v>1335</v>
      </c>
    </row>
    <row r="3924" spans="14:14" x14ac:dyDescent="0.45">
      <c r="N3924" t="s">
        <v>1334</v>
      </c>
    </row>
    <row r="3925" spans="14:14" x14ac:dyDescent="0.45">
      <c r="N3925" t="s">
        <v>1843</v>
      </c>
    </row>
    <row r="3926" spans="14:14" x14ac:dyDescent="0.45">
      <c r="N3926" t="s">
        <v>1346</v>
      </c>
    </row>
    <row r="3927" spans="14:14" ht="57" x14ac:dyDescent="0.45">
      <c r="N3927" s="122" t="s">
        <v>1844</v>
      </c>
    </row>
    <row r="3928" spans="14:14" x14ac:dyDescent="0.45">
      <c r="N3928" t="s">
        <v>1845</v>
      </c>
    </row>
    <row r="3929" spans="14:14" x14ac:dyDescent="0.45">
      <c r="N3929" t="s">
        <v>1846</v>
      </c>
    </row>
    <row r="3930" spans="14:14" x14ac:dyDescent="0.45">
      <c r="N3930" t="s">
        <v>1847</v>
      </c>
    </row>
    <row r="3931" spans="14:14" x14ac:dyDescent="0.45">
      <c r="N3931" t="s">
        <v>1848</v>
      </c>
    </row>
    <row r="3932" spans="14:14" x14ac:dyDescent="0.45">
      <c r="N3932" t="s">
        <v>1849</v>
      </c>
    </row>
    <row r="3933" spans="14:14" x14ac:dyDescent="0.45">
      <c r="N3933" t="s">
        <v>1850</v>
      </c>
    </row>
    <row r="3934" spans="14:14" x14ac:dyDescent="0.45">
      <c r="N3934" t="s">
        <v>1851</v>
      </c>
    </row>
    <row r="3935" spans="14:14" x14ac:dyDescent="0.45">
      <c r="N3935" t="s">
        <v>1852</v>
      </c>
    </row>
    <row r="3936" spans="14:14" x14ac:dyDescent="0.45">
      <c r="N3936" t="s">
        <v>1352</v>
      </c>
    </row>
    <row r="3937" spans="14:14" x14ac:dyDescent="0.45">
      <c r="N3937" t="s">
        <v>1344</v>
      </c>
    </row>
    <row r="3938" spans="14:14" x14ac:dyDescent="0.45">
      <c r="N3938" t="s">
        <v>415</v>
      </c>
    </row>
    <row r="3939" spans="14:14" x14ac:dyDescent="0.45">
      <c r="N3939" t="s">
        <v>1078</v>
      </c>
    </row>
    <row r="3940" spans="14:14" x14ac:dyDescent="0.45">
      <c r="N3940" t="s">
        <v>562</v>
      </c>
    </row>
    <row r="3941" spans="14:14" x14ac:dyDescent="0.45">
      <c r="N3941" t="s">
        <v>538</v>
      </c>
    </row>
    <row r="3942" spans="14:14" x14ac:dyDescent="0.45">
      <c r="N3942" t="s">
        <v>1349</v>
      </c>
    </row>
    <row r="3943" spans="14:14" x14ac:dyDescent="0.45">
      <c r="N3943" t="s">
        <v>1350</v>
      </c>
    </row>
    <row r="3944" spans="14:14" x14ac:dyDescent="0.45">
      <c r="N3944" t="s">
        <v>1351</v>
      </c>
    </row>
    <row r="3945" spans="14:14" x14ac:dyDescent="0.45">
      <c r="N3945" t="s">
        <v>1853</v>
      </c>
    </row>
    <row r="3946" spans="14:14" x14ac:dyDescent="0.45">
      <c r="N3946" t="s">
        <v>1854</v>
      </c>
    </row>
    <row r="3947" spans="14:14" x14ac:dyDescent="0.45">
      <c r="N3947" t="s">
        <v>1347</v>
      </c>
    </row>
    <row r="3948" spans="14:14" x14ac:dyDescent="0.45">
      <c r="N3948" t="s">
        <v>99</v>
      </c>
    </row>
    <row r="3949" spans="14:14" x14ac:dyDescent="0.45">
      <c r="N3949" t="s">
        <v>1363</v>
      </c>
    </row>
    <row r="3950" spans="14:14" x14ac:dyDescent="0.45">
      <c r="N3950" t="s">
        <v>1367</v>
      </c>
    </row>
    <row r="3951" spans="14:14" x14ac:dyDescent="0.45">
      <c r="N3951" t="s">
        <v>1370</v>
      </c>
    </row>
    <row r="3952" spans="14:14" x14ac:dyDescent="0.45">
      <c r="N3952" t="s">
        <v>158</v>
      </c>
    </row>
    <row r="3953" spans="14:14" x14ac:dyDescent="0.45">
      <c r="N3953" t="s">
        <v>1366</v>
      </c>
    </row>
    <row r="3954" spans="14:14" x14ac:dyDescent="0.45">
      <c r="N3954" t="s">
        <v>1359</v>
      </c>
    </row>
    <row r="3955" spans="14:14" x14ac:dyDescent="0.45">
      <c r="N3955" t="s">
        <v>1369</v>
      </c>
    </row>
    <row r="3956" spans="14:14" x14ac:dyDescent="0.45">
      <c r="N3956" t="s">
        <v>1361</v>
      </c>
    </row>
    <row r="3957" spans="14:14" x14ac:dyDescent="0.45">
      <c r="N3957" t="s">
        <v>1364</v>
      </c>
    </row>
    <row r="3958" spans="14:14" x14ac:dyDescent="0.45">
      <c r="N3958" t="s">
        <v>1360</v>
      </c>
    </row>
    <row r="3959" spans="14:14" x14ac:dyDescent="0.45">
      <c r="N3959" t="s">
        <v>1365</v>
      </c>
    </row>
    <row r="3960" spans="14:14" x14ac:dyDescent="0.45">
      <c r="N3960" t="s">
        <v>1362</v>
      </c>
    </row>
    <row r="3961" spans="14:14" x14ac:dyDescent="0.45">
      <c r="N3961" t="s">
        <v>1358</v>
      </c>
    </row>
    <row r="3962" spans="14:14" x14ac:dyDescent="0.45">
      <c r="N3962" t="s">
        <v>1368</v>
      </c>
    </row>
    <row r="3963" spans="14:14" x14ac:dyDescent="0.45">
      <c r="N3963" t="s">
        <v>889</v>
      </c>
    </row>
    <row r="3964" spans="14:14" x14ac:dyDescent="0.45">
      <c r="N3964" t="s">
        <v>1356</v>
      </c>
    </row>
    <row r="3965" spans="14:14" x14ac:dyDescent="0.45">
      <c r="N3965" t="s">
        <v>1355</v>
      </c>
    </row>
    <row r="3966" spans="14:14" x14ac:dyDescent="0.45">
      <c r="N3966" t="s">
        <v>1855</v>
      </c>
    </row>
    <row r="3967" spans="14:14" x14ac:dyDescent="0.45">
      <c r="N3967" t="s">
        <v>298</v>
      </c>
    </row>
    <row r="3968" spans="14:14" x14ac:dyDescent="0.45">
      <c r="N3968" t="s">
        <v>1340</v>
      </c>
    </row>
    <row r="3969" spans="14:14" x14ac:dyDescent="0.45">
      <c r="N3969" t="s">
        <v>1856</v>
      </c>
    </row>
    <row r="3970" spans="14:14" x14ac:dyDescent="0.45">
      <c r="N3970" t="s">
        <v>1337</v>
      </c>
    </row>
    <row r="3971" spans="14:14" x14ac:dyDescent="0.45">
      <c r="N3971" t="s">
        <v>566</v>
      </c>
    </row>
    <row r="3972" spans="14:14" x14ac:dyDescent="0.45">
      <c r="N3972" t="s">
        <v>581</v>
      </c>
    </row>
    <row r="3973" spans="14:14" x14ac:dyDescent="0.45">
      <c r="N3973" t="s">
        <v>650</v>
      </c>
    </row>
    <row r="3974" spans="14:14" x14ac:dyDescent="0.45">
      <c r="N3974" t="s">
        <v>1336</v>
      </c>
    </row>
    <row r="3975" spans="14:14" x14ac:dyDescent="0.45">
      <c r="N3975" t="s">
        <v>1333</v>
      </c>
    </row>
    <row r="3976" spans="14:14" x14ac:dyDescent="0.45">
      <c r="N3976" t="s">
        <v>1338</v>
      </c>
    </row>
    <row r="3977" spans="14:14" x14ac:dyDescent="0.45">
      <c r="N3977" t="s">
        <v>1335</v>
      </c>
    </row>
    <row r="3978" spans="14:14" x14ac:dyDescent="0.45">
      <c r="N3978" t="s">
        <v>1334</v>
      </c>
    </row>
    <row r="3979" spans="14:14" x14ac:dyDescent="0.45">
      <c r="N3979" t="s">
        <v>1352</v>
      </c>
    </row>
    <row r="3980" spans="14:14" x14ac:dyDescent="0.45">
      <c r="N3980" t="s">
        <v>1850</v>
      </c>
    </row>
    <row r="3981" spans="14:14" x14ac:dyDescent="0.45">
      <c r="N3981" t="s">
        <v>1352</v>
      </c>
    </row>
    <row r="3982" spans="14:14" x14ac:dyDescent="0.45">
      <c r="N3982" t="s">
        <v>1850</v>
      </c>
    </row>
    <row r="3983" spans="14:14" x14ac:dyDescent="0.45">
      <c r="N3983" t="s">
        <v>1851</v>
      </c>
    </row>
    <row r="3984" spans="14:14" x14ac:dyDescent="0.45">
      <c r="N3984" t="s">
        <v>1852</v>
      </c>
    </row>
    <row r="3985" spans="14:14" x14ac:dyDescent="0.45">
      <c r="N3985" t="s">
        <v>1851</v>
      </c>
    </row>
    <row r="3986" spans="14:14" x14ac:dyDescent="0.45">
      <c r="N3986" t="s">
        <v>1852</v>
      </c>
    </row>
    <row r="3987" spans="14:14" x14ac:dyDescent="0.45">
      <c r="N3987" t="s">
        <v>1852</v>
      </c>
    </row>
    <row r="3988" spans="14:14" x14ac:dyDescent="0.45">
      <c r="N3988" t="s">
        <v>1367</v>
      </c>
    </row>
    <row r="3989" spans="14:14" x14ac:dyDescent="0.45">
      <c r="N3989" t="s">
        <v>1367</v>
      </c>
    </row>
    <row r="3990" spans="14:14" x14ac:dyDescent="0.45">
      <c r="N3990" t="s">
        <v>1367</v>
      </c>
    </row>
    <row r="3991" spans="14:14" x14ac:dyDescent="0.45">
      <c r="N3991" t="s">
        <v>1367</v>
      </c>
    </row>
    <row r="3992" spans="14:14" x14ac:dyDescent="0.45">
      <c r="N3992" t="s">
        <v>1367</v>
      </c>
    </row>
    <row r="3993" spans="14:14" x14ac:dyDescent="0.45">
      <c r="N3993" t="s">
        <v>1367</v>
      </c>
    </row>
    <row r="3994" spans="14:14" x14ac:dyDescent="0.45">
      <c r="N3994" t="s">
        <v>1367</v>
      </c>
    </row>
    <row r="3995" spans="14:14" x14ac:dyDescent="0.45">
      <c r="N3995" t="s">
        <v>889</v>
      </c>
    </row>
    <row r="3996" spans="14:14" x14ac:dyDescent="0.45">
      <c r="N3996" t="s">
        <v>889</v>
      </c>
    </row>
    <row r="3997" spans="14:14" x14ac:dyDescent="0.45">
      <c r="N3997" t="s">
        <v>889</v>
      </c>
    </row>
    <row r="3998" spans="14:14" x14ac:dyDescent="0.45">
      <c r="N3998" t="s">
        <v>889</v>
      </c>
    </row>
    <row r="3999" spans="14:14" x14ac:dyDescent="0.45">
      <c r="N3999" t="s">
        <v>298</v>
      </c>
    </row>
    <row r="4000" spans="14:14" x14ac:dyDescent="0.45">
      <c r="N4000" t="s">
        <v>298</v>
      </c>
    </row>
    <row r="4001" spans="14:14" x14ac:dyDescent="0.45">
      <c r="N4001" t="s">
        <v>1340</v>
      </c>
    </row>
    <row r="4002" spans="14:14" x14ac:dyDescent="0.45">
      <c r="N4002" t="s">
        <v>1340</v>
      </c>
    </row>
    <row r="4003" spans="14:14" x14ac:dyDescent="0.45">
      <c r="N4003" t="s">
        <v>1352</v>
      </c>
    </row>
    <row r="4004" spans="14:14" x14ac:dyDescent="0.45">
      <c r="N4004" t="s">
        <v>1850</v>
      </c>
    </row>
    <row r="4005" spans="14:14" x14ac:dyDescent="0.45">
      <c r="N4005" t="s">
        <v>1352</v>
      </c>
    </row>
    <row r="4006" spans="14:14" x14ac:dyDescent="0.45">
      <c r="N4006" t="s">
        <v>1850</v>
      </c>
    </row>
    <row r="4007" spans="14:14" x14ac:dyDescent="0.45">
      <c r="N4007" t="s">
        <v>1851</v>
      </c>
    </row>
    <row r="4008" spans="14:14" x14ac:dyDescent="0.45">
      <c r="N4008" t="s">
        <v>1852</v>
      </c>
    </row>
    <row r="4009" spans="14:14" x14ac:dyDescent="0.45">
      <c r="N4009" t="s">
        <v>1851</v>
      </c>
    </row>
    <row r="4010" spans="14:14" x14ac:dyDescent="0.45">
      <c r="N4010" t="s">
        <v>1852</v>
      </c>
    </row>
    <row r="4011" spans="14:14" x14ac:dyDescent="0.45">
      <c r="N4011" t="s">
        <v>1367</v>
      </c>
    </row>
    <row r="4012" spans="14:14" x14ac:dyDescent="0.45">
      <c r="N4012" t="s">
        <v>1367</v>
      </c>
    </row>
    <row r="4013" spans="14:14" x14ac:dyDescent="0.45">
      <c r="N4013" t="s">
        <v>1367</v>
      </c>
    </row>
    <row r="4014" spans="14:14" x14ac:dyDescent="0.45">
      <c r="N4014" t="s">
        <v>1367</v>
      </c>
    </row>
    <row r="4015" spans="14:14" x14ac:dyDescent="0.45">
      <c r="N4015" t="s">
        <v>1367</v>
      </c>
    </row>
    <row r="4016" spans="14:14" x14ac:dyDescent="0.45">
      <c r="N4016" t="s">
        <v>1367</v>
      </c>
    </row>
    <row r="4017" spans="14:14" x14ac:dyDescent="0.45">
      <c r="N4017" t="s">
        <v>1367</v>
      </c>
    </row>
    <row r="4018" spans="14:14" x14ac:dyDescent="0.45">
      <c r="N4018" t="s">
        <v>158</v>
      </c>
    </row>
    <row r="4019" spans="14:14" x14ac:dyDescent="0.45">
      <c r="N4019" t="s">
        <v>889</v>
      </c>
    </row>
    <row r="4020" spans="14:14" x14ac:dyDescent="0.45">
      <c r="N4020" t="s">
        <v>889</v>
      </c>
    </row>
    <row r="4021" spans="14:14" x14ac:dyDescent="0.45">
      <c r="N4021" t="s">
        <v>889</v>
      </c>
    </row>
    <row r="4022" spans="14:14" x14ac:dyDescent="0.45">
      <c r="N4022" t="s">
        <v>298</v>
      </c>
    </row>
    <row r="4023" spans="14:14" x14ac:dyDescent="0.45">
      <c r="N4023" t="s">
        <v>298</v>
      </c>
    </row>
    <row r="4024" spans="14:14" x14ac:dyDescent="0.45">
      <c r="N4024" t="s">
        <v>1340</v>
      </c>
    </row>
    <row r="4025" spans="14:14" x14ac:dyDescent="0.45">
      <c r="N4025" t="s">
        <v>1340</v>
      </c>
    </row>
    <row r="4026" spans="14:14" x14ac:dyDescent="0.45">
      <c r="N4026" t="s">
        <v>1352</v>
      </c>
    </row>
    <row r="4027" spans="14:14" x14ac:dyDescent="0.45">
      <c r="N4027" t="s">
        <v>1851</v>
      </c>
    </row>
    <row r="4028" spans="14:14" x14ac:dyDescent="0.45">
      <c r="N4028" t="s">
        <v>1852</v>
      </c>
    </row>
    <row r="4029" spans="14:14" x14ac:dyDescent="0.45">
      <c r="N4029" t="s">
        <v>1852</v>
      </c>
    </row>
    <row r="4030" spans="14:14" x14ac:dyDescent="0.45">
      <c r="N4030" t="s">
        <v>1344</v>
      </c>
    </row>
    <row r="4031" spans="14:14" x14ac:dyDescent="0.45">
      <c r="N4031" t="s">
        <v>1367</v>
      </c>
    </row>
    <row r="4032" spans="14:14" x14ac:dyDescent="0.45">
      <c r="N4032" t="s">
        <v>1370</v>
      </c>
    </row>
    <row r="4033" spans="14:14" x14ac:dyDescent="0.45">
      <c r="N4033" t="s">
        <v>1367</v>
      </c>
    </row>
    <row r="4034" spans="14:14" x14ac:dyDescent="0.45">
      <c r="N4034" t="s">
        <v>1370</v>
      </c>
    </row>
    <row r="4035" spans="14:14" x14ac:dyDescent="0.45">
      <c r="N4035" t="s">
        <v>1367</v>
      </c>
    </row>
    <row r="4036" spans="14:14" x14ac:dyDescent="0.45">
      <c r="N4036" t="s">
        <v>1370</v>
      </c>
    </row>
    <row r="4037" spans="14:14" x14ac:dyDescent="0.45">
      <c r="N4037" t="s">
        <v>1367</v>
      </c>
    </row>
    <row r="4038" spans="14:14" x14ac:dyDescent="0.45">
      <c r="N4038" t="s">
        <v>1370</v>
      </c>
    </row>
    <row r="4039" spans="14:14" x14ac:dyDescent="0.45">
      <c r="N4039" t="s">
        <v>1367</v>
      </c>
    </row>
    <row r="4040" spans="14:14" x14ac:dyDescent="0.45">
      <c r="N4040" t="s">
        <v>1370</v>
      </c>
    </row>
    <row r="4041" spans="14:14" x14ac:dyDescent="0.45">
      <c r="N4041" t="s">
        <v>1367</v>
      </c>
    </row>
    <row r="4042" spans="14:14" x14ac:dyDescent="0.45">
      <c r="N4042" t="s">
        <v>1367</v>
      </c>
    </row>
    <row r="4043" spans="14:14" x14ac:dyDescent="0.45">
      <c r="N4043" t="s">
        <v>1370</v>
      </c>
    </row>
    <row r="4044" spans="14:14" x14ac:dyDescent="0.45">
      <c r="N4044" t="s">
        <v>1367</v>
      </c>
    </row>
    <row r="4045" spans="14:14" x14ac:dyDescent="0.45">
      <c r="N4045" t="s">
        <v>1370</v>
      </c>
    </row>
    <row r="4046" spans="14:14" x14ac:dyDescent="0.45">
      <c r="N4046" t="s">
        <v>889</v>
      </c>
    </row>
    <row r="4047" spans="14:14" x14ac:dyDescent="0.45">
      <c r="N4047" t="s">
        <v>889</v>
      </c>
    </row>
    <row r="4048" spans="14:14" x14ac:dyDescent="0.45">
      <c r="N4048" t="s">
        <v>889</v>
      </c>
    </row>
    <row r="4049" spans="14:14" x14ac:dyDescent="0.45">
      <c r="N4049" t="s">
        <v>889</v>
      </c>
    </row>
    <row r="4050" spans="14:14" x14ac:dyDescent="0.45">
      <c r="N4050" t="s">
        <v>889</v>
      </c>
    </row>
    <row r="4051" spans="14:14" x14ac:dyDescent="0.45">
      <c r="N4051" t="s">
        <v>1340</v>
      </c>
    </row>
    <row r="4052" spans="14:14" x14ac:dyDescent="0.45">
      <c r="N4052" t="s">
        <v>1352</v>
      </c>
    </row>
    <row r="4053" spans="14:14" x14ac:dyDescent="0.45">
      <c r="N4053" t="s">
        <v>1851</v>
      </c>
    </row>
    <row r="4054" spans="14:14" x14ac:dyDescent="0.45">
      <c r="N4054" t="s">
        <v>1852</v>
      </c>
    </row>
    <row r="4055" spans="14:14" x14ac:dyDescent="0.45">
      <c r="N4055" t="s">
        <v>1344</v>
      </c>
    </row>
    <row r="4056" spans="14:14" x14ac:dyDescent="0.45">
      <c r="N4056" t="s">
        <v>1367</v>
      </c>
    </row>
    <row r="4057" spans="14:14" x14ac:dyDescent="0.45">
      <c r="N4057" t="s">
        <v>1370</v>
      </c>
    </row>
    <row r="4058" spans="14:14" x14ac:dyDescent="0.45">
      <c r="N4058" t="s">
        <v>1367</v>
      </c>
    </row>
    <row r="4059" spans="14:14" x14ac:dyDescent="0.45">
      <c r="N4059" t="s">
        <v>1370</v>
      </c>
    </row>
    <row r="4060" spans="14:14" x14ac:dyDescent="0.45">
      <c r="N4060" t="s">
        <v>1367</v>
      </c>
    </row>
    <row r="4061" spans="14:14" x14ac:dyDescent="0.45">
      <c r="N4061" t="s">
        <v>1370</v>
      </c>
    </row>
    <row r="4062" spans="14:14" x14ac:dyDescent="0.45">
      <c r="N4062" t="s">
        <v>1367</v>
      </c>
    </row>
    <row r="4063" spans="14:14" x14ac:dyDescent="0.45">
      <c r="N4063" t="s">
        <v>1370</v>
      </c>
    </row>
    <row r="4064" spans="14:14" x14ac:dyDescent="0.45">
      <c r="N4064" t="s">
        <v>1367</v>
      </c>
    </row>
    <row r="4065" spans="14:14" x14ac:dyDescent="0.45">
      <c r="N4065" t="s">
        <v>1370</v>
      </c>
    </row>
    <row r="4066" spans="14:14" x14ac:dyDescent="0.45">
      <c r="N4066" t="s">
        <v>1367</v>
      </c>
    </row>
    <row r="4067" spans="14:14" x14ac:dyDescent="0.45">
      <c r="N4067" t="s">
        <v>1367</v>
      </c>
    </row>
    <row r="4068" spans="14:14" x14ac:dyDescent="0.45">
      <c r="N4068" t="s">
        <v>1370</v>
      </c>
    </row>
    <row r="4069" spans="14:14" x14ac:dyDescent="0.45">
      <c r="N4069" t="s">
        <v>1367</v>
      </c>
    </row>
    <row r="4070" spans="14:14" x14ac:dyDescent="0.45">
      <c r="N4070" t="s">
        <v>1370</v>
      </c>
    </row>
    <row r="4071" spans="14:14" x14ac:dyDescent="0.45">
      <c r="N4071" t="s">
        <v>889</v>
      </c>
    </row>
    <row r="4072" spans="14:14" x14ac:dyDescent="0.45">
      <c r="N4072" t="s">
        <v>889</v>
      </c>
    </row>
    <row r="4073" spans="14:14" x14ac:dyDescent="0.45">
      <c r="N4073" t="s">
        <v>1340</v>
      </c>
    </row>
    <row r="4074" spans="14:14" x14ac:dyDescent="0.45">
      <c r="N4074" t="s">
        <v>889</v>
      </c>
    </row>
    <row r="4075" spans="14:14" x14ac:dyDescent="0.45">
      <c r="N4075" t="s">
        <v>1851</v>
      </c>
    </row>
    <row r="4076" spans="14:14" x14ac:dyDescent="0.45">
      <c r="N4076" t="s">
        <v>1367</v>
      </c>
    </row>
    <row r="4077" spans="14:14" x14ac:dyDescent="0.45">
      <c r="N4077" t="s">
        <v>1363</v>
      </c>
    </row>
    <row r="4078" spans="14:14" x14ac:dyDescent="0.45">
      <c r="N4078" t="s">
        <v>889</v>
      </c>
    </row>
    <row r="4079" spans="14:14" x14ac:dyDescent="0.45">
      <c r="N4079" t="s">
        <v>1851</v>
      </c>
    </row>
    <row r="4080" spans="14:14" x14ac:dyDescent="0.45">
      <c r="N4080" t="s">
        <v>1367</v>
      </c>
    </row>
    <row r="4081" spans="14:14" x14ac:dyDescent="0.45">
      <c r="N4081" t="s">
        <v>1352</v>
      </c>
    </row>
    <row r="4082" spans="14:14" x14ac:dyDescent="0.45">
      <c r="N4082" t="s">
        <v>1851</v>
      </c>
    </row>
    <row r="4083" spans="14:14" x14ac:dyDescent="0.45">
      <c r="N4083" t="s">
        <v>1852</v>
      </c>
    </row>
    <row r="4084" spans="14:14" x14ac:dyDescent="0.45">
      <c r="N4084" t="s">
        <v>1347</v>
      </c>
    </row>
    <row r="4085" spans="14:14" x14ac:dyDescent="0.45">
      <c r="N4085" t="s">
        <v>1344</v>
      </c>
    </row>
    <row r="4086" spans="14:14" x14ac:dyDescent="0.45">
      <c r="N4086" t="s">
        <v>1849</v>
      </c>
    </row>
    <row r="4087" spans="14:14" x14ac:dyDescent="0.45">
      <c r="N4087" t="s">
        <v>1344</v>
      </c>
    </row>
    <row r="4088" spans="14:14" x14ac:dyDescent="0.45">
      <c r="N4088" t="s">
        <v>99</v>
      </c>
    </row>
    <row r="4089" spans="14:14" x14ac:dyDescent="0.45">
      <c r="N4089" t="s">
        <v>1367</v>
      </c>
    </row>
    <row r="4090" spans="14:14" x14ac:dyDescent="0.45">
      <c r="N4090" t="s">
        <v>889</v>
      </c>
    </row>
    <row r="4091" spans="14:14" x14ac:dyDescent="0.45">
      <c r="N4091" t="s">
        <v>1340</v>
      </c>
    </row>
    <row r="4092" spans="14:14" x14ac:dyDescent="0.45">
      <c r="N4092" t="s">
        <v>1340</v>
      </c>
    </row>
    <row r="4093" spans="14:14" x14ac:dyDescent="0.45">
      <c r="N4093" t="s">
        <v>1340</v>
      </c>
    </row>
    <row r="4094" spans="14:14" x14ac:dyDescent="0.45">
      <c r="N4094" t="s">
        <v>1340</v>
      </c>
    </row>
    <row r="4095" spans="14:14" x14ac:dyDescent="0.45">
      <c r="N4095" t="s">
        <v>1340</v>
      </c>
    </row>
    <row r="4096" spans="14:14" x14ac:dyDescent="0.45">
      <c r="N4096" t="s">
        <v>566</v>
      </c>
    </row>
    <row r="4097" spans="14:14" x14ac:dyDescent="0.45">
      <c r="N4097" t="s">
        <v>1337</v>
      </c>
    </row>
    <row r="4098" spans="14:14" x14ac:dyDescent="0.45">
      <c r="N4098" t="s">
        <v>1337</v>
      </c>
    </row>
    <row r="4099" spans="14:14" x14ac:dyDescent="0.45">
      <c r="N4099" t="s">
        <v>1347</v>
      </c>
    </row>
    <row r="4100" spans="14:14" x14ac:dyDescent="0.45">
      <c r="N4100" t="s">
        <v>1849</v>
      </c>
    </row>
    <row r="4101" spans="14:14" x14ac:dyDescent="0.45">
      <c r="N4101" t="s">
        <v>1344</v>
      </c>
    </row>
    <row r="4102" spans="14:14" x14ac:dyDescent="0.45">
      <c r="N4102" t="s">
        <v>889</v>
      </c>
    </row>
    <row r="4103" spans="14:14" x14ac:dyDescent="0.45">
      <c r="N4103" t="s">
        <v>1340</v>
      </c>
    </row>
    <row r="4104" spans="14:14" x14ac:dyDescent="0.45">
      <c r="N4104" t="s">
        <v>1340</v>
      </c>
    </row>
    <row r="4105" spans="14:14" x14ac:dyDescent="0.45">
      <c r="N4105" t="s">
        <v>566</v>
      </c>
    </row>
    <row r="4106" spans="14:14" x14ac:dyDescent="0.45">
      <c r="N4106" t="s">
        <v>1337</v>
      </c>
    </row>
    <row r="4107" spans="14:14" x14ac:dyDescent="0.45">
      <c r="N4107" t="s">
        <v>1337</v>
      </c>
    </row>
    <row r="4108" spans="14:14" x14ac:dyDescent="0.45">
      <c r="N4108" t="s">
        <v>1352</v>
      </c>
    </row>
    <row r="4109" spans="14:14" x14ac:dyDescent="0.45">
      <c r="N4109" t="s">
        <v>1851</v>
      </c>
    </row>
    <row r="4110" spans="14:14" x14ac:dyDescent="0.45">
      <c r="N4110" t="s">
        <v>1852</v>
      </c>
    </row>
    <row r="4111" spans="14:14" x14ac:dyDescent="0.45">
      <c r="N4111" t="s">
        <v>1344</v>
      </c>
    </row>
    <row r="4112" spans="14:14" x14ac:dyDescent="0.45">
      <c r="N4112" t="s">
        <v>1367</v>
      </c>
    </row>
    <row r="4113" spans="14:14" x14ac:dyDescent="0.45">
      <c r="N4113" t="s">
        <v>1370</v>
      </c>
    </row>
    <row r="4114" spans="14:14" x14ac:dyDescent="0.45">
      <c r="N4114" t="s">
        <v>1367</v>
      </c>
    </row>
    <row r="4115" spans="14:14" x14ac:dyDescent="0.45">
      <c r="N4115" t="s">
        <v>1370</v>
      </c>
    </row>
    <row r="4116" spans="14:14" x14ac:dyDescent="0.45">
      <c r="N4116" t="s">
        <v>1367</v>
      </c>
    </row>
    <row r="4117" spans="14:14" x14ac:dyDescent="0.45">
      <c r="N4117" t="s">
        <v>1370</v>
      </c>
    </row>
    <row r="4118" spans="14:14" x14ac:dyDescent="0.45">
      <c r="N4118" t="s">
        <v>1367</v>
      </c>
    </row>
    <row r="4119" spans="14:14" x14ac:dyDescent="0.45">
      <c r="N4119" t="s">
        <v>1370</v>
      </c>
    </row>
    <row r="4120" spans="14:14" x14ac:dyDescent="0.45">
      <c r="N4120" t="s">
        <v>1367</v>
      </c>
    </row>
    <row r="4121" spans="14:14" x14ac:dyDescent="0.45">
      <c r="N4121" t="s">
        <v>1370</v>
      </c>
    </row>
    <row r="4122" spans="14:14" x14ac:dyDescent="0.45">
      <c r="N4122" t="s">
        <v>1367</v>
      </c>
    </row>
    <row r="4123" spans="14:14" x14ac:dyDescent="0.45">
      <c r="N4123" t="s">
        <v>1370</v>
      </c>
    </row>
    <row r="4124" spans="14:14" x14ac:dyDescent="0.45">
      <c r="N4124" t="s">
        <v>1367</v>
      </c>
    </row>
    <row r="4125" spans="14:14" x14ac:dyDescent="0.45">
      <c r="N4125" t="s">
        <v>1367</v>
      </c>
    </row>
    <row r="4126" spans="14:14" x14ac:dyDescent="0.45">
      <c r="N4126" t="s">
        <v>1370</v>
      </c>
    </row>
    <row r="4127" spans="14:14" x14ac:dyDescent="0.45">
      <c r="N4127" t="s">
        <v>1367</v>
      </c>
    </row>
    <row r="4128" spans="14:14" x14ac:dyDescent="0.45">
      <c r="N4128" t="s">
        <v>1370</v>
      </c>
    </row>
    <row r="4129" spans="14:14" x14ac:dyDescent="0.45">
      <c r="N4129" t="s">
        <v>889</v>
      </c>
    </row>
    <row r="4130" spans="14:14" x14ac:dyDescent="0.45">
      <c r="N4130" t="s">
        <v>889</v>
      </c>
    </row>
    <row r="4131" spans="14:14" x14ac:dyDescent="0.45">
      <c r="N4131" t="s">
        <v>1340</v>
      </c>
    </row>
    <row r="4132" spans="14:14" x14ac:dyDescent="0.45">
      <c r="N4132" t="s">
        <v>1352</v>
      </c>
    </row>
    <row r="4133" spans="14:14" x14ac:dyDescent="0.45">
      <c r="N4133" t="s">
        <v>1851</v>
      </c>
    </row>
    <row r="4134" spans="14:14" x14ac:dyDescent="0.45">
      <c r="N4134" t="s">
        <v>1852</v>
      </c>
    </row>
    <row r="4135" spans="14:14" x14ac:dyDescent="0.45">
      <c r="N4135" t="s">
        <v>1344</v>
      </c>
    </row>
    <row r="4136" spans="14:14" x14ac:dyDescent="0.45">
      <c r="N4136" t="s">
        <v>1367</v>
      </c>
    </row>
    <row r="4137" spans="14:14" x14ac:dyDescent="0.45">
      <c r="N4137" t="s">
        <v>1370</v>
      </c>
    </row>
    <row r="4138" spans="14:14" x14ac:dyDescent="0.45">
      <c r="N4138" t="s">
        <v>1367</v>
      </c>
    </row>
    <row r="4139" spans="14:14" x14ac:dyDescent="0.45">
      <c r="N4139" t="s">
        <v>1370</v>
      </c>
    </row>
    <row r="4140" spans="14:14" x14ac:dyDescent="0.45">
      <c r="N4140" t="s">
        <v>1367</v>
      </c>
    </row>
    <row r="4141" spans="14:14" x14ac:dyDescent="0.45">
      <c r="N4141" t="s">
        <v>1370</v>
      </c>
    </row>
    <row r="4142" spans="14:14" x14ac:dyDescent="0.45">
      <c r="N4142" t="s">
        <v>1367</v>
      </c>
    </row>
    <row r="4143" spans="14:14" x14ac:dyDescent="0.45">
      <c r="N4143" t="s">
        <v>1370</v>
      </c>
    </row>
    <row r="4144" spans="14:14" x14ac:dyDescent="0.45">
      <c r="N4144" t="s">
        <v>1367</v>
      </c>
    </row>
    <row r="4145" spans="14:14" x14ac:dyDescent="0.45">
      <c r="N4145" t="s">
        <v>1370</v>
      </c>
    </row>
    <row r="4146" spans="14:14" x14ac:dyDescent="0.45">
      <c r="N4146" t="s">
        <v>1367</v>
      </c>
    </row>
    <row r="4147" spans="14:14" x14ac:dyDescent="0.45">
      <c r="N4147" t="s">
        <v>1370</v>
      </c>
    </row>
    <row r="4148" spans="14:14" x14ac:dyDescent="0.45">
      <c r="N4148" t="s">
        <v>1367</v>
      </c>
    </row>
    <row r="4149" spans="14:14" x14ac:dyDescent="0.45">
      <c r="N4149" t="s">
        <v>1367</v>
      </c>
    </row>
    <row r="4150" spans="14:14" x14ac:dyDescent="0.45">
      <c r="N4150" t="s">
        <v>1370</v>
      </c>
    </row>
    <row r="4151" spans="14:14" x14ac:dyDescent="0.45">
      <c r="N4151" t="s">
        <v>1367</v>
      </c>
    </row>
    <row r="4152" spans="14:14" x14ac:dyDescent="0.45">
      <c r="N4152" t="s">
        <v>1370</v>
      </c>
    </row>
    <row r="4153" spans="14:14" x14ac:dyDescent="0.45">
      <c r="N4153" t="s">
        <v>889</v>
      </c>
    </row>
    <row r="4154" spans="14:14" x14ac:dyDescent="0.45">
      <c r="N4154" t="s">
        <v>889</v>
      </c>
    </row>
    <row r="4155" spans="14:14" x14ac:dyDescent="0.45">
      <c r="N4155" t="s">
        <v>1340</v>
      </c>
    </row>
    <row r="4156" spans="14:14" x14ac:dyDescent="0.45">
      <c r="N4156" t="s">
        <v>1845</v>
      </c>
    </row>
    <row r="4157" spans="14:14" x14ac:dyDescent="0.45">
      <c r="N4157" t="s">
        <v>1845</v>
      </c>
    </row>
    <row r="4158" spans="14:14" x14ac:dyDescent="0.45">
      <c r="N4158" t="s">
        <v>1845</v>
      </c>
    </row>
    <row r="4159" spans="14:14" x14ac:dyDescent="0.45">
      <c r="N4159" t="s">
        <v>1851</v>
      </c>
    </row>
    <row r="4160" spans="14:14" x14ac:dyDescent="0.45">
      <c r="N4160" t="s">
        <v>1852</v>
      </c>
    </row>
    <row r="4161" spans="14:14" x14ac:dyDescent="0.45">
      <c r="N4161" t="s">
        <v>889</v>
      </c>
    </row>
    <row r="4162" spans="14:14" x14ac:dyDescent="0.45">
      <c r="N4162" t="s">
        <v>1344</v>
      </c>
    </row>
    <row r="4163" spans="14:14" x14ac:dyDescent="0.45">
      <c r="N4163" t="s">
        <v>581</v>
      </c>
    </row>
    <row r="4164" spans="14:14" x14ac:dyDescent="0.45">
      <c r="N4164" t="s">
        <v>581</v>
      </c>
    </row>
    <row r="4165" spans="14:14" x14ac:dyDescent="0.45">
      <c r="N4165" t="s">
        <v>1845</v>
      </c>
    </row>
    <row r="4166" spans="14:14" x14ac:dyDescent="0.45">
      <c r="N4166" t="s">
        <v>1845</v>
      </c>
    </row>
    <row r="4167" spans="14:14" x14ac:dyDescent="0.45">
      <c r="N4167" t="s">
        <v>1845</v>
      </c>
    </row>
    <row r="4168" spans="14:14" x14ac:dyDescent="0.45">
      <c r="N4168" t="s">
        <v>1851</v>
      </c>
    </row>
    <row r="4169" spans="14:14" x14ac:dyDescent="0.45">
      <c r="N4169" t="s">
        <v>1852</v>
      </c>
    </row>
    <row r="4170" spans="14:14" x14ac:dyDescent="0.45">
      <c r="N4170" t="s">
        <v>889</v>
      </c>
    </row>
    <row r="4171" spans="14:14" x14ac:dyDescent="0.45">
      <c r="N4171" t="s">
        <v>1344</v>
      </c>
    </row>
    <row r="4172" spans="14:14" x14ac:dyDescent="0.45">
      <c r="N4172" t="s">
        <v>581</v>
      </c>
    </row>
    <row r="4173" spans="14:14" x14ac:dyDescent="0.45">
      <c r="N4173" t="s">
        <v>1845</v>
      </c>
    </row>
    <row r="4174" spans="14:14" x14ac:dyDescent="0.45">
      <c r="N4174" t="s">
        <v>1845</v>
      </c>
    </row>
    <row r="4175" spans="14:14" x14ac:dyDescent="0.45">
      <c r="N4175" t="s">
        <v>1845</v>
      </c>
    </row>
    <row r="4176" spans="14:14" x14ac:dyDescent="0.45">
      <c r="N4176" t="s">
        <v>1845</v>
      </c>
    </row>
    <row r="4177" spans="14:14" x14ac:dyDescent="0.45">
      <c r="N4177" t="s">
        <v>1845</v>
      </c>
    </row>
    <row r="4178" spans="14:14" x14ac:dyDescent="0.45">
      <c r="N4178" t="s">
        <v>1845</v>
      </c>
    </row>
    <row r="4179" spans="14:14" x14ac:dyDescent="0.45">
      <c r="N4179" t="s">
        <v>1845</v>
      </c>
    </row>
    <row r="4180" spans="14:14" x14ac:dyDescent="0.45">
      <c r="N4180" t="s">
        <v>1845</v>
      </c>
    </row>
    <row r="4181" spans="14:14" x14ac:dyDescent="0.45">
      <c r="N4181" t="s">
        <v>1845</v>
      </c>
    </row>
    <row r="4182" spans="14:14" x14ac:dyDescent="0.45">
      <c r="N4182" t="s">
        <v>1845</v>
      </c>
    </row>
    <row r="4183" spans="14:14" x14ac:dyDescent="0.45">
      <c r="N4183" t="s">
        <v>1845</v>
      </c>
    </row>
    <row r="4184" spans="14:14" x14ac:dyDescent="0.45">
      <c r="N4184" t="s">
        <v>1845</v>
      </c>
    </row>
    <row r="4185" spans="14:14" x14ac:dyDescent="0.45">
      <c r="N4185" t="s">
        <v>1852</v>
      </c>
    </row>
    <row r="4186" spans="14:14" x14ac:dyDescent="0.45">
      <c r="N4186" t="s">
        <v>1852</v>
      </c>
    </row>
    <row r="4187" spans="14:14" x14ac:dyDescent="0.45">
      <c r="N4187" t="s">
        <v>1852</v>
      </c>
    </row>
    <row r="4188" spans="14:14" x14ac:dyDescent="0.45">
      <c r="N4188" t="s">
        <v>1852</v>
      </c>
    </row>
    <row r="4189" spans="14:14" x14ac:dyDescent="0.45">
      <c r="N4189" t="s">
        <v>1852</v>
      </c>
    </row>
    <row r="4190" spans="14:14" x14ac:dyDescent="0.45">
      <c r="N4190" t="s">
        <v>1852</v>
      </c>
    </row>
    <row r="4191" spans="14:14" x14ac:dyDescent="0.45">
      <c r="N4191" t="s">
        <v>1845</v>
      </c>
    </row>
    <row r="4192" spans="14:14" x14ac:dyDescent="0.45">
      <c r="N4192" t="s">
        <v>1845</v>
      </c>
    </row>
    <row r="4193" spans="14:14" x14ac:dyDescent="0.45">
      <c r="N4193" t="s">
        <v>1845</v>
      </c>
    </row>
    <row r="4194" spans="14:14" x14ac:dyDescent="0.45">
      <c r="N4194" t="s">
        <v>1845</v>
      </c>
    </row>
    <row r="4195" spans="14:14" x14ac:dyDescent="0.45">
      <c r="N4195" t="s">
        <v>1845</v>
      </c>
    </row>
    <row r="4196" spans="14:14" x14ac:dyDescent="0.45">
      <c r="N4196" t="s">
        <v>1845</v>
      </c>
    </row>
    <row r="4197" spans="14:14" x14ac:dyDescent="0.45">
      <c r="N4197" t="s">
        <v>1845</v>
      </c>
    </row>
    <row r="4198" spans="14:14" x14ac:dyDescent="0.45">
      <c r="N4198" t="s">
        <v>1845</v>
      </c>
    </row>
    <row r="4199" spans="14:14" x14ac:dyDescent="0.45">
      <c r="N4199" t="s">
        <v>1845</v>
      </c>
    </row>
    <row r="4200" spans="14:14" x14ac:dyDescent="0.45">
      <c r="N4200" t="s">
        <v>1845</v>
      </c>
    </row>
    <row r="4201" spans="14:14" x14ac:dyDescent="0.45">
      <c r="N4201" t="s">
        <v>1845</v>
      </c>
    </row>
    <row r="4202" spans="14:14" x14ac:dyDescent="0.45">
      <c r="N4202" t="s">
        <v>1845</v>
      </c>
    </row>
    <row r="4203" spans="14:14" x14ac:dyDescent="0.45">
      <c r="N4203" t="s">
        <v>1852</v>
      </c>
    </row>
    <row r="4204" spans="14:14" x14ac:dyDescent="0.45">
      <c r="N4204" t="s">
        <v>1852</v>
      </c>
    </row>
    <row r="4205" spans="14:14" x14ac:dyDescent="0.45">
      <c r="N4205" t="s">
        <v>1852</v>
      </c>
    </row>
    <row r="4206" spans="14:14" x14ac:dyDescent="0.45">
      <c r="N4206" t="s">
        <v>1852</v>
      </c>
    </row>
    <row r="4207" spans="14:14" x14ac:dyDescent="0.45">
      <c r="N4207" t="s">
        <v>1845</v>
      </c>
    </row>
    <row r="4208" spans="14:14" x14ac:dyDescent="0.45">
      <c r="N4208" t="s">
        <v>1845</v>
      </c>
    </row>
    <row r="4209" spans="14:14" x14ac:dyDescent="0.45">
      <c r="N4209" t="s">
        <v>1845</v>
      </c>
    </row>
    <row r="4210" spans="14:14" x14ac:dyDescent="0.45">
      <c r="N4210" t="s">
        <v>1845</v>
      </c>
    </row>
    <row r="4211" spans="14:14" x14ac:dyDescent="0.45">
      <c r="N4211" t="s">
        <v>1845</v>
      </c>
    </row>
    <row r="4212" spans="14:14" x14ac:dyDescent="0.45">
      <c r="N4212" t="s">
        <v>1845</v>
      </c>
    </row>
    <row r="4213" spans="14:14" x14ac:dyDescent="0.45">
      <c r="N4213" t="s">
        <v>1845</v>
      </c>
    </row>
    <row r="4214" spans="14:14" x14ac:dyDescent="0.45">
      <c r="N4214" t="s">
        <v>1845</v>
      </c>
    </row>
    <row r="4215" spans="14:14" x14ac:dyDescent="0.45">
      <c r="N4215" t="s">
        <v>1845</v>
      </c>
    </row>
    <row r="4216" spans="14:14" x14ac:dyDescent="0.45">
      <c r="N4216" t="s">
        <v>1845</v>
      </c>
    </row>
    <row r="4217" spans="14:14" x14ac:dyDescent="0.45">
      <c r="N4217" t="s">
        <v>1845</v>
      </c>
    </row>
    <row r="4218" spans="14:14" x14ac:dyDescent="0.45">
      <c r="N4218" t="s">
        <v>1845</v>
      </c>
    </row>
    <row r="4219" spans="14:14" x14ac:dyDescent="0.45">
      <c r="N4219" t="s">
        <v>1852</v>
      </c>
    </row>
    <row r="4220" spans="14:14" x14ac:dyDescent="0.45">
      <c r="N4220" t="s">
        <v>1852</v>
      </c>
    </row>
    <row r="4221" spans="14:14" x14ac:dyDescent="0.45">
      <c r="N4221" t="s">
        <v>1845</v>
      </c>
    </row>
    <row r="4222" spans="14:14" x14ac:dyDescent="0.45">
      <c r="N4222" t="s">
        <v>1845</v>
      </c>
    </row>
    <row r="4223" spans="14:14" x14ac:dyDescent="0.45">
      <c r="N4223" t="s">
        <v>1845</v>
      </c>
    </row>
    <row r="4224" spans="14:14" x14ac:dyDescent="0.45">
      <c r="N4224" t="s">
        <v>1845</v>
      </c>
    </row>
    <row r="4225" spans="14:14" x14ac:dyDescent="0.45">
      <c r="N4225" t="s">
        <v>1845</v>
      </c>
    </row>
    <row r="4226" spans="14:14" x14ac:dyDescent="0.45">
      <c r="N4226" t="s">
        <v>1845</v>
      </c>
    </row>
    <row r="4227" spans="14:14" x14ac:dyDescent="0.45">
      <c r="N4227" t="s">
        <v>1845</v>
      </c>
    </row>
    <row r="4228" spans="14:14" x14ac:dyDescent="0.45">
      <c r="N4228" t="s">
        <v>1845</v>
      </c>
    </row>
    <row r="4229" spans="14:14" x14ac:dyDescent="0.45">
      <c r="N4229" t="s">
        <v>1845</v>
      </c>
    </row>
    <row r="4230" spans="14:14" x14ac:dyDescent="0.45">
      <c r="N4230" t="s">
        <v>1845</v>
      </c>
    </row>
    <row r="4231" spans="14:14" x14ac:dyDescent="0.45">
      <c r="N4231" t="s">
        <v>1845</v>
      </c>
    </row>
    <row r="4232" spans="14:14" x14ac:dyDescent="0.45">
      <c r="N4232" t="s">
        <v>1845</v>
      </c>
    </row>
    <row r="4233" spans="14:14" x14ac:dyDescent="0.45">
      <c r="N4233" t="s">
        <v>1845</v>
      </c>
    </row>
    <row r="4234" spans="14:14" x14ac:dyDescent="0.45">
      <c r="N4234" t="s">
        <v>1845</v>
      </c>
    </row>
    <row r="4235" spans="14:14" x14ac:dyDescent="0.45">
      <c r="N4235" t="s">
        <v>1845</v>
      </c>
    </row>
    <row r="4236" spans="14:14" x14ac:dyDescent="0.45">
      <c r="N4236" t="s">
        <v>1845</v>
      </c>
    </row>
    <row r="4237" spans="14:14" x14ac:dyDescent="0.45">
      <c r="N4237" t="s">
        <v>1852</v>
      </c>
    </row>
    <row r="4238" spans="14:14" x14ac:dyDescent="0.45">
      <c r="N4238" t="s">
        <v>1852</v>
      </c>
    </row>
    <row r="4239" spans="14:14" x14ac:dyDescent="0.45">
      <c r="N4239" t="s">
        <v>1852</v>
      </c>
    </row>
    <row r="4240" spans="14:14" x14ac:dyDescent="0.45">
      <c r="N4240" t="s">
        <v>1852</v>
      </c>
    </row>
    <row r="4241" spans="14:14" x14ac:dyDescent="0.45">
      <c r="N4241" t="s">
        <v>1852</v>
      </c>
    </row>
    <row r="4242" spans="14:14" x14ac:dyDescent="0.45">
      <c r="N4242" t="s">
        <v>1852</v>
      </c>
    </row>
    <row r="4243" spans="14:14" x14ac:dyDescent="0.45">
      <c r="N4243" t="s">
        <v>1845</v>
      </c>
    </row>
    <row r="4244" spans="14:14" x14ac:dyDescent="0.45">
      <c r="N4244" t="s">
        <v>1845</v>
      </c>
    </row>
    <row r="4245" spans="14:14" x14ac:dyDescent="0.45">
      <c r="N4245" t="s">
        <v>1845</v>
      </c>
    </row>
    <row r="4246" spans="14:14" x14ac:dyDescent="0.45">
      <c r="N4246" t="s">
        <v>1845</v>
      </c>
    </row>
    <row r="4247" spans="14:14" x14ac:dyDescent="0.45">
      <c r="N4247" t="s">
        <v>1845</v>
      </c>
    </row>
    <row r="4248" spans="14:14" x14ac:dyDescent="0.45">
      <c r="N4248" t="s">
        <v>1845</v>
      </c>
    </row>
    <row r="4249" spans="14:14" x14ac:dyDescent="0.45">
      <c r="N4249" t="s">
        <v>1845</v>
      </c>
    </row>
    <row r="4250" spans="14:14" x14ac:dyDescent="0.45">
      <c r="N4250" t="s">
        <v>1845</v>
      </c>
    </row>
    <row r="4251" spans="14:14" x14ac:dyDescent="0.45">
      <c r="N4251" t="s">
        <v>1845</v>
      </c>
    </row>
    <row r="4252" spans="14:14" x14ac:dyDescent="0.45">
      <c r="N4252" t="s">
        <v>1845</v>
      </c>
    </row>
    <row r="4253" spans="14:14" x14ac:dyDescent="0.45">
      <c r="N4253" t="s">
        <v>1845</v>
      </c>
    </row>
    <row r="4254" spans="14:14" x14ac:dyDescent="0.45">
      <c r="N4254" t="s">
        <v>1845</v>
      </c>
    </row>
    <row r="4255" spans="14:14" x14ac:dyDescent="0.45">
      <c r="N4255" t="s">
        <v>1852</v>
      </c>
    </row>
    <row r="4256" spans="14:14" x14ac:dyDescent="0.45">
      <c r="N4256" t="s">
        <v>1852</v>
      </c>
    </row>
    <row r="4257" spans="14:14" x14ac:dyDescent="0.45">
      <c r="N4257" t="s">
        <v>1852</v>
      </c>
    </row>
    <row r="4258" spans="14:14" x14ac:dyDescent="0.45">
      <c r="N4258" t="s">
        <v>1852</v>
      </c>
    </row>
    <row r="4259" spans="14:14" x14ac:dyDescent="0.45">
      <c r="N4259" t="s">
        <v>1845</v>
      </c>
    </row>
    <row r="4260" spans="14:14" x14ac:dyDescent="0.45">
      <c r="N4260" t="s">
        <v>1845</v>
      </c>
    </row>
    <row r="4261" spans="14:14" x14ac:dyDescent="0.45">
      <c r="N4261" t="s">
        <v>1845</v>
      </c>
    </row>
    <row r="4262" spans="14:14" x14ac:dyDescent="0.45">
      <c r="N4262" t="s">
        <v>1845</v>
      </c>
    </row>
    <row r="4263" spans="14:14" x14ac:dyDescent="0.45">
      <c r="N4263" t="s">
        <v>1845</v>
      </c>
    </row>
    <row r="4264" spans="14:14" x14ac:dyDescent="0.45">
      <c r="N4264" t="s">
        <v>1845</v>
      </c>
    </row>
    <row r="4265" spans="14:14" x14ac:dyDescent="0.45">
      <c r="N4265" t="s">
        <v>1845</v>
      </c>
    </row>
    <row r="4266" spans="14:14" x14ac:dyDescent="0.45">
      <c r="N4266" t="s">
        <v>1845</v>
      </c>
    </row>
    <row r="4267" spans="14:14" x14ac:dyDescent="0.45">
      <c r="N4267" t="s">
        <v>1845</v>
      </c>
    </row>
    <row r="4268" spans="14:14" x14ac:dyDescent="0.45">
      <c r="N4268" t="s">
        <v>1845</v>
      </c>
    </row>
    <row r="4269" spans="14:14" x14ac:dyDescent="0.45">
      <c r="N4269" t="s">
        <v>1845</v>
      </c>
    </row>
    <row r="4270" spans="14:14" x14ac:dyDescent="0.45">
      <c r="N4270" t="s">
        <v>1845</v>
      </c>
    </row>
    <row r="4271" spans="14:14" x14ac:dyDescent="0.45">
      <c r="N4271" t="s">
        <v>1852</v>
      </c>
    </row>
    <row r="4272" spans="14:14" x14ac:dyDescent="0.45">
      <c r="N4272" t="s">
        <v>1852</v>
      </c>
    </row>
    <row r="4273" spans="14:14" x14ac:dyDescent="0.45">
      <c r="N4273" t="s">
        <v>1845</v>
      </c>
    </row>
    <row r="4274" spans="14:14" x14ac:dyDescent="0.45">
      <c r="N4274" t="s">
        <v>1845</v>
      </c>
    </row>
    <row r="4275" spans="14:14" x14ac:dyDescent="0.45">
      <c r="N4275" t="s">
        <v>1845</v>
      </c>
    </row>
    <row r="4276" spans="14:14" x14ac:dyDescent="0.45">
      <c r="N4276" t="s">
        <v>1845</v>
      </c>
    </row>
    <row r="4277" spans="14:14" x14ac:dyDescent="0.45">
      <c r="N4277" t="s">
        <v>581</v>
      </c>
    </row>
    <row r="4278" spans="14:14" x14ac:dyDescent="0.45">
      <c r="N4278" t="s">
        <v>889</v>
      </c>
    </row>
    <row r="4279" spans="14:14" x14ac:dyDescent="0.45">
      <c r="N4279" t="s">
        <v>1344</v>
      </c>
    </row>
    <row r="4280" spans="14:14" x14ac:dyDescent="0.45">
      <c r="N4280" t="s">
        <v>581</v>
      </c>
    </row>
    <row r="4281" spans="14:14" x14ac:dyDescent="0.45">
      <c r="N4281" t="s">
        <v>581</v>
      </c>
    </row>
    <row r="4282" spans="14:14" x14ac:dyDescent="0.45">
      <c r="N4282" t="s">
        <v>889</v>
      </c>
    </row>
    <row r="4283" spans="14:14" x14ac:dyDescent="0.45">
      <c r="N4283" t="s">
        <v>889</v>
      </c>
    </row>
    <row r="4284" spans="14:14" x14ac:dyDescent="0.45">
      <c r="N4284" t="s">
        <v>1344</v>
      </c>
    </row>
    <row r="4285" spans="14:14" x14ac:dyDescent="0.45">
      <c r="N4285" t="s">
        <v>581</v>
      </c>
    </row>
    <row r="4286" spans="14:14" x14ac:dyDescent="0.45">
      <c r="N4286" t="s">
        <v>581</v>
      </c>
    </row>
    <row r="4287" spans="14:14" x14ac:dyDescent="0.45">
      <c r="N4287" t="s">
        <v>889</v>
      </c>
    </row>
    <row r="4288" spans="14:14" x14ac:dyDescent="0.45">
      <c r="N4288" t="s">
        <v>581</v>
      </c>
    </row>
    <row r="4289" spans="14:14" x14ac:dyDescent="0.45">
      <c r="N4289" t="s">
        <v>581</v>
      </c>
    </row>
    <row r="4290" spans="14:14" x14ac:dyDescent="0.45">
      <c r="N4290" t="s">
        <v>889</v>
      </c>
    </row>
    <row r="4291" spans="14:14" x14ac:dyDescent="0.45">
      <c r="N4291" t="s">
        <v>1344</v>
      </c>
    </row>
    <row r="4292" spans="14:14" x14ac:dyDescent="0.45">
      <c r="N4292" t="s">
        <v>581</v>
      </c>
    </row>
    <row r="4293" spans="14:14" x14ac:dyDescent="0.45">
      <c r="N4293" t="s">
        <v>581</v>
      </c>
    </row>
    <row r="4294" spans="14:14" x14ac:dyDescent="0.45">
      <c r="N4294" t="s">
        <v>889</v>
      </c>
    </row>
    <row r="4295" spans="14:14" x14ac:dyDescent="0.45">
      <c r="N4295" t="s">
        <v>889</v>
      </c>
    </row>
    <row r="4296" spans="14:14" x14ac:dyDescent="0.45">
      <c r="N4296" t="s">
        <v>1344</v>
      </c>
    </row>
    <row r="4297" spans="14:14" x14ac:dyDescent="0.45">
      <c r="N4297" t="s">
        <v>581</v>
      </c>
    </row>
    <row r="4298" spans="14:14" x14ac:dyDescent="0.45">
      <c r="N4298" t="s">
        <v>581</v>
      </c>
    </row>
    <row r="4299" spans="14:14" x14ac:dyDescent="0.45">
      <c r="N4299" t="s">
        <v>889</v>
      </c>
    </row>
    <row r="4300" spans="14:14" x14ac:dyDescent="0.45">
      <c r="N4300" t="s">
        <v>581</v>
      </c>
    </row>
    <row r="4301" spans="14:14" x14ac:dyDescent="0.45">
      <c r="N4301" t="s">
        <v>1845</v>
      </c>
    </row>
    <row r="4302" spans="14:14" x14ac:dyDescent="0.45">
      <c r="N4302" t="s">
        <v>1845</v>
      </c>
    </row>
    <row r="4303" spans="14:14" x14ac:dyDescent="0.45">
      <c r="N4303" t="s">
        <v>1845</v>
      </c>
    </row>
    <row r="4304" spans="14:14" x14ac:dyDescent="0.45">
      <c r="N4304" t="s">
        <v>1845</v>
      </c>
    </row>
    <row r="4305" spans="14:14" x14ac:dyDescent="0.45">
      <c r="N4305" t="s">
        <v>1845</v>
      </c>
    </row>
    <row r="4306" spans="14:14" x14ac:dyDescent="0.45">
      <c r="N4306" t="s">
        <v>1845</v>
      </c>
    </row>
    <row r="4307" spans="14:14" x14ac:dyDescent="0.45">
      <c r="N4307" t="s">
        <v>1845</v>
      </c>
    </row>
    <row r="4308" spans="14:14" x14ac:dyDescent="0.45">
      <c r="N4308" t="s">
        <v>1845</v>
      </c>
    </row>
    <row r="4309" spans="14:14" x14ac:dyDescent="0.45">
      <c r="N4309" t="s">
        <v>1845</v>
      </c>
    </row>
    <row r="4310" spans="14:14" x14ac:dyDescent="0.45">
      <c r="N4310" t="s">
        <v>1845</v>
      </c>
    </row>
    <row r="4311" spans="14:14" x14ac:dyDescent="0.45">
      <c r="N4311" t="s">
        <v>1845</v>
      </c>
    </row>
    <row r="4312" spans="14:14" x14ac:dyDescent="0.45">
      <c r="N4312" t="s">
        <v>1845</v>
      </c>
    </row>
    <row r="4313" spans="14:14" x14ac:dyDescent="0.45">
      <c r="N4313" t="s">
        <v>1845</v>
      </c>
    </row>
    <row r="4314" spans="14:14" x14ac:dyDescent="0.45">
      <c r="N4314" t="s">
        <v>1845</v>
      </c>
    </row>
    <row r="4315" spans="14:14" x14ac:dyDescent="0.45">
      <c r="N4315" t="s">
        <v>1845</v>
      </c>
    </row>
    <row r="4316" spans="14:14" x14ac:dyDescent="0.45">
      <c r="N4316" t="s">
        <v>1845</v>
      </c>
    </row>
    <row r="4317" spans="14:14" x14ac:dyDescent="0.45">
      <c r="N4317" t="s">
        <v>1845</v>
      </c>
    </row>
    <row r="4318" spans="14:14" x14ac:dyDescent="0.45">
      <c r="N4318" t="s">
        <v>1845</v>
      </c>
    </row>
    <row r="4319" spans="14:14" x14ac:dyDescent="0.45">
      <c r="N4319" t="s">
        <v>1845</v>
      </c>
    </row>
    <row r="4320" spans="14:14" x14ac:dyDescent="0.45">
      <c r="N4320" t="s">
        <v>1845</v>
      </c>
    </row>
    <row r="4321" spans="14:14" x14ac:dyDescent="0.45">
      <c r="N4321" t="s">
        <v>1845</v>
      </c>
    </row>
    <row r="4322" spans="14:14" x14ac:dyDescent="0.45">
      <c r="N4322" t="s">
        <v>1845</v>
      </c>
    </row>
    <row r="4323" spans="14:14" x14ac:dyDescent="0.45">
      <c r="N4323" t="s">
        <v>1845</v>
      </c>
    </row>
    <row r="4324" spans="14:14" x14ac:dyDescent="0.45">
      <c r="N4324" t="s">
        <v>1845</v>
      </c>
    </row>
    <row r="4325" spans="14:14" x14ac:dyDescent="0.45">
      <c r="N4325" t="s">
        <v>1845</v>
      </c>
    </row>
    <row r="4326" spans="14:14" x14ac:dyDescent="0.45">
      <c r="N4326" t="s">
        <v>1845</v>
      </c>
    </row>
    <row r="4327" spans="14:14" x14ac:dyDescent="0.45">
      <c r="N4327" t="s">
        <v>1845</v>
      </c>
    </row>
    <row r="4328" spans="14:14" x14ac:dyDescent="0.45">
      <c r="N4328" t="s">
        <v>1845</v>
      </c>
    </row>
    <row r="4329" spans="14:14" x14ac:dyDescent="0.45">
      <c r="N4329" t="s">
        <v>1845</v>
      </c>
    </row>
    <row r="4330" spans="14:14" x14ac:dyDescent="0.45">
      <c r="N4330" t="s">
        <v>1845</v>
      </c>
    </row>
    <row r="4331" spans="14:14" x14ac:dyDescent="0.45">
      <c r="N4331" t="s">
        <v>1845</v>
      </c>
    </row>
    <row r="4332" spans="14:14" x14ac:dyDescent="0.45">
      <c r="N4332" t="s">
        <v>1845</v>
      </c>
    </row>
    <row r="4333" spans="14:14" x14ac:dyDescent="0.45">
      <c r="N4333" t="s">
        <v>1845</v>
      </c>
    </row>
    <row r="4334" spans="14:14" x14ac:dyDescent="0.45">
      <c r="N4334" t="s">
        <v>1845</v>
      </c>
    </row>
    <row r="4335" spans="14:14" x14ac:dyDescent="0.45">
      <c r="N4335" t="s">
        <v>1845</v>
      </c>
    </row>
    <row r="4336" spans="14:14" x14ac:dyDescent="0.45">
      <c r="N4336" t="s">
        <v>1845</v>
      </c>
    </row>
    <row r="4337" spans="14:14" x14ac:dyDescent="0.45">
      <c r="N4337" t="s">
        <v>1845</v>
      </c>
    </row>
    <row r="4338" spans="14:14" x14ac:dyDescent="0.45">
      <c r="N4338" t="s">
        <v>1845</v>
      </c>
    </row>
    <row r="4339" spans="14:14" x14ac:dyDescent="0.45">
      <c r="N4339" t="s">
        <v>1845</v>
      </c>
    </row>
    <row r="4340" spans="14:14" x14ac:dyDescent="0.45">
      <c r="N4340" t="s">
        <v>1845</v>
      </c>
    </row>
    <row r="4341" spans="14:14" x14ac:dyDescent="0.45">
      <c r="N4341" t="s">
        <v>1852</v>
      </c>
    </row>
    <row r="4342" spans="14:14" x14ac:dyDescent="0.45">
      <c r="N4342" t="s">
        <v>1852</v>
      </c>
    </row>
    <row r="4343" spans="14:14" x14ac:dyDescent="0.45">
      <c r="N4343" t="s">
        <v>1852</v>
      </c>
    </row>
    <row r="4344" spans="14:14" x14ac:dyDescent="0.45">
      <c r="N4344" t="s">
        <v>1852</v>
      </c>
    </row>
    <row r="4345" spans="14:14" x14ac:dyDescent="0.45">
      <c r="N4345" t="s">
        <v>1852</v>
      </c>
    </row>
    <row r="4346" spans="14:14" x14ac:dyDescent="0.45">
      <c r="N4346" t="s">
        <v>1852</v>
      </c>
    </row>
    <row r="4347" spans="14:14" x14ac:dyDescent="0.45">
      <c r="N4347" t="s">
        <v>1852</v>
      </c>
    </row>
    <row r="4348" spans="14:14" x14ac:dyDescent="0.45">
      <c r="N4348" t="s">
        <v>1852</v>
      </c>
    </row>
    <row r="4349" spans="14:14" x14ac:dyDescent="0.45">
      <c r="N4349" t="s">
        <v>1852</v>
      </c>
    </row>
    <row r="4350" spans="14:14" x14ac:dyDescent="0.45">
      <c r="N4350" t="s">
        <v>1852</v>
      </c>
    </row>
    <row r="4351" spans="14:14" x14ac:dyDescent="0.45">
      <c r="N4351" t="s">
        <v>1852</v>
      </c>
    </row>
    <row r="4352" spans="14:14" x14ac:dyDescent="0.45">
      <c r="N4352" t="s">
        <v>1852</v>
      </c>
    </row>
    <row r="4353" spans="14:14" x14ac:dyDescent="0.45">
      <c r="N4353" t="s">
        <v>1852</v>
      </c>
    </row>
    <row r="4354" spans="14:14" x14ac:dyDescent="0.45">
      <c r="N4354" t="s">
        <v>1852</v>
      </c>
    </row>
    <row r="4355" spans="14:14" x14ac:dyDescent="0.45">
      <c r="N4355" t="s">
        <v>1852</v>
      </c>
    </row>
    <row r="4356" spans="14:14" x14ac:dyDescent="0.45">
      <c r="N4356" t="s">
        <v>1852</v>
      </c>
    </row>
    <row r="4357" spans="14:14" x14ac:dyDescent="0.45">
      <c r="N4357" t="s">
        <v>1852</v>
      </c>
    </row>
    <row r="4358" spans="14:14" x14ac:dyDescent="0.45">
      <c r="N4358" t="s">
        <v>1852</v>
      </c>
    </row>
    <row r="4359" spans="14:14" x14ac:dyDescent="0.45">
      <c r="N4359" t="s">
        <v>1852</v>
      </c>
    </row>
    <row r="4360" spans="14:14" x14ac:dyDescent="0.45">
      <c r="N4360" t="s">
        <v>1852</v>
      </c>
    </row>
    <row r="4361" spans="14:14" x14ac:dyDescent="0.45">
      <c r="N4361" t="s">
        <v>1852</v>
      </c>
    </row>
    <row r="4362" spans="14:14" x14ac:dyDescent="0.45">
      <c r="N4362" t="s">
        <v>1852</v>
      </c>
    </row>
    <row r="4363" spans="14:14" x14ac:dyDescent="0.45">
      <c r="N4363" t="s">
        <v>1852</v>
      </c>
    </row>
    <row r="4364" spans="14:14" x14ac:dyDescent="0.45">
      <c r="N4364" t="s">
        <v>1852</v>
      </c>
    </row>
    <row r="4365" spans="14:14" x14ac:dyDescent="0.45">
      <c r="N4365" t="s">
        <v>1852</v>
      </c>
    </row>
    <row r="4366" spans="14:14" x14ac:dyDescent="0.45">
      <c r="N4366" t="s">
        <v>1852</v>
      </c>
    </row>
    <row r="4367" spans="14:14" x14ac:dyDescent="0.45">
      <c r="N4367" t="s">
        <v>1852</v>
      </c>
    </row>
    <row r="4368" spans="14:14" x14ac:dyDescent="0.45">
      <c r="N4368" t="s">
        <v>1852</v>
      </c>
    </row>
    <row r="4369" spans="14:14" x14ac:dyDescent="0.45">
      <c r="N4369" t="s">
        <v>1852</v>
      </c>
    </row>
    <row r="4370" spans="14:14" x14ac:dyDescent="0.45">
      <c r="N4370" t="s">
        <v>1852</v>
      </c>
    </row>
    <row r="4371" spans="14:14" x14ac:dyDescent="0.45">
      <c r="N4371" t="s">
        <v>1852</v>
      </c>
    </row>
    <row r="4372" spans="14:14" x14ac:dyDescent="0.45">
      <c r="N4372" t="s">
        <v>1852</v>
      </c>
    </row>
    <row r="4373" spans="14:14" x14ac:dyDescent="0.45">
      <c r="N4373" t="s">
        <v>1852</v>
      </c>
    </row>
    <row r="4374" spans="14:14" x14ac:dyDescent="0.45">
      <c r="N4374" t="s">
        <v>1852</v>
      </c>
    </row>
    <row r="4375" spans="14:14" x14ac:dyDescent="0.45">
      <c r="N4375" t="s">
        <v>1852</v>
      </c>
    </row>
    <row r="4376" spans="14:14" x14ac:dyDescent="0.45">
      <c r="N4376" t="s">
        <v>1852</v>
      </c>
    </row>
    <row r="4377" spans="14:14" x14ac:dyDescent="0.45">
      <c r="N4377" t="s">
        <v>1852</v>
      </c>
    </row>
    <row r="4378" spans="14:14" x14ac:dyDescent="0.45">
      <c r="N4378" t="s">
        <v>1852</v>
      </c>
    </row>
    <row r="4379" spans="14:14" x14ac:dyDescent="0.45">
      <c r="N4379" t="s">
        <v>1852</v>
      </c>
    </row>
    <row r="4380" spans="14:14" x14ac:dyDescent="0.45">
      <c r="N4380" t="s">
        <v>1852</v>
      </c>
    </row>
    <row r="4381" spans="14:14" x14ac:dyDescent="0.45">
      <c r="N4381" t="s">
        <v>1344</v>
      </c>
    </row>
    <row r="4382" spans="14:14" x14ac:dyDescent="0.45">
      <c r="N4382" t="s">
        <v>1344</v>
      </c>
    </row>
    <row r="4383" spans="14:14" x14ac:dyDescent="0.45">
      <c r="N4383" t="s">
        <v>1344</v>
      </c>
    </row>
    <row r="4384" spans="14:14" x14ac:dyDescent="0.45">
      <c r="N4384" t="s">
        <v>1344</v>
      </c>
    </row>
    <row r="4385" spans="14:14" x14ac:dyDescent="0.45">
      <c r="N4385" t="s">
        <v>1344</v>
      </c>
    </row>
    <row r="4386" spans="14:14" x14ac:dyDescent="0.45">
      <c r="N4386" t="s">
        <v>1344</v>
      </c>
    </row>
    <row r="4387" spans="14:14" x14ac:dyDescent="0.45">
      <c r="N4387" t="s">
        <v>1344</v>
      </c>
    </row>
    <row r="4388" spans="14:14" x14ac:dyDescent="0.45">
      <c r="N4388" t="s">
        <v>1344</v>
      </c>
    </row>
    <row r="4389" spans="14:14" x14ac:dyDescent="0.45">
      <c r="N4389" t="s">
        <v>1344</v>
      </c>
    </row>
    <row r="4390" spans="14:14" x14ac:dyDescent="0.45">
      <c r="N4390" t="s">
        <v>1344</v>
      </c>
    </row>
    <row r="4391" spans="14:14" x14ac:dyDescent="0.45">
      <c r="N4391" t="s">
        <v>1344</v>
      </c>
    </row>
    <row r="4392" spans="14:14" x14ac:dyDescent="0.45">
      <c r="N4392" t="s">
        <v>1344</v>
      </c>
    </row>
    <row r="4393" spans="14:14" x14ac:dyDescent="0.45">
      <c r="N4393" t="s">
        <v>1344</v>
      </c>
    </row>
    <row r="4394" spans="14:14" x14ac:dyDescent="0.45">
      <c r="N4394" t="s">
        <v>1344</v>
      </c>
    </row>
    <row r="4395" spans="14:14" x14ac:dyDescent="0.45">
      <c r="N4395" t="s">
        <v>1344</v>
      </c>
    </row>
    <row r="4396" spans="14:14" x14ac:dyDescent="0.45">
      <c r="N4396" t="s">
        <v>1344</v>
      </c>
    </row>
    <row r="4397" spans="14:14" x14ac:dyDescent="0.45">
      <c r="N4397" t="s">
        <v>1344</v>
      </c>
    </row>
    <row r="4398" spans="14:14" x14ac:dyDescent="0.45">
      <c r="N4398" t="s">
        <v>1344</v>
      </c>
    </row>
    <row r="4399" spans="14:14" x14ac:dyDescent="0.45">
      <c r="N4399" t="s">
        <v>1344</v>
      </c>
    </row>
    <row r="4400" spans="14:14" x14ac:dyDescent="0.45">
      <c r="N4400" t="s">
        <v>1344</v>
      </c>
    </row>
    <row r="4401" spans="14:14" x14ac:dyDescent="0.45">
      <c r="N4401" t="s">
        <v>1344</v>
      </c>
    </row>
    <row r="4402" spans="14:14" x14ac:dyDescent="0.45">
      <c r="N4402" t="s">
        <v>1344</v>
      </c>
    </row>
    <row r="4403" spans="14:14" x14ac:dyDescent="0.45">
      <c r="N4403" t="s">
        <v>1344</v>
      </c>
    </row>
    <row r="4404" spans="14:14" x14ac:dyDescent="0.45">
      <c r="N4404" t="s">
        <v>1344</v>
      </c>
    </row>
    <row r="4405" spans="14:14" x14ac:dyDescent="0.45">
      <c r="N4405" t="s">
        <v>1344</v>
      </c>
    </row>
    <row r="4406" spans="14:14" x14ac:dyDescent="0.45">
      <c r="N4406" t="s">
        <v>1344</v>
      </c>
    </row>
    <row r="4407" spans="14:14" x14ac:dyDescent="0.45">
      <c r="N4407" t="s">
        <v>1344</v>
      </c>
    </row>
    <row r="4408" spans="14:14" x14ac:dyDescent="0.45">
      <c r="N4408" t="s">
        <v>1344</v>
      </c>
    </row>
    <row r="4409" spans="14:14" x14ac:dyDescent="0.45">
      <c r="N4409" t="s">
        <v>1344</v>
      </c>
    </row>
    <row r="4410" spans="14:14" x14ac:dyDescent="0.45">
      <c r="N4410" t="s">
        <v>1344</v>
      </c>
    </row>
    <row r="4411" spans="14:14" x14ac:dyDescent="0.45">
      <c r="N4411" t="s">
        <v>1344</v>
      </c>
    </row>
    <row r="4412" spans="14:14" x14ac:dyDescent="0.45">
      <c r="N4412" t="s">
        <v>1344</v>
      </c>
    </row>
    <row r="4413" spans="14:14" x14ac:dyDescent="0.45">
      <c r="N4413" t="s">
        <v>1845</v>
      </c>
    </row>
    <row r="4414" spans="14:14" x14ac:dyDescent="0.45">
      <c r="N4414" t="s">
        <v>1845</v>
      </c>
    </row>
    <row r="4415" spans="14:14" x14ac:dyDescent="0.45">
      <c r="N4415" t="s">
        <v>1845</v>
      </c>
    </row>
    <row r="4416" spans="14:14" x14ac:dyDescent="0.45">
      <c r="N4416" t="s">
        <v>1845</v>
      </c>
    </row>
    <row r="4417" spans="14:14" x14ac:dyDescent="0.45">
      <c r="N4417" t="s">
        <v>1845</v>
      </c>
    </row>
    <row r="4418" spans="14:14" x14ac:dyDescent="0.45">
      <c r="N4418" t="s">
        <v>1845</v>
      </c>
    </row>
    <row r="4419" spans="14:14" x14ac:dyDescent="0.45">
      <c r="N4419" t="s">
        <v>1845</v>
      </c>
    </row>
    <row r="4420" spans="14:14" x14ac:dyDescent="0.45">
      <c r="N4420" t="s">
        <v>1845</v>
      </c>
    </row>
    <row r="4421" spans="14:14" x14ac:dyDescent="0.45">
      <c r="N4421" t="s">
        <v>1845</v>
      </c>
    </row>
    <row r="4422" spans="14:14" x14ac:dyDescent="0.45">
      <c r="N4422" t="s">
        <v>1845</v>
      </c>
    </row>
    <row r="4423" spans="14:14" x14ac:dyDescent="0.45">
      <c r="N4423" t="s">
        <v>1845</v>
      </c>
    </row>
    <row r="4424" spans="14:14" x14ac:dyDescent="0.45">
      <c r="N4424" t="s">
        <v>1845</v>
      </c>
    </row>
    <row r="4425" spans="14:14" x14ac:dyDescent="0.45">
      <c r="N4425" t="s">
        <v>1845</v>
      </c>
    </row>
    <row r="4426" spans="14:14" x14ac:dyDescent="0.45">
      <c r="N4426" t="s">
        <v>1845</v>
      </c>
    </row>
    <row r="4427" spans="14:14" x14ac:dyDescent="0.45">
      <c r="N4427" t="s">
        <v>1845</v>
      </c>
    </row>
    <row r="4428" spans="14:14" x14ac:dyDescent="0.45">
      <c r="N4428" t="s">
        <v>1845</v>
      </c>
    </row>
    <row r="4429" spans="14:14" x14ac:dyDescent="0.45">
      <c r="N4429" t="s">
        <v>1845</v>
      </c>
    </row>
    <row r="4430" spans="14:14" x14ac:dyDescent="0.45">
      <c r="N4430" t="s">
        <v>1845</v>
      </c>
    </row>
    <row r="4431" spans="14:14" x14ac:dyDescent="0.45">
      <c r="N4431" t="s">
        <v>1845</v>
      </c>
    </row>
    <row r="4432" spans="14:14" x14ac:dyDescent="0.45">
      <c r="N4432" t="s">
        <v>1845</v>
      </c>
    </row>
    <row r="4433" spans="14:14" x14ac:dyDescent="0.45">
      <c r="N4433" t="s">
        <v>1845</v>
      </c>
    </row>
    <row r="4434" spans="14:14" x14ac:dyDescent="0.45">
      <c r="N4434" t="s">
        <v>1845</v>
      </c>
    </row>
    <row r="4435" spans="14:14" x14ac:dyDescent="0.45">
      <c r="N4435" t="s">
        <v>1845</v>
      </c>
    </row>
    <row r="4436" spans="14:14" x14ac:dyDescent="0.45">
      <c r="N4436" t="s">
        <v>1845</v>
      </c>
    </row>
    <row r="4437" spans="14:14" x14ac:dyDescent="0.45">
      <c r="N4437" t="s">
        <v>1845</v>
      </c>
    </row>
    <row r="4438" spans="14:14" x14ac:dyDescent="0.45">
      <c r="N4438" t="s">
        <v>1845</v>
      </c>
    </row>
    <row r="4439" spans="14:14" x14ac:dyDescent="0.45">
      <c r="N4439" t="s">
        <v>1845</v>
      </c>
    </row>
    <row r="4440" spans="14:14" x14ac:dyDescent="0.45">
      <c r="N4440" t="s">
        <v>1845</v>
      </c>
    </row>
    <row r="4441" spans="14:14" x14ac:dyDescent="0.45">
      <c r="N4441" t="s">
        <v>1845</v>
      </c>
    </row>
    <row r="4442" spans="14:14" x14ac:dyDescent="0.45">
      <c r="N4442" t="s">
        <v>1845</v>
      </c>
    </row>
    <row r="4443" spans="14:14" x14ac:dyDescent="0.45">
      <c r="N4443" t="s">
        <v>1845</v>
      </c>
    </row>
    <row r="4444" spans="14:14" x14ac:dyDescent="0.45">
      <c r="N4444" t="s">
        <v>1845</v>
      </c>
    </row>
    <row r="4445" spans="14:14" x14ac:dyDescent="0.45">
      <c r="N4445" t="s">
        <v>1845</v>
      </c>
    </row>
    <row r="4446" spans="14:14" x14ac:dyDescent="0.45">
      <c r="N4446" t="s">
        <v>1845</v>
      </c>
    </row>
    <row r="4447" spans="14:14" x14ac:dyDescent="0.45">
      <c r="N4447" t="s">
        <v>1845</v>
      </c>
    </row>
    <row r="4448" spans="14:14" x14ac:dyDescent="0.45">
      <c r="N4448" t="s">
        <v>1845</v>
      </c>
    </row>
    <row r="4449" spans="14:14" x14ac:dyDescent="0.45">
      <c r="N4449" t="s">
        <v>1845</v>
      </c>
    </row>
    <row r="4450" spans="14:14" x14ac:dyDescent="0.45">
      <c r="N4450" t="s">
        <v>1845</v>
      </c>
    </row>
    <row r="4451" spans="14:14" x14ac:dyDescent="0.45">
      <c r="N4451" t="s">
        <v>1845</v>
      </c>
    </row>
    <row r="4452" spans="14:14" x14ac:dyDescent="0.45">
      <c r="N4452" t="s">
        <v>1845</v>
      </c>
    </row>
    <row r="4453" spans="14:14" x14ac:dyDescent="0.45">
      <c r="N4453" t="s">
        <v>1852</v>
      </c>
    </row>
    <row r="4454" spans="14:14" x14ac:dyDescent="0.45">
      <c r="N4454" t="s">
        <v>1852</v>
      </c>
    </row>
    <row r="4455" spans="14:14" x14ac:dyDescent="0.45">
      <c r="N4455" t="s">
        <v>1852</v>
      </c>
    </row>
    <row r="4456" spans="14:14" x14ac:dyDescent="0.45">
      <c r="N4456" t="s">
        <v>1852</v>
      </c>
    </row>
    <row r="4457" spans="14:14" x14ac:dyDescent="0.45">
      <c r="N4457" t="s">
        <v>1852</v>
      </c>
    </row>
    <row r="4458" spans="14:14" x14ac:dyDescent="0.45">
      <c r="N4458" t="s">
        <v>1852</v>
      </c>
    </row>
    <row r="4459" spans="14:14" x14ac:dyDescent="0.45">
      <c r="N4459" t="s">
        <v>1852</v>
      </c>
    </row>
    <row r="4460" spans="14:14" x14ac:dyDescent="0.45">
      <c r="N4460" t="s">
        <v>1852</v>
      </c>
    </row>
    <row r="4461" spans="14:14" x14ac:dyDescent="0.45">
      <c r="N4461" t="s">
        <v>1852</v>
      </c>
    </row>
    <row r="4462" spans="14:14" x14ac:dyDescent="0.45">
      <c r="N4462" t="s">
        <v>1852</v>
      </c>
    </row>
    <row r="4463" spans="14:14" x14ac:dyDescent="0.45">
      <c r="N4463" t="s">
        <v>1852</v>
      </c>
    </row>
    <row r="4464" spans="14:14" x14ac:dyDescent="0.45">
      <c r="N4464" t="s">
        <v>1852</v>
      </c>
    </row>
    <row r="4465" spans="14:14" x14ac:dyDescent="0.45">
      <c r="N4465" t="s">
        <v>1852</v>
      </c>
    </row>
    <row r="4466" spans="14:14" x14ac:dyDescent="0.45">
      <c r="N4466" t="s">
        <v>1852</v>
      </c>
    </row>
    <row r="4467" spans="14:14" x14ac:dyDescent="0.45">
      <c r="N4467" t="s">
        <v>1852</v>
      </c>
    </row>
    <row r="4468" spans="14:14" x14ac:dyDescent="0.45">
      <c r="N4468" t="s">
        <v>1852</v>
      </c>
    </row>
    <row r="4469" spans="14:14" x14ac:dyDescent="0.45">
      <c r="N4469" t="s">
        <v>1852</v>
      </c>
    </row>
    <row r="4470" spans="14:14" x14ac:dyDescent="0.45">
      <c r="N4470" t="s">
        <v>1852</v>
      </c>
    </row>
    <row r="4471" spans="14:14" x14ac:dyDescent="0.45">
      <c r="N4471" t="s">
        <v>1852</v>
      </c>
    </row>
    <row r="4472" spans="14:14" x14ac:dyDescent="0.45">
      <c r="N4472" t="s">
        <v>1852</v>
      </c>
    </row>
    <row r="4473" spans="14:14" x14ac:dyDescent="0.45">
      <c r="N4473" t="s">
        <v>1852</v>
      </c>
    </row>
    <row r="4474" spans="14:14" x14ac:dyDescent="0.45">
      <c r="N4474" t="s">
        <v>1852</v>
      </c>
    </row>
    <row r="4475" spans="14:14" x14ac:dyDescent="0.45">
      <c r="N4475" t="s">
        <v>1852</v>
      </c>
    </row>
    <row r="4476" spans="14:14" x14ac:dyDescent="0.45">
      <c r="N4476" t="s">
        <v>1852</v>
      </c>
    </row>
    <row r="4477" spans="14:14" x14ac:dyDescent="0.45">
      <c r="N4477" t="s">
        <v>1852</v>
      </c>
    </row>
    <row r="4478" spans="14:14" x14ac:dyDescent="0.45">
      <c r="N4478" t="s">
        <v>1852</v>
      </c>
    </row>
    <row r="4479" spans="14:14" x14ac:dyDescent="0.45">
      <c r="N4479" t="s">
        <v>1852</v>
      </c>
    </row>
    <row r="4480" spans="14:14" x14ac:dyDescent="0.45">
      <c r="N4480" t="s">
        <v>1852</v>
      </c>
    </row>
    <row r="4481" spans="14:14" x14ac:dyDescent="0.45">
      <c r="N4481" t="s">
        <v>1852</v>
      </c>
    </row>
    <row r="4482" spans="14:14" x14ac:dyDescent="0.45">
      <c r="N4482" t="s">
        <v>1852</v>
      </c>
    </row>
    <row r="4483" spans="14:14" x14ac:dyDescent="0.45">
      <c r="N4483" t="s">
        <v>1852</v>
      </c>
    </row>
    <row r="4484" spans="14:14" x14ac:dyDescent="0.45">
      <c r="N4484" t="s">
        <v>1852</v>
      </c>
    </row>
    <row r="4485" spans="14:14" x14ac:dyDescent="0.45">
      <c r="N4485" t="s">
        <v>1852</v>
      </c>
    </row>
    <row r="4486" spans="14:14" x14ac:dyDescent="0.45">
      <c r="N4486" t="s">
        <v>1852</v>
      </c>
    </row>
    <row r="4487" spans="14:14" x14ac:dyDescent="0.45">
      <c r="N4487" t="s">
        <v>1852</v>
      </c>
    </row>
    <row r="4488" spans="14:14" x14ac:dyDescent="0.45">
      <c r="N4488" t="s">
        <v>1852</v>
      </c>
    </row>
    <row r="4489" spans="14:14" x14ac:dyDescent="0.45">
      <c r="N4489" t="s">
        <v>1852</v>
      </c>
    </row>
    <row r="4490" spans="14:14" x14ac:dyDescent="0.45">
      <c r="N4490" t="s">
        <v>1852</v>
      </c>
    </row>
    <row r="4491" spans="14:14" x14ac:dyDescent="0.45">
      <c r="N4491" t="s">
        <v>1852</v>
      </c>
    </row>
    <row r="4492" spans="14:14" x14ac:dyDescent="0.45">
      <c r="N4492" t="s">
        <v>1852</v>
      </c>
    </row>
    <row r="4493" spans="14:14" x14ac:dyDescent="0.45">
      <c r="N4493" t="s">
        <v>1845</v>
      </c>
    </row>
    <row r="4494" spans="14:14" x14ac:dyDescent="0.45">
      <c r="N4494" t="s">
        <v>1845</v>
      </c>
    </row>
    <row r="4495" spans="14:14" x14ac:dyDescent="0.45">
      <c r="N4495" t="s">
        <v>1845</v>
      </c>
    </row>
    <row r="4496" spans="14:14" x14ac:dyDescent="0.45">
      <c r="N4496" t="s">
        <v>1845</v>
      </c>
    </row>
    <row r="4497" spans="14:14" x14ac:dyDescent="0.45">
      <c r="N4497" t="s">
        <v>1845</v>
      </c>
    </row>
    <row r="4498" spans="14:14" x14ac:dyDescent="0.45">
      <c r="N4498" t="s">
        <v>1845</v>
      </c>
    </row>
    <row r="4499" spans="14:14" x14ac:dyDescent="0.45">
      <c r="N4499" t="s">
        <v>1852</v>
      </c>
    </row>
    <row r="4500" spans="14:14" x14ac:dyDescent="0.45">
      <c r="N4500" t="s">
        <v>1852</v>
      </c>
    </row>
    <row r="4501" spans="14:14" x14ac:dyDescent="0.45">
      <c r="N4501" t="s">
        <v>1852</v>
      </c>
    </row>
    <row r="4502" spans="14:14" x14ac:dyDescent="0.45">
      <c r="N4502" t="s">
        <v>1852</v>
      </c>
    </row>
    <row r="4503" spans="14:14" x14ac:dyDescent="0.45">
      <c r="N4503" t="s">
        <v>1852</v>
      </c>
    </row>
    <row r="4504" spans="14:14" x14ac:dyDescent="0.45">
      <c r="N4504" t="s">
        <v>1852</v>
      </c>
    </row>
    <row r="4505" spans="14:14" x14ac:dyDescent="0.45">
      <c r="N4505" t="s">
        <v>1852</v>
      </c>
    </row>
    <row r="4506" spans="14:14" x14ac:dyDescent="0.45">
      <c r="N4506" t="s">
        <v>1852</v>
      </c>
    </row>
    <row r="4507" spans="14:14" x14ac:dyDescent="0.45">
      <c r="N4507" t="s">
        <v>1852</v>
      </c>
    </row>
    <row r="4508" spans="14:14" x14ac:dyDescent="0.45">
      <c r="N4508" t="s">
        <v>1852</v>
      </c>
    </row>
    <row r="4509" spans="14:14" x14ac:dyDescent="0.45">
      <c r="N4509" t="s">
        <v>1852</v>
      </c>
    </row>
    <row r="4510" spans="14:14" x14ac:dyDescent="0.45">
      <c r="N4510" t="s">
        <v>1852</v>
      </c>
    </row>
    <row r="4511" spans="14:14" x14ac:dyDescent="0.45">
      <c r="N4511" t="s">
        <v>1852</v>
      </c>
    </row>
    <row r="4512" spans="14:14" x14ac:dyDescent="0.45">
      <c r="N4512" t="s">
        <v>1852</v>
      </c>
    </row>
    <row r="4513" spans="14:14" x14ac:dyDescent="0.45">
      <c r="N4513" t="s">
        <v>1852</v>
      </c>
    </row>
    <row r="4514" spans="14:14" x14ac:dyDescent="0.45">
      <c r="N4514" t="s">
        <v>1852</v>
      </c>
    </row>
    <row r="4515" spans="14:14" x14ac:dyDescent="0.45">
      <c r="N4515" t="s">
        <v>1852</v>
      </c>
    </row>
    <row r="4516" spans="14:14" x14ac:dyDescent="0.45">
      <c r="N4516" t="s">
        <v>1852</v>
      </c>
    </row>
    <row r="4517" spans="14:14" x14ac:dyDescent="0.45">
      <c r="N4517" t="s">
        <v>889</v>
      </c>
    </row>
    <row r="4518" spans="14:14" x14ac:dyDescent="0.45">
      <c r="N4518" t="s">
        <v>889</v>
      </c>
    </row>
    <row r="4519" spans="14:14" x14ac:dyDescent="0.45">
      <c r="N4519" t="s">
        <v>1845</v>
      </c>
    </row>
    <row r="4520" spans="14:14" x14ac:dyDescent="0.45">
      <c r="N4520" t="s">
        <v>1845</v>
      </c>
    </row>
    <row r="4521" spans="14:14" x14ac:dyDescent="0.45">
      <c r="N4521" t="s">
        <v>1845</v>
      </c>
    </row>
    <row r="4522" spans="14:14" x14ac:dyDescent="0.45">
      <c r="N4522" t="s">
        <v>1845</v>
      </c>
    </row>
    <row r="4523" spans="14:14" x14ac:dyDescent="0.45">
      <c r="N4523" t="s">
        <v>1845</v>
      </c>
    </row>
    <row r="4524" spans="14:14" x14ac:dyDescent="0.45">
      <c r="N4524" t="s">
        <v>1845</v>
      </c>
    </row>
    <row r="4525" spans="14:14" x14ac:dyDescent="0.45">
      <c r="N4525" t="s">
        <v>1845</v>
      </c>
    </row>
    <row r="4526" spans="14:14" x14ac:dyDescent="0.45">
      <c r="N4526" t="s">
        <v>1845</v>
      </c>
    </row>
    <row r="4527" spans="14:14" x14ac:dyDescent="0.45">
      <c r="N4527" t="s">
        <v>1845</v>
      </c>
    </row>
    <row r="4528" spans="14:14" x14ac:dyDescent="0.45">
      <c r="N4528" t="s">
        <v>1845</v>
      </c>
    </row>
    <row r="4529" spans="14:14" x14ac:dyDescent="0.45">
      <c r="N4529" t="s">
        <v>1845</v>
      </c>
    </row>
    <row r="4530" spans="14:14" x14ac:dyDescent="0.45">
      <c r="N4530" t="s">
        <v>1845</v>
      </c>
    </row>
    <row r="4531" spans="14:14" x14ac:dyDescent="0.45">
      <c r="N4531" t="s">
        <v>1845</v>
      </c>
    </row>
    <row r="4532" spans="14:14" x14ac:dyDescent="0.45">
      <c r="N4532" t="s">
        <v>1845</v>
      </c>
    </row>
    <row r="4533" spans="14:14" x14ac:dyDescent="0.45">
      <c r="N4533" t="s">
        <v>1845</v>
      </c>
    </row>
    <row r="4534" spans="14:14" x14ac:dyDescent="0.45">
      <c r="N4534" t="s">
        <v>1845</v>
      </c>
    </row>
    <row r="4535" spans="14:14" x14ac:dyDescent="0.45">
      <c r="N4535" t="s">
        <v>1845</v>
      </c>
    </row>
    <row r="4536" spans="14:14" x14ac:dyDescent="0.45">
      <c r="N4536" t="s">
        <v>1845</v>
      </c>
    </row>
    <row r="4537" spans="14:14" x14ac:dyDescent="0.45">
      <c r="N4537" t="s">
        <v>1852</v>
      </c>
    </row>
    <row r="4538" spans="14:14" x14ac:dyDescent="0.45">
      <c r="N4538" t="s">
        <v>1852</v>
      </c>
    </row>
    <row r="4539" spans="14:14" x14ac:dyDescent="0.45">
      <c r="N4539" t="s">
        <v>1852</v>
      </c>
    </row>
    <row r="4540" spans="14:14" x14ac:dyDescent="0.45">
      <c r="N4540" t="s">
        <v>1852</v>
      </c>
    </row>
    <row r="4541" spans="14:14" x14ac:dyDescent="0.45">
      <c r="N4541" t="s">
        <v>1852</v>
      </c>
    </row>
    <row r="4542" spans="14:14" x14ac:dyDescent="0.45">
      <c r="N4542" t="s">
        <v>1852</v>
      </c>
    </row>
    <row r="4543" spans="14:14" x14ac:dyDescent="0.45">
      <c r="N4543" t="s">
        <v>1852</v>
      </c>
    </row>
    <row r="4544" spans="14:14" x14ac:dyDescent="0.45">
      <c r="N4544" t="s">
        <v>1852</v>
      </c>
    </row>
    <row r="4545" spans="14:14" x14ac:dyDescent="0.45">
      <c r="N4545" t="s">
        <v>1845</v>
      </c>
    </row>
    <row r="4546" spans="14:14" x14ac:dyDescent="0.45">
      <c r="N4546" t="s">
        <v>1845</v>
      </c>
    </row>
    <row r="4547" spans="14:14" x14ac:dyDescent="0.45">
      <c r="N4547" t="s">
        <v>1845</v>
      </c>
    </row>
    <row r="4548" spans="14:14" x14ac:dyDescent="0.45">
      <c r="N4548" t="s">
        <v>1845</v>
      </c>
    </row>
    <row r="4549" spans="14:14" x14ac:dyDescent="0.45">
      <c r="N4549" t="s">
        <v>1845</v>
      </c>
    </row>
    <row r="4550" spans="14:14" x14ac:dyDescent="0.45">
      <c r="N4550" t="s">
        <v>1845</v>
      </c>
    </row>
    <row r="4551" spans="14:14" x14ac:dyDescent="0.45">
      <c r="N4551" t="s">
        <v>1845</v>
      </c>
    </row>
    <row r="4552" spans="14:14" x14ac:dyDescent="0.45">
      <c r="N4552" t="s">
        <v>1845</v>
      </c>
    </row>
    <row r="4553" spans="14:14" x14ac:dyDescent="0.45">
      <c r="N4553" t="s">
        <v>1845</v>
      </c>
    </row>
    <row r="4554" spans="14:14" x14ac:dyDescent="0.45">
      <c r="N4554" t="s">
        <v>1845</v>
      </c>
    </row>
    <row r="4555" spans="14:14" x14ac:dyDescent="0.45">
      <c r="N4555" t="s">
        <v>1845</v>
      </c>
    </row>
    <row r="4556" spans="14:14" x14ac:dyDescent="0.45">
      <c r="N4556" t="s">
        <v>1845</v>
      </c>
    </row>
    <row r="4557" spans="14:14" x14ac:dyDescent="0.45">
      <c r="N4557" t="s">
        <v>1845</v>
      </c>
    </row>
    <row r="4558" spans="14:14" x14ac:dyDescent="0.45">
      <c r="N4558" t="s">
        <v>1845</v>
      </c>
    </row>
    <row r="4559" spans="14:14" x14ac:dyDescent="0.45">
      <c r="N4559" t="s">
        <v>1852</v>
      </c>
    </row>
    <row r="4560" spans="14:14" x14ac:dyDescent="0.45">
      <c r="N4560" t="s">
        <v>1852</v>
      </c>
    </row>
    <row r="4561" spans="14:14" x14ac:dyDescent="0.45">
      <c r="N4561" t="s">
        <v>1370</v>
      </c>
    </row>
    <row r="4562" spans="14:14" x14ac:dyDescent="0.45">
      <c r="N4562" t="s">
        <v>1370</v>
      </c>
    </row>
    <row r="4563" spans="14:14" x14ac:dyDescent="0.45">
      <c r="N4563" t="s">
        <v>1852</v>
      </c>
    </row>
    <row r="4564" spans="14:14" x14ac:dyDescent="0.45">
      <c r="N4564" t="s">
        <v>1852</v>
      </c>
    </row>
    <row r="4565" spans="14:14" x14ac:dyDescent="0.45">
      <c r="N4565" t="s">
        <v>1852</v>
      </c>
    </row>
    <row r="4566" spans="14:14" x14ac:dyDescent="0.45">
      <c r="N4566" t="s">
        <v>1852</v>
      </c>
    </row>
    <row r="4567" spans="14:14" x14ac:dyDescent="0.45">
      <c r="N4567" t="s">
        <v>1852</v>
      </c>
    </row>
    <row r="4568" spans="14:14" x14ac:dyDescent="0.45">
      <c r="N4568" t="s">
        <v>1852</v>
      </c>
    </row>
    <row r="4569" spans="14:14" x14ac:dyDescent="0.45">
      <c r="N4569" t="s">
        <v>1852</v>
      </c>
    </row>
    <row r="4570" spans="14:14" x14ac:dyDescent="0.45">
      <c r="N4570" t="s">
        <v>1852</v>
      </c>
    </row>
    <row r="4571" spans="14:14" x14ac:dyDescent="0.45">
      <c r="N4571" t="s">
        <v>1852</v>
      </c>
    </row>
    <row r="4572" spans="14:14" x14ac:dyDescent="0.45">
      <c r="N4572" t="s">
        <v>1852</v>
      </c>
    </row>
    <row r="4573" spans="14:14" x14ac:dyDescent="0.45">
      <c r="N4573" t="s">
        <v>1852</v>
      </c>
    </row>
    <row r="4574" spans="14:14" x14ac:dyDescent="0.45">
      <c r="N4574" t="s">
        <v>1852</v>
      </c>
    </row>
    <row r="4575" spans="14:14" x14ac:dyDescent="0.45">
      <c r="N4575" t="s">
        <v>1846</v>
      </c>
    </row>
    <row r="4576" spans="14:14" x14ac:dyDescent="0.45">
      <c r="N4576" t="s">
        <v>1848</v>
      </c>
    </row>
    <row r="4577" spans="14:14" x14ac:dyDescent="0.45">
      <c r="N4577" t="s">
        <v>1847</v>
      </c>
    </row>
    <row r="4578" spans="14:14" x14ac:dyDescent="0.45">
      <c r="N4578" t="s">
        <v>1846</v>
      </c>
    </row>
    <row r="4579" spans="14:14" x14ac:dyDescent="0.45">
      <c r="N4579" t="s">
        <v>1848</v>
      </c>
    </row>
    <row r="4580" spans="14:14" x14ac:dyDescent="0.45">
      <c r="N4580" t="s">
        <v>1847</v>
      </c>
    </row>
    <row r="4581" spans="14:14" x14ac:dyDescent="0.45">
      <c r="N4581" t="s">
        <v>1846</v>
      </c>
    </row>
    <row r="4582" spans="14:14" x14ac:dyDescent="0.45">
      <c r="N4582" t="s">
        <v>1848</v>
      </c>
    </row>
    <row r="4583" spans="14:14" x14ac:dyDescent="0.45">
      <c r="N4583" t="s">
        <v>1847</v>
      </c>
    </row>
    <row r="4584" spans="14:14" x14ac:dyDescent="0.45">
      <c r="N4584" t="s">
        <v>1848</v>
      </c>
    </row>
    <row r="4585" spans="14:14" x14ac:dyDescent="0.45">
      <c r="N4585" t="s">
        <v>1848</v>
      </c>
    </row>
    <row r="4586" spans="14:14" x14ac:dyDescent="0.45">
      <c r="N4586" t="s">
        <v>1848</v>
      </c>
    </row>
    <row r="4587" spans="14:14" x14ac:dyDescent="0.45">
      <c r="N4587" t="s">
        <v>1848</v>
      </c>
    </row>
    <row r="4588" spans="14:14" x14ac:dyDescent="0.45">
      <c r="N4588" t="s">
        <v>1848</v>
      </c>
    </row>
    <row r="4589" spans="14:14" x14ac:dyDescent="0.45">
      <c r="N4589" t="s">
        <v>1848</v>
      </c>
    </row>
    <row r="4590" spans="14:14" x14ac:dyDescent="0.45">
      <c r="N4590" t="s">
        <v>1848</v>
      </c>
    </row>
    <row r="4591" spans="14:14" x14ac:dyDescent="0.45">
      <c r="N4591" t="s">
        <v>1848</v>
      </c>
    </row>
    <row r="4592" spans="14:14" x14ac:dyDescent="0.45">
      <c r="N4592" t="s">
        <v>1848</v>
      </c>
    </row>
    <row r="4593" spans="14:14" x14ac:dyDescent="0.45">
      <c r="N4593" t="s">
        <v>1848</v>
      </c>
    </row>
    <row r="4594" spans="14:14" x14ac:dyDescent="0.45">
      <c r="N4594" t="s">
        <v>1848</v>
      </c>
    </row>
    <row r="4595" spans="14:14" x14ac:dyDescent="0.45">
      <c r="N4595" t="s">
        <v>1848</v>
      </c>
    </row>
    <row r="4596" spans="14:14" x14ac:dyDescent="0.45">
      <c r="N4596" t="s">
        <v>1848</v>
      </c>
    </row>
    <row r="4597" spans="14:14" x14ac:dyDescent="0.45">
      <c r="N4597" t="s">
        <v>1848</v>
      </c>
    </row>
    <row r="4598" spans="14:14" x14ac:dyDescent="0.45">
      <c r="N4598" t="s">
        <v>1848</v>
      </c>
    </row>
    <row r="4599" spans="14:14" x14ac:dyDescent="0.45">
      <c r="N4599" t="s">
        <v>1848</v>
      </c>
    </row>
    <row r="4600" spans="14:14" x14ac:dyDescent="0.45">
      <c r="N4600" t="s">
        <v>1848</v>
      </c>
    </row>
    <row r="4601" spans="14:14" x14ac:dyDescent="0.45">
      <c r="N4601" t="s">
        <v>1848</v>
      </c>
    </row>
    <row r="4602" spans="14:14" x14ac:dyDescent="0.45">
      <c r="N4602" t="s">
        <v>1848</v>
      </c>
    </row>
    <row r="4603" spans="14:14" x14ac:dyDescent="0.45">
      <c r="N4603" t="s">
        <v>1848</v>
      </c>
    </row>
    <row r="4604" spans="14:14" x14ac:dyDescent="0.45">
      <c r="N4604" t="s">
        <v>1848</v>
      </c>
    </row>
    <row r="4605" spans="14:14" x14ac:dyDescent="0.45">
      <c r="N4605" t="s">
        <v>1848</v>
      </c>
    </row>
    <row r="4606" spans="14:14" x14ac:dyDescent="0.45">
      <c r="N4606" t="s">
        <v>1848</v>
      </c>
    </row>
    <row r="4607" spans="14:14" x14ac:dyDescent="0.45">
      <c r="N4607" t="s">
        <v>1848</v>
      </c>
    </row>
    <row r="4608" spans="14:14" x14ac:dyDescent="0.45">
      <c r="N4608" t="s">
        <v>1848</v>
      </c>
    </row>
    <row r="4609" spans="14:14" x14ac:dyDescent="0.45">
      <c r="N4609" t="s">
        <v>1848</v>
      </c>
    </row>
    <row r="4610" spans="14:14" x14ac:dyDescent="0.45">
      <c r="N4610" t="s">
        <v>1848</v>
      </c>
    </row>
    <row r="4611" spans="14:14" x14ac:dyDescent="0.45">
      <c r="N4611" t="s">
        <v>1848</v>
      </c>
    </row>
    <row r="4612" spans="14:14" x14ac:dyDescent="0.45">
      <c r="N4612" t="s">
        <v>1848</v>
      </c>
    </row>
    <row r="4613" spans="14:14" x14ac:dyDescent="0.45">
      <c r="N4613" t="s">
        <v>1848</v>
      </c>
    </row>
    <row r="4614" spans="14:14" x14ac:dyDescent="0.45">
      <c r="N4614" t="s">
        <v>1848</v>
      </c>
    </row>
    <row r="4615" spans="14:14" x14ac:dyDescent="0.45">
      <c r="N4615" t="s">
        <v>1848</v>
      </c>
    </row>
    <row r="4616" spans="14:14" x14ac:dyDescent="0.45">
      <c r="N4616" t="s">
        <v>1848</v>
      </c>
    </row>
    <row r="4617" spans="14:14" x14ac:dyDescent="0.45">
      <c r="N4617" t="s">
        <v>1848</v>
      </c>
    </row>
    <row r="4618" spans="14:14" x14ac:dyDescent="0.45">
      <c r="N4618" t="s">
        <v>1848</v>
      </c>
    </row>
    <row r="4619" spans="14:14" x14ac:dyDescent="0.45">
      <c r="N4619" t="s">
        <v>1848</v>
      </c>
    </row>
    <row r="4620" spans="14:14" x14ac:dyDescent="0.45">
      <c r="N4620" t="s">
        <v>1848</v>
      </c>
    </row>
    <row r="4621" spans="14:14" x14ac:dyDescent="0.45">
      <c r="N4621" t="s">
        <v>1848</v>
      </c>
    </row>
    <row r="4622" spans="14:14" x14ac:dyDescent="0.45">
      <c r="N4622" t="s">
        <v>1848</v>
      </c>
    </row>
    <row r="4623" spans="14:14" x14ac:dyDescent="0.45">
      <c r="N4623" t="s">
        <v>1848</v>
      </c>
    </row>
    <row r="4624" spans="14:14" x14ac:dyDescent="0.45">
      <c r="N4624" t="s">
        <v>1848</v>
      </c>
    </row>
    <row r="4625" spans="14:14" x14ac:dyDescent="0.45">
      <c r="N4625" t="s">
        <v>1848</v>
      </c>
    </row>
    <row r="4626" spans="14:14" x14ac:dyDescent="0.45">
      <c r="N4626" t="s">
        <v>1848</v>
      </c>
    </row>
    <row r="4627" spans="14:14" x14ac:dyDescent="0.45">
      <c r="N4627" t="s">
        <v>1848</v>
      </c>
    </row>
    <row r="4628" spans="14:14" x14ac:dyDescent="0.45">
      <c r="N4628" t="s">
        <v>1848</v>
      </c>
    </row>
    <row r="4629" spans="14:14" x14ac:dyDescent="0.45">
      <c r="N4629" t="s">
        <v>1848</v>
      </c>
    </row>
    <row r="4630" spans="14:14" x14ac:dyDescent="0.45">
      <c r="N4630" t="s">
        <v>1848</v>
      </c>
    </row>
    <row r="4631" spans="14:14" x14ac:dyDescent="0.45">
      <c r="N4631" t="s">
        <v>1848</v>
      </c>
    </row>
    <row r="4632" spans="14:14" x14ac:dyDescent="0.45">
      <c r="N4632" t="s">
        <v>1848</v>
      </c>
    </row>
    <row r="4633" spans="14:14" x14ac:dyDescent="0.45">
      <c r="N4633" t="s">
        <v>1848</v>
      </c>
    </row>
    <row r="4634" spans="14:14" x14ac:dyDescent="0.45">
      <c r="N4634" t="s">
        <v>1848</v>
      </c>
    </row>
    <row r="4635" spans="14:14" x14ac:dyDescent="0.45">
      <c r="N4635" t="s">
        <v>1848</v>
      </c>
    </row>
    <row r="4636" spans="14:14" x14ac:dyDescent="0.45">
      <c r="N4636" t="s">
        <v>1848</v>
      </c>
    </row>
    <row r="4637" spans="14:14" x14ac:dyDescent="0.45">
      <c r="N4637" t="s">
        <v>1848</v>
      </c>
    </row>
    <row r="4638" spans="14:14" x14ac:dyDescent="0.45">
      <c r="N4638" t="s">
        <v>1848</v>
      </c>
    </row>
    <row r="4639" spans="14:14" x14ac:dyDescent="0.45">
      <c r="N4639" t="s">
        <v>1848</v>
      </c>
    </row>
    <row r="4640" spans="14:14" x14ac:dyDescent="0.45">
      <c r="N4640" t="s">
        <v>1848</v>
      </c>
    </row>
    <row r="4641" spans="14:14" x14ac:dyDescent="0.45">
      <c r="N4641" t="s">
        <v>1848</v>
      </c>
    </row>
    <row r="4642" spans="14:14" x14ac:dyDescent="0.45">
      <c r="N4642" t="s">
        <v>1848</v>
      </c>
    </row>
    <row r="4643" spans="14:14" x14ac:dyDescent="0.45">
      <c r="N4643" t="s">
        <v>1848</v>
      </c>
    </row>
    <row r="4644" spans="14:14" x14ac:dyDescent="0.45">
      <c r="N4644" t="s">
        <v>1848</v>
      </c>
    </row>
    <row r="4645" spans="14:14" x14ac:dyDescent="0.45">
      <c r="N4645" t="s">
        <v>1848</v>
      </c>
    </row>
    <row r="4646" spans="14:14" x14ac:dyDescent="0.45">
      <c r="N4646" t="s">
        <v>1848</v>
      </c>
    </row>
    <row r="4647" spans="14:14" x14ac:dyDescent="0.45">
      <c r="N4647" t="s">
        <v>1848</v>
      </c>
    </row>
    <row r="4648" spans="14:14" x14ac:dyDescent="0.45">
      <c r="N4648" t="s">
        <v>1848</v>
      </c>
    </row>
    <row r="4649" spans="14:14" x14ac:dyDescent="0.45">
      <c r="N4649" t="s">
        <v>1848</v>
      </c>
    </row>
    <row r="4650" spans="14:14" x14ac:dyDescent="0.45">
      <c r="N4650" t="s">
        <v>1848</v>
      </c>
    </row>
    <row r="4651" spans="14:14" x14ac:dyDescent="0.45">
      <c r="N4651" t="s">
        <v>1848</v>
      </c>
    </row>
    <row r="4652" spans="14:14" x14ac:dyDescent="0.45">
      <c r="N4652" t="s">
        <v>1848</v>
      </c>
    </row>
    <row r="4653" spans="14:14" x14ac:dyDescent="0.45">
      <c r="N4653" t="s">
        <v>1848</v>
      </c>
    </row>
    <row r="4654" spans="14:14" x14ac:dyDescent="0.45">
      <c r="N4654" t="s">
        <v>1848</v>
      </c>
    </row>
    <row r="4655" spans="14:14" x14ac:dyDescent="0.45">
      <c r="N4655" t="s">
        <v>1848</v>
      </c>
    </row>
    <row r="4656" spans="14:14" x14ac:dyDescent="0.45">
      <c r="N4656" t="s">
        <v>1848</v>
      </c>
    </row>
    <row r="4657" spans="14:14" x14ac:dyDescent="0.45">
      <c r="N4657" t="s">
        <v>1848</v>
      </c>
    </row>
    <row r="4658" spans="14:14" x14ac:dyDescent="0.45">
      <c r="N4658" t="s">
        <v>1848</v>
      </c>
    </row>
    <row r="4659" spans="14:14" x14ac:dyDescent="0.45">
      <c r="N4659" t="s">
        <v>1848</v>
      </c>
    </row>
    <row r="4660" spans="14:14" x14ac:dyDescent="0.45">
      <c r="N4660" t="s">
        <v>1848</v>
      </c>
    </row>
    <row r="4661" spans="14:14" x14ac:dyDescent="0.45">
      <c r="N4661" t="s">
        <v>1848</v>
      </c>
    </row>
    <row r="4662" spans="14:14" x14ac:dyDescent="0.45">
      <c r="N4662" t="s">
        <v>1848</v>
      </c>
    </row>
    <row r="4663" spans="14:14" x14ac:dyDescent="0.45">
      <c r="N4663" t="s">
        <v>1848</v>
      </c>
    </row>
    <row r="4664" spans="14:14" x14ac:dyDescent="0.45">
      <c r="N4664" t="s">
        <v>1848</v>
      </c>
    </row>
    <row r="4665" spans="14:14" x14ac:dyDescent="0.45">
      <c r="N4665" t="s">
        <v>1848</v>
      </c>
    </row>
    <row r="4666" spans="14:14" x14ac:dyDescent="0.45">
      <c r="N4666" t="s">
        <v>1848</v>
      </c>
    </row>
    <row r="4667" spans="14:14" x14ac:dyDescent="0.45">
      <c r="N4667" t="s">
        <v>1848</v>
      </c>
    </row>
    <row r="4668" spans="14:14" x14ac:dyDescent="0.45">
      <c r="N4668" t="s">
        <v>1848</v>
      </c>
    </row>
    <row r="4669" spans="14:14" x14ac:dyDescent="0.45">
      <c r="N4669" t="s">
        <v>1848</v>
      </c>
    </row>
    <row r="4670" spans="14:14" x14ac:dyDescent="0.45">
      <c r="N4670" t="s">
        <v>1848</v>
      </c>
    </row>
    <row r="4671" spans="14:14" x14ac:dyDescent="0.45">
      <c r="N4671" t="s">
        <v>1848</v>
      </c>
    </row>
    <row r="4672" spans="14:14" x14ac:dyDescent="0.45">
      <c r="N4672" t="s">
        <v>1848</v>
      </c>
    </row>
    <row r="4673" spans="14:14" x14ac:dyDescent="0.45">
      <c r="N4673" t="s">
        <v>1848</v>
      </c>
    </row>
    <row r="4674" spans="14:14" x14ac:dyDescent="0.45">
      <c r="N4674" t="s">
        <v>1848</v>
      </c>
    </row>
    <row r="4675" spans="14:14" x14ac:dyDescent="0.45">
      <c r="N4675" t="s">
        <v>1848</v>
      </c>
    </row>
    <row r="4676" spans="14:14" x14ac:dyDescent="0.45">
      <c r="N4676" t="s">
        <v>1848</v>
      </c>
    </row>
    <row r="4677" spans="14:14" x14ac:dyDescent="0.45">
      <c r="N4677" t="s">
        <v>1848</v>
      </c>
    </row>
    <row r="4678" spans="14:14" x14ac:dyDescent="0.45">
      <c r="N4678" t="s">
        <v>1848</v>
      </c>
    </row>
    <row r="4679" spans="14:14" x14ac:dyDescent="0.45">
      <c r="N4679" t="s">
        <v>1848</v>
      </c>
    </row>
    <row r="4680" spans="14:14" x14ac:dyDescent="0.45">
      <c r="N4680" t="s">
        <v>1848</v>
      </c>
    </row>
    <row r="4681" spans="14:14" x14ac:dyDescent="0.45">
      <c r="N4681" t="s">
        <v>1848</v>
      </c>
    </row>
    <row r="4682" spans="14:14" x14ac:dyDescent="0.45">
      <c r="N4682" t="s">
        <v>1848</v>
      </c>
    </row>
    <row r="4683" spans="14:14" x14ac:dyDescent="0.45">
      <c r="N4683" t="s">
        <v>1848</v>
      </c>
    </row>
    <row r="4684" spans="14:14" x14ac:dyDescent="0.45">
      <c r="N4684" t="s">
        <v>1848</v>
      </c>
    </row>
    <row r="4685" spans="14:14" x14ac:dyDescent="0.45">
      <c r="N4685" t="s">
        <v>1848</v>
      </c>
    </row>
    <row r="4686" spans="14:14" x14ac:dyDescent="0.45">
      <c r="N4686" t="s">
        <v>1848</v>
      </c>
    </row>
    <row r="4687" spans="14:14" x14ac:dyDescent="0.45">
      <c r="N4687" t="s">
        <v>1848</v>
      </c>
    </row>
    <row r="4688" spans="14:14" x14ac:dyDescent="0.45">
      <c r="N4688" t="s">
        <v>1848</v>
      </c>
    </row>
    <row r="4689" spans="14:14" x14ac:dyDescent="0.45">
      <c r="N4689" t="s">
        <v>1848</v>
      </c>
    </row>
    <row r="4690" spans="14:14" x14ac:dyDescent="0.45">
      <c r="N4690" t="s">
        <v>1848</v>
      </c>
    </row>
    <row r="4691" spans="14:14" x14ac:dyDescent="0.45">
      <c r="N4691" t="s">
        <v>1848</v>
      </c>
    </row>
    <row r="4692" spans="14:14" x14ac:dyDescent="0.45">
      <c r="N4692" t="s">
        <v>1848</v>
      </c>
    </row>
    <row r="4693" spans="14:14" x14ac:dyDescent="0.45">
      <c r="N4693" t="s">
        <v>1848</v>
      </c>
    </row>
    <row r="4694" spans="14:14" x14ac:dyDescent="0.45">
      <c r="N4694" t="s">
        <v>1848</v>
      </c>
    </row>
    <row r="4695" spans="14:14" x14ac:dyDescent="0.45">
      <c r="N4695" t="s">
        <v>1848</v>
      </c>
    </row>
    <row r="4696" spans="14:14" x14ac:dyDescent="0.45">
      <c r="N4696" t="s">
        <v>1848</v>
      </c>
    </row>
    <row r="4697" spans="14:14" x14ac:dyDescent="0.45">
      <c r="N4697" t="s">
        <v>1848</v>
      </c>
    </row>
    <row r="4698" spans="14:14" x14ac:dyDescent="0.45">
      <c r="N4698" t="s">
        <v>1848</v>
      </c>
    </row>
    <row r="4699" spans="14:14" x14ac:dyDescent="0.45">
      <c r="N4699" t="s">
        <v>1848</v>
      </c>
    </row>
    <row r="4700" spans="14:14" x14ac:dyDescent="0.45">
      <c r="N4700" t="s">
        <v>1848</v>
      </c>
    </row>
    <row r="4701" spans="14:14" x14ac:dyDescent="0.45">
      <c r="N4701" t="s">
        <v>1848</v>
      </c>
    </row>
    <row r="4702" spans="14:14" x14ac:dyDescent="0.45">
      <c r="N4702" t="s">
        <v>1848</v>
      </c>
    </row>
    <row r="4703" spans="14:14" x14ac:dyDescent="0.45">
      <c r="N4703" t="s">
        <v>1848</v>
      </c>
    </row>
    <row r="4704" spans="14:14" x14ac:dyDescent="0.45">
      <c r="N4704" t="s">
        <v>1848</v>
      </c>
    </row>
    <row r="4705" spans="14:14" x14ac:dyDescent="0.45">
      <c r="N4705" t="s">
        <v>1848</v>
      </c>
    </row>
    <row r="4706" spans="14:14" x14ac:dyDescent="0.45">
      <c r="N4706" t="s">
        <v>1848</v>
      </c>
    </row>
    <row r="4707" spans="14:14" x14ac:dyDescent="0.45">
      <c r="N4707" t="s">
        <v>1848</v>
      </c>
    </row>
    <row r="4708" spans="14:14" x14ac:dyDescent="0.45">
      <c r="N4708" t="s">
        <v>1848</v>
      </c>
    </row>
    <row r="4709" spans="14:14" x14ac:dyDescent="0.45">
      <c r="N4709" t="s">
        <v>1848</v>
      </c>
    </row>
    <row r="4710" spans="14:14" x14ac:dyDescent="0.45">
      <c r="N4710" t="s">
        <v>1848</v>
      </c>
    </row>
    <row r="4711" spans="14:14" x14ac:dyDescent="0.45">
      <c r="N4711" t="s">
        <v>1848</v>
      </c>
    </row>
    <row r="4712" spans="14:14" x14ac:dyDescent="0.45">
      <c r="N4712" t="s">
        <v>1848</v>
      </c>
    </row>
    <row r="4713" spans="14:14" x14ac:dyDescent="0.45">
      <c r="N4713" t="s">
        <v>1848</v>
      </c>
    </row>
    <row r="4714" spans="14:14" x14ac:dyDescent="0.45">
      <c r="N4714" t="s">
        <v>1848</v>
      </c>
    </row>
    <row r="4715" spans="14:14" x14ac:dyDescent="0.45">
      <c r="N4715" t="s">
        <v>1848</v>
      </c>
    </row>
    <row r="4716" spans="14:14" x14ac:dyDescent="0.45">
      <c r="N4716" t="s">
        <v>1848</v>
      </c>
    </row>
    <row r="4717" spans="14:14" x14ac:dyDescent="0.45">
      <c r="N4717" t="s">
        <v>1848</v>
      </c>
    </row>
    <row r="4718" spans="14:14" x14ac:dyDescent="0.45">
      <c r="N4718" t="s">
        <v>1848</v>
      </c>
    </row>
    <row r="4719" spans="14:14" x14ac:dyDescent="0.45">
      <c r="N4719" t="s">
        <v>1848</v>
      </c>
    </row>
    <row r="4720" spans="14:14" x14ac:dyDescent="0.45">
      <c r="N4720" t="s">
        <v>1848</v>
      </c>
    </row>
    <row r="4721" spans="14:14" x14ac:dyDescent="0.45">
      <c r="N4721" t="s">
        <v>1848</v>
      </c>
    </row>
    <row r="4722" spans="14:14" x14ac:dyDescent="0.45">
      <c r="N4722" t="s">
        <v>1848</v>
      </c>
    </row>
    <row r="4723" spans="14:14" x14ac:dyDescent="0.45">
      <c r="N4723" t="s">
        <v>1848</v>
      </c>
    </row>
    <row r="4724" spans="14:14" x14ac:dyDescent="0.45">
      <c r="N4724" t="s">
        <v>1848</v>
      </c>
    </row>
    <row r="4725" spans="14:14" x14ac:dyDescent="0.45">
      <c r="N4725" t="s">
        <v>1848</v>
      </c>
    </row>
    <row r="4726" spans="14:14" x14ac:dyDescent="0.45">
      <c r="N4726" t="s">
        <v>1848</v>
      </c>
    </row>
    <row r="4727" spans="14:14" x14ac:dyDescent="0.45">
      <c r="N4727" t="s">
        <v>1848</v>
      </c>
    </row>
    <row r="4728" spans="14:14" x14ac:dyDescent="0.45">
      <c r="N4728" t="s">
        <v>1848</v>
      </c>
    </row>
    <row r="4729" spans="14:14" x14ac:dyDescent="0.45">
      <c r="N4729" t="s">
        <v>1848</v>
      </c>
    </row>
    <row r="4730" spans="14:14" x14ac:dyDescent="0.45">
      <c r="N4730" t="s">
        <v>1848</v>
      </c>
    </row>
    <row r="4731" spans="14:14" x14ac:dyDescent="0.45">
      <c r="N4731" t="s">
        <v>1848</v>
      </c>
    </row>
    <row r="4732" spans="14:14" x14ac:dyDescent="0.45">
      <c r="N4732" t="s">
        <v>1848</v>
      </c>
    </row>
    <row r="4733" spans="14:14" x14ac:dyDescent="0.45">
      <c r="N4733" t="s">
        <v>1848</v>
      </c>
    </row>
    <row r="4734" spans="14:14" x14ac:dyDescent="0.45">
      <c r="N4734" t="s">
        <v>1848</v>
      </c>
    </row>
    <row r="4735" spans="14:14" x14ac:dyDescent="0.45">
      <c r="N4735" t="s">
        <v>1848</v>
      </c>
    </row>
    <row r="4736" spans="14:14" x14ac:dyDescent="0.45">
      <c r="N4736" t="s">
        <v>1848</v>
      </c>
    </row>
    <row r="4737" spans="14:14" x14ac:dyDescent="0.45">
      <c r="N4737" t="s">
        <v>1848</v>
      </c>
    </row>
    <row r="4738" spans="14:14" x14ac:dyDescent="0.45">
      <c r="N4738" t="s">
        <v>1848</v>
      </c>
    </row>
    <row r="4739" spans="14:14" x14ac:dyDescent="0.45">
      <c r="N4739" t="s">
        <v>1848</v>
      </c>
    </row>
    <row r="4740" spans="14:14" x14ac:dyDescent="0.45">
      <c r="N4740" t="s">
        <v>1848</v>
      </c>
    </row>
    <row r="4741" spans="14:14" x14ac:dyDescent="0.45">
      <c r="N4741" t="s">
        <v>1848</v>
      </c>
    </row>
    <row r="4742" spans="14:14" x14ac:dyDescent="0.45">
      <c r="N4742" t="s">
        <v>1848</v>
      </c>
    </row>
    <row r="4743" spans="14:14" x14ac:dyDescent="0.45">
      <c r="N4743" t="s">
        <v>1848</v>
      </c>
    </row>
    <row r="4744" spans="14:14" x14ac:dyDescent="0.45">
      <c r="N4744" t="s">
        <v>1848</v>
      </c>
    </row>
    <row r="4745" spans="14:14" x14ac:dyDescent="0.45">
      <c r="N4745" t="s">
        <v>1848</v>
      </c>
    </row>
    <row r="4746" spans="14:14" x14ac:dyDescent="0.45">
      <c r="N4746" t="s">
        <v>1848</v>
      </c>
    </row>
    <row r="4747" spans="14:14" x14ac:dyDescent="0.45">
      <c r="N4747" t="s">
        <v>1848</v>
      </c>
    </row>
    <row r="4748" spans="14:14" x14ac:dyDescent="0.45">
      <c r="N4748" t="s">
        <v>1848</v>
      </c>
    </row>
    <row r="4749" spans="14:14" x14ac:dyDescent="0.45">
      <c r="N4749" t="s">
        <v>1848</v>
      </c>
    </row>
    <row r="4750" spans="14:14" x14ac:dyDescent="0.45">
      <c r="N4750" t="s">
        <v>1848</v>
      </c>
    </row>
    <row r="4751" spans="14:14" x14ac:dyDescent="0.45">
      <c r="N4751" t="s">
        <v>1848</v>
      </c>
    </row>
    <row r="4752" spans="14:14" x14ac:dyDescent="0.45">
      <c r="N4752" t="s">
        <v>1848</v>
      </c>
    </row>
    <row r="4753" spans="14:14" x14ac:dyDescent="0.45">
      <c r="N4753" t="s">
        <v>1848</v>
      </c>
    </row>
    <row r="4754" spans="14:14" x14ac:dyDescent="0.45">
      <c r="N4754" t="s">
        <v>1848</v>
      </c>
    </row>
    <row r="4755" spans="14:14" x14ac:dyDescent="0.45">
      <c r="N4755" t="s">
        <v>1848</v>
      </c>
    </row>
    <row r="4756" spans="14:14" x14ac:dyDescent="0.45">
      <c r="N4756" t="s">
        <v>1848</v>
      </c>
    </row>
    <row r="4757" spans="14:14" x14ac:dyDescent="0.45">
      <c r="N4757" t="s">
        <v>1848</v>
      </c>
    </row>
    <row r="4758" spans="14:14" x14ac:dyDescent="0.45">
      <c r="N4758" t="s">
        <v>1848</v>
      </c>
    </row>
    <row r="4759" spans="14:14" x14ac:dyDescent="0.45">
      <c r="N4759" t="s">
        <v>1848</v>
      </c>
    </row>
    <row r="4760" spans="14:14" x14ac:dyDescent="0.45">
      <c r="N4760" t="s">
        <v>1848</v>
      </c>
    </row>
    <row r="4761" spans="14:14" x14ac:dyDescent="0.45">
      <c r="N4761" t="s">
        <v>1848</v>
      </c>
    </row>
    <row r="4762" spans="14:14" x14ac:dyDescent="0.45">
      <c r="N4762" t="s">
        <v>1848</v>
      </c>
    </row>
    <row r="4763" spans="14:14" x14ac:dyDescent="0.45">
      <c r="N4763" t="s">
        <v>1848</v>
      </c>
    </row>
    <row r="4764" spans="14:14" x14ac:dyDescent="0.45">
      <c r="N4764" t="s">
        <v>1848</v>
      </c>
    </row>
    <row r="4765" spans="14:14" x14ac:dyDescent="0.45">
      <c r="N4765" t="s">
        <v>1848</v>
      </c>
    </row>
    <row r="4766" spans="14:14" x14ac:dyDescent="0.45">
      <c r="N4766" t="s">
        <v>1848</v>
      </c>
    </row>
    <row r="4767" spans="14:14" x14ac:dyDescent="0.45">
      <c r="N4767" t="s">
        <v>1848</v>
      </c>
    </row>
    <row r="4768" spans="14:14" x14ac:dyDescent="0.45">
      <c r="N4768" t="s">
        <v>1848</v>
      </c>
    </row>
    <row r="4769" spans="14:14" x14ac:dyDescent="0.45">
      <c r="N4769" t="s">
        <v>1848</v>
      </c>
    </row>
    <row r="4770" spans="14:14" x14ac:dyDescent="0.45">
      <c r="N4770" t="s">
        <v>1848</v>
      </c>
    </row>
    <row r="4771" spans="14:14" x14ac:dyDescent="0.45">
      <c r="N4771" t="s">
        <v>1848</v>
      </c>
    </row>
    <row r="4772" spans="14:14" x14ac:dyDescent="0.45">
      <c r="N4772" t="s">
        <v>1848</v>
      </c>
    </row>
    <row r="4773" spans="14:14" x14ac:dyDescent="0.45">
      <c r="N4773" t="s">
        <v>1848</v>
      </c>
    </row>
    <row r="4774" spans="14:14" x14ac:dyDescent="0.45">
      <c r="N4774" t="s">
        <v>1848</v>
      </c>
    </row>
    <row r="4775" spans="14:14" x14ac:dyDescent="0.45">
      <c r="N4775" t="s">
        <v>1848</v>
      </c>
    </row>
    <row r="4776" spans="14:14" x14ac:dyDescent="0.45">
      <c r="N4776" t="s">
        <v>1848</v>
      </c>
    </row>
    <row r="4777" spans="14:14" x14ac:dyDescent="0.45">
      <c r="N4777" t="s">
        <v>1848</v>
      </c>
    </row>
    <row r="4778" spans="14:14" x14ac:dyDescent="0.45">
      <c r="N4778" t="s">
        <v>1848</v>
      </c>
    </row>
    <row r="4779" spans="14:14" x14ac:dyDescent="0.45">
      <c r="N4779" t="s">
        <v>1848</v>
      </c>
    </row>
    <row r="4780" spans="14:14" x14ac:dyDescent="0.45">
      <c r="N4780" t="s">
        <v>1848</v>
      </c>
    </row>
    <row r="4781" spans="14:14" x14ac:dyDescent="0.45">
      <c r="N4781" t="s">
        <v>1848</v>
      </c>
    </row>
    <row r="4782" spans="14:14" x14ac:dyDescent="0.45">
      <c r="N4782" t="s">
        <v>1848</v>
      </c>
    </row>
    <row r="4783" spans="14:14" x14ac:dyDescent="0.45">
      <c r="N4783" t="s">
        <v>1848</v>
      </c>
    </row>
    <row r="4784" spans="14:14" x14ac:dyDescent="0.45">
      <c r="N4784" t="s">
        <v>1848</v>
      </c>
    </row>
    <row r="4785" spans="14:14" x14ac:dyDescent="0.45">
      <c r="N4785" t="s">
        <v>1848</v>
      </c>
    </row>
    <row r="4786" spans="14:14" x14ac:dyDescent="0.45">
      <c r="N4786" t="s">
        <v>1848</v>
      </c>
    </row>
    <row r="4787" spans="14:14" x14ac:dyDescent="0.45">
      <c r="N4787" t="s">
        <v>1848</v>
      </c>
    </row>
    <row r="4788" spans="14:14" x14ac:dyDescent="0.45">
      <c r="N4788" t="s">
        <v>1848</v>
      </c>
    </row>
    <row r="4789" spans="14:14" x14ac:dyDescent="0.45">
      <c r="N4789" t="s">
        <v>1848</v>
      </c>
    </row>
    <row r="4790" spans="14:14" x14ac:dyDescent="0.45">
      <c r="N4790" t="s">
        <v>1848</v>
      </c>
    </row>
    <row r="4791" spans="14:14" x14ac:dyDescent="0.45">
      <c r="N4791" t="s">
        <v>1848</v>
      </c>
    </row>
    <row r="4792" spans="14:14" x14ac:dyDescent="0.45">
      <c r="N4792" t="s">
        <v>1848</v>
      </c>
    </row>
    <row r="4793" spans="14:14" x14ac:dyDescent="0.45">
      <c r="N4793" t="s">
        <v>1848</v>
      </c>
    </row>
    <row r="4794" spans="14:14" x14ac:dyDescent="0.45">
      <c r="N4794" t="s">
        <v>1848</v>
      </c>
    </row>
    <row r="4795" spans="14:14" x14ac:dyDescent="0.45">
      <c r="N4795" t="s">
        <v>1848</v>
      </c>
    </row>
    <row r="4796" spans="14:14" x14ac:dyDescent="0.45">
      <c r="N4796" t="s">
        <v>1848</v>
      </c>
    </row>
    <row r="4797" spans="14:14" x14ac:dyDescent="0.45">
      <c r="N4797" t="s">
        <v>1848</v>
      </c>
    </row>
    <row r="4798" spans="14:14" x14ac:dyDescent="0.45">
      <c r="N4798" t="s">
        <v>1848</v>
      </c>
    </row>
    <row r="4799" spans="14:14" x14ac:dyDescent="0.45">
      <c r="N4799" t="s">
        <v>1848</v>
      </c>
    </row>
    <row r="4800" spans="14:14" x14ac:dyDescent="0.45">
      <c r="N4800" t="s">
        <v>1848</v>
      </c>
    </row>
    <row r="4801" spans="14:14" x14ac:dyDescent="0.45">
      <c r="N4801" t="s">
        <v>1848</v>
      </c>
    </row>
    <row r="4802" spans="14:14" x14ac:dyDescent="0.45">
      <c r="N4802" t="s">
        <v>1848</v>
      </c>
    </row>
    <row r="4803" spans="14:14" x14ac:dyDescent="0.45">
      <c r="N4803" t="s">
        <v>1848</v>
      </c>
    </row>
    <row r="4804" spans="14:14" x14ac:dyDescent="0.45">
      <c r="N4804" t="s">
        <v>1848</v>
      </c>
    </row>
    <row r="4805" spans="14:14" x14ac:dyDescent="0.45">
      <c r="N4805" t="s">
        <v>1848</v>
      </c>
    </row>
    <row r="4806" spans="14:14" x14ac:dyDescent="0.45">
      <c r="N4806" t="s">
        <v>1848</v>
      </c>
    </row>
    <row r="4807" spans="14:14" x14ac:dyDescent="0.45">
      <c r="N4807" t="s">
        <v>1848</v>
      </c>
    </row>
    <row r="4808" spans="14:14" x14ac:dyDescent="0.45">
      <c r="N4808" t="s">
        <v>1848</v>
      </c>
    </row>
    <row r="4809" spans="14:14" x14ac:dyDescent="0.45">
      <c r="N4809" t="s">
        <v>1848</v>
      </c>
    </row>
    <row r="4810" spans="14:14" x14ac:dyDescent="0.45">
      <c r="N4810" t="s">
        <v>1848</v>
      </c>
    </row>
    <row r="4811" spans="14:14" x14ac:dyDescent="0.45">
      <c r="N4811" t="s">
        <v>1848</v>
      </c>
    </row>
    <row r="4812" spans="14:14" x14ac:dyDescent="0.45">
      <c r="N4812" t="s">
        <v>1848</v>
      </c>
    </row>
    <row r="4813" spans="14:14" x14ac:dyDescent="0.45">
      <c r="N4813" t="s">
        <v>1848</v>
      </c>
    </row>
    <row r="4814" spans="14:14" x14ac:dyDescent="0.45">
      <c r="N4814" t="s">
        <v>1848</v>
      </c>
    </row>
    <row r="4815" spans="14:14" x14ac:dyDescent="0.45">
      <c r="N4815" t="s">
        <v>1848</v>
      </c>
    </row>
    <row r="4816" spans="14:14" x14ac:dyDescent="0.45">
      <c r="N4816" t="s">
        <v>1848</v>
      </c>
    </row>
    <row r="4817" spans="14:14" x14ac:dyDescent="0.45">
      <c r="N4817" t="s">
        <v>1848</v>
      </c>
    </row>
    <row r="4818" spans="14:14" x14ac:dyDescent="0.45">
      <c r="N4818" t="s">
        <v>1848</v>
      </c>
    </row>
    <row r="4819" spans="14:14" x14ac:dyDescent="0.45">
      <c r="N4819" t="s">
        <v>1848</v>
      </c>
    </row>
    <row r="4820" spans="14:14" x14ac:dyDescent="0.45">
      <c r="N4820" t="s">
        <v>1848</v>
      </c>
    </row>
    <row r="4821" spans="14:14" x14ac:dyDescent="0.45">
      <c r="N4821" t="s">
        <v>1848</v>
      </c>
    </row>
    <row r="4822" spans="14:14" x14ac:dyDescent="0.45">
      <c r="N4822" t="s">
        <v>1848</v>
      </c>
    </row>
    <row r="4823" spans="14:14" x14ac:dyDescent="0.45">
      <c r="N4823" t="s">
        <v>1848</v>
      </c>
    </row>
    <row r="4824" spans="14:14" x14ac:dyDescent="0.45">
      <c r="N4824" t="s">
        <v>1848</v>
      </c>
    </row>
    <row r="4825" spans="14:14" x14ac:dyDescent="0.45">
      <c r="N4825" t="s">
        <v>1848</v>
      </c>
    </row>
    <row r="4826" spans="14:14" x14ac:dyDescent="0.45">
      <c r="N4826" t="s">
        <v>1848</v>
      </c>
    </row>
    <row r="4827" spans="14:14" x14ac:dyDescent="0.45">
      <c r="N4827" t="s">
        <v>1848</v>
      </c>
    </row>
    <row r="4828" spans="14:14" x14ac:dyDescent="0.45">
      <c r="N4828" t="s">
        <v>1848</v>
      </c>
    </row>
    <row r="4829" spans="14:14" x14ac:dyDescent="0.45">
      <c r="N4829" t="s">
        <v>1848</v>
      </c>
    </row>
    <row r="4830" spans="14:14" x14ac:dyDescent="0.45">
      <c r="N4830" t="s">
        <v>1848</v>
      </c>
    </row>
    <row r="4831" spans="14:14" x14ac:dyDescent="0.45">
      <c r="N4831" t="s">
        <v>1848</v>
      </c>
    </row>
    <row r="4832" spans="14:14" x14ac:dyDescent="0.45">
      <c r="N4832" t="s">
        <v>1848</v>
      </c>
    </row>
    <row r="4833" spans="14:14" x14ac:dyDescent="0.45">
      <c r="N4833" t="s">
        <v>1848</v>
      </c>
    </row>
    <row r="4834" spans="14:14" x14ac:dyDescent="0.45">
      <c r="N4834" t="s">
        <v>1848</v>
      </c>
    </row>
    <row r="4835" spans="14:14" x14ac:dyDescent="0.45">
      <c r="N4835" t="s">
        <v>1848</v>
      </c>
    </row>
    <row r="4836" spans="14:14" x14ac:dyDescent="0.45">
      <c r="N4836" t="s">
        <v>1848</v>
      </c>
    </row>
    <row r="4837" spans="14:14" x14ac:dyDescent="0.45">
      <c r="N4837" t="s">
        <v>1848</v>
      </c>
    </row>
    <row r="4838" spans="14:14" x14ac:dyDescent="0.45">
      <c r="N4838" t="s">
        <v>1848</v>
      </c>
    </row>
    <row r="4839" spans="14:14" x14ac:dyDescent="0.45">
      <c r="N4839" t="s">
        <v>1848</v>
      </c>
    </row>
    <row r="4840" spans="14:14" x14ac:dyDescent="0.45">
      <c r="N4840" t="s">
        <v>1848</v>
      </c>
    </row>
    <row r="4841" spans="14:14" x14ac:dyDescent="0.45">
      <c r="N4841" t="s">
        <v>1848</v>
      </c>
    </row>
    <row r="4842" spans="14:14" x14ac:dyDescent="0.45">
      <c r="N4842" t="s">
        <v>1848</v>
      </c>
    </row>
    <row r="4843" spans="14:14" x14ac:dyDescent="0.45">
      <c r="N4843" t="s">
        <v>1848</v>
      </c>
    </row>
    <row r="4844" spans="14:14" x14ac:dyDescent="0.45">
      <c r="N4844" t="s">
        <v>1848</v>
      </c>
    </row>
    <row r="4845" spans="14:14" x14ac:dyDescent="0.45">
      <c r="N4845" t="s">
        <v>1848</v>
      </c>
    </row>
    <row r="4846" spans="14:14" x14ac:dyDescent="0.45">
      <c r="N4846" t="s">
        <v>1848</v>
      </c>
    </row>
    <row r="4847" spans="14:14" x14ac:dyDescent="0.45">
      <c r="N4847" t="s">
        <v>1848</v>
      </c>
    </row>
    <row r="4848" spans="14:14" x14ac:dyDescent="0.45">
      <c r="N4848" t="s">
        <v>1848</v>
      </c>
    </row>
    <row r="4849" spans="14:14" x14ac:dyDescent="0.45">
      <c r="N4849" t="s">
        <v>1848</v>
      </c>
    </row>
    <row r="4850" spans="14:14" x14ac:dyDescent="0.45">
      <c r="N4850" t="s">
        <v>1848</v>
      </c>
    </row>
    <row r="4851" spans="14:14" x14ac:dyDescent="0.45">
      <c r="N4851" t="s">
        <v>1848</v>
      </c>
    </row>
    <row r="4852" spans="14:14" x14ac:dyDescent="0.45">
      <c r="N4852" t="s">
        <v>1848</v>
      </c>
    </row>
    <row r="4853" spans="14:14" x14ac:dyDescent="0.45">
      <c r="N4853" t="s">
        <v>1848</v>
      </c>
    </row>
    <row r="4854" spans="14:14" x14ac:dyDescent="0.45">
      <c r="N4854" t="s">
        <v>1848</v>
      </c>
    </row>
    <row r="4855" spans="14:14" x14ac:dyDescent="0.45">
      <c r="N4855" t="s">
        <v>1848</v>
      </c>
    </row>
    <row r="4856" spans="14:14" x14ac:dyDescent="0.45">
      <c r="N4856" t="s">
        <v>1848</v>
      </c>
    </row>
    <row r="4857" spans="14:14" x14ac:dyDescent="0.45">
      <c r="N4857" t="s">
        <v>1848</v>
      </c>
    </row>
    <row r="4858" spans="14:14" x14ac:dyDescent="0.45">
      <c r="N4858" t="s">
        <v>1848</v>
      </c>
    </row>
    <row r="4859" spans="14:14" x14ac:dyDescent="0.45">
      <c r="N4859" t="s">
        <v>1848</v>
      </c>
    </row>
    <row r="4860" spans="14:14" x14ac:dyDescent="0.45">
      <c r="N4860" t="s">
        <v>1848</v>
      </c>
    </row>
    <row r="4861" spans="14:14" x14ac:dyDescent="0.45">
      <c r="N4861" t="s">
        <v>1848</v>
      </c>
    </row>
    <row r="4862" spans="14:14" x14ac:dyDescent="0.45">
      <c r="N4862" t="s">
        <v>1848</v>
      </c>
    </row>
    <row r="4863" spans="14:14" x14ac:dyDescent="0.45">
      <c r="N4863" t="s">
        <v>1848</v>
      </c>
    </row>
    <row r="4864" spans="14:14" x14ac:dyDescent="0.45">
      <c r="N4864" t="s">
        <v>1848</v>
      </c>
    </row>
    <row r="4865" spans="14:14" x14ac:dyDescent="0.45">
      <c r="N4865" t="s">
        <v>1848</v>
      </c>
    </row>
    <row r="4866" spans="14:14" x14ac:dyDescent="0.45">
      <c r="N4866" t="s">
        <v>1848</v>
      </c>
    </row>
    <row r="4867" spans="14:14" x14ac:dyDescent="0.45">
      <c r="N4867" t="s">
        <v>1848</v>
      </c>
    </row>
    <row r="4868" spans="14:14" x14ac:dyDescent="0.45">
      <c r="N4868" t="s">
        <v>1848</v>
      </c>
    </row>
    <row r="4869" spans="14:14" x14ac:dyDescent="0.45">
      <c r="N4869" t="s">
        <v>1848</v>
      </c>
    </row>
    <row r="4870" spans="14:14" x14ac:dyDescent="0.45">
      <c r="N4870" t="s">
        <v>1848</v>
      </c>
    </row>
    <row r="4871" spans="14:14" x14ac:dyDescent="0.45">
      <c r="N4871" t="s">
        <v>1848</v>
      </c>
    </row>
    <row r="4872" spans="14:14" x14ac:dyDescent="0.45">
      <c r="N4872" t="s">
        <v>1848</v>
      </c>
    </row>
    <row r="4873" spans="14:14" x14ac:dyDescent="0.45">
      <c r="N4873" t="s">
        <v>1848</v>
      </c>
    </row>
    <row r="4874" spans="14:14" x14ac:dyDescent="0.45">
      <c r="N4874" t="s">
        <v>1848</v>
      </c>
    </row>
    <row r="4875" spans="14:14" x14ac:dyDescent="0.45">
      <c r="N4875" t="s">
        <v>1848</v>
      </c>
    </row>
    <row r="4876" spans="14:14" x14ac:dyDescent="0.45">
      <c r="N4876" t="s">
        <v>1848</v>
      </c>
    </row>
    <row r="4877" spans="14:14" x14ac:dyDescent="0.45">
      <c r="N4877" t="s">
        <v>1848</v>
      </c>
    </row>
    <row r="4878" spans="14:14" x14ac:dyDescent="0.45">
      <c r="N4878" t="s">
        <v>1848</v>
      </c>
    </row>
    <row r="4879" spans="14:14" x14ac:dyDescent="0.45">
      <c r="N4879" t="s">
        <v>1848</v>
      </c>
    </row>
    <row r="4880" spans="14:14" x14ac:dyDescent="0.45">
      <c r="N4880" t="s">
        <v>1848</v>
      </c>
    </row>
    <row r="4881" spans="14:14" x14ac:dyDescent="0.45">
      <c r="N4881" t="s">
        <v>1848</v>
      </c>
    </row>
    <row r="4882" spans="14:14" x14ac:dyDescent="0.45">
      <c r="N4882" t="s">
        <v>1848</v>
      </c>
    </row>
    <row r="4883" spans="14:14" x14ac:dyDescent="0.45">
      <c r="N4883" t="s">
        <v>1848</v>
      </c>
    </row>
    <row r="4884" spans="14:14" x14ac:dyDescent="0.45">
      <c r="N4884" t="s">
        <v>1848</v>
      </c>
    </row>
    <row r="4885" spans="14:14" x14ac:dyDescent="0.45">
      <c r="N4885" t="s">
        <v>1848</v>
      </c>
    </row>
    <row r="4886" spans="14:14" x14ac:dyDescent="0.45">
      <c r="N4886" t="s">
        <v>1848</v>
      </c>
    </row>
    <row r="4887" spans="14:14" x14ac:dyDescent="0.45">
      <c r="N4887" t="s">
        <v>1848</v>
      </c>
    </row>
    <row r="4888" spans="14:14" x14ac:dyDescent="0.45">
      <c r="N4888" t="s">
        <v>1848</v>
      </c>
    </row>
    <row r="4889" spans="14:14" x14ac:dyDescent="0.45">
      <c r="N4889" t="s">
        <v>1848</v>
      </c>
    </row>
    <row r="4890" spans="14:14" x14ac:dyDescent="0.45">
      <c r="N4890" t="s">
        <v>1848</v>
      </c>
    </row>
    <row r="4891" spans="14:14" x14ac:dyDescent="0.45">
      <c r="N4891" t="s">
        <v>1848</v>
      </c>
    </row>
    <row r="4892" spans="14:14" x14ac:dyDescent="0.45">
      <c r="N4892" t="s">
        <v>1848</v>
      </c>
    </row>
    <row r="4893" spans="14:14" x14ac:dyDescent="0.45">
      <c r="N4893" t="s">
        <v>1848</v>
      </c>
    </row>
    <row r="4894" spans="14:14" x14ac:dyDescent="0.45">
      <c r="N4894" t="s">
        <v>1848</v>
      </c>
    </row>
    <row r="4895" spans="14:14" x14ac:dyDescent="0.45">
      <c r="N4895" t="s">
        <v>1848</v>
      </c>
    </row>
    <row r="4896" spans="14:14" x14ac:dyDescent="0.45">
      <c r="N4896" t="s">
        <v>1848</v>
      </c>
    </row>
    <row r="4897" spans="14:14" x14ac:dyDescent="0.45">
      <c r="N4897" t="s">
        <v>1848</v>
      </c>
    </row>
    <row r="4898" spans="14:14" x14ac:dyDescent="0.45">
      <c r="N4898" t="s">
        <v>1848</v>
      </c>
    </row>
    <row r="4899" spans="14:14" x14ac:dyDescent="0.45">
      <c r="N4899" t="s">
        <v>1848</v>
      </c>
    </row>
    <row r="4900" spans="14:14" x14ac:dyDescent="0.45">
      <c r="N4900" t="s">
        <v>1848</v>
      </c>
    </row>
    <row r="4901" spans="14:14" x14ac:dyDescent="0.45">
      <c r="N4901" t="s">
        <v>1848</v>
      </c>
    </row>
    <row r="4902" spans="14:14" x14ac:dyDescent="0.45">
      <c r="N4902" t="s">
        <v>1848</v>
      </c>
    </row>
    <row r="4903" spans="14:14" x14ac:dyDescent="0.45">
      <c r="N4903" t="s">
        <v>1848</v>
      </c>
    </row>
    <row r="4904" spans="14:14" x14ac:dyDescent="0.45">
      <c r="N4904" t="s">
        <v>1848</v>
      </c>
    </row>
    <row r="4905" spans="14:14" x14ac:dyDescent="0.45">
      <c r="N4905" t="s">
        <v>1848</v>
      </c>
    </row>
    <row r="4906" spans="14:14" x14ac:dyDescent="0.45">
      <c r="N4906" t="s">
        <v>1848</v>
      </c>
    </row>
    <row r="4907" spans="14:14" x14ac:dyDescent="0.45">
      <c r="N4907" t="s">
        <v>1848</v>
      </c>
    </row>
    <row r="4908" spans="14:14" x14ac:dyDescent="0.45">
      <c r="N4908" t="s">
        <v>1848</v>
      </c>
    </row>
    <row r="4909" spans="14:14" x14ac:dyDescent="0.45">
      <c r="N4909" t="s">
        <v>1848</v>
      </c>
    </row>
    <row r="4910" spans="14:14" x14ac:dyDescent="0.45">
      <c r="N4910" t="s">
        <v>1848</v>
      </c>
    </row>
    <row r="4911" spans="14:14" x14ac:dyDescent="0.45">
      <c r="N4911" t="s">
        <v>1848</v>
      </c>
    </row>
    <row r="4912" spans="14:14" x14ac:dyDescent="0.45">
      <c r="N4912" t="s">
        <v>1848</v>
      </c>
    </row>
    <row r="4913" spans="14:14" x14ac:dyDescent="0.45">
      <c r="N4913" t="s">
        <v>1848</v>
      </c>
    </row>
    <row r="4914" spans="14:14" x14ac:dyDescent="0.45">
      <c r="N4914" t="s">
        <v>1848</v>
      </c>
    </row>
    <row r="4915" spans="14:14" x14ac:dyDescent="0.45">
      <c r="N4915" t="s">
        <v>1848</v>
      </c>
    </row>
    <row r="4916" spans="14:14" x14ac:dyDescent="0.45">
      <c r="N4916" t="s">
        <v>1848</v>
      </c>
    </row>
    <row r="4917" spans="14:14" x14ac:dyDescent="0.45">
      <c r="N4917" t="s">
        <v>1848</v>
      </c>
    </row>
    <row r="4918" spans="14:14" x14ac:dyDescent="0.45">
      <c r="N4918" t="s">
        <v>1848</v>
      </c>
    </row>
    <row r="4919" spans="14:14" x14ac:dyDescent="0.45">
      <c r="N4919" t="s">
        <v>1848</v>
      </c>
    </row>
    <row r="4920" spans="14:14" x14ac:dyDescent="0.45">
      <c r="N4920" t="s">
        <v>1848</v>
      </c>
    </row>
    <row r="4921" spans="14:14" x14ac:dyDescent="0.45">
      <c r="N4921" t="s">
        <v>1848</v>
      </c>
    </row>
    <row r="4922" spans="14:14" x14ac:dyDescent="0.45">
      <c r="N4922" t="s">
        <v>1848</v>
      </c>
    </row>
    <row r="4923" spans="14:14" x14ac:dyDescent="0.45">
      <c r="N4923" t="s">
        <v>1848</v>
      </c>
    </row>
    <row r="4924" spans="14:14" x14ac:dyDescent="0.45">
      <c r="N4924" t="s">
        <v>1848</v>
      </c>
    </row>
    <row r="4925" spans="14:14" x14ac:dyDescent="0.45">
      <c r="N4925" t="s">
        <v>1848</v>
      </c>
    </row>
    <row r="4926" spans="14:14" x14ac:dyDescent="0.45">
      <c r="N4926" t="s">
        <v>1848</v>
      </c>
    </row>
    <row r="4927" spans="14:14" x14ac:dyDescent="0.45">
      <c r="N4927" t="s">
        <v>1848</v>
      </c>
    </row>
    <row r="4928" spans="14:14" x14ac:dyDescent="0.45">
      <c r="N4928" t="s">
        <v>1848</v>
      </c>
    </row>
    <row r="4929" spans="14:14" x14ac:dyDescent="0.45">
      <c r="N4929" t="s">
        <v>1848</v>
      </c>
    </row>
    <row r="4930" spans="14:14" x14ac:dyDescent="0.45">
      <c r="N4930" t="s">
        <v>1848</v>
      </c>
    </row>
    <row r="4931" spans="14:14" x14ac:dyDescent="0.45">
      <c r="N4931" t="s">
        <v>1848</v>
      </c>
    </row>
    <row r="4932" spans="14:14" x14ac:dyDescent="0.45">
      <c r="N4932" t="s">
        <v>1848</v>
      </c>
    </row>
    <row r="4933" spans="14:14" x14ac:dyDescent="0.45">
      <c r="N4933" t="s">
        <v>1848</v>
      </c>
    </row>
    <row r="4934" spans="14:14" x14ac:dyDescent="0.45">
      <c r="N4934" t="s">
        <v>1848</v>
      </c>
    </row>
    <row r="4935" spans="14:14" x14ac:dyDescent="0.45">
      <c r="N4935" t="s">
        <v>1848</v>
      </c>
    </row>
    <row r="4936" spans="14:14" x14ac:dyDescent="0.45">
      <c r="N4936" t="s">
        <v>1848</v>
      </c>
    </row>
    <row r="4937" spans="14:14" x14ac:dyDescent="0.45">
      <c r="N4937" t="s">
        <v>1848</v>
      </c>
    </row>
    <row r="4938" spans="14:14" x14ac:dyDescent="0.45">
      <c r="N4938" t="s">
        <v>1848</v>
      </c>
    </row>
    <row r="4939" spans="14:14" x14ac:dyDescent="0.45">
      <c r="N4939" t="s">
        <v>1848</v>
      </c>
    </row>
    <row r="4940" spans="14:14" x14ac:dyDescent="0.45">
      <c r="N4940" t="s">
        <v>1848</v>
      </c>
    </row>
    <row r="4941" spans="14:14" x14ac:dyDescent="0.45">
      <c r="N4941" t="s">
        <v>1848</v>
      </c>
    </row>
    <row r="4942" spans="14:14" x14ac:dyDescent="0.45">
      <c r="N4942" t="s">
        <v>1848</v>
      </c>
    </row>
    <row r="4943" spans="14:14" x14ac:dyDescent="0.45">
      <c r="N4943" t="s">
        <v>1848</v>
      </c>
    </row>
    <row r="4944" spans="14:14" x14ac:dyDescent="0.45">
      <c r="N4944" t="s">
        <v>1848</v>
      </c>
    </row>
    <row r="4945" spans="14:14" x14ac:dyDescent="0.45">
      <c r="N4945" t="s">
        <v>1848</v>
      </c>
    </row>
    <row r="4946" spans="14:14" x14ac:dyDescent="0.45">
      <c r="N4946" t="s">
        <v>1848</v>
      </c>
    </row>
    <row r="4947" spans="14:14" x14ac:dyDescent="0.45">
      <c r="N4947" t="s">
        <v>1848</v>
      </c>
    </row>
    <row r="4948" spans="14:14" x14ac:dyDescent="0.45">
      <c r="N4948" t="s">
        <v>1848</v>
      </c>
    </row>
    <row r="4949" spans="14:14" x14ac:dyDescent="0.45">
      <c r="N4949" t="s">
        <v>1848</v>
      </c>
    </row>
    <row r="4950" spans="14:14" x14ac:dyDescent="0.45">
      <c r="N4950" t="s">
        <v>1848</v>
      </c>
    </row>
    <row r="4951" spans="14:14" x14ac:dyDescent="0.45">
      <c r="N4951" t="s">
        <v>1848</v>
      </c>
    </row>
    <row r="4952" spans="14:14" x14ac:dyDescent="0.45">
      <c r="N4952" t="s">
        <v>1848</v>
      </c>
    </row>
    <row r="4953" spans="14:14" x14ac:dyDescent="0.45">
      <c r="N4953" t="s">
        <v>1848</v>
      </c>
    </row>
    <row r="4954" spans="14:14" x14ac:dyDescent="0.45">
      <c r="N4954" t="s">
        <v>1848</v>
      </c>
    </row>
    <row r="4955" spans="14:14" x14ac:dyDescent="0.45">
      <c r="N4955" t="s">
        <v>1848</v>
      </c>
    </row>
    <row r="4956" spans="14:14" x14ac:dyDescent="0.45">
      <c r="N4956" t="s">
        <v>1848</v>
      </c>
    </row>
    <row r="4957" spans="14:14" x14ac:dyDescent="0.45">
      <c r="N4957" t="s">
        <v>1848</v>
      </c>
    </row>
    <row r="4958" spans="14:14" x14ac:dyDescent="0.45">
      <c r="N4958" t="s">
        <v>1848</v>
      </c>
    </row>
    <row r="4959" spans="14:14" x14ac:dyDescent="0.45">
      <c r="N4959" t="s">
        <v>1848</v>
      </c>
    </row>
    <row r="4960" spans="14:14" x14ac:dyDescent="0.45">
      <c r="N4960" t="s">
        <v>1848</v>
      </c>
    </row>
    <row r="4961" spans="14:14" x14ac:dyDescent="0.45">
      <c r="N4961" t="s">
        <v>1848</v>
      </c>
    </row>
    <row r="4962" spans="14:14" x14ac:dyDescent="0.45">
      <c r="N4962" t="s">
        <v>1848</v>
      </c>
    </row>
    <row r="4963" spans="14:14" x14ac:dyDescent="0.45">
      <c r="N4963" t="s">
        <v>1848</v>
      </c>
    </row>
    <row r="4964" spans="14:14" x14ac:dyDescent="0.45">
      <c r="N4964" t="s">
        <v>1848</v>
      </c>
    </row>
    <row r="4965" spans="14:14" x14ac:dyDescent="0.45">
      <c r="N4965" t="s">
        <v>1848</v>
      </c>
    </row>
    <row r="4966" spans="14:14" x14ac:dyDescent="0.45">
      <c r="N4966" t="s">
        <v>1848</v>
      </c>
    </row>
    <row r="4967" spans="14:14" x14ac:dyDescent="0.45">
      <c r="N4967" t="s">
        <v>1848</v>
      </c>
    </row>
    <row r="4968" spans="14:14" x14ac:dyDescent="0.45">
      <c r="N4968" t="s">
        <v>1848</v>
      </c>
    </row>
    <row r="4969" spans="14:14" x14ac:dyDescent="0.45">
      <c r="N4969" t="s">
        <v>1848</v>
      </c>
    </row>
    <row r="4970" spans="14:14" x14ac:dyDescent="0.45">
      <c r="N4970" t="s">
        <v>1848</v>
      </c>
    </row>
    <row r="4971" spans="14:14" x14ac:dyDescent="0.45">
      <c r="N4971" t="s">
        <v>1848</v>
      </c>
    </row>
    <row r="4972" spans="14:14" x14ac:dyDescent="0.45">
      <c r="N4972" t="s">
        <v>1848</v>
      </c>
    </row>
    <row r="4973" spans="14:14" x14ac:dyDescent="0.45">
      <c r="N4973" t="s">
        <v>1848</v>
      </c>
    </row>
    <row r="4974" spans="14:14" x14ac:dyDescent="0.45">
      <c r="N4974" t="s">
        <v>1848</v>
      </c>
    </row>
    <row r="4975" spans="14:14" x14ac:dyDescent="0.45">
      <c r="N4975" t="s">
        <v>1848</v>
      </c>
    </row>
    <row r="4976" spans="14:14" x14ac:dyDescent="0.45">
      <c r="N4976" t="s">
        <v>1848</v>
      </c>
    </row>
    <row r="4977" spans="14:14" x14ac:dyDescent="0.45">
      <c r="N4977" t="s">
        <v>1848</v>
      </c>
    </row>
    <row r="4978" spans="14:14" x14ac:dyDescent="0.45">
      <c r="N4978" t="s">
        <v>1848</v>
      </c>
    </row>
    <row r="4979" spans="14:14" x14ac:dyDescent="0.45">
      <c r="N4979" t="s">
        <v>1848</v>
      </c>
    </row>
    <row r="4980" spans="14:14" x14ac:dyDescent="0.45">
      <c r="N4980" t="s">
        <v>1848</v>
      </c>
    </row>
    <row r="4981" spans="14:14" x14ac:dyDescent="0.45">
      <c r="N4981" t="s">
        <v>1848</v>
      </c>
    </row>
    <row r="4982" spans="14:14" x14ac:dyDescent="0.45">
      <c r="N4982" t="s">
        <v>1848</v>
      </c>
    </row>
    <row r="4983" spans="14:14" x14ac:dyDescent="0.45">
      <c r="N4983" t="s">
        <v>1848</v>
      </c>
    </row>
    <row r="4984" spans="14:14" x14ac:dyDescent="0.45">
      <c r="N4984" t="s">
        <v>1848</v>
      </c>
    </row>
    <row r="4985" spans="14:14" x14ac:dyDescent="0.45">
      <c r="N4985" t="s">
        <v>1848</v>
      </c>
    </row>
    <row r="4986" spans="14:14" x14ac:dyDescent="0.45">
      <c r="N4986" t="s">
        <v>1848</v>
      </c>
    </row>
    <row r="4987" spans="14:14" x14ac:dyDescent="0.45">
      <c r="N4987" t="s">
        <v>1848</v>
      </c>
    </row>
    <row r="4988" spans="14:14" x14ac:dyDescent="0.45">
      <c r="N4988" t="s">
        <v>1848</v>
      </c>
    </row>
    <row r="4989" spans="14:14" x14ac:dyDescent="0.45">
      <c r="N4989" t="s">
        <v>1848</v>
      </c>
    </row>
    <row r="4990" spans="14:14" x14ac:dyDescent="0.45">
      <c r="N4990" t="s">
        <v>1848</v>
      </c>
    </row>
    <row r="4991" spans="14:14" x14ac:dyDescent="0.45">
      <c r="N4991" t="s">
        <v>1848</v>
      </c>
    </row>
    <row r="4992" spans="14:14" x14ac:dyDescent="0.45">
      <c r="N4992" t="s">
        <v>1848</v>
      </c>
    </row>
    <row r="4993" spans="14:14" x14ac:dyDescent="0.45">
      <c r="N4993" t="s">
        <v>1848</v>
      </c>
    </row>
    <row r="4994" spans="14:14" x14ac:dyDescent="0.45">
      <c r="N4994" t="s">
        <v>1848</v>
      </c>
    </row>
    <row r="4995" spans="14:14" x14ac:dyDescent="0.45">
      <c r="N4995" t="s">
        <v>1848</v>
      </c>
    </row>
    <row r="4996" spans="14:14" x14ac:dyDescent="0.45">
      <c r="N4996" t="s">
        <v>1848</v>
      </c>
    </row>
    <row r="4997" spans="14:14" x14ac:dyDescent="0.45">
      <c r="N4997" t="s">
        <v>1848</v>
      </c>
    </row>
    <row r="4998" spans="14:14" x14ac:dyDescent="0.45">
      <c r="N4998" t="s">
        <v>1848</v>
      </c>
    </row>
    <row r="4999" spans="14:14" x14ac:dyDescent="0.45">
      <c r="N4999" t="s">
        <v>1848</v>
      </c>
    </row>
    <row r="5000" spans="14:14" x14ac:dyDescent="0.45">
      <c r="N5000" t="s">
        <v>1847</v>
      </c>
    </row>
    <row r="5001" spans="14:14" x14ac:dyDescent="0.45">
      <c r="N5001" t="s">
        <v>1847</v>
      </c>
    </row>
    <row r="5002" spans="14:14" x14ac:dyDescent="0.45">
      <c r="N5002" t="s">
        <v>1847</v>
      </c>
    </row>
    <row r="5003" spans="14:14" x14ac:dyDescent="0.45">
      <c r="N5003" t="s">
        <v>1847</v>
      </c>
    </row>
    <row r="5004" spans="14:14" x14ac:dyDescent="0.45">
      <c r="N5004" t="s">
        <v>1847</v>
      </c>
    </row>
    <row r="5005" spans="14:14" x14ac:dyDescent="0.45">
      <c r="N5005" t="s">
        <v>1847</v>
      </c>
    </row>
    <row r="5006" spans="14:14" x14ac:dyDescent="0.45">
      <c r="N5006" t="s">
        <v>1847</v>
      </c>
    </row>
    <row r="5007" spans="14:14" x14ac:dyDescent="0.45">
      <c r="N5007" t="s">
        <v>1847</v>
      </c>
    </row>
    <row r="5008" spans="14:14" x14ac:dyDescent="0.45">
      <c r="N5008" t="s">
        <v>1847</v>
      </c>
    </row>
    <row r="5009" spans="14:14" x14ac:dyDescent="0.45">
      <c r="N5009" t="s">
        <v>1847</v>
      </c>
    </row>
    <row r="5010" spans="14:14" x14ac:dyDescent="0.45">
      <c r="N5010" t="s">
        <v>1847</v>
      </c>
    </row>
    <row r="5011" spans="14:14" x14ac:dyDescent="0.45">
      <c r="N5011" t="s">
        <v>1847</v>
      </c>
    </row>
    <row r="5012" spans="14:14" x14ac:dyDescent="0.45">
      <c r="N5012" t="s">
        <v>1847</v>
      </c>
    </row>
    <row r="5013" spans="14:14" x14ac:dyDescent="0.45">
      <c r="N5013" t="s">
        <v>1847</v>
      </c>
    </row>
    <row r="5014" spans="14:14" x14ac:dyDescent="0.45">
      <c r="N5014" t="s">
        <v>1847</v>
      </c>
    </row>
    <row r="5015" spans="14:14" x14ac:dyDescent="0.45">
      <c r="N5015" t="s">
        <v>1847</v>
      </c>
    </row>
    <row r="5016" spans="14:14" x14ac:dyDescent="0.45">
      <c r="N5016" t="s">
        <v>1847</v>
      </c>
    </row>
    <row r="5017" spans="14:14" x14ac:dyDescent="0.45">
      <c r="N5017" t="s">
        <v>1847</v>
      </c>
    </row>
    <row r="5018" spans="14:14" x14ac:dyDescent="0.45">
      <c r="N5018" t="s">
        <v>1847</v>
      </c>
    </row>
    <row r="5019" spans="14:14" x14ac:dyDescent="0.45">
      <c r="N5019" t="s">
        <v>1847</v>
      </c>
    </row>
    <row r="5020" spans="14:14" x14ac:dyDescent="0.45">
      <c r="N5020" t="s">
        <v>1847</v>
      </c>
    </row>
    <row r="5021" spans="14:14" x14ac:dyDescent="0.45">
      <c r="N5021" t="s">
        <v>1847</v>
      </c>
    </row>
    <row r="5022" spans="14:14" x14ac:dyDescent="0.45">
      <c r="N5022" t="s">
        <v>1847</v>
      </c>
    </row>
    <row r="5023" spans="14:14" x14ac:dyDescent="0.45">
      <c r="N5023" t="s">
        <v>1847</v>
      </c>
    </row>
    <row r="5024" spans="14:14" x14ac:dyDescent="0.45">
      <c r="N5024" t="s">
        <v>1847</v>
      </c>
    </row>
    <row r="5025" spans="14:14" x14ac:dyDescent="0.45">
      <c r="N5025" t="s">
        <v>1847</v>
      </c>
    </row>
    <row r="5026" spans="14:14" x14ac:dyDescent="0.45">
      <c r="N5026" t="s">
        <v>1847</v>
      </c>
    </row>
    <row r="5027" spans="14:14" x14ac:dyDescent="0.45">
      <c r="N5027" t="s">
        <v>1847</v>
      </c>
    </row>
    <row r="5028" spans="14:14" x14ac:dyDescent="0.45">
      <c r="N5028" t="s">
        <v>1847</v>
      </c>
    </row>
    <row r="5029" spans="14:14" x14ac:dyDescent="0.45">
      <c r="N5029" t="s">
        <v>1847</v>
      </c>
    </row>
    <row r="5030" spans="14:14" x14ac:dyDescent="0.45">
      <c r="N5030" t="s">
        <v>1847</v>
      </c>
    </row>
    <row r="5031" spans="14:14" x14ac:dyDescent="0.45">
      <c r="N5031" t="s">
        <v>1847</v>
      </c>
    </row>
    <row r="5032" spans="14:14" x14ac:dyDescent="0.45">
      <c r="N5032" t="s">
        <v>1847</v>
      </c>
    </row>
    <row r="5033" spans="14:14" x14ac:dyDescent="0.45">
      <c r="N5033" t="s">
        <v>1847</v>
      </c>
    </row>
    <row r="5034" spans="14:14" x14ac:dyDescent="0.45">
      <c r="N5034" t="s">
        <v>1847</v>
      </c>
    </row>
    <row r="5035" spans="14:14" x14ac:dyDescent="0.45">
      <c r="N5035" t="s">
        <v>1847</v>
      </c>
    </row>
    <row r="5036" spans="14:14" x14ac:dyDescent="0.45">
      <c r="N5036" t="s">
        <v>1847</v>
      </c>
    </row>
    <row r="5037" spans="14:14" x14ac:dyDescent="0.45">
      <c r="N5037" t="s">
        <v>1847</v>
      </c>
    </row>
    <row r="5038" spans="14:14" x14ac:dyDescent="0.45">
      <c r="N5038" t="s">
        <v>1847</v>
      </c>
    </row>
    <row r="5039" spans="14:14" x14ac:dyDescent="0.45">
      <c r="N5039" t="s">
        <v>1847</v>
      </c>
    </row>
    <row r="5040" spans="14:14" x14ac:dyDescent="0.45">
      <c r="N5040" t="s">
        <v>1847</v>
      </c>
    </row>
    <row r="5041" spans="14:14" x14ac:dyDescent="0.45">
      <c r="N5041" t="s">
        <v>1847</v>
      </c>
    </row>
    <row r="5042" spans="14:14" x14ac:dyDescent="0.45">
      <c r="N5042" t="s">
        <v>1847</v>
      </c>
    </row>
    <row r="5043" spans="14:14" x14ac:dyDescent="0.45">
      <c r="N5043" t="s">
        <v>1847</v>
      </c>
    </row>
    <row r="5044" spans="14:14" x14ac:dyDescent="0.45">
      <c r="N5044" t="s">
        <v>1847</v>
      </c>
    </row>
    <row r="5045" spans="14:14" x14ac:dyDescent="0.45">
      <c r="N5045" t="s">
        <v>1847</v>
      </c>
    </row>
    <row r="5046" spans="14:14" x14ac:dyDescent="0.45">
      <c r="N5046" t="s">
        <v>1847</v>
      </c>
    </row>
    <row r="5047" spans="14:14" x14ac:dyDescent="0.45">
      <c r="N5047" t="s">
        <v>1847</v>
      </c>
    </row>
    <row r="5048" spans="14:14" x14ac:dyDescent="0.45">
      <c r="N5048" t="s">
        <v>1847</v>
      </c>
    </row>
    <row r="5049" spans="14:14" x14ac:dyDescent="0.45">
      <c r="N5049" t="s">
        <v>1847</v>
      </c>
    </row>
    <row r="5050" spans="14:14" x14ac:dyDescent="0.45">
      <c r="N5050" t="s">
        <v>1847</v>
      </c>
    </row>
    <row r="5051" spans="14:14" x14ac:dyDescent="0.45">
      <c r="N5051" t="s">
        <v>1847</v>
      </c>
    </row>
    <row r="5052" spans="14:14" x14ac:dyDescent="0.45">
      <c r="N5052" t="s">
        <v>1847</v>
      </c>
    </row>
    <row r="5053" spans="14:14" x14ac:dyDescent="0.45">
      <c r="N5053" t="s">
        <v>1847</v>
      </c>
    </row>
    <row r="5054" spans="14:14" x14ac:dyDescent="0.45">
      <c r="N5054" t="s">
        <v>1847</v>
      </c>
    </row>
    <row r="5055" spans="14:14" x14ac:dyDescent="0.45">
      <c r="N5055" t="s">
        <v>1847</v>
      </c>
    </row>
    <row r="5056" spans="14:14" x14ac:dyDescent="0.45">
      <c r="N5056" t="s">
        <v>1847</v>
      </c>
    </row>
    <row r="5057" spans="14:14" x14ac:dyDescent="0.45">
      <c r="N5057" t="s">
        <v>1847</v>
      </c>
    </row>
    <row r="5058" spans="14:14" x14ac:dyDescent="0.45">
      <c r="N5058" t="s">
        <v>1847</v>
      </c>
    </row>
    <row r="5059" spans="14:14" x14ac:dyDescent="0.45">
      <c r="N5059" t="s">
        <v>1847</v>
      </c>
    </row>
    <row r="5060" spans="14:14" x14ac:dyDescent="0.45">
      <c r="N5060" t="s">
        <v>1847</v>
      </c>
    </row>
    <row r="5061" spans="14:14" x14ac:dyDescent="0.45">
      <c r="N5061" t="s">
        <v>1847</v>
      </c>
    </row>
    <row r="5062" spans="14:14" x14ac:dyDescent="0.45">
      <c r="N5062" t="s">
        <v>1847</v>
      </c>
    </row>
    <row r="5063" spans="14:14" x14ac:dyDescent="0.45">
      <c r="N5063" t="s">
        <v>1847</v>
      </c>
    </row>
    <row r="5064" spans="14:14" x14ac:dyDescent="0.45">
      <c r="N5064" t="s">
        <v>1847</v>
      </c>
    </row>
    <row r="5065" spans="14:14" x14ac:dyDescent="0.45">
      <c r="N5065" t="s">
        <v>1847</v>
      </c>
    </row>
    <row r="5066" spans="14:14" x14ac:dyDescent="0.45">
      <c r="N5066" t="s">
        <v>1847</v>
      </c>
    </row>
    <row r="5067" spans="14:14" x14ac:dyDescent="0.45">
      <c r="N5067" t="s">
        <v>1847</v>
      </c>
    </row>
    <row r="5068" spans="14:14" x14ac:dyDescent="0.45">
      <c r="N5068" t="s">
        <v>1847</v>
      </c>
    </row>
    <row r="5069" spans="14:14" x14ac:dyDescent="0.45">
      <c r="N5069" t="s">
        <v>1847</v>
      </c>
    </row>
    <row r="5070" spans="14:14" x14ac:dyDescent="0.45">
      <c r="N5070" t="s">
        <v>1847</v>
      </c>
    </row>
    <row r="5071" spans="14:14" x14ac:dyDescent="0.45">
      <c r="N5071" t="s">
        <v>1847</v>
      </c>
    </row>
    <row r="5072" spans="14:14" x14ac:dyDescent="0.45">
      <c r="N5072" t="s">
        <v>1847</v>
      </c>
    </row>
    <row r="5073" spans="14:14" x14ac:dyDescent="0.45">
      <c r="N5073" t="s">
        <v>1847</v>
      </c>
    </row>
    <row r="5074" spans="14:14" x14ac:dyDescent="0.45">
      <c r="N5074" t="s">
        <v>1847</v>
      </c>
    </row>
    <row r="5075" spans="14:14" x14ac:dyDescent="0.45">
      <c r="N5075" t="s">
        <v>1847</v>
      </c>
    </row>
    <row r="5076" spans="14:14" x14ac:dyDescent="0.45">
      <c r="N5076" t="s">
        <v>1847</v>
      </c>
    </row>
    <row r="5077" spans="14:14" x14ac:dyDescent="0.45">
      <c r="N5077" t="s">
        <v>1847</v>
      </c>
    </row>
    <row r="5078" spans="14:14" x14ac:dyDescent="0.45">
      <c r="N5078" t="s">
        <v>1847</v>
      </c>
    </row>
    <row r="5079" spans="14:14" x14ac:dyDescent="0.45">
      <c r="N5079" t="s">
        <v>1847</v>
      </c>
    </row>
    <row r="5080" spans="14:14" x14ac:dyDescent="0.45">
      <c r="N5080" t="s">
        <v>1847</v>
      </c>
    </row>
    <row r="5081" spans="14:14" x14ac:dyDescent="0.45">
      <c r="N5081" t="s">
        <v>1847</v>
      </c>
    </row>
    <row r="5082" spans="14:14" x14ac:dyDescent="0.45">
      <c r="N5082" t="s">
        <v>1847</v>
      </c>
    </row>
    <row r="5083" spans="14:14" x14ac:dyDescent="0.45">
      <c r="N5083" t="s">
        <v>1847</v>
      </c>
    </row>
    <row r="5084" spans="14:14" x14ac:dyDescent="0.45">
      <c r="N5084" t="s">
        <v>1847</v>
      </c>
    </row>
    <row r="5085" spans="14:14" x14ac:dyDescent="0.45">
      <c r="N5085" t="s">
        <v>1847</v>
      </c>
    </row>
    <row r="5086" spans="14:14" x14ac:dyDescent="0.45">
      <c r="N5086" t="s">
        <v>1847</v>
      </c>
    </row>
    <row r="5087" spans="14:14" x14ac:dyDescent="0.45">
      <c r="N5087" t="s">
        <v>1847</v>
      </c>
    </row>
    <row r="5088" spans="14:14" x14ac:dyDescent="0.45">
      <c r="N5088" t="s">
        <v>1847</v>
      </c>
    </row>
    <row r="5089" spans="14:14" x14ac:dyDescent="0.45">
      <c r="N5089" t="s">
        <v>1847</v>
      </c>
    </row>
    <row r="5090" spans="14:14" x14ac:dyDescent="0.45">
      <c r="N5090" t="s">
        <v>1847</v>
      </c>
    </row>
    <row r="5091" spans="14:14" x14ac:dyDescent="0.45">
      <c r="N5091" t="s">
        <v>1847</v>
      </c>
    </row>
    <row r="5092" spans="14:14" x14ac:dyDescent="0.45">
      <c r="N5092" t="s">
        <v>1847</v>
      </c>
    </row>
    <row r="5093" spans="14:14" x14ac:dyDescent="0.45">
      <c r="N5093" t="s">
        <v>1847</v>
      </c>
    </row>
    <row r="5094" spans="14:14" x14ac:dyDescent="0.45">
      <c r="N5094" t="s">
        <v>1847</v>
      </c>
    </row>
    <row r="5095" spans="14:14" x14ac:dyDescent="0.45">
      <c r="N5095" t="s">
        <v>1847</v>
      </c>
    </row>
    <row r="5096" spans="14:14" x14ac:dyDescent="0.45">
      <c r="N5096" t="s">
        <v>1847</v>
      </c>
    </row>
    <row r="5097" spans="14:14" x14ac:dyDescent="0.45">
      <c r="N5097" t="s">
        <v>1847</v>
      </c>
    </row>
    <row r="5098" spans="14:14" x14ac:dyDescent="0.45">
      <c r="N5098" t="s">
        <v>1847</v>
      </c>
    </row>
    <row r="5099" spans="14:14" x14ac:dyDescent="0.45">
      <c r="N5099" t="s">
        <v>1847</v>
      </c>
    </row>
    <row r="5100" spans="14:14" x14ac:dyDescent="0.45">
      <c r="N5100" t="s">
        <v>1847</v>
      </c>
    </row>
    <row r="5101" spans="14:14" x14ac:dyDescent="0.45">
      <c r="N5101" t="s">
        <v>1847</v>
      </c>
    </row>
    <row r="5102" spans="14:14" x14ac:dyDescent="0.45">
      <c r="N5102" t="s">
        <v>1847</v>
      </c>
    </row>
    <row r="5103" spans="14:14" x14ac:dyDescent="0.45">
      <c r="N5103" t="s">
        <v>1847</v>
      </c>
    </row>
    <row r="5104" spans="14:14" x14ac:dyDescent="0.45">
      <c r="N5104" t="s">
        <v>1847</v>
      </c>
    </row>
    <row r="5105" spans="14:14" x14ac:dyDescent="0.45">
      <c r="N5105" t="s">
        <v>1847</v>
      </c>
    </row>
    <row r="5106" spans="14:14" x14ac:dyDescent="0.45">
      <c r="N5106" t="s">
        <v>1847</v>
      </c>
    </row>
    <row r="5107" spans="14:14" x14ac:dyDescent="0.45">
      <c r="N5107" t="s">
        <v>1847</v>
      </c>
    </row>
    <row r="5108" spans="14:14" x14ac:dyDescent="0.45">
      <c r="N5108" t="s">
        <v>1847</v>
      </c>
    </row>
    <row r="5109" spans="14:14" x14ac:dyDescent="0.45">
      <c r="N5109" t="s">
        <v>1847</v>
      </c>
    </row>
    <row r="5110" spans="14:14" x14ac:dyDescent="0.45">
      <c r="N5110" t="s">
        <v>1847</v>
      </c>
    </row>
    <row r="5111" spans="14:14" x14ac:dyDescent="0.45">
      <c r="N5111" t="s">
        <v>1847</v>
      </c>
    </row>
    <row r="5112" spans="14:14" x14ac:dyDescent="0.45">
      <c r="N5112" t="s">
        <v>1847</v>
      </c>
    </row>
    <row r="5113" spans="14:14" x14ac:dyDescent="0.45">
      <c r="N5113" t="s">
        <v>1847</v>
      </c>
    </row>
    <row r="5114" spans="14:14" x14ac:dyDescent="0.45">
      <c r="N5114" t="s">
        <v>1847</v>
      </c>
    </row>
    <row r="5115" spans="14:14" x14ac:dyDescent="0.45">
      <c r="N5115" t="s">
        <v>1847</v>
      </c>
    </row>
    <row r="5116" spans="14:14" x14ac:dyDescent="0.45">
      <c r="N5116" t="s">
        <v>1847</v>
      </c>
    </row>
    <row r="5117" spans="14:14" x14ac:dyDescent="0.45">
      <c r="N5117" t="s">
        <v>1847</v>
      </c>
    </row>
    <row r="5118" spans="14:14" x14ac:dyDescent="0.45">
      <c r="N5118" t="s">
        <v>1847</v>
      </c>
    </row>
    <row r="5119" spans="14:14" x14ac:dyDescent="0.45">
      <c r="N5119" t="s">
        <v>1847</v>
      </c>
    </row>
    <row r="5120" spans="14:14" x14ac:dyDescent="0.45">
      <c r="N5120" t="s">
        <v>1847</v>
      </c>
    </row>
    <row r="5121" spans="14:14" x14ac:dyDescent="0.45">
      <c r="N5121" t="s">
        <v>1847</v>
      </c>
    </row>
    <row r="5122" spans="14:14" x14ac:dyDescent="0.45">
      <c r="N5122" t="s">
        <v>1847</v>
      </c>
    </row>
    <row r="5123" spans="14:14" x14ac:dyDescent="0.45">
      <c r="N5123" t="s">
        <v>1847</v>
      </c>
    </row>
    <row r="5124" spans="14:14" x14ac:dyDescent="0.45">
      <c r="N5124" t="s">
        <v>1847</v>
      </c>
    </row>
    <row r="5125" spans="14:14" x14ac:dyDescent="0.45">
      <c r="N5125" t="s">
        <v>1847</v>
      </c>
    </row>
    <row r="5126" spans="14:14" x14ac:dyDescent="0.45">
      <c r="N5126" t="s">
        <v>1847</v>
      </c>
    </row>
    <row r="5127" spans="14:14" x14ac:dyDescent="0.45">
      <c r="N5127" t="s">
        <v>1847</v>
      </c>
    </row>
    <row r="5128" spans="14:14" x14ac:dyDescent="0.45">
      <c r="N5128" t="s">
        <v>1847</v>
      </c>
    </row>
    <row r="5129" spans="14:14" x14ac:dyDescent="0.45">
      <c r="N5129" t="s">
        <v>1847</v>
      </c>
    </row>
    <row r="5130" spans="14:14" x14ac:dyDescent="0.45">
      <c r="N5130" t="s">
        <v>1847</v>
      </c>
    </row>
    <row r="5131" spans="14:14" x14ac:dyDescent="0.45">
      <c r="N5131" t="s">
        <v>1847</v>
      </c>
    </row>
    <row r="5132" spans="14:14" x14ac:dyDescent="0.45">
      <c r="N5132" t="s">
        <v>1847</v>
      </c>
    </row>
    <row r="5133" spans="14:14" x14ac:dyDescent="0.45">
      <c r="N5133" t="s">
        <v>1847</v>
      </c>
    </row>
    <row r="5134" spans="14:14" x14ac:dyDescent="0.45">
      <c r="N5134" t="s">
        <v>1847</v>
      </c>
    </row>
    <row r="5135" spans="14:14" x14ac:dyDescent="0.45">
      <c r="N5135" t="s">
        <v>1847</v>
      </c>
    </row>
    <row r="5136" spans="14:14" x14ac:dyDescent="0.45">
      <c r="N5136" t="s">
        <v>1847</v>
      </c>
    </row>
    <row r="5137" spans="14:14" x14ac:dyDescent="0.45">
      <c r="N5137" t="s">
        <v>1847</v>
      </c>
    </row>
    <row r="5138" spans="14:14" x14ac:dyDescent="0.45">
      <c r="N5138" t="s">
        <v>1847</v>
      </c>
    </row>
    <row r="5139" spans="14:14" x14ac:dyDescent="0.45">
      <c r="N5139" t="s">
        <v>1847</v>
      </c>
    </row>
    <row r="5140" spans="14:14" x14ac:dyDescent="0.45">
      <c r="N5140" t="s">
        <v>1847</v>
      </c>
    </row>
    <row r="5141" spans="14:14" x14ac:dyDescent="0.45">
      <c r="N5141" t="s">
        <v>1847</v>
      </c>
    </row>
    <row r="5142" spans="14:14" x14ac:dyDescent="0.45">
      <c r="N5142" t="s">
        <v>1847</v>
      </c>
    </row>
    <row r="5143" spans="14:14" x14ac:dyDescent="0.45">
      <c r="N5143" t="s">
        <v>1847</v>
      </c>
    </row>
    <row r="5144" spans="14:14" x14ac:dyDescent="0.45">
      <c r="N5144" t="s">
        <v>1847</v>
      </c>
    </row>
    <row r="5145" spans="14:14" x14ac:dyDescent="0.45">
      <c r="N5145" t="s">
        <v>1847</v>
      </c>
    </row>
    <row r="5146" spans="14:14" x14ac:dyDescent="0.45">
      <c r="N5146" t="s">
        <v>1847</v>
      </c>
    </row>
    <row r="5147" spans="14:14" x14ac:dyDescent="0.45">
      <c r="N5147" t="s">
        <v>1847</v>
      </c>
    </row>
    <row r="5148" spans="14:14" x14ac:dyDescent="0.45">
      <c r="N5148" t="s">
        <v>1847</v>
      </c>
    </row>
    <row r="5149" spans="14:14" x14ac:dyDescent="0.45">
      <c r="N5149" t="s">
        <v>1847</v>
      </c>
    </row>
    <row r="5150" spans="14:14" x14ac:dyDescent="0.45">
      <c r="N5150" t="s">
        <v>1847</v>
      </c>
    </row>
    <row r="5151" spans="14:14" x14ac:dyDescent="0.45">
      <c r="N5151" t="s">
        <v>1847</v>
      </c>
    </row>
    <row r="5152" spans="14:14" x14ac:dyDescent="0.45">
      <c r="N5152" t="s">
        <v>1847</v>
      </c>
    </row>
    <row r="5153" spans="14:14" x14ac:dyDescent="0.45">
      <c r="N5153" t="s">
        <v>1847</v>
      </c>
    </row>
    <row r="5154" spans="14:14" x14ac:dyDescent="0.45">
      <c r="N5154" t="s">
        <v>1847</v>
      </c>
    </row>
    <row r="5155" spans="14:14" x14ac:dyDescent="0.45">
      <c r="N5155" t="s">
        <v>1847</v>
      </c>
    </row>
    <row r="5156" spans="14:14" x14ac:dyDescent="0.45">
      <c r="N5156" t="s">
        <v>1847</v>
      </c>
    </row>
    <row r="5157" spans="14:14" x14ac:dyDescent="0.45">
      <c r="N5157" t="s">
        <v>1847</v>
      </c>
    </row>
    <row r="5158" spans="14:14" x14ac:dyDescent="0.45">
      <c r="N5158" t="s">
        <v>1847</v>
      </c>
    </row>
    <row r="5159" spans="14:14" x14ac:dyDescent="0.45">
      <c r="N5159" t="s">
        <v>1847</v>
      </c>
    </row>
    <row r="5160" spans="14:14" x14ac:dyDescent="0.45">
      <c r="N5160" t="s">
        <v>1847</v>
      </c>
    </row>
    <row r="5161" spans="14:14" x14ac:dyDescent="0.45">
      <c r="N5161" t="s">
        <v>1847</v>
      </c>
    </row>
    <row r="5162" spans="14:14" x14ac:dyDescent="0.45">
      <c r="N5162" t="s">
        <v>1847</v>
      </c>
    </row>
    <row r="5163" spans="14:14" x14ac:dyDescent="0.45">
      <c r="N5163" t="s">
        <v>1847</v>
      </c>
    </row>
    <row r="5164" spans="14:14" x14ac:dyDescent="0.45">
      <c r="N5164" t="s">
        <v>1847</v>
      </c>
    </row>
    <row r="5165" spans="14:14" x14ac:dyDescent="0.45">
      <c r="N5165" t="s">
        <v>1847</v>
      </c>
    </row>
    <row r="5166" spans="14:14" x14ac:dyDescent="0.45">
      <c r="N5166" t="s">
        <v>1847</v>
      </c>
    </row>
    <row r="5167" spans="14:14" x14ac:dyDescent="0.45">
      <c r="N5167" t="s">
        <v>1847</v>
      </c>
    </row>
    <row r="5168" spans="14:14" x14ac:dyDescent="0.45">
      <c r="N5168" t="s">
        <v>1847</v>
      </c>
    </row>
    <row r="5169" spans="14:14" x14ac:dyDescent="0.45">
      <c r="N5169" t="s">
        <v>1847</v>
      </c>
    </row>
    <row r="5170" spans="14:14" x14ac:dyDescent="0.45">
      <c r="N5170" t="s">
        <v>1847</v>
      </c>
    </row>
    <row r="5171" spans="14:14" x14ac:dyDescent="0.45">
      <c r="N5171" t="s">
        <v>1847</v>
      </c>
    </row>
    <row r="5172" spans="14:14" x14ac:dyDescent="0.45">
      <c r="N5172" t="s">
        <v>1847</v>
      </c>
    </row>
    <row r="5173" spans="14:14" x14ac:dyDescent="0.45">
      <c r="N5173" t="s">
        <v>1847</v>
      </c>
    </row>
    <row r="5174" spans="14:14" x14ac:dyDescent="0.45">
      <c r="N5174" t="s">
        <v>1847</v>
      </c>
    </row>
    <row r="5175" spans="14:14" x14ac:dyDescent="0.45">
      <c r="N5175" t="s">
        <v>1847</v>
      </c>
    </row>
    <row r="5176" spans="14:14" x14ac:dyDescent="0.45">
      <c r="N5176" t="s">
        <v>1847</v>
      </c>
    </row>
    <row r="5177" spans="14:14" x14ac:dyDescent="0.45">
      <c r="N5177" t="s">
        <v>1847</v>
      </c>
    </row>
    <row r="5178" spans="14:14" x14ac:dyDescent="0.45">
      <c r="N5178" t="s">
        <v>1847</v>
      </c>
    </row>
    <row r="5179" spans="14:14" x14ac:dyDescent="0.45">
      <c r="N5179" t="s">
        <v>1847</v>
      </c>
    </row>
    <row r="5180" spans="14:14" x14ac:dyDescent="0.45">
      <c r="N5180" t="s">
        <v>1847</v>
      </c>
    </row>
    <row r="5181" spans="14:14" x14ac:dyDescent="0.45">
      <c r="N5181" t="s">
        <v>1847</v>
      </c>
    </row>
    <row r="5182" spans="14:14" x14ac:dyDescent="0.45">
      <c r="N5182" t="s">
        <v>1847</v>
      </c>
    </row>
    <row r="5183" spans="14:14" x14ac:dyDescent="0.45">
      <c r="N5183" t="s">
        <v>1847</v>
      </c>
    </row>
    <row r="5184" spans="14:14" x14ac:dyDescent="0.45">
      <c r="N5184" t="s">
        <v>1847</v>
      </c>
    </row>
    <row r="5185" spans="14:14" x14ac:dyDescent="0.45">
      <c r="N5185" t="s">
        <v>1847</v>
      </c>
    </row>
    <row r="5186" spans="14:14" x14ac:dyDescent="0.45">
      <c r="N5186" t="s">
        <v>1847</v>
      </c>
    </row>
    <row r="5187" spans="14:14" x14ac:dyDescent="0.45">
      <c r="N5187" t="s">
        <v>1847</v>
      </c>
    </row>
    <row r="5188" spans="14:14" x14ac:dyDescent="0.45">
      <c r="N5188" t="s">
        <v>1847</v>
      </c>
    </row>
    <row r="5189" spans="14:14" x14ac:dyDescent="0.45">
      <c r="N5189" t="s">
        <v>1847</v>
      </c>
    </row>
    <row r="5190" spans="14:14" x14ac:dyDescent="0.45">
      <c r="N5190" t="s">
        <v>1847</v>
      </c>
    </row>
    <row r="5191" spans="14:14" x14ac:dyDescent="0.45">
      <c r="N5191" t="s">
        <v>1847</v>
      </c>
    </row>
    <row r="5192" spans="14:14" x14ac:dyDescent="0.45">
      <c r="N5192" t="s">
        <v>1847</v>
      </c>
    </row>
    <row r="5193" spans="14:14" x14ac:dyDescent="0.45">
      <c r="N5193" t="s">
        <v>1847</v>
      </c>
    </row>
    <row r="5194" spans="14:14" x14ac:dyDescent="0.45">
      <c r="N5194" t="s">
        <v>1847</v>
      </c>
    </row>
    <row r="5195" spans="14:14" x14ac:dyDescent="0.45">
      <c r="N5195" t="s">
        <v>1847</v>
      </c>
    </row>
    <row r="5196" spans="14:14" x14ac:dyDescent="0.45">
      <c r="N5196" t="s">
        <v>1847</v>
      </c>
    </row>
    <row r="5197" spans="14:14" x14ac:dyDescent="0.45">
      <c r="N5197" t="s">
        <v>1847</v>
      </c>
    </row>
    <row r="5198" spans="14:14" x14ac:dyDescent="0.45">
      <c r="N5198" t="s">
        <v>1847</v>
      </c>
    </row>
    <row r="5199" spans="14:14" x14ac:dyDescent="0.45">
      <c r="N5199" t="s">
        <v>1847</v>
      </c>
    </row>
    <row r="5200" spans="14:14" x14ac:dyDescent="0.45">
      <c r="N5200" t="s">
        <v>1847</v>
      </c>
    </row>
    <row r="5201" spans="14:14" x14ac:dyDescent="0.45">
      <c r="N5201" t="s">
        <v>1847</v>
      </c>
    </row>
    <row r="5202" spans="14:14" x14ac:dyDescent="0.45">
      <c r="N5202" t="s">
        <v>1847</v>
      </c>
    </row>
    <row r="5203" spans="14:14" x14ac:dyDescent="0.45">
      <c r="N5203" t="s">
        <v>1847</v>
      </c>
    </row>
    <row r="5204" spans="14:14" x14ac:dyDescent="0.45">
      <c r="N5204" t="s">
        <v>1847</v>
      </c>
    </row>
    <row r="5205" spans="14:14" x14ac:dyDescent="0.45">
      <c r="N5205" t="s">
        <v>1847</v>
      </c>
    </row>
    <row r="5206" spans="14:14" x14ac:dyDescent="0.45">
      <c r="N5206" t="s">
        <v>1847</v>
      </c>
    </row>
    <row r="5207" spans="14:14" x14ac:dyDescent="0.45">
      <c r="N5207" t="s">
        <v>1847</v>
      </c>
    </row>
    <row r="5208" spans="14:14" x14ac:dyDescent="0.45">
      <c r="N5208" t="s">
        <v>1847</v>
      </c>
    </row>
    <row r="5209" spans="14:14" x14ac:dyDescent="0.45">
      <c r="N5209" t="s">
        <v>1847</v>
      </c>
    </row>
    <row r="5210" spans="14:14" x14ac:dyDescent="0.45">
      <c r="N5210" t="s">
        <v>1847</v>
      </c>
    </row>
    <row r="5211" spans="14:14" x14ac:dyDescent="0.45">
      <c r="N5211" t="s">
        <v>1847</v>
      </c>
    </row>
    <row r="5212" spans="14:14" x14ac:dyDescent="0.45">
      <c r="N5212" t="s">
        <v>1847</v>
      </c>
    </row>
    <row r="5213" spans="14:14" x14ac:dyDescent="0.45">
      <c r="N5213" t="s">
        <v>1847</v>
      </c>
    </row>
    <row r="5214" spans="14:14" x14ac:dyDescent="0.45">
      <c r="N5214" t="s">
        <v>1847</v>
      </c>
    </row>
    <row r="5215" spans="14:14" x14ac:dyDescent="0.45">
      <c r="N5215" t="s">
        <v>1847</v>
      </c>
    </row>
    <row r="5216" spans="14:14" x14ac:dyDescent="0.45">
      <c r="N5216" t="s">
        <v>1847</v>
      </c>
    </row>
    <row r="5217" spans="14:14" x14ac:dyDescent="0.45">
      <c r="N5217" t="s">
        <v>1847</v>
      </c>
    </row>
    <row r="5218" spans="14:14" x14ac:dyDescent="0.45">
      <c r="N5218" t="s">
        <v>1847</v>
      </c>
    </row>
    <row r="5219" spans="14:14" x14ac:dyDescent="0.45">
      <c r="N5219" t="s">
        <v>1847</v>
      </c>
    </row>
    <row r="5220" spans="14:14" x14ac:dyDescent="0.45">
      <c r="N5220" t="s">
        <v>1847</v>
      </c>
    </row>
    <row r="5221" spans="14:14" x14ac:dyDescent="0.45">
      <c r="N5221" t="s">
        <v>1847</v>
      </c>
    </row>
    <row r="5222" spans="14:14" x14ac:dyDescent="0.45">
      <c r="N5222" t="s">
        <v>1847</v>
      </c>
    </row>
    <row r="5223" spans="14:14" x14ac:dyDescent="0.45">
      <c r="N5223" t="s">
        <v>1847</v>
      </c>
    </row>
    <row r="5224" spans="14:14" x14ac:dyDescent="0.45">
      <c r="N5224" t="s">
        <v>1847</v>
      </c>
    </row>
    <row r="5225" spans="14:14" x14ac:dyDescent="0.45">
      <c r="N5225" t="s">
        <v>1847</v>
      </c>
    </row>
    <row r="5226" spans="14:14" x14ac:dyDescent="0.45">
      <c r="N5226" t="s">
        <v>1847</v>
      </c>
    </row>
    <row r="5227" spans="14:14" x14ac:dyDescent="0.45">
      <c r="N5227" t="s">
        <v>1847</v>
      </c>
    </row>
    <row r="5228" spans="14:14" x14ac:dyDescent="0.45">
      <c r="N5228" t="s">
        <v>1847</v>
      </c>
    </row>
    <row r="5229" spans="14:14" x14ac:dyDescent="0.45">
      <c r="N5229" t="s">
        <v>1847</v>
      </c>
    </row>
    <row r="5230" spans="14:14" x14ac:dyDescent="0.45">
      <c r="N5230" t="s">
        <v>1847</v>
      </c>
    </row>
    <row r="5231" spans="14:14" x14ac:dyDescent="0.45">
      <c r="N5231" t="s">
        <v>1847</v>
      </c>
    </row>
    <row r="5232" spans="14:14" x14ac:dyDescent="0.45">
      <c r="N5232" t="s">
        <v>1847</v>
      </c>
    </row>
    <row r="5233" spans="14:14" x14ac:dyDescent="0.45">
      <c r="N5233" t="s">
        <v>1847</v>
      </c>
    </row>
    <row r="5234" spans="14:14" x14ac:dyDescent="0.45">
      <c r="N5234" t="s">
        <v>1847</v>
      </c>
    </row>
    <row r="5235" spans="14:14" x14ac:dyDescent="0.45">
      <c r="N5235" t="s">
        <v>1847</v>
      </c>
    </row>
    <row r="5236" spans="14:14" x14ac:dyDescent="0.45">
      <c r="N5236" t="s">
        <v>1847</v>
      </c>
    </row>
    <row r="5237" spans="14:14" x14ac:dyDescent="0.45">
      <c r="N5237" t="s">
        <v>1847</v>
      </c>
    </row>
    <row r="5238" spans="14:14" x14ac:dyDescent="0.45">
      <c r="N5238" t="s">
        <v>1847</v>
      </c>
    </row>
    <row r="5239" spans="14:14" x14ac:dyDescent="0.45">
      <c r="N5239" t="s">
        <v>1847</v>
      </c>
    </row>
    <row r="5240" spans="14:14" x14ac:dyDescent="0.45">
      <c r="N5240" t="s">
        <v>1847</v>
      </c>
    </row>
    <row r="5241" spans="14:14" x14ac:dyDescent="0.45">
      <c r="N5241" t="s">
        <v>1847</v>
      </c>
    </row>
    <row r="5242" spans="14:14" x14ac:dyDescent="0.45">
      <c r="N5242" t="s">
        <v>1847</v>
      </c>
    </row>
    <row r="5243" spans="14:14" x14ac:dyDescent="0.45">
      <c r="N5243" t="s">
        <v>1847</v>
      </c>
    </row>
    <row r="5244" spans="14:14" x14ac:dyDescent="0.45">
      <c r="N5244" t="s">
        <v>1847</v>
      </c>
    </row>
    <row r="5245" spans="14:14" x14ac:dyDescent="0.45">
      <c r="N5245" t="s">
        <v>1847</v>
      </c>
    </row>
    <row r="5246" spans="14:14" x14ac:dyDescent="0.45">
      <c r="N5246" t="s">
        <v>1847</v>
      </c>
    </row>
    <row r="5247" spans="14:14" x14ac:dyDescent="0.45">
      <c r="N5247" t="s">
        <v>1847</v>
      </c>
    </row>
    <row r="5248" spans="14:14" x14ac:dyDescent="0.45">
      <c r="N5248" t="s">
        <v>1847</v>
      </c>
    </row>
    <row r="5249" spans="14:14" x14ac:dyDescent="0.45">
      <c r="N5249" t="s">
        <v>1847</v>
      </c>
    </row>
    <row r="5250" spans="14:14" x14ac:dyDescent="0.45">
      <c r="N5250" t="s">
        <v>1847</v>
      </c>
    </row>
    <row r="5251" spans="14:14" x14ac:dyDescent="0.45">
      <c r="N5251" t="s">
        <v>1847</v>
      </c>
    </row>
    <row r="5252" spans="14:14" x14ac:dyDescent="0.45">
      <c r="N5252" t="s">
        <v>1847</v>
      </c>
    </row>
    <row r="5253" spans="14:14" x14ac:dyDescent="0.45">
      <c r="N5253" t="s">
        <v>1847</v>
      </c>
    </row>
    <row r="5254" spans="14:14" x14ac:dyDescent="0.45">
      <c r="N5254" t="s">
        <v>1847</v>
      </c>
    </row>
    <row r="5255" spans="14:14" x14ac:dyDescent="0.45">
      <c r="N5255" t="s">
        <v>1847</v>
      </c>
    </row>
    <row r="5256" spans="14:14" x14ac:dyDescent="0.45">
      <c r="N5256" t="s">
        <v>1847</v>
      </c>
    </row>
    <row r="5257" spans="14:14" x14ac:dyDescent="0.45">
      <c r="N5257" t="s">
        <v>1847</v>
      </c>
    </row>
    <row r="5258" spans="14:14" x14ac:dyDescent="0.45">
      <c r="N5258" t="s">
        <v>1847</v>
      </c>
    </row>
    <row r="5259" spans="14:14" x14ac:dyDescent="0.45">
      <c r="N5259" t="s">
        <v>1847</v>
      </c>
    </row>
    <row r="5260" spans="14:14" x14ac:dyDescent="0.45">
      <c r="N5260" t="s">
        <v>1847</v>
      </c>
    </row>
    <row r="5261" spans="14:14" x14ac:dyDescent="0.45">
      <c r="N5261" t="s">
        <v>1847</v>
      </c>
    </row>
    <row r="5262" spans="14:14" x14ac:dyDescent="0.45">
      <c r="N5262" t="s">
        <v>1847</v>
      </c>
    </row>
    <row r="5263" spans="14:14" x14ac:dyDescent="0.45">
      <c r="N5263" t="s">
        <v>1847</v>
      </c>
    </row>
    <row r="5264" spans="14:14" x14ac:dyDescent="0.45">
      <c r="N5264" t="s">
        <v>1847</v>
      </c>
    </row>
    <row r="5265" spans="14:14" x14ac:dyDescent="0.45">
      <c r="N5265" t="s">
        <v>1847</v>
      </c>
    </row>
    <row r="5266" spans="14:14" x14ac:dyDescent="0.45">
      <c r="N5266" t="s">
        <v>1847</v>
      </c>
    </row>
    <row r="5267" spans="14:14" x14ac:dyDescent="0.45">
      <c r="N5267" t="s">
        <v>1847</v>
      </c>
    </row>
    <row r="5268" spans="14:14" x14ac:dyDescent="0.45">
      <c r="N5268" t="s">
        <v>1847</v>
      </c>
    </row>
    <row r="5269" spans="14:14" x14ac:dyDescent="0.45">
      <c r="N5269" t="s">
        <v>1847</v>
      </c>
    </row>
    <row r="5270" spans="14:14" x14ac:dyDescent="0.45">
      <c r="N5270" t="s">
        <v>1847</v>
      </c>
    </row>
    <row r="5271" spans="14:14" x14ac:dyDescent="0.45">
      <c r="N5271" t="s">
        <v>1847</v>
      </c>
    </row>
    <row r="5272" spans="14:14" x14ac:dyDescent="0.45">
      <c r="N5272" t="s">
        <v>1847</v>
      </c>
    </row>
    <row r="5273" spans="14:14" x14ac:dyDescent="0.45">
      <c r="N5273" t="s">
        <v>1847</v>
      </c>
    </row>
    <row r="5274" spans="14:14" x14ac:dyDescent="0.45">
      <c r="N5274" t="s">
        <v>1847</v>
      </c>
    </row>
    <row r="5275" spans="14:14" x14ac:dyDescent="0.45">
      <c r="N5275" t="s">
        <v>1847</v>
      </c>
    </row>
    <row r="5276" spans="14:14" x14ac:dyDescent="0.45">
      <c r="N5276" t="s">
        <v>1847</v>
      </c>
    </row>
    <row r="5277" spans="14:14" x14ac:dyDescent="0.45">
      <c r="N5277" t="s">
        <v>1847</v>
      </c>
    </row>
    <row r="5278" spans="14:14" x14ac:dyDescent="0.45">
      <c r="N5278" t="s">
        <v>1847</v>
      </c>
    </row>
    <row r="5279" spans="14:14" x14ac:dyDescent="0.45">
      <c r="N5279" t="s">
        <v>1847</v>
      </c>
    </row>
    <row r="5280" spans="14:14" x14ac:dyDescent="0.45">
      <c r="N5280" t="s">
        <v>1847</v>
      </c>
    </row>
    <row r="5281" spans="14:14" x14ac:dyDescent="0.45">
      <c r="N5281" t="s">
        <v>1847</v>
      </c>
    </row>
    <row r="5282" spans="14:14" x14ac:dyDescent="0.45">
      <c r="N5282" t="s">
        <v>1847</v>
      </c>
    </row>
    <row r="5283" spans="14:14" x14ac:dyDescent="0.45">
      <c r="N5283" t="s">
        <v>1847</v>
      </c>
    </row>
    <row r="5284" spans="14:14" x14ac:dyDescent="0.45">
      <c r="N5284" t="s">
        <v>1847</v>
      </c>
    </row>
    <row r="5285" spans="14:14" x14ac:dyDescent="0.45">
      <c r="N5285" t="s">
        <v>1847</v>
      </c>
    </row>
    <row r="5286" spans="14:14" x14ac:dyDescent="0.45">
      <c r="N5286" t="s">
        <v>1847</v>
      </c>
    </row>
    <row r="5287" spans="14:14" x14ac:dyDescent="0.45">
      <c r="N5287" t="s">
        <v>1847</v>
      </c>
    </row>
    <row r="5288" spans="14:14" x14ac:dyDescent="0.45">
      <c r="N5288" t="s">
        <v>1847</v>
      </c>
    </row>
    <row r="5289" spans="14:14" x14ac:dyDescent="0.45">
      <c r="N5289" t="s">
        <v>1847</v>
      </c>
    </row>
    <row r="5290" spans="14:14" x14ac:dyDescent="0.45">
      <c r="N5290" t="s">
        <v>1847</v>
      </c>
    </row>
    <row r="5291" spans="14:14" x14ac:dyDescent="0.45">
      <c r="N5291" t="s">
        <v>1847</v>
      </c>
    </row>
    <row r="5292" spans="14:14" x14ac:dyDescent="0.45">
      <c r="N5292" t="s">
        <v>1847</v>
      </c>
    </row>
    <row r="5293" spans="14:14" x14ac:dyDescent="0.45">
      <c r="N5293" t="s">
        <v>1847</v>
      </c>
    </row>
    <row r="5294" spans="14:14" x14ac:dyDescent="0.45">
      <c r="N5294" t="s">
        <v>1847</v>
      </c>
    </row>
    <row r="5295" spans="14:14" x14ac:dyDescent="0.45">
      <c r="N5295" t="s">
        <v>1847</v>
      </c>
    </row>
    <row r="5296" spans="14:14" x14ac:dyDescent="0.45">
      <c r="N5296" t="s">
        <v>1847</v>
      </c>
    </row>
    <row r="5297" spans="14:14" x14ac:dyDescent="0.45">
      <c r="N5297" t="s">
        <v>1847</v>
      </c>
    </row>
    <row r="5298" spans="14:14" x14ac:dyDescent="0.45">
      <c r="N5298" t="s">
        <v>1847</v>
      </c>
    </row>
    <row r="5299" spans="14:14" x14ac:dyDescent="0.45">
      <c r="N5299" t="s">
        <v>1847</v>
      </c>
    </row>
    <row r="5300" spans="14:14" x14ac:dyDescent="0.45">
      <c r="N5300" t="s">
        <v>1847</v>
      </c>
    </row>
    <row r="5301" spans="14:14" x14ac:dyDescent="0.45">
      <c r="N5301" t="s">
        <v>1847</v>
      </c>
    </row>
    <row r="5302" spans="14:14" x14ac:dyDescent="0.45">
      <c r="N5302" t="s">
        <v>1847</v>
      </c>
    </row>
    <row r="5303" spans="14:14" x14ac:dyDescent="0.45">
      <c r="N5303" t="s">
        <v>1847</v>
      </c>
    </row>
    <row r="5304" spans="14:14" x14ac:dyDescent="0.45">
      <c r="N5304" t="s">
        <v>1847</v>
      </c>
    </row>
    <row r="5305" spans="14:14" x14ac:dyDescent="0.45">
      <c r="N5305" t="s">
        <v>1847</v>
      </c>
    </row>
    <row r="5306" spans="14:14" x14ac:dyDescent="0.45">
      <c r="N5306" t="s">
        <v>1847</v>
      </c>
    </row>
    <row r="5307" spans="14:14" x14ac:dyDescent="0.45">
      <c r="N5307" t="s">
        <v>1847</v>
      </c>
    </row>
    <row r="5308" spans="14:14" x14ac:dyDescent="0.45">
      <c r="N5308" t="s">
        <v>1847</v>
      </c>
    </row>
    <row r="5309" spans="14:14" x14ac:dyDescent="0.45">
      <c r="N5309" t="s">
        <v>1847</v>
      </c>
    </row>
    <row r="5310" spans="14:14" x14ac:dyDescent="0.45">
      <c r="N5310" t="s">
        <v>1847</v>
      </c>
    </row>
    <row r="5311" spans="14:14" x14ac:dyDescent="0.45">
      <c r="N5311" t="s">
        <v>1847</v>
      </c>
    </row>
    <row r="5312" spans="14:14" x14ac:dyDescent="0.45">
      <c r="N5312" t="s">
        <v>1847</v>
      </c>
    </row>
    <row r="5313" spans="14:14" x14ac:dyDescent="0.45">
      <c r="N5313" t="s">
        <v>1847</v>
      </c>
    </row>
    <row r="5314" spans="14:14" x14ac:dyDescent="0.45">
      <c r="N5314" t="s">
        <v>1847</v>
      </c>
    </row>
    <row r="5315" spans="14:14" x14ac:dyDescent="0.45">
      <c r="N5315" t="s">
        <v>1847</v>
      </c>
    </row>
    <row r="5316" spans="14:14" x14ac:dyDescent="0.45">
      <c r="N5316" t="s">
        <v>1847</v>
      </c>
    </row>
    <row r="5317" spans="14:14" x14ac:dyDescent="0.45">
      <c r="N5317" t="s">
        <v>1847</v>
      </c>
    </row>
    <row r="5318" spans="14:14" x14ac:dyDescent="0.45">
      <c r="N5318" t="s">
        <v>1847</v>
      </c>
    </row>
    <row r="5319" spans="14:14" x14ac:dyDescent="0.45">
      <c r="N5319" t="s">
        <v>1847</v>
      </c>
    </row>
    <row r="5320" spans="14:14" x14ac:dyDescent="0.45">
      <c r="N5320" t="s">
        <v>1847</v>
      </c>
    </row>
    <row r="5321" spans="14:14" x14ac:dyDescent="0.45">
      <c r="N5321" t="s">
        <v>1847</v>
      </c>
    </row>
    <row r="5322" spans="14:14" x14ac:dyDescent="0.45">
      <c r="N5322" t="s">
        <v>1847</v>
      </c>
    </row>
    <row r="5323" spans="14:14" x14ac:dyDescent="0.45">
      <c r="N5323" t="s">
        <v>1847</v>
      </c>
    </row>
    <row r="5324" spans="14:14" x14ac:dyDescent="0.45">
      <c r="N5324" t="s">
        <v>1847</v>
      </c>
    </row>
    <row r="5325" spans="14:14" x14ac:dyDescent="0.45">
      <c r="N5325" t="s">
        <v>1847</v>
      </c>
    </row>
    <row r="5326" spans="14:14" x14ac:dyDescent="0.45">
      <c r="N5326" t="s">
        <v>1847</v>
      </c>
    </row>
    <row r="5327" spans="14:14" x14ac:dyDescent="0.45">
      <c r="N5327" t="s">
        <v>1847</v>
      </c>
    </row>
    <row r="5328" spans="14:14" x14ac:dyDescent="0.45">
      <c r="N5328" t="s">
        <v>1847</v>
      </c>
    </row>
    <row r="5329" spans="14:14" x14ac:dyDescent="0.45">
      <c r="N5329" t="s">
        <v>1847</v>
      </c>
    </row>
    <row r="5330" spans="14:14" x14ac:dyDescent="0.45">
      <c r="N5330" t="s">
        <v>1847</v>
      </c>
    </row>
    <row r="5331" spans="14:14" x14ac:dyDescent="0.45">
      <c r="N5331" t="s">
        <v>1847</v>
      </c>
    </row>
    <row r="5332" spans="14:14" x14ac:dyDescent="0.45">
      <c r="N5332" t="s">
        <v>1847</v>
      </c>
    </row>
    <row r="5333" spans="14:14" x14ac:dyDescent="0.45">
      <c r="N5333" t="s">
        <v>1847</v>
      </c>
    </row>
    <row r="5334" spans="14:14" x14ac:dyDescent="0.45">
      <c r="N5334" t="s">
        <v>1847</v>
      </c>
    </row>
    <row r="5335" spans="14:14" x14ac:dyDescent="0.45">
      <c r="N5335" t="s">
        <v>1847</v>
      </c>
    </row>
    <row r="5336" spans="14:14" x14ac:dyDescent="0.45">
      <c r="N5336" t="s">
        <v>1847</v>
      </c>
    </row>
    <row r="5337" spans="14:14" x14ac:dyDescent="0.45">
      <c r="N5337" t="s">
        <v>1847</v>
      </c>
    </row>
    <row r="5338" spans="14:14" x14ac:dyDescent="0.45">
      <c r="N5338" t="s">
        <v>1847</v>
      </c>
    </row>
    <row r="5339" spans="14:14" x14ac:dyDescent="0.45">
      <c r="N5339" t="s">
        <v>1847</v>
      </c>
    </row>
    <row r="5340" spans="14:14" x14ac:dyDescent="0.45">
      <c r="N5340" t="s">
        <v>1847</v>
      </c>
    </row>
    <row r="5341" spans="14:14" x14ac:dyDescent="0.45">
      <c r="N5341" t="s">
        <v>1847</v>
      </c>
    </row>
    <row r="5342" spans="14:14" x14ac:dyDescent="0.45">
      <c r="N5342" t="s">
        <v>1847</v>
      </c>
    </row>
    <row r="5343" spans="14:14" x14ac:dyDescent="0.45">
      <c r="N5343" t="s">
        <v>1847</v>
      </c>
    </row>
    <row r="5344" spans="14:14" x14ac:dyDescent="0.45">
      <c r="N5344" t="s">
        <v>1847</v>
      </c>
    </row>
    <row r="5345" spans="14:14" x14ac:dyDescent="0.45">
      <c r="N5345" t="s">
        <v>1847</v>
      </c>
    </row>
    <row r="5346" spans="14:14" x14ac:dyDescent="0.45">
      <c r="N5346" t="s">
        <v>1847</v>
      </c>
    </row>
    <row r="5347" spans="14:14" x14ac:dyDescent="0.45">
      <c r="N5347" t="s">
        <v>1847</v>
      </c>
    </row>
    <row r="5348" spans="14:14" x14ac:dyDescent="0.45">
      <c r="N5348" t="s">
        <v>1847</v>
      </c>
    </row>
    <row r="5349" spans="14:14" x14ac:dyDescent="0.45">
      <c r="N5349" t="s">
        <v>1847</v>
      </c>
    </row>
    <row r="5350" spans="14:14" x14ac:dyDescent="0.45">
      <c r="N5350" t="s">
        <v>1847</v>
      </c>
    </row>
    <row r="5351" spans="14:14" x14ac:dyDescent="0.45">
      <c r="N5351" t="s">
        <v>1847</v>
      </c>
    </row>
    <row r="5352" spans="14:14" x14ac:dyDescent="0.45">
      <c r="N5352" t="s">
        <v>1847</v>
      </c>
    </row>
    <row r="5353" spans="14:14" x14ac:dyDescent="0.45">
      <c r="N5353" t="s">
        <v>1847</v>
      </c>
    </row>
    <row r="5354" spans="14:14" x14ac:dyDescent="0.45">
      <c r="N5354" t="s">
        <v>1847</v>
      </c>
    </row>
    <row r="5355" spans="14:14" x14ac:dyDescent="0.45">
      <c r="N5355" t="s">
        <v>1847</v>
      </c>
    </row>
    <row r="5356" spans="14:14" x14ac:dyDescent="0.45">
      <c r="N5356" t="s">
        <v>1847</v>
      </c>
    </row>
    <row r="5357" spans="14:14" x14ac:dyDescent="0.45">
      <c r="N5357" t="s">
        <v>1847</v>
      </c>
    </row>
    <row r="5358" spans="14:14" x14ac:dyDescent="0.45">
      <c r="N5358" t="s">
        <v>1847</v>
      </c>
    </row>
    <row r="5359" spans="14:14" x14ac:dyDescent="0.45">
      <c r="N5359" t="s">
        <v>1847</v>
      </c>
    </row>
    <row r="5360" spans="14:14" x14ac:dyDescent="0.45">
      <c r="N5360" t="s">
        <v>1847</v>
      </c>
    </row>
    <row r="5361" spans="14:14" x14ac:dyDescent="0.45">
      <c r="N5361" t="s">
        <v>1847</v>
      </c>
    </row>
    <row r="5362" spans="14:14" x14ac:dyDescent="0.45">
      <c r="N5362" t="s">
        <v>1847</v>
      </c>
    </row>
    <row r="5363" spans="14:14" x14ac:dyDescent="0.45">
      <c r="N5363" t="s">
        <v>1847</v>
      </c>
    </row>
    <row r="5364" spans="14:14" x14ac:dyDescent="0.45">
      <c r="N5364" t="s">
        <v>1847</v>
      </c>
    </row>
    <row r="5365" spans="14:14" x14ac:dyDescent="0.45">
      <c r="N5365" t="s">
        <v>1847</v>
      </c>
    </row>
    <row r="5366" spans="14:14" x14ac:dyDescent="0.45">
      <c r="N5366" t="s">
        <v>1847</v>
      </c>
    </row>
    <row r="5367" spans="14:14" x14ac:dyDescent="0.45">
      <c r="N5367" t="s">
        <v>1847</v>
      </c>
    </row>
    <row r="5368" spans="14:14" x14ac:dyDescent="0.45">
      <c r="N5368" t="s">
        <v>1847</v>
      </c>
    </row>
    <row r="5369" spans="14:14" x14ac:dyDescent="0.45">
      <c r="N5369" t="s">
        <v>1847</v>
      </c>
    </row>
    <row r="5370" spans="14:14" x14ac:dyDescent="0.45">
      <c r="N5370" t="s">
        <v>1847</v>
      </c>
    </row>
    <row r="5371" spans="14:14" x14ac:dyDescent="0.45">
      <c r="N5371" t="s">
        <v>1847</v>
      </c>
    </row>
    <row r="5372" spans="14:14" x14ac:dyDescent="0.45">
      <c r="N5372" t="s">
        <v>1847</v>
      </c>
    </row>
    <row r="5373" spans="14:14" x14ac:dyDescent="0.45">
      <c r="N5373" t="s">
        <v>1847</v>
      </c>
    </row>
    <row r="5374" spans="14:14" x14ac:dyDescent="0.45">
      <c r="N5374" t="s">
        <v>1847</v>
      </c>
    </row>
    <row r="5375" spans="14:14" x14ac:dyDescent="0.45">
      <c r="N5375" t="s">
        <v>1847</v>
      </c>
    </row>
    <row r="5376" spans="14:14" x14ac:dyDescent="0.45">
      <c r="N5376" t="s">
        <v>1847</v>
      </c>
    </row>
    <row r="5377" spans="14:14" x14ac:dyDescent="0.45">
      <c r="N5377" t="s">
        <v>1847</v>
      </c>
    </row>
    <row r="5378" spans="14:14" x14ac:dyDescent="0.45">
      <c r="N5378" t="s">
        <v>1847</v>
      </c>
    </row>
    <row r="5379" spans="14:14" x14ac:dyDescent="0.45">
      <c r="N5379" t="s">
        <v>1847</v>
      </c>
    </row>
    <row r="5380" spans="14:14" x14ac:dyDescent="0.45">
      <c r="N5380" t="s">
        <v>1847</v>
      </c>
    </row>
    <row r="5381" spans="14:14" x14ac:dyDescent="0.45">
      <c r="N5381" t="s">
        <v>1847</v>
      </c>
    </row>
    <row r="5382" spans="14:14" x14ac:dyDescent="0.45">
      <c r="N5382" t="s">
        <v>1847</v>
      </c>
    </row>
    <row r="5383" spans="14:14" x14ac:dyDescent="0.45">
      <c r="N5383" t="s">
        <v>1847</v>
      </c>
    </row>
    <row r="5384" spans="14:14" x14ac:dyDescent="0.45">
      <c r="N5384" t="s">
        <v>1847</v>
      </c>
    </row>
    <row r="5385" spans="14:14" x14ac:dyDescent="0.45">
      <c r="N5385" t="s">
        <v>1847</v>
      </c>
    </row>
    <row r="5386" spans="14:14" x14ac:dyDescent="0.45">
      <c r="N5386" t="s">
        <v>1847</v>
      </c>
    </row>
    <row r="5387" spans="14:14" x14ac:dyDescent="0.45">
      <c r="N5387" t="s">
        <v>1847</v>
      </c>
    </row>
    <row r="5388" spans="14:14" x14ac:dyDescent="0.45">
      <c r="N5388" t="s">
        <v>1847</v>
      </c>
    </row>
    <row r="5389" spans="14:14" x14ac:dyDescent="0.45">
      <c r="N5389" t="s">
        <v>1847</v>
      </c>
    </row>
    <row r="5390" spans="14:14" x14ac:dyDescent="0.45">
      <c r="N5390" t="s">
        <v>1847</v>
      </c>
    </row>
    <row r="5391" spans="14:14" x14ac:dyDescent="0.45">
      <c r="N5391" t="s">
        <v>1847</v>
      </c>
    </row>
    <row r="5392" spans="14:14" x14ac:dyDescent="0.45">
      <c r="N5392" t="s">
        <v>1847</v>
      </c>
    </row>
    <row r="5393" spans="14:14" x14ac:dyDescent="0.45">
      <c r="N5393" t="s">
        <v>1847</v>
      </c>
    </row>
    <row r="5394" spans="14:14" x14ac:dyDescent="0.45">
      <c r="N5394" t="s">
        <v>1847</v>
      </c>
    </row>
    <row r="5395" spans="14:14" x14ac:dyDescent="0.45">
      <c r="N5395" t="s">
        <v>1847</v>
      </c>
    </row>
    <row r="5396" spans="14:14" x14ac:dyDescent="0.45">
      <c r="N5396" t="s">
        <v>1847</v>
      </c>
    </row>
    <row r="5397" spans="14:14" x14ac:dyDescent="0.45">
      <c r="N5397" t="s">
        <v>1847</v>
      </c>
    </row>
    <row r="5398" spans="14:14" x14ac:dyDescent="0.45">
      <c r="N5398" t="s">
        <v>1847</v>
      </c>
    </row>
    <row r="5399" spans="14:14" x14ac:dyDescent="0.45">
      <c r="N5399" t="s">
        <v>1847</v>
      </c>
    </row>
    <row r="5400" spans="14:14" x14ac:dyDescent="0.45">
      <c r="N5400" t="s">
        <v>1847</v>
      </c>
    </row>
    <row r="5401" spans="14:14" x14ac:dyDescent="0.45">
      <c r="N5401" t="s">
        <v>1847</v>
      </c>
    </row>
    <row r="5402" spans="14:14" x14ac:dyDescent="0.45">
      <c r="N5402" t="s">
        <v>1847</v>
      </c>
    </row>
    <row r="5403" spans="14:14" x14ac:dyDescent="0.45">
      <c r="N5403" t="s">
        <v>1847</v>
      </c>
    </row>
    <row r="5404" spans="14:14" x14ac:dyDescent="0.45">
      <c r="N5404" t="s">
        <v>1847</v>
      </c>
    </row>
    <row r="5405" spans="14:14" x14ac:dyDescent="0.45">
      <c r="N5405" t="s">
        <v>1847</v>
      </c>
    </row>
    <row r="5406" spans="14:14" x14ac:dyDescent="0.45">
      <c r="N5406" t="s">
        <v>1847</v>
      </c>
    </row>
    <row r="5407" spans="14:14" x14ac:dyDescent="0.45">
      <c r="N5407" t="s">
        <v>1847</v>
      </c>
    </row>
    <row r="5408" spans="14:14" x14ac:dyDescent="0.45">
      <c r="N5408" t="s">
        <v>1847</v>
      </c>
    </row>
    <row r="5409" spans="14:14" x14ac:dyDescent="0.45">
      <c r="N5409" t="s">
        <v>1847</v>
      </c>
    </row>
    <row r="5410" spans="14:14" x14ac:dyDescent="0.45">
      <c r="N5410" t="s">
        <v>1847</v>
      </c>
    </row>
    <row r="5411" spans="14:14" x14ac:dyDescent="0.45">
      <c r="N5411" t="s">
        <v>1847</v>
      </c>
    </row>
    <row r="5412" spans="14:14" x14ac:dyDescent="0.45">
      <c r="N5412" t="s">
        <v>1847</v>
      </c>
    </row>
    <row r="5413" spans="14:14" x14ac:dyDescent="0.45">
      <c r="N5413" t="s">
        <v>1847</v>
      </c>
    </row>
    <row r="5414" spans="14:14" x14ac:dyDescent="0.45">
      <c r="N5414" t="s">
        <v>1847</v>
      </c>
    </row>
    <row r="5415" spans="14:14" x14ac:dyDescent="0.45">
      <c r="N5415" t="s">
        <v>1847</v>
      </c>
    </row>
    <row r="5416" spans="14:14" x14ac:dyDescent="0.45">
      <c r="N5416" t="s">
        <v>1848</v>
      </c>
    </row>
    <row r="5417" spans="14:14" x14ac:dyDescent="0.45">
      <c r="N5417" t="s">
        <v>1848</v>
      </c>
    </row>
    <row r="5418" spans="14:14" x14ac:dyDescent="0.45">
      <c r="N5418" t="s">
        <v>1848</v>
      </c>
    </row>
    <row r="5419" spans="14:14" x14ac:dyDescent="0.45">
      <c r="N5419" t="s">
        <v>1848</v>
      </c>
    </row>
    <row r="5420" spans="14:14" x14ac:dyDescent="0.45">
      <c r="N5420" t="s">
        <v>1848</v>
      </c>
    </row>
    <row r="5421" spans="14:14" x14ac:dyDescent="0.45">
      <c r="N5421" t="s">
        <v>1848</v>
      </c>
    </row>
    <row r="5422" spans="14:14" x14ac:dyDescent="0.45">
      <c r="N5422" t="s">
        <v>1848</v>
      </c>
    </row>
    <row r="5423" spans="14:14" x14ac:dyDescent="0.45">
      <c r="N5423" t="s">
        <v>1848</v>
      </c>
    </row>
    <row r="5424" spans="14:14" x14ac:dyDescent="0.45">
      <c r="N5424" t="s">
        <v>1848</v>
      </c>
    </row>
    <row r="5425" spans="14:14" x14ac:dyDescent="0.45">
      <c r="N5425" t="s">
        <v>1848</v>
      </c>
    </row>
    <row r="5426" spans="14:14" x14ac:dyDescent="0.45">
      <c r="N5426" t="s">
        <v>1848</v>
      </c>
    </row>
    <row r="5427" spans="14:14" x14ac:dyDescent="0.45">
      <c r="N5427" t="s">
        <v>1848</v>
      </c>
    </row>
    <row r="5428" spans="14:14" x14ac:dyDescent="0.45">
      <c r="N5428" t="s">
        <v>1848</v>
      </c>
    </row>
    <row r="5429" spans="14:14" x14ac:dyDescent="0.45">
      <c r="N5429" t="s">
        <v>1848</v>
      </c>
    </row>
    <row r="5430" spans="14:14" x14ac:dyDescent="0.45">
      <c r="N5430" t="s">
        <v>1848</v>
      </c>
    </row>
    <row r="5431" spans="14:14" x14ac:dyDescent="0.45">
      <c r="N5431" t="s">
        <v>1848</v>
      </c>
    </row>
    <row r="5432" spans="14:14" x14ac:dyDescent="0.45">
      <c r="N5432" t="s">
        <v>1848</v>
      </c>
    </row>
    <row r="5433" spans="14:14" x14ac:dyDescent="0.45">
      <c r="N5433" t="s">
        <v>1848</v>
      </c>
    </row>
    <row r="5434" spans="14:14" x14ac:dyDescent="0.45">
      <c r="N5434" t="s">
        <v>1848</v>
      </c>
    </row>
    <row r="5435" spans="14:14" x14ac:dyDescent="0.45">
      <c r="N5435" t="s">
        <v>1848</v>
      </c>
    </row>
    <row r="5436" spans="14:14" x14ac:dyDescent="0.45">
      <c r="N5436" t="s">
        <v>1848</v>
      </c>
    </row>
    <row r="5437" spans="14:14" x14ac:dyDescent="0.45">
      <c r="N5437" t="s">
        <v>1848</v>
      </c>
    </row>
    <row r="5438" spans="14:14" x14ac:dyDescent="0.45">
      <c r="N5438" t="s">
        <v>1848</v>
      </c>
    </row>
    <row r="5439" spans="14:14" x14ac:dyDescent="0.45">
      <c r="N5439" t="s">
        <v>1848</v>
      </c>
    </row>
    <row r="5440" spans="14:14" x14ac:dyDescent="0.45">
      <c r="N5440" t="s">
        <v>1848</v>
      </c>
    </row>
    <row r="5441" spans="14:14" x14ac:dyDescent="0.45">
      <c r="N5441" t="s">
        <v>1848</v>
      </c>
    </row>
    <row r="5442" spans="14:14" x14ac:dyDescent="0.45">
      <c r="N5442" t="s">
        <v>1848</v>
      </c>
    </row>
    <row r="5443" spans="14:14" x14ac:dyDescent="0.45">
      <c r="N5443" t="s">
        <v>1848</v>
      </c>
    </row>
    <row r="5444" spans="14:14" x14ac:dyDescent="0.45">
      <c r="N5444" t="s">
        <v>1848</v>
      </c>
    </row>
    <row r="5445" spans="14:14" x14ac:dyDescent="0.45">
      <c r="N5445" t="s">
        <v>1848</v>
      </c>
    </row>
    <row r="5446" spans="14:14" x14ac:dyDescent="0.45">
      <c r="N5446" t="s">
        <v>1848</v>
      </c>
    </row>
    <row r="5447" spans="14:14" x14ac:dyDescent="0.45">
      <c r="N5447" t="s">
        <v>1848</v>
      </c>
    </row>
    <row r="5448" spans="14:14" x14ac:dyDescent="0.45">
      <c r="N5448" t="s">
        <v>1848</v>
      </c>
    </row>
    <row r="5449" spans="14:14" x14ac:dyDescent="0.45">
      <c r="N5449" t="s">
        <v>1848</v>
      </c>
    </row>
    <row r="5450" spans="14:14" x14ac:dyDescent="0.45">
      <c r="N5450" t="s">
        <v>1848</v>
      </c>
    </row>
    <row r="5451" spans="14:14" x14ac:dyDescent="0.45">
      <c r="N5451" t="s">
        <v>1848</v>
      </c>
    </row>
    <row r="5452" spans="14:14" x14ac:dyDescent="0.45">
      <c r="N5452" t="s">
        <v>1848</v>
      </c>
    </row>
    <row r="5453" spans="14:14" x14ac:dyDescent="0.45">
      <c r="N5453" t="s">
        <v>1848</v>
      </c>
    </row>
    <row r="5454" spans="14:14" x14ac:dyDescent="0.45">
      <c r="N5454" t="s">
        <v>1848</v>
      </c>
    </row>
    <row r="5455" spans="14:14" x14ac:dyDescent="0.45">
      <c r="N5455" t="s">
        <v>1848</v>
      </c>
    </row>
    <row r="5456" spans="14:14" x14ac:dyDescent="0.45">
      <c r="N5456" t="s">
        <v>1848</v>
      </c>
    </row>
    <row r="5457" spans="14:14" x14ac:dyDescent="0.45">
      <c r="N5457" t="s">
        <v>1848</v>
      </c>
    </row>
    <row r="5458" spans="14:14" x14ac:dyDescent="0.45">
      <c r="N5458" t="s">
        <v>1848</v>
      </c>
    </row>
    <row r="5459" spans="14:14" x14ac:dyDescent="0.45">
      <c r="N5459" t="s">
        <v>1848</v>
      </c>
    </row>
    <row r="5460" spans="14:14" x14ac:dyDescent="0.45">
      <c r="N5460" t="s">
        <v>1848</v>
      </c>
    </row>
    <row r="5461" spans="14:14" x14ac:dyDescent="0.45">
      <c r="N5461" t="s">
        <v>1848</v>
      </c>
    </row>
    <row r="5462" spans="14:14" x14ac:dyDescent="0.45">
      <c r="N5462" t="s">
        <v>1848</v>
      </c>
    </row>
    <row r="5463" spans="14:14" x14ac:dyDescent="0.45">
      <c r="N5463" t="s">
        <v>1848</v>
      </c>
    </row>
    <row r="5464" spans="14:14" x14ac:dyDescent="0.45">
      <c r="N5464" t="s">
        <v>1848</v>
      </c>
    </row>
    <row r="5465" spans="14:14" x14ac:dyDescent="0.45">
      <c r="N5465" t="s">
        <v>1848</v>
      </c>
    </row>
    <row r="5466" spans="14:14" x14ac:dyDescent="0.45">
      <c r="N5466" t="s">
        <v>1848</v>
      </c>
    </row>
    <row r="5467" spans="14:14" x14ac:dyDescent="0.45">
      <c r="N5467" t="s">
        <v>1848</v>
      </c>
    </row>
    <row r="5468" spans="14:14" x14ac:dyDescent="0.45">
      <c r="N5468" t="s">
        <v>1847</v>
      </c>
    </row>
    <row r="5469" spans="14:14" x14ac:dyDescent="0.45">
      <c r="N5469" t="s">
        <v>1847</v>
      </c>
    </row>
    <row r="5470" spans="14:14" x14ac:dyDescent="0.45">
      <c r="N5470" t="s">
        <v>1847</v>
      </c>
    </row>
    <row r="5471" spans="14:14" x14ac:dyDescent="0.45">
      <c r="N5471" t="s">
        <v>1847</v>
      </c>
    </row>
    <row r="5472" spans="14:14" x14ac:dyDescent="0.45">
      <c r="N5472" t="s">
        <v>1847</v>
      </c>
    </row>
    <row r="5473" spans="14:14" x14ac:dyDescent="0.45">
      <c r="N5473" t="s">
        <v>1847</v>
      </c>
    </row>
    <row r="5474" spans="14:14" x14ac:dyDescent="0.45">
      <c r="N5474" t="s">
        <v>1847</v>
      </c>
    </row>
    <row r="5475" spans="14:14" x14ac:dyDescent="0.45">
      <c r="N5475" t="s">
        <v>1847</v>
      </c>
    </row>
    <row r="5476" spans="14:14" x14ac:dyDescent="0.45">
      <c r="N5476" t="s">
        <v>1847</v>
      </c>
    </row>
    <row r="5477" spans="14:14" x14ac:dyDescent="0.45">
      <c r="N5477" t="s">
        <v>1847</v>
      </c>
    </row>
    <row r="5478" spans="14:14" x14ac:dyDescent="0.45">
      <c r="N5478" t="s">
        <v>1847</v>
      </c>
    </row>
    <row r="5479" spans="14:14" x14ac:dyDescent="0.45">
      <c r="N5479" t="s">
        <v>1847</v>
      </c>
    </row>
    <row r="5480" spans="14:14" x14ac:dyDescent="0.45">
      <c r="N5480" t="s">
        <v>1847</v>
      </c>
    </row>
    <row r="5481" spans="14:14" x14ac:dyDescent="0.45">
      <c r="N5481" t="s">
        <v>1847</v>
      </c>
    </row>
    <row r="5482" spans="14:14" x14ac:dyDescent="0.45">
      <c r="N5482" t="s">
        <v>1847</v>
      </c>
    </row>
    <row r="5483" spans="14:14" x14ac:dyDescent="0.45">
      <c r="N5483" t="s">
        <v>1847</v>
      </c>
    </row>
    <row r="5484" spans="14:14" x14ac:dyDescent="0.45">
      <c r="N5484" t="s">
        <v>1847</v>
      </c>
    </row>
    <row r="5485" spans="14:14" x14ac:dyDescent="0.45">
      <c r="N5485" t="s">
        <v>1847</v>
      </c>
    </row>
    <row r="5486" spans="14:14" x14ac:dyDescent="0.45">
      <c r="N5486" t="s">
        <v>1847</v>
      </c>
    </row>
    <row r="5487" spans="14:14" x14ac:dyDescent="0.45">
      <c r="N5487" t="s">
        <v>1847</v>
      </c>
    </row>
    <row r="5488" spans="14:14" x14ac:dyDescent="0.45">
      <c r="N5488" t="s">
        <v>1847</v>
      </c>
    </row>
    <row r="5489" spans="14:14" x14ac:dyDescent="0.45">
      <c r="N5489" t="s">
        <v>1847</v>
      </c>
    </row>
    <row r="5490" spans="14:14" x14ac:dyDescent="0.45">
      <c r="N5490" t="s">
        <v>1847</v>
      </c>
    </row>
    <row r="5491" spans="14:14" x14ac:dyDescent="0.45">
      <c r="N5491" t="s">
        <v>1847</v>
      </c>
    </row>
    <row r="5492" spans="14:14" x14ac:dyDescent="0.45">
      <c r="N5492" t="s">
        <v>1847</v>
      </c>
    </row>
    <row r="5493" spans="14:14" x14ac:dyDescent="0.45">
      <c r="N5493" t="s">
        <v>1847</v>
      </c>
    </row>
    <row r="5494" spans="14:14" x14ac:dyDescent="0.45">
      <c r="N5494" t="s">
        <v>1847</v>
      </c>
    </row>
    <row r="5495" spans="14:14" x14ac:dyDescent="0.45">
      <c r="N5495" t="s">
        <v>1847</v>
      </c>
    </row>
    <row r="5496" spans="14:14" x14ac:dyDescent="0.45">
      <c r="N5496" t="s">
        <v>1847</v>
      </c>
    </row>
    <row r="5497" spans="14:14" x14ac:dyDescent="0.45">
      <c r="N5497" t="s">
        <v>1847</v>
      </c>
    </row>
    <row r="5498" spans="14:14" x14ac:dyDescent="0.45">
      <c r="N5498" t="s">
        <v>1847</v>
      </c>
    </row>
    <row r="5499" spans="14:14" x14ac:dyDescent="0.45">
      <c r="N5499" t="s">
        <v>1847</v>
      </c>
    </row>
    <row r="5500" spans="14:14" x14ac:dyDescent="0.45">
      <c r="N5500" t="s">
        <v>1847</v>
      </c>
    </row>
    <row r="5501" spans="14:14" x14ac:dyDescent="0.45">
      <c r="N5501" t="s">
        <v>1847</v>
      </c>
    </row>
    <row r="5502" spans="14:14" x14ac:dyDescent="0.45">
      <c r="N5502" t="s">
        <v>1847</v>
      </c>
    </row>
    <row r="5503" spans="14:14" x14ac:dyDescent="0.45">
      <c r="N5503" t="s">
        <v>1847</v>
      </c>
    </row>
    <row r="5504" spans="14:14" x14ac:dyDescent="0.45">
      <c r="N5504" t="s">
        <v>1847</v>
      </c>
    </row>
    <row r="5505" spans="14:14" x14ac:dyDescent="0.45">
      <c r="N5505" t="s">
        <v>1847</v>
      </c>
    </row>
    <row r="5506" spans="14:14" x14ac:dyDescent="0.45">
      <c r="N5506" t="s">
        <v>1847</v>
      </c>
    </row>
    <row r="5507" spans="14:14" x14ac:dyDescent="0.45">
      <c r="N5507" t="s">
        <v>1847</v>
      </c>
    </row>
    <row r="5508" spans="14:14" x14ac:dyDescent="0.45">
      <c r="N5508" t="s">
        <v>1847</v>
      </c>
    </row>
    <row r="5509" spans="14:14" x14ac:dyDescent="0.45">
      <c r="N5509" t="s">
        <v>1847</v>
      </c>
    </row>
    <row r="5510" spans="14:14" x14ac:dyDescent="0.45">
      <c r="N5510" t="s">
        <v>1847</v>
      </c>
    </row>
    <row r="5511" spans="14:14" x14ac:dyDescent="0.45">
      <c r="N5511" t="s">
        <v>1847</v>
      </c>
    </row>
    <row r="5512" spans="14:14" x14ac:dyDescent="0.45">
      <c r="N5512" t="s">
        <v>1847</v>
      </c>
    </row>
    <row r="5513" spans="14:14" x14ac:dyDescent="0.45">
      <c r="N5513" t="s">
        <v>1847</v>
      </c>
    </row>
    <row r="5514" spans="14:14" x14ac:dyDescent="0.45">
      <c r="N5514" t="s">
        <v>1847</v>
      </c>
    </row>
    <row r="5515" spans="14:14" x14ac:dyDescent="0.45">
      <c r="N5515" t="s">
        <v>1847</v>
      </c>
    </row>
    <row r="5516" spans="14:14" x14ac:dyDescent="0.45">
      <c r="N5516" t="s">
        <v>1847</v>
      </c>
    </row>
    <row r="5517" spans="14:14" x14ac:dyDescent="0.45">
      <c r="N5517" t="s">
        <v>1847</v>
      </c>
    </row>
    <row r="5518" spans="14:14" x14ac:dyDescent="0.45">
      <c r="N5518" t="s">
        <v>1847</v>
      </c>
    </row>
    <row r="5519" spans="14:14" x14ac:dyDescent="0.45">
      <c r="N5519" t="s">
        <v>1847</v>
      </c>
    </row>
  </sheetData>
  <conditionalFormatting sqref="I3:I890">
    <cfRule type="duplicateValues" dxfId="0" priority="690"/>
  </conditionalFormatting>
  <pageMargins left="0.7" right="0.7" top="0.75" bottom="0.75" header="0.3" footer="0.3"/>
  <pageSetup orientation="portrait" horizontalDpi="1200" verticalDpi="1200"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6008af7c-7336-455d-908f-b3985f6b41c4" xsi:nil="true"/>
    <TaxCatchAll xmlns="1fadec40-f76d-4b3e-8485-fdb1afd944ef" xsi:nil="true"/>
    <lcf76f155ced4ddcb4097134ff3c332f xmlns="6008af7c-7336-455d-908f-b3985f6b41c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8ADCC053FA4744AC657464EE54EC92" ma:contentTypeVersion="19" ma:contentTypeDescription="Create a new document." ma:contentTypeScope="" ma:versionID="6862abe25e3fbcf9d0066d2f0f2df091">
  <xsd:schema xmlns:xsd="http://www.w3.org/2001/XMLSchema" xmlns:xs="http://www.w3.org/2001/XMLSchema" xmlns:p="http://schemas.microsoft.com/office/2006/metadata/properties" xmlns:ns2="6008af7c-7336-455d-908f-b3985f6b41c4" xmlns:ns3="1fadec40-f76d-4b3e-8485-fdb1afd944ef" targetNamespace="http://schemas.microsoft.com/office/2006/metadata/properties" ma:root="true" ma:fieldsID="591017ade8f6076c33dd566d018f407e" ns2:_="" ns3:_="">
    <xsd:import namespace="6008af7c-7336-455d-908f-b3985f6b41c4"/>
    <xsd:import namespace="1fadec40-f76d-4b3e-8485-fdb1afd944e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08af7c-7336-455d-908f-b3985f6b41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5a77ea5-3d14-4585-9531-26d6f492a4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adec40-f76d-4b3e-8485-fdb1afd944e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09e8c691-312a-4b2b-8ea5-de99169863b4}" ma:internalName="TaxCatchAll" ma:showField="CatchAllData" ma:web="1fadec40-f76d-4b3e-8485-fdb1afd944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C8F379-EAED-4362-ABAD-2EAC3C45ABC9}">
  <ds:schemaRefs>
    <ds:schemaRef ds:uri="http://www.w3.org/XML/1998/namespace"/>
    <ds:schemaRef ds:uri="http://purl.org/dc/terms/"/>
    <ds:schemaRef ds:uri="1fadec40-f76d-4b3e-8485-fdb1afd944ef"/>
    <ds:schemaRef ds:uri="http://purl.org/dc/elements/1.1/"/>
    <ds:schemaRef ds:uri="http://schemas.microsoft.com/office/2006/documentManagement/types"/>
    <ds:schemaRef ds:uri="6008af7c-7336-455d-908f-b3985f6b41c4"/>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AEB5C46E-80AC-4C09-A6B6-5722EDC98202}">
  <ds:schemaRefs>
    <ds:schemaRef ds:uri="http://schemas.microsoft.com/sharepoint/v3/contenttype/forms"/>
  </ds:schemaRefs>
</ds:datastoreItem>
</file>

<file path=customXml/itemProps3.xml><?xml version="1.0" encoding="utf-8"?>
<ds:datastoreItem xmlns:ds="http://schemas.openxmlformats.org/officeDocument/2006/customXml" ds:itemID="{16B5FA57-0BD2-4279-897B-F024324D5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08af7c-7336-455d-908f-b3985f6b41c4"/>
    <ds:schemaRef ds:uri="1fadec40-f76d-4b3e-8485-fdb1afd944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Taxonomy</vt:lpstr>
      <vt:lpstr>Products</vt:lpstr>
      <vt:lpstr>Processes</vt:lpstr>
      <vt:lpstr>Codes</vt:lpstr>
      <vt:lpstr>Code Cleanup</vt:lpstr>
      <vt:lpstr>Taxonomy!Print_Area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Escamilla</dc:creator>
  <cp:keywords/>
  <dc:description/>
  <cp:lastModifiedBy>Gerardo Escamilla</cp:lastModifiedBy>
  <cp:revision/>
  <cp:lastPrinted>2023-10-16T11:06:53Z</cp:lastPrinted>
  <dcterms:created xsi:type="dcterms:W3CDTF">2019-04-09T12:46:02Z</dcterms:created>
  <dcterms:modified xsi:type="dcterms:W3CDTF">2026-03-21T13:16:58Z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0x010100BE8ADCC053FA4744AC657464EE54EC92</vt:lpwstr>
  </property>
  <property fmtid="{D5CDD505-2E9C-101B-9397-08002B2CF9AE}" pid="3" name="Order">
    <vt:r8>118400</vt:r8>
  </property>
  <property fmtid="{D5CDD505-2E9C-101B-9397-08002B2CF9AE}" pid="4" name="MediaServiceImageTags">
    <vt:lpwstr/>
  </property>
</Properties>
</file>